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oorv\Desktop\US AI Project\Sensitivity\Electricity Prices\Industrial Prices\Without Nuclear-CC\Without Nuclear-NCC\SSP2-45\"/>
    </mc:Choice>
  </mc:AlternateContent>
  <xr:revisionPtr revIDLastSave="0" documentId="13_ncr:1_{900BF3FB-B339-4272-ADBA-CC5CEB428457}" xr6:coauthVersionLast="47" xr6:coauthVersionMax="47" xr10:uidLastSave="{00000000-0000-0000-0000-000000000000}"/>
  <bookViews>
    <workbookView xWindow="-120" yWindow="-120" windowWidth="29040" windowHeight="15720" firstSheet="16" activeTab="19" xr2:uid="{00000000-000D-0000-FFFF-FFFF00000000}"/>
  </bookViews>
  <sheets>
    <sheet name="Low" sheetId="14" r:id="rId1"/>
    <sheet name="Peak 2035-Fast-Medium" sheetId="15" r:id="rId2"/>
    <sheet name="Peak 2035-Nominal-Medium" sheetId="16" r:id="rId3"/>
    <sheet name="Peak 2035-No Change-Medium" sheetId="17" r:id="rId4"/>
    <sheet name="Peak 2033-Fast-Medium" sheetId="18" r:id="rId5"/>
    <sheet name="Peak 2033-Nominal-Medium" sheetId="19" r:id="rId6"/>
    <sheet name="Peak 2033-No Change-Medium" sheetId="20" r:id="rId7"/>
    <sheet name="Peak 2031-Fast-Medium" sheetId="21" r:id="rId8"/>
    <sheet name="Peak 2031-Nominal-Medium" sheetId="22" r:id="rId9"/>
    <sheet name="Peak 2031-No Change-Medium" sheetId="23" r:id="rId10"/>
    <sheet name="Peak 2035-Fast-High" sheetId="24" r:id="rId11"/>
    <sheet name="Peak 2035-Nominal-High" sheetId="25" r:id="rId12"/>
    <sheet name="Peak 2035-No Change-High" sheetId="26" r:id="rId13"/>
    <sheet name="Peak 2033-Fast-High" sheetId="27" r:id="rId14"/>
    <sheet name="Peak 2033-Nominal-High" sheetId="28" r:id="rId15"/>
    <sheet name="Peak 2033-No Change-High" sheetId="29" r:id="rId16"/>
    <sheet name="Peak 2031-Fast-High" sheetId="30" r:id="rId17"/>
    <sheet name="Peak 2031-Nominal-High" sheetId="31" r:id="rId18"/>
    <sheet name="Peak 2031-No Change-High" sheetId="32" r:id="rId19"/>
    <sheet name="Output-Calculation-sheet" sheetId="3" r:id="rId20"/>
    <sheet name="Rough" sheetId="4" r:id="rId21"/>
    <sheet name="Template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4" l="1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C100" i="32"/>
  <c r="B100" i="32"/>
  <c r="Y99" i="32"/>
  <c r="X99" i="32"/>
  <c r="W99" i="32"/>
  <c r="V99" i="32"/>
  <c r="U99" i="32"/>
  <c r="T99" i="32"/>
  <c r="S99" i="32"/>
  <c r="R99" i="32"/>
  <c r="Q99" i="32"/>
  <c r="P99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C99" i="32"/>
  <c r="B99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B98" i="32"/>
  <c r="Y97" i="32"/>
  <c r="X97" i="32"/>
  <c r="W97" i="32"/>
  <c r="V97" i="32"/>
  <c r="U97" i="32"/>
  <c r="T97" i="32"/>
  <c r="S97" i="32"/>
  <c r="R97" i="32"/>
  <c r="Q97" i="32"/>
  <c r="P97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C97" i="32"/>
  <c r="B97" i="32"/>
  <c r="Y96" i="32"/>
  <c r="X96" i="32"/>
  <c r="W96" i="32"/>
  <c r="V96" i="32"/>
  <c r="U96" i="32"/>
  <c r="T96" i="32"/>
  <c r="S96" i="32"/>
  <c r="R96" i="32"/>
  <c r="Q96" i="32"/>
  <c r="P96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C96" i="32"/>
  <c r="B96" i="32"/>
  <c r="Y95" i="32"/>
  <c r="X95" i="32"/>
  <c r="W95" i="32"/>
  <c r="V95" i="32"/>
  <c r="U95" i="32"/>
  <c r="T95" i="32"/>
  <c r="S95" i="32"/>
  <c r="R95" i="32"/>
  <c r="Q95" i="32"/>
  <c r="P95" i="32"/>
  <c r="O95" i="32"/>
  <c r="N95" i="32"/>
  <c r="M95" i="32"/>
  <c r="L95" i="32"/>
  <c r="K95" i="32"/>
  <c r="J95" i="32"/>
  <c r="I95" i="32"/>
  <c r="H95" i="32"/>
  <c r="G95" i="32"/>
  <c r="F95" i="32"/>
  <c r="E95" i="32"/>
  <c r="D95" i="32"/>
  <c r="C95" i="32"/>
  <c r="B95" i="32"/>
  <c r="Y94" i="32"/>
  <c r="X94" i="32"/>
  <c r="W94" i="32"/>
  <c r="V94" i="32"/>
  <c r="U94" i="32"/>
  <c r="T94" i="32"/>
  <c r="S94" i="32"/>
  <c r="R94" i="32"/>
  <c r="Q94" i="32"/>
  <c r="P94" i="32"/>
  <c r="O94" i="32"/>
  <c r="N94" i="32"/>
  <c r="M94" i="32"/>
  <c r="L94" i="32"/>
  <c r="K94" i="32"/>
  <c r="J94" i="32"/>
  <c r="I94" i="32"/>
  <c r="H94" i="32"/>
  <c r="G94" i="32"/>
  <c r="F94" i="32"/>
  <c r="E94" i="32"/>
  <c r="D94" i="32"/>
  <c r="C94" i="32"/>
  <c r="B94" i="32"/>
  <c r="Y93" i="32"/>
  <c r="X93" i="32"/>
  <c r="W93" i="32"/>
  <c r="V93" i="32"/>
  <c r="U93" i="32"/>
  <c r="T93" i="32"/>
  <c r="S93" i="32"/>
  <c r="R93" i="32"/>
  <c r="Q93" i="32"/>
  <c r="P93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C93" i="32"/>
  <c r="B93" i="32"/>
  <c r="Y89" i="32"/>
  <c r="X89" i="32"/>
  <c r="W89" i="32"/>
  <c r="V89" i="32"/>
  <c r="U89" i="32"/>
  <c r="T89" i="32"/>
  <c r="S89" i="32"/>
  <c r="R89" i="32"/>
  <c r="Q89" i="32"/>
  <c r="P89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C89" i="32"/>
  <c r="B89" i="32"/>
  <c r="Y88" i="32"/>
  <c r="X88" i="32"/>
  <c r="W88" i="32"/>
  <c r="V88" i="32"/>
  <c r="U88" i="32"/>
  <c r="T88" i="32"/>
  <c r="S88" i="32"/>
  <c r="R88" i="32"/>
  <c r="Q88" i="32"/>
  <c r="P88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C88" i="32"/>
  <c r="B88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Y82" i="32"/>
  <c r="X82" i="32"/>
  <c r="W82" i="32"/>
  <c r="V82" i="32"/>
  <c r="U82" i="32"/>
  <c r="T82" i="32"/>
  <c r="S82" i="32"/>
  <c r="R82" i="32"/>
  <c r="Q82" i="32"/>
  <c r="P82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C82" i="32"/>
  <c r="B82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Y71" i="32"/>
  <c r="X71" i="32"/>
  <c r="W71" i="32"/>
  <c r="V71" i="32"/>
  <c r="U71" i="32"/>
  <c r="T71" i="32"/>
  <c r="S71" i="32"/>
  <c r="R71" i="32"/>
  <c r="Q71" i="32"/>
  <c r="P71" i="32"/>
  <c r="O71" i="32"/>
  <c r="N71" i="32"/>
  <c r="M71" i="32"/>
  <c r="L71" i="32"/>
  <c r="K71" i="32"/>
  <c r="J71" i="32"/>
  <c r="I71" i="32"/>
  <c r="H71" i="32"/>
  <c r="G71" i="32"/>
  <c r="F71" i="32"/>
  <c r="E71" i="32"/>
  <c r="D71" i="32"/>
  <c r="C71" i="32"/>
  <c r="B71" i="32"/>
  <c r="Y67" i="32"/>
  <c r="X67" i="32"/>
  <c r="W67" i="32"/>
  <c r="V67" i="32"/>
  <c r="U67" i="32"/>
  <c r="T67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C67" i="32"/>
  <c r="B67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C65" i="32"/>
  <c r="B65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C64" i="32"/>
  <c r="B64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B61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B55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B41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65" i="31"/>
  <c r="X65" i="31"/>
  <c r="W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B65" i="31"/>
  <c r="Y64" i="31"/>
  <c r="X64" i="31"/>
  <c r="W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B63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B64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B63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B61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B61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B60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B65" i="28"/>
  <c r="Y64" i="28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B64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Y61" i="28"/>
  <c r="X61" i="28"/>
  <c r="W61" i="28"/>
  <c r="V61" i="28"/>
  <c r="U61" i="28"/>
  <c r="T61" i="28"/>
  <c r="S61" i="28"/>
  <c r="R61" i="28"/>
  <c r="Q61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B61" i="28"/>
  <c r="Y60" i="28"/>
  <c r="X60" i="28"/>
  <c r="W60" i="28"/>
  <c r="V60" i="28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B60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B67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B65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B64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B61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B60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Y65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B65" i="26"/>
  <c r="Y64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B64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63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Y61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B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B60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B65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AA95" i="23" l="1"/>
  <c r="AA99" i="23"/>
  <c r="AA95" i="24"/>
  <c r="AA99" i="24"/>
  <c r="AA40" i="23"/>
  <c r="AA44" i="23"/>
  <c r="AA40" i="24"/>
  <c r="AA44" i="24"/>
  <c r="AA73" i="23"/>
  <c r="AA77" i="23"/>
  <c r="AA73" i="24"/>
  <c r="AA77" i="24"/>
  <c r="AA51" i="23"/>
  <c r="AA55" i="23"/>
  <c r="AA51" i="24"/>
  <c r="AA55" i="24"/>
  <c r="AA84" i="23"/>
  <c r="AA88" i="23"/>
  <c r="AA84" i="24"/>
  <c r="AA88" i="24"/>
  <c r="AA29" i="23"/>
  <c r="AA29" i="24"/>
  <c r="AA33" i="24"/>
  <c r="AA33" i="23"/>
  <c r="AA18" i="23"/>
  <c r="AA22" i="23"/>
  <c r="AA18" i="24"/>
  <c r="AA22" i="24"/>
  <c r="AA18" i="25"/>
  <c r="AA22" i="25"/>
  <c r="AA18" i="14"/>
  <c r="AA19" i="23"/>
  <c r="AA23" i="23"/>
  <c r="AA30" i="23"/>
  <c r="AA34" i="23"/>
  <c r="AA41" i="23"/>
  <c r="AA45" i="23"/>
  <c r="AA52" i="23"/>
  <c r="AA56" i="23"/>
  <c r="AA74" i="23"/>
  <c r="AA78" i="23"/>
  <c r="AA85" i="23"/>
  <c r="AA89" i="23"/>
  <c r="AA96" i="23"/>
  <c r="AA100" i="23"/>
  <c r="AA19" i="24"/>
  <c r="AA23" i="24"/>
  <c r="AA30" i="24"/>
  <c r="AA34" i="24"/>
  <c r="AA41" i="24"/>
  <c r="AA45" i="24"/>
  <c r="AA52" i="24"/>
  <c r="AA56" i="24"/>
  <c r="AA74" i="24"/>
  <c r="AA78" i="24"/>
  <c r="AA85" i="24"/>
  <c r="AA89" i="24"/>
  <c r="AA96" i="24"/>
  <c r="AA100" i="24"/>
  <c r="AA19" i="25"/>
  <c r="AA23" i="25"/>
  <c r="AA30" i="25"/>
  <c r="AA34" i="25"/>
  <c r="AA41" i="25"/>
  <c r="AA45" i="25"/>
  <c r="AA52" i="25"/>
  <c r="AA56" i="25"/>
  <c r="AA74" i="25"/>
  <c r="AA78" i="25"/>
  <c r="AA85" i="25"/>
  <c r="AA89" i="25"/>
  <c r="AA96" i="25"/>
  <c r="AA100" i="25"/>
  <c r="AA19" i="26"/>
  <c r="AA23" i="26"/>
  <c r="AA30" i="26"/>
  <c r="AA34" i="26"/>
  <c r="AA41" i="26"/>
  <c r="AA45" i="26"/>
  <c r="AA52" i="26"/>
  <c r="AA56" i="26"/>
  <c r="AA74" i="26"/>
  <c r="AA78" i="26"/>
  <c r="AA85" i="26"/>
  <c r="AA89" i="26"/>
  <c r="AA96" i="26"/>
  <c r="AA100" i="26"/>
  <c r="AA19" i="27"/>
  <c r="AA23" i="27"/>
  <c r="AA30" i="27"/>
  <c r="AA34" i="27"/>
  <c r="AA41" i="27"/>
  <c r="AA45" i="27"/>
  <c r="AA52" i="27"/>
  <c r="AA56" i="27"/>
  <c r="AA74" i="27"/>
  <c r="AA78" i="27"/>
  <c r="AA85" i="27"/>
  <c r="AA89" i="27"/>
  <c r="AA29" i="25"/>
  <c r="AA33" i="25"/>
  <c r="AA40" i="25"/>
  <c r="AA44" i="25"/>
  <c r="AA51" i="25"/>
  <c r="AA55" i="25"/>
  <c r="AA73" i="25"/>
  <c r="AA77" i="25"/>
  <c r="AA84" i="25"/>
  <c r="AA88" i="25"/>
  <c r="AA95" i="25"/>
  <c r="AA99" i="25"/>
  <c r="AA18" i="26"/>
  <c r="AA22" i="26"/>
  <c r="AA29" i="26"/>
  <c r="AA33" i="26"/>
  <c r="AA40" i="26"/>
  <c r="AA44" i="26"/>
  <c r="AA51" i="26"/>
  <c r="AA55" i="26"/>
  <c r="AA73" i="26"/>
  <c r="AA77" i="26"/>
  <c r="AA84" i="26"/>
  <c r="AA88" i="26"/>
  <c r="AA95" i="26"/>
  <c r="AA99" i="26"/>
  <c r="AA18" i="27"/>
  <c r="AA22" i="27"/>
  <c r="AA29" i="27"/>
  <c r="AA33" i="27"/>
  <c r="AA40" i="27"/>
  <c r="AA44" i="27"/>
  <c r="AA51" i="27"/>
  <c r="AA55" i="27"/>
  <c r="AA73" i="27"/>
  <c r="AA77" i="27"/>
  <c r="AA84" i="27"/>
  <c r="AA88" i="27"/>
  <c r="AA95" i="27"/>
  <c r="AA99" i="27"/>
  <c r="AA18" i="28"/>
  <c r="AA22" i="28"/>
  <c r="AA29" i="28"/>
  <c r="AA33" i="28"/>
  <c r="AA40" i="28"/>
  <c r="AA44" i="28"/>
  <c r="AA51" i="28"/>
  <c r="AA55" i="28"/>
  <c r="AA73" i="28"/>
  <c r="AA77" i="28"/>
  <c r="AA84" i="28"/>
  <c r="AA88" i="28"/>
  <c r="AA95" i="28"/>
  <c r="AA72" i="26"/>
  <c r="AA17" i="23"/>
  <c r="AA21" i="23"/>
  <c r="AA39" i="23"/>
  <c r="AA43" i="23"/>
  <c r="AA50" i="23"/>
  <c r="AA72" i="23"/>
  <c r="AA83" i="23"/>
  <c r="AA87" i="23"/>
  <c r="AA94" i="23"/>
  <c r="AA98" i="23"/>
  <c r="AA21" i="24"/>
  <c r="AA28" i="24"/>
  <c r="AA32" i="24"/>
  <c r="AA50" i="24"/>
  <c r="AA54" i="24"/>
  <c r="AA87" i="24"/>
  <c r="AA94" i="24"/>
  <c r="AA98" i="26"/>
  <c r="AA17" i="27"/>
  <c r="AA39" i="24"/>
  <c r="AA28" i="23"/>
  <c r="AA54" i="23"/>
  <c r="AA83" i="24"/>
  <c r="AA17" i="25"/>
  <c r="AA21" i="27"/>
  <c r="AA32" i="23"/>
  <c r="AA76" i="23"/>
  <c r="AA17" i="24"/>
  <c r="AA43" i="24"/>
  <c r="AA72" i="24"/>
  <c r="AA76" i="24"/>
  <c r="AA98" i="24"/>
  <c r="AA21" i="25"/>
  <c r="AA28" i="25"/>
  <c r="AA39" i="25"/>
  <c r="AA76" i="26"/>
  <c r="AA32" i="25"/>
  <c r="AA43" i="25"/>
  <c r="AA50" i="25"/>
  <c r="AA54" i="25"/>
  <c r="AA72" i="25"/>
  <c r="AA76" i="25"/>
  <c r="AA83" i="25"/>
  <c r="AA87" i="25"/>
  <c r="AA94" i="25"/>
  <c r="AA98" i="25"/>
  <c r="AA17" i="26"/>
  <c r="AA21" i="26"/>
  <c r="AA28" i="26"/>
  <c r="AA32" i="26"/>
  <c r="AA39" i="26"/>
  <c r="AA43" i="26"/>
  <c r="AA50" i="26"/>
  <c r="AA54" i="26"/>
  <c r="AA96" i="27"/>
  <c r="AA100" i="27"/>
  <c r="AA19" i="28"/>
  <c r="AA23" i="28"/>
  <c r="AA30" i="28"/>
  <c r="AA34" i="28"/>
  <c r="AA41" i="28"/>
  <c r="AA45" i="28"/>
  <c r="AA52" i="28"/>
  <c r="AA56" i="28"/>
  <c r="AA74" i="28"/>
  <c r="AA78" i="28"/>
  <c r="AA85" i="28"/>
  <c r="AA89" i="28"/>
  <c r="AA96" i="28"/>
  <c r="AA100" i="28"/>
  <c r="AA19" i="29"/>
  <c r="AA23" i="29"/>
  <c r="AA30" i="29"/>
  <c r="AA34" i="29"/>
  <c r="AA41" i="29"/>
  <c r="AA45" i="29"/>
  <c r="AA52" i="29"/>
  <c r="AA56" i="29"/>
  <c r="AA74" i="29"/>
  <c r="AA78" i="29"/>
  <c r="AA85" i="29"/>
  <c r="AA89" i="29"/>
  <c r="AA96" i="29"/>
  <c r="AA100" i="29"/>
  <c r="AA19" i="30"/>
  <c r="AA23" i="30"/>
  <c r="AA30" i="30"/>
  <c r="AA34" i="30"/>
  <c r="AA41" i="30"/>
  <c r="AA45" i="30"/>
  <c r="AA52" i="30"/>
  <c r="AA56" i="30"/>
  <c r="AA74" i="30"/>
  <c r="AA78" i="30"/>
  <c r="AA85" i="30"/>
  <c r="AA89" i="30"/>
  <c r="AA96" i="30"/>
  <c r="AA100" i="30"/>
  <c r="AA19" i="31"/>
  <c r="AA23" i="31"/>
  <c r="AA30" i="31"/>
  <c r="AA34" i="31"/>
  <c r="AA41" i="31"/>
  <c r="AA45" i="31"/>
  <c r="AA52" i="31"/>
  <c r="AA56" i="31"/>
  <c r="AA74" i="31"/>
  <c r="AA78" i="31"/>
  <c r="AA85" i="31"/>
  <c r="AA89" i="31"/>
  <c r="AA96" i="31"/>
  <c r="AA100" i="31"/>
  <c r="AA19" i="32"/>
  <c r="AA23" i="32"/>
  <c r="AA30" i="32"/>
  <c r="AA34" i="32"/>
  <c r="AA41" i="32"/>
  <c r="AA45" i="32"/>
  <c r="AA52" i="32"/>
  <c r="AA56" i="32"/>
  <c r="AA74" i="32"/>
  <c r="AA78" i="32"/>
  <c r="AA85" i="32"/>
  <c r="AA89" i="32"/>
  <c r="AA96" i="32"/>
  <c r="AA100" i="32"/>
  <c r="AA99" i="28"/>
  <c r="AA18" i="29"/>
  <c r="AA22" i="29"/>
  <c r="AA29" i="29"/>
  <c r="AA33" i="29"/>
  <c r="AA40" i="29"/>
  <c r="AA44" i="29"/>
  <c r="AA51" i="29"/>
  <c r="AA55" i="29"/>
  <c r="AA73" i="29"/>
  <c r="AA77" i="29"/>
  <c r="AA84" i="29"/>
  <c r="AA88" i="29"/>
  <c r="AA95" i="29"/>
  <c r="AA99" i="29"/>
  <c r="AA18" i="30"/>
  <c r="AA22" i="30"/>
  <c r="AA29" i="30"/>
  <c r="AA33" i="30"/>
  <c r="AA40" i="30"/>
  <c r="AA44" i="30"/>
  <c r="AA51" i="30"/>
  <c r="AA55" i="30"/>
  <c r="AA73" i="30"/>
  <c r="AA77" i="30"/>
  <c r="AA84" i="30"/>
  <c r="AA88" i="30"/>
  <c r="AA95" i="30"/>
  <c r="AA99" i="30"/>
  <c r="AA18" i="31"/>
  <c r="AA22" i="31"/>
  <c r="AA29" i="31"/>
  <c r="AA33" i="31"/>
  <c r="AA40" i="31"/>
  <c r="AA44" i="31"/>
  <c r="AA51" i="31"/>
  <c r="AA55" i="31"/>
  <c r="AA73" i="31"/>
  <c r="AA77" i="31"/>
  <c r="AA84" i="31"/>
  <c r="AA88" i="31"/>
  <c r="AA95" i="31"/>
  <c r="AA99" i="31"/>
  <c r="AA18" i="32"/>
  <c r="AA22" i="32"/>
  <c r="AA29" i="32"/>
  <c r="AA33" i="32"/>
  <c r="AA40" i="32"/>
  <c r="AA44" i="32"/>
  <c r="AA51" i="32"/>
  <c r="AA55" i="32"/>
  <c r="AA73" i="32"/>
  <c r="AA77" i="32"/>
  <c r="AA84" i="32"/>
  <c r="AA88" i="32"/>
  <c r="AA95" i="32"/>
  <c r="AA99" i="32"/>
  <c r="AA83" i="26"/>
  <c r="AA87" i="26"/>
  <c r="AA94" i="26"/>
  <c r="AA28" i="27"/>
  <c r="AA32" i="27"/>
  <c r="AA39" i="27"/>
  <c r="AA43" i="27"/>
  <c r="AA50" i="27"/>
  <c r="AA54" i="27"/>
  <c r="AA72" i="27"/>
  <c r="AA76" i="27"/>
  <c r="AA83" i="27"/>
  <c r="AA87" i="27"/>
  <c r="AA94" i="27"/>
  <c r="AA98" i="27"/>
  <c r="AA17" i="28"/>
  <c r="AA21" i="28"/>
  <c r="AA28" i="28"/>
  <c r="AA32" i="28"/>
  <c r="AA39" i="28"/>
  <c r="AA43" i="28"/>
  <c r="AA50" i="28"/>
  <c r="AA54" i="28"/>
  <c r="AA72" i="28"/>
  <c r="AA76" i="28"/>
  <c r="AA83" i="28"/>
  <c r="AA87" i="28"/>
  <c r="AA94" i="28"/>
  <c r="AA98" i="28"/>
  <c r="AA17" i="29"/>
  <c r="AA21" i="29"/>
  <c r="AA28" i="29"/>
  <c r="AA32" i="29"/>
  <c r="AA39" i="29"/>
  <c r="AA43" i="29"/>
  <c r="AA50" i="29"/>
  <c r="AA54" i="29"/>
  <c r="AA72" i="29"/>
  <c r="AA76" i="29"/>
  <c r="AA83" i="29"/>
  <c r="AA87" i="29"/>
  <c r="AA94" i="29"/>
  <c r="AA98" i="29"/>
  <c r="AA17" i="30"/>
  <c r="AA21" i="30"/>
  <c r="AA28" i="30"/>
  <c r="AA32" i="30"/>
  <c r="AA39" i="30"/>
  <c r="AA43" i="30"/>
  <c r="AA50" i="30"/>
  <c r="AA54" i="30"/>
  <c r="AA72" i="30"/>
  <c r="AA76" i="30"/>
  <c r="AA83" i="30"/>
  <c r="AA87" i="30"/>
  <c r="AA94" i="30"/>
  <c r="AA98" i="30"/>
  <c r="AA17" i="31"/>
  <c r="AA21" i="31"/>
  <c r="AA28" i="31"/>
  <c r="AA32" i="31"/>
  <c r="AA39" i="31"/>
  <c r="AA43" i="31"/>
  <c r="AA50" i="31"/>
  <c r="AA54" i="31"/>
  <c r="AA72" i="31"/>
  <c r="AA76" i="31"/>
  <c r="AA83" i="31"/>
  <c r="AA87" i="31"/>
  <c r="AA94" i="31"/>
  <c r="AA98" i="31"/>
  <c r="AA17" i="32"/>
  <c r="AA21" i="32"/>
  <c r="AA28" i="32"/>
  <c r="AA32" i="32"/>
  <c r="AA39" i="32"/>
  <c r="AA43" i="32"/>
  <c r="AA50" i="32"/>
  <c r="AA54" i="32"/>
  <c r="AA72" i="32"/>
  <c r="AA76" i="32"/>
  <c r="AA83" i="32"/>
  <c r="AA87" i="32"/>
  <c r="AA94" i="32"/>
  <c r="AA98" i="32"/>
  <c r="AA31" i="23"/>
  <c r="AA75" i="23"/>
  <c r="AA82" i="23"/>
  <c r="AA97" i="23"/>
  <c r="AA16" i="24"/>
  <c r="AA20" i="24"/>
  <c r="AA31" i="24"/>
  <c r="AA38" i="24"/>
  <c r="AA49" i="24"/>
  <c r="AA82" i="24"/>
  <c r="AA86" i="24"/>
  <c r="AA38" i="25"/>
  <c r="AA42" i="23"/>
  <c r="AA49" i="23"/>
  <c r="AA53" i="23"/>
  <c r="AA86" i="23"/>
  <c r="AA93" i="23"/>
  <c r="AA27" i="24"/>
  <c r="AA53" i="24"/>
  <c r="AA71" i="24"/>
  <c r="AA75" i="24"/>
  <c r="AA27" i="25"/>
  <c r="AA75" i="25"/>
  <c r="AA97" i="25"/>
  <c r="AA16" i="26"/>
  <c r="AA20" i="26"/>
  <c r="AA27" i="26"/>
  <c r="AA49" i="26"/>
  <c r="AA82" i="26"/>
  <c r="AA16" i="23"/>
  <c r="AA20" i="23"/>
  <c r="AA27" i="23"/>
  <c r="AA38" i="23"/>
  <c r="AA71" i="23"/>
  <c r="AA42" i="24"/>
  <c r="AA93" i="24"/>
  <c r="AA97" i="24"/>
  <c r="AA16" i="25"/>
  <c r="AA20" i="25"/>
  <c r="AA31" i="25"/>
  <c r="AA42" i="25"/>
  <c r="AA49" i="25"/>
  <c r="AA53" i="25"/>
  <c r="AA71" i="25"/>
  <c r="AA82" i="25"/>
  <c r="AA86" i="25"/>
  <c r="AA93" i="25"/>
  <c r="AA31" i="26"/>
  <c r="AA38" i="26"/>
  <c r="AA42" i="26"/>
  <c r="AA53" i="26"/>
  <c r="AA71" i="26"/>
  <c r="AA75" i="26"/>
  <c r="AA97" i="26"/>
  <c r="AA93" i="26"/>
  <c r="AA17" i="14"/>
  <c r="AA86" i="26"/>
  <c r="AA16" i="27"/>
  <c r="AA20" i="27"/>
  <c r="AA27" i="27"/>
  <c r="AA31" i="27"/>
  <c r="AA38" i="27"/>
  <c r="AA42" i="27"/>
  <c r="AA49" i="27"/>
  <c r="AA53" i="27"/>
  <c r="AA71" i="27"/>
  <c r="AA75" i="27"/>
  <c r="AA82" i="27"/>
  <c r="AA86" i="27"/>
  <c r="AA93" i="27"/>
  <c r="AA97" i="27"/>
  <c r="AA16" i="28"/>
  <c r="AA20" i="28"/>
  <c r="AA27" i="28"/>
  <c r="AA31" i="28"/>
  <c r="AA38" i="28"/>
  <c r="AA42" i="28"/>
  <c r="AA49" i="28"/>
  <c r="AA53" i="28"/>
  <c r="AA71" i="28"/>
  <c r="AA75" i="28"/>
  <c r="AA82" i="28"/>
  <c r="AA86" i="28"/>
  <c r="AA93" i="28"/>
  <c r="AA97" i="28"/>
  <c r="AA16" i="29"/>
  <c r="AA20" i="29"/>
  <c r="AA27" i="29"/>
  <c r="AA31" i="29"/>
  <c r="AA38" i="29"/>
  <c r="AA42" i="29"/>
  <c r="AA49" i="29"/>
  <c r="AA53" i="29"/>
  <c r="AA71" i="29"/>
  <c r="AA75" i="29"/>
  <c r="AA82" i="29"/>
  <c r="AA86" i="29"/>
  <c r="AA93" i="29"/>
  <c r="AA97" i="29"/>
  <c r="AA16" i="30"/>
  <c r="AA20" i="30"/>
  <c r="AA27" i="30"/>
  <c r="AA31" i="30"/>
  <c r="AA38" i="30"/>
  <c r="AA42" i="30"/>
  <c r="AA49" i="30"/>
  <c r="AA53" i="30"/>
  <c r="AA71" i="30"/>
  <c r="AA75" i="30"/>
  <c r="AA82" i="30"/>
  <c r="AA86" i="30"/>
  <c r="AA93" i="30"/>
  <c r="AA97" i="30"/>
  <c r="AA16" i="31"/>
  <c r="AA20" i="31"/>
  <c r="AA27" i="31"/>
  <c r="AA31" i="31"/>
  <c r="AA38" i="31"/>
  <c r="AA42" i="31"/>
  <c r="AA49" i="31"/>
  <c r="AA53" i="31"/>
  <c r="AA71" i="31"/>
  <c r="AA75" i="31"/>
  <c r="AA82" i="31"/>
  <c r="AA86" i="31"/>
  <c r="AA93" i="31"/>
  <c r="AA97" i="31"/>
  <c r="AA16" i="32"/>
  <c r="AA20" i="32"/>
  <c r="AA27" i="32"/>
  <c r="AA31" i="32"/>
  <c r="AA38" i="32"/>
  <c r="AA42" i="32"/>
  <c r="AA49" i="32"/>
  <c r="AA53" i="32"/>
  <c r="AA71" i="32"/>
  <c r="AA75" i="32"/>
  <c r="AA82" i="32"/>
  <c r="AA86" i="32"/>
  <c r="AA93" i="32"/>
  <c r="AA97" i="32"/>
  <c r="AA16" i="14"/>
  <c r="AA63" i="23"/>
  <c r="AA67" i="23"/>
  <c r="AA63" i="24"/>
  <c r="AA67" i="24"/>
  <c r="AA63" i="25"/>
  <c r="AA67" i="25"/>
  <c r="AA63" i="26"/>
  <c r="AA67" i="26"/>
  <c r="AA63" i="27"/>
  <c r="AA67" i="27"/>
  <c r="AA63" i="28"/>
  <c r="AA67" i="28"/>
  <c r="AA63" i="29"/>
  <c r="AA67" i="29"/>
  <c r="AA63" i="30"/>
  <c r="AA67" i="30"/>
  <c r="AA63" i="31"/>
  <c r="AA67" i="31"/>
  <c r="AA63" i="32"/>
  <c r="AA67" i="32"/>
  <c r="AA62" i="23"/>
  <c r="AA66" i="23"/>
  <c r="AA62" i="27"/>
  <c r="AA66" i="31"/>
  <c r="AA62" i="32"/>
  <c r="AA62" i="24"/>
  <c r="AA66" i="24"/>
  <c r="AA66" i="25"/>
  <c r="AA66" i="26"/>
  <c r="AA62" i="28"/>
  <c r="AA62" i="29"/>
  <c r="AA62" i="30"/>
  <c r="AA62" i="31"/>
  <c r="AA62" i="25"/>
  <c r="AA62" i="26"/>
  <c r="AA66" i="27"/>
  <c r="AA66" i="28"/>
  <c r="AA66" i="29"/>
  <c r="AA66" i="30"/>
  <c r="AA66" i="32"/>
  <c r="AA61" i="23"/>
  <c r="AA65" i="23"/>
  <c r="AA61" i="24"/>
  <c r="AA65" i="24"/>
  <c r="AA61" i="25"/>
  <c r="AA65" i="25"/>
  <c r="AA61" i="26"/>
  <c r="AA65" i="26"/>
  <c r="AA61" i="27"/>
  <c r="AA65" i="27"/>
  <c r="AA61" i="28"/>
  <c r="AA65" i="28"/>
  <c r="AA61" i="29"/>
  <c r="AA65" i="29"/>
  <c r="AA61" i="30"/>
  <c r="AA65" i="30"/>
  <c r="AA61" i="31"/>
  <c r="AA65" i="31"/>
  <c r="AA61" i="32"/>
  <c r="AA65" i="32"/>
  <c r="AA60" i="24"/>
  <c r="AA64" i="24"/>
  <c r="AA60" i="25"/>
  <c r="AA64" i="25"/>
  <c r="AA60" i="26"/>
  <c r="AA64" i="26"/>
  <c r="AA60" i="27"/>
  <c r="AA64" i="27"/>
  <c r="AA60" i="28"/>
  <c r="AA64" i="28"/>
  <c r="AA60" i="29"/>
  <c r="AA64" i="29"/>
  <c r="AA60" i="30"/>
  <c r="AA64" i="30"/>
  <c r="AA60" i="31"/>
  <c r="AA64" i="31"/>
  <c r="AA60" i="32"/>
  <c r="AA64" i="32"/>
  <c r="AA60" i="23"/>
  <c r="AA64" i="23"/>
  <c r="N68" i="29"/>
  <c r="B68" i="31"/>
  <c r="V68" i="31"/>
  <c r="S68" i="31"/>
  <c r="C68" i="32"/>
  <c r="W68" i="32"/>
  <c r="T68" i="31"/>
  <c r="D68" i="32"/>
  <c r="X68" i="32"/>
  <c r="L68" i="29"/>
  <c r="P68" i="30"/>
  <c r="M68" i="29"/>
  <c r="Q68" i="30"/>
  <c r="U68" i="31"/>
  <c r="E68" i="32"/>
  <c r="Y68" i="32"/>
  <c r="F68" i="32"/>
  <c r="G68" i="27"/>
  <c r="L68" i="28"/>
  <c r="I68" i="26"/>
  <c r="R68" i="23"/>
  <c r="B68" i="24"/>
  <c r="V68" i="24"/>
  <c r="F68" i="25"/>
  <c r="O68" i="29"/>
  <c r="S68" i="30"/>
  <c r="U68" i="23"/>
  <c r="E68" i="24"/>
  <c r="Y68" i="24"/>
  <c r="I68" i="25"/>
  <c r="M68" i="28"/>
  <c r="O68" i="28"/>
  <c r="F68" i="26"/>
  <c r="V68" i="30"/>
  <c r="H68" i="25"/>
  <c r="C68" i="23"/>
  <c r="W68" i="23"/>
  <c r="G68" i="24"/>
  <c r="I68" i="27"/>
  <c r="G68" i="25"/>
  <c r="D68" i="23"/>
  <c r="X68" i="23"/>
  <c r="H68" i="24"/>
  <c r="G68" i="30"/>
  <c r="H68" i="27"/>
  <c r="B68" i="30"/>
  <c r="N68" i="28"/>
  <c r="G68" i="26"/>
  <c r="H68" i="26"/>
  <c r="H68" i="32"/>
  <c r="K68" i="32"/>
  <c r="L68" i="32"/>
  <c r="M68" i="32"/>
  <c r="O68" i="32"/>
  <c r="P68" i="32"/>
  <c r="G68" i="32"/>
  <c r="N68" i="32"/>
  <c r="Q68" i="32"/>
  <c r="R68" i="32"/>
  <c r="S68" i="32"/>
  <c r="T68" i="32"/>
  <c r="U68" i="32"/>
  <c r="I68" i="32"/>
  <c r="J68" i="32"/>
  <c r="B68" i="32"/>
  <c r="V68" i="32"/>
  <c r="F68" i="31"/>
  <c r="G68" i="31"/>
  <c r="H68" i="31"/>
  <c r="I68" i="31"/>
  <c r="K68" i="31"/>
  <c r="L68" i="31"/>
  <c r="M68" i="31"/>
  <c r="W68" i="31"/>
  <c r="X68" i="31"/>
  <c r="N68" i="31"/>
  <c r="E68" i="31"/>
  <c r="J68" i="31"/>
  <c r="O68" i="31"/>
  <c r="C68" i="31"/>
  <c r="Y68" i="31"/>
  <c r="P68" i="31"/>
  <c r="Q68" i="31"/>
  <c r="D68" i="31"/>
  <c r="R68" i="31"/>
  <c r="R68" i="30"/>
  <c r="T68" i="30"/>
  <c r="U68" i="30"/>
  <c r="F68" i="30"/>
  <c r="H68" i="30"/>
  <c r="I68" i="30"/>
  <c r="J68" i="30"/>
  <c r="C68" i="30"/>
  <c r="D68" i="30"/>
  <c r="Y68" i="30"/>
  <c r="K68" i="30"/>
  <c r="W68" i="30"/>
  <c r="X68" i="30"/>
  <c r="E68" i="30"/>
  <c r="L68" i="30"/>
  <c r="M68" i="30"/>
  <c r="N68" i="30"/>
  <c r="O68" i="30"/>
  <c r="Q68" i="29"/>
  <c r="S68" i="29"/>
  <c r="T68" i="29"/>
  <c r="U68" i="29"/>
  <c r="B68" i="29"/>
  <c r="V68" i="29"/>
  <c r="C68" i="29"/>
  <c r="W68" i="29"/>
  <c r="D68" i="29"/>
  <c r="X68" i="29"/>
  <c r="E68" i="29"/>
  <c r="Y68" i="29"/>
  <c r="G68" i="29"/>
  <c r="P68" i="29"/>
  <c r="F68" i="29"/>
  <c r="H68" i="29"/>
  <c r="R68" i="29"/>
  <c r="I68" i="29"/>
  <c r="J68" i="29"/>
  <c r="K68" i="29"/>
  <c r="I68" i="28"/>
  <c r="J68" i="28"/>
  <c r="K68" i="28"/>
  <c r="Q68" i="28"/>
  <c r="R68" i="28"/>
  <c r="S68" i="28"/>
  <c r="U68" i="28"/>
  <c r="B68" i="28"/>
  <c r="V68" i="28"/>
  <c r="C68" i="28"/>
  <c r="W68" i="28"/>
  <c r="T68" i="28"/>
  <c r="D68" i="28"/>
  <c r="X68" i="28"/>
  <c r="P68" i="28"/>
  <c r="E68" i="28"/>
  <c r="Y68" i="28"/>
  <c r="F68" i="28"/>
  <c r="G68" i="28"/>
  <c r="H68" i="28"/>
  <c r="K68" i="27"/>
  <c r="O68" i="27"/>
  <c r="P68" i="27"/>
  <c r="Q68" i="27"/>
  <c r="J68" i="27"/>
  <c r="R68" i="27"/>
  <c r="S68" i="27"/>
  <c r="T68" i="27"/>
  <c r="U68" i="27"/>
  <c r="L68" i="27"/>
  <c r="M68" i="27"/>
  <c r="B68" i="27"/>
  <c r="V68" i="27"/>
  <c r="N68" i="27"/>
  <c r="C68" i="27"/>
  <c r="W68" i="27"/>
  <c r="D68" i="27"/>
  <c r="X68" i="27"/>
  <c r="E68" i="27"/>
  <c r="Y68" i="27"/>
  <c r="F68" i="27"/>
  <c r="K68" i="26"/>
  <c r="L68" i="26"/>
  <c r="M68" i="26"/>
  <c r="N68" i="26"/>
  <c r="O68" i="26"/>
  <c r="P68" i="26"/>
  <c r="S68" i="26"/>
  <c r="U68" i="26"/>
  <c r="J68" i="26"/>
  <c r="Q68" i="26"/>
  <c r="R68" i="26"/>
  <c r="T68" i="26"/>
  <c r="B68" i="26"/>
  <c r="V68" i="26"/>
  <c r="C68" i="26"/>
  <c r="W68" i="26"/>
  <c r="D68" i="26"/>
  <c r="X68" i="26"/>
  <c r="E68" i="26"/>
  <c r="Y68" i="26"/>
  <c r="B68" i="25"/>
  <c r="V68" i="25"/>
  <c r="C68" i="25"/>
  <c r="W68" i="25"/>
  <c r="D68" i="25"/>
  <c r="X68" i="25"/>
  <c r="E68" i="25"/>
  <c r="Y68" i="25"/>
  <c r="K68" i="25"/>
  <c r="L68" i="25"/>
  <c r="N68" i="25"/>
  <c r="O68" i="25"/>
  <c r="M68" i="25"/>
  <c r="P68" i="25"/>
  <c r="Q68" i="25"/>
  <c r="R68" i="25"/>
  <c r="S68" i="25"/>
  <c r="T68" i="25"/>
  <c r="J68" i="25"/>
  <c r="U68" i="25"/>
  <c r="C68" i="24"/>
  <c r="W68" i="24"/>
  <c r="D68" i="24"/>
  <c r="X68" i="24"/>
  <c r="I68" i="24"/>
  <c r="J68" i="24"/>
  <c r="K68" i="24"/>
  <c r="L68" i="24"/>
  <c r="M68" i="24"/>
  <c r="N68" i="24"/>
  <c r="F68" i="24"/>
  <c r="O68" i="24"/>
  <c r="P68" i="24"/>
  <c r="Q68" i="24"/>
  <c r="R68" i="24"/>
  <c r="S68" i="24"/>
  <c r="T68" i="24"/>
  <c r="U68" i="24"/>
  <c r="S68" i="23"/>
  <c r="T68" i="23"/>
  <c r="B68" i="23"/>
  <c r="E68" i="23"/>
  <c r="F68" i="23"/>
  <c r="G68" i="23"/>
  <c r="H68" i="23"/>
  <c r="I68" i="23"/>
  <c r="L68" i="23"/>
  <c r="V68" i="23"/>
  <c r="J68" i="23"/>
  <c r="K68" i="23"/>
  <c r="M68" i="23"/>
  <c r="Y68" i="23"/>
  <c r="N68" i="23"/>
  <c r="O68" i="23"/>
  <c r="P68" i="23"/>
  <c r="Q68" i="23"/>
  <c r="Y155" i="12" l="1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AA104" i="12" l="1"/>
  <c r="AA108" i="12"/>
  <c r="AA115" i="12"/>
  <c r="AA119" i="12"/>
  <c r="AA126" i="12"/>
  <c r="AA130" i="12"/>
  <c r="AA137" i="12"/>
  <c r="AA141" i="12"/>
  <c r="AA148" i="12"/>
  <c r="AA152" i="12"/>
  <c r="AA107" i="12"/>
  <c r="AA111" i="12"/>
  <c r="AA118" i="12"/>
  <c r="AA122" i="12"/>
  <c r="AA129" i="12"/>
  <c r="AA133" i="12"/>
  <c r="AA140" i="12"/>
  <c r="AA144" i="12"/>
  <c r="AA151" i="12"/>
  <c r="AA155" i="12"/>
  <c r="AA154" i="12"/>
  <c r="AA110" i="12"/>
  <c r="AA132" i="12"/>
  <c r="AA139" i="12"/>
  <c r="AA121" i="12"/>
  <c r="AA128" i="12"/>
  <c r="AA143" i="12"/>
  <c r="AA150" i="12"/>
  <c r="AA106" i="12"/>
  <c r="AA117" i="12"/>
  <c r="AA105" i="12"/>
  <c r="AA109" i="12"/>
  <c r="AA116" i="12"/>
  <c r="AA120" i="12"/>
  <c r="AA127" i="12"/>
  <c r="AA131" i="12"/>
  <c r="AA138" i="12"/>
  <c r="AA142" i="12"/>
  <c r="AA149" i="12"/>
  <c r="AA153" i="1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AA67" i="14" l="1"/>
  <c r="AA63" i="14"/>
  <c r="AA66" i="15"/>
  <c r="AA62" i="15"/>
  <c r="AA65" i="16"/>
  <c r="AA61" i="16"/>
  <c r="AA64" i="17"/>
  <c r="AA67" i="18"/>
  <c r="AA63" i="18"/>
  <c r="AA66" i="19"/>
  <c r="AA62" i="19"/>
  <c r="AA65" i="20"/>
  <c r="AA61" i="20"/>
  <c r="AA64" i="21"/>
  <c r="AA67" i="22"/>
  <c r="AA63" i="22"/>
  <c r="AA64" i="14"/>
  <c r="AA67" i="15"/>
  <c r="AA63" i="15"/>
  <c r="AA66" i="16"/>
  <c r="AA62" i="16"/>
  <c r="AA65" i="17"/>
  <c r="AA61" i="17"/>
  <c r="AA64" i="18"/>
  <c r="AA67" i="19"/>
  <c r="AA63" i="19"/>
  <c r="AA66" i="20"/>
  <c r="AA62" i="20"/>
  <c r="AA65" i="21"/>
  <c r="AA61" i="21"/>
  <c r="AA64" i="22"/>
  <c r="AA65" i="14"/>
  <c r="AA61" i="14"/>
  <c r="AA64" i="15"/>
  <c r="AA67" i="16"/>
  <c r="AA63" i="16"/>
  <c r="AA66" i="17"/>
  <c r="AA62" i="17"/>
  <c r="AA65" i="18"/>
  <c r="AA61" i="18"/>
  <c r="AA64" i="19"/>
  <c r="AA67" i="20"/>
  <c r="AA63" i="20"/>
  <c r="AA66" i="21"/>
  <c r="AA62" i="21"/>
  <c r="AA65" i="22"/>
  <c r="AA61" i="22"/>
  <c r="AA66" i="14"/>
  <c r="AA62" i="14"/>
  <c r="AA65" i="15"/>
  <c r="AA61" i="15"/>
  <c r="AA64" i="16"/>
  <c r="AA67" i="17"/>
  <c r="AA63" i="17"/>
  <c r="AA66" i="18"/>
  <c r="AA62" i="18"/>
  <c r="AA65" i="19"/>
  <c r="AA61" i="19"/>
  <c r="AA64" i="20"/>
  <c r="AA67" i="21"/>
  <c r="AA63" i="21"/>
  <c r="AA66" i="22"/>
  <c r="AA62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A39" i="14" l="1"/>
  <c r="AA32" i="14"/>
  <c r="AA43" i="14"/>
  <c r="AA50" i="14"/>
  <c r="AA54" i="14"/>
  <c r="AA71" i="14"/>
  <c r="AA75" i="14"/>
  <c r="AA82" i="14"/>
  <c r="AA86" i="14"/>
  <c r="AA93" i="14"/>
  <c r="AA97" i="14"/>
  <c r="AA16" i="15"/>
  <c r="AA20" i="15"/>
  <c r="AA27" i="15"/>
  <c r="AA31" i="15"/>
  <c r="AA38" i="15"/>
  <c r="AA42" i="15"/>
  <c r="AA49" i="15"/>
  <c r="AA53" i="15"/>
  <c r="AA74" i="15"/>
  <c r="AA78" i="15"/>
  <c r="AA85" i="15"/>
  <c r="AA89" i="15"/>
  <c r="AA96" i="15"/>
  <c r="AA100" i="15"/>
  <c r="AA19" i="16"/>
  <c r="AA23" i="16"/>
  <c r="AA30" i="16"/>
  <c r="AA34" i="16"/>
  <c r="AA41" i="16"/>
  <c r="AA45" i="16"/>
  <c r="AA52" i="16"/>
  <c r="AA56" i="16"/>
  <c r="AA73" i="16"/>
  <c r="AA77" i="16"/>
  <c r="AA84" i="16"/>
  <c r="AA88" i="16"/>
  <c r="AA95" i="16"/>
  <c r="AA21" i="14"/>
  <c r="AA28" i="14"/>
  <c r="AA99" i="16"/>
  <c r="AA18" i="17"/>
  <c r="AA22" i="17"/>
  <c r="AA29" i="17"/>
  <c r="AA33" i="17"/>
  <c r="AA40" i="17"/>
  <c r="AA44" i="17"/>
  <c r="AA51" i="17"/>
  <c r="AA55" i="17"/>
  <c r="AA72" i="17"/>
  <c r="AA76" i="17"/>
  <c r="AA83" i="17"/>
  <c r="AA87" i="17"/>
  <c r="AA94" i="17"/>
  <c r="AA98" i="17"/>
  <c r="AA17" i="18"/>
  <c r="AA21" i="18"/>
  <c r="AA28" i="18"/>
  <c r="AA32" i="18"/>
  <c r="AA39" i="18"/>
  <c r="AA43" i="18"/>
  <c r="AA50" i="18"/>
  <c r="AA54" i="18"/>
  <c r="AA71" i="18"/>
  <c r="AA75" i="18"/>
  <c r="AA82" i="18"/>
  <c r="AA86" i="18"/>
  <c r="AA93" i="18"/>
  <c r="AA97" i="18"/>
  <c r="AA16" i="19"/>
  <c r="AA20" i="19"/>
  <c r="AA27" i="19"/>
  <c r="AA31" i="19"/>
  <c r="AA38" i="19"/>
  <c r="AA42" i="19"/>
  <c r="AA49" i="19"/>
  <c r="AA53" i="19"/>
  <c r="AA74" i="19"/>
  <c r="AA78" i="19"/>
  <c r="AA85" i="19"/>
  <c r="AA89" i="19"/>
  <c r="AA96" i="19"/>
  <c r="AA100" i="19"/>
  <c r="AA19" i="20"/>
  <c r="AA23" i="20"/>
  <c r="AA30" i="20"/>
  <c r="AA34" i="20"/>
  <c r="AA41" i="20"/>
  <c r="AA45" i="20"/>
  <c r="AA52" i="20"/>
  <c r="AA56" i="20"/>
  <c r="AA73" i="20"/>
  <c r="AA77" i="20"/>
  <c r="AA84" i="20"/>
  <c r="AA88" i="20"/>
  <c r="AA95" i="20"/>
  <c r="AA99" i="20"/>
  <c r="AA18" i="21"/>
  <c r="AA22" i="21"/>
  <c r="AA29" i="21"/>
  <c r="AA33" i="21"/>
  <c r="AA40" i="21"/>
  <c r="AA44" i="21"/>
  <c r="AA51" i="21"/>
  <c r="AA55" i="21"/>
  <c r="AA72" i="21"/>
  <c r="AA76" i="21"/>
  <c r="AA83" i="21"/>
  <c r="AA87" i="21"/>
  <c r="AA94" i="21"/>
  <c r="AA98" i="21"/>
  <c r="AA17" i="22"/>
  <c r="AA21" i="22"/>
  <c r="AA28" i="22"/>
  <c r="AA32" i="22"/>
  <c r="AA39" i="22"/>
  <c r="AA43" i="22"/>
  <c r="AA50" i="22"/>
  <c r="AA54" i="22"/>
  <c r="AA71" i="22"/>
  <c r="AA75" i="22"/>
  <c r="AA82" i="22"/>
  <c r="AA86" i="22"/>
  <c r="AA93" i="22"/>
  <c r="AA97" i="22"/>
  <c r="AA31" i="14"/>
  <c r="AA38" i="14"/>
  <c r="AA42" i="14"/>
  <c r="AA53" i="14"/>
  <c r="AA74" i="14"/>
  <c r="AA78" i="14"/>
  <c r="AA85" i="14"/>
  <c r="AA89" i="14"/>
  <c r="AA96" i="14"/>
  <c r="AA30" i="15"/>
  <c r="AA34" i="15"/>
  <c r="AA41" i="15"/>
  <c r="AA45" i="15"/>
  <c r="AA52" i="15"/>
  <c r="AA56" i="15"/>
  <c r="AA73" i="15"/>
  <c r="AA77" i="15"/>
  <c r="AA84" i="15"/>
  <c r="AA88" i="15"/>
  <c r="AA95" i="15"/>
  <c r="AA99" i="15"/>
  <c r="AA18" i="16"/>
  <c r="AA22" i="16"/>
  <c r="AA29" i="16"/>
  <c r="AA33" i="16"/>
  <c r="AA40" i="16"/>
  <c r="AA44" i="16"/>
  <c r="AA51" i="16"/>
  <c r="AA55" i="16"/>
  <c r="AA72" i="16"/>
  <c r="AA76" i="16"/>
  <c r="AA83" i="16"/>
  <c r="AA87" i="16"/>
  <c r="AA94" i="16"/>
  <c r="AA27" i="14"/>
  <c r="AA20" i="14"/>
  <c r="AA100" i="14"/>
  <c r="AA23" i="15"/>
  <c r="AA49" i="14"/>
  <c r="AA19" i="15"/>
  <c r="AA98" i="16"/>
  <c r="AA17" i="17"/>
  <c r="AA21" i="17"/>
  <c r="AA28" i="17"/>
  <c r="AA32" i="17"/>
  <c r="AA39" i="17"/>
  <c r="AA43" i="17"/>
  <c r="AA50" i="17"/>
  <c r="AA54" i="17"/>
  <c r="AA71" i="17"/>
  <c r="AA75" i="17"/>
  <c r="AA82" i="17"/>
  <c r="AA86" i="17"/>
  <c r="AA93" i="17"/>
  <c r="AA97" i="17"/>
  <c r="AA16" i="18"/>
  <c r="AA20" i="18"/>
  <c r="AA27" i="18"/>
  <c r="AA31" i="18"/>
  <c r="AA38" i="18"/>
  <c r="AA42" i="18"/>
  <c r="AA49" i="18"/>
  <c r="AA53" i="18"/>
  <c r="AA74" i="18"/>
  <c r="AA78" i="18"/>
  <c r="AA85" i="18"/>
  <c r="AA89" i="18"/>
  <c r="AA96" i="18"/>
  <c r="AA100" i="18"/>
  <c r="AA19" i="19"/>
  <c r="AA23" i="19"/>
  <c r="AA30" i="19"/>
  <c r="AA34" i="19"/>
  <c r="AA41" i="19"/>
  <c r="AA45" i="19"/>
  <c r="AA52" i="19"/>
  <c r="AA56" i="19"/>
  <c r="AA73" i="19"/>
  <c r="AA77" i="19"/>
  <c r="AA84" i="19"/>
  <c r="AA88" i="19"/>
  <c r="AA95" i="19"/>
  <c r="AA99" i="19"/>
  <c r="AA18" i="20"/>
  <c r="AA22" i="20"/>
  <c r="AA29" i="20"/>
  <c r="AA33" i="20"/>
  <c r="AA40" i="20"/>
  <c r="AA44" i="20"/>
  <c r="AA51" i="20"/>
  <c r="AA55" i="20"/>
  <c r="AA72" i="20"/>
  <c r="AA76" i="20"/>
  <c r="AA83" i="20"/>
  <c r="AA87" i="20"/>
  <c r="AA94" i="20"/>
  <c r="AA98" i="20"/>
  <c r="AA17" i="21"/>
  <c r="AA21" i="21"/>
  <c r="AA28" i="21"/>
  <c r="AA32" i="21"/>
  <c r="AA39" i="21"/>
  <c r="AA43" i="21"/>
  <c r="AA50" i="21"/>
  <c r="AA54" i="21"/>
  <c r="AA71" i="21"/>
  <c r="AA75" i="21"/>
  <c r="AA82" i="21"/>
  <c r="AA86" i="21"/>
  <c r="AA93" i="21"/>
  <c r="AA97" i="21"/>
  <c r="AA16" i="22"/>
  <c r="AA20" i="22"/>
  <c r="AA27" i="22"/>
  <c r="AA31" i="22"/>
  <c r="AA38" i="22"/>
  <c r="AA42" i="22"/>
  <c r="AA49" i="22"/>
  <c r="AA53" i="22"/>
  <c r="AA74" i="22"/>
  <c r="AA78" i="22"/>
  <c r="AA85" i="22"/>
  <c r="AA89" i="22"/>
  <c r="AA96" i="22"/>
  <c r="AA100" i="22"/>
  <c r="AA30" i="14"/>
  <c r="AA45" i="14"/>
  <c r="AA52" i="14"/>
  <c r="AA73" i="14"/>
  <c r="AA77" i="14"/>
  <c r="AA84" i="14"/>
  <c r="AA88" i="14"/>
  <c r="AA95" i="14"/>
  <c r="AA99" i="14"/>
  <c r="AA18" i="15"/>
  <c r="AA22" i="15"/>
  <c r="AA29" i="15"/>
  <c r="AA33" i="15"/>
  <c r="AA40" i="15"/>
  <c r="AA44" i="15"/>
  <c r="AA51" i="15"/>
  <c r="AA55" i="15"/>
  <c r="AA72" i="15"/>
  <c r="AA76" i="15"/>
  <c r="AA83" i="15"/>
  <c r="AA87" i="15"/>
  <c r="AA94" i="15"/>
  <c r="AA98" i="15"/>
  <c r="AA17" i="16"/>
  <c r="AA21" i="16"/>
  <c r="AA28" i="16"/>
  <c r="AA32" i="16"/>
  <c r="AA39" i="16"/>
  <c r="AA43" i="16"/>
  <c r="AA50" i="16"/>
  <c r="AA54" i="16"/>
  <c r="AA71" i="16"/>
  <c r="AA75" i="16"/>
  <c r="AA82" i="16"/>
  <c r="AA86" i="16"/>
  <c r="AA93" i="16"/>
  <c r="AA97" i="16"/>
  <c r="AA19" i="14"/>
  <c r="AA23" i="14"/>
  <c r="AA34" i="14"/>
  <c r="AA41" i="14"/>
  <c r="AA56" i="14"/>
  <c r="AA22" i="14"/>
  <c r="AA29" i="14"/>
  <c r="AA33" i="14"/>
  <c r="AA40" i="14"/>
  <c r="AA44" i="14"/>
  <c r="AA51" i="14"/>
  <c r="AA55" i="14"/>
  <c r="AA72" i="14"/>
  <c r="AA76" i="14"/>
  <c r="AA83" i="14"/>
  <c r="AA87" i="14"/>
  <c r="AA94" i="14"/>
  <c r="AA98" i="14"/>
  <c r="AA17" i="15"/>
  <c r="AA21" i="15"/>
  <c r="AA28" i="15"/>
  <c r="AA32" i="15"/>
  <c r="AA39" i="15"/>
  <c r="AA43" i="15"/>
  <c r="AA50" i="15"/>
  <c r="AA54" i="15"/>
  <c r="AA71" i="15"/>
  <c r="AA75" i="15"/>
  <c r="AA82" i="15"/>
  <c r="AA86" i="15"/>
  <c r="AA93" i="15"/>
  <c r="AA97" i="15"/>
  <c r="AA16" i="16"/>
  <c r="AA20" i="16"/>
  <c r="AA27" i="16"/>
  <c r="AA31" i="16"/>
  <c r="AA38" i="16"/>
  <c r="AA42" i="16"/>
  <c r="AA49" i="16"/>
  <c r="AA53" i="16"/>
  <c r="AA74" i="16"/>
  <c r="AA78" i="16"/>
  <c r="AA85" i="16"/>
  <c r="AA89" i="16"/>
  <c r="AA96" i="16"/>
  <c r="AA16" i="17"/>
  <c r="AA20" i="17"/>
  <c r="AA27" i="17"/>
  <c r="AA31" i="17"/>
  <c r="AA38" i="17"/>
  <c r="AA42" i="17"/>
  <c r="AA49" i="17"/>
  <c r="AA53" i="17"/>
  <c r="AA74" i="17"/>
  <c r="AA78" i="17"/>
  <c r="AA85" i="17"/>
  <c r="AA89" i="17"/>
  <c r="AA96" i="17"/>
  <c r="AA100" i="17"/>
  <c r="AA19" i="18"/>
  <c r="AA23" i="18"/>
  <c r="AA30" i="18"/>
  <c r="AA34" i="18"/>
  <c r="AA41" i="18"/>
  <c r="AA45" i="18"/>
  <c r="AA52" i="18"/>
  <c r="AA56" i="18"/>
  <c r="AA73" i="18"/>
  <c r="AA77" i="18"/>
  <c r="AA84" i="18"/>
  <c r="AA88" i="18"/>
  <c r="AA95" i="18"/>
  <c r="AA99" i="18"/>
  <c r="AA18" i="19"/>
  <c r="AA22" i="19"/>
  <c r="AA29" i="19"/>
  <c r="AA33" i="19"/>
  <c r="AA40" i="19"/>
  <c r="AA44" i="19"/>
  <c r="AA51" i="19"/>
  <c r="AA55" i="19"/>
  <c r="AA72" i="19"/>
  <c r="AA76" i="19"/>
  <c r="AA83" i="19"/>
  <c r="AA87" i="19"/>
  <c r="AA94" i="19"/>
  <c r="AA98" i="19"/>
  <c r="AA17" i="20"/>
  <c r="AA21" i="20"/>
  <c r="AA28" i="20"/>
  <c r="AA32" i="20"/>
  <c r="AA39" i="20"/>
  <c r="AA43" i="20"/>
  <c r="AA50" i="20"/>
  <c r="AA54" i="20"/>
  <c r="AA71" i="20"/>
  <c r="AA75" i="20"/>
  <c r="AA82" i="20"/>
  <c r="AA86" i="20"/>
  <c r="AA93" i="20"/>
  <c r="AA97" i="20"/>
  <c r="AA16" i="21"/>
  <c r="AA20" i="21"/>
  <c r="AA27" i="21"/>
  <c r="AA31" i="21"/>
  <c r="AA38" i="21"/>
  <c r="AA42" i="21"/>
  <c r="AA49" i="21"/>
  <c r="AA53" i="21"/>
  <c r="AA74" i="21"/>
  <c r="AA78" i="21"/>
  <c r="AA85" i="21"/>
  <c r="AA89" i="21"/>
  <c r="AA96" i="21"/>
  <c r="AA100" i="21"/>
  <c r="AA19" i="22"/>
  <c r="AA23" i="22"/>
  <c r="AA30" i="22"/>
  <c r="AA34" i="22"/>
  <c r="AA41" i="22"/>
  <c r="AA45" i="22"/>
  <c r="AA52" i="22"/>
  <c r="AA56" i="22"/>
  <c r="AA73" i="22"/>
  <c r="AA77" i="22"/>
  <c r="AA84" i="22"/>
  <c r="AA88" i="22"/>
  <c r="AA95" i="22"/>
  <c r="AA99" i="22"/>
  <c r="AA100" i="16"/>
  <c r="AA19" i="17"/>
  <c r="AA23" i="17"/>
  <c r="AA30" i="17"/>
  <c r="AA34" i="17"/>
  <c r="AA41" i="17"/>
  <c r="AA45" i="17"/>
  <c r="AA52" i="17"/>
  <c r="AA56" i="17"/>
  <c r="AA73" i="17"/>
  <c r="AA77" i="17"/>
  <c r="AA84" i="17"/>
  <c r="AA88" i="17"/>
  <c r="AA95" i="17"/>
  <c r="AA99" i="17"/>
  <c r="AA18" i="18"/>
  <c r="AA22" i="18"/>
  <c r="AA29" i="18"/>
  <c r="AA33" i="18"/>
  <c r="AA40" i="18"/>
  <c r="AA44" i="18"/>
  <c r="AA51" i="18"/>
  <c r="AA55" i="18"/>
  <c r="AA72" i="18"/>
  <c r="AA76" i="18"/>
  <c r="AA83" i="18"/>
  <c r="AA87" i="18"/>
  <c r="AA94" i="18"/>
  <c r="AA98" i="18"/>
  <c r="AA17" i="19"/>
  <c r="AA21" i="19"/>
  <c r="AA28" i="19"/>
  <c r="AA32" i="19"/>
  <c r="AA39" i="19"/>
  <c r="AA43" i="19"/>
  <c r="AA50" i="19"/>
  <c r="AA54" i="19"/>
  <c r="AA71" i="19"/>
  <c r="AA75" i="19"/>
  <c r="AA82" i="19"/>
  <c r="AA86" i="19"/>
  <c r="AA93" i="19"/>
  <c r="AA97" i="19"/>
  <c r="AA16" i="20"/>
  <c r="AA20" i="20"/>
  <c r="AA27" i="20"/>
  <c r="AA31" i="20"/>
  <c r="AA38" i="20"/>
  <c r="AA42" i="20"/>
  <c r="AA49" i="20"/>
  <c r="AA53" i="20"/>
  <c r="AA74" i="20"/>
  <c r="AA78" i="20"/>
  <c r="AA85" i="20"/>
  <c r="AA89" i="20"/>
  <c r="AA96" i="20"/>
  <c r="AA100" i="20"/>
  <c r="AA19" i="21"/>
  <c r="AA23" i="21"/>
  <c r="AA30" i="21"/>
  <c r="AA34" i="21"/>
  <c r="AA41" i="21"/>
  <c r="AA45" i="21"/>
  <c r="AA52" i="21"/>
  <c r="AA56" i="21"/>
  <c r="AA73" i="21"/>
  <c r="AA77" i="21"/>
  <c r="AA84" i="21"/>
  <c r="AA88" i="21"/>
  <c r="AA95" i="21"/>
  <c r="AA99" i="21"/>
  <c r="AA18" i="22"/>
  <c r="AA22" i="22"/>
  <c r="AA29" i="22"/>
  <c r="AA33" i="22"/>
  <c r="AA40" i="22"/>
  <c r="AA44" i="22"/>
  <c r="AA51" i="22"/>
  <c r="AA55" i="22"/>
  <c r="AA72" i="22"/>
  <c r="AA76" i="22"/>
  <c r="AA83" i="22"/>
  <c r="AA87" i="22"/>
  <c r="AA94" i="22"/>
  <c r="AA98" i="22"/>
  <c r="AA60" i="15"/>
  <c r="AA60" i="19"/>
  <c r="AA60" i="14"/>
  <c r="AA60" i="18"/>
  <c r="AA60" i="22"/>
  <c r="AA60" i="17"/>
  <c r="AA60" i="21"/>
  <c r="AA60" i="16"/>
  <c r="AA60" i="20"/>
  <c r="B68" i="14"/>
  <c r="B68" i="20"/>
  <c r="B68" i="16"/>
  <c r="B68" i="15"/>
  <c r="B68" i="22"/>
  <c r="B68" i="19"/>
  <c r="B68" i="17"/>
  <c r="B68" i="18"/>
  <c r="B68" i="21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B38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AA17" i="12" l="1"/>
  <c r="AA44" i="12"/>
  <c r="AA40" i="12"/>
  <c r="AA42" i="12"/>
  <c r="AA18" i="12"/>
  <c r="AA45" i="12"/>
  <c r="AA41" i="12"/>
  <c r="AA16" i="12"/>
  <c r="AA43" i="12"/>
  <c r="AA39" i="12"/>
  <c r="AA38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Y60" i="12"/>
  <c r="Y61" i="12" s="1"/>
  <c r="Y62" i="12" s="1"/>
  <c r="Y63" i="12" s="1"/>
  <c r="Y64" i="12" s="1"/>
  <c r="Y65" i="12" s="1"/>
  <c r="Y66" i="12" s="1"/>
  <c r="Y67" i="12" s="1"/>
  <c r="X60" i="12"/>
  <c r="X61" i="12" s="1"/>
  <c r="X62" i="12" s="1"/>
  <c r="X63" i="12" s="1"/>
  <c r="X64" i="12" s="1"/>
  <c r="X65" i="12" s="1"/>
  <c r="X66" i="12" s="1"/>
  <c r="X67" i="12" s="1"/>
  <c r="W60" i="12"/>
  <c r="W61" i="12" s="1"/>
  <c r="W62" i="12" s="1"/>
  <c r="W63" i="12" s="1"/>
  <c r="W64" i="12" s="1"/>
  <c r="W65" i="12" s="1"/>
  <c r="W66" i="12" s="1"/>
  <c r="W67" i="12" s="1"/>
  <c r="V60" i="12"/>
  <c r="V61" i="12" s="1"/>
  <c r="V62" i="12" s="1"/>
  <c r="V63" i="12" s="1"/>
  <c r="V64" i="12" s="1"/>
  <c r="V65" i="12" s="1"/>
  <c r="V66" i="12" s="1"/>
  <c r="V67" i="12" s="1"/>
  <c r="U60" i="12"/>
  <c r="U61" i="12" s="1"/>
  <c r="U62" i="12" s="1"/>
  <c r="U63" i="12" s="1"/>
  <c r="U64" i="12" s="1"/>
  <c r="U65" i="12" s="1"/>
  <c r="U66" i="12" s="1"/>
  <c r="U67" i="12" s="1"/>
  <c r="T60" i="12"/>
  <c r="T61" i="12" s="1"/>
  <c r="T62" i="12" s="1"/>
  <c r="T63" i="12" s="1"/>
  <c r="T64" i="12" s="1"/>
  <c r="T65" i="12" s="1"/>
  <c r="T66" i="12" s="1"/>
  <c r="T67" i="12" s="1"/>
  <c r="S60" i="12"/>
  <c r="S61" i="12" s="1"/>
  <c r="S62" i="12" s="1"/>
  <c r="S63" i="12" s="1"/>
  <c r="S64" i="12" s="1"/>
  <c r="S65" i="12" s="1"/>
  <c r="S66" i="12" s="1"/>
  <c r="S67" i="12" s="1"/>
  <c r="R60" i="12"/>
  <c r="R61" i="12" s="1"/>
  <c r="R62" i="12" s="1"/>
  <c r="R63" i="12" s="1"/>
  <c r="R64" i="12" s="1"/>
  <c r="R65" i="12" s="1"/>
  <c r="R66" i="12" s="1"/>
  <c r="R67" i="12" s="1"/>
  <c r="Q60" i="12"/>
  <c r="Q61" i="12" s="1"/>
  <c r="Q62" i="12" s="1"/>
  <c r="Q63" i="12" s="1"/>
  <c r="Q64" i="12" s="1"/>
  <c r="Q65" i="12" s="1"/>
  <c r="Q66" i="12" s="1"/>
  <c r="Q67" i="12" s="1"/>
  <c r="P60" i="12"/>
  <c r="P61" i="12" s="1"/>
  <c r="P62" i="12" s="1"/>
  <c r="P63" i="12" s="1"/>
  <c r="P64" i="12" s="1"/>
  <c r="P65" i="12" s="1"/>
  <c r="P66" i="12" s="1"/>
  <c r="P67" i="12" s="1"/>
  <c r="O60" i="12"/>
  <c r="O61" i="12" s="1"/>
  <c r="O62" i="12" s="1"/>
  <c r="O63" i="12" s="1"/>
  <c r="O64" i="12" s="1"/>
  <c r="O65" i="12" s="1"/>
  <c r="O66" i="12" s="1"/>
  <c r="O67" i="12" s="1"/>
  <c r="N60" i="12"/>
  <c r="N61" i="12" s="1"/>
  <c r="N62" i="12" s="1"/>
  <c r="N63" i="12" s="1"/>
  <c r="N64" i="12" s="1"/>
  <c r="N65" i="12" s="1"/>
  <c r="N66" i="12" s="1"/>
  <c r="N67" i="12" s="1"/>
  <c r="M60" i="12"/>
  <c r="M61" i="12" s="1"/>
  <c r="M62" i="12" s="1"/>
  <c r="M63" i="12" s="1"/>
  <c r="M64" i="12" s="1"/>
  <c r="M65" i="12" s="1"/>
  <c r="M66" i="12" s="1"/>
  <c r="M67" i="12" s="1"/>
  <c r="L60" i="12"/>
  <c r="L61" i="12" s="1"/>
  <c r="L62" i="12" s="1"/>
  <c r="L63" i="12" s="1"/>
  <c r="L64" i="12" s="1"/>
  <c r="L65" i="12" s="1"/>
  <c r="L66" i="12" s="1"/>
  <c r="L67" i="12" s="1"/>
  <c r="K60" i="12"/>
  <c r="K61" i="12" s="1"/>
  <c r="K62" i="12" s="1"/>
  <c r="K63" i="12" s="1"/>
  <c r="K64" i="12" s="1"/>
  <c r="K65" i="12" s="1"/>
  <c r="K66" i="12" s="1"/>
  <c r="K67" i="12" s="1"/>
  <c r="J60" i="12"/>
  <c r="J61" i="12" s="1"/>
  <c r="J62" i="12" s="1"/>
  <c r="J63" i="12" s="1"/>
  <c r="J64" i="12" s="1"/>
  <c r="J65" i="12" s="1"/>
  <c r="J66" i="12" s="1"/>
  <c r="J67" i="12" s="1"/>
  <c r="I60" i="12"/>
  <c r="I61" i="12" s="1"/>
  <c r="I62" i="12" s="1"/>
  <c r="I63" i="12" s="1"/>
  <c r="I64" i="12" s="1"/>
  <c r="I65" i="12" s="1"/>
  <c r="I66" i="12" s="1"/>
  <c r="I67" i="12" s="1"/>
  <c r="H60" i="12"/>
  <c r="H61" i="12" s="1"/>
  <c r="H62" i="12" s="1"/>
  <c r="H63" i="12" s="1"/>
  <c r="H64" i="12" s="1"/>
  <c r="H65" i="12" s="1"/>
  <c r="H66" i="12" s="1"/>
  <c r="H67" i="12" s="1"/>
  <c r="G60" i="12"/>
  <c r="G61" i="12" s="1"/>
  <c r="G62" i="12" s="1"/>
  <c r="G63" i="12" s="1"/>
  <c r="G64" i="12" s="1"/>
  <c r="G65" i="12" s="1"/>
  <c r="G66" i="12" s="1"/>
  <c r="G67" i="12" s="1"/>
  <c r="F60" i="12"/>
  <c r="F61" i="12" s="1"/>
  <c r="F62" i="12" s="1"/>
  <c r="F63" i="12" s="1"/>
  <c r="F64" i="12" s="1"/>
  <c r="F65" i="12" s="1"/>
  <c r="F66" i="12" s="1"/>
  <c r="F67" i="12" s="1"/>
  <c r="E60" i="12"/>
  <c r="E61" i="12" s="1"/>
  <c r="E62" i="12" s="1"/>
  <c r="E63" i="12" s="1"/>
  <c r="E64" i="12" s="1"/>
  <c r="E65" i="12" s="1"/>
  <c r="E66" i="12" s="1"/>
  <c r="E67" i="12" s="1"/>
  <c r="D60" i="12"/>
  <c r="D61" i="12" s="1"/>
  <c r="D62" i="12" s="1"/>
  <c r="D63" i="12" s="1"/>
  <c r="D64" i="12" s="1"/>
  <c r="D65" i="12" s="1"/>
  <c r="D66" i="12" s="1"/>
  <c r="D67" i="12" s="1"/>
  <c r="C60" i="12"/>
  <c r="C61" i="12" s="1"/>
  <c r="C62" i="12" s="1"/>
  <c r="C63" i="12" s="1"/>
  <c r="C64" i="12" s="1"/>
  <c r="C65" i="12" s="1"/>
  <c r="C66" i="12" s="1"/>
  <c r="C67" i="12" s="1"/>
  <c r="B60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A27" i="12" l="1"/>
  <c r="AA31" i="12"/>
  <c r="AA20" i="12"/>
  <c r="AA96" i="12"/>
  <c r="AA100" i="12"/>
  <c r="AA85" i="12"/>
  <c r="AA89" i="12"/>
  <c r="AA74" i="12"/>
  <c r="AA78" i="12"/>
  <c r="AA60" i="12"/>
  <c r="AA53" i="12"/>
  <c r="AA49" i="12"/>
  <c r="AA99" i="12"/>
  <c r="AA19" i="12"/>
  <c r="AA94" i="12"/>
  <c r="AA29" i="12"/>
  <c r="AA56" i="12"/>
  <c r="AA77" i="12"/>
  <c r="AA83" i="12"/>
  <c r="AA28" i="12"/>
  <c r="AA50" i="12"/>
  <c r="AA82" i="12"/>
  <c r="AA93" i="12"/>
  <c r="AA34" i="12"/>
  <c r="AA33" i="12"/>
  <c r="AA55" i="12"/>
  <c r="AA87" i="12"/>
  <c r="AA21" i="12"/>
  <c r="AA54" i="12"/>
  <c r="AA30" i="12"/>
  <c r="AA52" i="12"/>
  <c r="AA88" i="12"/>
  <c r="AA22" i="12"/>
  <c r="AA72" i="12"/>
  <c r="AA32" i="12"/>
  <c r="AA75" i="12"/>
  <c r="AA97" i="12"/>
  <c r="AA23" i="12"/>
  <c r="AA73" i="12"/>
  <c r="AA84" i="12"/>
  <c r="AA95" i="12"/>
  <c r="AA51" i="12"/>
  <c r="AA76" i="12"/>
  <c r="AA98" i="12"/>
  <c r="AA71" i="12"/>
  <c r="AA86" i="12"/>
  <c r="B61" i="12"/>
  <c r="AA61" i="12" s="1"/>
  <c r="B62" i="12" l="1"/>
  <c r="AA62" i="12" s="1"/>
  <c r="B63" i="12" l="1"/>
  <c r="AA63" i="12" s="1"/>
  <c r="B64" i="12" l="1"/>
  <c r="AA64" i="12" s="1"/>
  <c r="B65" i="12" l="1"/>
  <c r="AA65" i="12" s="1"/>
  <c r="B66" i="12" l="1"/>
  <c r="AA66" i="12" s="1"/>
  <c r="B67" i="12" l="1"/>
  <c r="AA67" i="12" s="1"/>
</calcChain>
</file>

<file path=xl/sharedStrings.xml><?xml version="1.0" encoding="utf-8"?>
<sst xmlns="http://schemas.openxmlformats.org/spreadsheetml/2006/main" count="887" uniqueCount="55">
  <si>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</si>
  <si>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</si>
  <si>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</si>
  <si>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</si>
  <si>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</si>
  <si>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</si>
  <si>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</si>
  <si>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</si>
  <si>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</si>
  <si>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</si>
  <si>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</si>
  <si>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</si>
  <si>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</si>
  <si>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</si>
  <si>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</si>
  <si>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</si>
  <si>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</si>
  <si>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</si>
  <si>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</si>
  <si>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</si>
  <si>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</si>
  <si>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Virginia</t>
  </si>
  <si>
    <t>Oregon</t>
  </si>
  <si>
    <t>Iowa</t>
  </si>
  <si>
    <t>Ohio</t>
  </si>
  <si>
    <t>Texas</t>
  </si>
  <si>
    <t>Nebraska</t>
  </si>
  <si>
    <t>Georgia</t>
  </si>
  <si>
    <t>Oklahoma</t>
  </si>
  <si>
    <t>Illinois</t>
  </si>
  <si>
    <t>New Mexico</t>
  </si>
  <si>
    <t>New York</t>
  </si>
  <si>
    <t>Alabama</t>
  </si>
  <si>
    <t>Tennessee</t>
  </si>
  <si>
    <t>Washington</t>
  </si>
  <si>
    <t>Utah</t>
  </si>
  <si>
    <t>South Carolina</t>
  </si>
  <si>
    <t>Arizona</t>
  </si>
  <si>
    <t>North Carolina</t>
  </si>
  <si>
    <t>Colorado</t>
  </si>
  <si>
    <t>Nevada</t>
  </si>
  <si>
    <t>California</t>
  </si>
  <si>
    <t>Wyoming</t>
  </si>
  <si>
    <t>Pennsylvania</t>
  </si>
  <si>
    <t>Missouri</t>
  </si>
  <si>
    <t>Nuclear Capacity (MW)</t>
  </si>
  <si>
    <t>Solar Power Supplied (kWh)</t>
  </si>
  <si>
    <t>Wind Power Supplied (kWh)</t>
  </si>
  <si>
    <t>Nuclear Power Supplied (kWh)</t>
  </si>
  <si>
    <t>Grid Power Supplied (kWh)</t>
  </si>
  <si>
    <t>Total Nuclear Capacity (GW)</t>
  </si>
  <si>
    <t>Total Solar Power Supplied (GWh)</t>
  </si>
  <si>
    <t>Total Wind Power Supplied (GWh)</t>
  </si>
  <si>
    <t>Total Nuclear Power Supplied (GWh)</t>
  </si>
  <si>
    <t>Total Grid Power Supplied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</si>
</sst>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47482374016.820206</v>
      </c>
      <c r="C5" s="2">
        <v>22376083984.886803</v>
      </c>
      <c r="D5" s="2">
        <v>19943139966.144821</v>
      </c>
      <c r="E5" s="2">
        <v>15822857797.140764</v>
      </c>
      <c r="F5" s="2">
        <v>10185741361.774887</v>
      </c>
      <c r="G5" s="2">
        <v>7156781420.9095917</v>
      </c>
      <c r="H5" s="2">
        <v>6981165550.2798777</v>
      </c>
      <c r="I5" s="2">
        <v>6520391236.2514362</v>
      </c>
      <c r="J5" s="2">
        <v>6346498487.6791048</v>
      </c>
      <c r="K5" s="2">
        <v>6285657151.7463951</v>
      </c>
      <c r="L5" s="2">
        <v>5042435889.3677855</v>
      </c>
      <c r="M5" s="2">
        <v>4816395659.8444042</v>
      </c>
      <c r="N5" s="2">
        <v>4727278429.9693136</v>
      </c>
      <c r="O5" s="2">
        <v>4347692550.0726767</v>
      </c>
      <c r="P5" s="2">
        <v>4303458215.925952</v>
      </c>
      <c r="Q5" s="2">
        <v>4233907376.0726027</v>
      </c>
      <c r="R5" s="2">
        <v>4073213638.1334333</v>
      </c>
      <c r="S5" s="2">
        <v>2707266441.2915902</v>
      </c>
      <c r="T5" s="2">
        <v>1497278308.965919</v>
      </c>
      <c r="U5" s="2">
        <v>1304078247.2502892</v>
      </c>
      <c r="V5" s="2">
        <v>1004166331.9476683</v>
      </c>
      <c r="W5" s="2">
        <v>869385498.16685879</v>
      </c>
      <c r="X5" s="2">
        <v>521631298.90011561</v>
      </c>
      <c r="Y5" s="2">
        <v>507281221.86737269</v>
      </c>
    </row>
    <row r="6" spans="1:27" x14ac:dyDescent="0.25">
      <c r="A6" s="2">
        <v>2029</v>
      </c>
      <c r="B6" s="2">
        <v>59675573046.160248</v>
      </c>
      <c r="C6" s="2">
        <v>28122132938.300613</v>
      </c>
      <c r="D6" s="2">
        <v>25064422966.675678</v>
      </c>
      <c r="E6" s="2">
        <v>19886076166.659061</v>
      </c>
      <c r="F6" s="2">
        <v>12801380833.413492</v>
      </c>
      <c r="G6" s="2">
        <v>8994601497.9706326</v>
      </c>
      <c r="H6" s="2">
        <v>8773888487.4519062</v>
      </c>
      <c r="I6" s="2">
        <v>8194789994.5067539</v>
      </c>
      <c r="J6" s="2">
        <v>7976242593.8239288</v>
      </c>
      <c r="K6" s="2">
        <v>7899777554.7045231</v>
      </c>
      <c r="L6" s="2">
        <v>6337304262.4185677</v>
      </c>
      <c r="M6" s="2">
        <v>6053218209.2756681</v>
      </c>
      <c r="N6" s="2">
        <v>5941216190.1854153</v>
      </c>
      <c r="O6" s="2">
        <v>5464154851.6971903</v>
      </c>
      <c r="P6" s="2">
        <v>5408561396.3744621</v>
      </c>
      <c r="Q6" s="2">
        <v>5321150303.0997238</v>
      </c>
      <c r="R6" s="2">
        <v>5119191342.6431026</v>
      </c>
      <c r="S6" s="2">
        <v>3402476805.7191963</v>
      </c>
      <c r="T6" s="2">
        <v>1881770719.0772562</v>
      </c>
      <c r="U6" s="2">
        <v>1638957998.9013531</v>
      </c>
      <c r="V6" s="2">
        <v>1262030438.3140209</v>
      </c>
      <c r="W6" s="2">
        <v>1092638665.9342346</v>
      </c>
      <c r="X6" s="2">
        <v>655583199.56054127</v>
      </c>
      <c r="Y6" s="2">
        <v>637548105.74062967</v>
      </c>
    </row>
    <row r="7" spans="1:27" x14ac:dyDescent="0.25">
      <c r="A7" s="2">
        <v>2030</v>
      </c>
      <c r="B7" s="2">
        <v>69197025813.426071</v>
      </c>
      <c r="C7" s="2">
        <v>32609120608.778099</v>
      </c>
      <c r="D7" s="2">
        <v>29063541990.323341</v>
      </c>
      <c r="E7" s="2">
        <v>23058971294.128273</v>
      </c>
      <c r="F7" s="2">
        <v>14843887285.204849</v>
      </c>
      <c r="G7" s="2">
        <v>10429722586.075815</v>
      </c>
      <c r="H7" s="2">
        <v>10173794019.216312</v>
      </c>
      <c r="I7" s="2">
        <v>9502298274.4859619</v>
      </c>
      <c r="J7" s="2">
        <v>9248880848.3171558</v>
      </c>
      <c r="K7" s="2">
        <v>9160215536.6044827</v>
      </c>
      <c r="L7" s="2">
        <v>7348443998.9358234</v>
      </c>
      <c r="M7" s="2">
        <v>7019030992.0869789</v>
      </c>
      <c r="N7" s="2">
        <v>6889158647.1637192</v>
      </c>
      <c r="O7" s="2">
        <v>6335980452.6548462</v>
      </c>
      <c r="P7" s="2">
        <v>6271516861.1607399</v>
      </c>
      <c r="Q7" s="2">
        <v>6170159012.8995571</v>
      </c>
      <c r="R7" s="2">
        <v>5935976772.3845053</v>
      </c>
      <c r="S7" s="2">
        <v>3945354243.5665627</v>
      </c>
      <c r="T7" s="2">
        <v>2182014019.74332</v>
      </c>
      <c r="U7" s="2">
        <v>1900459654.8971953</v>
      </c>
      <c r="V7" s="2">
        <v>1463391943.4639392</v>
      </c>
      <c r="W7" s="2">
        <v>1266973103.264796</v>
      </c>
      <c r="X7" s="2">
        <v>760183861.95887816</v>
      </c>
      <c r="Y7" s="2">
        <v>739271203.91638815</v>
      </c>
    </row>
    <row r="8" spans="1:27" x14ac:dyDescent="0.25">
      <c r="A8" s="2">
        <v>2031</v>
      </c>
      <c r="B8" s="2">
        <v>74354273968.014771</v>
      </c>
      <c r="C8" s="2">
        <v>35039475455.75985</v>
      </c>
      <c r="D8" s="2">
        <v>31229645179.491394</v>
      </c>
      <c r="E8" s="2">
        <v>24777554365.516338</v>
      </c>
      <c r="F8" s="2">
        <v>15950200879.013847</v>
      </c>
      <c r="G8" s="2">
        <v>11207048879.043095</v>
      </c>
      <c r="H8" s="2">
        <v>10932045978.949944</v>
      </c>
      <c r="I8" s="2">
        <v>10210503716.329327</v>
      </c>
      <c r="J8" s="2">
        <v>9938199112.0183029</v>
      </c>
      <c r="K8" s="2">
        <v>9842925582.5414886</v>
      </c>
      <c r="L8" s="2">
        <v>7896122873.96136</v>
      </c>
      <c r="M8" s="2">
        <v>7542158745.1286116</v>
      </c>
      <c r="N8" s="2">
        <v>7402607025.9358072</v>
      </c>
      <c r="O8" s="2">
        <v>6808200509.9889326</v>
      </c>
      <c r="P8" s="2">
        <v>6738932452.7773619</v>
      </c>
      <c r="Q8" s="2">
        <v>6630020413.1365166</v>
      </c>
      <c r="R8" s="2">
        <v>6378384591.1483231</v>
      </c>
      <c r="S8" s="2">
        <v>4239401143.0199275</v>
      </c>
      <c r="T8" s="2">
        <v>2344639329.7812047</v>
      </c>
      <c r="U8" s="2">
        <v>2042100743.2658684</v>
      </c>
      <c r="V8" s="2">
        <v>1572458414.3295853</v>
      </c>
      <c r="W8" s="2">
        <v>1361400495.5105782</v>
      </c>
      <c r="X8" s="2">
        <v>816840297.30634737</v>
      </c>
      <c r="Y8" s="2">
        <v>794369020.72744846</v>
      </c>
    </row>
    <row r="9" spans="1:27" x14ac:dyDescent="0.25">
      <c r="A9" s="2">
        <v>2032</v>
      </c>
      <c r="B9" s="2">
        <v>74577219289.632523</v>
      </c>
      <c r="C9" s="2">
        <v>35144538510.079529</v>
      </c>
      <c r="D9" s="2">
        <v>31323284763.566212</v>
      </c>
      <c r="E9" s="2">
        <v>24851847873.234505</v>
      </c>
      <c r="F9" s="2">
        <v>15998026275.928745</v>
      </c>
      <c r="G9" s="2">
        <v>11240652315.448095</v>
      </c>
      <c r="H9" s="2">
        <v>10964824841.235189</v>
      </c>
      <c r="I9" s="2">
        <v>10241119092.062746</v>
      </c>
      <c r="J9" s="2">
        <v>9967998004.2552624</v>
      </c>
      <c r="K9" s="2">
        <v>9872438804.7485027</v>
      </c>
      <c r="L9" s="2">
        <v>7919798764.5285378</v>
      </c>
      <c r="M9" s="2">
        <v>7564773302.6703634</v>
      </c>
      <c r="N9" s="2">
        <v>7424803148.850235</v>
      </c>
      <c r="O9" s="2">
        <v>6828614352.6819639</v>
      </c>
      <c r="P9" s="2">
        <v>6759138600.7614174</v>
      </c>
      <c r="Q9" s="2">
        <v>6649899997.1127481</v>
      </c>
      <c r="R9" s="2">
        <v>6397509665.3126812</v>
      </c>
      <c r="S9" s="2">
        <v>4252112647.0244422</v>
      </c>
      <c r="T9" s="2">
        <v>2351669542.5929193</v>
      </c>
      <c r="U9" s="2">
        <v>2048223818.4125521</v>
      </c>
      <c r="V9" s="2">
        <v>1577173304.6540346</v>
      </c>
      <c r="W9" s="2">
        <v>1365482545.608367</v>
      </c>
      <c r="X9" s="2">
        <v>819289527.36502075</v>
      </c>
      <c r="Y9" s="2">
        <v>796750872.46720779</v>
      </c>
    </row>
    <row r="10" spans="1:27" x14ac:dyDescent="0.25">
      <c r="A10" s="2">
        <v>2033</v>
      </c>
      <c r="B10" s="2">
        <v>74420939184.705917</v>
      </c>
      <c r="C10" s="2">
        <v>35070891460.507713</v>
      </c>
      <c r="D10" s="2">
        <v>31257645332.703491</v>
      </c>
      <c r="E10" s="2">
        <v>24799769645.724232</v>
      </c>
      <c r="F10" s="2">
        <v>15964501652.071281</v>
      </c>
      <c r="G10" s="2">
        <v>11217096994.66737</v>
      </c>
      <c r="H10" s="2">
        <v>10941847530.026588</v>
      </c>
      <c r="I10" s="2">
        <v>10219658340.622581</v>
      </c>
      <c r="J10" s="2">
        <v>9947109591.0259724</v>
      </c>
      <c r="K10" s="2">
        <v>9851750640.3601856</v>
      </c>
      <c r="L10" s="2">
        <v>7903202450.0814772</v>
      </c>
      <c r="M10" s="2">
        <v>7548920960.9398966</v>
      </c>
      <c r="N10" s="2">
        <v>7409244121.2247171</v>
      </c>
      <c r="O10" s="2">
        <v>6814304666.9936857</v>
      </c>
      <c r="P10" s="2">
        <v>6744974504.8109093</v>
      </c>
      <c r="Q10" s="2">
        <v>6635964815.8442688</v>
      </c>
      <c r="R10" s="2">
        <v>6384103379.9712934</v>
      </c>
      <c r="S10" s="2">
        <v>4243202143.0264869</v>
      </c>
      <c r="T10" s="2">
        <v>2346741507.3782816</v>
      </c>
      <c r="U10" s="2">
        <v>2043931668.1245193</v>
      </c>
      <c r="V10" s="2">
        <v>1573868263.0892437</v>
      </c>
      <c r="W10" s="2">
        <v>1362621112.0830121</v>
      </c>
      <c r="X10" s="2">
        <v>817572667.24980772</v>
      </c>
      <c r="Y10" s="2">
        <v>795081243.17376411</v>
      </c>
    </row>
    <row r="11" spans="1:27" x14ac:dyDescent="0.25">
      <c r="A11" s="2">
        <v>2034</v>
      </c>
      <c r="B11" s="2">
        <v>74360558532.438553</v>
      </c>
      <c r="C11" s="2">
        <v>35042437058.760262</v>
      </c>
      <c r="D11" s="2">
        <v>31232284768.402542</v>
      </c>
      <c r="E11" s="2">
        <v>24779648611.460304</v>
      </c>
      <c r="F11" s="2">
        <v>15951549020.279264</v>
      </c>
      <c r="G11" s="2">
        <v>11207996120.094915</v>
      </c>
      <c r="H11" s="2">
        <v>10932969976.234459</v>
      </c>
      <c r="I11" s="2">
        <v>10211366727.491701</v>
      </c>
      <c r="J11" s="2">
        <v>9939039107.4784546</v>
      </c>
      <c r="K11" s="2">
        <v>9843757525.3020153</v>
      </c>
      <c r="L11" s="2">
        <v>7896790269.2602625</v>
      </c>
      <c r="M11" s="2">
        <v>7542796222.7072182</v>
      </c>
      <c r="N11" s="2">
        <v>7403232708.3381186</v>
      </c>
      <c r="O11" s="2">
        <v>6808775952.0238237</v>
      </c>
      <c r="P11" s="2">
        <v>6739502040.1445274</v>
      </c>
      <c r="Q11" s="2">
        <v>6630580795.0512838</v>
      </c>
      <c r="R11" s="2">
        <v>6378923704.3255959</v>
      </c>
      <c r="S11" s="2">
        <v>4239759465.2545447</v>
      </c>
      <c r="T11" s="2">
        <v>2344837503.1494884</v>
      </c>
      <c r="U11" s="2">
        <v>2042273345.498343</v>
      </c>
      <c r="V11" s="2">
        <v>1572591321.5006354</v>
      </c>
      <c r="W11" s="2">
        <v>1361515563.6655612</v>
      </c>
      <c r="X11" s="2">
        <v>816909338.19933724</v>
      </c>
      <c r="Y11" s="2">
        <v>794436162.30547214</v>
      </c>
    </row>
    <row r="12" spans="1:27" x14ac:dyDescent="0.25">
      <c r="A12" s="2">
        <v>2035</v>
      </c>
      <c r="B12" s="2">
        <v>74350086702.879089</v>
      </c>
      <c r="C12" s="2">
        <v>35037502205.721634</v>
      </c>
      <c r="D12" s="2">
        <v>31227886480.26025</v>
      </c>
      <c r="E12" s="2">
        <v>24776159016.143593</v>
      </c>
      <c r="F12" s="2">
        <v>15949302642.550983</v>
      </c>
      <c r="G12" s="2">
        <v>11206417753.452852</v>
      </c>
      <c r="H12" s="2">
        <v>10931430340.163544</v>
      </c>
      <c r="I12" s="2">
        <v>10209928711.236177</v>
      </c>
      <c r="J12" s="2">
        <v>9937639441.7743149</v>
      </c>
      <c r="K12" s="2">
        <v>9842371277.631691</v>
      </c>
      <c r="L12" s="2">
        <v>7895678203.3559914</v>
      </c>
      <c r="M12" s="2">
        <v>7541734008.0331373</v>
      </c>
      <c r="N12" s="2">
        <v>7402190147.7032776</v>
      </c>
      <c r="O12" s="2">
        <v>6807817105.792902</v>
      </c>
      <c r="P12" s="2">
        <v>6738552949.4158821</v>
      </c>
      <c r="Q12" s="2">
        <v>6629647043.1626968</v>
      </c>
      <c r="R12" s="2">
        <v>6378025392.0600224</v>
      </c>
      <c r="S12" s="2">
        <v>4239162400.9052505</v>
      </c>
      <c r="T12" s="2">
        <v>2344507291.284997</v>
      </c>
      <c r="U12" s="2">
        <v>2041985742.2472382</v>
      </c>
      <c r="V12" s="2">
        <v>1572369861.2452195</v>
      </c>
      <c r="W12" s="2">
        <v>1361323828.1648245</v>
      </c>
      <c r="X12" s="2">
        <v>816794296.89889526</v>
      </c>
      <c r="Y12" s="2">
        <v>794324285.79120541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1441.100609377424</v>
      </c>
      <c r="C16" s="2">
        <f>C5/'Output-Calculation-sheet'!C4*'Output-Calculation-sheet'!C22</f>
        <v>2963.5988139907449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1126.3186178691785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824.1025460616529</v>
      </c>
      <c r="N16" s="2">
        <f>N5/'Output-Calculation-sheet'!N4*'Output-Calculation-sheet'!N22</f>
        <v>303.51653017545135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94.561430103736143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94.346247972751101</v>
      </c>
      <c r="Y16" s="2">
        <f>Y5/'Output-Calculation-sheet'!Y4*'Output-Calculation-sheet'!Y22</f>
        <v>0</v>
      </c>
      <c r="AA16" s="2">
        <f t="shared" ref="AA16:AA23" si="0">SUM(B16:Y16)/1000</f>
        <v>6.847544795550939</v>
      </c>
    </row>
    <row r="17" spans="1:27" x14ac:dyDescent="0.25">
      <c r="A17" s="2">
        <v>2029</v>
      </c>
      <c r="B17" s="2">
        <f>B6/'Output-Calculation-sheet'!B5*'Output-Calculation-sheet'!B23</f>
        <v>2278.9293676098755</v>
      </c>
      <c r="C17" s="2">
        <f>C6/'Output-Calculation-sheet'!C5*'Output-Calculation-sheet'!C23</f>
        <v>3848.1081790719286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1450.0364967505529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1059.7028624956858</v>
      </c>
      <c r="N17" s="2">
        <f>N6/'Output-Calculation-sheet'!N5*'Output-Calculation-sheet'!N23</f>
        <v>449.21472971658051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171.31785885038795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121.59460320591133</v>
      </c>
      <c r="Y17" s="2">
        <f>Y6/'Output-Calculation-sheet'!Y5*'Output-Calculation-sheet'!Y23</f>
        <v>0</v>
      </c>
      <c r="AA17" s="2">
        <f t="shared" si="0"/>
        <v>9.378904097700925</v>
      </c>
    </row>
    <row r="18" spans="1:27" x14ac:dyDescent="0.25">
      <c r="A18" s="2">
        <v>2030</v>
      </c>
      <c r="B18" s="2">
        <f>B7/'Output-Calculation-sheet'!B6*'Output-Calculation-sheet'!B24</f>
        <v>3066.3253524179831</v>
      </c>
      <c r="C18" s="2">
        <f>C7/'Output-Calculation-sheet'!C6*'Output-Calculation-sheet'!C24</f>
        <v>4624.6263962359162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1721.2252476249723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1254.7904753453806</v>
      </c>
      <c r="N18" s="2">
        <f>N7/'Output-Calculation-sheet'!N6*'Output-Calculation-sheet'!N24</f>
        <v>577.87221622265918</v>
      </c>
      <c r="O18" s="2">
        <f>O7/'Output-Calculation-sheet'!O6*'Output-Calculation-sheet'!O24</f>
        <v>685.86010979887999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245.18194857930246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144.62933330811728</v>
      </c>
      <c r="Y18" s="2">
        <f>Y7/'Output-Calculation-sheet'!Y6*'Output-Calculation-sheet'!Y24</f>
        <v>0</v>
      </c>
      <c r="AA18" s="2">
        <f t="shared" si="0"/>
        <v>12.32051107953321</v>
      </c>
    </row>
    <row r="19" spans="1:27" x14ac:dyDescent="0.25">
      <c r="A19" s="2">
        <v>2031</v>
      </c>
      <c r="B19" s="2">
        <f>B8/'Output-Calculation-sheet'!B7*'Output-Calculation-sheet'!B25</f>
        <v>3895.243096881768</v>
      </c>
      <c r="C19" s="2">
        <f>C8/'Output-Calculation-sheet'!C7*'Output-Calculation-sheet'!C25</f>
        <v>5193.7642548180247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1892.4340054276283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1385.1731286969134</v>
      </c>
      <c r="N19" s="2">
        <f>N8/'Output-Calculation-sheet'!N7*'Output-Calculation-sheet'!N25</f>
        <v>721.62946111821248</v>
      </c>
      <c r="O19" s="2">
        <f>O8/'Output-Calculation-sheet'!O7*'Output-Calculation-sheet'!O25</f>
        <v>786.95582395966949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314.5875266435537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160.1169241709168</v>
      </c>
      <c r="Y19" s="2">
        <f>Y8/'Output-Calculation-sheet'!Y7*'Output-Calculation-sheet'!Y25</f>
        <v>0</v>
      </c>
      <c r="AA19" s="2">
        <f t="shared" si="0"/>
        <v>14.34990422171669</v>
      </c>
    </row>
    <row r="20" spans="1:27" x14ac:dyDescent="0.25">
      <c r="A20" s="2">
        <v>2032</v>
      </c>
      <c r="B20" s="2">
        <f>B9/'Output-Calculation-sheet'!B8*'Output-Calculation-sheet'!B26</f>
        <v>4688.9187078735758</v>
      </c>
      <c r="C20" s="2">
        <f>C9/'Output-Calculation-sheet'!C8*'Output-Calculation-sheet'!C26</f>
        <v>5404.3462936848418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1945.5876149061278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1420.7234191533514</v>
      </c>
      <c r="N20" s="2">
        <f>N9/'Output-Calculation-sheet'!N8*'Output-Calculation-sheet'!N26</f>
        <v>808.12449772502453</v>
      </c>
      <c r="O20" s="2">
        <f>O9/'Output-Calculation-sheet'!O8*'Output-Calculation-sheet'!O26</f>
        <v>836.00715847173092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365.30717233621499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164.11199862743999</v>
      </c>
      <c r="Y20" s="2">
        <f>Y9/'Output-Calculation-sheet'!Y8*'Output-Calculation-sheet'!Y26</f>
        <v>0</v>
      </c>
      <c r="AA20" s="2">
        <f t="shared" si="0"/>
        <v>15.63312686277831</v>
      </c>
    </row>
    <row r="21" spans="1:27" x14ac:dyDescent="0.25">
      <c r="A21" s="2">
        <v>2033</v>
      </c>
      <c r="B21" s="2">
        <f>B10/'Output-Calculation-sheet'!B9*'Output-Calculation-sheet'!B27</f>
        <v>5888.4941581131143</v>
      </c>
      <c r="C21" s="2">
        <f>C10/'Output-Calculation-sheet'!C9*'Output-Calculation-sheet'!C27</f>
        <v>5540.7988514946965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1982.8192786284835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17.205000466266309</v>
      </c>
      <c r="M21" s="2">
        <f>M10/'Output-Calculation-sheet'!M9*'Output-Calculation-sheet'!M27</f>
        <v>1455.329018596278</v>
      </c>
      <c r="N21" s="2">
        <f>N10/'Output-Calculation-sheet'!N9*'Output-Calculation-sheet'!N27</f>
        <v>889.59504241042555</v>
      </c>
      <c r="O21" s="2">
        <f>O10/'Output-Calculation-sheet'!O9*'Output-Calculation-sheet'!O27</f>
        <v>866.56820558042818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413.38256570696876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168.47588804621037</v>
      </c>
      <c r="Y21" s="2">
        <f>Y10/'Output-Calculation-sheet'!Y9*'Output-Calculation-sheet'!Y27</f>
        <v>0</v>
      </c>
      <c r="AA21" s="2">
        <f t="shared" si="0"/>
        <v>17.22266800904287</v>
      </c>
    </row>
    <row r="22" spans="1:27" x14ac:dyDescent="0.25">
      <c r="A22" s="2">
        <v>2034</v>
      </c>
      <c r="B22" s="2">
        <f>B11/'Output-Calculation-sheet'!B10*'Output-Calculation-sheet'!B28</f>
        <v>7252.9883427875911</v>
      </c>
      <c r="C22" s="2">
        <f>C11/'Output-Calculation-sheet'!C10*'Output-Calculation-sheet'!C28</f>
        <v>5713.1757005591726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2027.5338068975902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116.13571904053296</v>
      </c>
      <c r="M22" s="2">
        <f>M11/'Output-Calculation-sheet'!M10*'Output-Calculation-sheet'!M28</f>
        <v>1490.4599989851879</v>
      </c>
      <c r="N22" s="2">
        <f>N11/'Output-Calculation-sheet'!N10*'Output-Calculation-sheet'!N28</f>
        <v>949.607047735572</v>
      </c>
      <c r="O22" s="2">
        <f>O11/'Output-Calculation-sheet'!O10*'Output-Calculation-sheet'!O28</f>
        <v>906.42431639921222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440.19828314318795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183.98495479924779</v>
      </c>
      <c r="Y22" s="2">
        <f>Y11/'Output-Calculation-sheet'!Y10*'Output-Calculation-sheet'!Y28</f>
        <v>0</v>
      </c>
      <c r="AA22" s="2">
        <f t="shared" si="0"/>
        <v>19.080508170347294</v>
      </c>
    </row>
    <row r="23" spans="1:27" x14ac:dyDescent="0.25">
      <c r="A23" s="2">
        <v>2035</v>
      </c>
      <c r="B23" s="2">
        <f>B12/'Output-Calculation-sheet'!B11*'Output-Calculation-sheet'!B29</f>
        <v>9374.9682507289399</v>
      </c>
      <c r="C23" s="2">
        <f>C12/'Output-Calculation-sheet'!C11*'Output-Calculation-sheet'!C29</f>
        <v>5871.3064658709773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2079.9484213438582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215.12704900885063</v>
      </c>
      <c r="M23" s="2">
        <f>M12/'Output-Calculation-sheet'!M11*'Output-Calculation-sheet'!M29</f>
        <v>1536.333845378771</v>
      </c>
      <c r="N23" s="2">
        <f>N12/'Output-Calculation-sheet'!N11*'Output-Calculation-sheet'!N29</f>
        <v>992.93042954946509</v>
      </c>
      <c r="O23" s="2">
        <f>O12/'Output-Calculation-sheet'!O11*'Output-Calculation-sheet'!O29</f>
        <v>952.92647931206034</v>
      </c>
      <c r="P23" s="2">
        <f>P12/'Output-Calculation-sheet'!P11*'Output-Calculation-sheet'!P29</f>
        <v>0</v>
      </c>
      <c r="Q23" s="2">
        <f>Q12/'Output-Calculation-sheet'!Q11*'Output-Calculation-sheet'!Q29</f>
        <v>55.968943716405548</v>
      </c>
      <c r="R23" s="2">
        <f>R12/'Output-Calculation-sheet'!R11*'Output-Calculation-sheet'!R29</f>
        <v>0</v>
      </c>
      <c r="S23" s="2">
        <f>S12/'Output-Calculation-sheet'!S11*'Output-Calculation-sheet'!S29</f>
        <v>462.82754402207564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203.03803442721366</v>
      </c>
      <c r="Y23" s="2">
        <f>Y12/'Output-Calculation-sheet'!Y11*'Output-Calculation-sheet'!Y29</f>
        <v>0</v>
      </c>
      <c r="AA23" s="2">
        <f t="shared" si="0"/>
        <v>21.745375463358613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12349.655633802173</v>
      </c>
      <c r="C27" s="2">
        <f>C5/'Output-Calculation-sheet'!C4*'Output-Calculation-sheet'!C13</f>
        <v>0</v>
      </c>
      <c r="D27" s="2">
        <f>D5/'Output-Calculation-sheet'!D4*'Output-Calculation-sheet'!D13</f>
        <v>2693.7654264831172</v>
      </c>
      <c r="E27" s="2">
        <f>E5/'Output-Calculation-sheet'!E4*'Output-Calculation-sheet'!E13</f>
        <v>3346.516130893242</v>
      </c>
      <c r="F27" s="2">
        <f>F5/'Output-Calculation-sheet'!F4*'Output-Calculation-sheet'!F13</f>
        <v>1648.2431488023642</v>
      </c>
      <c r="G27" s="2">
        <f>G5/'Output-Calculation-sheet'!G4*'Output-Calculation-sheet'!G13</f>
        <v>1002.3400786377433</v>
      </c>
      <c r="H27" s="2">
        <f>H5/'Output-Calculation-sheet'!H4*'Output-Calculation-sheet'!H13</f>
        <v>0</v>
      </c>
      <c r="I27" s="2">
        <f>I5/'Output-Calculation-sheet'!I4*'Output-Calculation-sheet'!I13</f>
        <v>940.53982922190744</v>
      </c>
      <c r="J27" s="2">
        <f>J5/'Output-Calculation-sheet'!J4*'Output-Calculation-sheet'!J13</f>
        <v>1018.3141605343739</v>
      </c>
      <c r="K27" s="2">
        <f>K5/'Output-Calculation-sheet'!K4*'Output-Calculation-sheet'!K13</f>
        <v>968.7595919537456</v>
      </c>
      <c r="L27" s="2">
        <f>L5/'Output-Calculation-sheet'!L4*'Output-Calculation-sheet'!L13</f>
        <v>1082.7636772570697</v>
      </c>
      <c r="M27" s="2">
        <f>M5/'Output-Calculation-sheet'!M4*'Output-Calculation-sheet'!M13</f>
        <v>0</v>
      </c>
      <c r="N27" s="2">
        <f>N5/'Output-Calculation-sheet'!N4*'Output-Calculation-sheet'!N13</f>
        <v>540.6362432811062</v>
      </c>
      <c r="O27" s="2">
        <f>O5/'Output-Calculation-sheet'!O4*'Output-Calculation-sheet'!O13</f>
        <v>0</v>
      </c>
      <c r="P27" s="2">
        <f>P5/'Output-Calculation-sheet'!P4*'Output-Calculation-sheet'!P13</f>
        <v>907.29483600575134</v>
      </c>
      <c r="Q27" s="2">
        <f>Q5/'Output-Calculation-sheet'!Q4*'Output-Calculation-sheet'!Q13</f>
        <v>887.77937824656885</v>
      </c>
      <c r="R27" s="2">
        <f>R5/'Output-Calculation-sheet'!R4*'Output-Calculation-sheet'!R13</f>
        <v>776.54251615665953</v>
      </c>
      <c r="S27" s="2">
        <f>S5/'Output-Calculation-sheet'!S4*'Output-Calculation-sheet'!S13</f>
        <v>477.49584330505689</v>
      </c>
      <c r="T27" s="2">
        <f>T5/'Output-Calculation-sheet'!T4*'Output-Calculation-sheet'!T13</f>
        <v>303.05725271724725</v>
      </c>
      <c r="U27" s="2">
        <f>U5/'Output-Calculation-sheet'!U4*'Output-Calculation-sheet'!U13</f>
        <v>229.30651332724841</v>
      </c>
      <c r="V27" s="2">
        <f>V5/'Output-Calculation-sheet'!V4*'Output-Calculation-sheet'!V13</f>
        <v>315.41842734348268</v>
      </c>
      <c r="W27" s="2">
        <f>W5/'Output-Calculation-sheet'!W4*'Output-Calculation-sheet'!W13</f>
        <v>147.35819753734222</v>
      </c>
      <c r="X27" s="2">
        <f>X5/'Output-Calculation-sheet'!X4*'Output-Calculation-sheet'!X13</f>
        <v>0</v>
      </c>
      <c r="Y27" s="2">
        <f>Y5/'Output-Calculation-sheet'!Y4*'Output-Calculation-sheet'!Y13</f>
        <v>99.321431955849732</v>
      </c>
      <c r="AA27" s="2">
        <f t="shared" ref="AA27:AA34" si="1">SUM(B27:Y27)/1000</f>
        <v>29.735108317462053</v>
      </c>
    </row>
    <row r="28" spans="1:27" x14ac:dyDescent="0.25">
      <c r="A28" s="2">
        <v>2029</v>
      </c>
      <c r="B28" s="2">
        <f>B6/'Output-Calculation-sheet'!B5*'Output-Calculation-sheet'!B14</f>
        <v>15504.199238901621</v>
      </c>
      <c r="C28" s="2">
        <f>C6/'Output-Calculation-sheet'!C5*'Output-Calculation-sheet'!C14</f>
        <v>0</v>
      </c>
      <c r="D28" s="2">
        <f>D6/'Output-Calculation-sheet'!D5*'Output-Calculation-sheet'!D14</f>
        <v>3415.0941104201197</v>
      </c>
      <c r="E28" s="2">
        <f>E6/'Output-Calculation-sheet'!E5*'Output-Calculation-sheet'!E14</f>
        <v>4273.2273056975173</v>
      </c>
      <c r="F28" s="2">
        <f>F6/'Output-Calculation-sheet'!F5*'Output-Calculation-sheet'!F14</f>
        <v>2091.039851305412</v>
      </c>
      <c r="G28" s="2">
        <f>G6/'Output-Calculation-sheet'!G5*'Output-Calculation-sheet'!G14</f>
        <v>1271.8240611378899</v>
      </c>
      <c r="H28" s="2">
        <f>H6/'Output-Calculation-sheet'!H5*'Output-Calculation-sheet'!H14</f>
        <v>0</v>
      </c>
      <c r="I28" s="2">
        <f>I6/'Output-Calculation-sheet'!I5*'Output-Calculation-sheet'!I14</f>
        <v>1194.5976409679172</v>
      </c>
      <c r="J28" s="2">
        <f>J6/'Output-Calculation-sheet'!J5*'Output-Calculation-sheet'!J14</f>
        <v>1293.4970783338447</v>
      </c>
      <c r="K28" s="2">
        <f>K6/'Output-Calculation-sheet'!K5*'Output-Calculation-sheet'!K14</f>
        <v>1235.3166318046542</v>
      </c>
      <c r="L28" s="2">
        <f>L6/'Output-Calculation-sheet'!L5*'Output-Calculation-sheet'!L14</f>
        <v>1374.6072211839507</v>
      </c>
      <c r="M28" s="2">
        <f>M6/'Output-Calculation-sheet'!M5*'Output-Calculation-sheet'!M14</f>
        <v>0</v>
      </c>
      <c r="N28" s="2">
        <f>N6/'Output-Calculation-sheet'!N5*'Output-Calculation-sheet'!N14</f>
        <v>668.15266233272087</v>
      </c>
      <c r="O28" s="2">
        <f>O6/'Output-Calculation-sheet'!O5*'Output-Calculation-sheet'!O14</f>
        <v>0</v>
      </c>
      <c r="P28" s="2">
        <f>P6/'Output-Calculation-sheet'!P5*'Output-Calculation-sheet'!P14</f>
        <v>1162.2858619392384</v>
      </c>
      <c r="Q28" s="2">
        <f>Q6/'Output-Calculation-sheet'!Q5*'Output-Calculation-sheet'!Q14</f>
        <v>1144.4401131961267</v>
      </c>
      <c r="R28" s="2">
        <f>R6/'Output-Calculation-sheet'!R5*'Output-Calculation-sheet'!R14</f>
        <v>987.51644315625674</v>
      </c>
      <c r="S28" s="2">
        <f>S6/'Output-Calculation-sheet'!S5*'Output-Calculation-sheet'!S14</f>
        <v>581.75617264113134</v>
      </c>
      <c r="T28" s="2">
        <f>T6/'Output-Calculation-sheet'!T5*'Output-Calculation-sheet'!T14</f>
        <v>385.12124338379181</v>
      </c>
      <c r="U28" s="2">
        <f>U6/'Output-Calculation-sheet'!U5*'Output-Calculation-sheet'!U14</f>
        <v>292.91833996092294</v>
      </c>
      <c r="V28" s="2">
        <f>V6/'Output-Calculation-sheet'!V5*'Output-Calculation-sheet'!V14</f>
        <v>394.56495401959438</v>
      </c>
      <c r="W28" s="2">
        <f>W6/'Output-Calculation-sheet'!W5*'Output-Calculation-sheet'!W14</f>
        <v>186.69011355258269</v>
      </c>
      <c r="X28" s="2">
        <f>X6/'Output-Calculation-sheet'!X5*'Output-Calculation-sheet'!X14</f>
        <v>0</v>
      </c>
      <c r="Y28" s="2">
        <f>Y6/'Output-Calculation-sheet'!Y5*'Output-Calculation-sheet'!Y14</f>
        <v>126.16326300955906</v>
      </c>
      <c r="AA28" s="2">
        <f t="shared" si="1"/>
        <v>37.583012306944852</v>
      </c>
    </row>
    <row r="29" spans="1:27" x14ac:dyDescent="0.25">
      <c r="A29" s="2">
        <v>2030</v>
      </c>
      <c r="B29" s="2">
        <f>B7/'Output-Calculation-sheet'!B6*'Output-Calculation-sheet'!B15</f>
        <v>18028.069357660577</v>
      </c>
      <c r="C29" s="2">
        <f>C7/'Output-Calculation-sheet'!C6*'Output-Calculation-sheet'!C15</f>
        <v>0</v>
      </c>
      <c r="D29" s="2">
        <f>D7/'Output-Calculation-sheet'!D6*'Output-Calculation-sheet'!D15</f>
        <v>3997.0167125689213</v>
      </c>
      <c r="E29" s="2">
        <f>E7/'Output-Calculation-sheet'!E6*'Output-Calculation-sheet'!E15</f>
        <v>5009.2479831326154</v>
      </c>
      <c r="F29" s="2">
        <f>F7/'Output-Calculation-sheet'!F6*'Output-Calculation-sheet'!F15</f>
        <v>2443.466508713042</v>
      </c>
      <c r="G29" s="2">
        <f>G7/'Output-Calculation-sheet'!G6*'Output-Calculation-sheet'!G15</f>
        <v>1488.1953542762415</v>
      </c>
      <c r="H29" s="2">
        <f>H7/'Output-Calculation-sheet'!H6*'Output-Calculation-sheet'!H15</f>
        <v>0</v>
      </c>
      <c r="I29" s="2">
        <f>I7/'Output-Calculation-sheet'!I6*'Output-Calculation-sheet'!I15</f>
        <v>1399.3840612189306</v>
      </c>
      <c r="J29" s="2">
        <f>J7/'Output-Calculation-sheet'!J6*'Output-Calculation-sheet'!J15</f>
        <v>1513.2275800959369</v>
      </c>
      <c r="K29" s="2">
        <f>K7/'Output-Calculation-sheet'!K6*'Output-Calculation-sheet'!K15</f>
        <v>1452.4443509791258</v>
      </c>
      <c r="L29" s="2">
        <f>L7/'Output-Calculation-sheet'!L6*'Output-Calculation-sheet'!L15</f>
        <v>1608.1665022018237</v>
      </c>
      <c r="M29" s="2">
        <f>M7/'Output-Calculation-sheet'!M6*'Output-Calculation-sheet'!M15</f>
        <v>0</v>
      </c>
      <c r="N29" s="2">
        <f>N7/'Output-Calculation-sheet'!N6*'Output-Calculation-sheet'!N15</f>
        <v>774.7187830857182</v>
      </c>
      <c r="O29" s="2">
        <f>O7/'Output-Calculation-sheet'!O6*'Output-Calculation-sheet'!O15</f>
        <v>0</v>
      </c>
      <c r="P29" s="2">
        <f>P7/'Output-Calculation-sheet'!P6*'Output-Calculation-sheet'!P15</f>
        <v>1373.579318442198</v>
      </c>
      <c r="Q29" s="2">
        <f>Q7/'Output-Calculation-sheet'!Q6*'Output-Calculation-sheet'!Q15</f>
        <v>1348.4416372967207</v>
      </c>
      <c r="R29" s="2">
        <f>R7/'Output-Calculation-sheet'!R6*'Output-Calculation-sheet'!R15</f>
        <v>1184.6037004441887</v>
      </c>
      <c r="S29" s="2">
        <f>S7/'Output-Calculation-sheet'!S6*'Output-Calculation-sheet'!S15</f>
        <v>662.20474231024411</v>
      </c>
      <c r="T29" s="2">
        <f>T7/'Output-Calculation-sheet'!T6*'Output-Calculation-sheet'!T15</f>
        <v>452.31839044968461</v>
      </c>
      <c r="U29" s="2">
        <f>U7/'Output-Calculation-sheet'!U6*'Output-Calculation-sheet'!U15</f>
        <v>344.77032397749593</v>
      </c>
      <c r="V29" s="2">
        <f>V7/'Output-Calculation-sheet'!V6*'Output-Calculation-sheet'!V15</f>
        <v>453.39894919726913</v>
      </c>
      <c r="W29" s="2">
        <f>W7/'Output-Calculation-sheet'!W6*'Output-Calculation-sheet'!W15</f>
        <v>218.00947168631288</v>
      </c>
      <c r="X29" s="2">
        <f>X7/'Output-Calculation-sheet'!X6*'Output-Calculation-sheet'!X15</f>
        <v>0</v>
      </c>
      <c r="Y29" s="2">
        <f>Y7/'Output-Calculation-sheet'!Y6*'Output-Calculation-sheet'!Y15</f>
        <v>148.49000003476024</v>
      </c>
      <c r="AA29" s="2">
        <f t="shared" si="1"/>
        <v>43.899753727771795</v>
      </c>
    </row>
    <row r="30" spans="1:27" x14ac:dyDescent="0.25">
      <c r="A30" s="2">
        <v>2031</v>
      </c>
      <c r="B30" s="2">
        <f>B8/'Output-Calculation-sheet'!B7*'Output-Calculation-sheet'!B16</f>
        <v>19156.281229898614</v>
      </c>
      <c r="C30" s="2">
        <f>C8/'Output-Calculation-sheet'!C7*'Output-Calculation-sheet'!C16</f>
        <v>0</v>
      </c>
      <c r="D30" s="2">
        <f>D8/'Output-Calculation-sheet'!D7*'Output-Calculation-sheet'!D16</f>
        <v>4315.7254826377184</v>
      </c>
      <c r="E30" s="2">
        <f>E8/'Output-Calculation-sheet'!E7*'Output-Calculation-sheet'!E16</f>
        <v>5408.2934489886429</v>
      </c>
      <c r="F30" s="2">
        <f>F8/'Output-Calculation-sheet'!F7*'Output-Calculation-sheet'!F16</f>
        <v>2641.4100197772791</v>
      </c>
      <c r="G30" s="2">
        <f>G8/'Output-Calculation-sheet'!G7*'Output-Calculation-sheet'!G16</f>
        <v>1609.6409667464322</v>
      </c>
      <c r="H30" s="2">
        <f>H8/'Output-Calculation-sheet'!H7*'Output-Calculation-sheet'!H16</f>
        <v>0</v>
      </c>
      <c r="I30" s="2">
        <f>I8/'Output-Calculation-sheet'!I7*'Output-Calculation-sheet'!I16</f>
        <v>1515.2783061528428</v>
      </c>
      <c r="J30" s="2">
        <f>J8/'Output-Calculation-sheet'!J7*'Output-Calculation-sheet'!J16</f>
        <v>1624.3128326593562</v>
      </c>
      <c r="K30" s="2">
        <f>K8/'Output-Calculation-sheet'!K7*'Output-Calculation-sheet'!K16</f>
        <v>1572.1522390660346</v>
      </c>
      <c r="L30" s="2">
        <f>L8/'Output-Calculation-sheet'!L7*'Output-Calculation-sheet'!L16</f>
        <v>1737.7642877716012</v>
      </c>
      <c r="M30" s="2">
        <f>M8/'Output-Calculation-sheet'!M7*'Output-Calculation-sheet'!M16</f>
        <v>0</v>
      </c>
      <c r="N30" s="2">
        <f>N8/'Output-Calculation-sheet'!N7*'Output-Calculation-sheet'!N16</f>
        <v>779.2599901127461</v>
      </c>
      <c r="O30" s="2">
        <f>O8/'Output-Calculation-sheet'!O7*'Output-Calculation-sheet'!O16</f>
        <v>0</v>
      </c>
      <c r="P30" s="2">
        <f>P8/'Output-Calculation-sheet'!P7*'Output-Calculation-sheet'!P16</f>
        <v>1487.6124401146201</v>
      </c>
      <c r="Q30" s="2">
        <f>Q8/'Output-Calculation-sheet'!Q7*'Output-Calculation-sheet'!Q16</f>
        <v>1459.4215025280153</v>
      </c>
      <c r="R30" s="2">
        <f>R8/'Output-Calculation-sheet'!R7*'Output-Calculation-sheet'!R16</f>
        <v>1295.1247256599149</v>
      </c>
      <c r="S30" s="2">
        <f>S8/'Output-Calculation-sheet'!S7*'Output-Calculation-sheet'!S16</f>
        <v>685.93926540218479</v>
      </c>
      <c r="T30" s="2">
        <f>T8/'Output-Calculation-sheet'!T7*'Output-Calculation-sheet'!T16</f>
        <v>489.18789179621018</v>
      </c>
      <c r="U30" s="2">
        <f>U8/'Output-Calculation-sheet'!U7*'Output-Calculation-sheet'!U16</f>
        <v>377.4586739091144</v>
      </c>
      <c r="V30" s="2">
        <f>V8/'Output-Calculation-sheet'!V7*'Output-Calculation-sheet'!V16</f>
        <v>488.7335025297599</v>
      </c>
      <c r="W30" s="2">
        <f>W8/'Output-Calculation-sheet'!W7*'Output-Calculation-sheet'!W16</f>
        <v>235.31519223741566</v>
      </c>
      <c r="X30" s="2">
        <f>X8/'Output-Calculation-sheet'!X7*'Output-Calculation-sheet'!X16</f>
        <v>0</v>
      </c>
      <c r="Y30" s="2">
        <f>Y8/'Output-Calculation-sheet'!Y7*'Output-Calculation-sheet'!Y16</f>
        <v>160.49009127878685</v>
      </c>
      <c r="AA30" s="2">
        <f t="shared" si="1"/>
        <v>47.039402089267291</v>
      </c>
    </row>
    <row r="31" spans="1:27" x14ac:dyDescent="0.25">
      <c r="A31" s="2">
        <v>2032</v>
      </c>
      <c r="B31" s="2">
        <f>B9/'Output-Calculation-sheet'!B8*'Output-Calculation-sheet'!B17</f>
        <v>18998.820127012048</v>
      </c>
      <c r="C31" s="2">
        <f>C9/'Output-Calculation-sheet'!C8*'Output-Calculation-sheet'!C17</f>
        <v>0</v>
      </c>
      <c r="D31" s="2">
        <f>D9/'Output-Calculation-sheet'!D8*'Output-Calculation-sheet'!D17</f>
        <v>4348.4378653225813</v>
      </c>
      <c r="E31" s="2">
        <f>E9/'Output-Calculation-sheet'!E8*'Output-Calculation-sheet'!E17</f>
        <v>5462.2124219408042</v>
      </c>
      <c r="F31" s="2">
        <f>F9/'Output-Calculation-sheet'!F8*'Output-Calculation-sheet'!F17</f>
        <v>2665.1179277050041</v>
      </c>
      <c r="G31" s="2">
        <f>G9/'Output-Calculation-sheet'!G8*'Output-Calculation-sheet'!G17</f>
        <v>1622.3285500804859</v>
      </c>
      <c r="H31" s="2">
        <f>H9/'Output-Calculation-sheet'!H8*'Output-Calculation-sheet'!H17</f>
        <v>0</v>
      </c>
      <c r="I31" s="2">
        <f>I9/'Output-Calculation-sheet'!I8*'Output-Calculation-sheet'!I17</f>
        <v>1526.4579189712911</v>
      </c>
      <c r="J31" s="2">
        <f>J9/'Output-Calculation-sheet'!J8*'Output-Calculation-sheet'!J17</f>
        <v>1637.6273025350879</v>
      </c>
      <c r="K31" s="2">
        <f>K9/'Output-Calculation-sheet'!K8*'Output-Calculation-sheet'!K17</f>
        <v>1583.8155804923895</v>
      </c>
      <c r="L31" s="2">
        <f>L9/'Output-Calculation-sheet'!L8*'Output-Calculation-sheet'!L17</f>
        <v>1750.0595960842099</v>
      </c>
      <c r="M31" s="2">
        <f>M9/'Output-Calculation-sheet'!M8*'Output-Calculation-sheet'!M17</f>
        <v>0</v>
      </c>
      <c r="N31" s="2">
        <f>N9/'Output-Calculation-sheet'!N8*'Output-Calculation-sheet'!N17</f>
        <v>737.89158217880083</v>
      </c>
      <c r="O31" s="2">
        <f>O9/'Output-Calculation-sheet'!O8*'Output-Calculation-sheet'!O17</f>
        <v>0</v>
      </c>
      <c r="P31" s="2">
        <f>P9/'Output-Calculation-sheet'!P8*'Output-Calculation-sheet'!P17</f>
        <v>1507.4762215570383</v>
      </c>
      <c r="Q31" s="2">
        <f>Q9/'Output-Calculation-sheet'!Q8*'Output-Calculation-sheet'!Q17</f>
        <v>1474.2464945778506</v>
      </c>
      <c r="R31" s="2">
        <f>R9/'Output-Calculation-sheet'!R8*'Output-Calculation-sheet'!R17</f>
        <v>1319.4073944584236</v>
      </c>
      <c r="S31" s="2">
        <f>S9/'Output-Calculation-sheet'!S8*'Output-Calculation-sheet'!S17</f>
        <v>660.46890226212145</v>
      </c>
      <c r="T31" s="2">
        <f>T9/'Output-Calculation-sheet'!T8*'Output-Calculation-sheet'!T17</f>
        <v>494.28022101981065</v>
      </c>
      <c r="U31" s="2">
        <f>U9/'Output-Calculation-sheet'!U8*'Output-Calculation-sheet'!U17</f>
        <v>382.71658266679179</v>
      </c>
      <c r="V31" s="2">
        <f>V9/'Output-Calculation-sheet'!V8*'Output-Calculation-sheet'!V17</f>
        <v>486.68550449305195</v>
      </c>
      <c r="W31" s="2">
        <f>W9/'Output-Calculation-sheet'!W8*'Output-Calculation-sheet'!W17</f>
        <v>237.20763655447152</v>
      </c>
      <c r="X31" s="2">
        <f>X9/'Output-Calculation-sheet'!X8*'Output-Calculation-sheet'!X17</f>
        <v>0</v>
      </c>
      <c r="Y31" s="2">
        <f>Y9/'Output-Calculation-sheet'!Y8*'Output-Calculation-sheet'!Y17</f>
        <v>161.70735563535374</v>
      </c>
      <c r="AA31" s="2">
        <f t="shared" si="1"/>
        <v>47.056965185547618</v>
      </c>
    </row>
    <row r="32" spans="1:27" x14ac:dyDescent="0.25">
      <c r="A32" s="2">
        <v>2033</v>
      </c>
      <c r="B32" s="2">
        <f>B10/'Output-Calculation-sheet'!B9*'Output-Calculation-sheet'!B18</f>
        <v>18654.768090135243</v>
      </c>
      <c r="C32" s="2">
        <f>C10/'Output-Calculation-sheet'!C9*'Output-Calculation-sheet'!C18</f>
        <v>0</v>
      </c>
      <c r="D32" s="2">
        <f>D10/'Output-Calculation-sheet'!D9*'Output-Calculation-sheet'!D18</f>
        <v>4364.3094470674905</v>
      </c>
      <c r="E32" s="2">
        <f>E10/'Output-Calculation-sheet'!E9*'Output-Calculation-sheet'!E18</f>
        <v>5489.0693806230383</v>
      </c>
      <c r="F32" s="2">
        <f>F10/'Output-Calculation-sheet'!F9*'Output-Calculation-sheet'!F18</f>
        <v>2673.486397092553</v>
      </c>
      <c r="G32" s="2">
        <f>G10/'Output-Calculation-sheet'!G9*'Output-Calculation-sheet'!G18</f>
        <v>1626.5106622756593</v>
      </c>
      <c r="H32" s="2">
        <f>H10/'Output-Calculation-sheet'!H9*'Output-Calculation-sheet'!H18</f>
        <v>0</v>
      </c>
      <c r="I32" s="2">
        <f>I10/'Output-Calculation-sheet'!I9*'Output-Calculation-sheet'!I18</f>
        <v>1532.6998248429982</v>
      </c>
      <c r="J32" s="2">
        <f>J10/'Output-Calculation-sheet'!J9*'Output-Calculation-sheet'!J18</f>
        <v>1642.5439577261359</v>
      </c>
      <c r="K32" s="2">
        <f>K10/'Output-Calculation-sheet'!K9*'Output-Calculation-sheet'!K18</f>
        <v>1593.1458615840966</v>
      </c>
      <c r="L32" s="2">
        <f>L10/'Output-Calculation-sheet'!L9*'Output-Calculation-sheet'!L18</f>
        <v>1750.1043536061866</v>
      </c>
      <c r="M32" s="2">
        <f>M10/'Output-Calculation-sheet'!M9*'Output-Calculation-sheet'!M18</f>
        <v>0</v>
      </c>
      <c r="N32" s="2">
        <f>N10/'Output-Calculation-sheet'!N9*'Output-Calculation-sheet'!N18</f>
        <v>681.1323185276849</v>
      </c>
      <c r="O32" s="2">
        <f>O10/'Output-Calculation-sheet'!O9*'Output-Calculation-sheet'!O18</f>
        <v>0</v>
      </c>
      <c r="P32" s="2">
        <f>P10/'Output-Calculation-sheet'!P9*'Output-Calculation-sheet'!P18</f>
        <v>1534.780758290877</v>
      </c>
      <c r="Q32" s="2">
        <f>Q10/'Output-Calculation-sheet'!Q9*'Output-Calculation-sheet'!Q18</f>
        <v>1486.6783563908787</v>
      </c>
      <c r="R32" s="2">
        <f>R10/'Output-Calculation-sheet'!R9*'Output-Calculation-sheet'!R18</f>
        <v>1336.2881231246085</v>
      </c>
      <c r="S32" s="2">
        <f>S10/'Output-Calculation-sheet'!S9*'Output-Calculation-sheet'!S18</f>
        <v>636.88219945441688</v>
      </c>
      <c r="T32" s="2">
        <f>T10/'Output-Calculation-sheet'!T9*'Output-Calculation-sheet'!T18</f>
        <v>494.45810491371094</v>
      </c>
      <c r="U32" s="2">
        <f>U10/'Output-Calculation-sheet'!U9*'Output-Calculation-sheet'!U18</f>
        <v>385.49430371482242</v>
      </c>
      <c r="V32" s="2">
        <f>V10/'Output-Calculation-sheet'!V9*'Output-Calculation-sheet'!V18</f>
        <v>486.368082434244</v>
      </c>
      <c r="W32" s="2">
        <f>W10/'Output-Calculation-sheet'!W9*'Output-Calculation-sheet'!W18</f>
        <v>237.30810761732144</v>
      </c>
      <c r="X32" s="2">
        <f>X10/'Output-Calculation-sheet'!X9*'Output-Calculation-sheet'!X18</f>
        <v>0</v>
      </c>
      <c r="Y32" s="2">
        <f>Y10/'Output-Calculation-sheet'!Y9*'Output-Calculation-sheet'!Y18</f>
        <v>162.39834390840585</v>
      </c>
      <c r="AA32" s="2">
        <f t="shared" si="1"/>
        <v>46.768426673330367</v>
      </c>
    </row>
    <row r="33" spans="1:27" x14ac:dyDescent="0.25">
      <c r="A33" s="2">
        <v>2034</v>
      </c>
      <c r="B33" s="2">
        <f>B11/'Output-Calculation-sheet'!B10*'Output-Calculation-sheet'!B19</f>
        <v>18187.418838149202</v>
      </c>
      <c r="C33" s="2">
        <f>C11/'Output-Calculation-sheet'!C10*'Output-Calculation-sheet'!C19</f>
        <v>0</v>
      </c>
      <c r="D33" s="2">
        <f>D11/'Output-Calculation-sheet'!D10*'Output-Calculation-sheet'!D19</f>
        <v>4380.0558439278802</v>
      </c>
      <c r="E33" s="2">
        <f>E11/'Output-Calculation-sheet'!E10*'Output-Calculation-sheet'!E19</f>
        <v>5513.2836564910313</v>
      </c>
      <c r="F33" s="2">
        <f>F11/'Output-Calculation-sheet'!F10*'Output-Calculation-sheet'!F19</f>
        <v>2683.794950750565</v>
      </c>
      <c r="G33" s="2">
        <f>G11/'Output-Calculation-sheet'!G10*'Output-Calculation-sheet'!G19</f>
        <v>1629.1758773779873</v>
      </c>
      <c r="H33" s="2">
        <f>H11/'Output-Calculation-sheet'!H10*'Output-Calculation-sheet'!H19</f>
        <v>0</v>
      </c>
      <c r="I33" s="2">
        <f>I11/'Output-Calculation-sheet'!I10*'Output-Calculation-sheet'!I19</f>
        <v>1539.6486287211981</v>
      </c>
      <c r="J33" s="2">
        <f>J11/'Output-Calculation-sheet'!J10*'Output-Calculation-sheet'!J19</f>
        <v>1643.9983292778522</v>
      </c>
      <c r="K33" s="2">
        <f>K11/'Output-Calculation-sheet'!K10*'Output-Calculation-sheet'!K19</f>
        <v>1603.7374035511477</v>
      </c>
      <c r="L33" s="2">
        <f>L11/'Output-Calculation-sheet'!L10*'Output-Calculation-sheet'!L19</f>
        <v>1724.0598354570084</v>
      </c>
      <c r="M33" s="2">
        <f>M11/'Output-Calculation-sheet'!M10*'Output-Calculation-sheet'!M19</f>
        <v>0</v>
      </c>
      <c r="N33" s="2">
        <f>N11/'Output-Calculation-sheet'!N10*'Output-Calculation-sheet'!N19</f>
        <v>649.00788318599348</v>
      </c>
      <c r="O33" s="2">
        <f>O11/'Output-Calculation-sheet'!O10*'Output-Calculation-sheet'!O19</f>
        <v>0</v>
      </c>
      <c r="P33" s="2">
        <f>P11/'Output-Calculation-sheet'!P10*'Output-Calculation-sheet'!P19</f>
        <v>1570.4145913353782</v>
      </c>
      <c r="Q33" s="2">
        <f>Q11/'Output-Calculation-sheet'!Q10*'Output-Calculation-sheet'!Q19</f>
        <v>1498.5551991026398</v>
      </c>
      <c r="R33" s="2">
        <f>R11/'Output-Calculation-sheet'!R10*'Output-Calculation-sheet'!R19</f>
        <v>1358.074063470584</v>
      </c>
      <c r="S33" s="2">
        <f>S11/'Output-Calculation-sheet'!S10*'Output-Calculation-sheet'!S19</f>
        <v>625.96384983359428</v>
      </c>
      <c r="T33" s="2">
        <f>T11/'Output-Calculation-sheet'!T10*'Output-Calculation-sheet'!T19</f>
        <v>495.47250133801975</v>
      </c>
      <c r="U33" s="2">
        <f>U11/'Output-Calculation-sheet'!U10*'Output-Calculation-sheet'!U19</f>
        <v>389.52424243059687</v>
      </c>
      <c r="V33" s="2">
        <f>V11/'Output-Calculation-sheet'!V10*'Output-Calculation-sheet'!V19</f>
        <v>484.8016104365376</v>
      </c>
      <c r="W33" s="2">
        <f>W11/'Output-Calculation-sheet'!W10*'Output-Calculation-sheet'!W19</f>
        <v>237.81973333614505</v>
      </c>
      <c r="X33" s="2">
        <f>X11/'Output-Calculation-sheet'!X10*'Output-Calculation-sheet'!X19</f>
        <v>0</v>
      </c>
      <c r="Y33" s="2">
        <f>Y11/'Output-Calculation-sheet'!Y10*'Output-Calculation-sheet'!Y19</f>
        <v>163.40066677955485</v>
      </c>
      <c r="AA33" s="2">
        <f t="shared" si="1"/>
        <v>46.378207704952921</v>
      </c>
    </row>
    <row r="34" spans="1:27" x14ac:dyDescent="0.25">
      <c r="A34" s="2">
        <v>2035</v>
      </c>
      <c r="B34" s="2">
        <f>B12/'Output-Calculation-sheet'!B11*'Output-Calculation-sheet'!B20</f>
        <v>17489.576842066988</v>
      </c>
      <c r="C34" s="2">
        <f>C12/'Output-Calculation-sheet'!C11*'Output-Calculation-sheet'!C20</f>
        <v>0</v>
      </c>
      <c r="D34" s="2">
        <f>D12/'Output-Calculation-sheet'!D11*'Output-Calculation-sheet'!D20</f>
        <v>4405.9858852237357</v>
      </c>
      <c r="E34" s="2">
        <f>E12/'Output-Calculation-sheet'!E11*'Output-Calculation-sheet'!E20</f>
        <v>5546.0210261598631</v>
      </c>
      <c r="F34" s="2">
        <f>F12/'Output-Calculation-sheet'!F11*'Output-Calculation-sheet'!F20</f>
        <v>2695.2218315603977</v>
      </c>
      <c r="G34" s="2">
        <f>G12/'Output-Calculation-sheet'!G11*'Output-Calculation-sheet'!G20</f>
        <v>1641.6655805141575</v>
      </c>
      <c r="H34" s="2">
        <f>H12/'Output-Calculation-sheet'!H11*'Output-Calculation-sheet'!H20</f>
        <v>0</v>
      </c>
      <c r="I34" s="2">
        <f>I12/'Output-Calculation-sheet'!I11*'Output-Calculation-sheet'!I20</f>
        <v>1548.4106122610874</v>
      </c>
      <c r="J34" s="2">
        <f>J12/'Output-Calculation-sheet'!J11*'Output-Calculation-sheet'!J20</f>
        <v>1648.1708734901358</v>
      </c>
      <c r="K34" s="2">
        <f>K12/'Output-Calculation-sheet'!K11*'Output-Calculation-sheet'!K20</f>
        <v>1615.1811300182655</v>
      </c>
      <c r="L34" s="2">
        <f>L12/'Output-Calculation-sheet'!L11*'Output-Calculation-sheet'!L20</f>
        <v>1704.2740294583853</v>
      </c>
      <c r="M34" s="2">
        <f>M12/'Output-Calculation-sheet'!M11*'Output-Calculation-sheet'!M20</f>
        <v>0</v>
      </c>
      <c r="N34" s="2">
        <f>N12/'Output-Calculation-sheet'!N11*'Output-Calculation-sheet'!N20</f>
        <v>625.13698535009667</v>
      </c>
      <c r="O34" s="2">
        <f>O12/'Output-Calculation-sheet'!O11*'Output-Calculation-sheet'!O20</f>
        <v>0</v>
      </c>
      <c r="P34" s="2">
        <f>P12/'Output-Calculation-sheet'!P11*'Output-Calculation-sheet'!P20</f>
        <v>1603.2911458502053</v>
      </c>
      <c r="Q34" s="2">
        <f>Q12/'Output-Calculation-sheet'!Q11*'Output-Calculation-sheet'!Q20</f>
        <v>1480.4250554820769</v>
      </c>
      <c r="R34" s="2">
        <f>R12/'Output-Calculation-sheet'!R11*'Output-Calculation-sheet'!R20</f>
        <v>1377.3227956202848</v>
      </c>
      <c r="S34" s="2">
        <f>S12/'Output-Calculation-sheet'!S11*'Output-Calculation-sheet'!S20</f>
        <v>617.84332415416975</v>
      </c>
      <c r="T34" s="2">
        <f>T12/'Output-Calculation-sheet'!T11*'Output-Calculation-sheet'!T20</f>
        <v>497.51886665493856</v>
      </c>
      <c r="U34" s="2">
        <f>U12/'Output-Calculation-sheet'!U11*'Output-Calculation-sheet'!U20</f>
        <v>391.86295190482446</v>
      </c>
      <c r="V34" s="2">
        <f>V12/'Output-Calculation-sheet'!V11*'Output-Calculation-sheet'!V20</f>
        <v>486.17709189283028</v>
      </c>
      <c r="W34" s="2">
        <f>W12/'Output-Calculation-sheet'!W11*'Output-Calculation-sheet'!W20</f>
        <v>238.66431458674484</v>
      </c>
      <c r="X34" s="2">
        <f>X12/'Output-Calculation-sheet'!X11*'Output-Calculation-sheet'!X20</f>
        <v>0</v>
      </c>
      <c r="Y34" s="2">
        <f>Y12/'Output-Calculation-sheet'!Y11*'Output-Calculation-sheet'!Y20</f>
        <v>164.20106343835957</v>
      </c>
      <c r="AA34" s="2">
        <f t="shared" si="1"/>
        <v>45.776951405687541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58.886088160351157</v>
      </c>
      <c r="U49" s="2">
        <f>U5/'Output-Calculation-sheet'!U4*'Output-Calculation-sheet'!U40</f>
        <v>0</v>
      </c>
      <c r="V49" s="2">
        <f>V5/'Output-Calculation-sheet'!V4*'Output-Calculation-sheet'!V40</f>
        <v>296.15456037308161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0.35504064853343276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136.91423580076383</v>
      </c>
      <c r="U50" s="2">
        <f>U6/'Output-Calculation-sheet'!U5*'Output-Calculation-sheet'!U41</f>
        <v>0</v>
      </c>
      <c r="V50" s="2">
        <f>V6/'Output-Calculation-sheet'!V5*'Output-Calculation-sheet'!V41</f>
        <v>416.86997927999863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0.55378421508076248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278.34823585921799</v>
      </c>
      <c r="S51" s="2">
        <f>S7/'Output-Calculation-sheet'!S6*'Output-Calculation-sheet'!S42</f>
        <v>0</v>
      </c>
      <c r="T51" s="2">
        <f>T7/'Output-Calculation-sheet'!T6*'Output-Calculation-sheet'!T42</f>
        <v>283.19243539575763</v>
      </c>
      <c r="U51" s="2">
        <f>U7/'Output-Calculation-sheet'!U6*'Output-Calculation-sheet'!U42</f>
        <v>0</v>
      </c>
      <c r="V51" s="2">
        <f>V7/'Output-Calculation-sheet'!V6*'Output-Calculation-sheet'!V42</f>
        <v>546.6832531459213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1.1082239244008969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109.46513109818916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97.440451154744281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423.71579878023465</v>
      </c>
      <c r="S52" s="2">
        <f>S8/'Output-Calculation-sheet'!S7*'Output-Calculation-sheet'!S43</f>
        <v>0</v>
      </c>
      <c r="T52" s="2">
        <f>T8/'Output-Calculation-sheet'!T7*'Output-Calculation-sheet'!T43</f>
        <v>341.18343835514798</v>
      </c>
      <c r="U52" s="2">
        <f>U8/'Output-Calculation-sheet'!U7*'Output-Calculation-sheet'!U43</f>
        <v>36.08591528767824</v>
      </c>
      <c r="V52" s="2">
        <f>V8/'Output-Calculation-sheet'!V7*'Output-Calculation-sheet'!V43</f>
        <v>615.25302068233543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1.6231437553583297</v>
      </c>
    </row>
    <row r="53" spans="1:27" x14ac:dyDescent="0.25">
      <c r="A53" s="2">
        <v>2032</v>
      </c>
      <c r="B53" s="2">
        <f>B9/'Output-Calculation-sheet'!B8*'Output-Calculation-sheet'!B44</f>
        <v>1164.7678827197208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219.58670701269421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175.9187133456964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549.98224029113112</v>
      </c>
      <c r="S53" s="2">
        <f>S9/'Output-Calculation-sheet'!S8*'Output-Calculation-sheet'!S44</f>
        <v>0</v>
      </c>
      <c r="T53" s="2">
        <f>T9/'Output-Calculation-sheet'!T8*'Output-Calculation-sheet'!T44</f>
        <v>379.20174134466458</v>
      </c>
      <c r="U53" s="2">
        <f>U9/'Output-Calculation-sheet'!U8*'Output-Calculation-sheet'!U44</f>
        <v>64.345095125030667</v>
      </c>
      <c r="V53" s="2">
        <f>V9/'Output-Calculation-sheet'!V8*'Output-Calculation-sheet'!V44</f>
        <v>635.70377151916693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3.1895061513581044</v>
      </c>
    </row>
    <row r="54" spans="1:27" x14ac:dyDescent="0.25">
      <c r="A54" s="2">
        <v>2033</v>
      </c>
      <c r="B54" s="2">
        <f>B10/'Output-Calculation-sheet'!B9*'Output-Calculation-sheet'!B45</f>
        <v>3486.9811689090457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306.77717369500624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292.58344554491845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172.41002253429596</v>
      </c>
      <c r="Q54" s="2">
        <f>Q10/'Output-Calculation-sheet'!Q9*'Output-Calculation-sheet'!Q45</f>
        <v>0</v>
      </c>
      <c r="R54" s="2">
        <f>R10/'Output-Calculation-sheet'!R9*'Output-Calculation-sheet'!R45</f>
        <v>698.51056085519667</v>
      </c>
      <c r="S54" s="2">
        <f>S10/'Output-Calculation-sheet'!S9*'Output-Calculation-sheet'!S45</f>
        <v>0</v>
      </c>
      <c r="T54" s="2">
        <f>T10/'Output-Calculation-sheet'!T9*'Output-Calculation-sheet'!T45</f>
        <v>419.93959333956485</v>
      </c>
      <c r="U54" s="2">
        <f>U10/'Output-Calculation-sheet'!U9*'Output-Calculation-sheet'!U45</f>
        <v>100.32852644101023</v>
      </c>
      <c r="V54" s="2">
        <f>V10/'Output-Calculation-sheet'!V9*'Output-Calculation-sheet'!V45</f>
        <v>659.12758989192719</v>
      </c>
      <c r="W54" s="2">
        <f>W10/'Output-Calculation-sheet'!W9*'Output-Calculation-sheet'!W45</f>
        <v>10.718402349445983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6.1473764835604117</v>
      </c>
    </row>
    <row r="55" spans="1:27" x14ac:dyDescent="0.25">
      <c r="A55" s="2">
        <v>2034</v>
      </c>
      <c r="B55" s="2">
        <f>B11/'Output-Calculation-sheet'!B10*'Output-Calculation-sheet'!B46</f>
        <v>6242.4390772776051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416.00265653592652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409.2844854281451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331.28872973457032</v>
      </c>
      <c r="Q55" s="2">
        <f>Q11/'Output-Calculation-sheet'!Q10*'Output-Calculation-sheet'!Q46</f>
        <v>0</v>
      </c>
      <c r="R55" s="2">
        <f>R11/'Output-Calculation-sheet'!R10*'Output-Calculation-sheet'!R46</f>
        <v>859.96650679542506</v>
      </c>
      <c r="S55" s="2">
        <f>S11/'Output-Calculation-sheet'!S10*'Output-Calculation-sheet'!S46</f>
        <v>0</v>
      </c>
      <c r="T55" s="2">
        <f>T11/'Output-Calculation-sheet'!T10*'Output-Calculation-sheet'!T46</f>
        <v>447.26473993567464</v>
      </c>
      <c r="U55" s="2">
        <f>U11/'Output-Calculation-sheet'!U10*'Output-Calculation-sheet'!U46</f>
        <v>140.34597631351221</v>
      </c>
      <c r="V55" s="2">
        <f>V11/'Output-Calculation-sheet'!V10*'Output-Calculation-sheet'!V46</f>
        <v>674.05273880316849</v>
      </c>
      <c r="W55" s="2">
        <f>W11/'Output-Calculation-sheet'!W10*'Output-Calculation-sheet'!W46</f>
        <v>18.741985649745736</v>
      </c>
      <c r="X55" s="2">
        <f>X11/'Output-Calculation-sheet'!X10*'Output-Calculation-sheet'!X46</f>
        <v>44.830251880804937</v>
      </c>
      <c r="Y55" s="2">
        <f>Y11/'Output-Calculation-sheet'!Y10*'Output-Calculation-sheet'!Y46</f>
        <v>0</v>
      </c>
      <c r="AA55" s="2">
        <f t="shared" si="3"/>
        <v>9.5842171483545773</v>
      </c>
    </row>
    <row r="56" spans="1:27" x14ac:dyDescent="0.25">
      <c r="A56" s="2">
        <v>2035</v>
      </c>
      <c r="B56" s="2">
        <f>B12/'Output-Calculation-sheet'!B11*'Output-Calculation-sheet'!B47</f>
        <v>13644.340433346033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503.5112461905004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487.17481895118578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463.73890637453667</v>
      </c>
      <c r="Q56" s="2">
        <f>Q12/'Output-Calculation-sheet'!Q11*'Output-Calculation-sheet'!Q47</f>
        <v>0</v>
      </c>
      <c r="R56" s="2">
        <f>R12/'Output-Calculation-sheet'!R11*'Output-Calculation-sheet'!R47</f>
        <v>1059.2298430027706</v>
      </c>
      <c r="S56" s="2">
        <f>S12/'Output-Calculation-sheet'!S11*'Output-Calculation-sheet'!S47</f>
        <v>0</v>
      </c>
      <c r="T56" s="2">
        <f>T12/'Output-Calculation-sheet'!T11*'Output-Calculation-sheet'!T47</f>
        <v>502.52568216717293</v>
      </c>
      <c r="U56" s="2">
        <f>U12/'Output-Calculation-sheet'!U11*'Output-Calculation-sheet'!U47</f>
        <v>192.44737657238306</v>
      </c>
      <c r="V56" s="2">
        <f>V12/'Output-Calculation-sheet'!V11*'Output-Calculation-sheet'!V47</f>
        <v>686.32401373654034</v>
      </c>
      <c r="W56" s="2">
        <f>W12/'Output-Calculation-sheet'!W11*'Output-Calculation-sheet'!W47</f>
        <v>26.770494726618004</v>
      </c>
      <c r="X56" s="2">
        <f>X12/'Output-Calculation-sheet'!X11*'Output-Calculation-sheet'!X47</f>
        <v>105.65642683725667</v>
      </c>
      <c r="Y56" s="2">
        <f>Y12/'Output-Calculation-sheet'!Y11*'Output-Calculation-sheet'!Y47</f>
        <v>0</v>
      </c>
      <c r="AA56" s="2">
        <f t="shared" si="3"/>
        <v>17.671719241904995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3.4661810019346251</v>
      </c>
      <c r="C60" s="2">
        <f>C5*'Output-Calculation-sheet'!C49/10^9</f>
        <v>1.74788217710769</v>
      </c>
      <c r="D60" s="2">
        <f>D5*'Output-Calculation-sheet'!D49/10^9</f>
        <v>0.61318835508026426</v>
      </c>
      <c r="E60" s="2">
        <f>E5*'Output-Calculation-sheet'!E49/10^9</f>
        <v>0.78896958038414844</v>
      </c>
      <c r="F60" s="2">
        <f>F5*'Output-Calculation-sheet'!F49/10^9</f>
        <v>0.32959388051792987</v>
      </c>
      <c r="G60" s="2">
        <f>G5*'Output-Calculation-sheet'!G49/10^9</f>
        <v>0.23548932958360905</v>
      </c>
      <c r="H60" s="2">
        <f>H5*'Output-Calculation-sheet'!H49/10^9</f>
        <v>0.45514298659457203</v>
      </c>
      <c r="I60" s="2">
        <f>I5*'Output-Calculation-sheet'!I49/10^9</f>
        <v>0.21132432825106556</v>
      </c>
      <c r="J60" s="2">
        <f>J5*'Output-Calculation-sheet'!J49/10^9</f>
        <v>0.2272748903904652</v>
      </c>
      <c r="K60" s="2">
        <f>K5*'Output-Calculation-sheet'!K49/10^9</f>
        <v>0.23165172023807454</v>
      </c>
      <c r="L60" s="2">
        <f>L5*'Output-Calculation-sheet'!L49/10^9</f>
        <v>0.24132020207185048</v>
      </c>
      <c r="M60" s="2">
        <f>M5*'Output-Calculation-sheet'!M49/10^9</f>
        <v>0.34391324660831707</v>
      </c>
      <c r="N60" s="2">
        <f>N5*'Output-Calculation-sheet'!N49/10^9</f>
        <v>0.29030372912435404</v>
      </c>
      <c r="O60" s="2">
        <f>O5*'Output-Calculation-sheet'!O49/10^9</f>
        <v>0.29738215320727207</v>
      </c>
      <c r="P60" s="2">
        <f>P5*'Output-Calculation-sheet'!P49/10^9</f>
        <v>0.24865415716450118</v>
      </c>
      <c r="Q60" s="2">
        <f>Q5*'Output-Calculation-sheet'!Q49/10^9</f>
        <v>0.23541584861703971</v>
      </c>
      <c r="R60" s="2">
        <f>R5*'Output-Calculation-sheet'!R49/10^9</f>
        <v>0.19901039581937432</v>
      </c>
      <c r="S60" s="2">
        <f>S5*'Output-Calculation-sheet'!S49/10^9</f>
        <v>0.18249778883134166</v>
      </c>
      <c r="T60" s="2">
        <f>T5*'Output-Calculation-sheet'!T49/10^9</f>
        <v>6.6182700049208162E-2</v>
      </c>
      <c r="U60" s="2">
        <f>U5*'Output-Calculation-sheet'!U49/10^9</f>
        <v>6.3647373855872241E-2</v>
      </c>
      <c r="V60" s="2">
        <f>V5*'Output-Calculation-sheet'!V49/10^9</f>
        <v>5.9967856423052662E-2</v>
      </c>
      <c r="W60" s="2">
        <f>W5*'Output-Calculation-sheet'!W49/10^9</f>
        <v>2.9993989238160403E-2</v>
      </c>
      <c r="X60" s="2">
        <f>X5*'Output-Calculation-sheet'!X49/10^9</f>
        <v>4.8185872367968688E-2</v>
      </c>
      <c r="Y60" s="2">
        <f>Y5*'Output-Calculation-sheet'!Y49/10^9</f>
        <v>2.4868706854355372E-2</v>
      </c>
      <c r="AA60" s="2">
        <f t="shared" ref="AA60:AA67" si="4">SUM(B60:Y60)</f>
        <v>10.638042270315109</v>
      </c>
    </row>
    <row r="61" spans="1:27" x14ac:dyDescent="0.25">
      <c r="A61" s="2">
        <v>2029</v>
      </c>
      <c r="B61" s="2">
        <f>B6*'Output-Calculation-sheet'!B50/10^9</f>
        <v>4.3136910445327974</v>
      </c>
      <c r="C61" s="2">
        <f>C6*'Output-Calculation-sheet'!C50/10^9</f>
        <v>2.1818066665666236</v>
      </c>
      <c r="D61" s="2">
        <f>D6*'Output-Calculation-sheet'!D50/10^9</f>
        <v>0.76287388998582639</v>
      </c>
      <c r="E61" s="2">
        <f>E6*'Output-Calculation-sheet'!E50/10^9</f>
        <v>0.98186760201416523</v>
      </c>
      <c r="F61" s="2">
        <f>F6*'Output-Calculation-sheet'!F50/10^9</f>
        <v>0.40946815447091156</v>
      </c>
      <c r="G61" s="2">
        <f>G6*'Output-Calculation-sheet'!G50/10^9</f>
        <v>0.29306556275380957</v>
      </c>
      <c r="H61" s="2">
        <f>H6*'Output-Calculation-sheet'!H50/10^9</f>
        <v>0.56734203800598115</v>
      </c>
      <c r="I61" s="2">
        <f>I6*'Output-Calculation-sheet'!I50/10^9</f>
        <v>0.26287069725098078</v>
      </c>
      <c r="J61" s="2">
        <f>J6*'Output-Calculation-sheet'!J50/10^9</f>
        <v>0.28269293719907373</v>
      </c>
      <c r="K61" s="2">
        <f>K6*'Output-Calculation-sheet'!K50/10^9</f>
        <v>0.28833111317383059</v>
      </c>
      <c r="L61" s="2">
        <f>L6*'Output-Calculation-sheet'!L50/10^9</f>
        <v>0.30015712398645167</v>
      </c>
      <c r="M61" s="2">
        <f>M6*'Output-Calculation-sheet'!M50/10^9</f>
        <v>0.42878764320063317</v>
      </c>
      <c r="N61" s="2">
        <f>N6*'Output-Calculation-sheet'!N50/10^9</f>
        <v>0.3619077674614723</v>
      </c>
      <c r="O61" s="2">
        <f>O6*'Output-Calculation-sheet'!O50/10^9</f>
        <v>0.37374817021698326</v>
      </c>
      <c r="P61" s="2">
        <f>P6*'Output-Calculation-sheet'!P50/10^9</f>
        <v>0.30987298283640591</v>
      </c>
      <c r="Q61" s="2">
        <f>Q6*'Output-Calculation-sheet'!Q50/10^9</f>
        <v>0.29328358197553467</v>
      </c>
      <c r="R61" s="2">
        <f>R6*'Output-Calculation-sheet'!R50/10^9</f>
        <v>0.2478686479045249</v>
      </c>
      <c r="S61" s="2">
        <f>S6*'Output-Calculation-sheet'!S50/10^9</f>
        <v>0.22751237899333071</v>
      </c>
      <c r="T61" s="2">
        <f>T6*'Output-Calculation-sheet'!T50/10^9</f>
        <v>8.1927667187358139E-2</v>
      </c>
      <c r="U61" s="2">
        <f>U6*'Output-Calculation-sheet'!U50/10^9</f>
        <v>7.9326150965867592E-2</v>
      </c>
      <c r="V61" s="2">
        <f>V6*'Output-Calculation-sheet'!V50/10^9</f>
        <v>7.3178726801920196E-2</v>
      </c>
      <c r="W61" s="2">
        <f>W6*'Output-Calculation-sheet'!W50/10^9</f>
        <v>3.7270535053711806E-2</v>
      </c>
      <c r="X61" s="2">
        <f>X6*'Output-Calculation-sheet'!X50/10^9</f>
        <v>6.0118638278333365E-2</v>
      </c>
      <c r="Y61" s="2">
        <f>Y6*'Output-Calculation-sheet'!Y50/10^9</f>
        <v>3.096751000049882E-2</v>
      </c>
      <c r="AA61" s="2">
        <f t="shared" si="4"/>
        <v>13.249937230817025</v>
      </c>
    </row>
    <row r="62" spans="1:27" x14ac:dyDescent="0.25">
      <c r="A62" s="2">
        <v>2030</v>
      </c>
      <c r="B62" s="2">
        <f>B7*'Output-Calculation-sheet'!B51/10^9</f>
        <v>4.9508018834578511</v>
      </c>
      <c r="C62" s="2">
        <f>C7*'Output-Calculation-sheet'!C51/10^9</f>
        <v>2.5120533504347593</v>
      </c>
      <c r="D62" s="2">
        <f>D7*'Output-Calculation-sheet'!D51/10^9</f>
        <v>0.87549332726268481</v>
      </c>
      <c r="E62" s="2">
        <f>E7*'Output-Calculation-sheet'!E51/10^9</f>
        <v>1.1271256549904789</v>
      </c>
      <c r="F62" s="2">
        <f>F7*'Output-Calculation-sheet'!F51/10^9</f>
        <v>0.46922920625441922</v>
      </c>
      <c r="G62" s="2">
        <f>G7*'Output-Calculation-sheet'!G51/10^9</f>
        <v>0.33643481659311925</v>
      </c>
      <c r="H62" s="2">
        <f>H7*'Output-Calculation-sheet'!H51/10^9</f>
        <v>0.65230869779516776</v>
      </c>
      <c r="I62" s="2">
        <f>I7*'Output-Calculation-sheet'!I51/10^9</f>
        <v>0.30162595175824386</v>
      </c>
      <c r="J62" s="2">
        <f>J7*'Output-Calculation-sheet'!J51/10^9</f>
        <v>0.32434933821693313</v>
      </c>
      <c r="K62" s="2">
        <f>K7*'Output-Calculation-sheet'!K51/10^9</f>
        <v>0.33103276363748996</v>
      </c>
      <c r="L62" s="2">
        <f>L7*'Output-Calculation-sheet'!L51/10^9</f>
        <v>0.34438385585314812</v>
      </c>
      <c r="M62" s="2">
        <f>M7*'Output-Calculation-sheet'!M51/10^9</f>
        <v>0.49312705757352865</v>
      </c>
      <c r="N62" s="2">
        <f>N7*'Output-Calculation-sheet'!N51/10^9</f>
        <v>0.4160319486267261</v>
      </c>
      <c r="O62" s="2">
        <f>O7*'Output-Calculation-sheet'!O51/10^9</f>
        <v>0.43095392161686513</v>
      </c>
      <c r="P62" s="2">
        <f>P7*'Output-Calculation-sheet'!P51/10^9</f>
        <v>0.35619912871170817</v>
      </c>
      <c r="Q62" s="2">
        <f>Q7*'Output-Calculation-sheet'!Q51/10^9</f>
        <v>0.33701528259052066</v>
      </c>
      <c r="R62" s="2">
        <f>R7*'Output-Calculation-sheet'!R51/10^9</f>
        <v>0.28425817264775866</v>
      </c>
      <c r="S62" s="2">
        <f>S7*'Output-Calculation-sheet'!S51/10^9</f>
        <v>0.26152660512208431</v>
      </c>
      <c r="T62" s="2">
        <f>T7*'Output-Calculation-sheet'!T51/10^9</f>
        <v>9.3303704805918417E-2</v>
      </c>
      <c r="U62" s="2">
        <f>U7*'Output-Calculation-sheet'!U51/10^9</f>
        <v>9.1199784301767853E-2</v>
      </c>
      <c r="V62" s="2">
        <f>V7*'Output-Calculation-sheet'!V51/10^9</f>
        <v>8.2320212395505452E-2</v>
      </c>
      <c r="W62" s="2">
        <f>W7*'Output-Calculation-sheet'!W51/10^9</f>
        <v>4.2720118369307926E-2</v>
      </c>
      <c r="X62" s="2">
        <f>X7*'Output-Calculation-sheet'!X51/10^9</f>
        <v>6.9185257057016517E-2</v>
      </c>
      <c r="Y62" s="2">
        <f>Y7*'Output-Calculation-sheet'!Y51/10^9</f>
        <v>3.5571101051193717E-2</v>
      </c>
      <c r="AA62" s="2">
        <f t="shared" si="4"/>
        <v>15.218251141124197</v>
      </c>
    </row>
    <row r="63" spans="1:27" x14ac:dyDescent="0.25">
      <c r="A63" s="2">
        <v>2031</v>
      </c>
      <c r="B63" s="2">
        <f>B8*'Output-Calculation-sheet'!B52/10^9</f>
        <v>5.2858407297963632</v>
      </c>
      <c r="C63" s="2">
        <f>C8*'Output-Calculation-sheet'!C52/10^9</f>
        <v>2.6792699001220948</v>
      </c>
      <c r="D63" s="2">
        <f>D8*'Output-Calculation-sheet'!D52/10^9</f>
        <v>0.93598833702947615</v>
      </c>
      <c r="E63" s="2">
        <f>E8*'Output-Calculation-sheet'!E52/10^9</f>
        <v>1.2051679753483138</v>
      </c>
      <c r="F63" s="2">
        <f>F8*'Output-Calculation-sheet'!F52/10^9</f>
        <v>0.50129241698916038</v>
      </c>
      <c r="G63" s="2">
        <f>G8*'Output-Calculation-sheet'!G52/10^9</f>
        <v>0.35968923485889975</v>
      </c>
      <c r="H63" s="2">
        <f>H8*'Output-Calculation-sheet'!H52/10^9</f>
        <v>0.6948139371941805</v>
      </c>
      <c r="I63" s="2">
        <f>I8*'Output-Calculation-sheet'!I52/10^9</f>
        <v>0.32243838211327214</v>
      </c>
      <c r="J63" s="2">
        <f>J8*'Output-Calculation-sheet'!J52/10^9</f>
        <v>0.34663386234806737</v>
      </c>
      <c r="K63" s="2">
        <f>K8*'Output-Calculation-sheet'!K52/10^9</f>
        <v>0.35397353336186438</v>
      </c>
      <c r="L63" s="2">
        <f>L8*'Output-Calculation-sheet'!L52/10^9</f>
        <v>0.36813630106446238</v>
      </c>
      <c r="M63" s="2">
        <f>M8*'Output-Calculation-sheet'!M52/10^9</f>
        <v>0.52539132286898194</v>
      </c>
      <c r="N63" s="2">
        <f>N8*'Output-Calculation-sheet'!N52/10^9</f>
        <v>0.4438949933294607</v>
      </c>
      <c r="O63" s="2">
        <f>O8*'Output-Calculation-sheet'!O52/10^9</f>
        <v>0.45984746679165334</v>
      </c>
      <c r="P63" s="2">
        <f>P8*'Output-Calculation-sheet'!P52/10^9</f>
        <v>0.38110930483354533</v>
      </c>
      <c r="Q63" s="2">
        <f>Q8*'Output-Calculation-sheet'!Q52/10^9</f>
        <v>0.36052638179558871</v>
      </c>
      <c r="R63" s="2">
        <f>R8*'Output-Calculation-sheet'!R52/10^9</f>
        <v>0.30372239525273831</v>
      </c>
      <c r="S63" s="2">
        <f>S8*'Output-Calculation-sheet'!S52/10^9</f>
        <v>0.27925384030095318</v>
      </c>
      <c r="T63" s="2">
        <f>T8*'Output-Calculation-sheet'!T52/10^9</f>
        <v>9.9455758052844401E-2</v>
      </c>
      <c r="U63" s="2">
        <f>U8*'Output-Calculation-sheet'!U52/10^9</f>
        <v>9.7559158559326092E-2</v>
      </c>
      <c r="V63" s="2">
        <f>V8*'Output-Calculation-sheet'!V52/10^9</f>
        <v>8.743898179836003E-2</v>
      </c>
      <c r="W63" s="2">
        <f>W8*'Output-Calculation-sheet'!W52/10^9</f>
        <v>4.564460033093324E-2</v>
      </c>
      <c r="X63" s="2">
        <f>X8*'Output-Calculation-sheet'!X52/10^9</f>
        <v>7.3762656043315111E-2</v>
      </c>
      <c r="Y63" s="2">
        <f>Y8*'Output-Calculation-sheet'!Y52/10^9</f>
        <v>3.8045300341638416E-2</v>
      </c>
      <c r="AA63" s="2">
        <f t="shared" si="4"/>
        <v>16.248896770525498</v>
      </c>
    </row>
    <row r="64" spans="1:27" x14ac:dyDescent="0.25">
      <c r="A64" s="2">
        <v>2032</v>
      </c>
      <c r="B64" s="2">
        <f>B9*'Output-Calculation-sheet'!B53/10^9</f>
        <v>5.2651606932290393</v>
      </c>
      <c r="C64" s="2">
        <f>C9*'Output-Calculation-sheet'!C53/10^9</f>
        <v>2.6664000475410634</v>
      </c>
      <c r="D64" s="2">
        <f>D9*'Output-Calculation-sheet'!D53/10^9</f>
        <v>0.93400226297904065</v>
      </c>
      <c r="E64" s="2">
        <f>E9*'Output-Calculation-sheet'!E53/10^9</f>
        <v>1.2027670657245102</v>
      </c>
      <c r="F64" s="2">
        <f>F9*'Output-Calculation-sheet'!F53/10^9</f>
        <v>0.49985949387579304</v>
      </c>
      <c r="G64" s="2">
        <f>G9*'Output-Calculation-sheet'!G53/10^9</f>
        <v>0.35884913538256114</v>
      </c>
      <c r="H64" s="2">
        <f>H9*'Output-Calculation-sheet'!H53/10^9</f>
        <v>0.69062531536777894</v>
      </c>
      <c r="I64" s="2">
        <f>I9*'Output-Calculation-sheet'!I53/10^9</f>
        <v>0.321722676511702</v>
      </c>
      <c r="J64" s="2">
        <f>J9*'Output-Calculation-sheet'!J53/10^9</f>
        <v>0.3457572326244791</v>
      </c>
      <c r="K64" s="2">
        <f>K9*'Output-Calculation-sheet'!K53/10^9</f>
        <v>0.35328917130986537</v>
      </c>
      <c r="L64" s="2">
        <f>L9*'Output-Calculation-sheet'!L53/10^9</f>
        <v>0.36731128441743399</v>
      </c>
      <c r="M64" s="2">
        <f>M9*'Output-Calculation-sheet'!M53/10^9</f>
        <v>0.52235086092646643</v>
      </c>
      <c r="N64" s="2">
        <f>N9*'Output-Calculation-sheet'!N53/10^9</f>
        <v>0.44181242869291043</v>
      </c>
      <c r="O64" s="2">
        <f>O9*'Output-Calculation-sheet'!O53/10^9</f>
        <v>0.45778238219077827</v>
      </c>
      <c r="P64" s="2">
        <f>P9*'Output-Calculation-sheet'!P53/10^9</f>
        <v>0.38059491109487487</v>
      </c>
      <c r="Q64" s="2">
        <f>Q9*'Output-Calculation-sheet'!Q53/10^9</f>
        <v>0.35998520443974791</v>
      </c>
      <c r="R64" s="2">
        <f>R9*'Output-Calculation-sheet'!R53/10^9</f>
        <v>0.3027779749519478</v>
      </c>
      <c r="S64" s="2">
        <f>S9*'Output-Calculation-sheet'!S53/10^9</f>
        <v>0.27819348055045573</v>
      </c>
      <c r="T64" s="2">
        <f>T9*'Output-Calculation-sheet'!T53/10^9</f>
        <v>9.8929116567484224E-2</v>
      </c>
      <c r="U64" s="2">
        <f>U9*'Output-Calculation-sheet'!U53/10^9</f>
        <v>9.7391072932342129E-2</v>
      </c>
      <c r="V64" s="2">
        <f>V9*'Output-Calculation-sheet'!V53/10^9</f>
        <v>8.6688238582081661E-2</v>
      </c>
      <c r="W64" s="2">
        <f>W9*'Output-Calculation-sheet'!W53/10^9</f>
        <v>4.5520127089486037E-2</v>
      </c>
      <c r="X64" s="2">
        <f>X9*'Output-Calculation-sheet'!X53/10^9</f>
        <v>7.3387859576754033E-2</v>
      </c>
      <c r="Y64" s="2">
        <f>Y9*'Output-Calculation-sheet'!Y53/10^9</f>
        <v>3.7981191376901473E-2</v>
      </c>
      <c r="AA64" s="2">
        <f t="shared" si="4"/>
        <v>16.189139227935499</v>
      </c>
    </row>
    <row r="65" spans="1:27" x14ac:dyDescent="0.25">
      <c r="A65" s="2">
        <v>2033</v>
      </c>
      <c r="B65" s="2">
        <f>B10*'Output-Calculation-sheet'!B54/10^9</f>
        <v>5.2132456600622898</v>
      </c>
      <c r="C65" s="2">
        <f>C10*'Output-Calculation-sheet'!C54/10^9</f>
        <v>2.6392852040758776</v>
      </c>
      <c r="D65" s="2">
        <f>D10*'Output-Calculation-sheet'!D54/10^9</f>
        <v>0.92723421867244715</v>
      </c>
      <c r="E65" s="2">
        <f>E10*'Output-Calculation-sheet'!E54/10^9</f>
        <v>1.1942052731114265</v>
      </c>
      <c r="F65" s="2">
        <f>F10*'Output-Calculation-sheet'!F54/10^9</f>
        <v>0.49586703101167218</v>
      </c>
      <c r="G65" s="2">
        <f>G10*'Output-Calculation-sheet'!G54/10^9</f>
        <v>0.35609357951564297</v>
      </c>
      <c r="H65" s="2">
        <f>H10*'Output-Calculation-sheet'!H54/10^9</f>
        <v>0.68277856059091291</v>
      </c>
      <c r="I65" s="2">
        <f>I10*'Output-Calculation-sheet'!I54/10^9</f>
        <v>0.3193613415365682</v>
      </c>
      <c r="J65" s="2">
        <f>J10*'Output-Calculation-sheet'!J54/10^9</f>
        <v>0.34303484277995455</v>
      </c>
      <c r="K65" s="2">
        <f>K10*'Output-Calculation-sheet'!K54/10^9</f>
        <v>0.35079560092458678</v>
      </c>
      <c r="L65" s="2">
        <f>L10*'Output-Calculation-sheet'!L54/10^9</f>
        <v>0.36460412835877054</v>
      </c>
      <c r="M65" s="2">
        <f>M10*'Output-Calculation-sheet'!M54/10^9</f>
        <v>0.51653657707913037</v>
      </c>
      <c r="N65" s="2">
        <f>N10*'Output-Calculation-sheet'!N54/10^9</f>
        <v>0.43725269765319424</v>
      </c>
      <c r="O65" s="2">
        <f>O10*'Output-Calculation-sheet'!O54/10^9</f>
        <v>0.45321348801456346</v>
      </c>
      <c r="P65" s="2">
        <f>P10*'Output-Calculation-sheet'!P54/10^9</f>
        <v>0.37805042194711319</v>
      </c>
      <c r="Q65" s="2">
        <f>Q10*'Output-Calculation-sheet'!Q54/10^9</f>
        <v>0.35759631770192213</v>
      </c>
      <c r="R65" s="2">
        <f>R10*'Output-Calculation-sheet'!R54/10^9</f>
        <v>0.30019895853950951</v>
      </c>
      <c r="S65" s="2">
        <f>S10*'Output-Calculation-sheet'!S54/10^9</f>
        <v>0.27556848700390923</v>
      </c>
      <c r="T65" s="2">
        <f>T10*'Output-Calculation-sheet'!T54/10^9</f>
        <v>9.7867946903559863E-2</v>
      </c>
      <c r="U65" s="2">
        <f>U10*'Output-Calculation-sheet'!U54/10^9</f>
        <v>9.6699732346247597E-2</v>
      </c>
      <c r="V65" s="2">
        <f>V10*'Output-Calculation-sheet'!V54/10^9</f>
        <v>8.5495428014851174E-2</v>
      </c>
      <c r="W65" s="2">
        <f>W10*'Output-Calculation-sheet'!W54/10^9</f>
        <v>4.5157159574583494E-2</v>
      </c>
      <c r="X65" s="2">
        <f>X10*'Output-Calculation-sheet'!X54/10^9</f>
        <v>7.2624827818411536E-2</v>
      </c>
      <c r="Y65" s="2">
        <f>Y10*'Output-Calculation-sheet'!Y54/10^9</f>
        <v>3.7722733600825259E-2</v>
      </c>
      <c r="AA65" s="2">
        <f t="shared" si="4"/>
        <v>16.04049021683797</v>
      </c>
    </row>
    <row r="66" spans="1:27" x14ac:dyDescent="0.25">
      <c r="A66" s="2">
        <v>2034</v>
      </c>
      <c r="B66" s="2">
        <f>B11*'Output-Calculation-sheet'!B55/10^9</f>
        <v>5.1622999761324158</v>
      </c>
      <c r="C66" s="2">
        <f>C11*'Output-Calculation-sheet'!C55/10^9</f>
        <v>2.6149742038277934</v>
      </c>
      <c r="D66" s="2">
        <f>D11*'Output-Calculation-sheet'!D55/10^9</f>
        <v>0.92165320838438225</v>
      </c>
      <c r="E66" s="2">
        <f>E11*'Output-Calculation-sheet'!E55/10^9</f>
        <v>1.1871613198453477</v>
      </c>
      <c r="F66" s="2">
        <f>F11*'Output-Calculation-sheet'!F55/10^9</f>
        <v>0.49250750025149953</v>
      </c>
      <c r="G66" s="2">
        <f>G11*'Output-Calculation-sheet'!G55/10^9</f>
        <v>0.35373496478145339</v>
      </c>
      <c r="H66" s="2">
        <f>H11*'Output-Calculation-sheet'!H55/10^9</f>
        <v>0.67568745121191631</v>
      </c>
      <c r="I66" s="2">
        <f>I11*'Output-Calculation-sheet'!I55/10^9</f>
        <v>0.31740589294445926</v>
      </c>
      <c r="J66" s="2">
        <f>J11*'Output-Calculation-sheet'!J55/10^9</f>
        <v>0.34067688041640637</v>
      </c>
      <c r="K66" s="2">
        <f>K11*'Output-Calculation-sheet'!K55/10^9</f>
        <v>0.34874470938993973</v>
      </c>
      <c r="L66" s="2">
        <f>L11*'Output-Calculation-sheet'!L55/10^9</f>
        <v>0.36212455486638745</v>
      </c>
      <c r="M66" s="2">
        <f>M11*'Output-Calculation-sheet'!M55/10^9</f>
        <v>0.51128132366533108</v>
      </c>
      <c r="N66" s="2">
        <f>N11*'Output-Calculation-sheet'!N55/10^9</f>
        <v>0.43306554620778681</v>
      </c>
      <c r="O66" s="2">
        <f>O11*'Output-Calculation-sheet'!O55/10^9</f>
        <v>0.44909418529372774</v>
      </c>
      <c r="P66" s="2">
        <f>P11*'Output-Calculation-sheet'!P55/10^9</f>
        <v>0.37583285021723456</v>
      </c>
      <c r="Q66" s="2">
        <f>Q11*'Output-Calculation-sheet'!Q55/10^9</f>
        <v>0.35565747485053406</v>
      </c>
      <c r="R66" s="2">
        <f>R11*'Output-Calculation-sheet'!R55/10^9</f>
        <v>0.29788873616538286</v>
      </c>
      <c r="S66" s="2">
        <f>S11*'Output-Calculation-sheet'!S55/10^9</f>
        <v>0.27319387078491825</v>
      </c>
      <c r="T66" s="2">
        <f>T11*'Output-Calculation-sheet'!T55/10^9</f>
        <v>9.6918373133420874E-2</v>
      </c>
      <c r="U66" s="2">
        <f>U11*'Output-Calculation-sheet'!U55/10^9</f>
        <v>9.6107026945925239E-2</v>
      </c>
      <c r="V66" s="2">
        <f>V11*'Output-Calculation-sheet'!V55/10^9</f>
        <v>8.4423089878349261E-2</v>
      </c>
      <c r="W66" s="2">
        <f>W11*'Output-Calculation-sheet'!W55/10^9</f>
        <v>4.4847223952009366E-2</v>
      </c>
      <c r="X66" s="2">
        <f>X11*'Output-Calculation-sheet'!X55/10^9</f>
        <v>7.1904602745935978E-2</v>
      </c>
      <c r="Y66" s="2">
        <f>Y11*'Output-Calculation-sheet'!Y55/10^9</f>
        <v>3.7512226711997228E-2</v>
      </c>
      <c r="AA66" s="2">
        <f t="shared" si="4"/>
        <v>15.904697192604559</v>
      </c>
    </row>
    <row r="67" spans="1:27" x14ac:dyDescent="0.25">
      <c r="A67" s="2">
        <v>2035</v>
      </c>
      <c r="B67" s="2">
        <f>B12*'Output-Calculation-sheet'!B56/10^9</f>
        <v>5.1059987447906128</v>
      </c>
      <c r="C67" s="2">
        <f>C12*'Output-Calculation-sheet'!C56/10^9</f>
        <v>2.5917757699830202</v>
      </c>
      <c r="D67" s="2">
        <f>D12*'Output-Calculation-sheet'!D56/10^9</f>
        <v>0.9166706035032014</v>
      </c>
      <c r="E67" s="2">
        <f>E12*'Output-Calculation-sheet'!E56/10^9</f>
        <v>1.1808840973048185</v>
      </c>
      <c r="F67" s="2">
        <f>F12*'Output-Calculation-sheet'!F56/10^9</f>
        <v>0.48946722262382791</v>
      </c>
      <c r="G67" s="2">
        <f>G12*'Output-Calculation-sheet'!G56/10^9</f>
        <v>0.35153412251245536</v>
      </c>
      <c r="H67" s="2">
        <f>H12*'Output-Calculation-sheet'!H56/10^9</f>
        <v>0.66889949398878601</v>
      </c>
      <c r="I67" s="2">
        <f>I12*'Output-Calculation-sheet'!I56/10^9</f>
        <v>0.31565485925812342</v>
      </c>
      <c r="J67" s="2">
        <f>J12*'Output-Calculation-sheet'!J56/10^9</f>
        <v>0.33849035531874272</v>
      </c>
      <c r="K67" s="2">
        <f>K12*'Output-Calculation-sheet'!K56/10^9</f>
        <v>0.34691730813721283</v>
      </c>
      <c r="L67" s="2">
        <f>L12*'Output-Calculation-sheet'!L56/10^9</f>
        <v>0.35955626247717248</v>
      </c>
      <c r="M67" s="2">
        <f>M12*'Output-Calculation-sheet'!M56/10^9</f>
        <v>0.5062429812605016</v>
      </c>
      <c r="N67" s="2">
        <f>N12*'Output-Calculation-sheet'!N56/10^9</f>
        <v>0.4290311676590457</v>
      </c>
      <c r="O67" s="2">
        <f>O12*'Output-Calculation-sheet'!O56/10^9</f>
        <v>0.44509680831206394</v>
      </c>
      <c r="P67" s="2">
        <f>P12*'Output-Calculation-sheet'!P56/10^9</f>
        <v>0.37373051854621286</v>
      </c>
      <c r="Q67" s="2">
        <f>Q12*'Output-Calculation-sheet'!Q56/10^9</f>
        <v>0.35391655307240583</v>
      </c>
      <c r="R67" s="2">
        <f>R12*'Output-Calculation-sheet'!R56/10^9</f>
        <v>0.29567434132733367</v>
      </c>
      <c r="S67" s="2">
        <f>S12*'Output-Calculation-sheet'!S56/10^9</f>
        <v>0.27093167570961885</v>
      </c>
      <c r="T67" s="2">
        <f>T12*'Output-Calculation-sheet'!T56/10^9</f>
        <v>9.6016216062120241E-2</v>
      </c>
      <c r="U67" s="2">
        <f>U12*'Output-Calculation-sheet'!U56/10^9</f>
        <v>9.5542549557922615E-2</v>
      </c>
      <c r="V67" s="2">
        <f>V12*'Output-Calculation-sheet'!V56/10^9</f>
        <v>8.3409223695050549E-2</v>
      </c>
      <c r="W67" s="2">
        <f>W12*'Output-Calculation-sheet'!W56/10^9</f>
        <v>4.4560625617873675E-2</v>
      </c>
      <c r="X67" s="2">
        <f>X12*'Output-Calculation-sheet'!X56/10^9</f>
        <v>7.1139985694079408E-2</v>
      </c>
      <c r="Y67" s="2">
        <f>Y12*'Output-Calculation-sheet'!Y56/10^9</f>
        <v>3.7326077150468331E-2</v>
      </c>
      <c r="AA67" s="2">
        <f t="shared" si="4"/>
        <v>15.76846756356267</v>
      </c>
    </row>
    <row r="68" spans="1:27" x14ac:dyDescent="0.25">
      <c r="B68" s="2">
        <f>SUM(B60:B67)</f>
        <v>38.763219733935991</v>
      </c>
      <c r="C68" s="2">
        <f t="shared" ref="C68:Y68" si="5">SUM(C60:C67)</f>
        <v>19.633447319658924</v>
      </c>
      <c r="D68" s="2">
        <f t="shared" si="5"/>
        <v>6.8871042028973228</v>
      </c>
      <c r="E68" s="2">
        <f t="shared" si="5"/>
        <v>8.8681485687232104</v>
      </c>
      <c r="F68" s="2">
        <f t="shared" si="5"/>
        <v>3.687284905995214</v>
      </c>
      <c r="G68" s="2">
        <f t="shared" si="5"/>
        <v>2.6448907459815505</v>
      </c>
      <c r="H68" s="2">
        <f t="shared" si="5"/>
        <v>5.0875984807492962</v>
      </c>
      <c r="I68" s="2">
        <f t="shared" si="5"/>
        <v>2.3724041296244156</v>
      </c>
      <c r="J68" s="2">
        <f t="shared" si="5"/>
        <v>2.5489103392941219</v>
      </c>
      <c r="K68" s="2">
        <f t="shared" si="5"/>
        <v>2.6047359201728644</v>
      </c>
      <c r="L68" s="2">
        <f t="shared" si="5"/>
        <v>2.7075937130956773</v>
      </c>
      <c r="M68" s="2">
        <f t="shared" si="5"/>
        <v>3.847631013182891</v>
      </c>
      <c r="N68" s="2">
        <f t="shared" si="5"/>
        <v>3.2533002787549501</v>
      </c>
      <c r="O68" s="2">
        <f t="shared" si="5"/>
        <v>3.3671185756439068</v>
      </c>
      <c r="P68" s="2">
        <f t="shared" si="5"/>
        <v>2.8040442753515964</v>
      </c>
      <c r="Q68" s="2">
        <f t="shared" si="5"/>
        <v>2.6533966450432938</v>
      </c>
      <c r="R68" s="2">
        <f t="shared" si="5"/>
        <v>2.2313996226085697</v>
      </c>
      <c r="S68" s="2">
        <f t="shared" si="5"/>
        <v>2.0486781272966121</v>
      </c>
      <c r="T68" s="2">
        <f t="shared" si="5"/>
        <v>0.73060148276191428</v>
      </c>
      <c r="U68" s="2">
        <f t="shared" si="5"/>
        <v>0.71747284946527135</v>
      </c>
      <c r="V68" s="2">
        <f t="shared" si="5"/>
        <v>0.64292175758917103</v>
      </c>
      <c r="W68" s="2">
        <f t="shared" si="5"/>
        <v>0.3357143792260659</v>
      </c>
      <c r="X68" s="2">
        <f t="shared" si="5"/>
        <v>0.54030969958181463</v>
      </c>
      <c r="Y68" s="2">
        <f t="shared" si="5"/>
        <v>0.27999484708787864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21.569974093136626</v>
      </c>
      <c r="U71" s="2">
        <f>U5/'Output-Calculation-sheet'!U4*'Output-Calculation-sheet'!U58</f>
        <v>0</v>
      </c>
      <c r="V71" s="2">
        <f>V5/'Output-Calculation-sheet'!V4*'Output-Calculation-sheet'!V58</f>
        <v>58.484602582476157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8.0054576675612776E-2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50.15131453534466</v>
      </c>
      <c r="U72" s="2">
        <f>U6/'Output-Calculation-sheet'!U5*'Output-Calculation-sheet'!U59</f>
        <v>0</v>
      </c>
      <c r="V72" s="2">
        <f>V6/'Output-Calculation-sheet'!V5*'Output-Calculation-sheet'!V59</f>
        <v>78.845497569178306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0.12899681210452296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99.173156868007212</v>
      </c>
      <c r="S73" s="2">
        <f>S7/'Output-Calculation-sheet'!S6*'Output-Calculation-sheet'!S60</f>
        <v>0</v>
      </c>
      <c r="T73" s="2">
        <f>T7/'Output-Calculation-sheet'!T6*'Output-Calculation-sheet'!T60</f>
        <v>86.309330878570663</v>
      </c>
      <c r="U73" s="2">
        <f>U7/'Output-Calculation-sheet'!U6*'Output-Calculation-sheet'!U60</f>
        <v>0</v>
      </c>
      <c r="V73" s="2">
        <f>V7/'Output-Calculation-sheet'!V6*'Output-Calculation-sheet'!V60</f>
        <v>106.06230567086817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0.29154479341744605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40.108024034376513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35.702181303098307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141.65816131573317</v>
      </c>
      <c r="S74" s="2">
        <f>S8/'Output-Calculation-sheet'!S7*'Output-Calculation-sheet'!S61</f>
        <v>0</v>
      </c>
      <c r="T74" s="2">
        <f>T8/'Output-Calculation-sheet'!T7*'Output-Calculation-sheet'!T61</f>
        <v>104.35602626662728</v>
      </c>
      <c r="U74" s="2">
        <f>U8/'Output-Calculation-sheet'!U7*'Output-Calculation-sheet'!U61</f>
        <v>13.219473633719462</v>
      </c>
      <c r="V74" s="2">
        <f>V8/'Output-Calculation-sheet'!V7*'Output-Calculation-sheet'!V61</f>
        <v>119.78574388601207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0.45482961043956688</v>
      </c>
    </row>
    <row r="75" spans="1:27" x14ac:dyDescent="0.25">
      <c r="A75" s="2">
        <v>2032</v>
      </c>
      <c r="B75" s="2">
        <f>B9/'Output-Calculation-sheet'!B8*'Output-Calculation-sheet'!B62</f>
        <v>396.60346406606493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80.434610778749871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64.444888655640113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170.51949368299117</v>
      </c>
      <c r="S75" s="2">
        <f>S9/'Output-Calculation-sheet'!S8*'Output-Calculation-sheet'!S62</f>
        <v>0</v>
      </c>
      <c r="T75" s="2">
        <f>T9/'Output-Calculation-sheet'!T8*'Output-Calculation-sheet'!T62</f>
        <v>112.63216600232501</v>
      </c>
      <c r="U75" s="2">
        <f>U9/'Output-Calculation-sheet'!U8*'Output-Calculation-sheet'!U62</f>
        <v>23.023479349425035</v>
      </c>
      <c r="V75" s="2">
        <f>V9/'Output-Calculation-sheet'!V8*'Output-Calculation-sheet'!V62</f>
        <v>120.65347484033047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0.96831157737552653</v>
      </c>
    </row>
    <row r="76" spans="1:27" x14ac:dyDescent="0.25">
      <c r="A76" s="2">
        <v>2033</v>
      </c>
      <c r="B76" s="2">
        <f>B10/'Output-Calculation-sheet'!B9*'Output-Calculation-sheet'!B63</f>
        <v>957.90278527572252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112.368096193428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107.18306888462179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48.354380166157156</v>
      </c>
      <c r="Q76" s="2">
        <f>Q10/'Output-Calculation-sheet'!Q9*'Output-Calculation-sheet'!Q63</f>
        <v>0</v>
      </c>
      <c r="R76" s="2">
        <f>R10/'Output-Calculation-sheet'!R9*'Output-Calculation-sheet'!R63</f>
        <v>205.94835482643128</v>
      </c>
      <c r="S76" s="2">
        <f>S10/'Output-Calculation-sheet'!S9*'Output-Calculation-sheet'!S63</f>
        <v>0</v>
      </c>
      <c r="T76" s="2">
        <f>T10/'Output-Calculation-sheet'!T9*'Output-Calculation-sheet'!T63</f>
        <v>120.37037750185945</v>
      </c>
      <c r="U76" s="2">
        <f>U10/'Output-Calculation-sheet'!U9*'Output-Calculation-sheet'!U63</f>
        <v>35.010642586854928</v>
      </c>
      <c r="V76" s="2">
        <f>V10/'Output-Calculation-sheet'!V9*'Output-Calculation-sheet'!V63</f>
        <v>125.0238163700171</v>
      </c>
      <c r="W76" s="2">
        <f>W10/'Output-Calculation-sheet'!W9*'Output-Calculation-sheet'!W63</f>
        <v>3.9256148604845915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1.7160871366655768</v>
      </c>
    </row>
    <row r="77" spans="1:27" x14ac:dyDescent="0.25">
      <c r="A77" s="2">
        <v>2034</v>
      </c>
      <c r="B77" s="2">
        <f>B11/'Output-Calculation-sheet'!B10*'Output-Calculation-sheet'!B64</f>
        <v>1599.8064798046325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152.38834155210782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141.65141143294088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91.435689406741403</v>
      </c>
      <c r="Q77" s="2">
        <f>Q11/'Output-Calculation-sheet'!Q10*'Output-Calculation-sheet'!Q64</f>
        <v>0</v>
      </c>
      <c r="R77" s="2">
        <f>R11/'Output-Calculation-sheet'!R10*'Output-Calculation-sheet'!R64</f>
        <v>237.51277855073064</v>
      </c>
      <c r="S77" s="2">
        <f>S11/'Output-Calculation-sheet'!S10*'Output-Calculation-sheet'!S64</f>
        <v>0</v>
      </c>
      <c r="T77" s="2">
        <f>T11/'Output-Calculation-sheet'!T10*'Output-Calculation-sheet'!T64</f>
        <v>127.93154855170405</v>
      </c>
      <c r="U77" s="2">
        <f>U11/'Output-Calculation-sheet'!U10*'Output-Calculation-sheet'!U64</f>
        <v>43.3709165659128</v>
      </c>
      <c r="V77" s="2">
        <f>V11/'Output-Calculation-sheet'!V10*'Output-Calculation-sheet'!V64</f>
        <v>129.54798922190437</v>
      </c>
      <c r="W77" s="2">
        <f>W11/'Output-Calculation-sheet'!W10*'Output-Calculation-sheet'!W64</f>
        <v>6.8649216008497245</v>
      </c>
      <c r="X77" s="2">
        <f>X11/'Output-Calculation-sheet'!X10*'Output-Calculation-sheet'!X64</f>
        <v>12.317111704251156</v>
      </c>
      <c r="Y77" s="2">
        <f>Y11/'Output-Calculation-sheet'!Y10*'Output-Calculation-sheet'!Y64</f>
        <v>0</v>
      </c>
      <c r="AA77" s="2">
        <f t="shared" si="6"/>
        <v>2.5428271883917755</v>
      </c>
    </row>
    <row r="78" spans="1:27" x14ac:dyDescent="0.25">
      <c r="A78" s="2">
        <v>2035</v>
      </c>
      <c r="B78" s="2">
        <f>B12/'Output-Calculation-sheet'!B11*'Output-Calculation-sheet'!B65</f>
        <v>2815.233858561131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182.05215318783485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160.78717724664935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130.61537540114807</v>
      </c>
      <c r="Q78" s="2">
        <f>Q12/'Output-Calculation-sheet'!Q11*'Output-Calculation-sheet'!Q65</f>
        <v>0</v>
      </c>
      <c r="R78" s="2">
        <f>R12/'Output-Calculation-sheet'!R11*'Output-Calculation-sheet'!R65</f>
        <v>286.72728773706763</v>
      </c>
      <c r="S78" s="2">
        <f>S12/'Output-Calculation-sheet'!S11*'Output-Calculation-sheet'!S65</f>
        <v>0</v>
      </c>
      <c r="T78" s="2">
        <f>T12/'Output-Calculation-sheet'!T11*'Output-Calculation-sheet'!T65</f>
        <v>138.78468449796705</v>
      </c>
      <c r="U78" s="2">
        <f>U12/'Output-Calculation-sheet'!U11*'Output-Calculation-sheet'!U65</f>
        <v>53.961442526827156</v>
      </c>
      <c r="V78" s="2">
        <f>V12/'Output-Calculation-sheet'!V11*'Output-Calculation-sheet'!V65</f>
        <v>130.93640069271933</v>
      </c>
      <c r="W78" s="2">
        <f>W12/'Output-Calculation-sheet'!W11*'Output-Calculation-sheet'!W65</f>
        <v>9.8060322183601745</v>
      </c>
      <c r="X78" s="2">
        <f>X12/'Output-Calculation-sheet'!X11*'Output-Calculation-sheet'!X65</f>
        <v>26.779101638388333</v>
      </c>
      <c r="Y78" s="2">
        <f>Y12/'Output-Calculation-sheet'!Y11*'Output-Calculation-sheet'!Y65</f>
        <v>0</v>
      </c>
      <c r="AA78" s="2">
        <f t="shared" si="6"/>
        <v>3.935683513708093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7515150571.6866751</v>
      </c>
      <c r="C93" s="2">
        <f>C5/'Output-Calculation-sheet'!C4*'Output-Calculation-sheet'!C76</f>
        <v>851575219.59160101</v>
      </c>
      <c r="D93" s="2">
        <f>D5/'Output-Calculation-sheet'!D4*'Output-Calculation-sheet'!D76</f>
        <v>3469198213.3195877</v>
      </c>
      <c r="E93" s="2">
        <f>E5/'Output-Calculation-sheet'!E4*'Output-Calculation-sheet'!E76</f>
        <v>5559268786.577631</v>
      </c>
      <c r="F93" s="2">
        <f>F5/'Output-Calculation-sheet'!F4*'Output-Calculation-sheet'!F76</f>
        <v>2605913132.453217</v>
      </c>
      <c r="G93" s="2">
        <f>G5/'Output-Calculation-sheet'!G4*'Output-Calculation-sheet'!G76</f>
        <v>1971384862.030755</v>
      </c>
      <c r="H93" s="2">
        <f>H5/'Output-Calculation-sheet'!H4*'Output-Calculation-sheet'!H76</f>
        <v>542217681.31009889</v>
      </c>
      <c r="I93" s="2">
        <f>I5/'Output-Calculation-sheet'!I4*'Output-Calculation-sheet'!I76</f>
        <v>1317956664.0952508</v>
      </c>
      <c r="J93" s="2">
        <f>J5/'Output-Calculation-sheet'!J4*'Output-Calculation-sheet'!J76</f>
        <v>983619920.18316424</v>
      </c>
      <c r="K93" s="2">
        <f>K5/'Output-Calculation-sheet'!K4*'Output-Calculation-sheet'!K76</f>
        <v>1148360531.0936885</v>
      </c>
      <c r="L93" s="2">
        <f>L5/'Output-Calculation-sheet'!L4*'Output-Calculation-sheet'!L76</f>
        <v>872235435.05357194</v>
      </c>
      <c r="M93" s="2">
        <f>M5/'Output-Calculation-sheet'!M4*'Output-Calculation-sheet'!M76</f>
        <v>414545322.75859702</v>
      </c>
      <c r="N93" s="2">
        <f>N5/'Output-Calculation-sheet'!N4*'Output-Calculation-sheet'!N76</f>
        <v>416689075.94114369</v>
      </c>
      <c r="O93" s="2">
        <f>O5/'Output-Calculation-sheet'!O4*'Output-Calculation-sheet'!O76</f>
        <v>0</v>
      </c>
      <c r="P93" s="2">
        <f>P5/'Output-Calculation-sheet'!P4*'Output-Calculation-sheet'!P76</f>
        <v>1193397668.180377</v>
      </c>
      <c r="Q93" s="2">
        <f>Q5/'Output-Calculation-sheet'!Q4*'Output-Calculation-sheet'!Q76</f>
        <v>517440251.69587302</v>
      </c>
      <c r="R93" s="2">
        <f>R5/'Output-Calculation-sheet'!R4*'Output-Calculation-sheet'!R76</f>
        <v>768710400.14605844</v>
      </c>
      <c r="S93" s="2">
        <f>S5/'Output-Calculation-sheet'!S4*'Output-Calculation-sheet'!S76</f>
        <v>307342972.06762892</v>
      </c>
      <c r="T93" s="2">
        <f>T5/'Output-Calculation-sheet'!T4*'Output-Calculation-sheet'!T76</f>
        <v>420543537.07993102</v>
      </c>
      <c r="U93" s="2">
        <f>U5/'Output-Calculation-sheet'!U4*'Output-Calculation-sheet'!U76</f>
        <v>218784008.29085338</v>
      </c>
      <c r="V93" s="2">
        <f>V5/'Output-Calculation-sheet'!V4*'Output-Calculation-sheet'!V76</f>
        <v>162462849.75120175</v>
      </c>
      <c r="W93" s="2">
        <f>W5/'Output-Calculation-sheet'!W4*'Output-Calculation-sheet'!W76</f>
        <v>412266835.81251442</v>
      </c>
      <c r="X93" s="2">
        <f>X5/'Output-Calculation-sheet'!X4*'Output-Calculation-sheet'!X76</f>
        <v>46118347.185708396</v>
      </c>
      <c r="Y93" s="2">
        <f>Y5/'Output-Calculation-sheet'!Y4*'Output-Calculation-sheet'!Y76</f>
        <v>182433514.66055635</v>
      </c>
      <c r="AA93" s="2">
        <f t="shared" ref="AA93:AA100" si="8">SUM(B93:Y93)/10^9</f>
        <v>31.897615800965681</v>
      </c>
    </row>
    <row r="94" spans="1:27" x14ac:dyDescent="0.25">
      <c r="A94" s="2">
        <v>2029</v>
      </c>
      <c r="B94" s="2">
        <f>B6/'Output-Calculation-sheet'!B5*'Output-Calculation-sheet'!B77</f>
        <v>9368613271.6543903</v>
      </c>
      <c r="C94" s="2">
        <f>C6/'Output-Calculation-sheet'!C5*'Output-Calculation-sheet'!C77</f>
        <v>1085374195.5188694</v>
      </c>
      <c r="D94" s="2">
        <f>D6/'Output-Calculation-sheet'!D5*'Output-Calculation-sheet'!D77</f>
        <v>4291732080.2993999</v>
      </c>
      <c r="E94" s="2">
        <f>E6/'Output-Calculation-sheet'!E5*'Output-Calculation-sheet'!E77</f>
        <v>7011607187.9936371</v>
      </c>
      <c r="F94" s="2">
        <f>F6/'Output-Calculation-sheet'!F5*'Output-Calculation-sheet'!F77</f>
        <v>3221564581.7039537</v>
      </c>
      <c r="G94" s="2">
        <f>G6/'Output-Calculation-sheet'!G5*'Output-Calculation-sheet'!G77</f>
        <v>2469359694.9307923</v>
      </c>
      <c r="H94" s="2">
        <f>H6/'Output-Calculation-sheet'!H5*'Output-Calculation-sheet'!H77</f>
        <v>686248819.26332569</v>
      </c>
      <c r="I94" s="2">
        <f>I6/'Output-Calculation-sheet'!I5*'Output-Calculation-sheet'!I77</f>
        <v>1626288828.4919534</v>
      </c>
      <c r="J94" s="2">
        <f>J6/'Output-Calculation-sheet'!J5*'Output-Calculation-sheet'!J77</f>
        <v>1226927180.8136346</v>
      </c>
      <c r="K94" s="2">
        <f>K6/'Output-Calculation-sheet'!K5*'Output-Calculation-sheet'!K77</f>
        <v>1419369164.0077465</v>
      </c>
      <c r="L94" s="2">
        <f>L6/'Output-Calculation-sheet'!L5*'Output-Calculation-sheet'!L77</f>
        <v>1087440230.6466525</v>
      </c>
      <c r="M94" s="2">
        <f>M6/'Output-Calculation-sheet'!M5*'Output-Calculation-sheet'!M77</f>
        <v>527914295.91440463</v>
      </c>
      <c r="N94" s="2">
        <f>N6/'Output-Calculation-sheet'!N5*'Output-Calculation-sheet'!N77</f>
        <v>540891118.24508893</v>
      </c>
      <c r="O94" s="2">
        <f>O6/'Output-Calculation-sheet'!O5*'Output-Calculation-sheet'!O77</f>
        <v>0</v>
      </c>
      <c r="P94" s="2">
        <f>P6/'Output-Calculation-sheet'!P5*'Output-Calculation-sheet'!P77</f>
        <v>1493772303.7805567</v>
      </c>
      <c r="Q94" s="2">
        <f>Q6/'Output-Calculation-sheet'!Q5*'Output-Calculation-sheet'!Q77</f>
        <v>656097824.40438342</v>
      </c>
      <c r="R94" s="2">
        <f>R6/'Output-Calculation-sheet'!R5*'Output-Calculation-sheet'!R77</f>
        <v>955600494.22932434</v>
      </c>
      <c r="S94" s="2">
        <f>S6/'Output-Calculation-sheet'!S5*'Output-Calculation-sheet'!S77</f>
        <v>386895866.68181723</v>
      </c>
      <c r="T94" s="2">
        <f>T6/'Output-Calculation-sheet'!T5*'Output-Calculation-sheet'!T77</f>
        <v>528439365.03528005</v>
      </c>
      <c r="U94" s="2">
        <f>U6/'Output-Calculation-sheet'!U5*'Output-Calculation-sheet'!U77</f>
        <v>265966055.44594449</v>
      </c>
      <c r="V94" s="2">
        <f>V6/'Output-Calculation-sheet'!V5*'Output-Calculation-sheet'!V77</f>
        <v>196969750.08426946</v>
      </c>
      <c r="W94" s="2">
        <f>W6/'Output-Calculation-sheet'!W5*'Output-Calculation-sheet'!W77</f>
        <v>516944636.50413096</v>
      </c>
      <c r="X94" s="2">
        <f>X6/'Output-Calculation-sheet'!X5*'Output-Calculation-sheet'!X77</f>
        <v>58431286.024100319</v>
      </c>
      <c r="Y94" s="2">
        <f>Y6/'Output-Calculation-sheet'!Y5*'Output-Calculation-sheet'!Y77</f>
        <v>230018533.98842224</v>
      </c>
      <c r="AA94" s="2">
        <f t="shared" si="8"/>
        <v>39.852466765662065</v>
      </c>
    </row>
    <row r="95" spans="1:27" x14ac:dyDescent="0.25">
      <c r="A95" s="2">
        <v>2030</v>
      </c>
      <c r="B95" s="2">
        <f>B7/'Output-Calculation-sheet'!B6*'Output-Calculation-sheet'!B78</f>
        <v>10752910527.726213</v>
      </c>
      <c r="C95" s="2">
        <f>C7/'Output-Calculation-sheet'!C6*'Output-Calculation-sheet'!C78</f>
        <v>1276994335.2586565</v>
      </c>
      <c r="D95" s="2">
        <f>D7/'Output-Calculation-sheet'!D6*'Output-Calculation-sheet'!D78</f>
        <v>4898646059.2289391</v>
      </c>
      <c r="E95" s="2">
        <f>E7/'Output-Calculation-sheet'!E6*'Output-Calculation-sheet'!E78</f>
        <v>8142625718.2014465</v>
      </c>
      <c r="F95" s="2">
        <f>F7/'Output-Calculation-sheet'!F6*'Output-Calculation-sheet'!F78</f>
        <v>3669364472.4552751</v>
      </c>
      <c r="G95" s="2">
        <f>G7/'Output-Calculation-sheet'!G6*'Output-Calculation-sheet'!G78</f>
        <v>2852847796.9373922</v>
      </c>
      <c r="H95" s="2">
        <f>H7/'Output-Calculation-sheet'!H6*'Output-Calculation-sheet'!H78</f>
        <v>799759655.14682662</v>
      </c>
      <c r="I95" s="2">
        <f>I7/'Output-Calculation-sheet'!I6*'Output-Calculation-sheet'!I78</f>
        <v>1850118333.4083519</v>
      </c>
      <c r="J95" s="2">
        <f>J7/'Output-Calculation-sheet'!J6*'Output-Calculation-sheet'!J78</f>
        <v>1411316501.4644578</v>
      </c>
      <c r="K95" s="2">
        <f>K7/'Output-Calculation-sheet'!K6*'Output-Calculation-sheet'!K78</f>
        <v>1616894710.9140267</v>
      </c>
      <c r="L95" s="2">
        <f>L7/'Output-Calculation-sheet'!L6*'Output-Calculation-sheet'!L78</f>
        <v>1249586289.2347178</v>
      </c>
      <c r="M95" s="2">
        <f>M7/'Output-Calculation-sheet'!M6*'Output-Calculation-sheet'!M78</f>
        <v>618929058.73084474</v>
      </c>
      <c r="N95" s="2">
        <f>N7/'Output-Calculation-sheet'!N6*'Output-Calculation-sheet'!N78</f>
        <v>644936468.01850784</v>
      </c>
      <c r="O95" s="2">
        <f>O7/'Output-Calculation-sheet'!O6*'Output-Calculation-sheet'!O78</f>
        <v>146249475.99102926</v>
      </c>
      <c r="P95" s="2">
        <f>P7/'Output-Calculation-sheet'!P6*'Output-Calculation-sheet'!P78</f>
        <v>1723110855.8768842</v>
      </c>
      <c r="Q95" s="2">
        <f>Q7/'Output-Calculation-sheet'!Q6*'Output-Calculation-sheet'!Q78</f>
        <v>762313820.80379128</v>
      </c>
      <c r="R95" s="2">
        <f>R7/'Output-Calculation-sheet'!R6*'Output-Calculation-sheet'!R78</f>
        <v>1131858913.3390672</v>
      </c>
      <c r="S95" s="2">
        <f>S7/'Output-Calculation-sheet'!S6*'Output-Calculation-sheet'!S78</f>
        <v>447641040.17724973</v>
      </c>
      <c r="T95" s="2">
        <f>T7/'Output-Calculation-sheet'!T6*'Output-Calculation-sheet'!T78</f>
        <v>615540212.30505764</v>
      </c>
      <c r="U95" s="2">
        <f>U7/'Output-Calculation-sheet'!U6*'Output-Calculation-sheet'!U78</f>
        <v>297555528.89478922</v>
      </c>
      <c r="V95" s="2">
        <f>V7/'Output-Calculation-sheet'!V6*'Output-Calculation-sheet'!V78</f>
        <v>219849648.52792734</v>
      </c>
      <c r="W95" s="2">
        <f>W7/'Output-Calculation-sheet'!W6*'Output-Calculation-sheet'!W78</f>
        <v>597770904.08380187</v>
      </c>
      <c r="X95" s="2">
        <f>X7/'Output-Calculation-sheet'!X6*'Output-Calculation-sheet'!X78</f>
        <v>68276598.027647004</v>
      </c>
      <c r="Y95" s="2">
        <f>Y7/'Output-Calculation-sheet'!Y6*'Output-Calculation-sheet'!Y78</f>
        <v>268039280.80289114</v>
      </c>
      <c r="AA95" s="2">
        <f t="shared" si="8"/>
        <v>46.063136205555793</v>
      </c>
    </row>
    <row r="96" spans="1:27" x14ac:dyDescent="0.25">
      <c r="A96" s="2">
        <v>2031</v>
      </c>
      <c r="B96" s="2">
        <f>B8/'Output-Calculation-sheet'!B7*'Output-Calculation-sheet'!B79</f>
        <v>11606558627.119951</v>
      </c>
      <c r="C96" s="2">
        <f>C8/'Output-Calculation-sheet'!C7*'Output-Calculation-sheet'!C79</f>
        <v>1428644465.4333022</v>
      </c>
      <c r="D96" s="2">
        <f>D8/'Output-Calculation-sheet'!D7*'Output-Calculation-sheet'!D79</f>
        <v>5059267480.1631575</v>
      </c>
      <c r="E96" s="2">
        <f>E8/'Output-Calculation-sheet'!E7*'Output-Calculation-sheet'!E79</f>
        <v>8650204120.3156052</v>
      </c>
      <c r="F96" s="2">
        <f>F8/'Output-Calculation-sheet'!F7*'Output-Calculation-sheet'!F79</f>
        <v>3892880552.0661483</v>
      </c>
      <c r="G96" s="2">
        <f>G8/'Output-Calculation-sheet'!G7*'Output-Calculation-sheet'!G79</f>
        <v>2956819577.9613585</v>
      </c>
      <c r="H96" s="2">
        <f>H8/'Output-Calculation-sheet'!H7*'Output-Calculation-sheet'!H79</f>
        <v>860239672.90384984</v>
      </c>
      <c r="I96" s="2">
        <f>I8/'Output-Calculation-sheet'!I7*'Output-Calculation-sheet'!I79</f>
        <v>1983354393.2265153</v>
      </c>
      <c r="J96" s="2">
        <f>J8/'Output-Calculation-sheet'!J7*'Output-Calculation-sheet'!J79</f>
        <v>1469699976.313175</v>
      </c>
      <c r="K96" s="2">
        <f>K8/'Output-Calculation-sheet'!K7*'Output-Calculation-sheet'!K79</f>
        <v>1699342651.1271777</v>
      </c>
      <c r="L96" s="2">
        <f>L8/'Output-Calculation-sheet'!L7*'Output-Calculation-sheet'!L79</f>
        <v>1351795854.7410994</v>
      </c>
      <c r="M96" s="2">
        <f>M8/'Output-Calculation-sheet'!M7*'Output-Calculation-sheet'!M79</f>
        <v>668759578.46653104</v>
      </c>
      <c r="N96" s="2">
        <f>N8/'Output-Calculation-sheet'!N7*'Output-Calculation-sheet'!N79</f>
        <v>679191705.02864897</v>
      </c>
      <c r="O96" s="2">
        <f>O8/'Output-Calculation-sheet'!O7*'Output-Calculation-sheet'!O79</f>
        <v>165790758.75954831</v>
      </c>
      <c r="P96" s="2">
        <f>P8/'Output-Calculation-sheet'!P7*'Output-Calculation-sheet'!P79</f>
        <v>1806416442.5366042</v>
      </c>
      <c r="Q96" s="2">
        <f>Q8/'Output-Calculation-sheet'!Q7*'Output-Calculation-sheet'!Q79</f>
        <v>801022267.57366359</v>
      </c>
      <c r="R96" s="2">
        <f>R8/'Output-Calculation-sheet'!R7*'Output-Calculation-sheet'!R79</f>
        <v>1218742350.9698584</v>
      </c>
      <c r="S96" s="2">
        <f>S8/'Output-Calculation-sheet'!S7*'Output-Calculation-sheet'!S79</f>
        <v>476372108.71638137</v>
      </c>
      <c r="T96" s="2">
        <f>T8/'Output-Calculation-sheet'!T7*'Output-Calculation-sheet'!T79</f>
        <v>645159900.64026606</v>
      </c>
      <c r="U96" s="2">
        <f>U8/'Output-Calculation-sheet'!U7*'Output-Calculation-sheet'!U79</f>
        <v>320432943.98468649</v>
      </c>
      <c r="V96" s="2">
        <f>V8/'Output-Calculation-sheet'!V7*'Output-Calculation-sheet'!V79</f>
        <v>236117135.77464643</v>
      </c>
      <c r="W96" s="2">
        <f>W8/'Output-Calculation-sheet'!W7*'Output-Calculation-sheet'!W79</f>
        <v>629026401.19559503</v>
      </c>
      <c r="X96" s="2">
        <f>X8/'Output-Calculation-sheet'!X7*'Output-Calculation-sheet'!X79</f>
        <v>74538259.263208553</v>
      </c>
      <c r="Y96" s="2">
        <f>Y8/'Output-Calculation-sheet'!Y7*'Output-Calculation-sheet'!Y79</f>
        <v>282299322.10805821</v>
      </c>
      <c r="AA96" s="2">
        <f t="shared" si="8"/>
        <v>48.962676546389019</v>
      </c>
    </row>
    <row r="97" spans="1:27" x14ac:dyDescent="0.25">
      <c r="A97" s="2">
        <v>2032</v>
      </c>
      <c r="B97" s="2">
        <f>B9/'Output-Calculation-sheet'!B8*'Output-Calculation-sheet'!B80</f>
        <v>11796083359.094381</v>
      </c>
      <c r="C97" s="2">
        <f>C9/'Output-Calculation-sheet'!C8*'Output-Calculation-sheet'!C80</f>
        <v>1481980287.0602961</v>
      </c>
      <c r="D97" s="2">
        <f>D9/'Output-Calculation-sheet'!D8*'Output-Calculation-sheet'!D80</f>
        <v>4880895472.2239141</v>
      </c>
      <c r="E97" s="2">
        <f>E9/'Output-Calculation-sheet'!E8*'Output-Calculation-sheet'!E80</f>
        <v>8593331472.706789</v>
      </c>
      <c r="F97" s="2">
        <f>F9/'Output-Calculation-sheet'!F8*'Output-Calculation-sheet'!F80</f>
        <v>3858355216.7534795</v>
      </c>
      <c r="G97" s="2">
        <f>G9/'Output-Calculation-sheet'!G8*'Output-Calculation-sheet'!G80</f>
        <v>2855881031.2620668</v>
      </c>
      <c r="H97" s="2">
        <f>H9/'Output-Calculation-sheet'!H8*'Output-Calculation-sheet'!H80</f>
        <v>865350410.85113621</v>
      </c>
      <c r="I97" s="2">
        <f>I9/'Output-Calculation-sheet'!I8*'Output-Calculation-sheet'!I80</f>
        <v>1983613174.3372512</v>
      </c>
      <c r="J97" s="2">
        <f>J9/'Output-Calculation-sheet'!J8*'Output-Calculation-sheet'!J80</f>
        <v>1431292830.0476315</v>
      </c>
      <c r="K97" s="2">
        <f>K9/'Output-Calculation-sheet'!K8*'Output-Calculation-sheet'!K80</f>
        <v>1666066993.6871531</v>
      </c>
      <c r="L97" s="2">
        <f>L9/'Output-Calculation-sheet'!L8*'Output-Calculation-sheet'!L80</f>
        <v>1366080026.6374469</v>
      </c>
      <c r="M97" s="2">
        <f>M9/'Output-Calculation-sheet'!M8*'Output-Calculation-sheet'!M80</f>
        <v>672621392.64273226</v>
      </c>
      <c r="N97" s="2">
        <f>N9/'Output-Calculation-sheet'!N8*'Output-Calculation-sheet'!N80</f>
        <v>666653222.45651698</v>
      </c>
      <c r="O97" s="2">
        <f>O9/'Output-Calculation-sheet'!O8*'Output-Calculation-sheet'!O80</f>
        <v>173983946.37330958</v>
      </c>
      <c r="P97" s="2">
        <f>P9/'Output-Calculation-sheet'!P8*'Output-Calculation-sheet'!P80</f>
        <v>1769325590.8064966</v>
      </c>
      <c r="Q97" s="2">
        <f>Q9/'Output-Calculation-sheet'!Q8*'Output-Calculation-sheet'!Q80</f>
        <v>786742545.2533226</v>
      </c>
      <c r="R97" s="2">
        <f>R9/'Output-Calculation-sheet'!R8*'Output-Calculation-sheet'!R80</f>
        <v>1224287216.0242903</v>
      </c>
      <c r="S97" s="2">
        <f>S9/'Output-Calculation-sheet'!S8*'Output-Calculation-sheet'!S80</f>
        <v>472169127.514768</v>
      </c>
      <c r="T97" s="2">
        <f>T9/'Output-Calculation-sheet'!T8*'Output-Calculation-sheet'!T80</f>
        <v>631338066.01735985</v>
      </c>
      <c r="U97" s="2">
        <f>U9/'Output-Calculation-sheet'!U8*'Output-Calculation-sheet'!U80</f>
        <v>320417380.05694592</v>
      </c>
      <c r="V97" s="2">
        <f>V9/'Output-Calculation-sheet'!V8*'Output-Calculation-sheet'!V80</f>
        <v>236028933.84028786</v>
      </c>
      <c r="W97" s="2">
        <f>W9/'Output-Calculation-sheet'!W8*'Output-Calculation-sheet'!W80</f>
        <v>617252196.46948934</v>
      </c>
      <c r="X97" s="2">
        <f>X9/'Output-Calculation-sheet'!X8*'Output-Calculation-sheet'!X80</f>
        <v>75589132.632387266</v>
      </c>
      <c r="Y97" s="2">
        <f>Y9/'Output-Calculation-sheet'!Y8*'Output-Calculation-sheet'!Y80</f>
        <v>277174180.22272301</v>
      </c>
      <c r="AA97" s="2">
        <f t="shared" si="8"/>
        <v>48.702513204972178</v>
      </c>
    </row>
    <row r="98" spans="1:27" x14ac:dyDescent="0.25">
      <c r="A98" s="2">
        <v>2033</v>
      </c>
      <c r="B98" s="2">
        <f>B10/'Output-Calculation-sheet'!B9*'Output-Calculation-sheet'!B81</f>
        <v>12032476520.654552</v>
      </c>
      <c r="C98" s="2">
        <f>C10/'Output-Calculation-sheet'!C9*'Output-Calculation-sheet'!C81</f>
        <v>1517266567.0916841</v>
      </c>
      <c r="D98" s="2">
        <f>D10/'Output-Calculation-sheet'!D9*'Output-Calculation-sheet'!D81</f>
        <v>4689469009.7585249</v>
      </c>
      <c r="E98" s="2">
        <f>E10/'Output-Calculation-sheet'!E9*'Output-Calculation-sheet'!E81</f>
        <v>8497872458.8105221</v>
      </c>
      <c r="F98" s="2">
        <f>F10/'Output-Calculation-sheet'!F9*'Output-Calculation-sheet'!F81</f>
        <v>3806645020.1547871</v>
      </c>
      <c r="G98" s="2">
        <f>G10/'Output-Calculation-sheet'!G9*'Output-Calculation-sheet'!G81</f>
        <v>2739003022.4321771</v>
      </c>
      <c r="H98" s="2">
        <f>H10/'Output-Calculation-sheet'!H9*'Output-Calculation-sheet'!H81</f>
        <v>863952662.61794841</v>
      </c>
      <c r="I98" s="2">
        <f>I10/'Output-Calculation-sheet'!I9*'Output-Calculation-sheet'!I81</f>
        <v>1976342376.9519331</v>
      </c>
      <c r="J98" s="2">
        <f>J10/'Output-Calculation-sheet'!J9*'Output-Calculation-sheet'!J81</f>
        <v>1389574750.2629564</v>
      </c>
      <c r="K98" s="2">
        <f>K10/'Output-Calculation-sheet'!K9*'Output-Calculation-sheet'!K81</f>
        <v>1629622362.1757011</v>
      </c>
      <c r="L98" s="2">
        <f>L10/'Output-Calculation-sheet'!L9*'Output-Calculation-sheet'!L81</f>
        <v>1376051470.4610615</v>
      </c>
      <c r="M98" s="2">
        <f>M10/'Output-Calculation-sheet'!M9*'Output-Calculation-sheet'!M81</f>
        <v>674977611.22198212</v>
      </c>
      <c r="N98" s="2">
        <f>N10/'Output-Calculation-sheet'!N9*'Output-Calculation-sheet'!N81</f>
        <v>645719783.29335189</v>
      </c>
      <c r="O98" s="2">
        <f>O10/'Output-Calculation-sheet'!O9*'Output-Calculation-sheet'!O81</f>
        <v>178421684.57447261</v>
      </c>
      <c r="P98" s="2">
        <f>P10/'Output-Calculation-sheet'!P9*'Output-Calculation-sheet'!P81</f>
        <v>1751745509.3408628</v>
      </c>
      <c r="Q98" s="2">
        <f>Q10/'Output-Calculation-sheet'!Q9*'Output-Calculation-sheet'!Q81</f>
        <v>771361386.68326986</v>
      </c>
      <c r="R98" s="2">
        <f>R10/'Output-Calculation-sheet'!R9*'Output-Calculation-sheet'!R81</f>
        <v>1225348181.1690116</v>
      </c>
      <c r="S98" s="2">
        <f>S10/'Output-Calculation-sheet'!S9*'Output-Calculation-sheet'!S81</f>
        <v>467282770.65275836</v>
      </c>
      <c r="T98" s="2">
        <f>T10/'Output-Calculation-sheet'!T9*'Output-Calculation-sheet'!T81</f>
        <v>614101202.416556</v>
      </c>
      <c r="U98" s="2">
        <f>U10/'Output-Calculation-sheet'!U9*'Output-Calculation-sheet'!U81</f>
        <v>319093393.48344171</v>
      </c>
      <c r="V98" s="2">
        <f>V10/'Output-Calculation-sheet'!V9*'Output-Calculation-sheet'!V81</f>
        <v>235240872.96986431</v>
      </c>
      <c r="W98" s="2">
        <f>W10/'Output-Calculation-sheet'!W9*'Output-Calculation-sheet'!W81</f>
        <v>602871009.98776102</v>
      </c>
      <c r="X98" s="2">
        <f>X10/'Output-Calculation-sheet'!X9*'Output-Calculation-sheet'!X81</f>
        <v>76559865.457423061</v>
      </c>
      <c r="Y98" s="2">
        <f>Y10/'Output-Calculation-sheet'!Y9*'Output-Calculation-sheet'!Y81</f>
        <v>270775293.59518832</v>
      </c>
      <c r="AA98" s="2">
        <f t="shared" si="8"/>
        <v>48.351774786217796</v>
      </c>
    </row>
    <row r="99" spans="1:27" x14ac:dyDescent="0.25">
      <c r="A99" s="2">
        <v>2034</v>
      </c>
      <c r="B99" s="2">
        <f>B11/'Output-Calculation-sheet'!B10*'Output-Calculation-sheet'!B82</f>
        <v>12279123007.378086</v>
      </c>
      <c r="C99" s="2">
        <f>C11/'Output-Calculation-sheet'!C10*'Output-Calculation-sheet'!C82</f>
        <v>1558992026.3658707</v>
      </c>
      <c r="D99" s="2">
        <f>D11/'Output-Calculation-sheet'!D10*'Output-Calculation-sheet'!D82</f>
        <v>4512545178.384798</v>
      </c>
      <c r="E99" s="2">
        <f>E11/'Output-Calculation-sheet'!E10*'Output-Calculation-sheet'!E82</f>
        <v>8413109136.6887026</v>
      </c>
      <c r="F99" s="2">
        <f>F11/'Output-Calculation-sheet'!F10*'Output-Calculation-sheet'!F82</f>
        <v>3762526701.0100188</v>
      </c>
      <c r="G99" s="2">
        <f>G11/'Output-Calculation-sheet'!G10*'Output-Calculation-sheet'!G82</f>
        <v>2627365493.7852788</v>
      </c>
      <c r="H99" s="2">
        <f>H11/'Output-Calculation-sheet'!H10*'Output-Calculation-sheet'!H82</f>
        <v>865080030.42859471</v>
      </c>
      <c r="I99" s="2">
        <f>I11/'Output-Calculation-sheet'!I10*'Output-Calculation-sheet'!I82</f>
        <v>1972164999.5338905</v>
      </c>
      <c r="J99" s="2">
        <f>J11/'Output-Calculation-sheet'!J10*'Output-Calculation-sheet'!J82</f>
        <v>1351069525.1094484</v>
      </c>
      <c r="K99" s="2">
        <f>K11/'Output-Calculation-sheet'!K10*'Output-Calculation-sheet'!K82</f>
        <v>1597091197.3956602</v>
      </c>
      <c r="L99" s="2">
        <f>L11/'Output-Calculation-sheet'!L10*'Output-Calculation-sheet'!L82</f>
        <v>1396391969.1110613</v>
      </c>
      <c r="M99" s="2">
        <f>M11/'Output-Calculation-sheet'!M10*'Output-Calculation-sheet'!M82</f>
        <v>677755243.79105461</v>
      </c>
      <c r="N99" s="2">
        <f>N11/'Output-Calculation-sheet'!N10*'Output-Calculation-sheet'!N82</f>
        <v>629778917.82744968</v>
      </c>
      <c r="O99" s="2">
        <f>O11/'Output-Calculation-sheet'!O10*'Output-Calculation-sheet'!O82</f>
        <v>184364684.6889413</v>
      </c>
      <c r="P99" s="2">
        <f>P11/'Output-Calculation-sheet'!P10*'Output-Calculation-sheet'!P82</f>
        <v>1736982589.1811635</v>
      </c>
      <c r="Q99" s="2">
        <f>Q11/'Output-Calculation-sheet'!Q10*'Output-Calculation-sheet'!Q82</f>
        <v>757224574.58485425</v>
      </c>
      <c r="R99" s="2">
        <f>R11/'Output-Calculation-sheet'!R10*'Output-Calculation-sheet'!R82</f>
        <v>1230132733.3713353</v>
      </c>
      <c r="S99" s="2">
        <f>S11/'Output-Calculation-sheet'!S10*'Output-Calculation-sheet'!S82</f>
        <v>462248159.26272857</v>
      </c>
      <c r="T99" s="2">
        <f>T11/'Output-Calculation-sheet'!T10*'Output-Calculation-sheet'!T82</f>
        <v>597527709.74492991</v>
      </c>
      <c r="U99" s="2">
        <f>U11/'Output-Calculation-sheet'!U10*'Output-Calculation-sheet'!U82</f>
        <v>318546831.23646206</v>
      </c>
      <c r="V99" s="2">
        <f>V11/'Output-Calculation-sheet'!V10*'Output-Calculation-sheet'!V82</f>
        <v>234407189.05292171</v>
      </c>
      <c r="W99" s="2">
        <f>W11/'Output-Calculation-sheet'!W10*'Output-Calculation-sheet'!W82</f>
        <v>588598752.8965683</v>
      </c>
      <c r="X99" s="2">
        <f>X11/'Output-Calculation-sheet'!X10*'Output-Calculation-sheet'!X82</f>
        <v>83071353.340169162</v>
      </c>
      <c r="Y99" s="2">
        <f>Y11/'Output-Calculation-sheet'!Y10*'Output-Calculation-sheet'!Y82</f>
        <v>264750457.21923003</v>
      </c>
      <c r="AA99" s="2">
        <f t="shared" si="8"/>
        <v>48.100848461389219</v>
      </c>
    </row>
    <row r="100" spans="1:27" x14ac:dyDescent="0.25">
      <c r="A100" s="2">
        <v>2035</v>
      </c>
      <c r="B100" s="2">
        <f>B12/'Output-Calculation-sheet'!B11*'Output-Calculation-sheet'!B83</f>
        <v>12789287358.053265</v>
      </c>
      <c r="C100" s="2">
        <f>C12/'Output-Calculation-sheet'!C11*'Output-Calculation-sheet'!C83</f>
        <v>1597229731.4827569</v>
      </c>
      <c r="D100" s="2">
        <f>D12/'Output-Calculation-sheet'!D11*'Output-Calculation-sheet'!D83</f>
        <v>4350936845.6804409</v>
      </c>
      <c r="E100" s="2">
        <f>E12/'Output-Calculation-sheet'!E11*'Output-Calculation-sheet'!E83</f>
        <v>8341661827.0474577</v>
      </c>
      <c r="F100" s="2">
        <f>F12/'Output-Calculation-sheet'!F11*'Output-Calculation-sheet'!F83</f>
        <v>3723779098.8946252</v>
      </c>
      <c r="G100" s="2">
        <f>G12/'Output-Calculation-sheet'!G11*'Output-Calculation-sheet'!G83</f>
        <v>2521266889.9189925</v>
      </c>
      <c r="H100" s="2">
        <f>H12/'Output-Calculation-sheet'!H11*'Output-Calculation-sheet'!H83</f>
        <v>868376610.27225804</v>
      </c>
      <c r="I100" s="2">
        <f>I12/'Output-Calculation-sheet'!I11*'Output-Calculation-sheet'!I83</f>
        <v>1970739321.2450638</v>
      </c>
      <c r="J100" s="2">
        <f>J12/'Output-Calculation-sheet'!J11*'Output-Calculation-sheet'!J83</f>
        <v>1315065480.7721176</v>
      </c>
      <c r="K100" s="2">
        <f>K12/'Output-Calculation-sheet'!K11*'Output-Calculation-sheet'!K83</f>
        <v>1567604881.3507814</v>
      </c>
      <c r="L100" s="2">
        <f>L12/'Output-Calculation-sheet'!L11*'Output-Calculation-sheet'!L83</f>
        <v>1418341251.5078733</v>
      </c>
      <c r="M100" s="2">
        <f>M12/'Output-Calculation-sheet'!M11*'Output-Calculation-sheet'!M83</f>
        <v>683564880.07377446</v>
      </c>
      <c r="N100" s="2">
        <f>N12/'Output-Calculation-sheet'!N11*'Output-Calculation-sheet'!N83</f>
        <v>613598046.90070653</v>
      </c>
      <c r="O100" s="2">
        <f>O12/'Output-Calculation-sheet'!O11*'Output-Calculation-sheet'!O83</f>
        <v>191230002.50869167</v>
      </c>
      <c r="P100" s="2">
        <f>P12/'Output-Calculation-sheet'!P11*'Output-Calculation-sheet'!P83</f>
        <v>1717038349.7740555</v>
      </c>
      <c r="Q100" s="2">
        <f>Q12/'Output-Calculation-sheet'!Q11*'Output-Calculation-sheet'!Q83</f>
        <v>745721962.78437495</v>
      </c>
      <c r="R100" s="2">
        <f>R12/'Output-Calculation-sheet'!R11*'Output-Calculation-sheet'!R83</f>
        <v>1237070670.5693905</v>
      </c>
      <c r="S100" s="2">
        <f>S12/'Output-Calculation-sheet'!S11*'Output-Calculation-sheet'!S83</f>
        <v>457567448.76201123</v>
      </c>
      <c r="T100" s="2">
        <f>T12/'Output-Calculation-sheet'!T11*'Output-Calculation-sheet'!T83</f>
        <v>583809902.80681705</v>
      </c>
      <c r="U100" s="2">
        <f>U12/'Output-Calculation-sheet'!U11*'Output-Calculation-sheet'!U83</f>
        <v>318185917.13941193</v>
      </c>
      <c r="V100" s="2">
        <f>V12/'Output-Calculation-sheet'!V11*'Output-Calculation-sheet'!V83</f>
        <v>233888619.86624575</v>
      </c>
      <c r="W100" s="2">
        <f>W12/'Output-Calculation-sheet'!W11*'Output-Calculation-sheet'!W83</f>
        <v>574465636.99397039</v>
      </c>
      <c r="X100" s="2">
        <f>X12/'Output-Calculation-sheet'!X11*'Output-Calculation-sheet'!X83</f>
        <v>91059014.948168904</v>
      </c>
      <c r="Y100" s="2">
        <f>Y12/'Output-Calculation-sheet'!Y11*'Output-Calculation-sheet'!Y83</f>
        <v>258649927.91328543</v>
      </c>
      <c r="AA100" s="2">
        <f t="shared" si="8"/>
        <v>48.17013967726654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94207140886.089371</v>
      </c>
      <c r="C8" s="2">
        <v>44395145358.495842</v>
      </c>
      <c r="D8" s="2">
        <v>39568076268.386688</v>
      </c>
      <c r="E8" s="2">
        <v>31393253277.263615</v>
      </c>
      <c r="F8" s="2">
        <v>20208963670.562801</v>
      </c>
      <c r="G8" s="2">
        <v>14199372494.975513</v>
      </c>
      <c r="H8" s="2">
        <v>13850942800.613852</v>
      </c>
      <c r="I8" s="2">
        <v>12936746077.783787</v>
      </c>
      <c r="J8" s="2">
        <v>12591735134.185644</v>
      </c>
      <c r="K8" s="2">
        <v>12471023218.983589</v>
      </c>
      <c r="L8" s="2">
        <v>10004416966.819479</v>
      </c>
      <c r="M8" s="2">
        <v>9555943102.7896423</v>
      </c>
      <c r="N8" s="2">
        <v>9379130556.9964046</v>
      </c>
      <c r="O8" s="2">
        <v>8626015296.728981</v>
      </c>
      <c r="P8" s="2">
        <v>8538252411.3373051</v>
      </c>
      <c r="Q8" s="2">
        <v>8400260453.1742783</v>
      </c>
      <c r="R8" s="2">
        <v>8081436933.436512</v>
      </c>
      <c r="S8" s="2">
        <v>5371336971.4958153</v>
      </c>
      <c r="T8" s="2">
        <v>2970666726.7409744</v>
      </c>
      <c r="U8" s="2">
        <v>2587349215.5567608</v>
      </c>
      <c r="V8" s="2">
        <v>1992310642.9630184</v>
      </c>
      <c r="W8" s="2">
        <v>1724899477.0378394</v>
      </c>
      <c r="X8" s="2">
        <v>1034939686.2227043</v>
      </c>
      <c r="Y8" s="2">
        <v>1006468495.4547161</v>
      </c>
    </row>
    <row r="9" spans="1:27" x14ac:dyDescent="0.25">
      <c r="A9" s="2">
        <v>2032</v>
      </c>
      <c r="B9" s="2">
        <v>99380644319.444046</v>
      </c>
      <c r="C9" s="2">
        <v>46833160510.809753</v>
      </c>
      <c r="D9" s="2">
        <v>41741006860.487541</v>
      </c>
      <c r="E9" s="2">
        <v>33117253200.055855</v>
      </c>
      <c r="F9" s="2">
        <v>21318764286.002502</v>
      </c>
      <c r="G9" s="2">
        <v>14979148865.039249</v>
      </c>
      <c r="H9" s="2">
        <v>14611584716.504498</v>
      </c>
      <c r="I9" s="2">
        <v>13647183732.725233</v>
      </c>
      <c r="J9" s="2">
        <v>13283226079.94495</v>
      </c>
      <c r="K9" s="2">
        <v>13155885118.347147</v>
      </c>
      <c r="L9" s="2">
        <v>10553822086.640865</v>
      </c>
      <c r="M9" s="2">
        <v>10080719717.239727</v>
      </c>
      <c r="N9" s="2">
        <v>9894197288.4788322</v>
      </c>
      <c r="O9" s="2">
        <v>9099723758.04146</v>
      </c>
      <c r="P9" s="2">
        <v>9007141263.5986614</v>
      </c>
      <c r="Q9" s="2">
        <v>8861571303.7829247</v>
      </c>
      <c r="R9" s="2">
        <v>8525239190.1266584</v>
      </c>
      <c r="S9" s="2">
        <v>5666310685.8275042</v>
      </c>
      <c r="T9" s="2">
        <v>3133804620.1702003</v>
      </c>
      <c r="U9" s="2">
        <v>2729436746.5450511</v>
      </c>
      <c r="V9" s="2">
        <v>2101720883.5746212</v>
      </c>
      <c r="W9" s="2">
        <v>1819624497.6966991</v>
      </c>
      <c r="X9" s="2">
        <v>1091774698.6180203</v>
      </c>
      <c r="Y9" s="2">
        <v>1061739976.6590368</v>
      </c>
    </row>
    <row r="10" spans="1:27" x14ac:dyDescent="0.25">
      <c r="A10" s="2">
        <v>2033</v>
      </c>
      <c r="B10" s="2">
        <v>100059653533.55692</v>
      </c>
      <c r="C10" s="2">
        <v>47153143820.745338</v>
      </c>
      <c r="D10" s="2">
        <v>42026198493.714592</v>
      </c>
      <c r="E10" s="2">
        <v>33343523820.687645</v>
      </c>
      <c r="F10" s="2">
        <v>21464422804.145798</v>
      </c>
      <c r="G10" s="2">
        <v>15081492537.376862</v>
      </c>
      <c r="H10" s="2">
        <v>14711417040.225468</v>
      </c>
      <c r="I10" s="2">
        <v>13740426874.432243</v>
      </c>
      <c r="J10" s="2">
        <v>13373982514.089565</v>
      </c>
      <c r="K10" s="2">
        <v>13245771506.952703</v>
      </c>
      <c r="L10" s="2">
        <v>10625930116.227619</v>
      </c>
      <c r="M10" s="2">
        <v>10149595317.913971</v>
      </c>
      <c r="N10" s="2">
        <v>9961798491.6219006</v>
      </c>
      <c r="O10" s="2">
        <v>9161896793.0414276</v>
      </c>
      <c r="P10" s="2">
        <v>9068681737.1252861</v>
      </c>
      <c r="Q10" s="2">
        <v>8922117183.7980118</v>
      </c>
      <c r="R10" s="2">
        <v>8583487111.5630026</v>
      </c>
      <c r="S10" s="2">
        <v>5705025238.2642536</v>
      </c>
      <c r="T10" s="2">
        <v>3155216055.2328</v>
      </c>
      <c r="U10" s="2">
        <v>2748085374.8864527</v>
      </c>
      <c r="V10" s="2">
        <v>2116080700.3700678</v>
      </c>
      <c r="W10" s="2">
        <v>1832056916.5909669</v>
      </c>
      <c r="X10" s="2">
        <v>1099234149.954581</v>
      </c>
      <c r="Y10" s="2">
        <v>1068994218.4893286</v>
      </c>
    </row>
    <row r="11" spans="1:27" x14ac:dyDescent="0.25">
      <c r="A11" s="2">
        <v>2034</v>
      </c>
      <c r="B11" s="2">
        <v>96236313831.443115</v>
      </c>
      <c r="C11" s="2">
        <v>45351393759.829163</v>
      </c>
      <c r="D11" s="2">
        <v>40420352105.529305</v>
      </c>
      <c r="E11" s="2">
        <v>32069447667.812908</v>
      </c>
      <c r="F11" s="2">
        <v>20644254264.760185</v>
      </c>
      <c r="G11" s="2">
        <v>14505219612.686512</v>
      </c>
      <c r="H11" s="2">
        <v>14149284923.453903</v>
      </c>
      <c r="I11" s="2">
        <v>13215396877.447594</v>
      </c>
      <c r="J11" s="2">
        <v>12862954577.096498</v>
      </c>
      <c r="K11" s="2">
        <v>12739642589.859501</v>
      </c>
      <c r="L11" s="2">
        <v>10219906918.559492</v>
      </c>
      <c r="M11" s="2">
        <v>9761773160.1413097</v>
      </c>
      <c r="N11" s="2">
        <v>9581152163.8320274</v>
      </c>
      <c r="O11" s="2">
        <v>8811815191.5320148</v>
      </c>
      <c r="P11" s="2">
        <v>8722161939.1154175</v>
      </c>
      <c r="Q11" s="2">
        <v>8581197705.7559795</v>
      </c>
      <c r="R11" s="2">
        <v>8255506892.790658</v>
      </c>
      <c r="S11" s="2">
        <v>5487032783.5162277</v>
      </c>
      <c r="T11" s="2">
        <v>3034653347.021215</v>
      </c>
      <c r="U11" s="2">
        <v>2643079375.4895229</v>
      </c>
      <c r="V11" s="2">
        <v>2035223980.7144437</v>
      </c>
      <c r="W11" s="2">
        <v>1762052916.9930139</v>
      </c>
      <c r="X11" s="2">
        <v>1057231750.195809</v>
      </c>
      <c r="Y11" s="2">
        <v>1028147304.7479206</v>
      </c>
    </row>
    <row r="12" spans="1:27" x14ac:dyDescent="0.25">
      <c r="A12" s="2">
        <v>2035</v>
      </c>
      <c r="B12" s="2">
        <v>88070102034.673233</v>
      </c>
      <c r="C12" s="2">
        <v>41503063831.376846</v>
      </c>
      <c r="D12" s="2">
        <v>36990449784.333801</v>
      </c>
      <c r="E12" s="2">
        <v>29348168231.450893</v>
      </c>
      <c r="F12" s="2">
        <v>18892469039.406723</v>
      </c>
      <c r="G12" s="2">
        <v>13274367236.905298</v>
      </c>
      <c r="H12" s="2">
        <v>12948635679.342735</v>
      </c>
      <c r="I12" s="2">
        <v>12093993473.856842</v>
      </c>
      <c r="J12" s="2">
        <v>11771457955.636333</v>
      </c>
      <c r="K12" s="2">
        <v>11658609708.798014</v>
      </c>
      <c r="L12" s="2">
        <v>9352688286.4493084</v>
      </c>
      <c r="M12" s="2">
        <v>8933429846.0222721</v>
      </c>
      <c r="N12" s="2">
        <v>8768135593.3514519</v>
      </c>
      <c r="O12" s="2">
        <v>8064081344.4721575</v>
      </c>
      <c r="P12" s="2">
        <v>7982035692.7455215</v>
      </c>
      <c r="Q12" s="2">
        <v>7853033095.6910496</v>
      </c>
      <c r="R12" s="2">
        <v>7554979045.3265419</v>
      </c>
      <c r="S12" s="2">
        <v>5021426090.3453493</v>
      </c>
      <c r="T12" s="2">
        <v>2777145333.934216</v>
      </c>
      <c r="U12" s="2">
        <v>2418798694.7713718</v>
      </c>
      <c r="V12" s="2">
        <v>1862523370.9478531</v>
      </c>
      <c r="W12" s="2">
        <v>1612532463.1809134</v>
      </c>
      <c r="X12" s="2">
        <v>967519477.90854859</v>
      </c>
      <c r="Y12" s="2">
        <v>940903017.07128298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 t="shared" ref="AA16:AA23" si="0"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si="0"/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4935.287450609283</v>
      </c>
      <c r="C19" s="2">
        <f>C8/'Output-Calculation-sheet'!C7*'Output-Calculation-sheet'!C25</f>
        <v>6580.5185737306238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2397.7209036247014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1755.0194914539818</v>
      </c>
      <c r="N19" s="2">
        <f>N8/'Output-Calculation-sheet'!N7*'Output-Calculation-sheet'!N25</f>
        <v>914.30720364992771</v>
      </c>
      <c r="O19" s="2">
        <f>O8/'Output-Calculation-sheet'!O7*'Output-Calculation-sheet'!O25</f>
        <v>997.07594765552847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398.58356301433923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202.86873677370116</v>
      </c>
      <c r="Y19" s="2">
        <f>Y8/'Output-Calculation-sheet'!Y7*'Output-Calculation-sheet'!Y25</f>
        <v>0</v>
      </c>
      <c r="AA19" s="2">
        <f t="shared" si="0"/>
        <v>18.181381870512087</v>
      </c>
    </row>
    <row r="20" spans="1:27" x14ac:dyDescent="0.25">
      <c r="A20" s="2">
        <v>2032</v>
      </c>
      <c r="B20" s="2">
        <f>B9/'Output-Calculation-sheet'!B8*'Output-Calculation-sheet'!B26</f>
        <v>6248.3928307950609</v>
      </c>
      <c r="C20" s="2">
        <f>C9/'Output-Calculation-sheet'!C8*'Output-Calculation-sheet'!C26</f>
        <v>7201.7624404301578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2592.6650603367393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1893.2377760940699</v>
      </c>
      <c r="N20" s="2">
        <f>N9/'Output-Calculation-sheet'!N8*'Output-Calculation-sheet'!N26</f>
        <v>1076.896323558751</v>
      </c>
      <c r="O20" s="2">
        <f>O9/'Output-Calculation-sheet'!O8*'Output-Calculation-sheet'!O26</f>
        <v>1114.0523990566392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486.80364469333546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218.69354099682832</v>
      </c>
      <c r="Y20" s="2">
        <f>Y9/'Output-Calculation-sheet'!Y8*'Output-Calculation-sheet'!Y26</f>
        <v>0</v>
      </c>
      <c r="AA20" s="2">
        <f t="shared" si="0"/>
        <v>20.832504015961586</v>
      </c>
    </row>
    <row r="21" spans="1:27" x14ac:dyDescent="0.25">
      <c r="A21" s="2">
        <v>2033</v>
      </c>
      <c r="B21" s="2">
        <f>B10/'Output-Calculation-sheet'!B9*'Output-Calculation-sheet'!B27</f>
        <v>7917.1358457709084</v>
      </c>
      <c r="C21" s="2">
        <f>C10/'Output-Calculation-sheet'!C9*'Output-Calculation-sheet'!C27</f>
        <v>7449.6562318797614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2665.9191917319431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23.132285141237226</v>
      </c>
      <c r="M21" s="2">
        <f>M10/'Output-Calculation-sheet'!M9*'Output-Calculation-sheet'!M27</f>
        <v>1956.7035699006735</v>
      </c>
      <c r="N21" s="2">
        <f>N10/'Output-Calculation-sheet'!N9*'Output-Calculation-sheet'!N27</f>
        <v>1196.0689115711918</v>
      </c>
      <c r="O21" s="2">
        <f>O10/'Output-Calculation-sheet'!O9*'Output-Calculation-sheet'!O27</f>
        <v>1165.109112616427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555.79675229296913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226.51741796516473</v>
      </c>
      <c r="Y21" s="2">
        <f>Y10/'Output-Calculation-sheet'!Y9*'Output-Calculation-sheet'!Y27</f>
        <v>0</v>
      </c>
      <c r="AA21" s="2">
        <f t="shared" si="0"/>
        <v>23.156039318870278</v>
      </c>
    </row>
    <row r="22" spans="1:27" x14ac:dyDescent="0.25">
      <c r="A22" s="2">
        <v>2034</v>
      </c>
      <c r="B22" s="2">
        <f>B11/'Output-Calculation-sheet'!B10*'Output-Calculation-sheet'!B28</f>
        <v>9386.7081709427166</v>
      </c>
      <c r="C22" s="2">
        <f>C11/'Output-Calculation-sheet'!C10*'Output-Calculation-sheet'!C28</f>
        <v>7393.9058627879967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2624.0036868380726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150.30109678035143</v>
      </c>
      <c r="M22" s="2">
        <f>M11/'Output-Calculation-sheet'!M10*'Output-Calculation-sheet'!M28</f>
        <v>1928.9308612842008</v>
      </c>
      <c r="N22" s="2">
        <f>N11/'Output-Calculation-sheet'!N10*'Output-Calculation-sheet'!N28</f>
        <v>1228.9671253957133</v>
      </c>
      <c r="O22" s="2">
        <f>O11/'Output-Calculation-sheet'!O10*'Output-Calculation-sheet'!O28</f>
        <v>1173.0806855006724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569.69798184275476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238.11055483936852</v>
      </c>
      <c r="Y22" s="2">
        <f>Y11/'Output-Calculation-sheet'!Y10*'Output-Calculation-sheet'!Y28</f>
        <v>0</v>
      </c>
      <c r="AA22" s="2">
        <f t="shared" si="0"/>
        <v>24.693706026211849</v>
      </c>
    </row>
    <row r="23" spans="1:27" x14ac:dyDescent="0.25">
      <c r="A23" s="2">
        <v>2035</v>
      </c>
      <c r="B23" s="2">
        <f>B12/'Output-Calculation-sheet'!B11*'Output-Calculation-sheet'!B29</f>
        <v>11104.955582809662</v>
      </c>
      <c r="C23" s="2">
        <f>C12/'Output-Calculation-sheet'!C11*'Output-Calculation-sheet'!C29</f>
        <v>6954.7539546590797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2463.7667260113326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254.82500420398253</v>
      </c>
      <c r="M23" s="2">
        <f>M12/'Output-Calculation-sheet'!M11*'Output-Calculation-sheet'!M29</f>
        <v>1819.8375351267857</v>
      </c>
      <c r="N23" s="2">
        <f>N12/'Output-Calculation-sheet'!N11*'Output-Calculation-sheet'!N29</f>
        <v>1176.1584703083752</v>
      </c>
      <c r="O23" s="2">
        <f>O12/'Output-Calculation-sheet'!O11*'Output-Calculation-sheet'!O29</f>
        <v>1128.7724868423759</v>
      </c>
      <c r="P23" s="2">
        <f>P12/'Output-Calculation-sheet'!P11*'Output-Calculation-sheet'!P29</f>
        <v>0</v>
      </c>
      <c r="Q23" s="2">
        <f>Q12/'Output-Calculation-sheet'!Q11*'Output-Calculation-sheet'!Q29</f>
        <v>66.297038812812104</v>
      </c>
      <c r="R23" s="2">
        <f>R12/'Output-Calculation-sheet'!R11*'Output-Calculation-sheet'!R29</f>
        <v>0</v>
      </c>
      <c r="S23" s="2">
        <f>S12/'Output-Calculation-sheet'!S11*'Output-Calculation-sheet'!S29</f>
        <v>548.23431732330482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240.50517224523657</v>
      </c>
      <c r="Y23" s="2">
        <f>Y12/'Output-Calculation-sheet'!Y11*'Output-Calculation-sheet'!Y29</f>
        <v>0</v>
      </c>
      <c r="AA23" s="2">
        <f t="shared" si="0"/>
        <v>25.758106288342951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 t="shared" ref="AA27:AA34" si="1"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si="1"/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24271.079365994807</v>
      </c>
      <c r="C30" s="2">
        <f>C8/'Output-Calculation-sheet'!C7*'Output-Calculation-sheet'!C16</f>
        <v>0</v>
      </c>
      <c r="D30" s="2">
        <f>D8/'Output-Calculation-sheet'!D7*'Output-Calculation-sheet'!D16</f>
        <v>5468.0401928668425</v>
      </c>
      <c r="E30" s="2">
        <f>E8/'Output-Calculation-sheet'!E7*'Output-Calculation-sheet'!E16</f>
        <v>6852.327858400723</v>
      </c>
      <c r="F30" s="2">
        <f>F8/'Output-Calculation-sheet'!F7*'Output-Calculation-sheet'!F16</f>
        <v>3346.6762916430384</v>
      </c>
      <c r="G30" s="2">
        <f>G8/'Output-Calculation-sheet'!G7*'Output-Calculation-sheet'!G16</f>
        <v>2039.421074779556</v>
      </c>
      <c r="H30" s="2">
        <f>H8/'Output-Calculation-sheet'!H7*'Output-Calculation-sheet'!H16</f>
        <v>0</v>
      </c>
      <c r="I30" s="2">
        <f>I8/'Output-Calculation-sheet'!I7*'Output-Calculation-sheet'!I16</f>
        <v>1919.8632338308225</v>
      </c>
      <c r="J30" s="2">
        <f>J8/'Output-Calculation-sheet'!J7*'Output-Calculation-sheet'!J16</f>
        <v>2058.0103833069347</v>
      </c>
      <c r="K30" s="2">
        <f>K8/'Output-Calculation-sheet'!K7*'Output-Calculation-sheet'!K16</f>
        <v>1991.9227177685425</v>
      </c>
      <c r="L30" s="2">
        <f>L8/'Output-Calculation-sheet'!L7*'Output-Calculation-sheet'!L16</f>
        <v>2201.7537977082206</v>
      </c>
      <c r="M30" s="2">
        <f>M8/'Output-Calculation-sheet'!M7*'Output-Calculation-sheet'!M16</f>
        <v>0</v>
      </c>
      <c r="N30" s="2">
        <f>N8/'Output-Calculation-sheet'!N7*'Output-Calculation-sheet'!N16</f>
        <v>987.32529762880779</v>
      </c>
      <c r="O30" s="2">
        <f>O8/'Output-Calculation-sheet'!O7*'Output-Calculation-sheet'!O16</f>
        <v>0</v>
      </c>
      <c r="P30" s="2">
        <f>P8/'Output-Calculation-sheet'!P7*'Output-Calculation-sheet'!P16</f>
        <v>1884.8104789519334</v>
      </c>
      <c r="Q30" s="2">
        <f>Q8/'Output-Calculation-sheet'!Q7*'Output-Calculation-sheet'!Q16</f>
        <v>1849.092456473835</v>
      </c>
      <c r="R30" s="2">
        <f>R8/'Output-Calculation-sheet'!R7*'Output-Calculation-sheet'!R16</f>
        <v>1640.9278308303687</v>
      </c>
      <c r="S30" s="2">
        <f>S8/'Output-Calculation-sheet'!S7*'Output-Calculation-sheet'!S16</f>
        <v>869.0875933082508</v>
      </c>
      <c r="T30" s="2">
        <f>T8/'Output-Calculation-sheet'!T7*'Output-Calculation-sheet'!T16</f>
        <v>619.80287322876893</v>
      </c>
      <c r="U30" s="2">
        <f>U8/'Output-Calculation-sheet'!U7*'Output-Calculation-sheet'!U16</f>
        <v>478.2415397792609</v>
      </c>
      <c r="V30" s="2">
        <f>V8/'Output-Calculation-sheet'!V7*'Output-Calculation-sheet'!V16</f>
        <v>619.22716034291614</v>
      </c>
      <c r="W30" s="2">
        <f>W8/'Output-Calculation-sheet'!W7*'Output-Calculation-sheet'!W16</f>
        <v>298.14522131281467</v>
      </c>
      <c r="X30" s="2">
        <f>X8/'Output-Calculation-sheet'!X7*'Output-Calculation-sheet'!X16</f>
        <v>0</v>
      </c>
      <c r="Y30" s="2">
        <f>Y8/'Output-Calculation-sheet'!Y7*'Output-Calculation-sheet'!Y16</f>
        <v>203.34154088339216</v>
      </c>
      <c r="AA30" s="2">
        <f t="shared" si="1"/>
        <v>59.599096909039837</v>
      </c>
    </row>
    <row r="31" spans="1:27" x14ac:dyDescent="0.25">
      <c r="A31" s="2">
        <v>2032</v>
      </c>
      <c r="B31" s="2">
        <f>B9/'Output-Calculation-sheet'!B8*'Output-Calculation-sheet'!B17</f>
        <v>25317.583620259204</v>
      </c>
      <c r="C31" s="2">
        <f>C9/'Output-Calculation-sheet'!C8*'Output-Calculation-sheet'!C17</f>
        <v>0</v>
      </c>
      <c r="D31" s="2">
        <f>D9/'Output-Calculation-sheet'!D8*'Output-Calculation-sheet'!D17</f>
        <v>5794.6724342255302</v>
      </c>
      <c r="E31" s="2">
        <f>E9/'Output-Calculation-sheet'!E8*'Output-Calculation-sheet'!E17</f>
        <v>7278.8740995282933</v>
      </c>
      <c r="F31" s="2">
        <f>F9/'Output-Calculation-sheet'!F8*'Output-Calculation-sheet'!F17</f>
        <v>3551.5019112471109</v>
      </c>
      <c r="G31" s="2">
        <f>G9/'Output-Calculation-sheet'!G8*'Output-Calculation-sheet'!G17</f>
        <v>2161.894183512974</v>
      </c>
      <c r="H31" s="2">
        <f>H9/'Output-Calculation-sheet'!H8*'Output-Calculation-sheet'!H17</f>
        <v>0</v>
      </c>
      <c r="I31" s="2">
        <f>I9/'Output-Calculation-sheet'!I8*'Output-Calculation-sheet'!I17</f>
        <v>2034.1382121627789</v>
      </c>
      <c r="J31" s="2">
        <f>J9/'Output-Calculation-sheet'!J8*'Output-Calculation-sheet'!J17</f>
        <v>2182.2811044883633</v>
      </c>
      <c r="K31" s="2">
        <f>K9/'Output-Calculation-sheet'!K8*'Output-Calculation-sheet'!K17</f>
        <v>2110.5722950223926</v>
      </c>
      <c r="L31" s="2">
        <f>L9/'Output-Calculation-sheet'!L8*'Output-Calculation-sheet'!L17</f>
        <v>2332.1069344355783</v>
      </c>
      <c r="M31" s="2">
        <f>M9/'Output-Calculation-sheet'!M8*'Output-Calculation-sheet'!M17</f>
        <v>0</v>
      </c>
      <c r="N31" s="2">
        <f>N9/'Output-Calculation-sheet'!N8*'Output-Calculation-sheet'!N17</f>
        <v>983.30484259578202</v>
      </c>
      <c r="O31" s="2">
        <f>O9/'Output-Calculation-sheet'!O8*'Output-Calculation-sheet'!O17</f>
        <v>0</v>
      </c>
      <c r="P31" s="2">
        <f>P9/'Output-Calculation-sheet'!P8*'Output-Calculation-sheet'!P17</f>
        <v>2008.8434460495648</v>
      </c>
      <c r="Q31" s="2">
        <f>Q9/'Output-Calculation-sheet'!Q8*'Output-Calculation-sheet'!Q17</f>
        <v>1964.5619387849197</v>
      </c>
      <c r="R31" s="2">
        <f>R9/'Output-Calculation-sheet'!R8*'Output-Calculation-sheet'!R17</f>
        <v>1758.2253432094021</v>
      </c>
      <c r="S31" s="2">
        <f>S9/'Output-Calculation-sheet'!S8*'Output-Calculation-sheet'!S17</f>
        <v>880.13237400084063</v>
      </c>
      <c r="T31" s="2">
        <f>T9/'Output-Calculation-sheet'!T8*'Output-Calculation-sheet'!T17</f>
        <v>658.67147243092177</v>
      </c>
      <c r="U31" s="2">
        <f>U9/'Output-Calculation-sheet'!U8*'Output-Calculation-sheet'!U17</f>
        <v>510.00320123827669</v>
      </c>
      <c r="V31" s="2">
        <f>V9/'Output-Calculation-sheet'!V8*'Output-Calculation-sheet'!V17</f>
        <v>648.55085075794727</v>
      </c>
      <c r="W31" s="2">
        <f>W9/'Output-Calculation-sheet'!W8*'Output-Calculation-sheet'!W17</f>
        <v>316.09984902659204</v>
      </c>
      <c r="X31" s="2">
        <f>X9/'Output-Calculation-sheet'!X8*'Output-Calculation-sheet'!X17</f>
        <v>0</v>
      </c>
      <c r="Y31" s="2">
        <f>Y9/'Output-Calculation-sheet'!Y8*'Output-Calculation-sheet'!Y17</f>
        <v>215.48914463842195</v>
      </c>
      <c r="AA31" s="2">
        <f t="shared" si="1"/>
        <v>62.707507257614886</v>
      </c>
    </row>
    <row r="32" spans="1:27" x14ac:dyDescent="0.25">
      <c r="A32" s="2">
        <v>2033</v>
      </c>
      <c r="B32" s="2">
        <f>B10/'Output-Calculation-sheet'!B9*'Output-Calculation-sheet'!B18</f>
        <v>25081.511363556994</v>
      </c>
      <c r="C32" s="2">
        <f>C10/'Output-Calculation-sheet'!C9*'Output-Calculation-sheet'!C18</f>
        <v>0</v>
      </c>
      <c r="D32" s="2">
        <f>D10/'Output-Calculation-sheet'!D9*'Output-Calculation-sheet'!D18</f>
        <v>5867.8551489786332</v>
      </c>
      <c r="E32" s="2">
        <f>E10/'Output-Calculation-sheet'!E9*'Output-Calculation-sheet'!E18</f>
        <v>7380.105471171868</v>
      </c>
      <c r="F32" s="2">
        <f>F10/'Output-Calculation-sheet'!F9*'Output-Calculation-sheet'!F18</f>
        <v>3594.5276363125122</v>
      </c>
      <c r="G32" s="2">
        <f>G10/'Output-Calculation-sheet'!G9*'Output-Calculation-sheet'!G18</f>
        <v>2186.858901793928</v>
      </c>
      <c r="H32" s="2">
        <f>H10/'Output-Calculation-sheet'!H9*'Output-Calculation-sheet'!H18</f>
        <v>0</v>
      </c>
      <c r="I32" s="2">
        <f>I10/'Output-Calculation-sheet'!I9*'Output-Calculation-sheet'!I18</f>
        <v>2060.7293474771241</v>
      </c>
      <c r="J32" s="2">
        <f>J10/'Output-Calculation-sheet'!J9*'Output-Calculation-sheet'!J18</f>
        <v>2208.4158185078404</v>
      </c>
      <c r="K32" s="2">
        <f>K10/'Output-Calculation-sheet'!K9*'Output-Calculation-sheet'!K18</f>
        <v>2141.9996130777754</v>
      </c>
      <c r="L32" s="2">
        <f>L10/'Output-Calculation-sheet'!L9*'Output-Calculation-sheet'!L18</f>
        <v>2353.0317836326376</v>
      </c>
      <c r="M32" s="2">
        <f>M10/'Output-Calculation-sheet'!M9*'Output-Calculation-sheet'!M18</f>
        <v>0</v>
      </c>
      <c r="N32" s="2">
        <f>N10/'Output-Calculation-sheet'!N9*'Output-Calculation-sheet'!N18</f>
        <v>915.78881627974181</v>
      </c>
      <c r="O32" s="2">
        <f>O10/'Output-Calculation-sheet'!O9*'Output-Calculation-sheet'!O18</f>
        <v>0</v>
      </c>
      <c r="P32" s="2">
        <f>P10/'Output-Calculation-sheet'!P9*'Output-Calculation-sheet'!P18</f>
        <v>2063.5271820933249</v>
      </c>
      <c r="Q32" s="2">
        <f>Q10/'Output-Calculation-sheet'!Q9*'Output-Calculation-sheet'!Q18</f>
        <v>1998.8530497728498</v>
      </c>
      <c r="R32" s="2">
        <f>R10/'Output-Calculation-sheet'!R9*'Output-Calculation-sheet'!R18</f>
        <v>1796.6519649665147</v>
      </c>
      <c r="S32" s="2">
        <f>S10/'Output-Calculation-sheet'!S9*'Output-Calculation-sheet'!S18</f>
        <v>856.29411449559984</v>
      </c>
      <c r="T32" s="2">
        <f>T10/'Output-Calculation-sheet'!T9*'Output-Calculation-sheet'!T18</f>
        <v>664.80357822053134</v>
      </c>
      <c r="U32" s="2">
        <f>U10/'Output-Calculation-sheet'!U9*'Output-Calculation-sheet'!U18</f>
        <v>518.30072142910865</v>
      </c>
      <c r="V32" s="2">
        <f>V10/'Output-Calculation-sheet'!V9*'Output-Calculation-sheet'!V18</f>
        <v>653.92646681556676</v>
      </c>
      <c r="W32" s="2">
        <f>W10/'Output-Calculation-sheet'!W9*'Output-Calculation-sheet'!W18</f>
        <v>319.06298535094265</v>
      </c>
      <c r="X32" s="2">
        <f>X10/'Output-Calculation-sheet'!X9*'Output-Calculation-sheet'!X18</f>
        <v>0</v>
      </c>
      <c r="Y32" s="2">
        <f>Y10/'Output-Calculation-sheet'!Y9*'Output-Calculation-sheet'!Y18</f>
        <v>218.34610264147156</v>
      </c>
      <c r="AA32" s="2">
        <f t="shared" si="1"/>
        <v>62.880590066574968</v>
      </c>
    </row>
    <row r="33" spans="1:27" x14ac:dyDescent="0.25">
      <c r="A33" s="2">
        <v>2034</v>
      </c>
      <c r="B33" s="2">
        <f>B11/'Output-Calculation-sheet'!B10*'Output-Calculation-sheet'!B19</f>
        <v>23537.883276232951</v>
      </c>
      <c r="C33" s="2">
        <f>C11/'Output-Calculation-sheet'!C10*'Output-Calculation-sheet'!C19</f>
        <v>0</v>
      </c>
      <c r="D33" s="2">
        <f>D11/'Output-Calculation-sheet'!D10*'Output-Calculation-sheet'!D19</f>
        <v>5668.6022417597724</v>
      </c>
      <c r="E33" s="2">
        <f>E11/'Output-Calculation-sheet'!E10*'Output-Calculation-sheet'!E19</f>
        <v>7135.2085928238575</v>
      </c>
      <c r="F33" s="2">
        <f>F11/'Output-Calculation-sheet'!F10*'Output-Calculation-sheet'!F19</f>
        <v>3473.3269657597316</v>
      </c>
      <c r="G33" s="2">
        <f>G11/'Output-Calculation-sheet'!G10*'Output-Calculation-sheet'!G19</f>
        <v>2108.4548598914762</v>
      </c>
      <c r="H33" s="2">
        <f>H11/'Output-Calculation-sheet'!H10*'Output-Calculation-sheet'!H19</f>
        <v>0</v>
      </c>
      <c r="I33" s="2">
        <f>I11/'Output-Calculation-sheet'!I10*'Output-Calculation-sheet'!I19</f>
        <v>1992.5900443462576</v>
      </c>
      <c r="J33" s="2">
        <f>J11/'Output-Calculation-sheet'!J10*'Output-Calculation-sheet'!J19</f>
        <v>2127.6378536846792</v>
      </c>
      <c r="K33" s="2">
        <f>K11/'Output-Calculation-sheet'!K10*'Output-Calculation-sheet'!K19</f>
        <v>2075.5327705620271</v>
      </c>
      <c r="L33" s="2">
        <f>L11/'Output-Calculation-sheet'!L10*'Output-Calculation-sheet'!L19</f>
        <v>2231.2522480159723</v>
      </c>
      <c r="M33" s="2">
        <f>M11/'Output-Calculation-sheet'!M10*'Output-Calculation-sheet'!M19</f>
        <v>0</v>
      </c>
      <c r="N33" s="2">
        <f>N11/'Output-Calculation-sheet'!N10*'Output-Calculation-sheet'!N19</f>
        <v>839.936218312851</v>
      </c>
      <c r="O33" s="2">
        <f>O11/'Output-Calculation-sheet'!O10*'Output-Calculation-sheet'!O19</f>
        <v>0</v>
      </c>
      <c r="P33" s="2">
        <f>P11/'Output-Calculation-sheet'!P10*'Output-Calculation-sheet'!P19</f>
        <v>2032.4068893498234</v>
      </c>
      <c r="Q33" s="2">
        <f>Q11/'Output-Calculation-sheet'!Q10*'Output-Calculation-sheet'!Q19</f>
        <v>1939.4075472371655</v>
      </c>
      <c r="R33" s="2">
        <f>R11/'Output-Calculation-sheet'!R10*'Output-Calculation-sheet'!R19</f>
        <v>1757.5989793229476</v>
      </c>
      <c r="S33" s="2">
        <f>S11/'Output-Calculation-sheet'!S10*'Output-Calculation-sheet'!S19</f>
        <v>810.11297774807872</v>
      </c>
      <c r="T33" s="2">
        <f>T11/'Output-Calculation-sheet'!T10*'Output-Calculation-sheet'!T19</f>
        <v>641.23304174504165</v>
      </c>
      <c r="U33" s="2">
        <f>U11/'Output-Calculation-sheet'!U10*'Output-Calculation-sheet'!U19</f>
        <v>504.11640228809262</v>
      </c>
      <c r="V33" s="2">
        <f>V11/'Output-Calculation-sheet'!V10*'Output-Calculation-sheet'!V19</f>
        <v>627.42293560916391</v>
      </c>
      <c r="W33" s="2">
        <f>W11/'Output-Calculation-sheet'!W10*'Output-Calculation-sheet'!W19</f>
        <v>307.78271363660269</v>
      </c>
      <c r="X33" s="2">
        <f>X11/'Output-Calculation-sheet'!X10*'Output-Calculation-sheet'!X19</f>
        <v>0</v>
      </c>
      <c r="Y33" s="2">
        <f>Y11/'Output-Calculation-sheet'!Y10*'Output-Calculation-sheet'!Y19</f>
        <v>211.47067960233915</v>
      </c>
      <c r="AA33" s="2">
        <f t="shared" si="1"/>
        <v>60.021977237928859</v>
      </c>
    </row>
    <row r="34" spans="1:27" x14ac:dyDescent="0.25">
      <c r="A34" s="2">
        <v>2035</v>
      </c>
      <c r="B34" s="2">
        <f>B12/'Output-Calculation-sheet'!B11*'Output-Calculation-sheet'!B20</f>
        <v>20716.974052492282</v>
      </c>
      <c r="C34" s="2">
        <f>C12/'Output-Calculation-sheet'!C11*'Output-Calculation-sheet'!C20</f>
        <v>0</v>
      </c>
      <c r="D34" s="2">
        <f>D12/'Output-Calculation-sheet'!D11*'Output-Calculation-sheet'!D20</f>
        <v>5219.0339471380667</v>
      </c>
      <c r="E34" s="2">
        <f>E12/'Output-Calculation-sheet'!E11*'Output-Calculation-sheet'!E20</f>
        <v>6569.442744730899</v>
      </c>
      <c r="F34" s="2">
        <f>F12/'Output-Calculation-sheet'!F11*'Output-Calculation-sheet'!F20</f>
        <v>3192.5781426481026</v>
      </c>
      <c r="G34" s="2">
        <f>G12/'Output-Calculation-sheet'!G11*'Output-Calculation-sheet'!G20</f>
        <v>1944.6064099491391</v>
      </c>
      <c r="H34" s="2">
        <f>H12/'Output-Calculation-sheet'!H11*'Output-Calculation-sheet'!H20</f>
        <v>0</v>
      </c>
      <c r="I34" s="2">
        <f>I12/'Output-Calculation-sheet'!I11*'Output-Calculation-sheet'!I20</f>
        <v>1834.1428592863253</v>
      </c>
      <c r="J34" s="2">
        <f>J12/'Output-Calculation-sheet'!J11*'Output-Calculation-sheet'!J20</f>
        <v>1952.3121415974342</v>
      </c>
      <c r="K34" s="2">
        <f>K12/'Output-Calculation-sheet'!K11*'Output-Calculation-sheet'!K20</f>
        <v>1913.2347147576238</v>
      </c>
      <c r="L34" s="2">
        <f>L12/'Output-Calculation-sheet'!L11*'Output-Calculation-sheet'!L20</f>
        <v>2018.7681591988178</v>
      </c>
      <c r="M34" s="2">
        <f>M12/'Output-Calculation-sheet'!M11*'Output-Calculation-sheet'!M20</f>
        <v>0</v>
      </c>
      <c r="N34" s="2">
        <f>N12/'Output-Calculation-sheet'!N11*'Output-Calculation-sheet'!N20</f>
        <v>740.49514300430667</v>
      </c>
      <c r="O34" s="2">
        <f>O12/'Output-Calculation-sheet'!O11*'Output-Calculation-sheet'!O20</f>
        <v>0</v>
      </c>
      <c r="P34" s="2">
        <f>P12/'Output-Calculation-sheet'!P11*'Output-Calculation-sheet'!P20</f>
        <v>1899.150640813549</v>
      </c>
      <c r="Q34" s="2">
        <f>Q12/'Output-Calculation-sheet'!Q11*'Output-Calculation-sheet'!Q20</f>
        <v>1753.6117504748586</v>
      </c>
      <c r="R34" s="2">
        <f>R12/'Output-Calculation-sheet'!R11*'Output-Calculation-sheet'!R20</f>
        <v>1631.483761810633</v>
      </c>
      <c r="S34" s="2">
        <f>S12/'Output-Calculation-sheet'!S11*'Output-Calculation-sheet'!S20</f>
        <v>731.85556349314072</v>
      </c>
      <c r="T34" s="2">
        <f>T12/'Output-Calculation-sheet'!T11*'Output-Calculation-sheet'!T20</f>
        <v>589.3273201627444</v>
      </c>
      <c r="U34" s="2">
        <f>U12/'Output-Calculation-sheet'!U11*'Output-Calculation-sheet'!U20</f>
        <v>464.17444401621322</v>
      </c>
      <c r="V34" s="2">
        <f>V12/'Output-Calculation-sheet'!V11*'Output-Calculation-sheet'!V20</f>
        <v>575.89261813549751</v>
      </c>
      <c r="W34" s="2">
        <f>W12/'Output-Calculation-sheet'!W11*'Output-Calculation-sheet'!W20</f>
        <v>282.70566276119808</v>
      </c>
      <c r="X34" s="2">
        <f>X12/'Output-Calculation-sheet'!X11*'Output-Calculation-sheet'!X20</f>
        <v>0</v>
      </c>
      <c r="Y34" s="2">
        <f>Y12/'Output-Calculation-sheet'!Y11*'Output-Calculation-sheet'!Y20</f>
        <v>194.50151375086688</v>
      </c>
      <c r="AA34" s="2">
        <f t="shared" si="1"/>
        <v>54.224291590221689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138.69272709081213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123.45741300477117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536.8494885515621</v>
      </c>
      <c r="S52" s="2">
        <f>S8/'Output-Calculation-sheet'!S7*'Output-Calculation-sheet'!S43</f>
        <v>0</v>
      </c>
      <c r="T52" s="2">
        <f>T8/'Output-Calculation-sheet'!T7*'Output-Calculation-sheet'!T43</f>
        <v>432.28068179309247</v>
      </c>
      <c r="U52" s="2">
        <f>U8/'Output-Calculation-sheet'!U7*'Output-Calculation-sheet'!U43</f>
        <v>45.720988506621502</v>
      </c>
      <c r="V52" s="2">
        <f>V8/'Output-Calculation-sheet'!V7*'Output-Calculation-sheet'!V43</f>
        <v>779.52785908374551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2.0565291580306049</v>
      </c>
    </row>
    <row r="53" spans="1:27" x14ac:dyDescent="0.25">
      <c r="A53" s="2">
        <v>2032</v>
      </c>
      <c r="B53" s="2">
        <f>B9/'Output-Calculation-sheet'!B8*'Output-Calculation-sheet'!B44</f>
        <v>1552.1547165458933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292.61842469822744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234.42701734755218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732.89926769879207</v>
      </c>
      <c r="S53" s="2">
        <f>S9/'Output-Calculation-sheet'!S8*'Output-Calculation-sheet'!S44</f>
        <v>0</v>
      </c>
      <c r="T53" s="2">
        <f>T9/'Output-Calculation-sheet'!T8*'Output-Calculation-sheet'!T44</f>
        <v>505.31936884815997</v>
      </c>
      <c r="U53" s="2">
        <f>U9/'Output-Calculation-sheet'!U8*'Output-Calculation-sheet'!U44</f>
        <v>85.745447111493888</v>
      </c>
      <c r="V53" s="2">
        <f>V9/'Output-Calculation-sheet'!V8*'Output-Calculation-sheet'!V44</f>
        <v>847.13067893452614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4.2502949211846452</v>
      </c>
    </row>
    <row r="54" spans="1:27" x14ac:dyDescent="0.25">
      <c r="A54" s="2">
        <v>2033</v>
      </c>
      <c r="B54" s="2">
        <f>B10/'Output-Calculation-sheet'!B9*'Output-Calculation-sheet'!B45</f>
        <v>4688.2790174566799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412.46479886180214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393.38119770591743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231.80689883096326</v>
      </c>
      <c r="Q54" s="2">
        <f>Q10/'Output-Calculation-sheet'!Q9*'Output-Calculation-sheet'!Q45</f>
        <v>0</v>
      </c>
      <c r="R54" s="2">
        <f>R10/'Output-Calculation-sheet'!R9*'Output-Calculation-sheet'!R45</f>
        <v>939.15402673479025</v>
      </c>
      <c r="S54" s="2">
        <f>S10/'Output-Calculation-sheet'!S9*'Output-Calculation-sheet'!S45</f>
        <v>0</v>
      </c>
      <c r="T54" s="2">
        <f>T10/'Output-Calculation-sheet'!T9*'Output-Calculation-sheet'!T45</f>
        <v>564.6127376905622</v>
      </c>
      <c r="U54" s="2">
        <f>U10/'Output-Calculation-sheet'!U9*'Output-Calculation-sheet'!U45</f>
        <v>134.89264856365648</v>
      </c>
      <c r="V54" s="2">
        <f>V10/'Output-Calculation-sheet'!V9*'Output-Calculation-sheet'!V45</f>
        <v>886.20325141701915</v>
      </c>
      <c r="W54" s="2">
        <f>W10/'Output-Calculation-sheet'!W9*'Output-Calculation-sheet'!W45</f>
        <v>14.410992890818425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8.2652055701522098</v>
      </c>
    </row>
    <row r="55" spans="1:27" x14ac:dyDescent="0.25">
      <c r="A55" s="2">
        <v>2034</v>
      </c>
      <c r="B55" s="2">
        <f>B11/'Output-Calculation-sheet'!B10*'Output-Calculation-sheet'!B46</f>
        <v>8078.8705460366446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538.38436664836308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529.68981088033786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428.74887968530049</v>
      </c>
      <c r="Q55" s="2">
        <f>Q11/'Output-Calculation-sheet'!Q10*'Output-Calculation-sheet'!Q46</f>
        <v>0</v>
      </c>
      <c r="R55" s="2">
        <f>R11/'Output-Calculation-sheet'!R10*'Output-Calculation-sheet'!R46</f>
        <v>1112.955688685309</v>
      </c>
      <c r="S55" s="2">
        <f>S11/'Output-Calculation-sheet'!S10*'Output-Calculation-sheet'!S46</f>
        <v>0</v>
      </c>
      <c r="T55" s="2">
        <f>T11/'Output-Calculation-sheet'!T10*'Output-Calculation-sheet'!T46</f>
        <v>578.84328369335105</v>
      </c>
      <c r="U55" s="2">
        <f>U11/'Output-Calculation-sheet'!U10*'Output-Calculation-sheet'!U46</f>
        <v>181.63364676175087</v>
      </c>
      <c r="V55" s="2">
        <f>V11/'Output-Calculation-sheet'!V10*'Output-Calculation-sheet'!V46</f>
        <v>872.34889288933641</v>
      </c>
      <c r="W55" s="2">
        <f>W11/'Output-Calculation-sheet'!W10*'Output-Calculation-sheet'!W46</f>
        <v>24.255595283439373</v>
      </c>
      <c r="X55" s="2">
        <f>X11/'Output-Calculation-sheet'!X10*'Output-Calculation-sheet'!X46</f>
        <v>58.018636146496206</v>
      </c>
      <c r="Y55" s="2">
        <f>Y11/'Output-Calculation-sheet'!Y10*'Output-Calculation-sheet'!Y46</f>
        <v>0</v>
      </c>
      <c r="AA55" s="2">
        <f t="shared" si="3"/>
        <v>12.403749346710333</v>
      </c>
    </row>
    <row r="56" spans="1:27" x14ac:dyDescent="0.25">
      <c r="A56" s="2">
        <v>2035</v>
      </c>
      <c r="B56" s="2">
        <f>B12/'Output-Calculation-sheet'!B11*'Output-Calculation-sheet'!B47</f>
        <v>16162.166144643787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596.42548911628489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577.07445836903037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549.31385574660942</v>
      </c>
      <c r="Q56" s="2">
        <f>Q12/'Output-Calculation-sheet'!Q11*'Output-Calculation-sheet'!Q47</f>
        <v>0</v>
      </c>
      <c r="R56" s="2">
        <f>R12/'Output-Calculation-sheet'!R11*'Output-Calculation-sheet'!R47</f>
        <v>1254.692287370427</v>
      </c>
      <c r="S56" s="2">
        <f>S12/'Output-Calculation-sheet'!S11*'Output-Calculation-sheet'!S47</f>
        <v>0</v>
      </c>
      <c r="T56" s="2">
        <f>T12/'Output-Calculation-sheet'!T11*'Output-Calculation-sheet'!T47</f>
        <v>595.25805639434304</v>
      </c>
      <c r="U56" s="2">
        <f>U12/'Output-Calculation-sheet'!U11*'Output-Calculation-sheet'!U47</f>
        <v>227.96019268634751</v>
      </c>
      <c r="V56" s="2">
        <f>V12/'Output-Calculation-sheet'!V11*'Output-Calculation-sheet'!V47</f>
        <v>812.97317325499455</v>
      </c>
      <c r="W56" s="2">
        <f>W12/'Output-Calculation-sheet'!W11*'Output-Calculation-sheet'!W47</f>
        <v>31.710523909861593</v>
      </c>
      <c r="X56" s="2">
        <f>X12/'Output-Calculation-sheet'!X11*'Output-Calculation-sheet'!X47</f>
        <v>125.15348273044927</v>
      </c>
      <c r="Y56" s="2">
        <f>Y12/'Output-Calculation-sheet'!Y11*'Output-Calculation-sheet'!Y47</f>
        <v>0</v>
      </c>
      <c r="AA56" s="2">
        <f t="shared" si="3"/>
        <v>20.932727664222138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 t="shared" ref="AA60:AA67" si="4"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si="4"/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6.6971798090257222</v>
      </c>
      <c r="C63" s="2">
        <f>C8*'Output-Calculation-sheet'!C52/10^9</f>
        <v>3.3946449004564192</v>
      </c>
      <c r="D63" s="2">
        <f>D8*'Output-Calculation-sheet'!D52/10^9</f>
        <v>1.1859006944537398</v>
      </c>
      <c r="E63" s="2">
        <f>E8*'Output-Calculation-sheet'!E52/10^9</f>
        <v>1.5269522945497604</v>
      </c>
      <c r="F63" s="2">
        <f>F8*'Output-Calculation-sheet'!F52/10^9</f>
        <v>0.63513935154206691</v>
      </c>
      <c r="G63" s="2">
        <f>G8*'Output-Calculation-sheet'!G52/10^9</f>
        <v>0.45572759459851103</v>
      </c>
      <c r="H63" s="2">
        <f>H8*'Output-Calculation-sheet'!H52/10^9</f>
        <v>0.88033183538350768</v>
      </c>
      <c r="I63" s="2">
        <f>I8*'Output-Calculation-sheet'!I52/10^9</f>
        <v>0.40853062601209311</v>
      </c>
      <c r="J63" s="2">
        <f>J8*'Output-Calculation-sheet'!J52/10^9</f>
        <v>0.43918638920690917</v>
      </c>
      <c r="K63" s="2">
        <f>K8*'Output-Calculation-sheet'!K52/10^9</f>
        <v>0.44848577960310565</v>
      </c>
      <c r="L63" s="2">
        <f>L8*'Output-Calculation-sheet'!L52/10^9</f>
        <v>0.46643005880983379</v>
      </c>
      <c r="M63" s="2">
        <f>M8*'Output-Calculation-sheet'!M52/10^9</f>
        <v>0.6656727546709521</v>
      </c>
      <c r="N63" s="2">
        <f>N8*'Output-Calculation-sheet'!N52/10^9</f>
        <v>0.56241660288697359</v>
      </c>
      <c r="O63" s="2">
        <f>O8*'Output-Calculation-sheet'!O52/10^9</f>
        <v>0.58262844592885255</v>
      </c>
      <c r="P63" s="2">
        <f>P8*'Output-Calculation-sheet'!P52/10^9</f>
        <v>0.48286690270014604</v>
      </c>
      <c r="Q63" s="2">
        <f>Q8*'Output-Calculation-sheet'!Q52/10^9</f>
        <v>0.45678826287214563</v>
      </c>
      <c r="R63" s="2">
        <f>R8*'Output-Calculation-sheet'!R52/10^9</f>
        <v>0.38481740124506769</v>
      </c>
      <c r="S63" s="2">
        <f>S8*'Output-Calculation-sheet'!S52/10^9</f>
        <v>0.35381565137103316</v>
      </c>
      <c r="T63" s="2">
        <f>T8*'Output-Calculation-sheet'!T52/10^9</f>
        <v>0.12601081431912864</v>
      </c>
      <c r="U63" s="2">
        <f>U8*'Output-Calculation-sheet'!U52/10^9</f>
        <v>0.12360781572664391</v>
      </c>
      <c r="V63" s="2">
        <f>V8*'Output-Calculation-sheet'!V52/10^9</f>
        <v>0.11078551423631421</v>
      </c>
      <c r="W63" s="2">
        <f>W8*'Output-Calculation-sheet'!W52/10^9</f>
        <v>5.7831877908124489E-2</v>
      </c>
      <c r="X63" s="2">
        <f>X8*'Output-Calculation-sheet'!X52/10^9</f>
        <v>9.3457558781274638E-2</v>
      </c>
      <c r="Y63" s="2">
        <f>Y8*'Output-Calculation-sheet'!Y52/10^9</f>
        <v>4.8203536637048142E-2</v>
      </c>
      <c r="AA63" s="2">
        <f t="shared" si="4"/>
        <v>20.587412472925372</v>
      </c>
    </row>
    <row r="64" spans="1:27" x14ac:dyDescent="0.25">
      <c r="A64" s="2">
        <v>2032</v>
      </c>
      <c r="B64" s="2">
        <f>B9*'Output-Calculation-sheet'!B53/10^9</f>
        <v>7.0162854974032776</v>
      </c>
      <c r="C64" s="2">
        <f>C9*'Output-Calculation-sheet'!C53/10^9</f>
        <v>3.5532104476690365</v>
      </c>
      <c r="D64" s="2">
        <f>D9*'Output-Calculation-sheet'!D53/10^9</f>
        <v>1.2446394163637</v>
      </c>
      <c r="E64" s="2">
        <f>E9*'Output-Calculation-sheet'!E53/10^9</f>
        <v>1.6027919396362613</v>
      </c>
      <c r="F64" s="2">
        <f>F9*'Output-Calculation-sheet'!F53/10^9</f>
        <v>0.66610633976095901</v>
      </c>
      <c r="G64" s="2">
        <f>G9*'Output-Calculation-sheet'!G53/10^9</f>
        <v>0.47819774761636941</v>
      </c>
      <c r="H64" s="2">
        <f>H9*'Output-Calculation-sheet'!H53/10^9</f>
        <v>0.92031842268099273</v>
      </c>
      <c r="I64" s="2">
        <f>I9*'Output-Calculation-sheet'!I53/10^9</f>
        <v>0.42872350549484473</v>
      </c>
      <c r="J64" s="2">
        <f>J9*'Output-Calculation-sheet'!J53/10^9</f>
        <v>0.46075164619479814</v>
      </c>
      <c r="K64" s="2">
        <f>K9*'Output-Calculation-sheet'!K53/10^9</f>
        <v>0.47078861092287672</v>
      </c>
      <c r="L64" s="2">
        <f>L9*'Output-Calculation-sheet'!L53/10^9</f>
        <v>0.4894742987056071</v>
      </c>
      <c r="M64" s="2">
        <f>M9*'Output-Calculation-sheet'!M53/10^9</f>
        <v>0.69607804654235916</v>
      </c>
      <c r="N64" s="2">
        <f>N9*'Output-Calculation-sheet'!N53/10^9</f>
        <v>0.58875356643853505</v>
      </c>
      <c r="O64" s="2">
        <f>O9*'Output-Calculation-sheet'!O53/10^9</f>
        <v>0.61003492130114934</v>
      </c>
      <c r="P64" s="2">
        <f>P9*'Output-Calculation-sheet'!P53/10^9</f>
        <v>0.50717588895900712</v>
      </c>
      <c r="Q64" s="2">
        <f>Q9*'Output-Calculation-sheet'!Q53/10^9</f>
        <v>0.47971165864670867</v>
      </c>
      <c r="R64" s="2">
        <f>R9*'Output-Calculation-sheet'!R53/10^9</f>
        <v>0.40347803958204309</v>
      </c>
      <c r="S64" s="2">
        <f>S9*'Output-Calculation-sheet'!S53/10^9</f>
        <v>0.37071705818369688</v>
      </c>
      <c r="T64" s="2">
        <f>T9*'Output-Calculation-sheet'!T53/10^9</f>
        <v>0.13183166977904112</v>
      </c>
      <c r="U64" s="2">
        <f>U9*'Output-Calculation-sheet'!U53/10^9</f>
        <v>0.12978209259035275</v>
      </c>
      <c r="V64" s="2">
        <f>V9*'Output-Calculation-sheet'!V53/10^9</f>
        <v>0.11551963303628579</v>
      </c>
      <c r="W64" s="2">
        <f>W9*'Output-Calculation-sheet'!W53/10^9</f>
        <v>6.065953655481747E-2</v>
      </c>
      <c r="X64" s="2">
        <f>X9*'Output-Calculation-sheet'!X53/10^9</f>
        <v>9.7795718845963928E-2</v>
      </c>
      <c r="Y64" s="2">
        <f>Y9*'Output-Calculation-sheet'!Y53/10^9</f>
        <v>5.061324767818625E-2</v>
      </c>
      <c r="AA64" s="2">
        <f t="shared" si="4"/>
        <v>21.573438950586866</v>
      </c>
    </row>
    <row r="65" spans="1:27" x14ac:dyDescent="0.25">
      <c r="A65" s="2">
        <v>2033</v>
      </c>
      <c r="B65" s="2">
        <f>B10*'Output-Calculation-sheet'!B54/10^9</f>
        <v>7.0092578815284856</v>
      </c>
      <c r="C65" s="2">
        <f>C10*'Output-Calculation-sheet'!C54/10^9</f>
        <v>3.5485438102391886</v>
      </c>
      <c r="D65" s="2">
        <f>D10*'Output-Calculation-sheet'!D54/10^9</f>
        <v>1.246675138492342</v>
      </c>
      <c r="E65" s="2">
        <f>E10*'Output-Calculation-sheet'!E54/10^9</f>
        <v>1.6056202351720998</v>
      </c>
      <c r="F65" s="2">
        <f>F10*'Output-Calculation-sheet'!F54/10^9</f>
        <v>0.66669789262667589</v>
      </c>
      <c r="G65" s="2">
        <f>G10*'Output-Calculation-sheet'!G54/10^9</f>
        <v>0.47877117088548782</v>
      </c>
      <c r="H65" s="2">
        <f>H10*'Output-Calculation-sheet'!H54/10^9</f>
        <v>0.91800220423592083</v>
      </c>
      <c r="I65" s="2">
        <f>I10*'Output-Calculation-sheet'!I54/10^9</f>
        <v>0.42938433102612605</v>
      </c>
      <c r="J65" s="2">
        <f>J10*'Output-Calculation-sheet'!J54/10^9</f>
        <v>0.46121357637413768</v>
      </c>
      <c r="K65" s="2">
        <f>K10*'Output-Calculation-sheet'!K54/10^9</f>
        <v>0.47164798878033343</v>
      </c>
      <c r="L65" s="2">
        <f>L10*'Output-Calculation-sheet'!L54/10^9</f>
        <v>0.49021368394636516</v>
      </c>
      <c r="M65" s="2">
        <f>M10*'Output-Calculation-sheet'!M54/10^9</f>
        <v>0.69448829195330497</v>
      </c>
      <c r="N65" s="2">
        <f>N10*'Output-Calculation-sheet'!N54/10^9</f>
        <v>0.58789036947256068</v>
      </c>
      <c r="O65" s="2">
        <f>O10*'Output-Calculation-sheet'!O54/10^9</f>
        <v>0.60934980241140957</v>
      </c>
      <c r="P65" s="2">
        <f>P10*'Output-Calculation-sheet'!P54/10^9</f>
        <v>0.50829235229561587</v>
      </c>
      <c r="Q65" s="2">
        <f>Q10*'Output-Calculation-sheet'!Q54/10^9</f>
        <v>0.48079161652777619</v>
      </c>
      <c r="R65" s="2">
        <f>R10*'Output-Calculation-sheet'!R54/10^9</f>
        <v>0.40362032664015268</v>
      </c>
      <c r="S65" s="2">
        <f>S10*'Output-Calculation-sheet'!S54/10^9</f>
        <v>0.37050442572275627</v>
      </c>
      <c r="T65" s="2">
        <f>T10*'Output-Calculation-sheet'!T54/10^9</f>
        <v>0.13158437620501309</v>
      </c>
      <c r="U65" s="2">
        <f>U10*'Output-Calculation-sheet'!U54/10^9</f>
        <v>0.13001370073197976</v>
      </c>
      <c r="V65" s="2">
        <f>V10*'Output-Calculation-sheet'!V54/10^9</f>
        <v>0.11494940805083537</v>
      </c>
      <c r="W65" s="2">
        <f>W10*'Output-Calculation-sheet'!W54/10^9</f>
        <v>6.0714226279489553E-2</v>
      </c>
      <c r="X65" s="2">
        <f>X10*'Output-Calculation-sheet'!X54/10^9</f>
        <v>9.7644764888130703E-2</v>
      </c>
      <c r="Y65" s="2">
        <f>Y10*'Output-Calculation-sheet'!Y54/10^9</f>
        <v>5.0718570550006385E-2</v>
      </c>
      <c r="AA65" s="2">
        <f t="shared" si="4"/>
        <v>21.566590145036191</v>
      </c>
    </row>
    <row r="66" spans="1:27" x14ac:dyDescent="0.25">
      <c r="A66" s="2">
        <v>2034</v>
      </c>
      <c r="B66" s="2">
        <f>B11*'Output-Calculation-sheet'!B55/10^9</f>
        <v>6.6809708049517873</v>
      </c>
      <c r="C66" s="2">
        <f>C11*'Output-Calculation-sheet'!C55/10^9</f>
        <v>3.3842601925981923</v>
      </c>
      <c r="D66" s="2">
        <f>D11*'Output-Calculation-sheet'!D55/10^9</f>
        <v>1.1927896879249968</v>
      </c>
      <c r="E66" s="2">
        <f>E11*'Output-Calculation-sheet'!E55/10^9</f>
        <v>1.536406283115104</v>
      </c>
      <c r="F66" s="2">
        <f>F11*'Output-Calculation-sheet'!F55/10^9</f>
        <v>0.63739578203768665</v>
      </c>
      <c r="G66" s="2">
        <f>G11*'Output-Calculation-sheet'!G55/10^9</f>
        <v>0.45779845869517111</v>
      </c>
      <c r="H66" s="2">
        <f>H11*'Output-Calculation-sheet'!H55/10^9</f>
        <v>0.87446451304466077</v>
      </c>
      <c r="I66" s="2">
        <f>I11*'Output-Calculation-sheet'!I55/10^9</f>
        <v>0.41078192160199062</v>
      </c>
      <c r="J66" s="2">
        <f>J11*'Output-Calculation-sheet'!J55/10^9</f>
        <v>0.44089888276683903</v>
      </c>
      <c r="K66" s="2">
        <f>K11*'Output-Calculation-sheet'!K55/10^9</f>
        <v>0.45134014539797795</v>
      </c>
      <c r="L66" s="2">
        <f>L11*'Output-Calculation-sheet'!L55/10^9</f>
        <v>0.46865613970598108</v>
      </c>
      <c r="M66" s="2">
        <f>M11*'Output-Calculation-sheet'!M55/10^9</f>
        <v>0.6616925812754364</v>
      </c>
      <c r="N66" s="2">
        <f>N11*'Output-Calculation-sheet'!N55/10^9</f>
        <v>0.56046690123040377</v>
      </c>
      <c r="O66" s="2">
        <f>O11*'Output-Calculation-sheet'!O55/10^9</f>
        <v>0.58121092429597354</v>
      </c>
      <c r="P66" s="2">
        <f>P11*'Output-Calculation-sheet'!P55/10^9</f>
        <v>0.48639720888989169</v>
      </c>
      <c r="Q66" s="2">
        <f>Q11*'Output-Calculation-sheet'!Q55/10^9</f>
        <v>0.46028654224380999</v>
      </c>
      <c r="R66" s="2">
        <f>R11*'Output-Calculation-sheet'!R55/10^9</f>
        <v>0.38552311152904978</v>
      </c>
      <c r="S66" s="2">
        <f>S11*'Output-Calculation-sheet'!S55/10^9</f>
        <v>0.35356338904064333</v>
      </c>
      <c r="T66" s="2">
        <f>T11*'Output-Calculation-sheet'!T55/10^9</f>
        <v>0.12543029741811335</v>
      </c>
      <c r="U66" s="2">
        <f>U11*'Output-Calculation-sheet'!U55/10^9</f>
        <v>0.12438026541369113</v>
      </c>
      <c r="V66" s="2">
        <f>V11*'Output-Calculation-sheet'!V55/10^9</f>
        <v>0.10925909020181364</v>
      </c>
      <c r="W66" s="2">
        <f>W11*'Output-Calculation-sheet'!W55/10^9</f>
        <v>5.8040601145186832E-2</v>
      </c>
      <c r="X66" s="2">
        <f>X11*'Output-Calculation-sheet'!X55/10^9</f>
        <v>9.3057852877267977E-2</v>
      </c>
      <c r="Y66" s="2">
        <f>Y11*'Output-Calculation-sheet'!Y55/10^9</f>
        <v>4.8547758295779737E-2</v>
      </c>
      <c r="AA66" s="2">
        <f t="shared" si="4"/>
        <v>20.583619335697449</v>
      </c>
    </row>
    <row r="67" spans="1:27" x14ac:dyDescent="0.25">
      <c r="A67" s="2">
        <v>2035</v>
      </c>
      <c r="B67" s="2">
        <f>B12*'Output-Calculation-sheet'!B56/10^9</f>
        <v>6.0482220046316284</v>
      </c>
      <c r="C67" s="2">
        <f>C12*'Output-Calculation-sheet'!C56/10^9</f>
        <v>3.0700429096414155</v>
      </c>
      <c r="D67" s="2">
        <f>D12*'Output-Calculation-sheet'!D56/10^9</f>
        <v>1.0858262197505446</v>
      </c>
      <c r="E67" s="2">
        <f>E12*'Output-Calculation-sheet'!E56/10^9</f>
        <v>1.3987957183744761</v>
      </c>
      <c r="F67" s="2">
        <f>F12*'Output-Calculation-sheet'!F56/10^9</f>
        <v>0.57978988526773811</v>
      </c>
      <c r="G67" s="2">
        <f>G12*'Output-Calculation-sheet'!G56/10^9</f>
        <v>0.41640363059781615</v>
      </c>
      <c r="H67" s="2">
        <f>H12*'Output-Calculation-sheet'!H56/10^9</f>
        <v>0.79233326145203375</v>
      </c>
      <c r="I67" s="2">
        <f>I12*'Output-Calculation-sheet'!I56/10^9</f>
        <v>0.37390347335703711</v>
      </c>
      <c r="J67" s="2">
        <f>J12*'Output-Calculation-sheet'!J56/10^9</f>
        <v>0.40095286303842459</v>
      </c>
      <c r="K67" s="2">
        <f>K12*'Output-Calculation-sheet'!K56/10^9</f>
        <v>0.41093486342976099</v>
      </c>
      <c r="L67" s="2">
        <f>L12*'Output-Calculation-sheet'!L56/10^9</f>
        <v>0.42590611696413955</v>
      </c>
      <c r="M67" s="2">
        <f>M12*'Output-Calculation-sheet'!M56/10^9</f>
        <v>0.59966131838045433</v>
      </c>
      <c r="N67" s="2">
        <f>N12*'Output-Calculation-sheet'!N56/10^9</f>
        <v>0.50820140752201703</v>
      </c>
      <c r="O67" s="2">
        <f>O12*'Output-Calculation-sheet'!O56/10^9</f>
        <v>0.5272316827282586</v>
      </c>
      <c r="P67" s="2">
        <f>P12*'Output-Calculation-sheet'!P56/10^9</f>
        <v>0.44269598545823546</v>
      </c>
      <c r="Q67" s="2">
        <f>Q12*'Output-Calculation-sheet'!Q56/10^9</f>
        <v>0.4192256972800496</v>
      </c>
      <c r="R67" s="2">
        <f>R12*'Output-Calculation-sheet'!R56/10^9</f>
        <v>0.35023589836277524</v>
      </c>
      <c r="S67" s="2">
        <f>S12*'Output-Calculation-sheet'!S56/10^9</f>
        <v>0.32092740415388327</v>
      </c>
      <c r="T67" s="2">
        <f>T12*'Output-Calculation-sheet'!T56/10^9</f>
        <v>0.11373433872870939</v>
      </c>
      <c r="U67" s="2">
        <f>U12*'Output-Calculation-sheet'!U56/10^9</f>
        <v>0.11317326530963193</v>
      </c>
      <c r="V67" s="2">
        <f>V12*'Output-Calculation-sheet'!V56/10^9</f>
        <v>9.8800945193403961E-2</v>
      </c>
      <c r="W67" s="2">
        <f>W12*'Output-Calculation-sheet'!W56/10^9</f>
        <v>5.2783514033791182E-2</v>
      </c>
      <c r="X67" s="2">
        <f>X12*'Output-Calculation-sheet'!X56/10^9</f>
        <v>8.4267632717907173E-2</v>
      </c>
      <c r="Y67" s="2">
        <f>Y12*'Output-Calculation-sheet'!Y56/10^9</f>
        <v>4.4213955477049038E-2</v>
      </c>
      <c r="AA67" s="2">
        <f t="shared" si="4"/>
        <v>18.678263991851182</v>
      </c>
    </row>
    <row r="68" spans="1:27" x14ac:dyDescent="0.25">
      <c r="B68" s="2">
        <f>SUM(B60:B67)</f>
        <v>48.044153087375335</v>
      </c>
      <c r="C68" s="2">
        <f t="shared" ref="C68:Y68" si="5">SUM(C60:C67)</f>
        <v>24.33519104089714</v>
      </c>
      <c r="D68" s="2">
        <f t="shared" si="5"/>
        <v>8.5366076839508693</v>
      </c>
      <c r="E68" s="2">
        <f t="shared" si="5"/>
        <v>10.992300874323288</v>
      </c>
      <c r="F68" s="2">
        <f t="shared" si="5"/>
        <v>4.5700268760387655</v>
      </c>
      <c r="G68" s="2">
        <f t="shared" si="5"/>
        <v>3.2783772206871347</v>
      </c>
      <c r="H68" s="2">
        <f t="shared" si="5"/>
        <v>6.3052568673390672</v>
      </c>
      <c r="I68" s="2">
        <f t="shared" si="5"/>
        <v>2.9405798991028851</v>
      </c>
      <c r="J68" s="2">
        <f t="shared" si="5"/>
        <v>3.1593062937153951</v>
      </c>
      <c r="K68" s="2">
        <f t="shared" si="5"/>
        <v>3.2286625027525253</v>
      </c>
      <c r="L68" s="2">
        <f t="shared" si="5"/>
        <v>3.3560630234389865</v>
      </c>
      <c r="M68" s="2">
        <f t="shared" si="5"/>
        <v>4.7686163085311621</v>
      </c>
      <c r="N68" s="2">
        <f t="shared" si="5"/>
        <v>4.0322484387622266</v>
      </c>
      <c r="O68" s="2">
        <f t="shared" si="5"/>
        <v>4.1740038335735488</v>
      </c>
      <c r="P68" s="2">
        <f t="shared" si="5"/>
        <v>3.4759652540484614</v>
      </c>
      <c r="Q68" s="2">
        <f t="shared" si="5"/>
        <v>3.2891482754423422</v>
      </c>
      <c r="R68" s="2">
        <f t="shared" si="5"/>
        <v>2.765722887966549</v>
      </c>
      <c r="S68" s="2">
        <f t="shared" si="5"/>
        <v>2.5393050660008156</v>
      </c>
      <c r="T68" s="2">
        <f t="shared" si="5"/>
        <v>0.90524362469321484</v>
      </c>
      <c r="U68" s="2">
        <f t="shared" si="5"/>
        <v>0.88938772297351265</v>
      </c>
      <c r="V68" s="2">
        <f t="shared" si="5"/>
        <v>0.79611851674094269</v>
      </c>
      <c r="W68" s="2">
        <f t="shared" si="5"/>
        <v>0.41609095343107955</v>
      </c>
      <c r="X68" s="2">
        <f t="shared" si="5"/>
        <v>0.66968543722110874</v>
      </c>
      <c r="Y68" s="2">
        <f t="shared" si="5"/>
        <v>0.34707317792416276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50.81701520607357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45.234796124948161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179.48141577545903</v>
      </c>
      <c r="S74" s="2">
        <f>S8/'Output-Calculation-sheet'!S7*'Output-Calculation-sheet'!S61</f>
        <v>0</v>
      </c>
      <c r="T74" s="2">
        <f>T8/'Output-Calculation-sheet'!T7*'Output-Calculation-sheet'!T61</f>
        <v>132.21947232033588</v>
      </c>
      <c r="U74" s="2">
        <f>U8/'Output-Calculation-sheet'!U7*'Output-Calculation-sheet'!U61</f>
        <v>16.749122122925677</v>
      </c>
      <c r="V74" s="2">
        <f>V8/'Output-Calculation-sheet'!V7*'Output-Calculation-sheet'!V61</f>
        <v>151.76898177055594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0.57627080332029823</v>
      </c>
    </row>
    <row r="75" spans="1:27" x14ac:dyDescent="0.25">
      <c r="A75" s="2">
        <v>2032</v>
      </c>
      <c r="B75" s="2">
        <f>B9/'Output-Calculation-sheet'!B8*'Output-Calculation-sheet'!B62</f>
        <v>528.50868098387673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107.18612896696069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85.878430688319952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227.23208658970273</v>
      </c>
      <c r="S75" s="2">
        <f>S9/'Output-Calculation-sheet'!S8*'Output-Calculation-sheet'!S62</f>
        <v>0</v>
      </c>
      <c r="T75" s="2">
        <f>T9/'Output-Calculation-sheet'!T8*'Output-Calculation-sheet'!T62</f>
        <v>150.09217741055835</v>
      </c>
      <c r="U75" s="2">
        <f>U9/'Output-Calculation-sheet'!U8*'Output-Calculation-sheet'!U62</f>
        <v>30.680792794581404</v>
      </c>
      <c r="V75" s="2">
        <f>V9/'Output-Calculation-sheet'!V8*'Output-Calculation-sheet'!V62</f>
        <v>160.78127051699778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1.2903595679509976</v>
      </c>
    </row>
    <row r="76" spans="1:27" x14ac:dyDescent="0.25">
      <c r="A76" s="2">
        <v>2033</v>
      </c>
      <c r="B76" s="2">
        <f>B10/'Output-Calculation-sheet'!B9*'Output-Calculation-sheet'!B63</f>
        <v>1287.9093150871622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151.07996346880867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144.10864542626777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65.012919472130164</v>
      </c>
      <c r="Q76" s="2">
        <f>Q10/'Output-Calculation-sheet'!Q9*'Output-Calculation-sheet'!Q63</f>
        <v>0</v>
      </c>
      <c r="R76" s="2">
        <f>R10/'Output-Calculation-sheet'!R9*'Output-Calculation-sheet'!R63</f>
        <v>276.89950241818076</v>
      </c>
      <c r="S76" s="2">
        <f>S10/'Output-Calculation-sheet'!S9*'Output-Calculation-sheet'!S63</f>
        <v>0</v>
      </c>
      <c r="T76" s="2">
        <f>T10/'Output-Calculation-sheet'!T9*'Output-Calculation-sheet'!T63</f>
        <v>161.83910604308377</v>
      </c>
      <c r="U76" s="2">
        <f>U10/'Output-Calculation-sheet'!U9*'Output-Calculation-sheet'!U63</f>
        <v>47.072138642773567</v>
      </c>
      <c r="V76" s="2">
        <f>V10/'Output-Calculation-sheet'!V9*'Output-Calculation-sheet'!V63</f>
        <v>168.09569842136341</v>
      </c>
      <c r="W76" s="2">
        <f>W10/'Output-Calculation-sheet'!W9*'Output-Calculation-sheet'!W63</f>
        <v>5.2780261462622482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2.3072953151260323</v>
      </c>
    </row>
    <row r="77" spans="1:27" x14ac:dyDescent="0.25">
      <c r="A77" s="2">
        <v>2034</v>
      </c>
      <c r="B77" s="2">
        <f>B11/'Output-Calculation-sheet'!B10*'Output-Calculation-sheet'!B64</f>
        <v>2070.4454283098562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197.21869430908458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183.32312121325216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118.33469079314294</v>
      </c>
      <c r="Q77" s="2">
        <f>Q11/'Output-Calculation-sheet'!Q10*'Output-Calculation-sheet'!Q64</f>
        <v>0</v>
      </c>
      <c r="R77" s="2">
        <f>R11/'Output-Calculation-sheet'!R10*'Output-Calculation-sheet'!R64</f>
        <v>307.38545738081064</v>
      </c>
      <c r="S77" s="2">
        <f>S11/'Output-Calculation-sheet'!S10*'Output-Calculation-sheet'!S64</f>
        <v>0</v>
      </c>
      <c r="T77" s="2">
        <f>T11/'Output-Calculation-sheet'!T10*'Output-Calculation-sheet'!T64</f>
        <v>165.56708150589716</v>
      </c>
      <c r="U77" s="2">
        <f>U11/'Output-Calculation-sheet'!U10*'Output-Calculation-sheet'!U64</f>
        <v>56.129986382145638</v>
      </c>
      <c r="V77" s="2">
        <f>V11/'Output-Calculation-sheet'!V10*'Output-Calculation-sheet'!V64</f>
        <v>167.65905465264871</v>
      </c>
      <c r="W77" s="2">
        <f>W11/'Output-Calculation-sheet'!W10*'Output-Calculation-sheet'!W64</f>
        <v>8.8844780438197937</v>
      </c>
      <c r="X77" s="2">
        <f>X11/'Output-Calculation-sheet'!X10*'Output-Calculation-sheet'!X64</f>
        <v>15.940620281249831</v>
      </c>
      <c r="Y77" s="2">
        <f>Y11/'Output-Calculation-sheet'!Y10*'Output-Calculation-sheet'!Y64</f>
        <v>0</v>
      </c>
      <c r="AA77" s="2">
        <f t="shared" si="6"/>
        <v>3.2908886128719073</v>
      </c>
    </row>
    <row r="78" spans="1:27" x14ac:dyDescent="0.25">
      <c r="A78" s="2">
        <v>2035</v>
      </c>
      <c r="B78" s="2">
        <f>B12/'Output-Calculation-sheet'!B11*'Output-Calculation-sheet'!B65</f>
        <v>3334.7363018655983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215.64671163004459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190.45765424011478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154.71817114143073</v>
      </c>
      <c r="Q78" s="2">
        <f>Q12/'Output-Calculation-sheet'!Q11*'Output-Calculation-sheet'!Q65</f>
        <v>0</v>
      </c>
      <c r="R78" s="2">
        <f>R12/'Output-Calculation-sheet'!R11*'Output-Calculation-sheet'!R65</f>
        <v>339.63782164830769</v>
      </c>
      <c r="S78" s="2">
        <f>S12/'Output-Calculation-sheet'!S11*'Output-Calculation-sheet'!S65</f>
        <v>0</v>
      </c>
      <c r="T78" s="2">
        <f>T12/'Output-Calculation-sheet'!T11*'Output-Calculation-sheet'!T65</f>
        <v>164.39498414347622</v>
      </c>
      <c r="U78" s="2">
        <f>U12/'Output-Calculation-sheet'!U11*'Output-Calculation-sheet'!U65</f>
        <v>63.919088195115648</v>
      </c>
      <c r="V78" s="2">
        <f>V12/'Output-Calculation-sheet'!V11*'Output-Calculation-sheet'!V65</f>
        <v>155.09843606697652</v>
      </c>
      <c r="W78" s="2">
        <f>W12/'Output-Calculation-sheet'!W11*'Output-Calculation-sheet'!W65</f>
        <v>11.615564908182302</v>
      </c>
      <c r="X78" s="2">
        <f>X12/'Output-Calculation-sheet'!X11*'Output-Calculation-sheet'!X65</f>
        <v>31.720719077499329</v>
      </c>
      <c r="Y78" s="2">
        <f>Y12/'Output-Calculation-sheet'!Y11*'Output-Calculation-sheet'!Y65</f>
        <v>0</v>
      </c>
      <c r="AA78" s="2">
        <f t="shared" si="6"/>
        <v>4.6619454529167461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 t="shared" ref="AA93:AA100" si="8"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si="8"/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14705552827.509361</v>
      </c>
      <c r="C96" s="2">
        <f>C8/'Output-Calculation-sheet'!C7*'Output-Calculation-sheet'!C79</f>
        <v>1810097836.3275166</v>
      </c>
      <c r="D96" s="2">
        <f>D8/'Output-Calculation-sheet'!D7*'Output-Calculation-sheet'!D79</f>
        <v>6410110661.4149685</v>
      </c>
      <c r="E96" s="2">
        <f>E8/'Output-Calculation-sheet'!E7*'Output-Calculation-sheet'!E79</f>
        <v>10959840702.72216</v>
      </c>
      <c r="F96" s="2">
        <f>F8/'Output-Calculation-sheet'!F7*'Output-Calculation-sheet'!F79</f>
        <v>4932294097.5655746</v>
      </c>
      <c r="G96" s="2">
        <f>G8/'Output-Calculation-sheet'!G7*'Output-Calculation-sheet'!G79</f>
        <v>3746301371.668014</v>
      </c>
      <c r="H96" s="2">
        <f>H8/'Output-Calculation-sheet'!H7*'Output-Calculation-sheet'!H79</f>
        <v>1089926856.0663772</v>
      </c>
      <c r="I96" s="2">
        <f>I8/'Output-Calculation-sheet'!I7*'Output-Calculation-sheet'!I79</f>
        <v>2512917372.1756859</v>
      </c>
      <c r="J96" s="2">
        <f>J8/'Output-Calculation-sheet'!J7*'Output-Calculation-sheet'!J79</f>
        <v>1862115320.8809178</v>
      </c>
      <c r="K96" s="2">
        <f>K8/'Output-Calculation-sheet'!K7*'Output-Calculation-sheet'!K79</f>
        <v>2153073441.5797696</v>
      </c>
      <c r="L96" s="2">
        <f>L8/'Output-Calculation-sheet'!L7*'Output-Calculation-sheet'!L79</f>
        <v>1712730361.5607684</v>
      </c>
      <c r="M96" s="2">
        <f>M8/'Output-Calculation-sheet'!M7*'Output-Calculation-sheet'!M79</f>
        <v>847320866.24394953</v>
      </c>
      <c r="N96" s="2">
        <f>N8/'Output-Calculation-sheet'!N7*'Output-Calculation-sheet'!N79</f>
        <v>860538409.28931284</v>
      </c>
      <c r="O96" s="2">
        <f>O8/'Output-Calculation-sheet'!O7*'Output-Calculation-sheet'!O79</f>
        <v>210057506.24088079</v>
      </c>
      <c r="P96" s="2">
        <f>P8/'Output-Calculation-sheet'!P7*'Output-Calculation-sheet'!P79</f>
        <v>2288736332.4158068</v>
      </c>
      <c r="Q96" s="2">
        <f>Q8/'Output-Calculation-sheet'!Q7*'Output-Calculation-sheet'!Q79</f>
        <v>1014898183.884744</v>
      </c>
      <c r="R96" s="2">
        <f>R8/'Output-Calculation-sheet'!R7*'Output-Calculation-sheet'!R79</f>
        <v>1544151078.8075373</v>
      </c>
      <c r="S96" s="2">
        <f>S8/'Output-Calculation-sheet'!S7*'Output-Calculation-sheet'!S79</f>
        <v>603565228.53484929</v>
      </c>
      <c r="T96" s="2">
        <f>T8/'Output-Calculation-sheet'!T7*'Output-Calculation-sheet'!T79</f>
        <v>817419986.9104811</v>
      </c>
      <c r="U96" s="2">
        <f>U8/'Output-Calculation-sheet'!U7*'Output-Calculation-sheet'!U79</f>
        <v>405989728.46531212</v>
      </c>
      <c r="V96" s="2">
        <f>V8/'Output-Calculation-sheet'!V7*'Output-Calculation-sheet'!V79</f>
        <v>299161286.74877179</v>
      </c>
      <c r="W96" s="2">
        <f>W8/'Output-Calculation-sheet'!W7*'Output-Calculation-sheet'!W79</f>
        <v>796978783.27740443</v>
      </c>
      <c r="X96" s="2">
        <f>X8/'Output-Calculation-sheet'!X7*'Output-Calculation-sheet'!X79</f>
        <v>94440250.937473193</v>
      </c>
      <c r="Y96" s="2">
        <f>Y8/'Output-Calculation-sheet'!Y7*'Output-Calculation-sheet'!Y79</f>
        <v>357674288.11586082</v>
      </c>
      <c r="AA96" s="2">
        <f t="shared" si="8"/>
        <v>62.035892779343513</v>
      </c>
    </row>
    <row r="97" spans="1:27" x14ac:dyDescent="0.25">
      <c r="A97" s="2">
        <v>2032</v>
      </c>
      <c r="B97" s="2">
        <f>B9/'Output-Calculation-sheet'!B8*'Output-Calculation-sheet'!B80</f>
        <v>15719309138.08744</v>
      </c>
      <c r="C97" s="2">
        <f>C9/'Output-Calculation-sheet'!C8*'Output-Calculation-sheet'!C80</f>
        <v>1974867891.28971</v>
      </c>
      <c r="D97" s="2">
        <f>D9/'Output-Calculation-sheet'!D8*'Output-Calculation-sheet'!D80</f>
        <v>6504218600.6109524</v>
      </c>
      <c r="E97" s="2">
        <f>E9/'Output-Calculation-sheet'!E8*'Output-Calculation-sheet'!E80</f>
        <v>11451363120.572657</v>
      </c>
      <c r="F97" s="2">
        <f>F9/'Output-Calculation-sheet'!F8*'Output-Calculation-sheet'!F80</f>
        <v>5141594592.9155121</v>
      </c>
      <c r="G97" s="2">
        <f>G9/'Output-Calculation-sheet'!G8*'Output-Calculation-sheet'!G80</f>
        <v>3805710372.2819834</v>
      </c>
      <c r="H97" s="2">
        <f>H9/'Output-Calculation-sheet'!H8*'Output-Calculation-sheet'!H80</f>
        <v>1153154840.1997988</v>
      </c>
      <c r="I97" s="2">
        <f>I9/'Output-Calculation-sheet'!I8*'Output-Calculation-sheet'!I80</f>
        <v>2643337432.3139782</v>
      </c>
      <c r="J97" s="2">
        <f>J9/'Output-Calculation-sheet'!J8*'Output-Calculation-sheet'!J80</f>
        <v>1907322437.2648106</v>
      </c>
      <c r="K97" s="2">
        <f>K9/'Output-Calculation-sheet'!K8*'Output-Calculation-sheet'!K80</f>
        <v>2220179471.548171</v>
      </c>
      <c r="L97" s="2">
        <f>L9/'Output-Calculation-sheet'!L8*'Output-Calculation-sheet'!L80</f>
        <v>1820420693.240113</v>
      </c>
      <c r="M97" s="2">
        <f>M9/'Output-Calculation-sheet'!M8*'Output-Calculation-sheet'!M80</f>
        <v>896326626.55698049</v>
      </c>
      <c r="N97" s="2">
        <f>N9/'Output-Calculation-sheet'!N8*'Output-Calculation-sheet'!N80</f>
        <v>888373519.64090359</v>
      </c>
      <c r="O97" s="2">
        <f>O9/'Output-Calculation-sheet'!O8*'Output-Calculation-sheet'!O80</f>
        <v>231848771.73642209</v>
      </c>
      <c r="P97" s="2">
        <f>P9/'Output-Calculation-sheet'!P8*'Output-Calculation-sheet'!P80</f>
        <v>2357780551.4890647</v>
      </c>
      <c r="Q97" s="2">
        <f>Q9/'Output-Calculation-sheet'!Q8*'Output-Calculation-sheet'!Q80</f>
        <v>1048403008.392455</v>
      </c>
      <c r="R97" s="2">
        <f>R9/'Output-Calculation-sheet'!R8*'Output-Calculation-sheet'!R80</f>
        <v>1631469415.4528036</v>
      </c>
      <c r="S97" s="2">
        <f>S9/'Output-Calculation-sheet'!S8*'Output-Calculation-sheet'!S80</f>
        <v>629206513.29099202</v>
      </c>
      <c r="T97" s="2">
        <f>T9/'Output-Calculation-sheet'!T8*'Output-Calculation-sheet'!T80</f>
        <v>841312995.86976171</v>
      </c>
      <c r="U97" s="2">
        <f>U9/'Output-Calculation-sheet'!U8*'Output-Calculation-sheet'!U80</f>
        <v>426984084.20859724</v>
      </c>
      <c r="V97" s="2">
        <f>V9/'Output-Calculation-sheet'!V8*'Output-Calculation-sheet'!V80</f>
        <v>314529124.93266028</v>
      </c>
      <c r="W97" s="2">
        <f>W9/'Output-Calculation-sheet'!W8*'Output-Calculation-sheet'!W80</f>
        <v>822542347.0737747</v>
      </c>
      <c r="X97" s="2">
        <f>X9/'Output-Calculation-sheet'!X8*'Output-Calculation-sheet'!X80</f>
        <v>100729107.0397803</v>
      </c>
      <c r="Y97" s="2">
        <f>Y9/'Output-Calculation-sheet'!Y8*'Output-Calculation-sheet'!Y80</f>
        <v>369358751.66208076</v>
      </c>
      <c r="AA97" s="2">
        <f t="shared" si="8"/>
        <v>64.900343407671414</v>
      </c>
    </row>
    <row r="98" spans="1:27" x14ac:dyDescent="0.25">
      <c r="A98" s="2">
        <v>2033</v>
      </c>
      <c r="B98" s="2">
        <f>B10/'Output-Calculation-sheet'!B9*'Output-Calculation-sheet'!B81</f>
        <v>16177777988.251686</v>
      </c>
      <c r="C98" s="2">
        <f>C10/'Output-Calculation-sheet'!C9*'Output-Calculation-sheet'!C81</f>
        <v>2039979187.1001105</v>
      </c>
      <c r="D98" s="2">
        <f>D10/'Output-Calculation-sheet'!D9*'Output-Calculation-sheet'!D81</f>
        <v>6305035242.9470539</v>
      </c>
      <c r="E98" s="2">
        <f>E10/'Output-Calculation-sheet'!E9*'Output-Calculation-sheet'!E81</f>
        <v>11425469542.793385</v>
      </c>
      <c r="F98" s="2">
        <f>F10/'Output-Calculation-sheet'!F9*'Output-Calculation-sheet'!F81</f>
        <v>5118070075.6354322</v>
      </c>
      <c r="G98" s="2">
        <f>G10/'Output-Calculation-sheet'!G9*'Output-Calculation-sheet'!G81</f>
        <v>3682615356.0320978</v>
      </c>
      <c r="H98" s="2">
        <f>H10/'Output-Calculation-sheet'!H9*'Output-Calculation-sheet'!H81</f>
        <v>1161592490.473587</v>
      </c>
      <c r="I98" s="2">
        <f>I10/'Output-Calculation-sheet'!I9*'Output-Calculation-sheet'!I81</f>
        <v>2657210936.4367766</v>
      </c>
      <c r="J98" s="2">
        <f>J10/'Output-Calculation-sheet'!J9*'Output-Calculation-sheet'!J81</f>
        <v>1868296336.9382496</v>
      </c>
      <c r="K98" s="2">
        <f>K10/'Output-Calculation-sheet'!K9*'Output-Calculation-sheet'!K81</f>
        <v>2191042611.6114812</v>
      </c>
      <c r="L98" s="2">
        <f>L10/'Output-Calculation-sheet'!L9*'Output-Calculation-sheet'!L81</f>
        <v>1850114159.8999217</v>
      </c>
      <c r="M98" s="2">
        <f>M10/'Output-Calculation-sheet'!M9*'Output-Calculation-sheet'!M81</f>
        <v>907513754.35018694</v>
      </c>
      <c r="N98" s="2">
        <f>N10/'Output-Calculation-sheet'!N9*'Output-Calculation-sheet'!N81</f>
        <v>868176329.18793118</v>
      </c>
      <c r="O98" s="2">
        <f>O10/'Output-Calculation-sheet'!O9*'Output-Calculation-sheet'!O81</f>
        <v>239889635.05400375</v>
      </c>
      <c r="P98" s="2">
        <f>P10/'Output-Calculation-sheet'!P9*'Output-Calculation-sheet'!P81</f>
        <v>2355238332.9721823</v>
      </c>
      <c r="Q98" s="2">
        <f>Q10/'Output-Calculation-sheet'!Q9*'Output-Calculation-sheet'!Q81</f>
        <v>1037102648.075067</v>
      </c>
      <c r="R98" s="2">
        <f>R10/'Output-Calculation-sheet'!R9*'Output-Calculation-sheet'!R81</f>
        <v>1647492168.3189712</v>
      </c>
      <c r="S98" s="2">
        <f>S10/'Output-Calculation-sheet'!S9*'Output-Calculation-sheet'!S81</f>
        <v>628266085.40468788</v>
      </c>
      <c r="T98" s="2">
        <f>T10/'Output-Calculation-sheet'!T9*'Output-Calculation-sheet'!T81</f>
        <v>825664849.45636201</v>
      </c>
      <c r="U98" s="2">
        <f>U10/'Output-Calculation-sheet'!U9*'Output-Calculation-sheet'!U81</f>
        <v>429024072.34551072</v>
      </c>
      <c r="V98" s="2">
        <f>V10/'Output-Calculation-sheet'!V9*'Output-Calculation-sheet'!V81</f>
        <v>316283568.90090638</v>
      </c>
      <c r="W98" s="2">
        <f>W10/'Output-Calculation-sheet'!W9*'Output-Calculation-sheet'!W81</f>
        <v>810565749.98448491</v>
      </c>
      <c r="X98" s="2">
        <f>X10/'Output-Calculation-sheet'!X9*'Output-Calculation-sheet'!X81</f>
        <v>102935460.04885392</v>
      </c>
      <c r="Y98" s="2">
        <f>Y10/'Output-Calculation-sheet'!Y9*'Output-Calculation-sheet'!Y81</f>
        <v>364059932.04866266</v>
      </c>
      <c r="AA98" s="2">
        <f t="shared" si="8"/>
        <v>65.009416514267585</v>
      </c>
    </row>
    <row r="99" spans="1:27" x14ac:dyDescent="0.25">
      <c r="A99" s="2">
        <v>2034</v>
      </c>
      <c r="B99" s="2">
        <f>B11/'Output-Calculation-sheet'!B10*'Output-Calculation-sheet'!B82</f>
        <v>15891455882.454611</v>
      </c>
      <c r="C99" s="2">
        <f>C11/'Output-Calculation-sheet'!C10*'Output-Calculation-sheet'!C82</f>
        <v>2017623977.9669564</v>
      </c>
      <c r="D99" s="2">
        <f>D11/'Output-Calculation-sheet'!D10*'Output-Calculation-sheet'!D82</f>
        <v>5840067941.0733795</v>
      </c>
      <c r="E99" s="2">
        <f>E11/'Output-Calculation-sheet'!E10*'Output-Calculation-sheet'!E82</f>
        <v>10888119013.029743</v>
      </c>
      <c r="F99" s="2">
        <f>F11/'Output-Calculation-sheet'!F10*'Output-Calculation-sheet'!F82</f>
        <v>4869405334.5447636</v>
      </c>
      <c r="G99" s="2">
        <f>G11/'Output-Calculation-sheet'!G10*'Output-Calculation-sheet'!G82</f>
        <v>3400296813.2565045</v>
      </c>
      <c r="H99" s="2">
        <f>H11/'Output-Calculation-sheet'!H10*'Output-Calculation-sheet'!H82</f>
        <v>1119573533.8825252</v>
      </c>
      <c r="I99" s="2">
        <f>I11/'Output-Calculation-sheet'!I10*'Output-Calculation-sheet'!I82</f>
        <v>2552346211.0594139</v>
      </c>
      <c r="J99" s="2">
        <f>J11/'Output-Calculation-sheet'!J10*'Output-Calculation-sheet'!J82</f>
        <v>1748533811.3727558</v>
      </c>
      <c r="K99" s="2">
        <f>K11/'Output-Calculation-sheet'!K10*'Output-Calculation-sheet'!K82</f>
        <v>2066931350.7503543</v>
      </c>
      <c r="L99" s="2">
        <f>L11/'Output-Calculation-sheet'!L10*'Output-Calculation-sheet'!L82</f>
        <v>1807189435.1419685</v>
      </c>
      <c r="M99" s="2">
        <f>M11/'Output-Calculation-sheet'!M10*'Output-Calculation-sheet'!M82</f>
        <v>877140619.02761245</v>
      </c>
      <c r="N99" s="2">
        <f>N11/'Output-Calculation-sheet'!N10*'Output-Calculation-sheet'!N82</f>
        <v>815050381.23173869</v>
      </c>
      <c r="O99" s="2">
        <f>O11/'Output-Calculation-sheet'!O10*'Output-Calculation-sheet'!O82</f>
        <v>238601995.53799894</v>
      </c>
      <c r="P99" s="2">
        <f>P11/'Output-Calculation-sheet'!P10*'Output-Calculation-sheet'!P82</f>
        <v>2247976681.0690365</v>
      </c>
      <c r="Q99" s="2">
        <f>Q11/'Output-Calculation-sheet'!Q10*'Output-Calculation-sheet'!Q82</f>
        <v>979988628.90250635</v>
      </c>
      <c r="R99" s="2">
        <f>R11/'Output-Calculation-sheet'!R10*'Output-Calculation-sheet'!R82</f>
        <v>1592019238.6856797</v>
      </c>
      <c r="S99" s="2">
        <f>S11/'Output-Calculation-sheet'!S10*'Output-Calculation-sheet'!S82</f>
        <v>598234599.10416043</v>
      </c>
      <c r="T99" s="2">
        <f>T11/'Output-Calculation-sheet'!T10*'Output-Calculation-sheet'!T82</f>
        <v>773311353.93383861</v>
      </c>
      <c r="U99" s="2">
        <f>U11/'Output-Calculation-sheet'!U10*'Output-Calculation-sheet'!U82</f>
        <v>412258506.73930645</v>
      </c>
      <c r="V99" s="2">
        <f>V11/'Output-Calculation-sheet'!V10*'Output-Calculation-sheet'!V82</f>
        <v>303366250.27100384</v>
      </c>
      <c r="W99" s="2">
        <f>W11/'Output-Calculation-sheet'!W10*'Output-Calculation-sheet'!W82</f>
        <v>761755632.58901477</v>
      </c>
      <c r="X99" s="2">
        <f>X11/'Output-Calculation-sheet'!X10*'Output-Calculation-sheet'!X82</f>
        <v>107509693.1521804</v>
      </c>
      <c r="Y99" s="2">
        <f>Y11/'Output-Calculation-sheet'!Y10*'Output-Calculation-sheet'!Y82</f>
        <v>342636050.49245638</v>
      </c>
      <c r="AA99" s="2">
        <f t="shared" si="8"/>
        <v>62.2513929352695</v>
      </c>
    </row>
    <row r="100" spans="1:27" x14ac:dyDescent="0.25">
      <c r="A100" s="2">
        <v>2035</v>
      </c>
      <c r="B100" s="2">
        <f>B12/'Output-Calculation-sheet'!B11*'Output-Calculation-sheet'!B83</f>
        <v>15149327896.222765</v>
      </c>
      <c r="C100" s="2">
        <f>C12/'Output-Calculation-sheet'!C11*'Output-Calculation-sheet'!C83</f>
        <v>1891970697.8506188</v>
      </c>
      <c r="D100" s="2">
        <f>D12/'Output-Calculation-sheet'!D11*'Output-Calculation-sheet'!D83</f>
        <v>5153826564.8136425</v>
      </c>
      <c r="E100" s="2">
        <f>E12/'Output-Calculation-sheet'!E11*'Output-Calculation-sheet'!E83</f>
        <v>9880970430.9108791</v>
      </c>
      <c r="F100" s="2">
        <f>F12/'Output-Calculation-sheet'!F11*'Output-Calculation-sheet'!F83</f>
        <v>4410937763.9977074</v>
      </c>
      <c r="G100" s="2">
        <f>G12/'Output-Calculation-sheet'!G11*'Output-Calculation-sheet'!G83</f>
        <v>2986522842.1207814</v>
      </c>
      <c r="H100" s="2">
        <f>H12/'Output-Calculation-sheet'!H11*'Output-Calculation-sheet'!H83</f>
        <v>1028620410.0450625</v>
      </c>
      <c r="I100" s="2">
        <f>I12/'Output-Calculation-sheet'!I11*'Output-Calculation-sheet'!I83</f>
        <v>2334404985.9604869</v>
      </c>
      <c r="J100" s="2">
        <f>J12/'Output-Calculation-sheet'!J11*'Output-Calculation-sheet'!J83</f>
        <v>1557737942.3471763</v>
      </c>
      <c r="K100" s="2">
        <f>K12/'Output-Calculation-sheet'!K11*'Output-Calculation-sheet'!K83</f>
        <v>1856879096.8910737</v>
      </c>
      <c r="L100" s="2">
        <f>L12/'Output-Calculation-sheet'!L11*'Output-Calculation-sheet'!L83</f>
        <v>1680071460.2992857</v>
      </c>
      <c r="M100" s="2">
        <f>M12/'Output-Calculation-sheet'!M11*'Output-Calculation-sheet'!M83</f>
        <v>809704889.46430898</v>
      </c>
      <c r="N100" s="2">
        <f>N12/'Output-Calculation-sheet'!N11*'Output-Calculation-sheet'!N83</f>
        <v>726826894.1605531</v>
      </c>
      <c r="O100" s="2">
        <f>O12/'Output-Calculation-sheet'!O11*'Output-Calculation-sheet'!O83</f>
        <v>226518173.41295889</v>
      </c>
      <c r="P100" s="2">
        <f>P12/'Output-Calculation-sheet'!P11*'Output-Calculation-sheet'!P83</f>
        <v>2033887912.8192368</v>
      </c>
      <c r="Q100" s="2">
        <f>Q12/'Output-Calculation-sheet'!Q11*'Output-Calculation-sheet'!Q83</f>
        <v>883331980.69254589</v>
      </c>
      <c r="R100" s="2">
        <f>R12/'Output-Calculation-sheet'!R11*'Output-Calculation-sheet'!R83</f>
        <v>1465350546.4833441</v>
      </c>
      <c r="S100" s="2">
        <f>S12/'Output-Calculation-sheet'!S11*'Output-Calculation-sheet'!S83</f>
        <v>542003562.97170246</v>
      </c>
      <c r="T100" s="2">
        <f>T12/'Output-Calculation-sheet'!T11*'Output-Calculation-sheet'!T83</f>
        <v>691541866.17859089</v>
      </c>
      <c r="U100" s="2">
        <f>U12/'Output-Calculation-sheet'!U11*'Output-Calculation-sheet'!U83</f>
        <v>376901593.94769019</v>
      </c>
      <c r="V100" s="2">
        <f>V12/'Output-Calculation-sheet'!V11*'Output-Calculation-sheet'!V83</f>
        <v>277048696.64357126</v>
      </c>
      <c r="W100" s="2">
        <f>W12/'Output-Calculation-sheet'!W11*'Output-Calculation-sheet'!W83</f>
        <v>680473278.6345681</v>
      </c>
      <c r="X100" s="2">
        <f>X12/'Output-Calculation-sheet'!X11*'Output-Calculation-sheet'!X83</f>
        <v>107862372.36965489</v>
      </c>
      <c r="Y100" s="2">
        <f>Y12/'Output-Calculation-sheet'!Y11*'Output-Calculation-sheet'!Y83</f>
        <v>306379273.41787261</v>
      </c>
      <c r="AA100" s="2">
        <f t="shared" si="8"/>
        <v>57.05910113265606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95717261888.128738</v>
      </c>
      <c r="C8" s="2">
        <v>45106790365.061943</v>
      </c>
      <c r="D8" s="2">
        <v>40202344354.873215</v>
      </c>
      <c r="E8" s="2">
        <v>31896480640.395882</v>
      </c>
      <c r="F8" s="2">
        <v>20532909182.350151</v>
      </c>
      <c r="G8" s="2">
        <v>14426985502.001913</v>
      </c>
      <c r="H8" s="2">
        <v>14072970551.636932</v>
      </c>
      <c r="I8" s="2">
        <v>13144119444.243698</v>
      </c>
      <c r="J8" s="2">
        <v>12793578046.510546</v>
      </c>
      <c r="K8" s="2">
        <v>12670931144.250944</v>
      </c>
      <c r="L8" s="2">
        <v>10164785703.548477</v>
      </c>
      <c r="M8" s="2">
        <v>9709122896.1480312</v>
      </c>
      <c r="N8" s="2">
        <v>9529476081.781147</v>
      </c>
      <c r="O8" s="2">
        <v>8764288539.5105858</v>
      </c>
      <c r="P8" s="2">
        <v>8675118833.2008457</v>
      </c>
      <c r="Q8" s="2">
        <v>8534914892.4622488</v>
      </c>
      <c r="R8" s="2">
        <v>8210980697.5827503</v>
      </c>
      <c r="S8" s="2">
        <v>5457438393.2499704</v>
      </c>
      <c r="T8" s="2">
        <v>3018285900.5309463</v>
      </c>
      <c r="U8" s="2">
        <v>2628823888.848743</v>
      </c>
      <c r="V8" s="2">
        <v>2024246970.8913107</v>
      </c>
      <c r="W8" s="2">
        <v>1752549259.2324944</v>
      </c>
      <c r="X8" s="2">
        <v>1051529555.5394973</v>
      </c>
      <c r="Y8" s="2">
        <v>1022601977.466604</v>
      </c>
    </row>
    <row r="9" spans="1:27" x14ac:dyDescent="0.25">
      <c r="A9" s="2">
        <v>2032</v>
      </c>
      <c r="B9" s="2">
        <v>105051615904.83611</v>
      </c>
      <c r="C9" s="2">
        <v>49505607689.328857</v>
      </c>
      <c r="D9" s="2">
        <v>44122879764.134705</v>
      </c>
      <c r="E9" s="2">
        <v>35007027644.263268</v>
      </c>
      <c r="F9" s="2">
        <v>22535279909.638256</v>
      </c>
      <c r="G9" s="2">
        <v>15833906128.575884</v>
      </c>
      <c r="H9" s="2">
        <v>15445367615.702646</v>
      </c>
      <c r="I9" s="2">
        <v>14425934883.906567</v>
      </c>
      <c r="J9" s="2">
        <v>14041208664.758686</v>
      </c>
      <c r="K9" s="2">
        <v>13906601228.085955</v>
      </c>
      <c r="L9" s="2">
        <v>11156056310.221098</v>
      </c>
      <c r="M9" s="2">
        <v>10655957234.245672</v>
      </c>
      <c r="N9" s="2">
        <v>10458791250.084379</v>
      </c>
      <c r="O9" s="2">
        <v>9618982565.6307545</v>
      </c>
      <c r="P9" s="2">
        <v>9521117023.3783417</v>
      </c>
      <c r="Q9" s="2">
        <v>9367240384.6166725</v>
      </c>
      <c r="R9" s="2">
        <v>9011716104.5897713</v>
      </c>
      <c r="S9" s="2">
        <v>5989648163.7979927</v>
      </c>
      <c r="T9" s="2">
        <v>3312629350.8494573</v>
      </c>
      <c r="U9" s="2">
        <v>2885186976.7813182</v>
      </c>
      <c r="V9" s="2">
        <v>2221651675.8611522</v>
      </c>
      <c r="W9" s="2">
        <v>1923457984.5208771</v>
      </c>
      <c r="X9" s="2">
        <v>1154074790.712527</v>
      </c>
      <c r="Y9" s="2">
        <v>1122326193.2200234</v>
      </c>
    </row>
    <row r="10" spans="1:27" x14ac:dyDescent="0.25">
      <c r="A10" s="2">
        <v>2033</v>
      </c>
      <c r="B10" s="2">
        <v>112844557527.96516</v>
      </c>
      <c r="C10" s="2">
        <v>53178033928.730553</v>
      </c>
      <c r="D10" s="2">
        <v>47396004344.700195</v>
      </c>
      <c r="E10" s="2">
        <v>37603919852.738564</v>
      </c>
      <c r="F10" s="2">
        <v>24206992612.808578</v>
      </c>
      <c r="G10" s="2">
        <v>17008497352.74016</v>
      </c>
      <c r="H10" s="2">
        <v>16591136266.096128</v>
      </c>
      <c r="I10" s="2">
        <v>15496079949.653904</v>
      </c>
      <c r="J10" s="2">
        <v>15082813960.404604</v>
      </c>
      <c r="K10" s="2">
        <v>14938221071.466389</v>
      </c>
      <c r="L10" s="2">
        <v>11983635161.065706</v>
      </c>
      <c r="M10" s="2">
        <v>11446437722.811041</v>
      </c>
      <c r="N10" s="2">
        <v>11234645566.635149</v>
      </c>
      <c r="O10" s="2">
        <v>10332538173.150026</v>
      </c>
      <c r="P10" s="2">
        <v>10227412766.771584</v>
      </c>
      <c r="Q10" s="2">
        <v>10062121247.308611</v>
      </c>
      <c r="R10" s="2">
        <v>9680223456.1653786</v>
      </c>
      <c r="S10" s="2">
        <v>6433972395.0962858</v>
      </c>
      <c r="T10" s="2">
        <v>3558366904.9830275</v>
      </c>
      <c r="U10" s="2">
        <v>3099215989.9307852</v>
      </c>
      <c r="V10" s="2">
        <v>2386458296.566505</v>
      </c>
      <c r="W10" s="2">
        <v>2066143993.2871888</v>
      </c>
      <c r="X10" s="2">
        <v>1239686395.9723141</v>
      </c>
      <c r="Y10" s="2">
        <v>1205582623.2191138</v>
      </c>
    </row>
    <row r="11" spans="1:27" x14ac:dyDescent="0.25">
      <c r="A11" s="2">
        <v>2034</v>
      </c>
      <c r="B11" s="2">
        <v>119624550102.04453</v>
      </c>
      <c r="C11" s="2">
        <v>56373107603.875069</v>
      </c>
      <c r="D11" s="2">
        <v>50243678743.338921</v>
      </c>
      <c r="E11" s="2">
        <v>39863260515.177338</v>
      </c>
      <c r="F11" s="2">
        <v>25661411272.875217</v>
      </c>
      <c r="G11" s="2">
        <v>18030411818.745747</v>
      </c>
      <c r="H11" s="2">
        <v>17587974599.675434</v>
      </c>
      <c r="I11" s="2">
        <v>16427124470.431583</v>
      </c>
      <c r="J11" s="2">
        <v>15989028392.788029</v>
      </c>
      <c r="K11" s="2">
        <v>15835747989.496073</v>
      </c>
      <c r="L11" s="2">
        <v>12703642923.800446</v>
      </c>
      <c r="M11" s="2">
        <v>12134169275.492155</v>
      </c>
      <c r="N11" s="2">
        <v>11909652099.36335</v>
      </c>
      <c r="O11" s="2">
        <v>10953343762.89225</v>
      </c>
      <c r="P11" s="2">
        <v>10841902150.484854</v>
      </c>
      <c r="Q11" s="2">
        <v>10666679489.466917</v>
      </c>
      <c r="R11" s="2">
        <v>10261836292.318024</v>
      </c>
      <c r="S11" s="2">
        <v>6820542080.1231775</v>
      </c>
      <c r="T11" s="2">
        <v>3772162782.4284759</v>
      </c>
      <c r="U11" s="2">
        <v>3285424894.0863218</v>
      </c>
      <c r="V11" s="2">
        <v>2529842876.9443512</v>
      </c>
      <c r="W11" s="2">
        <v>2190283262.7242126</v>
      </c>
      <c r="X11" s="2">
        <v>1314169957.6345284</v>
      </c>
      <c r="Y11" s="2">
        <v>1278017142.1000006</v>
      </c>
    </row>
    <row r="12" spans="1:27" x14ac:dyDescent="0.25">
      <c r="A12" s="2">
        <v>2035</v>
      </c>
      <c r="B12" s="2">
        <v>125545401740.44113</v>
      </c>
      <c r="C12" s="2">
        <v>59163310837.518898</v>
      </c>
      <c r="D12" s="2">
        <v>52730504126.195564</v>
      </c>
      <c r="E12" s="2">
        <v>41836304101.395889</v>
      </c>
      <c r="F12" s="2">
        <v>26931530231.307777</v>
      </c>
      <c r="G12" s="2">
        <v>18922832256.414433</v>
      </c>
      <c r="H12" s="2">
        <v>18458496479.471298</v>
      </c>
      <c r="I12" s="2">
        <v>17240189737.986874</v>
      </c>
      <c r="J12" s="2">
        <v>16780409968.518538</v>
      </c>
      <c r="K12" s="2">
        <v>16619542907.419373</v>
      </c>
      <c r="L12" s="2">
        <v>13332413397.376537</v>
      </c>
      <c r="M12" s="2">
        <v>12734753486.459663</v>
      </c>
      <c r="N12" s="2">
        <v>12499123767.888721</v>
      </c>
      <c r="O12" s="2">
        <v>11495482674.253836</v>
      </c>
      <c r="P12" s="2">
        <v>11378525227.071344</v>
      </c>
      <c r="Q12" s="2">
        <v>11194629869.866154</v>
      </c>
      <c r="R12" s="2">
        <v>10769748841.811413</v>
      </c>
      <c r="S12" s="2">
        <v>7158126779.2121334</v>
      </c>
      <c r="T12" s="2">
        <v>3958867068.2258997</v>
      </c>
      <c r="U12" s="2">
        <v>3448037947.5973797</v>
      </c>
      <c r="V12" s="2">
        <v>2655058180.408936</v>
      </c>
      <c r="W12" s="2">
        <v>2298691965.064918</v>
      </c>
      <c r="X12" s="2">
        <v>1379215179.0389516</v>
      </c>
      <c r="Y12" s="2">
        <v>1341272969.4635878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 t="shared" ref="AA16:AA23" si="0"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si="0"/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5014.3990886461279</v>
      </c>
      <c r="C19" s="2">
        <f>C8/'Output-Calculation-sheet'!C7*'Output-Calculation-sheet'!C25</f>
        <v>6686.0029267110049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2436.1558742600018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1783.1520912559192</v>
      </c>
      <c r="N19" s="2">
        <f>N8/'Output-Calculation-sheet'!N7*'Output-Calculation-sheet'!N25</f>
        <v>928.96335919780824</v>
      </c>
      <c r="O19" s="2">
        <f>O8/'Output-Calculation-sheet'!O7*'Output-Calculation-sheet'!O25</f>
        <v>1013.0588690670118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404.97277516868564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206.12068070467757</v>
      </c>
      <c r="Y19" s="2">
        <f>Y8/'Output-Calculation-sheet'!Y7*'Output-Calculation-sheet'!Y25</f>
        <v>0</v>
      </c>
      <c r="AA19" s="2">
        <f t="shared" si="0"/>
        <v>18.472825665011236</v>
      </c>
    </row>
    <row r="20" spans="1:27" x14ac:dyDescent="0.25">
      <c r="A20" s="2">
        <v>2032</v>
      </c>
      <c r="B20" s="2">
        <f>B9/'Output-Calculation-sheet'!B8*'Output-Calculation-sheet'!B26</f>
        <v>6604.9457434920996</v>
      </c>
      <c r="C20" s="2">
        <f>C9/'Output-Calculation-sheet'!C8*'Output-Calculation-sheet'!C26</f>
        <v>7612.7176163006843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2740.6106687426191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2001.2718677035939</v>
      </c>
      <c r="N20" s="2">
        <f>N9/'Output-Calculation-sheet'!N8*'Output-Calculation-sheet'!N26</f>
        <v>1138.3474088594728</v>
      </c>
      <c r="O20" s="2">
        <f>O9/'Output-Calculation-sheet'!O8*'Output-Calculation-sheet'!O26</f>
        <v>1177.6237266823748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514.58218905301487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231.17288106746963</v>
      </c>
      <c r="Y20" s="2">
        <f>Y9/'Output-Calculation-sheet'!Y8*'Output-Calculation-sheet'!Y26</f>
        <v>0</v>
      </c>
      <c r="AA20" s="2">
        <f t="shared" si="0"/>
        <v>22.021272101901324</v>
      </c>
    </row>
    <row r="21" spans="1:27" x14ac:dyDescent="0.25">
      <c r="A21" s="2">
        <v>2033</v>
      </c>
      <c r="B21" s="2">
        <f>B10/'Output-Calculation-sheet'!B9*'Output-Calculation-sheet'!B27</f>
        <v>8928.7306107370223</v>
      </c>
      <c r="C21" s="2">
        <f>C10/'Output-Calculation-sheet'!C9*'Output-Calculation-sheet'!C27</f>
        <v>8401.5198087807803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3006.5512019328658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26.087962422318466</v>
      </c>
      <c r="M21" s="2">
        <f>M10/'Output-Calculation-sheet'!M9*'Output-Calculation-sheet'!M27</f>
        <v>2206.7171008620444</v>
      </c>
      <c r="N21" s="2">
        <f>N10/'Output-Calculation-sheet'!N9*'Output-Calculation-sheet'!N27</f>
        <v>1348.8940080523198</v>
      </c>
      <c r="O21" s="2">
        <f>O10/'Output-Calculation-sheet'!O9*'Output-Calculation-sheet'!O27</f>
        <v>1313.9783883112063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626.81247009261597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255.46018699818606</v>
      </c>
      <c r="Y21" s="2">
        <f>Y10/'Output-Calculation-sheet'!Y9*'Output-Calculation-sheet'!Y27</f>
        <v>0</v>
      </c>
      <c r="AA21" s="2">
        <f t="shared" si="0"/>
        <v>26.114751738189366</v>
      </c>
    </row>
    <row r="22" spans="1:27" x14ac:dyDescent="0.25">
      <c r="A22" s="2">
        <v>2034</v>
      </c>
      <c r="B22" s="2">
        <f>B11/'Output-Calculation-sheet'!B10*'Output-Calculation-sheet'!B28</f>
        <v>11667.952534579841</v>
      </c>
      <c r="C22" s="2">
        <f>C11/'Output-Calculation-sheet'!C10*'Output-Calculation-sheet'!C28</f>
        <v>9190.841036181655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3261.7132557040254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186.82865507177101</v>
      </c>
      <c r="M22" s="2">
        <f>M11/'Output-Calculation-sheet'!M10*'Output-Calculation-sheet'!M28</f>
        <v>2397.7174236247615</v>
      </c>
      <c r="N22" s="2">
        <f>N11/'Output-Calculation-sheet'!N10*'Output-Calculation-sheet'!N28</f>
        <v>1527.6420470879602</v>
      </c>
      <c r="O22" s="2">
        <f>O11/'Output-Calculation-sheet'!O10*'Output-Calculation-sheet'!O28</f>
        <v>1458.1735693056689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708.15123791364294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295.97837721732412</v>
      </c>
      <c r="Y22" s="2">
        <f>Y11/'Output-Calculation-sheet'!Y10*'Output-Calculation-sheet'!Y28</f>
        <v>0</v>
      </c>
      <c r="AA22" s="2">
        <f t="shared" si="0"/>
        <v>30.694998136686653</v>
      </c>
    </row>
    <row r="23" spans="1:27" x14ac:dyDescent="0.25">
      <c r="A23" s="2">
        <v>2035</v>
      </c>
      <c r="B23" s="2">
        <f>B12/'Output-Calculation-sheet'!B11*'Output-Calculation-sheet'!B29</f>
        <v>15830.299701534421</v>
      </c>
      <c r="C23" s="2">
        <f>C12/'Output-Calculation-sheet'!C11*'Output-Calculation-sheet'!C29</f>
        <v>9914.1179477666701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3512.1406273612229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363.25730057293765</v>
      </c>
      <c r="M23" s="2">
        <f>M12/'Output-Calculation-sheet'!M11*'Output-Calculation-sheet'!M29</f>
        <v>2594.2088083408471</v>
      </c>
      <c r="N23" s="2">
        <f>N12/'Output-Calculation-sheet'!N11*'Output-Calculation-sheet'!N29</f>
        <v>1676.6335482063291</v>
      </c>
      <c r="O23" s="2">
        <f>O12/'Output-Calculation-sheet'!O11*'Output-Calculation-sheet'!O29</f>
        <v>1609.0840371502093</v>
      </c>
      <c r="P23" s="2">
        <f>P12/'Output-Calculation-sheet'!P11*'Output-Calculation-sheet'!P29</f>
        <v>0</v>
      </c>
      <c r="Q23" s="2">
        <f>Q12/'Output-Calculation-sheet'!Q11*'Output-Calculation-sheet'!Q29</f>
        <v>94.50753637913617</v>
      </c>
      <c r="R23" s="2">
        <f>R12/'Output-Calculation-sheet'!R11*'Output-Calculation-sheet'!R29</f>
        <v>0</v>
      </c>
      <c r="S23" s="2">
        <f>S12/'Output-Calculation-sheet'!S11*'Output-Calculation-sheet'!S29</f>
        <v>781.51717809016554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342.84414089011386</v>
      </c>
      <c r="Y23" s="2">
        <f>Y12/'Output-Calculation-sheet'!Y11*'Output-Calculation-sheet'!Y29</f>
        <v>0</v>
      </c>
      <c r="AA23" s="2">
        <f t="shared" si="0"/>
        <v>36.71861082629205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 t="shared" ref="AA27:AA34" si="1"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si="1"/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24660.139753010175</v>
      </c>
      <c r="C30" s="2">
        <f>C8/'Output-Calculation-sheet'!C7*'Output-Calculation-sheet'!C16</f>
        <v>0</v>
      </c>
      <c r="D30" s="2">
        <f>D8/'Output-Calculation-sheet'!D7*'Output-Calculation-sheet'!D16</f>
        <v>5555.6917472774376</v>
      </c>
      <c r="E30" s="2">
        <f>E8/'Output-Calculation-sheet'!E7*'Output-Calculation-sheet'!E16</f>
        <v>6962.1692580494228</v>
      </c>
      <c r="F30" s="2">
        <f>F8/'Output-Calculation-sheet'!F7*'Output-Calculation-sheet'!F16</f>
        <v>3400.3228210621646</v>
      </c>
      <c r="G30" s="2">
        <f>G8/'Output-Calculation-sheet'!G7*'Output-Calculation-sheet'!G16</f>
        <v>2072.112573195267</v>
      </c>
      <c r="H30" s="2">
        <f>H8/'Output-Calculation-sheet'!H7*'Output-Calculation-sheet'!H16</f>
        <v>0</v>
      </c>
      <c r="I30" s="2">
        <f>I8/'Output-Calculation-sheet'!I7*'Output-Calculation-sheet'!I16</f>
        <v>1950.6382447607975</v>
      </c>
      <c r="J30" s="2">
        <f>J8/'Output-Calculation-sheet'!J7*'Output-Calculation-sheet'!J16</f>
        <v>2090.9998644971633</v>
      </c>
      <c r="K30" s="2">
        <f>K8/'Output-Calculation-sheet'!K7*'Output-Calculation-sheet'!K16</f>
        <v>2023.8528273361258</v>
      </c>
      <c r="L30" s="2">
        <f>L8/'Output-Calculation-sheet'!L7*'Output-Calculation-sheet'!L16</f>
        <v>2237.0474561290766</v>
      </c>
      <c r="M30" s="2">
        <f>M8/'Output-Calculation-sheet'!M7*'Output-Calculation-sheet'!M16</f>
        <v>0</v>
      </c>
      <c r="N30" s="2">
        <f>N8/'Output-Calculation-sheet'!N7*'Output-Calculation-sheet'!N16</f>
        <v>1003.1519181351749</v>
      </c>
      <c r="O30" s="2">
        <f>O8/'Output-Calculation-sheet'!O7*'Output-Calculation-sheet'!O16</f>
        <v>0</v>
      </c>
      <c r="P30" s="2">
        <f>P8/'Output-Calculation-sheet'!P7*'Output-Calculation-sheet'!P16</f>
        <v>1915.023601464278</v>
      </c>
      <c r="Q30" s="2">
        <f>Q8/'Output-Calculation-sheet'!Q7*'Output-Calculation-sheet'!Q16</f>
        <v>1878.7330264664015</v>
      </c>
      <c r="R30" s="2">
        <f>R8/'Output-Calculation-sheet'!R7*'Output-Calculation-sheet'!R16</f>
        <v>1667.231564887685</v>
      </c>
      <c r="S30" s="2">
        <f>S8/'Output-Calculation-sheet'!S7*'Output-Calculation-sheet'!S16</f>
        <v>883.01888784624703</v>
      </c>
      <c r="T30" s="2">
        <f>T8/'Output-Calculation-sheet'!T7*'Output-Calculation-sheet'!T16</f>
        <v>629.73818521450085</v>
      </c>
      <c r="U30" s="2">
        <f>U8/'Output-Calculation-sheet'!U7*'Output-Calculation-sheet'!U16</f>
        <v>485.90765284113115</v>
      </c>
      <c r="V30" s="2">
        <f>V8/'Output-Calculation-sheet'!V7*'Output-Calculation-sheet'!V16</f>
        <v>629.15324377004958</v>
      </c>
      <c r="W30" s="2">
        <f>W8/'Output-Calculation-sheet'!W7*'Output-Calculation-sheet'!W16</f>
        <v>302.9244276036261</v>
      </c>
      <c r="X30" s="2">
        <f>X8/'Output-Calculation-sheet'!X7*'Output-Calculation-sheet'!X16</f>
        <v>0</v>
      </c>
      <c r="Y30" s="2">
        <f>Y8/'Output-Calculation-sheet'!Y7*'Output-Calculation-sheet'!Y16</f>
        <v>206.60106376654969</v>
      </c>
      <c r="AA30" s="2">
        <f t="shared" si="1"/>
        <v>60.554458117313281</v>
      </c>
    </row>
    <row r="31" spans="1:27" x14ac:dyDescent="0.25">
      <c r="A31" s="2">
        <v>2032</v>
      </c>
      <c r="B31" s="2">
        <f>B9/'Output-Calculation-sheet'!B8*'Output-Calculation-sheet'!B17</f>
        <v>26762.284430004169</v>
      </c>
      <c r="C31" s="2">
        <f>C9/'Output-Calculation-sheet'!C8*'Output-Calculation-sheet'!C17</f>
        <v>0</v>
      </c>
      <c r="D31" s="2">
        <f>D9/'Output-Calculation-sheet'!D8*'Output-Calculation-sheet'!D17</f>
        <v>6125.3346365706821</v>
      </c>
      <c r="E31" s="2">
        <f>E9/'Output-Calculation-sheet'!E8*'Output-Calculation-sheet'!E17</f>
        <v>7694.2295087706452</v>
      </c>
      <c r="F31" s="2">
        <f>F9/'Output-Calculation-sheet'!F8*'Output-Calculation-sheet'!F17</f>
        <v>3754.1617607788721</v>
      </c>
      <c r="G31" s="2">
        <f>G9/'Output-Calculation-sheet'!G8*'Output-Calculation-sheet'!G17</f>
        <v>2285.2586532171395</v>
      </c>
      <c r="H31" s="2">
        <f>H9/'Output-Calculation-sheet'!H8*'Output-Calculation-sheet'!H17</f>
        <v>0</v>
      </c>
      <c r="I31" s="2">
        <f>I9/'Output-Calculation-sheet'!I8*'Output-Calculation-sheet'!I17</f>
        <v>2150.2125250325576</v>
      </c>
      <c r="J31" s="2">
        <f>J9/'Output-Calculation-sheet'!J8*'Output-Calculation-sheet'!J17</f>
        <v>2306.8089159111983</v>
      </c>
      <c r="K31" s="2">
        <f>K9/'Output-Calculation-sheet'!K8*'Output-Calculation-sheet'!K17</f>
        <v>2231.0081766364742</v>
      </c>
      <c r="L31" s="2">
        <f>L9/'Output-Calculation-sheet'!L8*'Output-Calculation-sheet'!L17</f>
        <v>2465.1842781159958</v>
      </c>
      <c r="M31" s="2">
        <f>M9/'Output-Calculation-sheet'!M8*'Output-Calculation-sheet'!M17</f>
        <v>0</v>
      </c>
      <c r="N31" s="2">
        <f>N9/'Output-Calculation-sheet'!N8*'Output-Calculation-sheet'!N17</f>
        <v>1039.4153041481838</v>
      </c>
      <c r="O31" s="2">
        <f>O9/'Output-Calculation-sheet'!O8*'Output-Calculation-sheet'!O17</f>
        <v>0</v>
      </c>
      <c r="P31" s="2">
        <f>P9/'Output-Calculation-sheet'!P8*'Output-Calculation-sheet'!P17</f>
        <v>2123.4743601481891</v>
      </c>
      <c r="Q31" s="2">
        <f>Q9/'Output-Calculation-sheet'!Q8*'Output-Calculation-sheet'!Q17</f>
        <v>2076.6660110505522</v>
      </c>
      <c r="R31" s="2">
        <f>R9/'Output-Calculation-sheet'!R8*'Output-Calculation-sheet'!R17</f>
        <v>1858.5552015066273</v>
      </c>
      <c r="S31" s="2">
        <f>S9/'Output-Calculation-sheet'!S8*'Output-Calculation-sheet'!S17</f>
        <v>930.35549056968625</v>
      </c>
      <c r="T31" s="2">
        <f>T9/'Output-Calculation-sheet'!T8*'Output-Calculation-sheet'!T17</f>
        <v>696.25733464627967</v>
      </c>
      <c r="U31" s="2">
        <f>U9/'Output-Calculation-sheet'!U8*'Output-Calculation-sheet'!U17</f>
        <v>539.10558513291801</v>
      </c>
      <c r="V31" s="2">
        <f>V9/'Output-Calculation-sheet'!V8*'Output-Calculation-sheet'!V17</f>
        <v>685.55919852542695</v>
      </c>
      <c r="W31" s="2">
        <f>W9/'Output-Calculation-sheet'!W8*'Output-Calculation-sheet'!W17</f>
        <v>334.13749885520969</v>
      </c>
      <c r="X31" s="2">
        <f>X9/'Output-Calculation-sheet'!X8*'Output-Calculation-sheet'!X17</f>
        <v>0</v>
      </c>
      <c r="Y31" s="2">
        <f>Y9/'Output-Calculation-sheet'!Y8*'Output-Calculation-sheet'!Y17</f>
        <v>227.78563179216681</v>
      </c>
      <c r="AA31" s="2">
        <f t="shared" si="1"/>
        <v>66.28579450141298</v>
      </c>
    </row>
    <row r="32" spans="1:27" x14ac:dyDescent="0.25">
      <c r="A32" s="2">
        <v>2033</v>
      </c>
      <c r="B32" s="2">
        <f>B10/'Output-Calculation-sheet'!B9*'Output-Calculation-sheet'!B18</f>
        <v>28286.246773820978</v>
      </c>
      <c r="C32" s="2">
        <f>C10/'Output-Calculation-sheet'!C9*'Output-Calculation-sheet'!C18</f>
        <v>0</v>
      </c>
      <c r="D32" s="2">
        <f>D10/'Output-Calculation-sheet'!D9*'Output-Calculation-sheet'!D18</f>
        <v>6617.6075425108238</v>
      </c>
      <c r="E32" s="2">
        <f>E10/'Output-Calculation-sheet'!E9*'Output-Calculation-sheet'!E18</f>
        <v>8323.082351317631</v>
      </c>
      <c r="F32" s="2">
        <f>F10/'Output-Calculation-sheet'!F9*'Output-Calculation-sheet'!F18</f>
        <v>4053.8105651714513</v>
      </c>
      <c r="G32" s="2">
        <f>G10/'Output-Calculation-sheet'!G9*'Output-Calculation-sheet'!G18</f>
        <v>2466.2800283059828</v>
      </c>
      <c r="H32" s="2">
        <f>H10/'Output-Calculation-sheet'!H9*'Output-Calculation-sheet'!H18</f>
        <v>0</v>
      </c>
      <c r="I32" s="2">
        <f>I10/'Output-Calculation-sheet'!I9*'Output-Calculation-sheet'!I18</f>
        <v>2324.0345452821402</v>
      </c>
      <c r="J32" s="2">
        <f>J10/'Output-Calculation-sheet'!J9*'Output-Calculation-sheet'!J18</f>
        <v>2490.5913330361441</v>
      </c>
      <c r="K32" s="2">
        <f>K10/'Output-Calculation-sheet'!K9*'Output-Calculation-sheet'!K18</f>
        <v>2415.6889418148053</v>
      </c>
      <c r="L32" s="2">
        <f>L10/'Output-Calculation-sheet'!L9*'Output-Calculation-sheet'!L18</f>
        <v>2653.6852876890498</v>
      </c>
      <c r="M32" s="2">
        <f>M10/'Output-Calculation-sheet'!M9*'Output-Calculation-sheet'!M18</f>
        <v>0</v>
      </c>
      <c r="N32" s="2">
        <f>N10/'Output-Calculation-sheet'!N9*'Output-Calculation-sheet'!N18</f>
        <v>1032.8017348919643</v>
      </c>
      <c r="O32" s="2">
        <f>O10/'Output-Calculation-sheet'!O9*'Output-Calculation-sheet'!O18</f>
        <v>0</v>
      </c>
      <c r="P32" s="2">
        <f>P10/'Output-Calculation-sheet'!P9*'Output-Calculation-sheet'!P18</f>
        <v>2327.189867114188</v>
      </c>
      <c r="Q32" s="2">
        <f>Q10/'Output-Calculation-sheet'!Q9*'Output-Calculation-sheet'!Q18</f>
        <v>2254.2521385944556</v>
      </c>
      <c r="R32" s="2">
        <f>R10/'Output-Calculation-sheet'!R9*'Output-Calculation-sheet'!R18</f>
        <v>2026.2152511891511</v>
      </c>
      <c r="S32" s="2">
        <f>S10/'Output-Calculation-sheet'!S9*'Output-Calculation-sheet'!S18</f>
        <v>965.70522734870963</v>
      </c>
      <c r="T32" s="2">
        <f>T10/'Output-Calculation-sheet'!T9*'Output-Calculation-sheet'!T18</f>
        <v>749.74740545293434</v>
      </c>
      <c r="U32" s="2">
        <f>U10/'Output-Calculation-sheet'!U9*'Output-Calculation-sheet'!U18</f>
        <v>584.52546566611909</v>
      </c>
      <c r="V32" s="2">
        <f>V10/'Output-Calculation-sheet'!V9*'Output-Calculation-sheet'!V18</f>
        <v>737.480494861804</v>
      </c>
      <c r="W32" s="2">
        <f>W10/'Output-Calculation-sheet'!W9*'Output-Calculation-sheet'!W18</f>
        <v>359.83056240949259</v>
      </c>
      <c r="X32" s="2">
        <f>X10/'Output-Calculation-sheet'!X9*'Output-Calculation-sheet'!X18</f>
        <v>0</v>
      </c>
      <c r="Y32" s="2">
        <f>Y10/'Output-Calculation-sheet'!Y9*'Output-Calculation-sheet'!Y18</f>
        <v>246.24479968111538</v>
      </c>
      <c r="AA32" s="2">
        <f t="shared" si="1"/>
        <v>70.91502031615893</v>
      </c>
    </row>
    <row r="33" spans="1:27" x14ac:dyDescent="0.25">
      <c r="A33" s="2">
        <v>2034</v>
      </c>
      <c r="B33" s="2">
        <f>B11/'Output-Calculation-sheet'!B10*'Output-Calculation-sheet'!B19</f>
        <v>29258.276685508637</v>
      </c>
      <c r="C33" s="2">
        <f>C11/'Output-Calculation-sheet'!C10*'Output-Calculation-sheet'!C19</f>
        <v>0</v>
      </c>
      <c r="D33" s="2">
        <f>D11/'Output-Calculation-sheet'!D10*'Output-Calculation-sheet'!D19</f>
        <v>7046.238222150173</v>
      </c>
      <c r="E33" s="2">
        <f>E11/'Output-Calculation-sheet'!E10*'Output-Calculation-sheet'!E19</f>
        <v>8869.2727705237467</v>
      </c>
      <c r="F33" s="2">
        <f>F11/'Output-Calculation-sheet'!F10*'Output-Calculation-sheet'!F19</f>
        <v>4317.4469084928041</v>
      </c>
      <c r="G33" s="2">
        <f>G11/'Output-Calculation-sheet'!G10*'Output-Calculation-sheet'!G19</f>
        <v>2620.8709995558752</v>
      </c>
      <c r="H33" s="2">
        <f>H11/'Output-Calculation-sheet'!H10*'Output-Calculation-sheet'!H19</f>
        <v>0</v>
      </c>
      <c r="I33" s="2">
        <f>I11/'Output-Calculation-sheet'!I10*'Output-Calculation-sheet'!I19</f>
        <v>2476.8476482819551</v>
      </c>
      <c r="J33" s="2">
        <f>J11/'Output-Calculation-sheet'!J10*'Output-Calculation-sheet'!J19</f>
        <v>2644.7160213648094</v>
      </c>
      <c r="K33" s="2">
        <f>K11/'Output-Calculation-sheet'!K10*'Output-Calculation-sheet'!K19</f>
        <v>2579.9478805412323</v>
      </c>
      <c r="L33" s="2">
        <f>L11/'Output-Calculation-sheet'!L10*'Output-Calculation-sheet'!L19</f>
        <v>2773.5117411144888</v>
      </c>
      <c r="M33" s="2">
        <f>M11/'Output-Calculation-sheet'!M10*'Output-Calculation-sheet'!M19</f>
        <v>0</v>
      </c>
      <c r="N33" s="2">
        <f>N11/'Output-Calculation-sheet'!N10*'Output-Calculation-sheet'!N19</f>
        <v>1044.0652621636343</v>
      </c>
      <c r="O33" s="2">
        <f>O11/'Output-Calculation-sheet'!O10*'Output-Calculation-sheet'!O19</f>
        <v>0</v>
      </c>
      <c r="P33" s="2">
        <f>P11/'Output-Calculation-sheet'!P10*'Output-Calculation-sheet'!P19</f>
        <v>2526.3411500631737</v>
      </c>
      <c r="Q33" s="2">
        <f>Q11/'Output-Calculation-sheet'!Q10*'Output-Calculation-sheet'!Q19</f>
        <v>2410.7402503913695</v>
      </c>
      <c r="R33" s="2">
        <f>R11/'Output-Calculation-sheet'!R10*'Output-Calculation-sheet'!R19</f>
        <v>2184.74688805698</v>
      </c>
      <c r="S33" s="2">
        <f>S11/'Output-Calculation-sheet'!S10*'Output-Calculation-sheet'!S19</f>
        <v>1006.9941027113458</v>
      </c>
      <c r="T33" s="2">
        <f>T11/'Output-Calculation-sheet'!T10*'Output-Calculation-sheet'!T19</f>
        <v>797.07140761509243</v>
      </c>
      <c r="U33" s="2">
        <f>U11/'Output-Calculation-sheet'!U10*'Output-Calculation-sheet'!U19</f>
        <v>626.63141824402601</v>
      </c>
      <c r="V33" s="2">
        <f>V11/'Output-Calculation-sheet'!V10*'Output-Calculation-sheet'!V19</f>
        <v>779.9050421591237</v>
      </c>
      <c r="W33" s="2">
        <f>W11/'Output-Calculation-sheet'!W10*'Output-Calculation-sheet'!W19</f>
        <v>382.58290641152342</v>
      </c>
      <c r="X33" s="2">
        <f>X11/'Output-Calculation-sheet'!X10*'Output-Calculation-sheet'!X19</f>
        <v>0</v>
      </c>
      <c r="Y33" s="2">
        <f>Y11/'Output-Calculation-sheet'!Y10*'Output-Calculation-sheet'!Y19</f>
        <v>262.86423388484104</v>
      </c>
      <c r="AA33" s="2">
        <f t="shared" si="1"/>
        <v>74.609071539234847</v>
      </c>
    </row>
    <row r="34" spans="1:27" x14ac:dyDescent="0.25">
      <c r="A34" s="2">
        <v>2035</v>
      </c>
      <c r="B34" s="2">
        <f>B12/'Output-Calculation-sheet'!B11*'Output-Calculation-sheet'!B20</f>
        <v>29532.392607453261</v>
      </c>
      <c r="C34" s="2">
        <f>C12/'Output-Calculation-sheet'!C11*'Output-Calculation-sheet'!C20</f>
        <v>0</v>
      </c>
      <c r="D34" s="2">
        <f>D12/'Output-Calculation-sheet'!D11*'Output-Calculation-sheet'!D20</f>
        <v>7439.8200802865667</v>
      </c>
      <c r="E34" s="2">
        <f>E12/'Output-Calculation-sheet'!E11*'Output-Calculation-sheet'!E20</f>
        <v>9364.8503810448346</v>
      </c>
      <c r="F34" s="2">
        <f>F12/'Output-Calculation-sheet'!F11*'Output-Calculation-sheet'!F20</f>
        <v>4551.0734772250744</v>
      </c>
      <c r="G34" s="2">
        <f>G12/'Output-Calculation-sheet'!G11*'Output-Calculation-sheet'!G20</f>
        <v>2772.068923776028</v>
      </c>
      <c r="H34" s="2">
        <f>H12/'Output-Calculation-sheet'!H11*'Output-Calculation-sheet'!H20</f>
        <v>0</v>
      </c>
      <c r="I34" s="2">
        <f>I12/'Output-Calculation-sheet'!I11*'Output-Calculation-sheet'!I20</f>
        <v>2614.6012869135366</v>
      </c>
      <c r="J34" s="2">
        <f>J12/'Output-Calculation-sheet'!J11*'Output-Calculation-sheet'!J20</f>
        <v>2783.0535729718295</v>
      </c>
      <c r="K34" s="2">
        <f>K12/'Output-Calculation-sheet'!K11*'Output-Calculation-sheet'!K20</f>
        <v>2727.3480481882289</v>
      </c>
      <c r="L34" s="2">
        <f>L12/'Output-Calculation-sheet'!L11*'Output-Calculation-sheet'!L20</f>
        <v>2877.787736269956</v>
      </c>
      <c r="M34" s="2">
        <f>M12/'Output-Calculation-sheet'!M11*'Output-Calculation-sheet'!M20</f>
        <v>0</v>
      </c>
      <c r="N34" s="2">
        <f>N12/'Output-Calculation-sheet'!N11*'Output-Calculation-sheet'!N20</f>
        <v>1055.5881969878997</v>
      </c>
      <c r="O34" s="2">
        <f>O12/'Output-Calculation-sheet'!O11*'Output-Calculation-sheet'!O20</f>
        <v>0</v>
      </c>
      <c r="P34" s="2">
        <f>P12/'Output-Calculation-sheet'!P11*'Output-Calculation-sheet'!P20</f>
        <v>2707.2709654938672</v>
      </c>
      <c r="Q34" s="2">
        <f>Q12/'Output-Calculation-sheet'!Q11*'Output-Calculation-sheet'!Q20</f>
        <v>2499.8028459584175</v>
      </c>
      <c r="R34" s="2">
        <f>R12/'Output-Calculation-sheet'!R11*'Output-Calculation-sheet'!R20</f>
        <v>2325.707357860018</v>
      </c>
      <c r="S34" s="2">
        <f>S12/'Output-Calculation-sheet'!S11*'Output-Calculation-sheet'!S20</f>
        <v>1043.2723320628108</v>
      </c>
      <c r="T34" s="2">
        <f>T12/'Output-Calculation-sheet'!T11*'Output-Calculation-sheet'!T20</f>
        <v>840.09594013324147</v>
      </c>
      <c r="U34" s="2">
        <f>U12/'Output-Calculation-sheet'!U11*'Output-Calculation-sheet'!U20</f>
        <v>661.68842439535842</v>
      </c>
      <c r="V34" s="2">
        <f>V12/'Output-Calculation-sheet'!V11*'Output-Calculation-sheet'!V20</f>
        <v>820.94454795465856</v>
      </c>
      <c r="W34" s="2">
        <f>W12/'Output-Calculation-sheet'!W11*'Output-Calculation-sheet'!W20</f>
        <v>403.00164511764626</v>
      </c>
      <c r="X34" s="2">
        <f>X12/'Output-Calculation-sheet'!X11*'Output-Calculation-sheet'!X20</f>
        <v>0</v>
      </c>
      <c r="Y34" s="2">
        <f>Y12/'Output-Calculation-sheet'!Y11*'Output-Calculation-sheet'!Y20</f>
        <v>277.26515717402975</v>
      </c>
      <c r="AA34" s="2">
        <f t="shared" si="1"/>
        <v>77.297633527267266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140.91594284749448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125.43640982478273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545.45507492187835</v>
      </c>
      <c r="S52" s="2">
        <f>S8/'Output-Calculation-sheet'!S7*'Output-Calculation-sheet'!S43</f>
        <v>0</v>
      </c>
      <c r="T52" s="2">
        <f>T8/'Output-Calculation-sheet'!T7*'Output-Calculation-sheet'!T43</f>
        <v>439.21005179850391</v>
      </c>
      <c r="U52" s="2">
        <f>U8/'Output-Calculation-sheet'!U7*'Output-Calculation-sheet'!U43</f>
        <v>46.45388650488826</v>
      </c>
      <c r="V52" s="2">
        <f>V8/'Output-Calculation-sheet'!V7*'Output-Calculation-sheet'!V43</f>
        <v>792.0235295881771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2.0894948954857244</v>
      </c>
    </row>
    <row r="53" spans="1:27" x14ac:dyDescent="0.25">
      <c r="A53" s="2">
        <v>2032</v>
      </c>
      <c r="B53" s="2">
        <f>B9/'Output-Calculation-sheet'!B8*'Output-Calculation-sheet'!B44</f>
        <v>1640.7255378958796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309.31615073119468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247.80415897638824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774.72080096149534</v>
      </c>
      <c r="S53" s="2">
        <f>S9/'Output-Calculation-sheet'!S8*'Output-Calculation-sheet'!S44</f>
        <v>0</v>
      </c>
      <c r="T53" s="2">
        <f>T9/'Output-Calculation-sheet'!T8*'Output-Calculation-sheet'!T44</f>
        <v>534.15447856102287</v>
      </c>
      <c r="U53" s="2">
        <f>U9/'Output-Calculation-sheet'!U8*'Output-Calculation-sheet'!U44</f>
        <v>90.638351534441796</v>
      </c>
      <c r="V53" s="2">
        <f>V9/'Output-Calculation-sheet'!V8*'Output-Calculation-sheet'!V44</f>
        <v>895.47061516908821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4.4928300938295118</v>
      </c>
    </row>
    <row r="54" spans="1:27" x14ac:dyDescent="0.25">
      <c r="A54" s="2">
        <v>2033</v>
      </c>
      <c r="B54" s="2">
        <f>B10/'Output-Calculation-sheet'!B9*'Output-Calculation-sheet'!B45</f>
        <v>5287.3136435068345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465.16658892699098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443.64462225584157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261.42551974495092</v>
      </c>
      <c r="Q54" s="2">
        <f>Q10/'Output-Calculation-sheet'!Q9*'Output-Calculation-sheet'!Q45</f>
        <v>0</v>
      </c>
      <c r="R54" s="2">
        <f>R10/'Output-Calculation-sheet'!R9*'Output-Calculation-sheet'!R45</f>
        <v>1059.1523841520425</v>
      </c>
      <c r="S54" s="2">
        <f>S10/'Output-Calculation-sheet'!S9*'Output-Calculation-sheet'!S45</f>
        <v>0</v>
      </c>
      <c r="T54" s="2">
        <f>T10/'Output-Calculation-sheet'!T9*'Output-Calculation-sheet'!T45</f>
        <v>636.75489879621671</v>
      </c>
      <c r="U54" s="2">
        <f>U10/'Output-Calculation-sheet'!U9*'Output-Calculation-sheet'!U45</f>
        <v>152.12826252527614</v>
      </c>
      <c r="V54" s="2">
        <f>V10/'Output-Calculation-sheet'!V9*'Output-Calculation-sheet'!V45</f>
        <v>999.43593900672045</v>
      </c>
      <c r="W54" s="2">
        <f>W10/'Output-Calculation-sheet'!W9*'Output-Calculation-sheet'!W45</f>
        <v>16.252326076240898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9.3212741849911147</v>
      </c>
    </row>
    <row r="55" spans="1:27" x14ac:dyDescent="0.25">
      <c r="A55" s="2">
        <v>2034</v>
      </c>
      <c r="B55" s="2">
        <f>B11/'Output-Calculation-sheet'!B10*'Output-Calculation-sheet'!B46</f>
        <v>10042.272152017236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669.22749924823097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658.4199123750592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532.94738542190692</v>
      </c>
      <c r="Q55" s="2">
        <f>Q11/'Output-Calculation-sheet'!Q10*'Output-Calculation-sheet'!Q46</f>
        <v>0</v>
      </c>
      <c r="R55" s="2">
        <f>R11/'Output-Calculation-sheet'!R10*'Output-Calculation-sheet'!R46</f>
        <v>1383.4364414214676</v>
      </c>
      <c r="S55" s="2">
        <f>S11/'Output-Calculation-sheet'!S10*'Output-Calculation-sheet'!S46</f>
        <v>0</v>
      </c>
      <c r="T55" s="2">
        <f>T11/'Output-Calculation-sheet'!T10*'Output-Calculation-sheet'!T46</f>
        <v>719.51911533817849</v>
      </c>
      <c r="U55" s="2">
        <f>U11/'Output-Calculation-sheet'!U10*'Output-Calculation-sheet'!U46</f>
        <v>225.77593023070494</v>
      </c>
      <c r="V55" s="2">
        <f>V11/'Output-Calculation-sheet'!V10*'Output-Calculation-sheet'!V46</f>
        <v>1084.3551637553269</v>
      </c>
      <c r="W55" s="2">
        <f>W11/'Output-Calculation-sheet'!W10*'Output-Calculation-sheet'!W46</f>
        <v>30.150413681895255</v>
      </c>
      <c r="X55" s="2">
        <f>X11/'Output-Calculation-sheet'!X10*'Output-Calculation-sheet'!X46</f>
        <v>72.118860025280654</v>
      </c>
      <c r="Y55" s="2">
        <f>Y11/'Output-Calculation-sheet'!Y10*'Output-Calculation-sheet'!Y46</f>
        <v>0</v>
      </c>
      <c r="AA55" s="2">
        <f t="shared" si="3"/>
        <v>15.418222873515285</v>
      </c>
    </row>
    <row r="56" spans="1:27" x14ac:dyDescent="0.25">
      <c r="A56" s="2">
        <v>2035</v>
      </c>
      <c r="B56" s="2">
        <f>B12/'Output-Calculation-sheet'!B11*'Output-Calculation-sheet'!B47</f>
        <v>23039.437842665484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850.21449855778963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822.62928095126074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783.05607814724351</v>
      </c>
      <c r="Q56" s="2">
        <f>Q12/'Output-Calculation-sheet'!Q11*'Output-Calculation-sheet'!Q47</f>
        <v>0</v>
      </c>
      <c r="R56" s="2">
        <f>R12/'Output-Calculation-sheet'!R11*'Output-Calculation-sheet'!R47</f>
        <v>1788.5848164061083</v>
      </c>
      <c r="S56" s="2">
        <f>S12/'Output-Calculation-sheet'!S11*'Output-Calculation-sheet'!S47</f>
        <v>0</v>
      </c>
      <c r="T56" s="2">
        <f>T12/'Output-Calculation-sheet'!T11*'Output-Calculation-sheet'!T47</f>
        <v>848.5503037096513</v>
      </c>
      <c r="U56" s="2">
        <f>U12/'Output-Calculation-sheet'!U11*'Output-Calculation-sheet'!U47</f>
        <v>324.96106295378672</v>
      </c>
      <c r="V56" s="2">
        <f>V12/'Output-Calculation-sheet'!V11*'Output-Calculation-sheet'!V47</f>
        <v>1158.9068399207313</v>
      </c>
      <c r="W56" s="2">
        <f>W12/'Output-Calculation-sheet'!W11*'Output-Calculation-sheet'!W47</f>
        <v>45.203881586239937</v>
      </c>
      <c r="X56" s="2">
        <f>X12/'Output-Calculation-sheet'!X11*'Output-Calculation-sheet'!X47</f>
        <v>178.40838043339181</v>
      </c>
      <c r="Y56" s="2">
        <f>Y12/'Output-Calculation-sheet'!Y11*'Output-Calculation-sheet'!Y47</f>
        <v>0</v>
      </c>
      <c r="AA56" s="2">
        <f t="shared" si="3"/>
        <v>29.839952985331688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 t="shared" ref="AA60:AA67" si="4"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si="4"/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6.8045342175017494</v>
      </c>
      <c r="C63" s="2">
        <f>C8*'Output-Calculation-sheet'!C52/10^9</f>
        <v>3.449060356762895</v>
      </c>
      <c r="D63" s="2">
        <f>D8*'Output-Calculation-sheet'!D52/10^9</f>
        <v>1.2049104375388537</v>
      </c>
      <c r="E63" s="2">
        <f>E8*'Output-Calculation-sheet'!E52/10^9</f>
        <v>1.5514290243116788</v>
      </c>
      <c r="F63" s="2">
        <f>F8*'Output-Calculation-sheet'!F52/10^9</f>
        <v>0.64532050410612873</v>
      </c>
      <c r="G63" s="2">
        <f>G8*'Output-Calculation-sheet'!G52/10^9</f>
        <v>0.46303281377127237</v>
      </c>
      <c r="H63" s="2">
        <f>H8*'Output-Calculation-sheet'!H52/10^9</f>
        <v>0.89444337279853192</v>
      </c>
      <c r="I63" s="2">
        <f>I8*'Output-Calculation-sheet'!I52/10^9</f>
        <v>0.41507928753089574</v>
      </c>
      <c r="J63" s="2">
        <f>J8*'Output-Calculation-sheet'!J52/10^9</f>
        <v>0.44622645627521262</v>
      </c>
      <c r="K63" s="2">
        <f>K8*'Output-Calculation-sheet'!K52/10^9</f>
        <v>0.45567491397789328</v>
      </c>
      <c r="L63" s="2">
        <f>L8*'Output-Calculation-sheet'!L52/10^9</f>
        <v>0.47390683627241342</v>
      </c>
      <c r="M63" s="2">
        <f>M8*'Output-Calculation-sheet'!M52/10^9</f>
        <v>0.67634335137794166</v>
      </c>
      <c r="N63" s="2">
        <f>N8*'Output-Calculation-sheet'!N52/10^9</f>
        <v>0.57143202481706057</v>
      </c>
      <c r="O63" s="2">
        <f>O8*'Output-Calculation-sheet'!O52/10^9</f>
        <v>0.59196785952645414</v>
      </c>
      <c r="P63" s="2">
        <f>P8*'Output-Calculation-sheet'!P52/10^9</f>
        <v>0.49060715937388244</v>
      </c>
      <c r="Q63" s="2">
        <f>Q8*'Output-Calculation-sheet'!Q52/10^9</f>
        <v>0.46411048433816365</v>
      </c>
      <c r="R63" s="2">
        <f>R8*'Output-Calculation-sheet'!R52/10^9</f>
        <v>0.39098594467080494</v>
      </c>
      <c r="S63" s="2">
        <f>S8*'Output-Calculation-sheet'!S52/10^9</f>
        <v>0.35948724315229402</v>
      </c>
      <c r="T63" s="2">
        <f>T8*'Output-Calculation-sheet'!T52/10^9</f>
        <v>0.12803074163459072</v>
      </c>
      <c r="U63" s="2">
        <f>U8*'Output-Calculation-sheet'!U52/10^9</f>
        <v>0.12558922347120882</v>
      </c>
      <c r="V63" s="2">
        <f>V8*'Output-Calculation-sheet'!V52/10^9</f>
        <v>0.11256138313750799</v>
      </c>
      <c r="W63" s="2">
        <f>W8*'Output-Calculation-sheet'!W52/10^9</f>
        <v>5.8758910960980154E-2</v>
      </c>
      <c r="X63" s="2">
        <f>X8*'Output-Calculation-sheet'!X52/10^9</f>
        <v>9.495566413706269E-2</v>
      </c>
      <c r="Y63" s="2">
        <f>Y8*'Output-Calculation-sheet'!Y52/10^9</f>
        <v>4.8976229368867669E-2</v>
      </c>
      <c r="AA63" s="2">
        <f t="shared" si="4"/>
        <v>20.917424440814347</v>
      </c>
    </row>
    <row r="64" spans="1:27" x14ac:dyDescent="0.25">
      <c r="A64" s="2">
        <v>2032</v>
      </c>
      <c r="B64" s="2">
        <f>B9*'Output-Calculation-sheet'!B53/10^9</f>
        <v>7.4166567765718456</v>
      </c>
      <c r="C64" s="2">
        <f>C9*'Output-Calculation-sheet'!C53/10^9</f>
        <v>3.7559677916532412</v>
      </c>
      <c r="D64" s="2">
        <f>D9*'Output-Calculation-sheet'!D53/10^9</f>
        <v>1.3156624491946163</v>
      </c>
      <c r="E64" s="2">
        <f>E9*'Output-Calculation-sheet'!E53/10^9</f>
        <v>1.6942522799189852</v>
      </c>
      <c r="F64" s="2">
        <f>F9*'Output-Calculation-sheet'!F53/10^9</f>
        <v>0.70411645884905638</v>
      </c>
      <c r="G64" s="2">
        <f>G9*'Output-Calculation-sheet'!G53/10^9</f>
        <v>0.5054852124693251</v>
      </c>
      <c r="H64" s="2">
        <f>H9*'Output-Calculation-sheet'!H53/10^9</f>
        <v>0.97283468135769002</v>
      </c>
      <c r="I64" s="2">
        <f>I9*'Output-Calculation-sheet'!I53/10^9</f>
        <v>0.45318781476049985</v>
      </c>
      <c r="J64" s="2">
        <f>J9*'Output-Calculation-sheet'!J53/10^9</f>
        <v>0.48704358172597179</v>
      </c>
      <c r="K64" s="2">
        <f>K9*'Output-Calculation-sheet'!K53/10^9</f>
        <v>0.49765328717399943</v>
      </c>
      <c r="L64" s="2">
        <f>L9*'Output-Calculation-sheet'!L53/10^9</f>
        <v>0.51740523896814794</v>
      </c>
      <c r="M64" s="2">
        <f>M9*'Output-Calculation-sheet'!M53/10^9</f>
        <v>0.73579844532009775</v>
      </c>
      <c r="N64" s="2">
        <f>N9*'Output-Calculation-sheet'!N53/10^9</f>
        <v>0.62234969342015434</v>
      </c>
      <c r="O64" s="2">
        <f>O9*'Output-Calculation-sheet'!O53/10^9</f>
        <v>0.64484542920725318</v>
      </c>
      <c r="P64" s="2">
        <f>P9*'Output-Calculation-sheet'!P53/10^9</f>
        <v>0.53611693753821987</v>
      </c>
      <c r="Q64" s="2">
        <f>Q9*'Output-Calculation-sheet'!Q53/10^9</f>
        <v>0.50708551201620766</v>
      </c>
      <c r="R64" s="2">
        <f>R9*'Output-Calculation-sheet'!R53/10^9</f>
        <v>0.42650176330076517</v>
      </c>
      <c r="S64" s="2">
        <f>S9*'Output-Calculation-sheet'!S53/10^9</f>
        <v>0.39187133744578612</v>
      </c>
      <c r="T64" s="2">
        <f>T9*'Output-Calculation-sheet'!T53/10^9</f>
        <v>0.13935439876204753</v>
      </c>
      <c r="U64" s="2">
        <f>U9*'Output-Calculation-sheet'!U53/10^9</f>
        <v>0.13718786626401583</v>
      </c>
      <c r="V64" s="2">
        <f>V9*'Output-Calculation-sheet'!V53/10^9</f>
        <v>0.12211154598865055</v>
      </c>
      <c r="W64" s="2">
        <f>W9*'Output-Calculation-sheet'!W53/10^9</f>
        <v>6.4120960160400975E-2</v>
      </c>
      <c r="X64" s="2">
        <f>X9*'Output-Calculation-sheet'!X53/10^9</f>
        <v>0.10337624960772661</v>
      </c>
      <c r="Y64" s="2">
        <f>Y9*'Output-Calculation-sheet'!Y53/10^9</f>
        <v>5.3501398498629733E-2</v>
      </c>
      <c r="AA64" s="2">
        <f t="shared" si="4"/>
        <v>22.804487110173337</v>
      </c>
    </row>
    <row r="65" spans="1:27" x14ac:dyDescent="0.25">
      <c r="A65" s="2">
        <v>2033</v>
      </c>
      <c r="B65" s="2">
        <f>B10*'Output-Calculation-sheet'!B54/10^9</f>
        <v>7.9048505197474226</v>
      </c>
      <c r="C65" s="2">
        <f>C10*'Output-Calculation-sheet'!C54/10^9</f>
        <v>4.001951256014971</v>
      </c>
      <c r="D65" s="2">
        <f>D10*'Output-Calculation-sheet'!D54/10^9</f>
        <v>1.405966335243237</v>
      </c>
      <c r="E65" s="2">
        <f>E10*'Output-Calculation-sheet'!E54/10^9</f>
        <v>1.8107748587714121</v>
      </c>
      <c r="F65" s="2">
        <f>F10*'Output-Calculation-sheet'!F54/10^9</f>
        <v>0.7518837617507157</v>
      </c>
      <c r="G65" s="2">
        <f>G10*'Output-Calculation-sheet'!G54/10^9</f>
        <v>0.53994511301800341</v>
      </c>
      <c r="H65" s="2">
        <f>H10*'Output-Calculation-sheet'!H54/10^9</f>
        <v>1.0352979336667179</v>
      </c>
      <c r="I65" s="2">
        <f>I10*'Output-Calculation-sheet'!I54/10^9</f>
        <v>0.48424797741114145</v>
      </c>
      <c r="J65" s="2">
        <f>J10*'Output-Calculation-sheet'!J54/10^9</f>
        <v>0.52014413516208613</v>
      </c>
      <c r="K65" s="2">
        <f>K10*'Output-Calculation-sheet'!K54/10^9</f>
        <v>0.53191178185543164</v>
      </c>
      <c r="L65" s="2">
        <f>L10*'Output-Calculation-sheet'!L54/10^9</f>
        <v>0.55284966822845749</v>
      </c>
      <c r="M65" s="2">
        <f>M10*'Output-Calculation-sheet'!M54/10^9</f>
        <v>0.78322501873885031</v>
      </c>
      <c r="N65" s="2">
        <f>N10*'Output-Calculation-sheet'!N54/10^9</f>
        <v>0.6630067792093105</v>
      </c>
      <c r="O65" s="2">
        <f>O10*'Output-Calculation-sheet'!O54/10^9</f>
        <v>0.68720814438766686</v>
      </c>
      <c r="P65" s="2">
        <f>P10*'Output-Calculation-sheet'!P54/10^9</f>
        <v>0.57323829899542134</v>
      </c>
      <c r="Q65" s="2">
        <f>Q10*'Output-Calculation-sheet'!Q54/10^9</f>
        <v>0.54222371669552738</v>
      </c>
      <c r="R65" s="2">
        <f>R10*'Output-Calculation-sheet'!R54/10^9</f>
        <v>0.45519203355752136</v>
      </c>
      <c r="S65" s="2">
        <f>S10*'Output-Calculation-sheet'!S54/10^9</f>
        <v>0.41784482062808348</v>
      </c>
      <c r="T65" s="2">
        <f>T10*'Output-Calculation-sheet'!T54/10^9</f>
        <v>0.14839728288153878</v>
      </c>
      <c r="U65" s="2">
        <f>U10*'Output-Calculation-sheet'!U54/10^9</f>
        <v>0.14662591777567191</v>
      </c>
      <c r="V65" s="2">
        <f>V10*'Output-Calculation-sheet'!V54/10^9</f>
        <v>0.12963681795328044</v>
      </c>
      <c r="W65" s="2">
        <f>W10*'Output-Calculation-sheet'!W54/10^9</f>
        <v>6.8471854121142345E-2</v>
      </c>
      <c r="X65" s="2">
        <f>X10*'Output-Calculation-sheet'!X54/10^9</f>
        <v>0.11012111175288022</v>
      </c>
      <c r="Y65" s="2">
        <f>Y10*'Output-Calculation-sheet'!Y54/10^9</f>
        <v>5.719902528192277E-2</v>
      </c>
      <c r="AA65" s="2">
        <f t="shared" si="4"/>
        <v>24.322214162848415</v>
      </c>
    </row>
    <row r="66" spans="1:27" x14ac:dyDescent="0.25">
      <c r="A66" s="2">
        <v>2034</v>
      </c>
      <c r="B66" s="2">
        <f>B11*'Output-Calculation-sheet'!B55/10^9</f>
        <v>8.3046419274438996</v>
      </c>
      <c r="C66" s="2">
        <f>C11*'Output-Calculation-sheet'!C55/10^9</f>
        <v>4.206734306936271</v>
      </c>
      <c r="D66" s="2">
        <f>D11*'Output-Calculation-sheet'!D55/10^9</f>
        <v>1.482672435212975</v>
      </c>
      <c r="E66" s="2">
        <f>E11*'Output-Calculation-sheet'!E55/10^9</f>
        <v>1.9097979034557411</v>
      </c>
      <c r="F66" s="2">
        <f>F11*'Output-Calculation-sheet'!F55/10^9</f>
        <v>0.79230158167474096</v>
      </c>
      <c r="G66" s="2">
        <f>G11*'Output-Calculation-sheet'!G55/10^9</f>
        <v>0.56905686095518693</v>
      </c>
      <c r="H66" s="2">
        <f>H11*'Output-Calculation-sheet'!H55/10^9</f>
        <v>1.0869849414264745</v>
      </c>
      <c r="I66" s="2">
        <f>I11*'Output-Calculation-sheet'!I55/10^9</f>
        <v>0.51061393153273682</v>
      </c>
      <c r="J66" s="2">
        <f>J11*'Output-Calculation-sheet'!J55/10^9</f>
        <v>0.54805019427338864</v>
      </c>
      <c r="K66" s="2">
        <f>K11*'Output-Calculation-sheet'!K55/10^9</f>
        <v>0.56102898881590357</v>
      </c>
      <c r="L66" s="2">
        <f>L11*'Output-Calculation-sheet'!L55/10^9</f>
        <v>0.58255327571131066</v>
      </c>
      <c r="M66" s="2">
        <f>M11*'Output-Calculation-sheet'!M55/10^9</f>
        <v>0.82250321307581664</v>
      </c>
      <c r="N66" s="2">
        <f>N11*'Output-Calculation-sheet'!N55/10^9</f>
        <v>0.69667673498180471</v>
      </c>
      <c r="O66" s="2">
        <f>O11*'Output-Calculation-sheet'!O55/10^9</f>
        <v>0.72246216178931455</v>
      </c>
      <c r="P66" s="2">
        <f>P11*'Output-Calculation-sheet'!P55/10^9</f>
        <v>0.60460594309809057</v>
      </c>
      <c r="Q66" s="2">
        <f>Q11*'Output-Calculation-sheet'!Q55/10^9</f>
        <v>0.57214962150754489</v>
      </c>
      <c r="R66" s="2">
        <f>R11*'Output-Calculation-sheet'!R55/10^9</f>
        <v>0.47921649255371679</v>
      </c>
      <c r="S66" s="2">
        <f>S11*'Output-Calculation-sheet'!S55/10^9</f>
        <v>0.43948962364269389</v>
      </c>
      <c r="T66" s="2">
        <f>T11*'Output-Calculation-sheet'!T55/10^9</f>
        <v>0.15591352474376508</v>
      </c>
      <c r="U66" s="2">
        <f>U11*'Output-Calculation-sheet'!U55/10^9</f>
        <v>0.15460830428050254</v>
      </c>
      <c r="V66" s="2">
        <f>V11*'Output-Calculation-sheet'!V55/10^9</f>
        <v>0.13581224165383921</v>
      </c>
      <c r="W66" s="2">
        <f>W11*'Output-Calculation-sheet'!W55/10^9</f>
        <v>7.214616316046682E-2</v>
      </c>
      <c r="X66" s="2">
        <f>X11*'Output-Calculation-sheet'!X55/10^9</f>
        <v>0.11567363026188864</v>
      </c>
      <c r="Y66" s="2">
        <f>Y11*'Output-Calculation-sheet'!Y55/10^9</f>
        <v>6.0346282119317592E-2</v>
      </c>
      <c r="AA66" s="2">
        <f t="shared" si="4"/>
        <v>25.586040284307394</v>
      </c>
    </row>
    <row r="67" spans="1:27" x14ac:dyDescent="0.25">
      <c r="A67" s="2">
        <v>2035</v>
      </c>
      <c r="B67" s="2">
        <f>B12*'Output-Calculation-sheet'!B56/10^9</f>
        <v>8.6218415085735547</v>
      </c>
      <c r="C67" s="2">
        <f>C12*'Output-Calculation-sheet'!C56/10^9</f>
        <v>4.3763974555131151</v>
      </c>
      <c r="D67" s="2">
        <f>D12*'Output-Calculation-sheet'!D56/10^9</f>
        <v>1.5478634159549083</v>
      </c>
      <c r="E67" s="2">
        <f>E12*'Output-Calculation-sheet'!E56/10^9</f>
        <v>1.9940066646793928</v>
      </c>
      <c r="F67" s="2">
        <f>F12*'Output-Calculation-sheet'!F56/10^9</f>
        <v>0.82650016735900922</v>
      </c>
      <c r="G67" s="2">
        <f>G12*'Output-Calculation-sheet'!G56/10^9</f>
        <v>0.59359033181316601</v>
      </c>
      <c r="H67" s="2">
        <f>H12*'Output-Calculation-sheet'!H56/10^9</f>
        <v>1.1294843008373794</v>
      </c>
      <c r="I67" s="2">
        <f>I12*'Output-Calculation-sheet'!I56/10^9</f>
        <v>0.53300564766320502</v>
      </c>
      <c r="J67" s="2">
        <f>J12*'Output-Calculation-sheet'!J56/10^9</f>
        <v>0.57156500453832892</v>
      </c>
      <c r="K67" s="2">
        <f>K12*'Output-Calculation-sheet'!K56/10^9</f>
        <v>0.58579451285444473</v>
      </c>
      <c r="L67" s="2">
        <f>L12*'Output-Calculation-sheet'!L56/10^9</f>
        <v>0.60713628487591409</v>
      </c>
      <c r="M67" s="2">
        <f>M12*'Output-Calculation-sheet'!M56/10^9</f>
        <v>0.85482722723129223</v>
      </c>
      <c r="N67" s="2">
        <f>N12*'Output-Calculation-sheet'!N56/10^9</f>
        <v>0.72444959638277984</v>
      </c>
      <c r="O67" s="2">
        <f>O12*'Output-Calculation-sheet'!O56/10^9</f>
        <v>0.75157757160708627</v>
      </c>
      <c r="P67" s="2">
        <f>P12*'Output-Calculation-sheet'!P56/10^9</f>
        <v>0.63107052290405419</v>
      </c>
      <c r="Q67" s="2">
        <f>Q12*'Output-Calculation-sheet'!Q56/10^9</f>
        <v>0.59761323501384389</v>
      </c>
      <c r="R67" s="2">
        <f>R12*'Output-Calculation-sheet'!R56/10^9</f>
        <v>0.49926712412082497</v>
      </c>
      <c r="S67" s="2">
        <f>S12*'Output-Calculation-sheet'!S56/10^9</f>
        <v>0.4574873760013769</v>
      </c>
      <c r="T67" s="2">
        <f>T12*'Output-Calculation-sheet'!T56/10^9</f>
        <v>0.16213019989187308</v>
      </c>
      <c r="U67" s="2">
        <f>U12*'Output-Calculation-sheet'!U56/10^9</f>
        <v>0.16133038035974367</v>
      </c>
      <c r="V67" s="2">
        <f>V12*'Output-Calculation-sheet'!V56/10^9</f>
        <v>0.14084239793156755</v>
      </c>
      <c r="W67" s="2">
        <f>W12*'Output-Calculation-sheet'!W56/10^9</f>
        <v>7.5243781051094735E-2</v>
      </c>
      <c r="X67" s="2">
        <f>X12*'Output-Calculation-sheet'!X56/10^9</f>
        <v>0.12012491820573203</v>
      </c>
      <c r="Y67" s="2">
        <f>Y12*'Output-Calculation-sheet'!Y56/10^9</f>
        <v>6.3027732166300005E-2</v>
      </c>
      <c r="AA67" s="2">
        <f t="shared" si="4"/>
        <v>26.62617735752999</v>
      </c>
    </row>
    <row r="68" spans="1:27" x14ac:dyDescent="0.25">
      <c r="B68" s="2">
        <f>SUM(B60:B67)</f>
        <v>53.644762039672912</v>
      </c>
      <c r="C68" s="2">
        <f t="shared" ref="C68:Y68" si="5">SUM(C60:C67)</f>
        <v>27.174599947173377</v>
      </c>
      <c r="D68" s="2">
        <f t="shared" si="5"/>
        <v>9.5378516001101374</v>
      </c>
      <c r="E68" s="2">
        <f t="shared" si="5"/>
        <v>12.281995134612796</v>
      </c>
      <c r="F68" s="2">
        <f t="shared" si="5"/>
        <v>5.1050200985432896</v>
      </c>
      <c r="G68" s="2">
        <f t="shared" si="5"/>
        <v>3.6625889503207327</v>
      </c>
      <c r="H68" s="2">
        <f t="shared" si="5"/>
        <v>7.0388518606287462</v>
      </c>
      <c r="I68" s="2">
        <f t="shared" si="5"/>
        <v>3.285390700509272</v>
      </c>
      <c r="J68" s="2">
        <f t="shared" si="5"/>
        <v>3.5293323081092747</v>
      </c>
      <c r="K68" s="2">
        <f t="shared" si="5"/>
        <v>3.6075285992961432</v>
      </c>
      <c r="L68" s="2">
        <f t="shared" si="5"/>
        <v>3.7492340293633033</v>
      </c>
      <c r="M68" s="2">
        <f t="shared" si="5"/>
        <v>5.3237205714526539</v>
      </c>
      <c r="N68" s="2">
        <f t="shared" si="5"/>
        <v>4.5024344200228468</v>
      </c>
      <c r="O68" s="2">
        <f t="shared" si="5"/>
        <v>4.6616092234256801</v>
      </c>
      <c r="P68" s="2">
        <f t="shared" si="5"/>
        <v>3.8841757776552335</v>
      </c>
      <c r="Q68" s="2">
        <f t="shared" si="5"/>
        <v>3.6755270674431397</v>
      </c>
      <c r="R68" s="2">
        <f t="shared" si="5"/>
        <v>3.0892114688110932</v>
      </c>
      <c r="S68" s="2">
        <f t="shared" si="5"/>
        <v>2.835957538399037</v>
      </c>
      <c r="T68" s="2">
        <f t="shared" si="5"/>
        <v>1.0104782761570243</v>
      </c>
      <c r="U68" s="2">
        <f t="shared" si="5"/>
        <v>0.9937722753523559</v>
      </c>
      <c r="V68" s="2">
        <f t="shared" si="5"/>
        <v>0.88776831268713541</v>
      </c>
      <c r="W68" s="2">
        <f t="shared" si="5"/>
        <v>0.46480286696375506</v>
      </c>
      <c r="X68" s="2">
        <f t="shared" si="5"/>
        <v>0.74771348307585439</v>
      </c>
      <c r="Y68" s="2">
        <f t="shared" si="5"/>
        <v>0.38782677672113097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51.631601459321978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45.959900559800396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182.35846578344092</v>
      </c>
      <c r="S74" s="2">
        <f>S8/'Output-Calculation-sheet'!S7*'Output-Calculation-sheet'!S61</f>
        <v>0</v>
      </c>
      <c r="T74" s="2">
        <f>T8/'Output-Calculation-sheet'!T7*'Output-Calculation-sheet'!T61</f>
        <v>134.33892314063971</v>
      </c>
      <c r="U74" s="2">
        <f>U8/'Output-Calculation-sheet'!U7*'Output-Calculation-sheet'!U61</f>
        <v>17.017607089624065</v>
      </c>
      <c r="V74" s="2">
        <f>V8/'Output-Calculation-sheet'!V7*'Output-Calculation-sheet'!V61</f>
        <v>154.20180718776047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0.5855083052205875</v>
      </c>
    </row>
    <row r="75" spans="1:27" x14ac:dyDescent="0.25">
      <c r="A75" s="2">
        <v>2032</v>
      </c>
      <c r="B75" s="2">
        <f>B9/'Output-Calculation-sheet'!B8*'Output-Calculation-sheet'!B62</f>
        <v>558.66704565354701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113.3025060128366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90.778923571683563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240.19866287992545</v>
      </c>
      <c r="S75" s="2">
        <f>S9/'Output-Calculation-sheet'!S8*'Output-Calculation-sheet'!S62</f>
        <v>0</v>
      </c>
      <c r="T75" s="2">
        <f>T9/'Output-Calculation-sheet'!T8*'Output-Calculation-sheet'!T62</f>
        <v>158.65690829063749</v>
      </c>
      <c r="U75" s="2">
        <f>U9/'Output-Calculation-sheet'!U8*'Output-Calculation-sheet'!U62</f>
        <v>32.431535158417454</v>
      </c>
      <c r="V75" s="2">
        <f>V9/'Output-Calculation-sheet'!V8*'Output-Calculation-sheet'!V62</f>
        <v>169.95595460975065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1.3639915361767982</v>
      </c>
    </row>
    <row r="76" spans="1:27" x14ac:dyDescent="0.25">
      <c r="A76" s="2">
        <v>2033</v>
      </c>
      <c r="B76" s="2">
        <f>B10/'Output-Calculation-sheet'!B9*'Output-Calculation-sheet'!B63</f>
        <v>1452.4691188183567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170.38387628697214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162.52181328638997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73.319803460776242</v>
      </c>
      <c r="Q76" s="2">
        <f>Q10/'Output-Calculation-sheet'!Q9*'Output-Calculation-sheet'!Q63</f>
        <v>0</v>
      </c>
      <c r="R76" s="2">
        <f>R10/'Output-Calculation-sheet'!R9*'Output-Calculation-sheet'!R63</f>
        <v>312.27973240597095</v>
      </c>
      <c r="S76" s="2">
        <f>S10/'Output-Calculation-sheet'!S9*'Output-Calculation-sheet'!S63</f>
        <v>0</v>
      </c>
      <c r="T76" s="2">
        <f>T10/'Output-Calculation-sheet'!T9*'Output-Calculation-sheet'!T63</f>
        <v>182.5177448373683</v>
      </c>
      <c r="U76" s="2">
        <f>U10/'Output-Calculation-sheet'!U9*'Output-Calculation-sheet'!U63</f>
        <v>53.086678490820361</v>
      </c>
      <c r="V76" s="2">
        <f>V10/'Output-Calculation-sheet'!V9*'Output-Calculation-sheet'!V63</f>
        <v>189.57375966079587</v>
      </c>
      <c r="W76" s="2">
        <f>W10/'Output-Calculation-sheet'!W9*'Output-Calculation-sheet'!W63</f>
        <v>5.9524144254232292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2.6021049416728737</v>
      </c>
    </row>
    <row r="77" spans="1:27" x14ac:dyDescent="0.25">
      <c r="A77" s="2">
        <v>2034</v>
      </c>
      <c r="B77" s="2">
        <f>B11/'Output-Calculation-sheet'!B10*'Output-Calculation-sheet'!B64</f>
        <v>2573.6241654704636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245.14859972461514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227.87599634009192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147.09347837644631</v>
      </c>
      <c r="Q77" s="2">
        <f>Q11/'Output-Calculation-sheet'!Q10*'Output-Calculation-sheet'!Q64</f>
        <v>0</v>
      </c>
      <c r="R77" s="2">
        <f>R11/'Output-Calculation-sheet'!R10*'Output-Calculation-sheet'!R64</f>
        <v>382.08910527781023</v>
      </c>
      <c r="S77" s="2">
        <f>S11/'Output-Calculation-sheet'!S10*'Output-Calculation-sheet'!S64</f>
        <v>0</v>
      </c>
      <c r="T77" s="2">
        <f>T11/'Output-Calculation-sheet'!T10*'Output-Calculation-sheet'!T64</f>
        <v>205.80472015523466</v>
      </c>
      <c r="U77" s="2">
        <f>U11/'Output-Calculation-sheet'!U10*'Output-Calculation-sheet'!U64</f>
        <v>69.77121318215157</v>
      </c>
      <c r="V77" s="2">
        <f>V11/'Output-Calculation-sheet'!V10*'Output-Calculation-sheet'!V64</f>
        <v>208.4051039037646</v>
      </c>
      <c r="W77" s="2">
        <f>W11/'Output-Calculation-sheet'!W10*'Output-Calculation-sheet'!W64</f>
        <v>11.043665811482777</v>
      </c>
      <c r="X77" s="2">
        <f>X11/'Output-Calculation-sheet'!X10*'Output-Calculation-sheet'!X64</f>
        <v>19.814656791945861</v>
      </c>
      <c r="Y77" s="2">
        <f>Y11/'Output-Calculation-sheet'!Y10*'Output-Calculation-sheet'!Y64</f>
        <v>0</v>
      </c>
      <c r="AA77" s="2">
        <f t="shared" si="6"/>
        <v>4.0906707050340065</v>
      </c>
    </row>
    <row r="78" spans="1:27" x14ac:dyDescent="0.25">
      <c r="A78" s="2">
        <v>2035</v>
      </c>
      <c r="B78" s="2">
        <f>B12/'Output-Calculation-sheet'!B11*'Output-Calculation-sheet'!B65</f>
        <v>4753.7223080691174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307.40799000028608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271.50056788515406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220.5533376678722</v>
      </c>
      <c r="Q78" s="2">
        <f>Q12/'Output-Calculation-sheet'!Q11*'Output-Calculation-sheet'!Q65</f>
        <v>0</v>
      </c>
      <c r="R78" s="2">
        <f>R12/'Output-Calculation-sheet'!R11*'Output-Calculation-sheet'!R65</f>
        <v>484.15938871397822</v>
      </c>
      <c r="S78" s="2">
        <f>S12/'Output-Calculation-sheet'!S11*'Output-Calculation-sheet'!S65</f>
        <v>0</v>
      </c>
      <c r="T78" s="2">
        <f>T12/'Output-Calculation-sheet'!T11*'Output-Calculation-sheet'!T65</f>
        <v>234.34779626212509</v>
      </c>
      <c r="U78" s="2">
        <f>U12/'Output-Calculation-sheet'!U11*'Output-Calculation-sheet'!U65</f>
        <v>91.117728047812818</v>
      </c>
      <c r="V78" s="2">
        <f>V12/'Output-Calculation-sheet'!V11*'Output-Calculation-sheet'!V65</f>
        <v>221.09541167190423</v>
      </c>
      <c r="W78" s="2">
        <f>W12/'Output-Calculation-sheet'!W11*'Output-Calculation-sheet'!W65</f>
        <v>16.558181825039689</v>
      </c>
      <c r="X78" s="2">
        <f>X12/'Output-Calculation-sheet'!X11*'Output-Calculation-sheet'!X65</f>
        <v>45.218414968026948</v>
      </c>
      <c r="Y78" s="2">
        <f>Y12/'Output-Calculation-sheet'!Y11*'Output-Calculation-sheet'!Y65</f>
        <v>0</v>
      </c>
      <c r="AA78" s="2">
        <f t="shared" si="6"/>
        <v>6.6456811251113166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 t="shared" ref="AA93:AA100" si="8"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si="8"/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14941279800.672394</v>
      </c>
      <c r="C96" s="2">
        <f>C8/'Output-Calculation-sheet'!C7*'Output-Calculation-sheet'!C79</f>
        <v>1839113330.6167381</v>
      </c>
      <c r="D96" s="2">
        <f>D8/'Output-Calculation-sheet'!D7*'Output-Calculation-sheet'!D79</f>
        <v>6512863410.7729378</v>
      </c>
      <c r="E96" s="2">
        <f>E8/'Output-Calculation-sheet'!E7*'Output-Calculation-sheet'!E79</f>
        <v>11135524684.514994</v>
      </c>
      <c r="F96" s="2">
        <f>F8/'Output-Calculation-sheet'!F7*'Output-Calculation-sheet'!F79</f>
        <v>5011357752.771656</v>
      </c>
      <c r="G96" s="2">
        <f>G8/'Output-Calculation-sheet'!G7*'Output-Calculation-sheet'!G79</f>
        <v>3806353808.5439539</v>
      </c>
      <c r="H96" s="2">
        <f>H8/'Output-Calculation-sheet'!H7*'Output-Calculation-sheet'!H79</f>
        <v>1107398158.3535652</v>
      </c>
      <c r="I96" s="2">
        <f>I8/'Output-Calculation-sheet'!I7*'Output-Calculation-sheet'!I79</f>
        <v>2553198918.3983922</v>
      </c>
      <c r="J96" s="2">
        <f>J8/'Output-Calculation-sheet'!J7*'Output-Calculation-sheet'!J79</f>
        <v>1891964644.6989677</v>
      </c>
      <c r="K96" s="2">
        <f>K8/'Output-Calculation-sheet'!K7*'Output-Calculation-sheet'!K79</f>
        <v>2187586763.9508858</v>
      </c>
      <c r="L96" s="2">
        <f>L8/'Output-Calculation-sheet'!L7*'Output-Calculation-sheet'!L79</f>
        <v>1740185075.3488746</v>
      </c>
      <c r="M96" s="2">
        <f>M8/'Output-Calculation-sheet'!M7*'Output-Calculation-sheet'!M79</f>
        <v>860903244.64484334</v>
      </c>
      <c r="N96" s="2">
        <f>N8/'Output-Calculation-sheet'!N7*'Output-Calculation-sheet'!N79</f>
        <v>874332662.17403448</v>
      </c>
      <c r="O96" s="2">
        <f>O8/'Output-Calculation-sheet'!O7*'Output-Calculation-sheet'!O79</f>
        <v>213424684.66097447</v>
      </c>
      <c r="P96" s="2">
        <f>P8/'Output-Calculation-sheet'!P7*'Output-Calculation-sheet'!P79</f>
        <v>2325424302.8945069</v>
      </c>
      <c r="Q96" s="2">
        <f>Q8/'Output-Calculation-sheet'!Q7*'Output-Calculation-sheet'!Q79</f>
        <v>1031166792.0603082</v>
      </c>
      <c r="R96" s="2">
        <f>R8/'Output-Calculation-sheet'!R7*'Output-Calculation-sheet'!R79</f>
        <v>1568903501.5272603</v>
      </c>
      <c r="S96" s="2">
        <f>S8/'Output-Calculation-sheet'!S7*'Output-Calculation-sheet'!S79</f>
        <v>613240254.43138134</v>
      </c>
      <c r="T96" s="2">
        <f>T8/'Output-Calculation-sheet'!T7*'Output-Calculation-sheet'!T79</f>
        <v>830523060.39418685</v>
      </c>
      <c r="U96" s="2">
        <f>U8/'Output-Calculation-sheet'!U7*'Output-Calculation-sheet'!U79</f>
        <v>412497659.9214747</v>
      </c>
      <c r="V96" s="2">
        <f>V8/'Output-Calculation-sheet'!V7*'Output-Calculation-sheet'!V79</f>
        <v>303956780.35856831</v>
      </c>
      <c r="W96" s="2">
        <f>W8/'Output-Calculation-sheet'!W7*'Output-Calculation-sheet'!W79</f>
        <v>809754188.49071229</v>
      </c>
      <c r="X96" s="2">
        <f>X8/'Output-Calculation-sheet'!X7*'Output-Calculation-sheet'!X79</f>
        <v>95954108.645467833</v>
      </c>
      <c r="Y96" s="2">
        <f>Y8/'Output-Calculation-sheet'!Y7*'Output-Calculation-sheet'!Y79</f>
        <v>363407733.04681718</v>
      </c>
      <c r="AA96" s="2">
        <f t="shared" si="8"/>
        <v>63.030315321893916</v>
      </c>
    </row>
    <row r="97" spans="1:27" x14ac:dyDescent="0.25">
      <c r="A97" s="2">
        <v>2032</v>
      </c>
      <c r="B97" s="2">
        <f>B9/'Output-Calculation-sheet'!B8*'Output-Calculation-sheet'!B80</f>
        <v>16616302270.649033</v>
      </c>
      <c r="C97" s="2">
        <f>C9/'Output-Calculation-sheet'!C8*'Output-Calculation-sheet'!C80</f>
        <v>2087560053.5623581</v>
      </c>
      <c r="D97" s="2">
        <f>D9/'Output-Calculation-sheet'!D8*'Output-Calculation-sheet'!D80</f>
        <v>6875369734.9372826</v>
      </c>
      <c r="E97" s="2">
        <f>E9/'Output-Calculation-sheet'!E8*'Output-Calculation-sheet'!E80</f>
        <v>12104813853.514509</v>
      </c>
      <c r="F97" s="2">
        <f>F9/'Output-Calculation-sheet'!F8*'Output-Calculation-sheet'!F80</f>
        <v>5434990123.1991148</v>
      </c>
      <c r="G97" s="2">
        <f>G9/'Output-Calculation-sheet'!G8*'Output-Calculation-sheet'!G80</f>
        <v>4022876154.7262058</v>
      </c>
      <c r="H97" s="2">
        <f>H9/'Output-Calculation-sheet'!H8*'Output-Calculation-sheet'!H80</f>
        <v>1218957475.8851757</v>
      </c>
      <c r="I97" s="2">
        <f>I9/'Output-Calculation-sheet'!I8*'Output-Calculation-sheet'!I80</f>
        <v>2794174565.3584352</v>
      </c>
      <c r="J97" s="2">
        <f>J9/'Output-Calculation-sheet'!J8*'Output-Calculation-sheet'!J80</f>
        <v>2016160243.8616555</v>
      </c>
      <c r="K97" s="2">
        <f>K9/'Output-Calculation-sheet'!K8*'Output-Calculation-sheet'!K80</f>
        <v>2346869882.7830791</v>
      </c>
      <c r="L97" s="2">
        <f>L9/'Output-Calculation-sheet'!L8*'Output-Calculation-sheet'!L80</f>
        <v>1924299613.4817741</v>
      </c>
      <c r="M97" s="2">
        <f>M9/'Output-Calculation-sheet'!M8*'Output-Calculation-sheet'!M80</f>
        <v>947473838.02097833</v>
      </c>
      <c r="N97" s="2">
        <f>N9/'Output-Calculation-sheet'!N8*'Output-Calculation-sheet'!N80</f>
        <v>939066901.85429108</v>
      </c>
      <c r="O97" s="2">
        <f>O9/'Output-Calculation-sheet'!O8*'Output-Calculation-sheet'!O80</f>
        <v>245078790.57589602</v>
      </c>
      <c r="P97" s="2">
        <f>P9/'Output-Calculation-sheet'!P8*'Output-Calculation-sheet'!P80</f>
        <v>2492322912.364747</v>
      </c>
      <c r="Q97" s="2">
        <f>Q9/'Output-Calculation-sheet'!Q8*'Output-Calculation-sheet'!Q80</f>
        <v>1108228175.670727</v>
      </c>
      <c r="R97" s="2">
        <f>R9/'Output-Calculation-sheet'!R8*'Output-Calculation-sheet'!R80</f>
        <v>1724566182.5428808</v>
      </c>
      <c r="S97" s="2">
        <f>S9/'Output-Calculation-sheet'!S8*'Output-Calculation-sheet'!S80</f>
        <v>665111012.42814136</v>
      </c>
      <c r="T97" s="2">
        <f>T9/'Output-Calculation-sheet'!T8*'Output-Calculation-sheet'!T80</f>
        <v>889320956.84315443</v>
      </c>
      <c r="U97" s="2">
        <f>U9/'Output-Calculation-sheet'!U8*'Output-Calculation-sheet'!U80</f>
        <v>451349136.63448346</v>
      </c>
      <c r="V97" s="2">
        <f>V9/'Output-Calculation-sheet'!V8*'Output-Calculation-sheet'!V80</f>
        <v>332477144.312953</v>
      </c>
      <c r="W97" s="2">
        <f>W9/'Output-Calculation-sheet'!W8*'Output-Calculation-sheet'!W80</f>
        <v>869479195.89358509</v>
      </c>
      <c r="X97" s="2">
        <f>X9/'Output-Calculation-sheet'!X8*'Output-Calculation-sheet'!X80</f>
        <v>106477026.14169689</v>
      </c>
      <c r="Y97" s="2">
        <f>Y9/'Output-Calculation-sheet'!Y8*'Output-Calculation-sheet'!Y80</f>
        <v>390435521.68943834</v>
      </c>
      <c r="AA97" s="2">
        <f t="shared" si="8"/>
        <v>68.6037607669316</v>
      </c>
    </row>
    <row r="98" spans="1:27" x14ac:dyDescent="0.25">
      <c r="A98" s="2">
        <v>2033</v>
      </c>
      <c r="B98" s="2">
        <f>B10/'Output-Calculation-sheet'!B9*'Output-Calculation-sheet'!B81</f>
        <v>18244858286.039085</v>
      </c>
      <c r="C98" s="2">
        <f>C10/'Output-Calculation-sheet'!C9*'Output-Calculation-sheet'!C81</f>
        <v>2300633078.4202442</v>
      </c>
      <c r="D98" s="2">
        <f>D10/'Output-Calculation-sheet'!D9*'Output-Calculation-sheet'!D81</f>
        <v>7110647369.4712057</v>
      </c>
      <c r="E98" s="2">
        <f>E10/'Output-Calculation-sheet'!E9*'Output-Calculation-sheet'!E81</f>
        <v>12885333994.019577</v>
      </c>
      <c r="F98" s="2">
        <f>F10/'Output-Calculation-sheet'!F9*'Output-Calculation-sheet'!F81</f>
        <v>5772020316.7454348</v>
      </c>
      <c r="G98" s="2">
        <f>G10/'Output-Calculation-sheet'!G9*'Output-Calculation-sheet'!G81</f>
        <v>4153153501.1538382</v>
      </c>
      <c r="H98" s="2">
        <f>H10/'Output-Calculation-sheet'!H9*'Output-Calculation-sheet'!H81</f>
        <v>1310012437.4440198</v>
      </c>
      <c r="I98" s="2">
        <f>I10/'Output-Calculation-sheet'!I9*'Output-Calculation-sheet'!I81</f>
        <v>2996730268.3105631</v>
      </c>
      <c r="J98" s="2">
        <f>J10/'Output-Calculation-sheet'!J9*'Output-Calculation-sheet'!J81</f>
        <v>2107013826.5290914</v>
      </c>
      <c r="K98" s="2">
        <f>K10/'Output-Calculation-sheet'!K9*'Output-Calculation-sheet'!K81</f>
        <v>2470998302.5205631</v>
      </c>
      <c r="L98" s="2">
        <f>L10/'Output-Calculation-sheet'!L9*'Output-Calculation-sheet'!L81</f>
        <v>2086508461.4760618</v>
      </c>
      <c r="M98" s="2">
        <f>M10/'Output-Calculation-sheet'!M9*'Output-Calculation-sheet'!M81</f>
        <v>1023469344.9727451</v>
      </c>
      <c r="N98" s="2">
        <f>N10/'Output-Calculation-sheet'!N9*'Output-Calculation-sheet'!N81</f>
        <v>979105666.10756218</v>
      </c>
      <c r="O98" s="2">
        <f>O10/'Output-Calculation-sheet'!O9*'Output-Calculation-sheet'!O81</f>
        <v>270541009.95997918</v>
      </c>
      <c r="P98" s="2">
        <f>P10/'Output-Calculation-sheet'!P9*'Output-Calculation-sheet'!P81</f>
        <v>2656173774.0578437</v>
      </c>
      <c r="Q98" s="2">
        <f>Q10/'Output-Calculation-sheet'!Q9*'Output-Calculation-sheet'!Q81</f>
        <v>1169616176.9525135</v>
      </c>
      <c r="R98" s="2">
        <f>R10/'Output-Calculation-sheet'!R9*'Output-Calculation-sheet'!R81</f>
        <v>1857996886.8510375</v>
      </c>
      <c r="S98" s="2">
        <f>S10/'Output-Calculation-sheet'!S9*'Output-Calculation-sheet'!S81</f>
        <v>708541414.18291342</v>
      </c>
      <c r="T98" s="2">
        <f>T10/'Output-Calculation-sheet'!T9*'Output-Calculation-sheet'!T81</f>
        <v>931162374.77326655</v>
      </c>
      <c r="U98" s="2">
        <f>U10/'Output-Calculation-sheet'!U9*'Output-Calculation-sheet'!U81</f>
        <v>483841687.46335536</v>
      </c>
      <c r="V98" s="2">
        <f>V10/'Output-Calculation-sheet'!V9*'Output-Calculation-sheet'!V81</f>
        <v>356696012.08461946</v>
      </c>
      <c r="W98" s="2">
        <f>W10/'Output-Calculation-sheet'!W9*'Output-Calculation-sheet'!W81</f>
        <v>914134020.79837227</v>
      </c>
      <c r="X98" s="2">
        <f>X10/'Output-Calculation-sheet'!X9*'Output-Calculation-sheet'!X81</f>
        <v>116087813.94845533</v>
      </c>
      <c r="Y98" s="2">
        <f>Y10/'Output-Calculation-sheet'!Y9*'Output-Calculation-sheet'!Y81</f>
        <v>410576895.83059287</v>
      </c>
      <c r="AA98" s="2">
        <f t="shared" si="8"/>
        <v>73.315852920112945</v>
      </c>
    </row>
    <row r="99" spans="1:27" x14ac:dyDescent="0.25">
      <c r="A99" s="2">
        <v>2034</v>
      </c>
      <c r="B99" s="2">
        <f>B11/'Output-Calculation-sheet'!B10*'Output-Calculation-sheet'!B82</f>
        <v>19753544007.667599</v>
      </c>
      <c r="C99" s="2">
        <f>C11/'Output-Calculation-sheet'!C10*'Output-Calculation-sheet'!C82</f>
        <v>2507965559.259984</v>
      </c>
      <c r="D99" s="2">
        <f>D11/'Output-Calculation-sheet'!D10*'Output-Calculation-sheet'!D82</f>
        <v>7259375096.5970516</v>
      </c>
      <c r="E99" s="2">
        <f>E11/'Output-Calculation-sheet'!E10*'Output-Calculation-sheet'!E82</f>
        <v>13534250082.276543</v>
      </c>
      <c r="F99" s="2">
        <f>F11/'Output-Calculation-sheet'!F10*'Output-Calculation-sheet'!F82</f>
        <v>6052813114.0772543</v>
      </c>
      <c r="G99" s="2">
        <f>G11/'Output-Calculation-sheet'!G10*'Output-Calculation-sheet'!G82</f>
        <v>4226668295.0020208</v>
      </c>
      <c r="H99" s="2">
        <f>H11/'Output-Calculation-sheet'!H10*'Output-Calculation-sheet'!H82</f>
        <v>1391662616.3739762</v>
      </c>
      <c r="I99" s="2">
        <f>I11/'Output-Calculation-sheet'!I10*'Output-Calculation-sheet'!I82</f>
        <v>3172640919.4912729</v>
      </c>
      <c r="J99" s="2">
        <f>J11/'Output-Calculation-sheet'!J10*'Output-Calculation-sheet'!J82</f>
        <v>2173478619.4121475</v>
      </c>
      <c r="K99" s="2">
        <f>K11/'Output-Calculation-sheet'!K10*'Output-Calculation-sheet'!K82</f>
        <v>2569256064.383224</v>
      </c>
      <c r="L99" s="2">
        <f>L11/'Output-Calculation-sheet'!L10*'Output-Calculation-sheet'!L82</f>
        <v>2246389273.6651397</v>
      </c>
      <c r="M99" s="2">
        <f>M11/'Output-Calculation-sheet'!M10*'Output-Calculation-sheet'!M82</f>
        <v>1090311419.3586683</v>
      </c>
      <c r="N99" s="2">
        <f>N11/'Output-Calculation-sheet'!N10*'Output-Calculation-sheet'!N82</f>
        <v>1013131439.5116681</v>
      </c>
      <c r="O99" s="2">
        <f>O11/'Output-Calculation-sheet'!O10*'Output-Calculation-sheet'!O82</f>
        <v>296589252.36553967</v>
      </c>
      <c r="P99" s="2">
        <f>P11/'Output-Calculation-sheet'!P10*'Output-Calculation-sheet'!P82</f>
        <v>2794300700.0846834</v>
      </c>
      <c r="Q99" s="2">
        <f>Q11/'Output-Calculation-sheet'!Q10*'Output-Calculation-sheet'!Q82</f>
        <v>1218154500.8354135</v>
      </c>
      <c r="R99" s="2">
        <f>R11/'Output-Calculation-sheet'!R10*'Output-Calculation-sheet'!R82</f>
        <v>1978926432.2315538</v>
      </c>
      <c r="S99" s="2">
        <f>S11/'Output-Calculation-sheet'!S10*'Output-Calculation-sheet'!S82</f>
        <v>743623087.00492167</v>
      </c>
      <c r="T99" s="2">
        <f>T11/'Output-Calculation-sheet'!T10*'Output-Calculation-sheet'!T82</f>
        <v>961248608.97273612</v>
      </c>
      <c r="U99" s="2">
        <f>U11/'Output-Calculation-sheet'!U10*'Output-Calculation-sheet'!U82</f>
        <v>512449370.00399971</v>
      </c>
      <c r="V99" s="2">
        <f>V11/'Output-Calculation-sheet'!V10*'Output-Calculation-sheet'!V82</f>
        <v>377093113.39973736</v>
      </c>
      <c r="W99" s="2">
        <f>W11/'Output-Calculation-sheet'!W10*'Output-Calculation-sheet'!W82</f>
        <v>946884509.68480682</v>
      </c>
      <c r="X99" s="2">
        <f>X11/'Output-Calculation-sheet'!X10*'Output-Calculation-sheet'!X82</f>
        <v>133637690.00404556</v>
      </c>
      <c r="Y99" s="2">
        <f>Y11/'Output-Calculation-sheet'!Y10*'Output-Calculation-sheet'!Y82</f>
        <v>425906622.53222835</v>
      </c>
      <c r="AA99" s="2">
        <f t="shared" si="8"/>
        <v>77.380300394196212</v>
      </c>
    </row>
    <row r="100" spans="1:27" x14ac:dyDescent="0.25">
      <c r="A100" s="2">
        <v>2035</v>
      </c>
      <c r="B100" s="2">
        <f>B12/'Output-Calculation-sheet'!B11*'Output-Calculation-sheet'!B83</f>
        <v>21595619999.170307</v>
      </c>
      <c r="C100" s="2">
        <f>C12/'Output-Calculation-sheet'!C11*'Output-Calculation-sheet'!C83</f>
        <v>2697035836.8528261</v>
      </c>
      <c r="D100" s="2">
        <f>D12/'Output-Calculation-sheet'!D11*'Output-Calculation-sheet'!D83</f>
        <v>7346865867.4353161</v>
      </c>
      <c r="E100" s="2">
        <f>E12/'Output-Calculation-sheet'!E11*'Output-Calculation-sheet'!E83</f>
        <v>14085488419.73337</v>
      </c>
      <c r="F100" s="2">
        <f>F12/'Output-Calculation-sheet'!F11*'Output-Calculation-sheet'!F83</f>
        <v>6287865471.2487411</v>
      </c>
      <c r="G100" s="2">
        <f>G12/'Output-Calculation-sheet'!G11*'Output-Calculation-sheet'!G83</f>
        <v>4257338203.9848413</v>
      </c>
      <c r="H100" s="2">
        <f>H12/'Output-Calculation-sheet'!H11*'Output-Calculation-sheet'!H83</f>
        <v>1466315578.5454044</v>
      </c>
      <c r="I100" s="2">
        <f>I12/'Output-Calculation-sheet'!I11*'Output-Calculation-sheet'!I83</f>
        <v>3327733305.8148942</v>
      </c>
      <c r="J100" s="2">
        <f>J12/'Output-Calculation-sheet'!J11*'Output-Calculation-sheet'!J83</f>
        <v>2220581460.2248292</v>
      </c>
      <c r="K100" s="2">
        <f>K12/'Output-Calculation-sheet'!K11*'Output-Calculation-sheet'!K83</f>
        <v>2647012173.448339</v>
      </c>
      <c r="L100" s="2">
        <f>L12/'Output-Calculation-sheet'!L11*'Output-Calculation-sheet'!L83</f>
        <v>2394969933.7566566</v>
      </c>
      <c r="M100" s="2">
        <f>M12/'Output-Calculation-sheet'!M11*'Output-Calculation-sheet'!M83</f>
        <v>1154247846.7774982</v>
      </c>
      <c r="N100" s="2">
        <f>N12/'Output-Calculation-sheet'!N11*'Output-Calculation-sheet'!N83</f>
        <v>1036103879.9207776</v>
      </c>
      <c r="O100" s="2">
        <f>O12/'Output-Calculation-sheet'!O11*'Output-Calculation-sheet'!O83</f>
        <v>322905440.38934642</v>
      </c>
      <c r="P100" s="2">
        <f>P12/'Output-Calculation-sheet'!P11*'Output-Calculation-sheet'!P83</f>
        <v>2899341197.6449037</v>
      </c>
      <c r="Q100" s="2">
        <f>Q12/'Output-Calculation-sheet'!Q11*'Output-Calculation-sheet'!Q83</f>
        <v>1259204495.3299201</v>
      </c>
      <c r="R100" s="2">
        <f>R12/'Output-Calculation-sheet'!R11*'Output-Calculation-sheet'!R83</f>
        <v>2088881684.0066576</v>
      </c>
      <c r="S100" s="2">
        <f>S12/'Output-Calculation-sheet'!S11*'Output-Calculation-sheet'!S83</f>
        <v>772635133.67161882</v>
      </c>
      <c r="T100" s="2">
        <f>T12/'Output-Calculation-sheet'!T11*'Output-Calculation-sheet'!T83</f>
        <v>985804483.06446314</v>
      </c>
      <c r="U100" s="2">
        <f>U12/'Output-Calculation-sheet'!U11*'Output-Calculation-sheet'!U83</f>
        <v>537279518.6514734</v>
      </c>
      <c r="V100" s="2">
        <f>V12/'Output-Calculation-sheet'!V11*'Output-Calculation-sheet'!V83</f>
        <v>394937545.41227835</v>
      </c>
      <c r="W100" s="2">
        <f>W12/'Output-Calculation-sheet'!W11*'Output-Calculation-sheet'!W83</f>
        <v>970026026.60978007</v>
      </c>
      <c r="X100" s="2">
        <f>X12/'Output-Calculation-sheet'!X11*'Output-Calculation-sheet'!X83</f>
        <v>153759613.75057834</v>
      </c>
      <c r="Y100" s="2">
        <f>Y12/'Output-Calculation-sheet'!Y11*'Output-Calculation-sheet'!Y83</f>
        <v>436748772.59762657</v>
      </c>
      <c r="AA100" s="2">
        <f t="shared" si="8"/>
        <v>81.338701888042451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95890563804.70253</v>
      </c>
      <c r="C8" s="2">
        <v>45188458948.832062</v>
      </c>
      <c r="D8" s="2">
        <v>40275133141.242821</v>
      </c>
      <c r="E8" s="2">
        <v>31954231156.007164</v>
      </c>
      <c r="F8" s="2">
        <v>20570085261.606327</v>
      </c>
      <c r="G8" s="2">
        <v>14453106435.557259</v>
      </c>
      <c r="H8" s="2">
        <v>14098450519.621555</v>
      </c>
      <c r="I8" s="2">
        <v>13167917670.879398</v>
      </c>
      <c r="J8" s="2">
        <v>12816741596.653549</v>
      </c>
      <c r="K8" s="2">
        <v>12693872634.727758</v>
      </c>
      <c r="L8" s="2">
        <v>10183189665.480083</v>
      </c>
      <c r="M8" s="2">
        <v>9726701852.8896008</v>
      </c>
      <c r="N8" s="2">
        <v>9546729777.0534477</v>
      </c>
      <c r="O8" s="2">
        <v>8780156816.2596455</v>
      </c>
      <c r="P8" s="2">
        <v>8690825662.7804089</v>
      </c>
      <c r="Q8" s="2">
        <v>8550367874.291029</v>
      </c>
      <c r="R8" s="2">
        <v>8225847176.875741</v>
      </c>
      <c r="S8" s="2">
        <v>5467319416.9491129</v>
      </c>
      <c r="T8" s="2">
        <v>3023750690.4863987</v>
      </c>
      <c r="U8" s="2">
        <v>2633583534.1758833</v>
      </c>
      <c r="V8" s="2">
        <v>2027911992.9861152</v>
      </c>
      <c r="W8" s="2">
        <v>1755722356.117254</v>
      </c>
      <c r="X8" s="2">
        <v>1053433413.6703532</v>
      </c>
      <c r="Y8" s="2">
        <v>1024453460.4602802</v>
      </c>
    </row>
    <row r="9" spans="1:27" x14ac:dyDescent="0.25">
      <c r="A9" s="2">
        <v>2032</v>
      </c>
      <c r="B9" s="2">
        <v>105449872296.12009</v>
      </c>
      <c r="C9" s="2">
        <v>49693286141.457878</v>
      </c>
      <c r="D9" s="2">
        <v>44290152001.849152</v>
      </c>
      <c r="E9" s="2">
        <v>35139741190.638527</v>
      </c>
      <c r="F9" s="2">
        <v>22620712381.819519</v>
      </c>
      <c r="G9" s="2">
        <v>15893933328.161354</v>
      </c>
      <c r="H9" s="2">
        <v>15503921844.647169</v>
      </c>
      <c r="I9" s="2">
        <v>14480624387.902077</v>
      </c>
      <c r="J9" s="2">
        <v>14094439650.726171</v>
      </c>
      <c r="K9" s="2">
        <v>13959321909.937624</v>
      </c>
      <c r="L9" s="2">
        <v>11198349526.644291</v>
      </c>
      <c r="M9" s="2">
        <v>10696354547.863688</v>
      </c>
      <c r="N9" s="2">
        <v>10498441096.729521</v>
      </c>
      <c r="O9" s="2">
        <v>9655448651.862896</v>
      </c>
      <c r="P9" s="2">
        <v>9557212096.015379</v>
      </c>
      <c r="Q9" s="2">
        <v>9402752102.5444221</v>
      </c>
      <c r="R9" s="2">
        <v>9045880010.6294537</v>
      </c>
      <c r="S9" s="2">
        <v>6012355245.8569279</v>
      </c>
      <c r="T9" s="2">
        <v>3325187708.9438796</v>
      </c>
      <c r="U9" s="2">
        <v>2896124877.58042</v>
      </c>
      <c r="V9" s="2">
        <v>2230074078.2344766</v>
      </c>
      <c r="W9" s="2">
        <v>1930749918.386945</v>
      </c>
      <c r="X9" s="2">
        <v>1158449951.0321677</v>
      </c>
      <c r="Y9" s="2">
        <v>1126580992.879271</v>
      </c>
    </row>
    <row r="10" spans="1:27" x14ac:dyDescent="0.25">
      <c r="A10" s="2">
        <v>2033</v>
      </c>
      <c r="B10" s="2">
        <v>113453675266.20583</v>
      </c>
      <c r="C10" s="2">
        <v>53465080858.244415</v>
      </c>
      <c r="D10" s="2">
        <v>47651840758.972397</v>
      </c>
      <c r="E10" s="2">
        <v>37806900086.003311</v>
      </c>
      <c r="F10" s="2">
        <v>24337658272.836246</v>
      </c>
      <c r="G10" s="2">
        <v>17100306631.497854</v>
      </c>
      <c r="H10" s="2">
        <v>16680692693.26137</v>
      </c>
      <c r="I10" s="2">
        <v>15579725429.571627</v>
      </c>
      <c r="J10" s="2">
        <v>15164228693.442034</v>
      </c>
      <c r="K10" s="2">
        <v>15018855314.107071</v>
      </c>
      <c r="L10" s="2">
        <v>12048320998.868744</v>
      </c>
      <c r="M10" s="2">
        <v>11508223850.643597</v>
      </c>
      <c r="N10" s="2">
        <v>11295288472.659111</v>
      </c>
      <c r="O10" s="2">
        <v>10388311640.831484</v>
      </c>
      <c r="P10" s="2">
        <v>10282618783.517281</v>
      </c>
      <c r="Q10" s="2">
        <v>10116435045.601851</v>
      </c>
      <c r="R10" s="2">
        <v>9732475828.335144</v>
      </c>
      <c r="S10" s="2">
        <v>6468701998.3581247</v>
      </c>
      <c r="T10" s="2">
        <v>3577574427.6892648</v>
      </c>
      <c r="U10" s="2">
        <v>3115945085.91433</v>
      </c>
      <c r="V10" s="2">
        <v>2399340035.0557537</v>
      </c>
      <c r="W10" s="2">
        <v>2077296723.9428847</v>
      </c>
      <c r="X10" s="2">
        <v>1246378034.3657317</v>
      </c>
      <c r="Y10" s="2">
        <v>1212090174.6403286</v>
      </c>
    </row>
    <row r="11" spans="1:27" x14ac:dyDescent="0.25">
      <c r="A11" s="2">
        <v>2034</v>
      </c>
      <c r="B11" s="2">
        <v>120554896829.21654</v>
      </c>
      <c r="C11" s="2">
        <v>56811533797.453575</v>
      </c>
      <c r="D11" s="2">
        <v>50634435005.661926</v>
      </c>
      <c r="E11" s="2">
        <v>40173285956.636162</v>
      </c>
      <c r="F11" s="2">
        <v>25860985774.697533</v>
      </c>
      <c r="G11" s="2">
        <v>18170638340.900471</v>
      </c>
      <c r="H11" s="2">
        <v>17724760189.192249</v>
      </c>
      <c r="I11" s="2">
        <v>16554881870.353891</v>
      </c>
      <c r="J11" s="2">
        <v>16113378622.09465</v>
      </c>
      <c r="K11" s="2">
        <v>15958906123.021177</v>
      </c>
      <c r="L11" s="2">
        <v>12802441979.740366</v>
      </c>
      <c r="M11" s="2">
        <v>12228539408.234766</v>
      </c>
      <c r="N11" s="2">
        <v>12002276112.101103</v>
      </c>
      <c r="O11" s="2">
        <v>11038530353.042048</v>
      </c>
      <c r="P11" s="2">
        <v>10926222034.433577</v>
      </c>
      <c r="Q11" s="2">
        <v>10749636627.816469</v>
      </c>
      <c r="R11" s="2">
        <v>10341644875.097971</v>
      </c>
      <c r="S11" s="2">
        <v>6873586952.57092</v>
      </c>
      <c r="T11" s="2">
        <v>3801499731.2069554</v>
      </c>
      <c r="U11" s="2">
        <v>3310976374.0707836</v>
      </c>
      <c r="V11" s="2">
        <v>2549518027.5619864</v>
      </c>
      <c r="W11" s="2">
        <v>2207317582.7138538</v>
      </c>
      <c r="X11" s="2">
        <v>1324390549.6283133</v>
      </c>
      <c r="Y11" s="2">
        <v>1287956565.6080363</v>
      </c>
    </row>
    <row r="12" spans="1:27" x14ac:dyDescent="0.25">
      <c r="A12" s="2">
        <v>2035</v>
      </c>
      <c r="B12" s="2">
        <v>127067087414.75555</v>
      </c>
      <c r="C12" s="2">
        <v>59880405699.603859</v>
      </c>
      <c r="D12" s="2">
        <v>53369629507.259689</v>
      </c>
      <c r="E12" s="2">
        <v>42343385234.872787</v>
      </c>
      <c r="F12" s="2">
        <v>27257956553.357178</v>
      </c>
      <c r="G12" s="2">
        <v>19152188348.814949</v>
      </c>
      <c r="H12" s="2">
        <v>18682224543.365383</v>
      </c>
      <c r="I12" s="2">
        <v>17449151192.433403</v>
      </c>
      <c r="J12" s="2">
        <v>16983798616.005672</v>
      </c>
      <c r="K12" s="2">
        <v>16820981749.505829</v>
      </c>
      <c r="L12" s="2">
        <v>13494010255.481857</v>
      </c>
      <c r="M12" s="2">
        <v>12889106347.477501</v>
      </c>
      <c r="N12" s="2">
        <v>12650620655.193295</v>
      </c>
      <c r="O12" s="2">
        <v>11634814828.695513</v>
      </c>
      <c r="P12" s="2">
        <v>11516439787.006058</v>
      </c>
      <c r="Q12" s="2">
        <v>11330315507.620102</v>
      </c>
      <c r="R12" s="2">
        <v>10900284666.312817</v>
      </c>
      <c r="S12" s="2">
        <v>7244887575.0983324</v>
      </c>
      <c r="T12" s="2">
        <v>4006850914.8719845</v>
      </c>
      <c r="U12" s="2">
        <v>3489830238.4866862</v>
      </c>
      <c r="V12" s="2">
        <v>2687239080.2395201</v>
      </c>
      <c r="W12" s="2">
        <v>2326553492.3244557</v>
      </c>
      <c r="X12" s="2">
        <v>1395932095.3946743</v>
      </c>
      <c r="Y12" s="2">
        <v>1357530003.4503646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 t="shared" ref="AA16:AA23" si="0"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si="0"/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5023.4779627738062</v>
      </c>
      <c r="C19" s="2">
        <f>C8/'Output-Calculation-sheet'!C7*'Output-Calculation-sheet'!C25</f>
        <v>6698.1083411217433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2440.5666824439554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1786.3805964268922</v>
      </c>
      <c r="N19" s="2">
        <f>N8/'Output-Calculation-sheet'!N7*'Output-Calculation-sheet'!N25</f>
        <v>930.64530378544134</v>
      </c>
      <c r="O19" s="2">
        <f>O8/'Output-Calculation-sheet'!O7*'Output-Calculation-sheet'!O25</f>
        <v>1014.8930736832764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405.70600297642386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206.49387471699029</v>
      </c>
      <c r="Y19" s="2">
        <f>Y8/'Output-Calculation-sheet'!Y7*'Output-Calculation-sheet'!Y25</f>
        <v>0</v>
      </c>
      <c r="AA19" s="2">
        <f t="shared" si="0"/>
        <v>18.506271837928534</v>
      </c>
    </row>
    <row r="20" spans="1:27" x14ac:dyDescent="0.25">
      <c r="A20" s="2">
        <v>2032</v>
      </c>
      <c r="B20" s="2">
        <f>B9/'Output-Calculation-sheet'!B8*'Output-Calculation-sheet'!B26</f>
        <v>6629.9854521512461</v>
      </c>
      <c r="C20" s="2">
        <f>C9/'Output-Calculation-sheet'!C8*'Output-Calculation-sheet'!C26</f>
        <v>7641.5778429580087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2751.0004728921954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2008.8587982343124</v>
      </c>
      <c r="N20" s="2">
        <f>N9/'Output-Calculation-sheet'!N8*'Output-Calculation-sheet'!N26</f>
        <v>1142.6629458188524</v>
      </c>
      <c r="O20" s="2">
        <f>O9/'Output-Calculation-sheet'!O8*'Output-Calculation-sheet'!O26</f>
        <v>1182.0881622994696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516.53299812783109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232.04927003667927</v>
      </c>
      <c r="Y20" s="2">
        <f>Y9/'Output-Calculation-sheet'!Y8*'Output-Calculation-sheet'!Y26</f>
        <v>0</v>
      </c>
      <c r="AA20" s="2">
        <f t="shared" si="0"/>
        <v>22.104755942518594</v>
      </c>
    </row>
    <row r="21" spans="1:27" x14ac:dyDescent="0.25">
      <c r="A21" s="2">
        <v>2033</v>
      </c>
      <c r="B21" s="2">
        <f>B10/'Output-Calculation-sheet'!B9*'Output-Calculation-sheet'!B27</f>
        <v>8976.9265389600077</v>
      </c>
      <c r="C21" s="2">
        <f>C10/'Output-Calculation-sheet'!C9*'Output-Calculation-sheet'!C27</f>
        <v>8446.8699333753175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3022.7801075012376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26.228781270955025</v>
      </c>
      <c r="M21" s="2">
        <f>M10/'Output-Calculation-sheet'!M9*'Output-Calculation-sheet'!M27</f>
        <v>2218.6286237467966</v>
      </c>
      <c r="N21" s="2">
        <f>N10/'Output-Calculation-sheet'!N9*'Output-Calculation-sheet'!N27</f>
        <v>1356.1751325062621</v>
      </c>
      <c r="O21" s="2">
        <f>O10/'Output-Calculation-sheet'!O9*'Output-Calculation-sheet'!O27</f>
        <v>1321.0710435665285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630.19590835891643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256.83912218765062</v>
      </c>
      <c r="Y21" s="2">
        <f>Y10/'Output-Calculation-sheet'!Y9*'Output-Calculation-sheet'!Y27</f>
        <v>0</v>
      </c>
      <c r="AA21" s="2">
        <f t="shared" si="0"/>
        <v>26.255715191473673</v>
      </c>
    </row>
    <row r="22" spans="1:27" x14ac:dyDescent="0.25">
      <c r="A22" s="2">
        <v>2034</v>
      </c>
      <c r="B22" s="2">
        <f>B11/'Output-Calculation-sheet'!B10*'Output-Calculation-sheet'!B28</f>
        <v>11758.696796055305</v>
      </c>
      <c r="C22" s="2">
        <f>C11/'Output-Calculation-sheet'!C10*'Output-Calculation-sheet'!C28</f>
        <v>9262.3202506963644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3287.0803250040071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188.28166306753525</v>
      </c>
      <c r="M22" s="2">
        <f>M11/'Output-Calculation-sheet'!M10*'Output-Calculation-sheet'!M28</f>
        <v>2416.3650052110638</v>
      </c>
      <c r="N22" s="2">
        <f>N11/'Output-Calculation-sheet'!N10*'Output-Calculation-sheet'!N28</f>
        <v>1539.5228589914218</v>
      </c>
      <c r="O22" s="2">
        <f>O11/'Output-Calculation-sheet'!O10*'Output-Calculation-sheet'!O28</f>
        <v>1469.5141094096443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713.65868756318196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298.28026687394504</v>
      </c>
      <c r="Y22" s="2">
        <f>Y11/'Output-Calculation-sheet'!Y10*'Output-Calculation-sheet'!Y28</f>
        <v>0</v>
      </c>
      <c r="AA22" s="2">
        <f t="shared" si="0"/>
        <v>30.93371996287247</v>
      </c>
    </row>
    <row r="23" spans="1:27" x14ac:dyDescent="0.25">
      <c r="A23" s="2">
        <v>2035</v>
      </c>
      <c r="B23" s="2">
        <f>B12/'Output-Calculation-sheet'!B11*'Output-Calculation-sheet'!B29</f>
        <v>16022.172441929415</v>
      </c>
      <c r="C23" s="2">
        <f>C12/'Output-Calculation-sheet'!C11*'Output-Calculation-sheet'!C29</f>
        <v>10034.283011922264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3554.7098812306904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367.66019723588965</v>
      </c>
      <c r="M23" s="2">
        <f>M12/'Output-Calculation-sheet'!M11*'Output-Calculation-sheet'!M29</f>
        <v>2625.6521772345473</v>
      </c>
      <c r="N23" s="2">
        <f>N12/'Output-Calculation-sheet'!N11*'Output-Calculation-sheet'!N29</f>
        <v>1696.9553538321154</v>
      </c>
      <c r="O23" s="2">
        <f>O12/'Output-Calculation-sheet'!O11*'Output-Calculation-sheet'!O29</f>
        <v>1628.5871021303321</v>
      </c>
      <c r="P23" s="2">
        <f>P12/'Output-Calculation-sheet'!P11*'Output-Calculation-sheet'!P29</f>
        <v>0</v>
      </c>
      <c r="Q23" s="2">
        <f>Q12/'Output-Calculation-sheet'!Q11*'Output-Calculation-sheet'!Q29</f>
        <v>95.653024483273981</v>
      </c>
      <c r="R23" s="2">
        <f>R12/'Output-Calculation-sheet'!R11*'Output-Calculation-sheet'!R29</f>
        <v>0</v>
      </c>
      <c r="S23" s="2">
        <f>S12/'Output-Calculation-sheet'!S11*'Output-Calculation-sheet'!S29</f>
        <v>790.98963568434385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346.99961779713522</v>
      </c>
      <c r="Y23" s="2">
        <f>Y12/'Output-Calculation-sheet'!Y11*'Output-Calculation-sheet'!Y29</f>
        <v>0</v>
      </c>
      <c r="AA23" s="2">
        <f t="shared" si="0"/>
        <v>37.163662443480014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 t="shared" ref="AA27:AA34" si="1"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si="1"/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24704.788433905051</v>
      </c>
      <c r="C30" s="2">
        <f>C8/'Output-Calculation-sheet'!C7*'Output-Calculation-sheet'!C16</f>
        <v>0</v>
      </c>
      <c r="D30" s="2">
        <f>D8/'Output-Calculation-sheet'!D7*'Output-Calculation-sheet'!D16</f>
        <v>5565.7506646420152</v>
      </c>
      <c r="E30" s="2">
        <f>E8/'Output-Calculation-sheet'!E7*'Output-Calculation-sheet'!E16</f>
        <v>6974.7746883775626</v>
      </c>
      <c r="F30" s="2">
        <f>F8/'Output-Calculation-sheet'!F7*'Output-Calculation-sheet'!F16</f>
        <v>3406.4793120673967</v>
      </c>
      <c r="G30" s="2">
        <f>G8/'Output-Calculation-sheet'!G7*'Output-Calculation-sheet'!G16</f>
        <v>2075.8642588704292</v>
      </c>
      <c r="H30" s="2">
        <f>H8/'Output-Calculation-sheet'!H7*'Output-Calculation-sheet'!H16</f>
        <v>0</v>
      </c>
      <c r="I30" s="2">
        <f>I8/'Output-Calculation-sheet'!I7*'Output-Calculation-sheet'!I16</f>
        <v>1954.1699937859034</v>
      </c>
      <c r="J30" s="2">
        <f>J8/'Output-Calculation-sheet'!J7*'Output-Calculation-sheet'!J16</f>
        <v>2094.7857467604526</v>
      </c>
      <c r="K30" s="2">
        <f>K8/'Output-Calculation-sheet'!K7*'Output-Calculation-sheet'!K16</f>
        <v>2027.5171358100827</v>
      </c>
      <c r="L30" s="2">
        <f>L8/'Output-Calculation-sheet'!L7*'Output-Calculation-sheet'!L16</f>
        <v>2241.0977664280358</v>
      </c>
      <c r="M30" s="2">
        <f>M8/'Output-Calculation-sheet'!M7*'Output-Calculation-sheet'!M16</f>
        <v>0</v>
      </c>
      <c r="N30" s="2">
        <f>N8/'Output-Calculation-sheet'!N7*'Output-Calculation-sheet'!N16</f>
        <v>1004.9681856150229</v>
      </c>
      <c r="O30" s="2">
        <f>O8/'Output-Calculation-sheet'!O7*'Output-Calculation-sheet'!O16</f>
        <v>0</v>
      </c>
      <c r="P30" s="2">
        <f>P8/'Output-Calculation-sheet'!P7*'Output-Calculation-sheet'!P16</f>
        <v>1918.4908680144406</v>
      </c>
      <c r="Q30" s="2">
        <f>Q8/'Output-Calculation-sheet'!Q7*'Output-Calculation-sheet'!Q16</f>
        <v>1882.1345867262175</v>
      </c>
      <c r="R30" s="2">
        <f>R8/'Output-Calculation-sheet'!R7*'Output-Calculation-sheet'!R16</f>
        <v>1670.2501889045848</v>
      </c>
      <c r="S30" s="2">
        <f>S8/'Output-Calculation-sheet'!S7*'Output-Calculation-sheet'!S16</f>
        <v>884.61764717780272</v>
      </c>
      <c r="T30" s="2">
        <f>T8/'Output-Calculation-sheet'!T7*'Output-Calculation-sheet'!T16</f>
        <v>630.8783644495162</v>
      </c>
      <c r="U30" s="2">
        <f>U8/'Output-Calculation-sheet'!U7*'Output-Calculation-sheet'!U16</f>
        <v>486.78741816092969</v>
      </c>
      <c r="V30" s="2">
        <f>V8/'Output-Calculation-sheet'!V7*'Output-Calculation-sheet'!V16</f>
        <v>630.29236393305007</v>
      </c>
      <c r="W30" s="2">
        <f>W8/'Output-Calculation-sheet'!W7*'Output-Calculation-sheet'!W16</f>
        <v>303.47289067961839</v>
      </c>
      <c r="X30" s="2">
        <f>X8/'Output-Calculation-sheet'!X7*'Output-Calculation-sheet'!X16</f>
        <v>0</v>
      </c>
      <c r="Y30" s="2">
        <f>Y8/'Output-Calculation-sheet'!Y7*'Output-Calculation-sheet'!Y16</f>
        <v>206.97512754157466</v>
      </c>
      <c r="AA30" s="2">
        <f t="shared" si="1"/>
        <v>60.664095641849691</v>
      </c>
    </row>
    <row r="31" spans="1:27" x14ac:dyDescent="0.25">
      <c r="A31" s="2">
        <v>2032</v>
      </c>
      <c r="B31" s="2">
        <f>B9/'Output-Calculation-sheet'!B8*'Output-Calculation-sheet'!B17</f>
        <v>26863.741706294557</v>
      </c>
      <c r="C31" s="2">
        <f>C9/'Output-Calculation-sheet'!C8*'Output-Calculation-sheet'!C17</f>
        <v>0</v>
      </c>
      <c r="D31" s="2">
        <f>D9/'Output-Calculation-sheet'!D8*'Output-Calculation-sheet'!D17</f>
        <v>6148.5561134299924</v>
      </c>
      <c r="E31" s="2">
        <f>E9/'Output-Calculation-sheet'!E8*'Output-Calculation-sheet'!E17</f>
        <v>7723.3987514470227</v>
      </c>
      <c r="F31" s="2">
        <f>F9/'Output-Calculation-sheet'!F8*'Output-Calculation-sheet'!F17</f>
        <v>3768.3939922611416</v>
      </c>
      <c r="G31" s="2">
        <f>G9/'Output-Calculation-sheet'!G8*'Output-Calculation-sheet'!G17</f>
        <v>2293.9221931021916</v>
      </c>
      <c r="H31" s="2">
        <f>H9/'Output-Calculation-sheet'!H8*'Output-Calculation-sheet'!H17</f>
        <v>0</v>
      </c>
      <c r="I31" s="2">
        <f>I9/'Output-Calculation-sheet'!I8*'Output-Calculation-sheet'!I17</f>
        <v>2158.3640976984061</v>
      </c>
      <c r="J31" s="2">
        <f>J9/'Output-Calculation-sheet'!J8*'Output-Calculation-sheet'!J17</f>
        <v>2315.5541540145769</v>
      </c>
      <c r="K31" s="2">
        <f>K9/'Output-Calculation-sheet'!K8*'Output-Calculation-sheet'!K17</f>
        <v>2239.4660500132832</v>
      </c>
      <c r="L31" s="2">
        <f>L9/'Output-Calculation-sheet'!L8*'Output-Calculation-sheet'!L17</f>
        <v>2474.5299258339883</v>
      </c>
      <c r="M31" s="2">
        <f>M9/'Output-Calculation-sheet'!M8*'Output-Calculation-sheet'!M17</f>
        <v>0</v>
      </c>
      <c r="N31" s="2">
        <f>N9/'Output-Calculation-sheet'!N8*'Output-Calculation-sheet'!N17</f>
        <v>1043.3557841161494</v>
      </c>
      <c r="O31" s="2">
        <f>O9/'Output-Calculation-sheet'!O8*'Output-Calculation-sheet'!O17</f>
        <v>0</v>
      </c>
      <c r="P31" s="2">
        <f>P9/'Output-Calculation-sheet'!P8*'Output-Calculation-sheet'!P17</f>
        <v>2131.5245669762576</v>
      </c>
      <c r="Q31" s="2">
        <f>Q9/'Output-Calculation-sheet'!Q8*'Output-Calculation-sheet'!Q17</f>
        <v>2084.5387648805572</v>
      </c>
      <c r="R31" s="2">
        <f>R9/'Output-Calculation-sheet'!R8*'Output-Calculation-sheet'!R17</f>
        <v>1865.6010853912178</v>
      </c>
      <c r="S31" s="2">
        <f>S9/'Output-Calculation-sheet'!S8*'Output-Calculation-sheet'!S17</f>
        <v>933.88251885091859</v>
      </c>
      <c r="T31" s="2">
        <f>T9/'Output-Calculation-sheet'!T8*'Output-Calculation-sheet'!T17</f>
        <v>698.89688408217228</v>
      </c>
      <c r="U31" s="2">
        <f>U9/'Output-Calculation-sheet'!U8*'Output-Calculation-sheet'!U17</f>
        <v>541.14936373648152</v>
      </c>
      <c r="V31" s="2">
        <f>V9/'Output-Calculation-sheet'!V8*'Output-Calculation-sheet'!V17</f>
        <v>688.15819074524779</v>
      </c>
      <c r="W31" s="2">
        <f>W9/'Output-Calculation-sheet'!W8*'Output-Calculation-sheet'!W17</f>
        <v>335.40423229229719</v>
      </c>
      <c r="X31" s="2">
        <f>X9/'Output-Calculation-sheet'!X8*'Output-Calculation-sheet'!X17</f>
        <v>0</v>
      </c>
      <c r="Y31" s="2">
        <f>Y9/'Output-Calculation-sheet'!Y8*'Output-Calculation-sheet'!Y17</f>
        <v>228.64917951508878</v>
      </c>
      <c r="AA31" s="2">
        <f t="shared" si="1"/>
        <v>66.537087554681534</v>
      </c>
    </row>
    <row r="32" spans="1:27" x14ac:dyDescent="0.25">
      <c r="A32" s="2">
        <v>2033</v>
      </c>
      <c r="B32" s="2">
        <f>B10/'Output-Calculation-sheet'!B9*'Output-Calculation-sheet'!B18</f>
        <v>28438.931626645339</v>
      </c>
      <c r="C32" s="2">
        <f>C10/'Output-Calculation-sheet'!C9*'Output-Calculation-sheet'!C18</f>
        <v>0</v>
      </c>
      <c r="D32" s="2">
        <f>D10/'Output-Calculation-sheet'!D9*'Output-Calculation-sheet'!D18</f>
        <v>6653.3283803355416</v>
      </c>
      <c r="E32" s="2">
        <f>E10/'Output-Calculation-sheet'!E9*'Output-Calculation-sheet'!E18</f>
        <v>8368.0090824607705</v>
      </c>
      <c r="F32" s="2">
        <f>F10/'Output-Calculation-sheet'!F9*'Output-Calculation-sheet'!F18</f>
        <v>4075.6924173121829</v>
      </c>
      <c r="G32" s="2">
        <f>G10/'Output-Calculation-sheet'!G9*'Output-Calculation-sheet'!G18</f>
        <v>2479.592632348385</v>
      </c>
      <c r="H32" s="2">
        <f>H10/'Output-Calculation-sheet'!H9*'Output-Calculation-sheet'!H18</f>
        <v>0</v>
      </c>
      <c r="I32" s="2">
        <f>I10/'Output-Calculation-sheet'!I9*'Output-Calculation-sheet'!I18</f>
        <v>2336.5793298674721</v>
      </c>
      <c r="J32" s="2">
        <f>J10/'Output-Calculation-sheet'!J9*'Output-Calculation-sheet'!J18</f>
        <v>2504.0351657994993</v>
      </c>
      <c r="K32" s="2">
        <f>K10/'Output-Calculation-sheet'!K9*'Output-Calculation-sheet'!K18</f>
        <v>2428.7284628760362</v>
      </c>
      <c r="L32" s="2">
        <f>L10/'Output-Calculation-sheet'!L9*'Output-Calculation-sheet'!L18</f>
        <v>2668.0094767846481</v>
      </c>
      <c r="M32" s="2">
        <f>M10/'Output-Calculation-sheet'!M9*'Output-Calculation-sheet'!M18</f>
        <v>0</v>
      </c>
      <c r="N32" s="2">
        <f>N10/'Output-Calculation-sheet'!N9*'Output-Calculation-sheet'!N18</f>
        <v>1038.3766413880307</v>
      </c>
      <c r="O32" s="2">
        <f>O10/'Output-Calculation-sheet'!O9*'Output-Calculation-sheet'!O18</f>
        <v>0</v>
      </c>
      <c r="P32" s="2">
        <f>P10/'Output-Calculation-sheet'!P9*'Output-Calculation-sheet'!P18</f>
        <v>2339.751683646296</v>
      </c>
      <c r="Q32" s="2">
        <f>Q10/'Output-Calculation-sheet'!Q9*'Output-Calculation-sheet'!Q18</f>
        <v>2266.4202483745353</v>
      </c>
      <c r="R32" s="2">
        <f>R10/'Output-Calculation-sheet'!R9*'Output-Calculation-sheet'!R18</f>
        <v>2037.1524525751129</v>
      </c>
      <c r="S32" s="2">
        <f>S10/'Output-Calculation-sheet'!S9*'Output-Calculation-sheet'!S18</f>
        <v>970.91795711411339</v>
      </c>
      <c r="T32" s="2">
        <f>T10/'Output-Calculation-sheet'!T9*'Output-Calculation-sheet'!T18</f>
        <v>753.79442778051191</v>
      </c>
      <c r="U32" s="2">
        <f>U10/'Output-Calculation-sheet'!U9*'Output-Calculation-sheet'!U18</f>
        <v>587.68064512173771</v>
      </c>
      <c r="V32" s="2">
        <f>V10/'Output-Calculation-sheet'!V9*'Output-Calculation-sheet'!V18</f>
        <v>741.46130227394269</v>
      </c>
      <c r="W32" s="2">
        <f>W10/'Output-Calculation-sheet'!W9*'Output-Calculation-sheet'!W18</f>
        <v>361.77287299252987</v>
      </c>
      <c r="X32" s="2">
        <f>X10/'Output-Calculation-sheet'!X9*'Output-Calculation-sheet'!X18</f>
        <v>0</v>
      </c>
      <c r="Y32" s="2">
        <f>Y10/'Output-Calculation-sheet'!Y9*'Output-Calculation-sheet'!Y18</f>
        <v>247.57399161310653</v>
      </c>
      <c r="AA32" s="2">
        <f t="shared" si="1"/>
        <v>71.297808797309784</v>
      </c>
    </row>
    <row r="33" spans="1:27" x14ac:dyDescent="0.25">
      <c r="A33" s="2">
        <v>2034</v>
      </c>
      <c r="B33" s="2">
        <f>B11/'Output-Calculation-sheet'!B10*'Output-Calculation-sheet'!B19</f>
        <v>29485.824809483493</v>
      </c>
      <c r="C33" s="2">
        <f>C11/'Output-Calculation-sheet'!C10*'Output-Calculation-sheet'!C19</f>
        <v>0</v>
      </c>
      <c r="D33" s="2">
        <f>D11/'Output-Calculation-sheet'!D10*'Output-Calculation-sheet'!D19</f>
        <v>7101.0383836827305</v>
      </c>
      <c r="E33" s="2">
        <f>E11/'Output-Calculation-sheet'!E10*'Output-Calculation-sheet'!E19</f>
        <v>8938.2510771289835</v>
      </c>
      <c r="F33" s="2">
        <f>F11/'Output-Calculation-sheet'!F10*'Output-Calculation-sheet'!F19</f>
        <v>4351.0246531750518</v>
      </c>
      <c r="G33" s="2">
        <f>G11/'Output-Calculation-sheet'!G10*'Output-Calculation-sheet'!G19</f>
        <v>2641.2540961250729</v>
      </c>
      <c r="H33" s="2">
        <f>H11/'Output-Calculation-sheet'!H10*'Output-Calculation-sheet'!H19</f>
        <v>0</v>
      </c>
      <c r="I33" s="2">
        <f>I11/'Output-Calculation-sheet'!I10*'Output-Calculation-sheet'!I19</f>
        <v>2496.1106432216816</v>
      </c>
      <c r="J33" s="2">
        <f>J11/'Output-Calculation-sheet'!J10*'Output-Calculation-sheet'!J19</f>
        <v>2665.2845659710565</v>
      </c>
      <c r="K33" s="2">
        <f>K11/'Output-Calculation-sheet'!K10*'Output-Calculation-sheet'!K19</f>
        <v>2600.0127089137391</v>
      </c>
      <c r="L33" s="2">
        <f>L11/'Output-Calculation-sheet'!L10*'Output-Calculation-sheet'!L19</f>
        <v>2795.0819586736593</v>
      </c>
      <c r="M33" s="2">
        <f>M11/'Output-Calculation-sheet'!M10*'Output-Calculation-sheet'!M19</f>
        <v>0</v>
      </c>
      <c r="N33" s="2">
        <f>N11/'Output-Calculation-sheet'!N10*'Output-Calculation-sheet'!N19</f>
        <v>1052.1851898772961</v>
      </c>
      <c r="O33" s="2">
        <f>O11/'Output-Calculation-sheet'!O10*'Output-Calculation-sheet'!O19</f>
        <v>0</v>
      </c>
      <c r="P33" s="2">
        <f>P11/'Output-Calculation-sheet'!P10*'Output-Calculation-sheet'!P19</f>
        <v>2545.9890669721713</v>
      </c>
      <c r="Q33" s="2">
        <f>Q11/'Output-Calculation-sheet'!Q10*'Output-Calculation-sheet'!Q19</f>
        <v>2429.4891133973342</v>
      </c>
      <c r="R33" s="2">
        <f>R11/'Output-Calculation-sheet'!R10*'Output-Calculation-sheet'!R19</f>
        <v>2201.738150429705</v>
      </c>
      <c r="S33" s="2">
        <f>S11/'Output-Calculation-sheet'!S10*'Output-Calculation-sheet'!S19</f>
        <v>1014.8257197743972</v>
      </c>
      <c r="T33" s="2">
        <f>T11/'Output-Calculation-sheet'!T10*'Output-Calculation-sheet'!T19</f>
        <v>803.27040919766466</v>
      </c>
      <c r="U33" s="2">
        <f>U11/'Output-Calculation-sheet'!U10*'Output-Calculation-sheet'!U19</f>
        <v>631.5048701283522</v>
      </c>
      <c r="V33" s="2">
        <f>V11/'Output-Calculation-sheet'!V10*'Output-Calculation-sheet'!V19</f>
        <v>785.9705371002434</v>
      </c>
      <c r="W33" s="2">
        <f>W11/'Output-Calculation-sheet'!W10*'Output-Calculation-sheet'!W19</f>
        <v>385.55833875002162</v>
      </c>
      <c r="X33" s="2">
        <f>X11/'Output-Calculation-sheet'!X10*'Output-Calculation-sheet'!X19</f>
        <v>0</v>
      </c>
      <c r="Y33" s="2">
        <f>Y11/'Output-Calculation-sheet'!Y10*'Output-Calculation-sheet'!Y19</f>
        <v>264.90858748514069</v>
      </c>
      <c r="AA33" s="2">
        <f t="shared" si="1"/>
        <v>75.18932287948779</v>
      </c>
    </row>
    <row r="34" spans="1:27" x14ac:dyDescent="0.25">
      <c r="A34" s="2">
        <v>2035</v>
      </c>
      <c r="B34" s="2">
        <f>B12/'Output-Calculation-sheet'!B11*'Output-Calculation-sheet'!B20</f>
        <v>29890.34294363443</v>
      </c>
      <c r="C34" s="2">
        <f>C12/'Output-Calculation-sheet'!C11*'Output-Calculation-sheet'!C20</f>
        <v>0</v>
      </c>
      <c r="D34" s="2">
        <f>D12/'Output-Calculation-sheet'!D11*'Output-Calculation-sheet'!D20</f>
        <v>7529.9951681727362</v>
      </c>
      <c r="E34" s="2">
        <f>E12/'Output-Calculation-sheet'!E11*'Output-Calculation-sheet'!E20</f>
        <v>9478.3579923900561</v>
      </c>
      <c r="F34" s="2">
        <f>F12/'Output-Calculation-sheet'!F11*'Output-Calculation-sheet'!F20</f>
        <v>4606.2352212399073</v>
      </c>
      <c r="G34" s="2">
        <f>G12/'Output-Calculation-sheet'!G11*'Output-Calculation-sheet'!G20</f>
        <v>2805.6680640953455</v>
      </c>
      <c r="H34" s="2">
        <f>H12/'Output-Calculation-sheet'!H11*'Output-Calculation-sheet'!H20</f>
        <v>0</v>
      </c>
      <c r="I34" s="2">
        <f>I12/'Output-Calculation-sheet'!I11*'Output-Calculation-sheet'!I20</f>
        <v>2646.2918248956908</v>
      </c>
      <c r="J34" s="2">
        <f>J12/'Output-Calculation-sheet'!J11*'Output-Calculation-sheet'!J20</f>
        <v>2816.7858538370119</v>
      </c>
      <c r="K34" s="2">
        <f>K12/'Output-Calculation-sheet'!K11*'Output-Calculation-sheet'!K20</f>
        <v>2760.4051446351182</v>
      </c>
      <c r="L34" s="2">
        <f>L12/'Output-Calculation-sheet'!L11*'Output-Calculation-sheet'!L20</f>
        <v>2912.6682520936515</v>
      </c>
      <c r="M34" s="2">
        <f>M12/'Output-Calculation-sheet'!M11*'Output-Calculation-sheet'!M20</f>
        <v>0</v>
      </c>
      <c r="N34" s="2">
        <f>N12/'Output-Calculation-sheet'!N11*'Output-Calculation-sheet'!N20</f>
        <v>1068.382559943962</v>
      </c>
      <c r="O34" s="2">
        <f>O12/'Output-Calculation-sheet'!O11*'Output-Calculation-sheet'!O20</f>
        <v>0</v>
      </c>
      <c r="P34" s="2">
        <f>P12/'Output-Calculation-sheet'!P11*'Output-Calculation-sheet'!P20</f>
        <v>2740.0847156397826</v>
      </c>
      <c r="Q34" s="2">
        <f>Q12/'Output-Calculation-sheet'!Q11*'Output-Calculation-sheet'!Q20</f>
        <v>2530.1019578858272</v>
      </c>
      <c r="R34" s="2">
        <f>R12/'Output-Calculation-sheet'!R11*'Output-Calculation-sheet'!R20</f>
        <v>2353.8963279062477</v>
      </c>
      <c r="S34" s="2">
        <f>S12/'Output-Calculation-sheet'!S11*'Output-Calculation-sheet'!S20</f>
        <v>1055.9174193388124</v>
      </c>
      <c r="T34" s="2">
        <f>T12/'Output-Calculation-sheet'!T11*'Output-Calculation-sheet'!T20</f>
        <v>850.27840750702376</v>
      </c>
      <c r="U34" s="2">
        <f>U12/'Output-Calculation-sheet'!U11*'Output-Calculation-sheet'!U20</f>
        <v>669.70848552307518</v>
      </c>
      <c r="V34" s="2">
        <f>V12/'Output-Calculation-sheet'!V11*'Output-Calculation-sheet'!V20</f>
        <v>830.89488895250588</v>
      </c>
      <c r="W34" s="2">
        <f>W12/'Output-Calculation-sheet'!W11*'Output-Calculation-sheet'!W20</f>
        <v>407.88626710777305</v>
      </c>
      <c r="X34" s="2">
        <f>X12/'Output-Calculation-sheet'!X11*'Output-Calculation-sheet'!X20</f>
        <v>0</v>
      </c>
      <c r="Y34" s="2">
        <f>Y12/'Output-Calculation-sheet'!Y11*'Output-Calculation-sheet'!Y20</f>
        <v>280.62577741028923</v>
      </c>
      <c r="AA34" s="2">
        <f t="shared" si="1"/>
        <v>78.234527272209235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141.1710797213409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125.66352006385515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546.44265446630106</v>
      </c>
      <c r="S52" s="2">
        <f>S8/'Output-Calculation-sheet'!S7*'Output-Calculation-sheet'!S43</f>
        <v>0</v>
      </c>
      <c r="T52" s="2">
        <f>T8/'Output-Calculation-sheet'!T7*'Output-Calculation-sheet'!T43</f>
        <v>440.00526827517365</v>
      </c>
      <c r="U52" s="2">
        <f>U8/'Output-Calculation-sheet'!U7*'Output-Calculation-sheet'!U43</f>
        <v>46.537994088042993</v>
      </c>
      <c r="V52" s="2">
        <f>V8/'Output-Calculation-sheet'!V7*'Output-Calculation-sheet'!V43</f>
        <v>793.45753629649266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2.0932780529112058</v>
      </c>
    </row>
    <row r="53" spans="1:27" x14ac:dyDescent="0.25">
      <c r="A53" s="2">
        <v>2032</v>
      </c>
      <c r="B53" s="2">
        <f>B9/'Output-Calculation-sheet'!B8*'Output-Calculation-sheet'!B44</f>
        <v>1646.9456176745839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310.48878508712545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248.74359802498407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777.65780966703539</v>
      </c>
      <c r="S53" s="2">
        <f>S9/'Output-Calculation-sheet'!S8*'Output-Calculation-sheet'!S44</f>
        <v>0</v>
      </c>
      <c r="T53" s="2">
        <f>T9/'Output-Calculation-sheet'!T8*'Output-Calculation-sheet'!T44</f>
        <v>536.1794872502046</v>
      </c>
      <c r="U53" s="2">
        <f>U9/'Output-Calculation-sheet'!U8*'Output-Calculation-sheet'!U44</f>
        <v>90.981966456336338</v>
      </c>
      <c r="V53" s="2">
        <f>V9/'Output-Calculation-sheet'!V8*'Output-Calculation-sheet'!V44</f>
        <v>898.86539298974674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4.5098626571500171</v>
      </c>
    </row>
    <row r="54" spans="1:27" x14ac:dyDescent="0.25">
      <c r="A54" s="2">
        <v>2033</v>
      </c>
      <c r="B54" s="2">
        <f>B10/'Output-Calculation-sheet'!B9*'Output-Calculation-sheet'!B45</f>
        <v>5315.8537574339398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467.67748734122881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446.039348371225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262.83665489221733</v>
      </c>
      <c r="Q54" s="2">
        <f>Q10/'Output-Calculation-sheet'!Q9*'Output-Calculation-sheet'!Q45</f>
        <v>0</v>
      </c>
      <c r="R54" s="2">
        <f>R10/'Output-Calculation-sheet'!R9*'Output-Calculation-sheet'!R45</f>
        <v>1064.8695274402958</v>
      </c>
      <c r="S54" s="2">
        <f>S10/'Output-Calculation-sheet'!S9*'Output-Calculation-sheet'!S45</f>
        <v>0</v>
      </c>
      <c r="T54" s="2">
        <f>T10/'Output-Calculation-sheet'!T9*'Output-Calculation-sheet'!T45</f>
        <v>640.19200477868549</v>
      </c>
      <c r="U54" s="2">
        <f>U10/'Output-Calculation-sheet'!U9*'Output-Calculation-sheet'!U45</f>
        <v>152.9494277212043</v>
      </c>
      <c r="V54" s="2">
        <f>V10/'Output-Calculation-sheet'!V9*'Output-Calculation-sheet'!V45</f>
        <v>1004.8307420173427</v>
      </c>
      <c r="W54" s="2">
        <f>W10/'Output-Calculation-sheet'!W9*'Output-Calculation-sheet'!W45</f>
        <v>16.340053657593291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9.3715890036537335</v>
      </c>
    </row>
    <row r="55" spans="1:27" x14ac:dyDescent="0.25">
      <c r="A55" s="2">
        <v>2034</v>
      </c>
      <c r="B55" s="2">
        <f>B11/'Output-Calculation-sheet'!B10*'Output-Calculation-sheet'!B46</f>
        <v>10120.373135653372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674.43223032665924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663.54059044708106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537.09223575036526</v>
      </c>
      <c r="Q55" s="2">
        <f>Q11/'Output-Calculation-sheet'!Q10*'Output-Calculation-sheet'!Q46</f>
        <v>0</v>
      </c>
      <c r="R55" s="2">
        <f>R11/'Output-Calculation-sheet'!R10*'Output-Calculation-sheet'!R46</f>
        <v>1394.1957342625192</v>
      </c>
      <c r="S55" s="2">
        <f>S11/'Output-Calculation-sheet'!S10*'Output-Calculation-sheet'!S46</f>
        <v>0</v>
      </c>
      <c r="T55" s="2">
        <f>T11/'Output-Calculation-sheet'!T10*'Output-Calculation-sheet'!T46</f>
        <v>725.11497549833393</v>
      </c>
      <c r="U55" s="2">
        <f>U11/'Output-Calculation-sheet'!U10*'Output-Calculation-sheet'!U46</f>
        <v>227.53183984612392</v>
      </c>
      <c r="V55" s="2">
        <f>V11/'Output-Calculation-sheet'!V10*'Output-Calculation-sheet'!V46</f>
        <v>1092.788434992972</v>
      </c>
      <c r="W55" s="2">
        <f>W11/'Output-Calculation-sheet'!W10*'Output-Calculation-sheet'!W46</f>
        <v>30.384900153676387</v>
      </c>
      <c r="X55" s="2">
        <f>X11/'Output-Calculation-sheet'!X10*'Output-Calculation-sheet'!X46</f>
        <v>72.679744436838845</v>
      </c>
      <c r="Y55" s="2">
        <f>Y11/'Output-Calculation-sheet'!Y10*'Output-Calculation-sheet'!Y46</f>
        <v>0</v>
      </c>
      <c r="AA55" s="2">
        <f t="shared" si="3"/>
        <v>15.538133821367943</v>
      </c>
    </row>
    <row r="56" spans="1:27" x14ac:dyDescent="0.25">
      <c r="A56" s="2">
        <v>2035</v>
      </c>
      <c r="B56" s="2">
        <f>B12/'Output-Calculation-sheet'!B11*'Output-Calculation-sheet'!B47</f>
        <v>23318.689667291637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860.51960893709759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832.60004192491306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792.54718813440979</v>
      </c>
      <c r="Q56" s="2">
        <f>Q12/'Output-Calculation-sheet'!Q11*'Output-Calculation-sheet'!Q47</f>
        <v>0</v>
      </c>
      <c r="R56" s="2">
        <f>R12/'Output-Calculation-sheet'!R11*'Output-Calculation-sheet'!R47</f>
        <v>1810.2635386427723</v>
      </c>
      <c r="S56" s="2">
        <f>S12/'Output-Calculation-sheet'!S11*'Output-Calculation-sheet'!S47</f>
        <v>0</v>
      </c>
      <c r="T56" s="2">
        <f>T12/'Output-Calculation-sheet'!T11*'Output-Calculation-sheet'!T47</f>
        <v>858.83524304784919</v>
      </c>
      <c r="U56" s="2">
        <f>U12/'Output-Calculation-sheet'!U11*'Output-Calculation-sheet'!U47</f>
        <v>328.89978621526541</v>
      </c>
      <c r="V56" s="2">
        <f>V12/'Output-Calculation-sheet'!V11*'Output-Calculation-sheet'!V47</f>
        <v>1172.9534868844989</v>
      </c>
      <c r="W56" s="2">
        <f>W12/'Output-Calculation-sheet'!W11*'Output-Calculation-sheet'!W47</f>
        <v>45.751779781471313</v>
      </c>
      <c r="X56" s="2">
        <f>X12/'Output-Calculation-sheet'!X11*'Output-Calculation-sheet'!X47</f>
        <v>180.57079716008644</v>
      </c>
      <c r="Y56" s="2">
        <f>Y12/'Output-Calculation-sheet'!Y11*'Output-Calculation-sheet'!Y47</f>
        <v>0</v>
      </c>
      <c r="AA56" s="2">
        <f t="shared" si="3"/>
        <v>30.201631138020002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 t="shared" ref="AA60:AA67" si="4"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si="4"/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6.8168542400141279</v>
      </c>
      <c r="C63" s="2">
        <f>C8*'Output-Calculation-sheet'!C52/10^9</f>
        <v>3.4553050900368603</v>
      </c>
      <c r="D63" s="2">
        <f>D8*'Output-Calculation-sheet'!D52/10^9</f>
        <v>1.2070920010730184</v>
      </c>
      <c r="E63" s="2">
        <f>E8*'Output-Calculation-sheet'!E52/10^9</f>
        <v>1.5542379807949478</v>
      </c>
      <c r="F63" s="2">
        <f>F8*'Output-Calculation-sheet'!F52/10^9</f>
        <v>0.64648889607597704</v>
      </c>
      <c r="G63" s="2">
        <f>G8*'Output-Calculation-sheet'!G52/10^9</f>
        <v>0.46387116280550311</v>
      </c>
      <c r="H63" s="2">
        <f>H8*'Output-Calculation-sheet'!H52/10^9</f>
        <v>0.896062816854024</v>
      </c>
      <c r="I63" s="2">
        <f>I8*'Output-Calculation-sheet'!I52/10^9</f>
        <v>0.41583081379314152</v>
      </c>
      <c r="J63" s="2">
        <f>J8*'Output-Calculation-sheet'!J52/10^9</f>
        <v>0.44703437637836818</v>
      </c>
      <c r="K63" s="2">
        <f>K8*'Output-Calculation-sheet'!K52/10^9</f>
        <v>0.45649994108762465</v>
      </c>
      <c r="L63" s="2">
        <f>L8*'Output-Calculation-sheet'!L52/10^9</f>
        <v>0.47476487338487716</v>
      </c>
      <c r="M63" s="2">
        <f>M8*'Output-Calculation-sheet'!M52/10^9</f>
        <v>0.6775679120971223</v>
      </c>
      <c r="N63" s="2">
        <f>N8*'Output-Calculation-sheet'!N52/10^9</f>
        <v>0.57246663720712432</v>
      </c>
      <c r="O63" s="2">
        <f>O8*'Output-Calculation-sheet'!O52/10^9</f>
        <v>0.59303965329261865</v>
      </c>
      <c r="P63" s="2">
        <f>P8*'Output-Calculation-sheet'!P52/10^9</f>
        <v>0.49149543343570934</v>
      </c>
      <c r="Q63" s="2">
        <f>Q8*'Output-Calculation-sheet'!Q52/10^9</f>
        <v>0.46495078456041405</v>
      </c>
      <c r="R63" s="2">
        <f>R8*'Output-Calculation-sheet'!R52/10^9</f>
        <v>0.39169384847235811</v>
      </c>
      <c r="S63" s="2">
        <f>S8*'Output-Calculation-sheet'!S52/10^9</f>
        <v>0.36013811664149742</v>
      </c>
      <c r="T63" s="2">
        <f>T8*'Output-Calculation-sheet'!T52/10^9</f>
        <v>0.12826254906898613</v>
      </c>
      <c r="U63" s="2">
        <f>U8*'Output-Calculation-sheet'!U52/10^9</f>
        <v>0.12581661038867009</v>
      </c>
      <c r="V63" s="2">
        <f>V8*'Output-Calculation-sheet'!V52/10^9</f>
        <v>0.11276518235872608</v>
      </c>
      <c r="W63" s="2">
        <f>W8*'Output-Calculation-sheet'!W52/10^9</f>
        <v>5.8865297538327373E-2</v>
      </c>
      <c r="X63" s="2">
        <f>X8*'Output-Calculation-sheet'!X52/10^9</f>
        <v>9.512758713464825E-2</v>
      </c>
      <c r="Y63" s="2">
        <f>Y8*'Output-Calculation-sheet'!Y52/10^9</f>
        <v>4.906490380698629E-2</v>
      </c>
      <c r="AA63" s="2">
        <f t="shared" si="4"/>
        <v>20.955296708301656</v>
      </c>
    </row>
    <row r="64" spans="1:27" x14ac:dyDescent="0.25">
      <c r="A64" s="2">
        <v>2032</v>
      </c>
      <c r="B64" s="2">
        <f>B9*'Output-Calculation-sheet'!B53/10^9</f>
        <v>7.4447737259189664</v>
      </c>
      <c r="C64" s="2">
        <f>C9*'Output-Calculation-sheet'!C53/10^9</f>
        <v>3.7702068698968132</v>
      </c>
      <c r="D64" s="2">
        <f>D9*'Output-Calculation-sheet'!D53/10^9</f>
        <v>1.3206501971188245</v>
      </c>
      <c r="E64" s="2">
        <f>E9*'Output-Calculation-sheet'!E53/10^9</f>
        <v>1.7006752824888496</v>
      </c>
      <c r="F64" s="2">
        <f>F9*'Output-Calculation-sheet'!F53/10^9</f>
        <v>0.70678580265238156</v>
      </c>
      <c r="G64" s="2">
        <f>G9*'Output-Calculation-sheet'!G53/10^9</f>
        <v>0.50740153441098668</v>
      </c>
      <c r="H64" s="2">
        <f>H9*'Output-Calculation-sheet'!H53/10^9</f>
        <v>0.97652275056230231</v>
      </c>
      <c r="I64" s="2">
        <f>I9*'Output-Calculation-sheet'!I53/10^9</f>
        <v>0.45490587442217972</v>
      </c>
      <c r="J64" s="2">
        <f>J9*'Output-Calculation-sheet'!J53/10^9</f>
        <v>0.48888999044215864</v>
      </c>
      <c r="K64" s="2">
        <f>K9*'Output-Calculation-sheet'!K53/10^9</f>
        <v>0.4995399178607664</v>
      </c>
      <c r="L64" s="2">
        <f>L9*'Output-Calculation-sheet'!L53/10^9</f>
        <v>0.51936675037878188</v>
      </c>
      <c r="M64" s="2">
        <f>M9*'Output-Calculation-sheet'!M53/10^9</f>
        <v>0.73858789725780982</v>
      </c>
      <c r="N64" s="2">
        <f>N9*'Output-Calculation-sheet'!N53/10^9</f>
        <v>0.62470905496717455</v>
      </c>
      <c r="O64" s="2">
        <f>O9*'Output-Calculation-sheet'!O53/10^9</f>
        <v>0.64729007331253474</v>
      </c>
      <c r="P64" s="2">
        <f>P9*'Output-Calculation-sheet'!P53/10^9</f>
        <v>0.53814938601615303</v>
      </c>
      <c r="Q64" s="2">
        <f>Q9*'Output-Calculation-sheet'!Q53/10^9</f>
        <v>0.50900790078051661</v>
      </c>
      <c r="R64" s="2">
        <f>R9*'Output-Calculation-sheet'!R53/10^9</f>
        <v>0.42811865468949245</v>
      </c>
      <c r="S64" s="2">
        <f>S9*'Output-Calculation-sheet'!S53/10^9</f>
        <v>0.39335694300601048</v>
      </c>
      <c r="T64" s="2">
        <f>T9*'Output-Calculation-sheet'!T53/10^9</f>
        <v>0.13988269886940422</v>
      </c>
      <c r="U64" s="2">
        <f>U9*'Output-Calculation-sheet'!U53/10^9</f>
        <v>0.13770795292880114</v>
      </c>
      <c r="V64" s="2">
        <f>V9*'Output-Calculation-sheet'!V53/10^9</f>
        <v>0.12257447750303678</v>
      </c>
      <c r="W64" s="2">
        <f>W9*'Output-Calculation-sheet'!W53/10^9</f>
        <v>6.4364046208903805E-2</v>
      </c>
      <c r="X64" s="2">
        <f>X9*'Output-Calculation-sheet'!X53/10^9</f>
        <v>0.10376815459422904</v>
      </c>
      <c r="Y64" s="2">
        <f>Y9*'Output-Calculation-sheet'!Y53/10^9</f>
        <v>5.3704225211109943E-2</v>
      </c>
      <c r="AA64" s="2">
        <f t="shared" si="4"/>
        <v>22.890940161498182</v>
      </c>
    </row>
    <row r="65" spans="1:27" x14ac:dyDescent="0.25">
      <c r="A65" s="2">
        <v>2033</v>
      </c>
      <c r="B65" s="2">
        <f>B10*'Output-Calculation-sheet'!B54/10^9</f>
        <v>7.9475196991495904</v>
      </c>
      <c r="C65" s="2">
        <f>C10*'Output-Calculation-sheet'!C54/10^9</f>
        <v>4.0235531795017021</v>
      </c>
      <c r="D65" s="2">
        <f>D10*'Output-Calculation-sheet'!D54/10^9</f>
        <v>1.413555527428723</v>
      </c>
      <c r="E65" s="2">
        <f>E10*'Output-Calculation-sheet'!E54/10^9</f>
        <v>1.8205491457250791</v>
      </c>
      <c r="F65" s="2">
        <f>F10*'Output-Calculation-sheet'!F54/10^9</f>
        <v>0.75594231580427707</v>
      </c>
      <c r="G65" s="2">
        <f>G10*'Output-Calculation-sheet'!G54/10^9</f>
        <v>0.54285965451845752</v>
      </c>
      <c r="H65" s="2">
        <f>H10*'Output-Calculation-sheet'!H54/10^9</f>
        <v>1.0408863142636644</v>
      </c>
      <c r="I65" s="2">
        <f>I10*'Output-Calculation-sheet'!I54/10^9</f>
        <v>0.48686187425481681</v>
      </c>
      <c r="J65" s="2">
        <f>J10*'Output-Calculation-sheet'!J54/10^9</f>
        <v>0.52295179399924852</v>
      </c>
      <c r="K65" s="2">
        <f>K10*'Output-Calculation-sheet'!K54/10^9</f>
        <v>0.53478296065753772</v>
      </c>
      <c r="L65" s="2">
        <f>L10*'Output-Calculation-sheet'!L54/10^9</f>
        <v>0.55583386655290878</v>
      </c>
      <c r="M65" s="2">
        <f>M10*'Output-Calculation-sheet'!M54/10^9</f>
        <v>0.78745274812517418</v>
      </c>
      <c r="N65" s="2">
        <f>N10*'Output-Calculation-sheet'!N54/10^9</f>
        <v>0.66658558884476948</v>
      </c>
      <c r="O65" s="2">
        <f>O10*'Output-Calculation-sheet'!O54/10^9</f>
        <v>0.69091758930711933</v>
      </c>
      <c r="P65" s="2">
        <f>P10*'Output-Calculation-sheet'!P54/10^9</f>
        <v>0.57633255204409384</v>
      </c>
      <c r="Q65" s="2">
        <f>Q10*'Output-Calculation-sheet'!Q54/10^9</f>
        <v>0.54515055775166055</v>
      </c>
      <c r="R65" s="2">
        <f>R10*'Output-Calculation-sheet'!R54/10^9</f>
        <v>0.45764909084074046</v>
      </c>
      <c r="S65" s="2">
        <f>S10*'Output-Calculation-sheet'!S54/10^9</f>
        <v>0.42010028334292004</v>
      </c>
      <c r="T65" s="2">
        <f>T10*'Output-Calculation-sheet'!T54/10^9</f>
        <v>0.14919830881748133</v>
      </c>
      <c r="U65" s="2">
        <f>U10*'Output-Calculation-sheet'!U54/10^9</f>
        <v>0.14741738215250591</v>
      </c>
      <c r="V65" s="2">
        <f>V10*'Output-Calculation-sheet'!V54/10^9</f>
        <v>0.1303365777562718</v>
      </c>
      <c r="W65" s="2">
        <f>W10*'Output-Calculation-sheet'!W54/10^9</f>
        <v>6.8841454763203233E-2</v>
      </c>
      <c r="X65" s="2">
        <f>X10*'Output-Calculation-sheet'!X54/10^9</f>
        <v>0.11071552874553703</v>
      </c>
      <c r="Y65" s="2">
        <f>Y10*'Output-Calculation-sheet'!Y54/10^9</f>
        <v>5.7507776910468621E-2</v>
      </c>
      <c r="AA65" s="2">
        <f t="shared" si="4"/>
        <v>24.453501771257944</v>
      </c>
    </row>
    <row r="66" spans="1:27" x14ac:dyDescent="0.25">
      <c r="A66" s="2">
        <v>2034</v>
      </c>
      <c r="B66" s="2">
        <f>B11*'Output-Calculation-sheet'!B55/10^9</f>
        <v>8.3692289744249919</v>
      </c>
      <c r="C66" s="2">
        <f>C11*'Output-Calculation-sheet'!C55/10^9</f>
        <v>4.239451015096944</v>
      </c>
      <c r="D66" s="2">
        <f>D11*'Output-Calculation-sheet'!D55/10^9</f>
        <v>1.4942035084449479</v>
      </c>
      <c r="E66" s="2">
        <f>E11*'Output-Calculation-sheet'!E55/10^9</f>
        <v>1.9246508264345472</v>
      </c>
      <c r="F66" s="2">
        <f>F11*'Output-Calculation-sheet'!F55/10^9</f>
        <v>0.79846348726030425</v>
      </c>
      <c r="G66" s="2">
        <f>G11*'Output-Calculation-sheet'!G55/10^9</f>
        <v>0.57348254270456711</v>
      </c>
      <c r="H66" s="2">
        <f>H11*'Output-Calculation-sheet'!H55/10^9</f>
        <v>1.0954386650298544</v>
      </c>
      <c r="I66" s="2">
        <f>I11*'Output-Calculation-sheet'!I55/10^9</f>
        <v>0.51458508962398697</v>
      </c>
      <c r="J66" s="2">
        <f>J11*'Output-Calculation-sheet'!J55/10^9</f>
        <v>0.55231250250471142</v>
      </c>
      <c r="K66" s="2">
        <f>K11*'Output-Calculation-sheet'!K55/10^9</f>
        <v>0.56539223601849065</v>
      </c>
      <c r="L66" s="2">
        <f>L11*'Output-Calculation-sheet'!L55/10^9</f>
        <v>0.58708392207946025</v>
      </c>
      <c r="M66" s="2">
        <f>M11*'Output-Calculation-sheet'!M55/10^9</f>
        <v>0.82890000346475257</v>
      </c>
      <c r="N66" s="2">
        <f>N11*'Output-Calculation-sheet'!N55/10^9</f>
        <v>0.70209494487044621</v>
      </c>
      <c r="O66" s="2">
        <f>O11*'Output-Calculation-sheet'!O55/10^9</f>
        <v>0.72808091067616876</v>
      </c>
      <c r="P66" s="2">
        <f>P11*'Output-Calculation-sheet'!P55/10^9</f>
        <v>0.60930809796438024</v>
      </c>
      <c r="Q66" s="2">
        <f>Q11*'Output-Calculation-sheet'!Q55/10^9</f>
        <v>0.57659935634348081</v>
      </c>
      <c r="R66" s="2">
        <f>R11*'Output-Calculation-sheet'!R55/10^9</f>
        <v>0.48294346578014796</v>
      </c>
      <c r="S66" s="2">
        <f>S11*'Output-Calculation-sheet'!S55/10^9</f>
        <v>0.44290763217550128</v>
      </c>
      <c r="T66" s="2">
        <f>T11*'Output-Calculation-sheet'!T55/10^9</f>
        <v>0.15712609889634058</v>
      </c>
      <c r="U66" s="2">
        <f>U11*'Output-Calculation-sheet'!U55/10^9</f>
        <v>0.15581072744329211</v>
      </c>
      <c r="V66" s="2">
        <f>V11*'Output-Calculation-sheet'!V55/10^9</f>
        <v>0.13686848365788234</v>
      </c>
      <c r="W66" s="2">
        <f>W11*'Output-Calculation-sheet'!W55/10^9</f>
        <v>7.270725991457877E-2</v>
      </c>
      <c r="X66" s="2">
        <f>X11*'Output-Calculation-sheet'!X55/10^9</f>
        <v>0.11657324980689385</v>
      </c>
      <c r="Y66" s="2">
        <f>Y11*'Output-Calculation-sheet'!Y55/10^9</f>
        <v>6.0815608574621392E-2</v>
      </c>
      <c r="AA66" s="2">
        <f t="shared" si="4"/>
        <v>25.785028609191297</v>
      </c>
    </row>
    <row r="67" spans="1:27" x14ac:dyDescent="0.25">
      <c r="A67" s="2">
        <v>2035</v>
      </c>
      <c r="B67" s="2">
        <f>B12*'Output-Calculation-sheet'!B56/10^9</f>
        <v>8.7263434061176035</v>
      </c>
      <c r="C67" s="2">
        <f>C12*'Output-Calculation-sheet'!C56/10^9</f>
        <v>4.4294420212306909</v>
      </c>
      <c r="D67" s="2">
        <f>D12*'Output-Calculation-sheet'!D56/10^9</f>
        <v>1.5666244502357458</v>
      </c>
      <c r="E67" s="2">
        <f>E12*'Output-Calculation-sheet'!E56/10^9</f>
        <v>2.0181752230978307</v>
      </c>
      <c r="F67" s="2">
        <f>F12*'Output-Calculation-sheet'!F56/10^9</f>
        <v>0.83651784580085964</v>
      </c>
      <c r="G67" s="2">
        <f>G12*'Output-Calculation-sheet'!G56/10^9</f>
        <v>0.60078500315763361</v>
      </c>
      <c r="H67" s="2">
        <f>H12*'Output-Calculation-sheet'!H56/10^9</f>
        <v>1.1431743289556582</v>
      </c>
      <c r="I67" s="2">
        <f>I12*'Output-Calculation-sheet'!I56/10^9</f>
        <v>0.53946599624733393</v>
      </c>
      <c r="J67" s="2">
        <f>J12*'Output-Calculation-sheet'!J56/10^9</f>
        <v>0.57849271568734861</v>
      </c>
      <c r="K67" s="2">
        <f>K12*'Output-Calculation-sheet'!K56/10^9</f>
        <v>0.5928946941907991</v>
      </c>
      <c r="L67" s="2">
        <f>L12*'Output-Calculation-sheet'!L56/10^9</f>
        <v>0.61449514130748784</v>
      </c>
      <c r="M67" s="2">
        <f>M12*'Output-Calculation-sheet'!M56/10^9</f>
        <v>0.86518824665262517</v>
      </c>
      <c r="N67" s="2">
        <f>N12*'Output-Calculation-sheet'!N56/10^9</f>
        <v>0.73323036061066971</v>
      </c>
      <c r="O67" s="2">
        <f>O12*'Output-Calculation-sheet'!O56/10^9</f>
        <v>0.76068714318832975</v>
      </c>
      <c r="P67" s="2">
        <f>P12*'Output-Calculation-sheet'!P56/10^9</f>
        <v>0.63871947667593798</v>
      </c>
      <c r="Q67" s="2">
        <f>Q12*'Output-Calculation-sheet'!Q56/10^9</f>
        <v>0.60485666636134439</v>
      </c>
      <c r="R67" s="2">
        <f>R12*'Output-Calculation-sheet'!R56/10^9</f>
        <v>0.50531854153555045</v>
      </c>
      <c r="S67" s="2">
        <f>S12*'Output-Calculation-sheet'!S56/10^9</f>
        <v>0.46303239777509542</v>
      </c>
      <c r="T67" s="2">
        <f>T12*'Output-Calculation-sheet'!T56/10^9</f>
        <v>0.16409531529338545</v>
      </c>
      <c r="U67" s="2">
        <f>U12*'Output-Calculation-sheet'!U56/10^9</f>
        <v>0.16328580146813809</v>
      </c>
      <c r="V67" s="2">
        <f>V12*'Output-Calculation-sheet'!V56/10^9</f>
        <v>0.14254949238741746</v>
      </c>
      <c r="W67" s="2">
        <f>W12*'Output-Calculation-sheet'!W56/10^9</f>
        <v>7.6155780870438325E-2</v>
      </c>
      <c r="X67" s="2">
        <f>X12*'Output-Calculation-sheet'!X56/10^9</f>
        <v>0.12158090436394885</v>
      </c>
      <c r="Y67" s="2">
        <f>Y12*'Output-Calculation-sheet'!Y56/10^9</f>
        <v>6.3791666135942879E-2</v>
      </c>
      <c r="AA67" s="2">
        <f t="shared" si="4"/>
        <v>26.948902619347813</v>
      </c>
    </row>
    <row r="68" spans="1:27" x14ac:dyDescent="0.25">
      <c r="B68" s="2">
        <f>SUM(B60:B67)</f>
        <v>53.896957135459715</v>
      </c>
      <c r="C68" s="2">
        <f t="shared" ref="C68:Y68" si="5">SUM(C60:C67)</f>
        <v>27.302446956055899</v>
      </c>
      <c r="D68" s="2">
        <f t="shared" si="5"/>
        <v>9.5829022112668056</v>
      </c>
      <c r="E68" s="2">
        <f t="shared" si="5"/>
        <v>12.340022862016841</v>
      </c>
      <c r="F68" s="2">
        <f t="shared" si="5"/>
        <v>5.1290959723974376</v>
      </c>
      <c r="G68" s="2">
        <f t="shared" si="5"/>
        <v>3.6798785158909268</v>
      </c>
      <c r="H68" s="2">
        <f t="shared" si="5"/>
        <v>7.0718915062074563</v>
      </c>
      <c r="I68" s="2">
        <f t="shared" si="5"/>
        <v>3.3009056899522524</v>
      </c>
      <c r="J68" s="2">
        <f t="shared" si="5"/>
        <v>3.5459843151461219</v>
      </c>
      <c r="K68" s="2">
        <f t="shared" si="5"/>
        <v>3.624574864433689</v>
      </c>
      <c r="L68" s="2">
        <f t="shared" si="5"/>
        <v>3.7669272790105754</v>
      </c>
      <c r="M68" s="2">
        <f t="shared" si="5"/>
        <v>5.3487201233061388</v>
      </c>
      <c r="N68" s="2">
        <f t="shared" si="5"/>
        <v>4.5236061777119208</v>
      </c>
      <c r="O68" s="2">
        <f t="shared" si="5"/>
        <v>4.6835634266846764</v>
      </c>
      <c r="P68" s="2">
        <f t="shared" si="5"/>
        <v>3.9025418618818395</v>
      </c>
      <c r="Q68" s="2">
        <f t="shared" si="5"/>
        <v>3.6929097636692685</v>
      </c>
      <c r="R68" s="2">
        <f t="shared" si="5"/>
        <v>3.10377171192575</v>
      </c>
      <c r="S68" s="2">
        <f t="shared" si="5"/>
        <v>2.8493125104698267</v>
      </c>
      <c r="T68" s="2">
        <f t="shared" si="5"/>
        <v>1.0152170991888068</v>
      </c>
      <c r="U68" s="2">
        <f t="shared" si="5"/>
        <v>0.99846905758262039</v>
      </c>
      <c r="V68" s="2">
        <f t="shared" si="5"/>
        <v>0.89189813968562415</v>
      </c>
      <c r="W68" s="2">
        <f t="shared" si="5"/>
        <v>0.46699503680512156</v>
      </c>
      <c r="X68" s="2">
        <f t="shared" si="5"/>
        <v>0.75122733375582129</v>
      </c>
      <c r="Y68" s="2">
        <f t="shared" si="5"/>
        <v>0.38966028992522228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51.725083609899308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46.043113751396525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182.68863686230722</v>
      </c>
      <c r="S74" s="2">
        <f>S8/'Output-Calculation-sheet'!S7*'Output-Calculation-sheet'!S61</f>
        <v>0</v>
      </c>
      <c r="T74" s="2">
        <f>T8/'Output-Calculation-sheet'!T7*'Output-Calculation-sheet'!T61</f>
        <v>134.5821519208146</v>
      </c>
      <c r="U74" s="2">
        <f>U8/'Output-Calculation-sheet'!U7*'Output-Calculation-sheet'!U61</f>
        <v>17.048418500919752</v>
      </c>
      <c r="V74" s="2">
        <f>V8/'Output-Calculation-sheet'!V7*'Output-Calculation-sheet'!V61</f>
        <v>154.48099892598648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0.58656840357132389</v>
      </c>
    </row>
    <row r="75" spans="1:27" x14ac:dyDescent="0.25">
      <c r="A75" s="2">
        <v>2032</v>
      </c>
      <c r="B75" s="2">
        <f>B9/'Output-Calculation-sheet'!B8*'Output-Calculation-sheet'!B62</f>
        <v>560.78498281819589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113.73204197741404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91.123071409819161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241.10926907903854</v>
      </c>
      <c r="S75" s="2">
        <f>S9/'Output-Calculation-sheet'!S8*'Output-Calculation-sheet'!S62</f>
        <v>0</v>
      </c>
      <c r="T75" s="2">
        <f>T9/'Output-Calculation-sheet'!T8*'Output-Calculation-sheet'!T62</f>
        <v>159.25838526178029</v>
      </c>
      <c r="U75" s="2">
        <f>U9/'Output-Calculation-sheet'!U8*'Output-Calculation-sheet'!U62</f>
        <v>32.554484872657845</v>
      </c>
      <c r="V75" s="2">
        <f>V9/'Output-Calculation-sheet'!V8*'Output-Calculation-sheet'!V62</f>
        <v>170.60026688021983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1.3691625022991256</v>
      </c>
    </row>
    <row r="76" spans="1:27" x14ac:dyDescent="0.25">
      <c r="A76" s="2">
        <v>2033</v>
      </c>
      <c r="B76" s="2">
        <f>B10/'Output-Calculation-sheet'!B9*'Output-Calculation-sheet'!B63</f>
        <v>1460.3093259484153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171.30358250613011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163.39908128665877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73.71557259515572</v>
      </c>
      <c r="Q76" s="2">
        <f>Q10/'Output-Calculation-sheet'!Q9*'Output-Calculation-sheet'!Q63</f>
        <v>0</v>
      </c>
      <c r="R76" s="2">
        <f>R10/'Output-Calculation-sheet'!R9*'Output-Calculation-sheet'!R63</f>
        <v>313.96537084940576</v>
      </c>
      <c r="S76" s="2">
        <f>S10/'Output-Calculation-sheet'!S9*'Output-Calculation-sheet'!S63</f>
        <v>0</v>
      </c>
      <c r="T76" s="2">
        <f>T10/'Output-Calculation-sheet'!T9*'Output-Calculation-sheet'!T63</f>
        <v>183.50294783128825</v>
      </c>
      <c r="U76" s="2">
        <f>U10/'Output-Calculation-sheet'!U9*'Output-Calculation-sheet'!U63</f>
        <v>53.373232297591457</v>
      </c>
      <c r="V76" s="2">
        <f>V10/'Output-Calculation-sheet'!V9*'Output-Calculation-sheet'!V63</f>
        <v>190.59704994828488</v>
      </c>
      <c r="W76" s="2">
        <f>W10/'Output-Calculation-sheet'!W9*'Output-Calculation-sheet'!W63</f>
        <v>5.9845446520935432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2.6161507079150237</v>
      </c>
    </row>
    <row r="77" spans="1:27" x14ac:dyDescent="0.25">
      <c r="A77" s="2">
        <v>2034</v>
      </c>
      <c r="B77" s="2">
        <f>B11/'Output-Calculation-sheet'!B10*'Output-Calculation-sheet'!B64</f>
        <v>2593.6398129046547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247.05517489860779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229.64823863663739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148.23745706710082</v>
      </c>
      <c r="Q77" s="2">
        <f>Q11/'Output-Calculation-sheet'!Q10*'Output-Calculation-sheet'!Q64</f>
        <v>0</v>
      </c>
      <c r="R77" s="2">
        <f>R11/'Output-Calculation-sheet'!R10*'Output-Calculation-sheet'!R64</f>
        <v>385.06069721508442</v>
      </c>
      <c r="S77" s="2">
        <f>S11/'Output-Calculation-sheet'!S10*'Output-Calculation-sheet'!S64</f>
        <v>0</v>
      </c>
      <c r="T77" s="2">
        <f>T11/'Output-Calculation-sheet'!T10*'Output-Calculation-sheet'!T64</f>
        <v>207.40530922887913</v>
      </c>
      <c r="U77" s="2">
        <f>U11/'Output-Calculation-sheet'!U10*'Output-Calculation-sheet'!U64</f>
        <v>70.313839422162189</v>
      </c>
      <c r="V77" s="2">
        <f>V11/'Output-Calculation-sheet'!V10*'Output-Calculation-sheet'!V64</f>
        <v>210.0259167400713</v>
      </c>
      <c r="W77" s="2">
        <f>W11/'Output-Calculation-sheet'!W10*'Output-Calculation-sheet'!W64</f>
        <v>11.129554856289465</v>
      </c>
      <c r="X77" s="2">
        <f>X11/'Output-Calculation-sheet'!X10*'Output-Calculation-sheet'!X64</f>
        <v>19.968759784021469</v>
      </c>
      <c r="Y77" s="2">
        <f>Y11/'Output-Calculation-sheet'!Y10*'Output-Calculation-sheet'!Y64</f>
        <v>0</v>
      </c>
      <c r="AA77" s="2">
        <f t="shared" si="6"/>
        <v>4.1224847607535082</v>
      </c>
    </row>
    <row r="78" spans="1:27" x14ac:dyDescent="0.25">
      <c r="A78" s="2">
        <v>2035</v>
      </c>
      <c r="B78" s="2">
        <f>B12/'Output-Calculation-sheet'!B11*'Output-Calculation-sheet'!B65</f>
        <v>4811.3402776289495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311.13395947482195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274.79131783689826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223.22657658940034</v>
      </c>
      <c r="Q78" s="2">
        <f>Q12/'Output-Calculation-sheet'!Q11*'Output-Calculation-sheet'!Q65</f>
        <v>0</v>
      </c>
      <c r="R78" s="2">
        <f>R12/'Output-Calculation-sheet'!R11*'Output-Calculation-sheet'!R65</f>
        <v>490.02769130154763</v>
      </c>
      <c r="S78" s="2">
        <f>S12/'Output-Calculation-sheet'!S11*'Output-Calculation-sheet'!S65</f>
        <v>0</v>
      </c>
      <c r="T78" s="2">
        <f>T12/'Output-Calculation-sheet'!T11*'Output-Calculation-sheet'!T65</f>
        <v>237.18823230705877</v>
      </c>
      <c r="U78" s="2">
        <f>U12/'Output-Calculation-sheet'!U11*'Output-Calculation-sheet'!U65</f>
        <v>92.222129638984512</v>
      </c>
      <c r="V78" s="2">
        <f>V12/'Output-Calculation-sheet'!V11*'Output-Calculation-sheet'!V65</f>
        <v>223.77522085594228</v>
      </c>
      <c r="W78" s="2">
        <f>W12/'Output-Calculation-sheet'!W11*'Output-Calculation-sheet'!W65</f>
        <v>16.758876933952941</v>
      </c>
      <c r="X78" s="2">
        <f>X12/'Output-Calculation-sheet'!X11*'Output-Calculation-sheet'!X65</f>
        <v>45.766489316574642</v>
      </c>
      <c r="Y78" s="2">
        <f>Y12/'Output-Calculation-sheet'!Y11*'Output-Calculation-sheet'!Y65</f>
        <v>0</v>
      </c>
      <c r="AA78" s="2">
        <f t="shared" si="6"/>
        <v>6.726230771884131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 t="shared" ref="AA93:AA100" si="8"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si="8"/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14968331895.294035</v>
      </c>
      <c r="C96" s="2">
        <f>C8/'Output-Calculation-sheet'!C7*'Output-Calculation-sheet'!C79</f>
        <v>1842443157.0106938</v>
      </c>
      <c r="D96" s="2">
        <f>D8/'Output-Calculation-sheet'!D7*'Output-Calculation-sheet'!D79</f>
        <v>6524655345.5734692</v>
      </c>
      <c r="E96" s="2">
        <f>E8/'Output-Calculation-sheet'!E7*'Output-Calculation-sheet'!E79</f>
        <v>11155686228.334923</v>
      </c>
      <c r="F96" s="2">
        <f>F8/'Output-Calculation-sheet'!F7*'Output-Calculation-sheet'!F79</f>
        <v>5020431120.3760014</v>
      </c>
      <c r="G96" s="2">
        <f>G8/'Output-Calculation-sheet'!G7*'Output-Calculation-sheet'!G79</f>
        <v>3813245443.3145938</v>
      </c>
      <c r="H96" s="2">
        <f>H8/'Output-Calculation-sheet'!H7*'Output-Calculation-sheet'!H79</f>
        <v>1109403169.9833093</v>
      </c>
      <c r="I96" s="2">
        <f>I8/'Output-Calculation-sheet'!I7*'Output-Calculation-sheet'!I79</f>
        <v>2557821640.1230249</v>
      </c>
      <c r="J96" s="2">
        <f>J8/'Output-Calculation-sheet'!J7*'Output-Calculation-sheet'!J79</f>
        <v>1895390161.6072907</v>
      </c>
      <c r="K96" s="2">
        <f>K8/'Output-Calculation-sheet'!K7*'Output-Calculation-sheet'!K79</f>
        <v>2191547522.662384</v>
      </c>
      <c r="L96" s="2">
        <f>L8/'Output-Calculation-sheet'!L7*'Output-Calculation-sheet'!L79</f>
        <v>1743335786.1277049</v>
      </c>
      <c r="M96" s="2">
        <f>M8/'Output-Calculation-sheet'!M7*'Output-Calculation-sheet'!M79</f>
        <v>862461962.26106501</v>
      </c>
      <c r="N96" s="2">
        <f>N8/'Output-Calculation-sheet'!N7*'Output-Calculation-sheet'!N79</f>
        <v>875915694.56640399</v>
      </c>
      <c r="O96" s="2">
        <f>O8/'Output-Calculation-sheet'!O7*'Output-Calculation-sheet'!O79</f>
        <v>213811103.01609978</v>
      </c>
      <c r="P96" s="2">
        <f>P8/'Output-Calculation-sheet'!P7*'Output-Calculation-sheet'!P79</f>
        <v>2329634624.8425999</v>
      </c>
      <c r="Q96" s="2">
        <f>Q8/'Output-Calculation-sheet'!Q7*'Output-Calculation-sheet'!Q79</f>
        <v>1033033782.1710382</v>
      </c>
      <c r="R96" s="2">
        <f>R8/'Output-Calculation-sheet'!R7*'Output-Calculation-sheet'!R79</f>
        <v>1571744096.6129389</v>
      </c>
      <c r="S96" s="2">
        <f>S8/'Output-Calculation-sheet'!S7*'Output-Calculation-sheet'!S79</f>
        <v>614350563.16061938</v>
      </c>
      <c r="T96" s="2">
        <f>T8/'Output-Calculation-sheet'!T7*'Output-Calculation-sheet'!T79</f>
        <v>832026772.84151185</v>
      </c>
      <c r="U96" s="2">
        <f>U8/'Output-Calculation-sheet'!U7*'Output-Calculation-sheet'!U79</f>
        <v>413244511.99012405</v>
      </c>
      <c r="V96" s="2">
        <f>V8/'Output-Calculation-sheet'!V7*'Output-Calculation-sheet'!V79</f>
        <v>304507112.57192922</v>
      </c>
      <c r="W96" s="2">
        <f>W8/'Output-Calculation-sheet'!W7*'Output-Calculation-sheet'!W79</f>
        <v>811220297.63394189</v>
      </c>
      <c r="X96" s="2">
        <f>X8/'Output-Calculation-sheet'!X7*'Output-Calculation-sheet'!X79</f>
        <v>96127839.387482017</v>
      </c>
      <c r="Y96" s="2">
        <f>Y8/'Output-Calculation-sheet'!Y7*'Output-Calculation-sheet'!Y79</f>
        <v>364065704.82110757</v>
      </c>
      <c r="AA96" s="2">
        <f t="shared" si="8"/>
        <v>63.144435536284284</v>
      </c>
    </row>
    <row r="97" spans="1:27" x14ac:dyDescent="0.25">
      <c r="A97" s="2">
        <v>2032</v>
      </c>
      <c r="B97" s="2">
        <f>B9/'Output-Calculation-sheet'!B8*'Output-Calculation-sheet'!B80</f>
        <v>16679295576.575779</v>
      </c>
      <c r="C97" s="2">
        <f>C9/'Output-Calculation-sheet'!C8*'Output-Calculation-sheet'!C80</f>
        <v>2095474107.3002222</v>
      </c>
      <c r="D97" s="2">
        <f>D9/'Output-Calculation-sheet'!D8*'Output-Calculation-sheet'!D80</f>
        <v>6901434635.6605568</v>
      </c>
      <c r="E97" s="2">
        <f>E9/'Output-Calculation-sheet'!E8*'Output-Calculation-sheet'!E80</f>
        <v>12150703861.401985</v>
      </c>
      <c r="F97" s="2">
        <f>F9/'Output-Calculation-sheet'!F8*'Output-Calculation-sheet'!F80</f>
        <v>5455594466.4496756</v>
      </c>
      <c r="G97" s="2">
        <f>G9/'Output-Calculation-sheet'!G8*'Output-Calculation-sheet'!G80</f>
        <v>4038127097.0954781</v>
      </c>
      <c r="H97" s="2">
        <f>H9/'Output-Calculation-sheet'!H8*'Output-Calculation-sheet'!H80</f>
        <v>1223578609.9942825</v>
      </c>
      <c r="I97" s="2">
        <f>I9/'Output-Calculation-sheet'!I8*'Output-Calculation-sheet'!I80</f>
        <v>2804767433.1542544</v>
      </c>
      <c r="J97" s="2">
        <f>J9/'Output-Calculation-sheet'!J8*'Output-Calculation-sheet'!J80</f>
        <v>2023803617.0363996</v>
      </c>
      <c r="K97" s="2">
        <f>K9/'Output-Calculation-sheet'!K8*'Output-Calculation-sheet'!K80</f>
        <v>2355766994.1914072</v>
      </c>
      <c r="L97" s="2">
        <f>L9/'Output-Calculation-sheet'!L8*'Output-Calculation-sheet'!L80</f>
        <v>1931594738.0090218</v>
      </c>
      <c r="M97" s="2">
        <f>M9/'Output-Calculation-sheet'!M8*'Output-Calculation-sheet'!M80</f>
        <v>951065762.88873112</v>
      </c>
      <c r="N97" s="2">
        <f>N9/'Output-Calculation-sheet'!N8*'Output-Calculation-sheet'!N80</f>
        <v>942626955.56965244</v>
      </c>
      <c r="O97" s="2">
        <f>O9/'Output-Calculation-sheet'!O8*'Output-Calculation-sheet'!O80</f>
        <v>246007897.60461053</v>
      </c>
      <c r="P97" s="2">
        <f>P9/'Output-Calculation-sheet'!P8*'Output-Calculation-sheet'!P80</f>
        <v>2501771444.1216688</v>
      </c>
      <c r="Q97" s="2">
        <f>Q9/'Output-Calculation-sheet'!Q8*'Output-Calculation-sheet'!Q80</f>
        <v>1112429528.9784348</v>
      </c>
      <c r="R97" s="2">
        <f>R9/'Output-Calculation-sheet'!R8*'Output-Calculation-sheet'!R80</f>
        <v>1731104106.7668364</v>
      </c>
      <c r="S97" s="2">
        <f>S9/'Output-Calculation-sheet'!S8*'Output-Calculation-sheet'!S80</f>
        <v>667632484.46197295</v>
      </c>
      <c r="T97" s="2">
        <f>T9/'Output-Calculation-sheet'!T8*'Output-Calculation-sheet'!T80</f>
        <v>892692420.9745239</v>
      </c>
      <c r="U97" s="2">
        <f>U9/'Output-Calculation-sheet'!U8*'Output-Calculation-sheet'!U80</f>
        <v>453060225.76735342</v>
      </c>
      <c r="V97" s="2">
        <f>V9/'Output-Calculation-sheet'!V8*'Output-Calculation-sheet'!V80</f>
        <v>333737583.25563836</v>
      </c>
      <c r="W97" s="2">
        <f>W9/'Output-Calculation-sheet'!W8*'Output-Calculation-sheet'!W80</f>
        <v>872775438.8296932</v>
      </c>
      <c r="X97" s="2">
        <f>X9/'Output-Calculation-sheet'!X8*'Output-Calculation-sheet'!X80</f>
        <v>106880686.34073898</v>
      </c>
      <c r="Y97" s="2">
        <f>Y9/'Output-Calculation-sheet'!Y8*'Output-Calculation-sheet'!Y80</f>
        <v>391915683.9940142</v>
      </c>
      <c r="AA97" s="2">
        <f t="shared" si="8"/>
        <v>68.863841356422924</v>
      </c>
    </row>
    <row r="98" spans="1:27" x14ac:dyDescent="0.25">
      <c r="A98" s="2">
        <v>2033</v>
      </c>
      <c r="B98" s="2">
        <f>B10/'Output-Calculation-sheet'!B9*'Output-Calculation-sheet'!B81</f>
        <v>18343341252.849068</v>
      </c>
      <c r="C98" s="2">
        <f>C10/'Output-Calculation-sheet'!C9*'Output-Calculation-sheet'!C81</f>
        <v>2313051545.450891</v>
      </c>
      <c r="D98" s="2">
        <f>D10/'Output-Calculation-sheet'!D9*'Output-Calculation-sheet'!D81</f>
        <v>7149029561.2046947</v>
      </c>
      <c r="E98" s="2">
        <f>E10/'Output-Calculation-sheet'!E9*'Output-Calculation-sheet'!E81</f>
        <v>12954887064.817587</v>
      </c>
      <c r="F98" s="2">
        <f>F10/'Output-Calculation-sheet'!F9*'Output-Calculation-sheet'!F81</f>
        <v>5803176803.4864426</v>
      </c>
      <c r="G98" s="2">
        <f>G10/'Output-Calculation-sheet'!G9*'Output-Calculation-sheet'!G81</f>
        <v>4175571591.3356552</v>
      </c>
      <c r="H98" s="2">
        <f>H10/'Output-Calculation-sheet'!H9*'Output-Calculation-sheet'!H81</f>
        <v>1317083685.1004722</v>
      </c>
      <c r="I98" s="2">
        <f>I10/'Output-Calculation-sheet'!I9*'Output-Calculation-sheet'!I81</f>
        <v>3012906161.9747152</v>
      </c>
      <c r="J98" s="2">
        <f>J10/'Output-Calculation-sheet'!J9*'Output-Calculation-sheet'!J81</f>
        <v>2118387166.3212135</v>
      </c>
      <c r="K98" s="2">
        <f>K10/'Output-Calculation-sheet'!K9*'Output-Calculation-sheet'!K81</f>
        <v>2484336375.0887051</v>
      </c>
      <c r="L98" s="2">
        <f>L10/'Output-Calculation-sheet'!L9*'Output-Calculation-sheet'!L81</f>
        <v>2097771116.4300621</v>
      </c>
      <c r="M98" s="2">
        <f>M10/'Output-Calculation-sheet'!M9*'Output-Calculation-sheet'!M81</f>
        <v>1028993876.6491083</v>
      </c>
      <c r="N98" s="2">
        <f>N10/'Output-Calculation-sheet'!N9*'Output-Calculation-sheet'!N81</f>
        <v>984390729.40084708</v>
      </c>
      <c r="O98" s="2">
        <f>O10/'Output-Calculation-sheet'!O9*'Output-Calculation-sheet'!O81</f>
        <v>272001349.13537389</v>
      </c>
      <c r="P98" s="2">
        <f>P10/'Output-Calculation-sheet'!P9*'Output-Calculation-sheet'!P81</f>
        <v>2670511395.623929</v>
      </c>
      <c r="Q98" s="2">
        <f>Q10/'Output-Calculation-sheet'!Q9*'Output-Calculation-sheet'!Q81</f>
        <v>1175929586.9735367</v>
      </c>
      <c r="R98" s="2">
        <f>R10/'Output-Calculation-sheet'!R9*'Output-Calculation-sheet'!R81</f>
        <v>1868026071.1215899</v>
      </c>
      <c r="S98" s="2">
        <f>S10/'Output-Calculation-sheet'!S9*'Output-Calculation-sheet'!S81</f>
        <v>712366012.8442179</v>
      </c>
      <c r="T98" s="2">
        <f>T10/'Output-Calculation-sheet'!T9*'Output-Calculation-sheet'!T81</f>
        <v>936188647.48044729</v>
      </c>
      <c r="U98" s="2">
        <f>U10/'Output-Calculation-sheet'!U9*'Output-Calculation-sheet'!U81</f>
        <v>486453391.21575999</v>
      </c>
      <c r="V98" s="2">
        <f>V10/'Output-Calculation-sheet'!V9*'Output-Calculation-sheet'!V81</f>
        <v>358621402.84231377</v>
      </c>
      <c r="W98" s="2">
        <f>W10/'Output-Calculation-sheet'!W9*'Output-Calculation-sheet'!W81</f>
        <v>919068377.04377246</v>
      </c>
      <c r="X98" s="2">
        <f>X10/'Output-Calculation-sheet'!X9*'Output-Calculation-sheet'!X81</f>
        <v>116714438.29099007</v>
      </c>
      <c r="Y98" s="2">
        <f>Y10/'Output-Calculation-sheet'!Y9*'Output-Calculation-sheet'!Y81</f>
        <v>412793127.39408875</v>
      </c>
      <c r="AA98" s="2">
        <f t="shared" si="8"/>
        <v>73.711600730075503</v>
      </c>
    </row>
    <row r="99" spans="1:27" x14ac:dyDescent="0.25">
      <c r="A99" s="2">
        <v>2034</v>
      </c>
      <c r="B99" s="2">
        <f>B11/'Output-Calculation-sheet'!B10*'Output-Calculation-sheet'!B82</f>
        <v>19907171712.030167</v>
      </c>
      <c r="C99" s="2">
        <f>C11/'Output-Calculation-sheet'!C10*'Output-Calculation-sheet'!C82</f>
        <v>2527470565.1131077</v>
      </c>
      <c r="D99" s="2">
        <f>D11/'Output-Calculation-sheet'!D10*'Output-Calculation-sheet'!D82</f>
        <v>7315832870.9976377</v>
      </c>
      <c r="E99" s="2">
        <f>E11/'Output-Calculation-sheet'!E10*'Output-Calculation-sheet'!E82</f>
        <v>13639508954.790857</v>
      </c>
      <c r="F99" s="2">
        <f>F11/'Output-Calculation-sheet'!F10*'Output-Calculation-sheet'!F82</f>
        <v>6099887187.6354141</v>
      </c>
      <c r="G99" s="2">
        <f>G11/'Output-Calculation-sheet'!G10*'Output-Calculation-sheet'!G82</f>
        <v>4259540034.2206216</v>
      </c>
      <c r="H99" s="2">
        <f>H11/'Output-Calculation-sheet'!H10*'Output-Calculation-sheet'!H82</f>
        <v>1402485886.0068958</v>
      </c>
      <c r="I99" s="2">
        <f>I11/'Output-Calculation-sheet'!I10*'Output-Calculation-sheet'!I82</f>
        <v>3197315253.425426</v>
      </c>
      <c r="J99" s="2">
        <f>J11/'Output-Calculation-sheet'!J10*'Output-Calculation-sheet'!J82</f>
        <v>2190382245.9538856</v>
      </c>
      <c r="K99" s="2">
        <f>K11/'Output-Calculation-sheet'!K10*'Output-Calculation-sheet'!K82</f>
        <v>2589237740.12392</v>
      </c>
      <c r="L99" s="2">
        <f>L11/'Output-Calculation-sheet'!L10*'Output-Calculation-sheet'!L82</f>
        <v>2263859942.578217</v>
      </c>
      <c r="M99" s="2">
        <f>M11/'Output-Calculation-sheet'!M10*'Output-Calculation-sheet'!M82</f>
        <v>1098791013.7206392</v>
      </c>
      <c r="N99" s="2">
        <f>N11/'Output-Calculation-sheet'!N10*'Output-Calculation-sheet'!N82</f>
        <v>1021010788.0077811</v>
      </c>
      <c r="O99" s="2">
        <f>O11/'Output-Calculation-sheet'!O10*'Output-Calculation-sheet'!O82</f>
        <v>298895892.93402916</v>
      </c>
      <c r="P99" s="2">
        <f>P11/'Output-Calculation-sheet'!P10*'Output-Calculation-sheet'!P82</f>
        <v>2816032598.0006261</v>
      </c>
      <c r="Q99" s="2">
        <f>Q11/'Output-Calculation-sheet'!Q10*'Output-Calculation-sheet'!Q82</f>
        <v>1227628359.2706201</v>
      </c>
      <c r="R99" s="2">
        <f>R11/'Output-Calculation-sheet'!R10*'Output-Calculation-sheet'!R82</f>
        <v>1994316983.1508281</v>
      </c>
      <c r="S99" s="2">
        <f>S11/'Output-Calculation-sheet'!S10*'Output-Calculation-sheet'!S82</f>
        <v>749406409.11275339</v>
      </c>
      <c r="T99" s="2">
        <f>T11/'Output-Calculation-sheet'!T10*'Output-Calculation-sheet'!T82</f>
        <v>968724453.15851188</v>
      </c>
      <c r="U99" s="2">
        <f>U11/'Output-Calculation-sheet'!U10*'Output-Calculation-sheet'!U82</f>
        <v>516434802.70838928</v>
      </c>
      <c r="V99" s="2">
        <f>V11/'Output-Calculation-sheet'!V10*'Output-Calculation-sheet'!V82</f>
        <v>380025850.39721215</v>
      </c>
      <c r="W99" s="2">
        <f>W11/'Output-Calculation-sheet'!W10*'Output-Calculation-sheet'!W82</f>
        <v>954248641.07626176</v>
      </c>
      <c r="X99" s="2">
        <f>X11/'Output-Calculation-sheet'!X10*'Output-Calculation-sheet'!X82</f>
        <v>134677020.03635111</v>
      </c>
      <c r="Y99" s="2">
        <f>Y11/'Output-Calculation-sheet'!Y10*'Output-Calculation-sheet'!Y82</f>
        <v>429218993.04493445</v>
      </c>
      <c r="AA99" s="2">
        <f t="shared" si="8"/>
        <v>77.98210419749509</v>
      </c>
    </row>
    <row r="100" spans="1:27" x14ac:dyDescent="0.25">
      <c r="A100" s="2">
        <v>2035</v>
      </c>
      <c r="B100" s="2">
        <f>B12/'Output-Calculation-sheet'!B11*'Output-Calculation-sheet'!B83</f>
        <v>21857371884.345802</v>
      </c>
      <c r="C100" s="2">
        <f>C12/'Output-Calculation-sheet'!C11*'Output-Calculation-sheet'!C83</f>
        <v>2729725531.0921769</v>
      </c>
      <c r="D100" s="2">
        <f>D12/'Output-Calculation-sheet'!D11*'Output-Calculation-sheet'!D83</f>
        <v>7435914294.4314651</v>
      </c>
      <c r="E100" s="2">
        <f>E12/'Output-Calculation-sheet'!E11*'Output-Calculation-sheet'!E83</f>
        <v>14256212999.422421</v>
      </c>
      <c r="F100" s="2">
        <f>F12/'Output-Calculation-sheet'!F11*'Output-Calculation-sheet'!F83</f>
        <v>6364078177.3851004</v>
      </c>
      <c r="G100" s="2">
        <f>G12/'Output-Calculation-sheet'!G11*'Output-Calculation-sheet'!G83</f>
        <v>4308939700.064394</v>
      </c>
      <c r="H100" s="2">
        <f>H12/'Output-Calculation-sheet'!H11*'Output-Calculation-sheet'!H83</f>
        <v>1484088204.0574851</v>
      </c>
      <c r="I100" s="2">
        <f>I12/'Output-Calculation-sheet'!I11*'Output-Calculation-sheet'!I83</f>
        <v>3368067432.1882873</v>
      </c>
      <c r="J100" s="2">
        <f>J12/'Output-Calculation-sheet'!J11*'Output-Calculation-sheet'!J83</f>
        <v>2247496241.250886</v>
      </c>
      <c r="K100" s="2">
        <f>K12/'Output-Calculation-sheet'!K11*'Output-Calculation-sheet'!K83</f>
        <v>2679095550.841958</v>
      </c>
      <c r="L100" s="2">
        <f>L12/'Output-Calculation-sheet'!L11*'Output-Calculation-sheet'!L83</f>
        <v>2423998407.8233199</v>
      </c>
      <c r="M100" s="2">
        <f>M12/'Output-Calculation-sheet'!M11*'Output-Calculation-sheet'!M83</f>
        <v>1168238023.94608</v>
      </c>
      <c r="N100" s="2">
        <f>N12/'Output-Calculation-sheet'!N11*'Output-Calculation-sheet'!N83</f>
        <v>1048662081.2512939</v>
      </c>
      <c r="O100" s="2">
        <f>O12/'Output-Calculation-sheet'!O11*'Output-Calculation-sheet'!O83</f>
        <v>326819248.27069372</v>
      </c>
      <c r="P100" s="2">
        <f>P12/'Output-Calculation-sheet'!P11*'Output-Calculation-sheet'!P83</f>
        <v>2934482954.3659282</v>
      </c>
      <c r="Q100" s="2">
        <f>Q12/'Output-Calculation-sheet'!Q11*'Output-Calculation-sheet'!Q83</f>
        <v>1274466810.1181374</v>
      </c>
      <c r="R100" s="2">
        <f>R12/'Output-Calculation-sheet'!R11*'Output-Calculation-sheet'!R83</f>
        <v>2114200184.6432824</v>
      </c>
      <c r="S100" s="2">
        <f>S12/'Output-Calculation-sheet'!S11*'Output-Calculation-sheet'!S83</f>
        <v>781999935.55270076</v>
      </c>
      <c r="T100" s="2">
        <f>T12/'Output-Calculation-sheet'!T11*'Output-Calculation-sheet'!T83</f>
        <v>997753025.49420071</v>
      </c>
      <c r="U100" s="2">
        <f>U12/'Output-Calculation-sheet'!U11*'Output-Calculation-sheet'!U83</f>
        <v>543791669.1189574</v>
      </c>
      <c r="V100" s="2">
        <f>V12/'Output-Calculation-sheet'!V11*'Output-Calculation-sheet'!V83</f>
        <v>399724425.67050749</v>
      </c>
      <c r="W100" s="2">
        <f>W12/'Output-Calculation-sheet'!W11*'Output-Calculation-sheet'!W83</f>
        <v>981783324.67041254</v>
      </c>
      <c r="X100" s="2">
        <f>X12/'Output-Calculation-sheet'!X11*'Output-Calculation-sheet'!X83</f>
        <v>155623272.62050736</v>
      </c>
      <c r="Y100" s="2">
        <f>Y12/'Output-Calculation-sheet'!Y11*'Output-Calculation-sheet'!Y83</f>
        <v>442042430.04204834</v>
      </c>
      <c r="AA100" s="2">
        <f t="shared" si="8"/>
        <v>82.324575808668044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93326186619.668655</v>
      </c>
      <c r="C8" s="2">
        <v>43979995377.888481</v>
      </c>
      <c r="D8" s="2">
        <v>39198065404.296844</v>
      </c>
      <c r="E8" s="2">
        <v>31099687204.126213</v>
      </c>
      <c r="F8" s="2">
        <v>20019984654.767704</v>
      </c>
      <c r="G8" s="2">
        <v>14066590652.088776</v>
      </c>
      <c r="H8" s="2">
        <v>13721419209.945665</v>
      </c>
      <c r="I8" s="2">
        <v>12815771366.698929</v>
      </c>
      <c r="J8" s="2">
        <v>12473986705.735691</v>
      </c>
      <c r="K8" s="2">
        <v>12354403597.497787</v>
      </c>
      <c r="L8" s="2">
        <v>9910863190.2471905</v>
      </c>
      <c r="M8" s="2">
        <v>9466583116.2016277</v>
      </c>
      <c r="N8" s="2">
        <v>9291423988.2396526</v>
      </c>
      <c r="O8" s="2">
        <v>8545351294.9729757</v>
      </c>
      <c r="P8" s="2">
        <v>8458409102.0212994</v>
      </c>
      <c r="Q8" s="2">
        <v>8321707540.7765112</v>
      </c>
      <c r="R8" s="2">
        <v>8005865418.5984888</v>
      </c>
      <c r="S8" s="2">
        <v>5321108271.4533834</v>
      </c>
      <c r="T8" s="2">
        <v>2942887287.7045975</v>
      </c>
      <c r="U8" s="2">
        <v>2563154273.3397894</v>
      </c>
      <c r="V8" s="2">
        <v>1973680053.5571063</v>
      </c>
      <c r="W8" s="2">
        <v>1708769515.5598583</v>
      </c>
      <c r="X8" s="2">
        <v>1025261709.3359158</v>
      </c>
      <c r="Y8" s="2">
        <v>997056759.7120831</v>
      </c>
    </row>
    <row r="9" spans="1:27" x14ac:dyDescent="0.25">
      <c r="A9" s="2">
        <v>2032</v>
      </c>
      <c r="B9" s="2">
        <v>95557402043.580917</v>
      </c>
      <c r="C9" s="2">
        <v>45031456362.045464</v>
      </c>
      <c r="D9" s="2">
        <v>40135201392.441429</v>
      </c>
      <c r="E9" s="2">
        <v>31843209513.15913</v>
      </c>
      <c r="F9" s="2">
        <v>20498616646.131962</v>
      </c>
      <c r="G9" s="2">
        <v>14402890624.921759</v>
      </c>
      <c r="H9" s="2">
        <v>14049466923.970064</v>
      </c>
      <c r="I9" s="2">
        <v>13122167114.542389</v>
      </c>
      <c r="J9" s="2">
        <v>12772211164.953531</v>
      </c>
      <c r="K9" s="2">
        <v>12649769098.418884</v>
      </c>
      <c r="L9" s="2">
        <v>10147809235.246132</v>
      </c>
      <c r="M9" s="2">
        <v>9692907441.9419975</v>
      </c>
      <c r="N9" s="2">
        <v>9513560660.3095627</v>
      </c>
      <c r="O9" s="2">
        <v>8749651077.30303</v>
      </c>
      <c r="P9" s="2">
        <v>8660630295.5979824</v>
      </c>
      <c r="Q9" s="2">
        <v>8520660513.0428648</v>
      </c>
      <c r="R9" s="2">
        <v>8197267328.9383917</v>
      </c>
      <c r="S9" s="2">
        <v>5448323785.9579868</v>
      </c>
      <c r="T9" s="2">
        <v>3013244984.1346574</v>
      </c>
      <c r="U9" s="2">
        <v>2624433422.9084816</v>
      </c>
      <c r="V9" s="2">
        <v>2020866224.3079908</v>
      </c>
      <c r="W9" s="2">
        <v>1749622281.9389865</v>
      </c>
      <c r="X9" s="2">
        <v>1049773369.1633925</v>
      </c>
      <c r="Y9" s="2">
        <v>1020894103.7777059</v>
      </c>
    </row>
    <row r="10" spans="1:27" x14ac:dyDescent="0.25">
      <c r="A10" s="2">
        <v>2033</v>
      </c>
      <c r="B10" s="2">
        <v>91268704239.50705</v>
      </c>
      <c r="C10" s="2">
        <v>43010406146.321999</v>
      </c>
      <c r="D10" s="2">
        <v>38333899280.865356</v>
      </c>
      <c r="E10" s="2">
        <v>30414059077.994869</v>
      </c>
      <c r="F10" s="2">
        <v>19578621226.449829</v>
      </c>
      <c r="G10" s="2">
        <v>13756476594.460289</v>
      </c>
      <c r="H10" s="2">
        <v>13418914851.010202</v>
      </c>
      <c r="I10" s="2">
        <v>12533233048.88872</v>
      </c>
      <c r="J10" s="2">
        <v>12198983421.15905</v>
      </c>
      <c r="K10" s="2">
        <v>12082036659.128744</v>
      </c>
      <c r="L10" s="2">
        <v>9692366891.1406269</v>
      </c>
      <c r="M10" s="2">
        <v>9257881478.7791519</v>
      </c>
      <c r="N10" s="2">
        <v>9086583933.8579044</v>
      </c>
      <c r="O10" s="2">
        <v>8356959265.2702141</v>
      </c>
      <c r="P10" s="2">
        <v>8271933812.2665606</v>
      </c>
      <c r="Q10" s="2">
        <v>8138245993.0784159</v>
      </c>
      <c r="R10" s="2">
        <v>7829366971.2351627</v>
      </c>
      <c r="S10" s="2">
        <v>5203798361.8985844</v>
      </c>
      <c r="T10" s="2">
        <v>2878007976.1140633</v>
      </c>
      <c r="U10" s="2">
        <v>2506646609.7777476</v>
      </c>
      <c r="V10" s="2">
        <v>1930168022.4610627</v>
      </c>
      <c r="W10" s="2">
        <v>1671097739.8518305</v>
      </c>
      <c r="X10" s="2">
        <v>1002658643.911099</v>
      </c>
      <c r="Y10" s="2">
        <v>975075504.61710298</v>
      </c>
    </row>
    <row r="11" spans="1:27" x14ac:dyDescent="0.25">
      <c r="A11" s="2">
        <v>2034</v>
      </c>
      <c r="B11" s="2">
        <v>81245935846.720169</v>
      </c>
      <c r="C11" s="2">
        <v>38287173326.526123</v>
      </c>
      <c r="D11" s="2">
        <v>34124221962.819016</v>
      </c>
      <c r="E11" s="2">
        <v>27074107310.701916</v>
      </c>
      <c r="F11" s="2">
        <v>17428574420.834442</v>
      </c>
      <c r="G11" s="2">
        <v>12245794702.392992</v>
      </c>
      <c r="H11" s="2">
        <v>11945302655.51696</v>
      </c>
      <c r="I11" s="2">
        <v>11156882928.56502</v>
      </c>
      <c r="J11" s="2">
        <v>10859339273.950935</v>
      </c>
      <c r="K11" s="2">
        <v>10755235143.136696</v>
      </c>
      <c r="L11" s="2">
        <v>8627989464.7569637</v>
      </c>
      <c r="M11" s="2">
        <v>8241217523.2333775</v>
      </c>
      <c r="N11" s="2">
        <v>8088731197.7033157</v>
      </c>
      <c r="O11" s="2">
        <v>7439231026.6402969</v>
      </c>
      <c r="P11" s="2">
        <v>7363542732.8529186</v>
      </c>
      <c r="Q11" s="2">
        <v>7244535981.614892</v>
      </c>
      <c r="R11" s="2">
        <v>6969576833.2169933</v>
      </c>
      <c r="S11" s="2">
        <v>4632337791.9401855</v>
      </c>
      <c r="T11" s="2">
        <v>2561956514.4707818</v>
      </c>
      <c r="U11" s="2">
        <v>2231376585.7130075</v>
      </c>
      <c r="V11" s="2">
        <v>1718204598.530731</v>
      </c>
      <c r="W11" s="2">
        <v>1487584390.4753373</v>
      </c>
      <c r="X11" s="2">
        <v>892550634.28520286</v>
      </c>
      <c r="Y11" s="2">
        <v>867996566.33601546</v>
      </c>
    </row>
    <row r="12" spans="1:27" x14ac:dyDescent="0.25">
      <c r="A12" s="2">
        <v>2035</v>
      </c>
      <c r="B12" s="2">
        <v>66930967362.515701</v>
      </c>
      <c r="C12" s="2">
        <v>31541239836.97274</v>
      </c>
      <c r="D12" s="2">
        <v>28111771532.469616</v>
      </c>
      <c r="E12" s="2">
        <v>22303838018.440285</v>
      </c>
      <c r="F12" s="2">
        <v>14357780897.949215</v>
      </c>
      <c r="G12" s="2">
        <v>10088170897.560295</v>
      </c>
      <c r="H12" s="2">
        <v>9840623458.14007</v>
      </c>
      <c r="I12" s="2">
        <v>9191117800.2553501</v>
      </c>
      <c r="J12" s="2">
        <v>8945999266.8991623</v>
      </c>
      <c r="K12" s="2">
        <v>8860237559.4461727</v>
      </c>
      <c r="L12" s="2">
        <v>7107797765.5308161</v>
      </c>
      <c r="M12" s="2">
        <v>6789172348.4552994</v>
      </c>
      <c r="N12" s="2">
        <v>6663553052.290904</v>
      </c>
      <c r="O12" s="2">
        <v>6128490291.3254614</v>
      </c>
      <c r="P12" s="2">
        <v>6066137748.1685352</v>
      </c>
      <c r="Q12" s="2">
        <v>5968099158.2991457</v>
      </c>
      <c r="R12" s="2">
        <v>5741585898.335413</v>
      </c>
      <c r="S12" s="2">
        <v>3816152110.6660128</v>
      </c>
      <c r="T12" s="2">
        <v>2110557605.9550142</v>
      </c>
      <c r="U12" s="2">
        <v>1838223560.0510728</v>
      </c>
      <c r="V12" s="2">
        <v>1415468905.7105281</v>
      </c>
      <c r="W12" s="2">
        <v>1225482373.3673809</v>
      </c>
      <c r="X12" s="2">
        <v>735289424.02042902</v>
      </c>
      <c r="Y12" s="2">
        <v>715061611.96562576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 t="shared" ref="AA16:AA23" si="0"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si="0"/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4889.1363574465686</v>
      </c>
      <c r="C19" s="2">
        <f>C8/'Output-Calculation-sheet'!C7*'Output-Calculation-sheet'!C25</f>
        <v>6518.9825175647929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2375.299222636756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1738.6078702742525</v>
      </c>
      <c r="N19" s="2">
        <f>N8/'Output-Calculation-sheet'!N7*'Output-Calculation-sheet'!N25</f>
        <v>905.75729093313566</v>
      </c>
      <c r="O19" s="2">
        <f>O8/'Output-Calculation-sheet'!O7*'Output-Calculation-sheet'!O25</f>
        <v>987.75204394960122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394.85630956985534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200.97166105838707</v>
      </c>
      <c r="Y19" s="2">
        <f>Y8/'Output-Calculation-sheet'!Y7*'Output-Calculation-sheet'!Y25</f>
        <v>0</v>
      </c>
      <c r="AA19" s="2">
        <f t="shared" si="0"/>
        <v>18.011363273433346</v>
      </c>
    </row>
    <row r="20" spans="1:27" x14ac:dyDescent="0.25">
      <c r="A20" s="2">
        <v>2032</v>
      </c>
      <c r="B20" s="2">
        <f>B9/'Output-Calculation-sheet'!B8*'Output-Calculation-sheet'!B26</f>
        <v>6008.0128273196578</v>
      </c>
      <c r="C20" s="2">
        <f>C9/'Output-Calculation-sheet'!C8*'Output-Calculation-sheet'!C26</f>
        <v>6924.7056472132463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2492.9234382763029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1820.4036064889954</v>
      </c>
      <c r="N20" s="2">
        <f>N9/'Output-Calculation-sheet'!N8*'Output-Calculation-sheet'!N26</f>
        <v>1035.4673755060783</v>
      </c>
      <c r="O20" s="2">
        <f>O9/'Output-Calculation-sheet'!O8*'Output-Calculation-sheet'!O26</f>
        <v>1071.1940310236323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468.07597103835923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210.28024888020943</v>
      </c>
      <c r="Y20" s="2">
        <f>Y9/'Output-Calculation-sheet'!Y8*'Output-Calculation-sheet'!Y26</f>
        <v>0</v>
      </c>
      <c r="AA20" s="2">
        <f t="shared" si="0"/>
        <v>20.031063145746479</v>
      </c>
    </row>
    <row r="21" spans="1:27" x14ac:dyDescent="0.25">
      <c r="A21" s="2">
        <v>2033</v>
      </c>
      <c r="B21" s="2">
        <f>B10/'Output-Calculation-sheet'!B9*'Output-Calculation-sheet'!B27</f>
        <v>7221.5593839661979</v>
      </c>
      <c r="C21" s="2">
        <f>C10/'Output-Calculation-sheet'!C9*'Output-Calculation-sheet'!C27</f>
        <v>6795.1511653536782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2431.6993078035002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21.099950043615475</v>
      </c>
      <c r="M21" s="2">
        <f>M10/'Output-Calculation-sheet'!M9*'Output-Calculation-sheet'!M27</f>
        <v>1784.7933017853193</v>
      </c>
      <c r="N21" s="2">
        <f>N10/'Output-Calculation-sheet'!N9*'Output-Calculation-sheet'!N27</f>
        <v>1090.9857858307503</v>
      </c>
      <c r="O21" s="2">
        <f>O10/'Output-Calculation-sheet'!O9*'Output-Calculation-sheet'!O27</f>
        <v>1062.7460245050786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506.96607084786007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206.61625835458256</v>
      </c>
      <c r="Y21" s="2">
        <f>Y10/'Output-Calculation-sheet'!Y9*'Output-Calculation-sheet'!Y27</f>
        <v>0</v>
      </c>
      <c r="AA21" s="2">
        <f t="shared" si="0"/>
        <v>21.121617248490583</v>
      </c>
    </row>
    <row r="22" spans="1:27" x14ac:dyDescent="0.25">
      <c r="A22" s="2">
        <v>2034</v>
      </c>
      <c r="B22" s="2">
        <f>B11/'Output-Calculation-sheet'!B10*'Output-Calculation-sheet'!B28</f>
        <v>7924.5750331214649</v>
      </c>
      <c r="C22" s="2">
        <f>C11/'Output-Calculation-sheet'!C10*'Output-Calculation-sheet'!C28</f>
        <v>6242.1842386536637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2215.2722471873008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126.88924565519173</v>
      </c>
      <c r="M22" s="2">
        <f>M11/'Output-Calculation-sheet'!M10*'Output-Calculation-sheet'!M28</f>
        <v>1628.4683688440564</v>
      </c>
      <c r="N22" s="2">
        <f>N11/'Output-Calculation-sheet'!N10*'Output-Calculation-sheet'!N28</f>
        <v>1037.5354193481678</v>
      </c>
      <c r="O22" s="2">
        <f>O11/'Output-Calculation-sheet'!O10*'Output-Calculation-sheet'!O28</f>
        <v>990.35420542130464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480.95821464931868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201.02094617619861</v>
      </c>
      <c r="Y22" s="2">
        <f>Y11/'Output-Calculation-sheet'!Y10*'Output-Calculation-sheet'!Y28</f>
        <v>0</v>
      </c>
      <c r="AA22" s="2">
        <f t="shared" si="0"/>
        <v>20.84725791905667</v>
      </c>
    </row>
    <row r="23" spans="1:27" x14ac:dyDescent="0.25">
      <c r="A23" s="2">
        <v>2035</v>
      </c>
      <c r="B23" s="2">
        <f>B12/'Output-Calculation-sheet'!B11*'Output-Calculation-sheet'!B29</f>
        <v>8439.4749467032088</v>
      </c>
      <c r="C23" s="2">
        <f>C12/'Output-Calculation-sheet'!C11*'Output-Calculation-sheet'!C29</f>
        <v>5285.4305740482832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1872.3980842283408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193.66031883118345</v>
      </c>
      <c r="M23" s="2">
        <f>M12/'Output-Calculation-sheet'!M11*'Output-Calculation-sheet'!M29</f>
        <v>1383.0287901869108</v>
      </c>
      <c r="N23" s="2">
        <f>N12/'Output-Calculation-sheet'!N11*'Output-Calculation-sheet'!N29</f>
        <v>893.84958539463912</v>
      </c>
      <c r="O23" s="2">
        <f>O12/'Output-Calculation-sheet'!O11*'Output-Calculation-sheet'!O29</f>
        <v>857.8374809513532</v>
      </c>
      <c r="P23" s="2">
        <f>P12/'Output-Calculation-sheet'!P11*'Output-Calculation-sheet'!P29</f>
        <v>0</v>
      </c>
      <c r="Q23" s="2">
        <f>Q12/'Output-Calculation-sheet'!Q11*'Output-Calculation-sheet'!Q29</f>
        <v>50.384010447322829</v>
      </c>
      <c r="R23" s="2">
        <f>R12/'Output-Calculation-sheet'!R11*'Output-Calculation-sheet'!R29</f>
        <v>0</v>
      </c>
      <c r="S23" s="2">
        <f>S12/'Output-Calculation-sheet'!S11*'Output-Calculation-sheet'!S29</f>
        <v>416.64370032557468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182.77762216881106</v>
      </c>
      <c r="Y23" s="2">
        <f>Y12/'Output-Calculation-sheet'!Y11*'Output-Calculation-sheet'!Y29</f>
        <v>0</v>
      </c>
      <c r="AA23" s="2">
        <f t="shared" si="0"/>
        <v>19.575485113285627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 t="shared" ref="AA27:AA34" si="1"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si="1"/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24044.114502004693</v>
      </c>
      <c r="C30" s="2">
        <f>C8/'Output-Calculation-sheet'!C7*'Output-Calculation-sheet'!C16</f>
        <v>0</v>
      </c>
      <c r="D30" s="2">
        <f>D8/'Output-Calculation-sheet'!D7*'Output-Calculation-sheet'!D16</f>
        <v>5416.9071970922378</v>
      </c>
      <c r="E30" s="2">
        <f>E8/'Output-Calculation-sheet'!E7*'Output-Calculation-sheet'!E16</f>
        <v>6788.2500464111763</v>
      </c>
      <c r="F30" s="2">
        <f>F8/'Output-Calculation-sheet'!F7*'Output-Calculation-sheet'!F16</f>
        <v>3315.3806941997746</v>
      </c>
      <c r="G30" s="2">
        <f>G8/'Output-Calculation-sheet'!G7*'Output-Calculation-sheet'!G16</f>
        <v>2020.3499440780333</v>
      </c>
      <c r="H30" s="2">
        <f>H8/'Output-Calculation-sheet'!H7*'Output-Calculation-sheet'!H16</f>
        <v>0</v>
      </c>
      <c r="I30" s="2">
        <f>I8/'Output-Calculation-sheet'!I7*'Output-Calculation-sheet'!I16</f>
        <v>1901.9101180597727</v>
      </c>
      <c r="J30" s="2">
        <f>J8/'Output-Calculation-sheet'!J7*'Output-Calculation-sheet'!J16</f>
        <v>2038.7654193853082</v>
      </c>
      <c r="K30" s="2">
        <f>K8/'Output-Calculation-sheet'!K7*'Output-Calculation-sheet'!K16</f>
        <v>1973.2957559470351</v>
      </c>
      <c r="L30" s="2">
        <f>L8/'Output-Calculation-sheet'!L7*'Output-Calculation-sheet'!L16</f>
        <v>2181.1646535790683</v>
      </c>
      <c r="M30" s="2">
        <f>M8/'Output-Calculation-sheet'!M7*'Output-Calculation-sheet'!M16</f>
        <v>0</v>
      </c>
      <c r="N30" s="2">
        <f>N8/'Output-Calculation-sheet'!N7*'Output-Calculation-sheet'!N16</f>
        <v>978.09257466205395</v>
      </c>
      <c r="O30" s="2">
        <f>O8/'Output-Calculation-sheet'!O7*'Output-Calculation-sheet'!O16</f>
        <v>0</v>
      </c>
      <c r="P30" s="2">
        <f>P8/'Output-Calculation-sheet'!P7*'Output-Calculation-sheet'!P16</f>
        <v>1867.1851501582817</v>
      </c>
      <c r="Q30" s="2">
        <f>Q8/'Output-Calculation-sheet'!Q7*'Output-Calculation-sheet'!Q16</f>
        <v>1831.8011357393839</v>
      </c>
      <c r="R30" s="2">
        <f>R8/'Output-Calculation-sheet'!R7*'Output-Calculation-sheet'!R16</f>
        <v>1625.583108977421</v>
      </c>
      <c r="S30" s="2">
        <f>S8/'Output-Calculation-sheet'!S7*'Output-Calculation-sheet'!S16</f>
        <v>860.96054034796646</v>
      </c>
      <c r="T30" s="2">
        <f>T8/'Output-Calculation-sheet'!T7*'Output-Calculation-sheet'!T16</f>
        <v>614.00694331968782</v>
      </c>
      <c r="U30" s="2">
        <f>U8/'Output-Calculation-sheet'!U7*'Output-Calculation-sheet'!U16</f>
        <v>473.76938489922293</v>
      </c>
      <c r="V30" s="2">
        <f>V8/'Output-Calculation-sheet'!V7*'Output-Calculation-sheet'!V16</f>
        <v>613.43661406737135</v>
      </c>
      <c r="W30" s="2">
        <f>W8/'Output-Calculation-sheet'!W7*'Output-Calculation-sheet'!W16</f>
        <v>295.35719163419338</v>
      </c>
      <c r="X30" s="2">
        <f>X8/'Output-Calculation-sheet'!X7*'Output-Calculation-sheet'!X16</f>
        <v>0</v>
      </c>
      <c r="Y30" s="2">
        <f>Y8/'Output-Calculation-sheet'!Y7*'Output-Calculation-sheet'!Y16</f>
        <v>201.44004385995115</v>
      </c>
      <c r="AA30" s="2">
        <f t="shared" si="1"/>
        <v>59.041771018422637</v>
      </c>
    </row>
    <row r="31" spans="1:27" x14ac:dyDescent="0.25">
      <c r="A31" s="2">
        <v>2032</v>
      </c>
      <c r="B31" s="2">
        <f>B9/'Output-Calculation-sheet'!B8*'Output-Calculation-sheet'!B17</f>
        <v>24343.598628689404</v>
      </c>
      <c r="C31" s="2">
        <f>C9/'Output-Calculation-sheet'!C8*'Output-Calculation-sheet'!C17</f>
        <v>0</v>
      </c>
      <c r="D31" s="2">
        <f>D9/'Output-Calculation-sheet'!D8*'Output-Calculation-sheet'!D17</f>
        <v>5571.7473689170611</v>
      </c>
      <c r="E31" s="2">
        <f>E9/'Output-Calculation-sheet'!E8*'Output-Calculation-sheet'!E17</f>
        <v>6998.8507673334461</v>
      </c>
      <c r="F31" s="2">
        <f>F9/'Output-Calculation-sheet'!F8*'Output-Calculation-sheet'!F17</f>
        <v>3414.8731708835107</v>
      </c>
      <c r="G31" s="2">
        <f>G9/'Output-Calculation-sheet'!G8*'Output-Calculation-sheet'!G17</f>
        <v>2078.724615686654</v>
      </c>
      <c r="H31" s="2">
        <f>H9/'Output-Calculation-sheet'!H8*'Output-Calculation-sheet'!H17</f>
        <v>0</v>
      </c>
      <c r="I31" s="2">
        <f>I9/'Output-Calculation-sheet'!I8*'Output-Calculation-sheet'!I17</f>
        <v>1955.8835051124665</v>
      </c>
      <c r="J31" s="2">
        <f>J9/'Output-Calculation-sheet'!J8*'Output-Calculation-sheet'!J17</f>
        <v>2098.3272376802693</v>
      </c>
      <c r="K31" s="2">
        <f>K9/'Output-Calculation-sheet'!K8*'Output-Calculation-sheet'!K17</f>
        <v>2029.3771158217248</v>
      </c>
      <c r="L31" s="2">
        <f>L9/'Output-Calculation-sheet'!L8*'Output-Calculation-sheet'!L17</f>
        <v>2242.3891640928159</v>
      </c>
      <c r="M31" s="2">
        <f>M9/'Output-Calculation-sheet'!M8*'Output-Calculation-sheet'!M17</f>
        <v>0</v>
      </c>
      <c r="N31" s="2">
        <f>N9/'Output-Calculation-sheet'!N8*'Output-Calculation-sheet'!N17</f>
        <v>945.47642369170364</v>
      </c>
      <c r="O31" s="2">
        <f>O9/'Output-Calculation-sheet'!O8*'Output-Calculation-sheet'!O17</f>
        <v>0</v>
      </c>
      <c r="P31" s="2">
        <f>P9/'Output-Calculation-sheet'!P8*'Output-Calculation-sheet'!P17</f>
        <v>1931.5618461855095</v>
      </c>
      <c r="Q31" s="2">
        <f>Q9/'Output-Calculation-sheet'!Q8*'Output-Calculation-sheet'!Q17</f>
        <v>1888.983879200488</v>
      </c>
      <c r="R31" s="2">
        <f>R9/'Output-Calculation-sheet'!R8*'Output-Calculation-sheet'!R17</f>
        <v>1690.5851954856171</v>
      </c>
      <c r="S31" s="2">
        <f>S9/'Output-Calculation-sheet'!S8*'Output-Calculation-sheet'!S17</f>
        <v>846.27307148092893</v>
      </c>
      <c r="T31" s="2">
        <f>T9/'Output-Calculation-sheet'!T8*'Output-Calculation-sheet'!T17</f>
        <v>633.33192430716088</v>
      </c>
      <c r="U31" s="2">
        <f>U9/'Output-Calculation-sheet'!U8*'Output-Calculation-sheet'!U17</f>
        <v>490.38302456149682</v>
      </c>
      <c r="V31" s="2">
        <f>V9/'Output-Calculation-sheet'!V8*'Output-Calculation-sheet'!V17</f>
        <v>623.60064996538085</v>
      </c>
      <c r="W31" s="2">
        <f>W9/'Output-Calculation-sheet'!W8*'Output-Calculation-sheet'!W17</f>
        <v>303.9392687197489</v>
      </c>
      <c r="X31" s="2">
        <f>X9/'Output-Calculation-sheet'!X8*'Output-Calculation-sheet'!X17</f>
        <v>0</v>
      </c>
      <c r="Y31" s="2">
        <f>Y9/'Output-Calculation-sheet'!Y8*'Output-Calculation-sheet'!Y17</f>
        <v>207.19912787094151</v>
      </c>
      <c r="AA31" s="2">
        <f t="shared" si="1"/>
        <v>60.295105985686334</v>
      </c>
    </row>
    <row r="32" spans="1:27" x14ac:dyDescent="0.25">
      <c r="A32" s="2">
        <v>2033</v>
      </c>
      <c r="B32" s="2">
        <f>B10/'Output-Calculation-sheet'!B9*'Output-Calculation-sheet'!B18</f>
        <v>22877.922935767569</v>
      </c>
      <c r="C32" s="2">
        <f>C10/'Output-Calculation-sheet'!C9*'Output-Calculation-sheet'!C18</f>
        <v>0</v>
      </c>
      <c r="D32" s="2">
        <f>D10/'Output-Calculation-sheet'!D9*'Output-Calculation-sheet'!D18</f>
        <v>5352.3225116184522</v>
      </c>
      <c r="E32" s="2">
        <f>E10/'Output-Calculation-sheet'!E9*'Output-Calculation-sheet'!E18</f>
        <v>6731.7109316079886</v>
      </c>
      <c r="F32" s="2">
        <f>F10/'Output-Calculation-sheet'!F9*'Output-Calculation-sheet'!F18</f>
        <v>3278.7229231142314</v>
      </c>
      <c r="G32" s="2">
        <f>G10/'Output-Calculation-sheet'!G9*'Output-Calculation-sheet'!G18</f>
        <v>1994.7278575617522</v>
      </c>
      <c r="H32" s="2">
        <f>H10/'Output-Calculation-sheet'!H9*'Output-Calculation-sheet'!H18</f>
        <v>0</v>
      </c>
      <c r="I32" s="2">
        <f>I10/'Output-Calculation-sheet'!I9*'Output-Calculation-sheet'!I18</f>
        <v>1879.6796779781548</v>
      </c>
      <c r="J32" s="2">
        <f>J10/'Output-Calculation-sheet'!J9*'Output-Calculation-sheet'!J18</f>
        <v>2014.3908464528531</v>
      </c>
      <c r="K32" s="2">
        <f>K10/'Output-Calculation-sheet'!K9*'Output-Calculation-sheet'!K18</f>
        <v>1953.8097751015111</v>
      </c>
      <c r="L32" s="2">
        <f>L10/'Output-Calculation-sheet'!L9*'Output-Calculation-sheet'!L18</f>
        <v>2146.3012747141252</v>
      </c>
      <c r="M32" s="2">
        <f>M10/'Output-Calculation-sheet'!M9*'Output-Calculation-sheet'!M18</f>
        <v>0</v>
      </c>
      <c r="N32" s="2">
        <f>N10/'Output-Calculation-sheet'!N9*'Output-Calculation-sheet'!N18</f>
        <v>835.33028215866148</v>
      </c>
      <c r="O32" s="2">
        <f>O10/'Output-Calculation-sheet'!O9*'Output-Calculation-sheet'!O18</f>
        <v>0</v>
      </c>
      <c r="P32" s="2">
        <f>P10/'Output-Calculation-sheet'!P9*'Output-Calculation-sheet'!P18</f>
        <v>1882.2317030060187</v>
      </c>
      <c r="Q32" s="2">
        <f>Q10/'Output-Calculation-sheet'!Q9*'Output-Calculation-sheet'!Q18</f>
        <v>1823.2396513023357</v>
      </c>
      <c r="R32" s="2">
        <f>R10/'Output-Calculation-sheet'!R9*'Output-Calculation-sheet'!R18</f>
        <v>1638.8033640039018</v>
      </c>
      <c r="S32" s="2">
        <f>S10/'Output-Calculation-sheet'!S9*'Output-Calculation-sheet'!S18</f>
        <v>781.06261133234307</v>
      </c>
      <c r="T32" s="2">
        <f>T10/'Output-Calculation-sheet'!T9*'Output-Calculation-sheet'!T18</f>
        <v>606.39587501296796</v>
      </c>
      <c r="U32" s="2">
        <f>U10/'Output-Calculation-sheet'!U9*'Output-Calculation-sheet'!U18</f>
        <v>472.76433188299944</v>
      </c>
      <c r="V32" s="2">
        <f>V10/'Output-Calculation-sheet'!V9*'Output-Calculation-sheet'!V18</f>
        <v>596.47439488844452</v>
      </c>
      <c r="W32" s="2">
        <f>W10/'Output-Calculation-sheet'!W9*'Output-Calculation-sheet'!W18</f>
        <v>291.03104213731115</v>
      </c>
      <c r="X32" s="2">
        <f>X10/'Output-Calculation-sheet'!X9*'Output-Calculation-sheet'!X18</f>
        <v>0</v>
      </c>
      <c r="Y32" s="2">
        <f>Y10/'Output-Calculation-sheet'!Y9*'Output-Calculation-sheet'!Y18</f>
        <v>199.16285096020471</v>
      </c>
      <c r="AA32" s="2">
        <f t="shared" si="1"/>
        <v>57.356084840601824</v>
      </c>
    </row>
    <row r="33" spans="1:27" x14ac:dyDescent="0.25">
      <c r="A33" s="2">
        <v>2034</v>
      </c>
      <c r="B33" s="2">
        <f>B11/'Output-Calculation-sheet'!B10*'Output-Calculation-sheet'!B19</f>
        <v>19871.473443775951</v>
      </c>
      <c r="C33" s="2">
        <f>C11/'Output-Calculation-sheet'!C10*'Output-Calculation-sheet'!C19</f>
        <v>0</v>
      </c>
      <c r="D33" s="2">
        <f>D11/'Output-Calculation-sheet'!D10*'Output-Calculation-sheet'!D19</f>
        <v>4785.6248409642812</v>
      </c>
      <c r="E33" s="2">
        <f>E11/'Output-Calculation-sheet'!E10*'Output-Calculation-sheet'!E19</f>
        <v>6023.7832945356149</v>
      </c>
      <c r="F33" s="2">
        <f>F11/'Output-Calculation-sheet'!F10*'Output-Calculation-sheet'!F19</f>
        <v>2932.2995509684388</v>
      </c>
      <c r="G33" s="2">
        <f>G11/'Output-Calculation-sheet'!G10*'Output-Calculation-sheet'!G19</f>
        <v>1780.0285719846288</v>
      </c>
      <c r="H33" s="2">
        <f>H11/'Output-Calculation-sheet'!H10*'Output-Calculation-sheet'!H19</f>
        <v>0</v>
      </c>
      <c r="I33" s="2">
        <f>I11/'Output-Calculation-sheet'!I10*'Output-Calculation-sheet'!I19</f>
        <v>1682.2115942150249</v>
      </c>
      <c r="J33" s="2">
        <f>J11/'Output-Calculation-sheet'!J10*'Output-Calculation-sheet'!J19</f>
        <v>1796.2235011233356</v>
      </c>
      <c r="K33" s="2">
        <f>K11/'Output-Calculation-sheet'!K10*'Output-Calculation-sheet'!K19</f>
        <v>1752.2346358797474</v>
      </c>
      <c r="L33" s="2">
        <f>L11/'Output-Calculation-sheet'!L10*'Output-Calculation-sheet'!L19</f>
        <v>1883.6982609045704</v>
      </c>
      <c r="M33" s="2">
        <f>M11/'Output-Calculation-sheet'!M10*'Output-Calculation-sheet'!M19</f>
        <v>0</v>
      </c>
      <c r="N33" s="2">
        <f>N11/'Output-Calculation-sheet'!N10*'Output-Calculation-sheet'!N19</f>
        <v>709.10243120810651</v>
      </c>
      <c r="O33" s="2">
        <f>O11/'Output-Calculation-sheet'!O10*'Output-Calculation-sheet'!O19</f>
        <v>0</v>
      </c>
      <c r="P33" s="2">
        <f>P11/'Output-Calculation-sheet'!P10*'Output-Calculation-sheet'!P19</f>
        <v>1715.8263151658348</v>
      </c>
      <c r="Q33" s="2">
        <f>Q11/'Output-Calculation-sheet'!Q10*'Output-Calculation-sheet'!Q19</f>
        <v>1637.3131398138967</v>
      </c>
      <c r="R33" s="2">
        <f>R11/'Output-Calculation-sheet'!R10*'Output-Calculation-sheet'!R19</f>
        <v>1483.8242263564027</v>
      </c>
      <c r="S33" s="2">
        <f>S11/'Output-Calculation-sheet'!S10*'Output-Calculation-sheet'!S19</f>
        <v>683.92464755036303</v>
      </c>
      <c r="T33" s="2">
        <f>T11/'Output-Calculation-sheet'!T10*'Output-Calculation-sheet'!T19</f>
        <v>541.35052038322294</v>
      </c>
      <c r="U33" s="2">
        <f>U11/'Output-Calculation-sheet'!U10*'Output-Calculation-sheet'!U19</f>
        <v>425.59203744351868</v>
      </c>
      <c r="V33" s="2">
        <f>V11/'Output-Calculation-sheet'!V10*'Output-Calculation-sheet'!V19</f>
        <v>529.69156387833107</v>
      </c>
      <c r="W33" s="2">
        <f>W11/'Output-Calculation-sheet'!W10*'Output-Calculation-sheet'!W19</f>
        <v>259.84052808430278</v>
      </c>
      <c r="X33" s="2">
        <f>X11/'Output-Calculation-sheet'!X10*'Output-Calculation-sheet'!X19</f>
        <v>0</v>
      </c>
      <c r="Y33" s="2">
        <f>Y11/'Output-Calculation-sheet'!Y10*'Output-Calculation-sheet'!Y19</f>
        <v>178.53066669330806</v>
      </c>
      <c r="AA33" s="2">
        <f t="shared" si="1"/>
        <v>50.672573770928871</v>
      </c>
    </row>
    <row r="34" spans="1:27" x14ac:dyDescent="0.25">
      <c r="A34" s="2">
        <v>2035</v>
      </c>
      <c r="B34" s="2">
        <f>B12/'Output-Calculation-sheet'!B11*'Output-Calculation-sheet'!B20</f>
        <v>15744.35684895128</v>
      </c>
      <c r="C34" s="2">
        <f>C12/'Output-Calculation-sheet'!C11*'Output-Calculation-sheet'!C20</f>
        <v>0</v>
      </c>
      <c r="D34" s="2">
        <f>D12/'Output-Calculation-sheet'!D11*'Output-Calculation-sheet'!D20</f>
        <v>3966.328898338666</v>
      </c>
      <c r="E34" s="2">
        <f>E12/'Output-Calculation-sheet'!E11*'Output-Calculation-sheet'!E20</f>
        <v>4992.6041616755447</v>
      </c>
      <c r="F34" s="2">
        <f>F12/'Output-Calculation-sheet'!F11*'Output-Calculation-sheet'!F20</f>
        <v>2426.2756432794217</v>
      </c>
      <c r="G34" s="2">
        <f>G12/'Output-Calculation-sheet'!G11*'Output-Calculation-sheet'!G20</f>
        <v>1477.8498622154748</v>
      </c>
      <c r="H34" s="2">
        <f>H12/'Output-Calculation-sheet'!H11*'Output-Calculation-sheet'!H20</f>
        <v>0</v>
      </c>
      <c r="I34" s="2">
        <f>I12/'Output-Calculation-sheet'!I11*'Output-Calculation-sheet'!I20</f>
        <v>1393.9004613024431</v>
      </c>
      <c r="J34" s="2">
        <f>J12/'Output-Calculation-sheet'!J11*'Output-Calculation-sheet'!J20</f>
        <v>1483.7060161376455</v>
      </c>
      <c r="K34" s="2">
        <f>K12/'Output-Calculation-sheet'!K11*'Output-Calculation-sheet'!K20</f>
        <v>1454.0081967869116</v>
      </c>
      <c r="L34" s="2">
        <f>L12/'Output-Calculation-sheet'!L11*'Output-Calculation-sheet'!L20</f>
        <v>1534.2108462940794</v>
      </c>
      <c r="M34" s="2">
        <f>M12/'Output-Calculation-sheet'!M11*'Output-Calculation-sheet'!M20</f>
        <v>0</v>
      </c>
      <c r="N34" s="2">
        <f>N12/'Output-Calculation-sheet'!N11*'Output-Calculation-sheet'!N20</f>
        <v>562.75688461232892</v>
      </c>
      <c r="O34" s="2">
        <f>O12/'Output-Calculation-sheet'!O11*'Output-Calculation-sheet'!O20</f>
        <v>0</v>
      </c>
      <c r="P34" s="2">
        <f>P12/'Output-Calculation-sheet'!P11*'Output-Calculation-sheet'!P20</f>
        <v>1443.3046700314753</v>
      </c>
      <c r="Q34" s="2">
        <f>Q12/'Output-Calculation-sheet'!Q11*'Output-Calculation-sheet'!Q20</f>
        <v>1332.6989310327788</v>
      </c>
      <c r="R34" s="2">
        <f>R12/'Output-Calculation-sheet'!R11*'Output-Calculation-sheet'!R20</f>
        <v>1239.8848632107979</v>
      </c>
      <c r="S34" s="2">
        <f>S12/'Output-Calculation-sheet'!S11*'Output-Calculation-sheet'!S20</f>
        <v>556.1910308103196</v>
      </c>
      <c r="T34" s="2">
        <f>T12/'Output-Calculation-sheet'!T11*'Output-Calculation-sheet'!T20</f>
        <v>447.87330456506413</v>
      </c>
      <c r="U34" s="2">
        <f>U12/'Output-Calculation-sheet'!U11*'Output-Calculation-sheet'!U20</f>
        <v>352.76040160293775</v>
      </c>
      <c r="V34" s="2">
        <f>V12/'Output-Calculation-sheet'!V11*'Output-Calculation-sheet'!V20</f>
        <v>437.66328343261711</v>
      </c>
      <c r="W34" s="2">
        <f>W12/'Output-Calculation-sheet'!W11*'Output-Calculation-sheet'!W20</f>
        <v>214.84888799173424</v>
      </c>
      <c r="X34" s="2">
        <f>X12/'Output-Calculation-sheet'!X11*'Output-Calculation-sheet'!X20</f>
        <v>0</v>
      </c>
      <c r="Y34" s="2">
        <f>Y12/'Output-Calculation-sheet'!Y11*'Output-Calculation-sheet'!Y20</f>
        <v>147.81604844393055</v>
      </c>
      <c r="AA34" s="2">
        <f t="shared" si="1"/>
        <v>41.209039240715448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137.3957771090702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122.30293221186265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531.82927625218736</v>
      </c>
      <c r="S52" s="2">
        <f>S8/'Output-Calculation-sheet'!S7*'Output-Calculation-sheet'!S43</f>
        <v>0</v>
      </c>
      <c r="T52" s="2">
        <f>T8/'Output-Calculation-sheet'!T7*'Output-Calculation-sheet'!T43</f>
        <v>428.23831825955364</v>
      </c>
      <c r="U52" s="2">
        <f>U8/'Output-Calculation-sheet'!U7*'Output-Calculation-sheet'!U43</f>
        <v>45.293440238931446</v>
      </c>
      <c r="V52" s="2">
        <f>V8/'Output-Calculation-sheet'!V7*'Output-Calculation-sheet'!V43</f>
        <v>772.23830134115371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2.0372980454127592</v>
      </c>
    </row>
    <row r="53" spans="1:27" x14ac:dyDescent="0.25">
      <c r="A53" s="2">
        <v>2032</v>
      </c>
      <c r="B53" s="2">
        <f>B9/'Output-Calculation-sheet'!B8*'Output-Calculation-sheet'!B44</f>
        <v>1492.4422486743445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281.3611910622019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225.40844748955519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704.70412483768951</v>
      </c>
      <c r="S53" s="2">
        <f>S9/'Output-Calculation-sheet'!S8*'Output-Calculation-sheet'!S44</f>
        <v>0</v>
      </c>
      <c r="T53" s="2">
        <f>T9/'Output-Calculation-sheet'!T8*'Output-Calculation-sheet'!T44</f>
        <v>485.87938245017716</v>
      </c>
      <c r="U53" s="2">
        <f>U9/'Output-Calculation-sheet'!U8*'Output-Calculation-sheet'!U44</f>
        <v>82.446760323896655</v>
      </c>
      <c r="V53" s="2">
        <f>V9/'Output-Calculation-sheet'!V8*'Output-Calculation-sheet'!V44</f>
        <v>814.54097450000359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4.0867831293378689</v>
      </c>
    </row>
    <row r="54" spans="1:27" x14ac:dyDescent="0.25">
      <c r="A54" s="2">
        <v>2033</v>
      </c>
      <c r="B54" s="2">
        <f>B10/'Output-Calculation-sheet'!B9*'Output-Calculation-sheet'!B45</f>
        <v>4276.3804982898355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376.22684475816789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358.81987313461502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211.44102086047306</v>
      </c>
      <c r="Q54" s="2">
        <f>Q10/'Output-Calculation-sheet'!Q9*'Output-Calculation-sheet'!Q45</f>
        <v>0</v>
      </c>
      <c r="R54" s="2">
        <f>R10/'Output-Calculation-sheet'!R9*'Output-Calculation-sheet'!R45</f>
        <v>856.64269337743974</v>
      </c>
      <c r="S54" s="2">
        <f>S10/'Output-Calculation-sheet'!S9*'Output-Calculation-sheet'!S45</f>
        <v>0</v>
      </c>
      <c r="T54" s="2">
        <f>T10/'Output-Calculation-sheet'!T9*'Output-Calculation-sheet'!T45</f>
        <v>515.00750948389225</v>
      </c>
      <c r="U54" s="2">
        <f>U10/'Output-Calculation-sheet'!U9*'Output-Calculation-sheet'!U45</f>
        <v>123.04137393111438</v>
      </c>
      <c r="V54" s="2">
        <f>V10/'Output-Calculation-sheet'!V9*'Output-Calculation-sheet'!V45</f>
        <v>808.34401872622789</v>
      </c>
      <c r="W54" s="2">
        <f>W10/'Output-Calculation-sheet'!W9*'Output-Calculation-sheet'!W45</f>
        <v>13.144885091058642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7.5390487176528245</v>
      </c>
    </row>
    <row r="55" spans="1:27" x14ac:dyDescent="0.25">
      <c r="A55" s="2">
        <v>2034</v>
      </c>
      <c r="B55" s="2">
        <f>B11/'Output-Calculation-sheet'!B10*'Output-Calculation-sheet'!B46</f>
        <v>6820.4544829811848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454.52220655710926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447.18196988322802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361.96423768138749</v>
      </c>
      <c r="Q55" s="2">
        <f>Q11/'Output-Calculation-sheet'!Q10*'Output-Calculation-sheet'!Q46</f>
        <v>0</v>
      </c>
      <c r="R55" s="2">
        <f>R11/'Output-Calculation-sheet'!R10*'Output-Calculation-sheet'!R46</f>
        <v>939.59465905504271</v>
      </c>
      <c r="S55" s="2">
        <f>S11/'Output-Calculation-sheet'!S10*'Output-Calculation-sheet'!S46</f>
        <v>0</v>
      </c>
      <c r="T55" s="2">
        <f>T11/'Output-Calculation-sheet'!T10*'Output-Calculation-sheet'!T46</f>
        <v>488.67898634007383</v>
      </c>
      <c r="U55" s="2">
        <f>U11/'Output-Calculation-sheet'!U10*'Output-Calculation-sheet'!U46</f>
        <v>153.34123913201586</v>
      </c>
      <c r="V55" s="2">
        <f>V11/'Output-Calculation-sheet'!V10*'Output-Calculation-sheet'!V46</f>
        <v>736.46630222953945</v>
      </c>
      <c r="W55" s="2">
        <f>W11/'Output-Calculation-sheet'!W10*'Output-Calculation-sheet'!W46</f>
        <v>20.477390081398266</v>
      </c>
      <c r="X55" s="2">
        <f>X11/'Output-Calculation-sheet'!X10*'Output-Calculation-sheet'!X46</f>
        <v>48.981285780839073</v>
      </c>
      <c r="Y55" s="2">
        <f>Y11/'Output-Calculation-sheet'!Y10*'Output-Calculation-sheet'!Y46</f>
        <v>0</v>
      </c>
      <c r="AA55" s="2">
        <f t="shared" si="3"/>
        <v>10.471662759721818</v>
      </c>
    </row>
    <row r="56" spans="1:27" x14ac:dyDescent="0.25">
      <c r="A56" s="2">
        <v>2035</v>
      </c>
      <c r="B56" s="2">
        <f>B12/'Output-Calculation-sheet'!B11*'Output-Calculation-sheet'!B47</f>
        <v>12282.822317031318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453.26772677631584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438.5614510090229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417.46412120970558</v>
      </c>
      <c r="Q56" s="2">
        <f>Q12/'Output-Calculation-sheet'!Q11*'Output-Calculation-sheet'!Q47</f>
        <v>0</v>
      </c>
      <c r="R56" s="2">
        <f>R12/'Output-Calculation-sheet'!R11*'Output-Calculation-sheet'!R47</f>
        <v>953.53322632609354</v>
      </c>
      <c r="S56" s="2">
        <f>S12/'Output-Calculation-sheet'!S11*'Output-Calculation-sheet'!S47</f>
        <v>0</v>
      </c>
      <c r="T56" s="2">
        <f>T12/'Output-Calculation-sheet'!T11*'Output-Calculation-sheet'!T47</f>
        <v>452.38050853079295</v>
      </c>
      <c r="U56" s="2">
        <f>U12/'Output-Calculation-sheet'!U11*'Output-Calculation-sheet'!U47</f>
        <v>173.24376677383424</v>
      </c>
      <c r="V56" s="2">
        <f>V12/'Output-Calculation-sheet'!V11*'Output-Calculation-sheet'!V47</f>
        <v>617.83828641765865</v>
      </c>
      <c r="W56" s="2">
        <f>W12/'Output-Calculation-sheet'!W11*'Output-Calculation-sheet'!W47</f>
        <v>24.099166366624893</v>
      </c>
      <c r="X56" s="2">
        <f>X12/'Output-Calculation-sheet'!X11*'Output-Calculation-sheet'!X47</f>
        <v>95.113363949992745</v>
      </c>
      <c r="Y56" s="2">
        <f>Y12/'Output-Calculation-sheet'!Y11*'Output-Calculation-sheet'!Y47</f>
        <v>0</v>
      </c>
      <c r="AA56" s="2">
        <f t="shared" si="3"/>
        <v>15.908323934391358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 t="shared" ref="AA60:AA67" si="4"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si="4"/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6.6345528248050494</v>
      </c>
      <c r="C63" s="2">
        <f>C8*'Output-Calculation-sheet'!C52/10^9</f>
        <v>3.3629007366922683</v>
      </c>
      <c r="D63" s="2">
        <f>D8*'Output-Calculation-sheet'!D52/10^9</f>
        <v>1.1748110438550285</v>
      </c>
      <c r="E63" s="2">
        <f>E8*'Output-Calculation-sheet'!E52/10^9</f>
        <v>1.5126733861161523</v>
      </c>
      <c r="F63" s="2">
        <f>F8*'Output-Calculation-sheet'!F52/10^9</f>
        <v>0.62920000643245133</v>
      </c>
      <c r="G63" s="2">
        <f>G8*'Output-Calculation-sheet'!G52/10^9</f>
        <v>0.45146597318625903</v>
      </c>
      <c r="H63" s="2">
        <f>H8*'Output-Calculation-sheet'!H52/10^9</f>
        <v>0.87209963473552488</v>
      </c>
      <c r="I63" s="2">
        <f>I8*'Output-Calculation-sheet'!I52/10^9</f>
        <v>0.40471035512218201</v>
      </c>
      <c r="J63" s="2">
        <f>J8*'Output-Calculation-sheet'!J52/10^9</f>
        <v>0.43507944869596044</v>
      </c>
      <c r="K63" s="2">
        <f>K8*'Output-Calculation-sheet'!K52/10^9</f>
        <v>0.44429187819335902</v>
      </c>
      <c r="L63" s="2">
        <f>L8*'Output-Calculation-sheet'!L52/10^9</f>
        <v>0.46206835600863927</v>
      </c>
      <c r="M63" s="2">
        <f>M8*'Output-Calculation-sheet'!M52/10^9</f>
        <v>0.65944788415952793</v>
      </c>
      <c r="N63" s="2">
        <f>N8*'Output-Calculation-sheet'!N52/10^9</f>
        <v>0.55715730618017512</v>
      </c>
      <c r="O63" s="2">
        <f>O8*'Output-Calculation-sheet'!O52/10^9</f>
        <v>0.57718014328054579</v>
      </c>
      <c r="P63" s="2">
        <f>P8*'Output-Calculation-sheet'!P52/10^9</f>
        <v>0.47835149490784917</v>
      </c>
      <c r="Q63" s="2">
        <f>Q8*'Output-Calculation-sheet'!Q52/10^9</f>
        <v>0.45251672288862471</v>
      </c>
      <c r="R63" s="2">
        <f>R8*'Output-Calculation-sheet'!R52/10^9</f>
        <v>0.38121887858286652</v>
      </c>
      <c r="S63" s="2">
        <f>S8*'Output-Calculation-sheet'!S52/10^9</f>
        <v>0.3505070337368496</v>
      </c>
      <c r="T63" s="2">
        <f>T8*'Output-Calculation-sheet'!T52/10^9</f>
        <v>0.12483245603922064</v>
      </c>
      <c r="U63" s="2">
        <f>U8*'Output-Calculation-sheet'!U52/10^9</f>
        <v>0.12245192848069723</v>
      </c>
      <c r="V63" s="2">
        <f>V8*'Output-Calculation-sheet'!V52/10^9</f>
        <v>0.10974953150181957</v>
      </c>
      <c r="W63" s="2">
        <f>W8*'Output-Calculation-sheet'!W52/10^9</f>
        <v>5.729107771931622E-2</v>
      </c>
      <c r="X63" s="2">
        <f>X8*'Output-Calculation-sheet'!X52/10^9</f>
        <v>9.2583614042444487E-2</v>
      </c>
      <c r="Y63" s="2">
        <f>Y8*'Output-Calculation-sheet'!Y52/10^9</f>
        <v>4.7752773447999428E-2</v>
      </c>
      <c r="AA63" s="2">
        <f t="shared" si="4"/>
        <v>20.394894488810813</v>
      </c>
    </row>
    <row r="64" spans="1:27" x14ac:dyDescent="0.25">
      <c r="A64" s="2">
        <v>2032</v>
      </c>
      <c r="B64" s="2">
        <f>B9*'Output-Calculation-sheet'!B53/10^9</f>
        <v>6.7463641307539239</v>
      </c>
      <c r="C64" s="2">
        <f>C9*'Output-Calculation-sheet'!C53/10^9</f>
        <v>3.4165159787249579</v>
      </c>
      <c r="D64" s="2">
        <f>D9*'Output-Calculation-sheet'!D53/10^9</f>
        <v>1.1967572752542939</v>
      </c>
      <c r="E64" s="2">
        <f>E9*'Output-Calculation-sheet'!E53/10^9</f>
        <v>1.5411314226916044</v>
      </c>
      <c r="F64" s="2">
        <f>F9*'Output-Calculation-sheet'!F53/10^9</f>
        <v>0.64048076713729396</v>
      </c>
      <c r="G64" s="2">
        <f>G9*'Output-Calculation-sheet'!G53/10^9</f>
        <v>0.45980114878739881</v>
      </c>
      <c r="H64" s="2">
        <f>H9*'Output-Calculation-sheet'!H53/10^9</f>
        <v>0.88491313501210189</v>
      </c>
      <c r="I64" s="2">
        <f>I9*'Output-Calculation-sheet'!I53/10^9</f>
        <v>0.41223021505495344</v>
      </c>
      <c r="J64" s="2">
        <f>J9*'Output-Calculation-sheet'!J53/10^9</f>
        <v>0.44302621098084244</v>
      </c>
      <c r="K64" s="2">
        <f>K9*'Output-Calculation-sheet'!K53/10^9</f>
        <v>0.45267704671838654</v>
      </c>
      <c r="L64" s="2">
        <f>L9*'Output-Calculation-sheet'!L53/10^9</f>
        <v>0.47064388313952898</v>
      </c>
      <c r="M64" s="2">
        <f>M9*'Output-Calculation-sheet'!M53/10^9</f>
        <v>0.66929944158295962</v>
      </c>
      <c r="N64" s="2">
        <f>N9*'Output-Calculation-sheet'!N53/10^9</f>
        <v>0.56610380862414955</v>
      </c>
      <c r="O64" s="2">
        <f>O9*'Output-Calculation-sheet'!O53/10^9</f>
        <v>0.58656645501334248</v>
      </c>
      <c r="P64" s="2">
        <f>P9*'Output-Calculation-sheet'!P53/10^9</f>
        <v>0.48766448094545328</v>
      </c>
      <c r="Q64" s="2">
        <f>Q9*'Output-Calculation-sheet'!Q53/10^9</f>
        <v>0.46125681861098478</v>
      </c>
      <c r="R64" s="2">
        <f>R9*'Output-Calculation-sheet'!R53/10^9</f>
        <v>0.38795595971552504</v>
      </c>
      <c r="S64" s="2">
        <f>S9*'Output-Calculation-sheet'!S53/10^9</f>
        <v>0.35645531598090235</v>
      </c>
      <c r="T64" s="2">
        <f>T9*'Output-Calculation-sheet'!T53/10^9</f>
        <v>0.12676001405927392</v>
      </c>
      <c r="U64" s="2">
        <f>U9*'Output-Calculation-sheet'!U53/10^9</f>
        <v>0.12478928552576481</v>
      </c>
      <c r="V64" s="2">
        <f>V9*'Output-Calculation-sheet'!V53/10^9</f>
        <v>0.11107551267722601</v>
      </c>
      <c r="W64" s="2">
        <f>W9*'Output-Calculation-sheet'!W53/10^9</f>
        <v>5.8325922135442368E-2</v>
      </c>
      <c r="X64" s="2">
        <f>X9*'Output-Calculation-sheet'!X53/10^9</f>
        <v>9.4033449751707701E-2</v>
      </c>
      <c r="Y64" s="2">
        <f>Y9*'Output-Calculation-sheet'!Y53/10^9</f>
        <v>4.8666120955803818E-2</v>
      </c>
      <c r="AA64" s="2">
        <f t="shared" si="4"/>
        <v>20.743493799833828</v>
      </c>
    </row>
    <row r="65" spans="1:27" x14ac:dyDescent="0.25">
      <c r="A65" s="2">
        <v>2033</v>
      </c>
      <c r="B65" s="2">
        <f>B10*'Output-Calculation-sheet'!B54/10^9</f>
        <v>6.3934449294601325</v>
      </c>
      <c r="C65" s="2">
        <f>C10*'Output-Calculation-sheet'!C54/10^9</f>
        <v>3.236779101868843</v>
      </c>
      <c r="D65" s="2">
        <f>D10*'Output-Calculation-sheet'!D54/10^9</f>
        <v>1.1371458972686224</v>
      </c>
      <c r="E65" s="2">
        <f>E10*'Output-Calculation-sheet'!E54/10^9</f>
        <v>1.4645551247660893</v>
      </c>
      <c r="F65" s="2">
        <f>F10*'Output-Calculation-sheet'!F54/10^9</f>
        <v>0.60812376048094086</v>
      </c>
      <c r="G65" s="2">
        <f>G10*'Output-Calculation-sheet'!G54/10^9</f>
        <v>0.43670773234584015</v>
      </c>
      <c r="H65" s="2">
        <f>H10*'Output-Calculation-sheet'!H54/10^9</f>
        <v>0.83734920830527304</v>
      </c>
      <c r="I65" s="2">
        <f>I10*'Output-Calculation-sheet'!I54/10^9</f>
        <v>0.39165987617935522</v>
      </c>
      <c r="J65" s="2">
        <f>J10*'Output-Calculation-sheet'!J54/10^9</f>
        <v>0.42069269687426331</v>
      </c>
      <c r="K65" s="2">
        <f>K10*'Output-Calculation-sheet'!K54/10^9</f>
        <v>0.43021037224273462</v>
      </c>
      <c r="L65" s="2">
        <f>L10*'Output-Calculation-sheet'!L54/10^9</f>
        <v>0.44714493958601587</v>
      </c>
      <c r="M65" s="2">
        <f>M10*'Output-Calculation-sheet'!M54/10^9</f>
        <v>0.63347257638493837</v>
      </c>
      <c r="N65" s="2">
        <f>N10*'Output-Calculation-sheet'!N54/10^9</f>
        <v>0.53624003643637541</v>
      </c>
      <c r="O65" s="2">
        <f>O10*'Output-Calculation-sheet'!O54/10^9</f>
        <v>0.55581410619253824</v>
      </c>
      <c r="P65" s="2">
        <f>P10*'Output-Calculation-sheet'!P54/10^9</f>
        <v>0.46363526886802298</v>
      </c>
      <c r="Q65" s="2">
        <f>Q10*'Output-Calculation-sheet'!Q54/10^9</f>
        <v>0.43855066752746324</v>
      </c>
      <c r="R65" s="2">
        <f>R10*'Output-Calculation-sheet'!R54/10^9</f>
        <v>0.36815942206734736</v>
      </c>
      <c r="S65" s="2">
        <f>S10*'Output-Calculation-sheet'!S54/10^9</f>
        <v>0.33795298760831693</v>
      </c>
      <c r="T65" s="2">
        <f>T10*'Output-Calculation-sheet'!T54/10^9</f>
        <v>0.12002375673195528</v>
      </c>
      <c r="U65" s="2">
        <f>U10*'Output-Calculation-sheet'!U54/10^9</f>
        <v>0.11859107622445735</v>
      </c>
      <c r="V65" s="2">
        <f>V10*'Output-Calculation-sheet'!V54/10^9</f>
        <v>0.10485028835703143</v>
      </c>
      <c r="W65" s="2">
        <f>W10*'Output-Calculation-sheet'!W54/10^9</f>
        <v>5.5380051456752795E-2</v>
      </c>
      <c r="X65" s="2">
        <f>X10*'Output-Calculation-sheet'!X54/10^9</f>
        <v>8.9065980666445374E-2</v>
      </c>
      <c r="Y65" s="2">
        <f>Y10*'Output-Calculation-sheet'!Y54/10^9</f>
        <v>4.6262584883193451E-2</v>
      </c>
      <c r="AA65" s="2">
        <f t="shared" si="4"/>
        <v>19.671812442782951</v>
      </c>
    </row>
    <row r="66" spans="1:27" x14ac:dyDescent="0.25">
      <c r="A66" s="2">
        <v>2034</v>
      </c>
      <c r="B66" s="2">
        <f>B11*'Output-Calculation-sheet'!B55/10^9</f>
        <v>5.6403004625014495</v>
      </c>
      <c r="C66" s="2">
        <f>C11*'Output-Calculation-sheet'!C55/10^9</f>
        <v>2.8571063827114838</v>
      </c>
      <c r="D66" s="2">
        <f>D11*'Output-Calculation-sheet'!D55/10^9</f>
        <v>1.006993208754019</v>
      </c>
      <c r="E66" s="2">
        <f>E11*'Output-Calculation-sheet'!E55/10^9</f>
        <v>1.2970859059616551</v>
      </c>
      <c r="F66" s="2">
        <f>F11*'Output-Calculation-sheet'!F55/10^9</f>
        <v>0.53811097656032669</v>
      </c>
      <c r="G66" s="2">
        <f>G11*'Output-Calculation-sheet'!G55/10^9</f>
        <v>0.38648887020985245</v>
      </c>
      <c r="H66" s="2">
        <f>H11*'Output-Calculation-sheet'!H55/10^9</f>
        <v>0.73825237998514204</v>
      </c>
      <c r="I66" s="2">
        <f>I11*'Output-Calculation-sheet'!I55/10^9</f>
        <v>0.34679592682573657</v>
      </c>
      <c r="J66" s="2">
        <f>J11*'Output-Calculation-sheet'!J55/10^9</f>
        <v>0.37222167930190814</v>
      </c>
      <c r="K66" s="2">
        <f>K11*'Output-Calculation-sheet'!K55/10^9</f>
        <v>0.38103654471096848</v>
      </c>
      <c r="L66" s="2">
        <f>L11*'Output-Calculation-sheet'!L55/10^9</f>
        <v>0.39565529003338684</v>
      </c>
      <c r="M66" s="2">
        <f>M11*'Output-Calculation-sheet'!M55/10^9</f>
        <v>0.55862315240704818</v>
      </c>
      <c r="N66" s="2">
        <f>N11*'Output-Calculation-sheet'!N55/10^9</f>
        <v>0.47316502564022417</v>
      </c>
      <c r="O66" s="2">
        <f>O11*'Output-Calculation-sheet'!O55/10^9</f>
        <v>0.49067782824133033</v>
      </c>
      <c r="P66" s="2">
        <f>P11*'Output-Calculation-sheet'!P55/10^9</f>
        <v>0.41063289787581542</v>
      </c>
      <c r="Q66" s="2">
        <f>Q11*'Output-Calculation-sheet'!Q55/10^9</f>
        <v>0.38858939410074095</v>
      </c>
      <c r="R66" s="2">
        <f>R11*'Output-Calculation-sheet'!R55/10^9</f>
        <v>0.32547158904670437</v>
      </c>
      <c r="S66" s="2">
        <f>S11*'Output-Calculation-sheet'!S55/10^9</f>
        <v>0.29849011542625836</v>
      </c>
      <c r="T66" s="2">
        <f>T11*'Output-Calculation-sheet'!T55/10^9</f>
        <v>0.10589247958017152</v>
      </c>
      <c r="U66" s="2">
        <f>U11*'Output-Calculation-sheet'!U55/10^9</f>
        <v>0.10500600721364145</v>
      </c>
      <c r="V66" s="2">
        <f>V11*'Output-Calculation-sheet'!V55/10^9</f>
        <v>9.2240202058812087E-2</v>
      </c>
      <c r="W66" s="2">
        <f>W11*'Output-Calculation-sheet'!W55/10^9</f>
        <v>4.8999829372165918E-2</v>
      </c>
      <c r="X66" s="2">
        <f>X11*'Output-Calculation-sheet'!X55/10^9</f>
        <v>7.8562572109134407E-2</v>
      </c>
      <c r="Y66" s="2">
        <f>Y11*'Output-Calculation-sheet'!Y55/10^9</f>
        <v>4.0985651870554932E-2</v>
      </c>
      <c r="AA66" s="2">
        <f t="shared" si="4"/>
        <v>17.377384372498529</v>
      </c>
    </row>
    <row r="67" spans="1:27" x14ac:dyDescent="0.25">
      <c r="A67" s="2">
        <v>2035</v>
      </c>
      <c r="B67" s="2">
        <f>B12*'Output-Calculation-sheet'!B56/10^9</f>
        <v>4.5964900714418802</v>
      </c>
      <c r="C67" s="2">
        <f>C12*'Output-Calculation-sheet'!C56/10^9</f>
        <v>2.3331520804396755</v>
      </c>
      <c r="D67" s="2">
        <f>D12*'Output-Calculation-sheet'!D56/10^9</f>
        <v>0.82519944449337823</v>
      </c>
      <c r="E67" s="2">
        <f>E12*'Output-Calculation-sheet'!E56/10^9</f>
        <v>1.0630480538842735</v>
      </c>
      <c r="F67" s="2">
        <f>F12*'Output-Calculation-sheet'!F56/10^9</f>
        <v>0.44062510422315398</v>
      </c>
      <c r="G67" s="2">
        <f>G12*'Output-Calculation-sheet'!G56/10^9</f>
        <v>0.31645583649037823</v>
      </c>
      <c r="H67" s="2">
        <f>H12*'Output-Calculation-sheet'!H56/10^9</f>
        <v>0.60215249485691658</v>
      </c>
      <c r="I67" s="2">
        <f>I12*'Output-Calculation-sheet'!I56/10^9</f>
        <v>0.28415683181720935</v>
      </c>
      <c r="J67" s="2">
        <f>J12*'Output-Calculation-sheet'!J56/10^9</f>
        <v>0.30471365843730502</v>
      </c>
      <c r="K67" s="2">
        <f>K12*'Output-Calculation-sheet'!K56/10^9</f>
        <v>0.3122997168949429</v>
      </c>
      <c r="L67" s="2">
        <f>L12*'Output-Calculation-sheet'!L56/10^9</f>
        <v>0.32367747686723092</v>
      </c>
      <c r="M67" s="2">
        <f>M12*'Output-Calculation-sheet'!M56/10^9</f>
        <v>0.45572687213742297</v>
      </c>
      <c r="N67" s="2">
        <f>N12*'Output-Calculation-sheet'!N56/10^9</f>
        <v>0.38621973898757578</v>
      </c>
      <c r="O67" s="2">
        <f>O12*'Output-Calculation-sheet'!O56/10^9</f>
        <v>0.40068224895749927</v>
      </c>
      <c r="P67" s="2">
        <f>P12*'Output-Calculation-sheet'!P56/10^9</f>
        <v>0.33643733650446445</v>
      </c>
      <c r="Q67" s="2">
        <f>Q12*'Output-Calculation-sheet'!Q56/10^9</f>
        <v>0.31860053314270004</v>
      </c>
      <c r="R67" s="2">
        <f>R12*'Output-Calculation-sheet'!R56/10^9</f>
        <v>0.2661700956502957</v>
      </c>
      <c r="S67" s="2">
        <f>S12*'Output-Calculation-sheet'!S56/10^9</f>
        <v>0.24389640884830324</v>
      </c>
      <c r="T67" s="2">
        <f>T12*'Output-Calculation-sheet'!T56/10^9</f>
        <v>8.6435114046439582E-2</v>
      </c>
      <c r="U67" s="2">
        <f>U12*'Output-Calculation-sheet'!U56/10^9</f>
        <v>8.6008712965565809E-2</v>
      </c>
      <c r="V67" s="2">
        <f>V12*'Output-Calculation-sheet'!V56/10^9</f>
        <v>7.508612668033407E-2</v>
      </c>
      <c r="W67" s="2">
        <f>W12*'Output-Calculation-sheet'!W56/10^9</f>
        <v>4.0114086091142274E-2</v>
      </c>
      <c r="X67" s="2">
        <f>X12*'Output-Calculation-sheet'!X56/10^9</f>
        <v>6.4041190425079664E-2</v>
      </c>
      <c r="Y67" s="2">
        <f>Y12*'Output-Calculation-sheet'!Y56/10^9</f>
        <v>3.3601446377761884E-2</v>
      </c>
      <c r="AA67" s="2">
        <f t="shared" si="4"/>
        <v>14.194990680660929</v>
      </c>
    </row>
    <row r="68" spans="1:27" x14ac:dyDescent="0.25">
      <c r="B68" s="2">
        <f>SUM(B60:B67)</f>
        <v>44.603389508796873</v>
      </c>
      <c r="C68" s="2">
        <f t="shared" ref="C68:Y68" si="5">SUM(C60:C67)</f>
        <v>22.590943060730112</v>
      </c>
      <c r="D68" s="2">
        <f t="shared" si="5"/>
        <v>7.9216833965908888</v>
      </c>
      <c r="E68" s="2">
        <f t="shared" si="5"/>
        <v>10.200228296895361</v>
      </c>
      <c r="F68" s="2">
        <f t="shared" si="5"/>
        <v>4.2414382396378052</v>
      </c>
      <c r="G68" s="2">
        <f t="shared" si="5"/>
        <v>3.042398179313508</v>
      </c>
      <c r="H68" s="2">
        <f t="shared" si="5"/>
        <v>5.8545734834369103</v>
      </c>
      <c r="I68" s="2">
        <f t="shared" si="5"/>
        <v>2.7288092466102301</v>
      </c>
      <c r="J68" s="2">
        <f t="shared" si="5"/>
        <v>2.9320366304245664</v>
      </c>
      <c r="K68" s="2">
        <f t="shared" si="5"/>
        <v>2.9959806733788623</v>
      </c>
      <c r="L68" s="2">
        <f t="shared" si="5"/>
        <v>3.1145726709418615</v>
      </c>
      <c r="M68" s="2">
        <f t="shared" si="5"/>
        <v>4.427593242380552</v>
      </c>
      <c r="N68" s="2">
        <f t="shared" si="5"/>
        <v>3.7434055070802361</v>
      </c>
      <c r="O68" s="2">
        <f t="shared" si="5"/>
        <v>3.8744688385931614</v>
      </c>
      <c r="P68" s="2">
        <f t="shared" si="5"/>
        <v>3.2252583948471707</v>
      </c>
      <c r="Q68" s="2">
        <f t="shared" si="5"/>
        <v>3.0518586341423664</v>
      </c>
      <c r="R68" s="2">
        <f t="shared" si="5"/>
        <v>2.5670240556701991</v>
      </c>
      <c r="S68" s="2">
        <f t="shared" si="5"/>
        <v>2.357078999129433</v>
      </c>
      <c r="T68" s="2">
        <f t="shared" si="5"/>
        <v>0.84059594870027021</v>
      </c>
      <c r="U68" s="2">
        <f t="shared" si="5"/>
        <v>0.82527759361133968</v>
      </c>
      <c r="V68" s="2">
        <f t="shared" si="5"/>
        <v>0.739805587297513</v>
      </c>
      <c r="W68" s="2">
        <f t="shared" si="5"/>
        <v>0.38617216428448953</v>
      </c>
      <c r="X68" s="2">
        <f t="shared" si="5"/>
        <v>0.62174871610537585</v>
      </c>
      <c r="Y68" s="2">
        <f t="shared" si="5"/>
        <v>0.32204468682140663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50.341812732763323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44.811794362426475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177.80304068113568</v>
      </c>
      <c r="S74" s="2">
        <f>S8/'Output-Calculation-sheet'!S7*'Output-Calculation-sheet'!S61</f>
        <v>0</v>
      </c>
      <c r="T74" s="2">
        <f>T8/'Output-Calculation-sheet'!T7*'Output-Calculation-sheet'!T61</f>
        <v>130.98305534441536</v>
      </c>
      <c r="U74" s="2">
        <f>U8/'Output-Calculation-sheet'!U7*'Output-Calculation-sheet'!U61</f>
        <v>16.592496940861889</v>
      </c>
      <c r="V74" s="2">
        <f>V8/'Output-Calculation-sheet'!V7*'Output-Calculation-sheet'!V61</f>
        <v>150.34975249829981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0.57088195255990259</v>
      </c>
    </row>
    <row r="75" spans="1:27" x14ac:dyDescent="0.25">
      <c r="A75" s="2">
        <v>2032</v>
      </c>
      <c r="B75" s="2">
        <f>B9/'Output-Calculation-sheet'!B8*'Output-Calculation-sheet'!B62</f>
        <v>508.17658567361434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103.06260428608456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82.574627930340384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218.49031070535818</v>
      </c>
      <c r="S75" s="2">
        <f>S9/'Output-Calculation-sheet'!S8*'Output-Calculation-sheet'!S62</f>
        <v>0</v>
      </c>
      <c r="T75" s="2">
        <f>T9/'Output-Calculation-sheet'!T8*'Output-Calculation-sheet'!T62</f>
        <v>144.31802730434777</v>
      </c>
      <c r="U75" s="2">
        <f>U9/'Output-Calculation-sheet'!U8*'Output-Calculation-sheet'!U62</f>
        <v>29.50048142839427</v>
      </c>
      <c r="V75" s="2">
        <f>V9/'Output-Calculation-sheet'!V8*'Output-Calculation-sheet'!V62</f>
        <v>154.59590358949339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1.2407185409176331</v>
      </c>
    </row>
    <row r="76" spans="1:27" x14ac:dyDescent="0.25">
      <c r="A76" s="2">
        <v>2033</v>
      </c>
      <c r="B76" s="2">
        <f>B10/'Output-Calculation-sheet'!B9*'Output-Calculation-sheet'!B63</f>
        <v>1174.7573593843701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137.80651856570609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131.44768019164729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59.301074004406523</v>
      </c>
      <c r="Q76" s="2">
        <f>Q10/'Output-Calculation-sheet'!Q9*'Output-Calculation-sheet'!Q63</f>
        <v>0</v>
      </c>
      <c r="R76" s="2">
        <f>R10/'Output-Calculation-sheet'!R9*'Output-Calculation-sheet'!R63</f>
        <v>252.57191982776621</v>
      </c>
      <c r="S76" s="2">
        <f>S10/'Output-Calculation-sheet'!S9*'Output-Calculation-sheet'!S63</f>
        <v>0</v>
      </c>
      <c r="T76" s="2">
        <f>T10/'Output-Calculation-sheet'!T9*'Output-Calculation-sheet'!T63</f>
        <v>147.62039425689937</v>
      </c>
      <c r="U76" s="2">
        <f>U10/'Output-Calculation-sheet'!U9*'Output-Calculation-sheet'!U63</f>
        <v>42.936517847001674</v>
      </c>
      <c r="V76" s="2">
        <f>V10/'Output-Calculation-sheet'!V9*'Output-Calculation-sheet'!V63</f>
        <v>153.32730067876554</v>
      </c>
      <c r="W76" s="2">
        <f>W10/'Output-Calculation-sheet'!W9*'Output-Calculation-sheet'!W63</f>
        <v>4.8143141646002281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2.1045830789211628</v>
      </c>
    </row>
    <row r="77" spans="1:27" x14ac:dyDescent="0.25">
      <c r="A77" s="2">
        <v>2034</v>
      </c>
      <c r="B77" s="2">
        <f>B11/'Output-Calculation-sheet'!B10*'Output-Calculation-sheet'!B64</f>
        <v>1747.9397302895966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166.49866092828844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154.76755033863338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99.902129600062949</v>
      </c>
      <c r="Q77" s="2">
        <f>Q11/'Output-Calculation-sheet'!Q10*'Output-Calculation-sheet'!Q64</f>
        <v>0</v>
      </c>
      <c r="R77" s="2">
        <f>R11/'Output-Calculation-sheet'!R10*'Output-Calculation-sheet'!R64</f>
        <v>259.5051509798833</v>
      </c>
      <c r="S77" s="2">
        <f>S11/'Output-Calculation-sheet'!S10*'Output-Calculation-sheet'!S64</f>
        <v>0</v>
      </c>
      <c r="T77" s="2">
        <f>T11/'Output-Calculation-sheet'!T10*'Output-Calculation-sheet'!T64</f>
        <v>139.77730387634381</v>
      </c>
      <c r="U77" s="2">
        <f>U11/'Output-Calculation-sheet'!U10*'Output-Calculation-sheet'!U64</f>
        <v>47.386824070053819</v>
      </c>
      <c r="V77" s="2">
        <f>V11/'Output-Calculation-sheet'!V10*'Output-Calculation-sheet'!V64</f>
        <v>141.54341803125342</v>
      </c>
      <c r="W77" s="2">
        <f>W11/'Output-Calculation-sheet'!W10*'Output-Calculation-sheet'!W64</f>
        <v>7.5005754526721651</v>
      </c>
      <c r="X77" s="2">
        <f>X11/'Output-Calculation-sheet'!X10*'Output-Calculation-sheet'!X64</f>
        <v>13.457608268285536</v>
      </c>
      <c r="Y77" s="2">
        <f>Y11/'Output-Calculation-sheet'!Y10*'Output-Calculation-sheet'!Y64</f>
        <v>0</v>
      </c>
      <c r="AA77" s="2">
        <f t="shared" si="6"/>
        <v>2.7782789518350741</v>
      </c>
    </row>
    <row r="78" spans="1:27" x14ac:dyDescent="0.25">
      <c r="A78" s="2">
        <v>2035</v>
      </c>
      <c r="B78" s="2">
        <f>B12/'Output-Calculation-sheet'!B11*'Output-Calculation-sheet'!B65</f>
        <v>2534.3121153066213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163.88584416834098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144.74282129101792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117.58175162529366</v>
      </c>
      <c r="Q78" s="2">
        <f>Q12/'Output-Calculation-sheet'!Q11*'Output-Calculation-sheet'!Q65</f>
        <v>0</v>
      </c>
      <c r="R78" s="2">
        <f>R12/'Output-Calculation-sheet'!R11*'Output-Calculation-sheet'!R65</f>
        <v>258.11583534749514</v>
      </c>
      <c r="S78" s="2">
        <f>S12/'Output-Calculation-sheet'!S11*'Output-Calculation-sheet'!S65</f>
        <v>0</v>
      </c>
      <c r="T78" s="2">
        <f>T12/'Output-Calculation-sheet'!T11*'Output-Calculation-sheet'!T65</f>
        <v>124.93587567249963</v>
      </c>
      <c r="U78" s="2">
        <f>U12/'Output-Calculation-sheet'!U11*'Output-Calculation-sheet'!U65</f>
        <v>48.576830354354897</v>
      </c>
      <c r="V78" s="2">
        <f>V12/'Output-Calculation-sheet'!V11*'Output-Calculation-sheet'!V65</f>
        <v>117.87074299390585</v>
      </c>
      <c r="W78" s="2">
        <f>W12/'Output-Calculation-sheet'!W11*'Output-Calculation-sheet'!W65</f>
        <v>8.8275246400946976</v>
      </c>
      <c r="X78" s="2">
        <f>X12/'Output-Calculation-sheet'!X11*'Output-Calculation-sheet'!X65</f>
        <v>24.106914426598166</v>
      </c>
      <c r="Y78" s="2">
        <f>Y12/'Output-Calculation-sheet'!Y11*'Output-Calculation-sheet'!Y65</f>
        <v>0</v>
      </c>
      <c r="AA78" s="2">
        <f t="shared" si="6"/>
        <v>3.5429562558262226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 t="shared" ref="AA93:AA100" si="8"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si="8"/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14568037567.183882</v>
      </c>
      <c r="C96" s="2">
        <f>C8/'Output-Calculation-sheet'!C7*'Output-Calculation-sheet'!C79</f>
        <v>1793171163.9271753</v>
      </c>
      <c r="D96" s="2">
        <f>D8/'Output-Calculation-sheet'!D7*'Output-Calculation-sheet'!D79</f>
        <v>6350168131.7692537</v>
      </c>
      <c r="E96" s="2">
        <f>E8/'Output-Calculation-sheet'!E7*'Output-Calculation-sheet'!E79</f>
        <v>10857352522.574236</v>
      </c>
      <c r="F96" s="2">
        <f>F8/'Output-Calculation-sheet'!F7*'Output-Calculation-sheet'!F79</f>
        <v>4886170995.987257</v>
      </c>
      <c r="G96" s="2">
        <f>G8/'Output-Calculation-sheet'!G7*'Output-Calculation-sheet'!G79</f>
        <v>3711268781.2971916</v>
      </c>
      <c r="H96" s="2">
        <f>H8/'Output-Calculation-sheet'!H7*'Output-Calculation-sheet'!H79</f>
        <v>1079734680.5592234</v>
      </c>
      <c r="I96" s="2">
        <f>I8/'Output-Calculation-sheet'!I7*'Output-Calculation-sheet'!I79</f>
        <v>2489418460.5288744</v>
      </c>
      <c r="J96" s="2">
        <f>J8/'Output-Calculation-sheet'!J7*'Output-Calculation-sheet'!J79</f>
        <v>1844702220.1215928</v>
      </c>
      <c r="K96" s="2">
        <f>K8/'Output-Calculation-sheet'!K7*'Output-Calculation-sheet'!K79</f>
        <v>2132939519.4966199</v>
      </c>
      <c r="L96" s="2">
        <f>L8/'Output-Calculation-sheet'!L7*'Output-Calculation-sheet'!L79</f>
        <v>1696714196.4903345</v>
      </c>
      <c r="M96" s="2">
        <f>M8/'Output-Calculation-sheet'!M7*'Output-Calculation-sheet'!M79</f>
        <v>839397359.33010042</v>
      </c>
      <c r="N96" s="2">
        <f>N8/'Output-Calculation-sheet'!N7*'Output-Calculation-sheet'!N79</f>
        <v>852491301.86250985</v>
      </c>
      <c r="O96" s="2">
        <f>O8/'Output-Calculation-sheet'!O7*'Output-Calculation-sheet'!O79</f>
        <v>208093206.56491086</v>
      </c>
      <c r="P96" s="2">
        <f>P8/'Output-Calculation-sheet'!P7*'Output-Calculation-sheet'!P79</f>
        <v>2267333793.0988374</v>
      </c>
      <c r="Q96" s="2">
        <f>Q8/'Output-Calculation-sheet'!Q7*'Output-Calculation-sheet'!Q79</f>
        <v>1005407620.0414258</v>
      </c>
      <c r="R96" s="2">
        <f>R8/'Output-Calculation-sheet'!R7*'Output-Calculation-sheet'!R79</f>
        <v>1529711340.2900667</v>
      </c>
      <c r="S96" s="2">
        <f>S8/'Output-Calculation-sheet'!S7*'Output-Calculation-sheet'!S79</f>
        <v>597921140.85593438</v>
      </c>
      <c r="T96" s="2">
        <f>T8/'Output-Calculation-sheet'!T7*'Output-Calculation-sheet'!T79</f>
        <v>809776090.51204276</v>
      </c>
      <c r="U96" s="2">
        <f>U8/'Output-Calculation-sheet'!U7*'Output-Calculation-sheet'!U79</f>
        <v>402193218.1365785</v>
      </c>
      <c r="V96" s="2">
        <f>V8/'Output-Calculation-sheet'!V7*'Output-Calculation-sheet'!V79</f>
        <v>296363755.59104455</v>
      </c>
      <c r="W96" s="2">
        <f>W8/'Output-Calculation-sheet'!W7*'Output-Calculation-sheet'!W79</f>
        <v>789526037.62807012</v>
      </c>
      <c r="X96" s="2">
        <f>X8/'Output-Calculation-sheet'!X7*'Output-Calculation-sheet'!X79</f>
        <v>93557116.801327303</v>
      </c>
      <c r="Y96" s="2">
        <f>Y8/'Output-Calculation-sheet'!Y7*'Output-Calculation-sheet'!Y79</f>
        <v>354329587.41545796</v>
      </c>
      <c r="AA96" s="2">
        <f t="shared" si="8"/>
        <v>61.455779808063959</v>
      </c>
    </row>
    <row r="97" spans="1:27" x14ac:dyDescent="0.25">
      <c r="A97" s="2">
        <v>2032</v>
      </c>
      <c r="B97" s="2">
        <f>B9/'Output-Calculation-sheet'!B8*'Output-Calculation-sheet'!B80</f>
        <v>15114576419.199854</v>
      </c>
      <c r="C97" s="2">
        <f>C9/'Output-Calculation-sheet'!C8*'Output-Calculation-sheet'!C80</f>
        <v>1898893354.5685167</v>
      </c>
      <c r="D97" s="2">
        <f>D9/'Output-Calculation-sheet'!D8*'Output-Calculation-sheet'!D80</f>
        <v>6253996802.436861</v>
      </c>
      <c r="E97" s="2">
        <f>E9/'Output-Calculation-sheet'!E8*'Output-Calculation-sheet'!E80</f>
        <v>11010821243.443094</v>
      </c>
      <c r="F97" s="2">
        <f>F9/'Output-Calculation-sheet'!F8*'Output-Calculation-sheet'!F80</f>
        <v>4943793884.8641777</v>
      </c>
      <c r="G97" s="2">
        <f>G9/'Output-Calculation-sheet'!G8*'Output-Calculation-sheet'!G80</f>
        <v>3659302056.2095904</v>
      </c>
      <c r="H97" s="2">
        <f>H9/'Output-Calculation-sheet'!H8*'Output-Calculation-sheet'!H80</f>
        <v>1108792174.1508982</v>
      </c>
      <c r="I97" s="2">
        <f>I9/'Output-Calculation-sheet'!I8*'Output-Calculation-sheet'!I80</f>
        <v>2541646408.9783912</v>
      </c>
      <c r="J97" s="2">
        <f>J9/'Output-Calculation-sheet'!J8*'Output-Calculation-sheet'!J80</f>
        <v>1833946420.9812617</v>
      </c>
      <c r="K97" s="2">
        <f>K9/'Output-Calculation-sheet'!K8*'Output-Calculation-sheet'!K80</f>
        <v>2134767628.2888124</v>
      </c>
      <c r="L97" s="2">
        <f>L9/'Output-Calculation-sheet'!L8*'Output-Calculation-sheet'!L80</f>
        <v>1750387847.2879367</v>
      </c>
      <c r="M97" s="2">
        <f>M9/'Output-Calculation-sheet'!M8*'Output-Calculation-sheet'!M80</f>
        <v>861844319.91566634</v>
      </c>
      <c r="N97" s="2">
        <f>N9/'Output-Calculation-sheet'!N8*'Output-Calculation-sheet'!N80</f>
        <v>854197174.53560305</v>
      </c>
      <c r="O97" s="2">
        <f>O9/'Output-Calculation-sheet'!O8*'Output-Calculation-sheet'!O80</f>
        <v>222929388.77427924</v>
      </c>
      <c r="P97" s="2">
        <f>P9/'Output-Calculation-sheet'!P8*'Output-Calculation-sheet'!P80</f>
        <v>2267075099.3017592</v>
      </c>
      <c r="Q97" s="2">
        <f>Q9/'Output-Calculation-sheet'!Q8*'Output-Calculation-sheet'!Q80</f>
        <v>1008070217.9252887</v>
      </c>
      <c r="R97" s="2">
        <f>R9/'Output-Calculation-sheet'!R8*'Output-Calculation-sheet'!R80</f>
        <v>1568705656.1347685</v>
      </c>
      <c r="S97" s="2">
        <f>S9/'Output-Calculation-sheet'!S8*'Output-Calculation-sheet'!S80</f>
        <v>605000502.56992948</v>
      </c>
      <c r="T97" s="2">
        <f>T9/'Output-Calculation-sheet'!T8*'Output-Calculation-sheet'!T80</f>
        <v>808947101.7354548</v>
      </c>
      <c r="U97" s="2">
        <f>U9/'Output-Calculation-sheet'!U8*'Output-Calculation-sheet'!U80</f>
        <v>410557710.51132363</v>
      </c>
      <c r="V97" s="2">
        <f>V9/'Output-Calculation-sheet'!V8*'Output-Calculation-sheet'!V80</f>
        <v>302428971.47050875</v>
      </c>
      <c r="W97" s="2">
        <f>W9/'Output-Calculation-sheet'!W8*'Output-Calculation-sheet'!W80</f>
        <v>790898572.81012917</v>
      </c>
      <c r="X97" s="2">
        <f>X9/'Output-Calculation-sheet'!X8*'Output-Calculation-sheet'!X80</f>
        <v>96853988.46833545</v>
      </c>
      <c r="Y97" s="2">
        <f>Y9/'Output-Calculation-sheet'!Y8*'Output-Calculation-sheet'!Y80</f>
        <v>355149264.45272678</v>
      </c>
      <c r="AA97" s="2">
        <f t="shared" si="8"/>
        <v>62.403582209015163</v>
      </c>
    </row>
    <row r="98" spans="1:27" x14ac:dyDescent="0.25">
      <c r="A98" s="2">
        <v>2033</v>
      </c>
      <c r="B98" s="2">
        <f>B10/'Output-Calculation-sheet'!B9*'Output-Calculation-sheet'!B81</f>
        <v>14756445603.391676</v>
      </c>
      <c r="C98" s="2">
        <f>C10/'Output-Calculation-sheet'!C9*'Output-Calculation-sheet'!C81</f>
        <v>1860752566.1654315</v>
      </c>
      <c r="D98" s="2">
        <f>D10/'Output-Calculation-sheet'!D9*'Output-Calculation-sheet'!D81</f>
        <v>5751093237.7475624</v>
      </c>
      <c r="E98" s="2">
        <f>E10/'Output-Calculation-sheet'!E9*'Output-Calculation-sheet'!E81</f>
        <v>10421661115.876104</v>
      </c>
      <c r="F98" s="2">
        <f>F10/'Output-Calculation-sheet'!F9*'Output-Calculation-sheet'!F81</f>
        <v>4668411367.7605753</v>
      </c>
      <c r="G98" s="2">
        <f>G10/'Output-Calculation-sheet'!G9*'Output-Calculation-sheet'!G81</f>
        <v>3359071512.7235613</v>
      </c>
      <c r="H98" s="2">
        <f>H10/'Output-Calculation-sheet'!H9*'Output-Calculation-sheet'!H81</f>
        <v>1059538362.5260243</v>
      </c>
      <c r="I98" s="2">
        <f>I10/'Output-Calculation-sheet'!I9*'Output-Calculation-sheet'!I81</f>
        <v>2423756134.4173346</v>
      </c>
      <c r="J98" s="2">
        <f>J10/'Output-Calculation-sheet'!J9*'Output-Calculation-sheet'!J81</f>
        <v>1704153270.434675</v>
      </c>
      <c r="K98" s="2">
        <f>K10/'Output-Calculation-sheet'!K9*'Output-Calculation-sheet'!K81</f>
        <v>1998543998.8382566</v>
      </c>
      <c r="L98" s="2">
        <f>L10/'Output-Calculation-sheet'!L9*'Output-Calculation-sheet'!L81</f>
        <v>1687568526.4350867</v>
      </c>
      <c r="M98" s="2">
        <f>M10/'Output-Calculation-sheet'!M9*'Output-Calculation-sheet'!M81</f>
        <v>827782243.03259289</v>
      </c>
      <c r="N98" s="2">
        <f>N10/'Output-Calculation-sheet'!N9*'Output-Calculation-sheet'!N81</f>
        <v>791900889.30120504</v>
      </c>
      <c r="O98" s="2">
        <f>O10/'Output-Calculation-sheet'!O9*'Output-Calculation-sheet'!O81</f>
        <v>218813631.45560396</v>
      </c>
      <c r="P98" s="2">
        <f>P10/'Output-Calculation-sheet'!P9*'Output-Calculation-sheet'!P81</f>
        <v>2148313963.065012</v>
      </c>
      <c r="Q98" s="2">
        <f>Q10/'Output-Calculation-sheet'!Q9*'Output-Calculation-sheet'!Q81</f>
        <v>945985834.55446863</v>
      </c>
      <c r="R98" s="2">
        <f>R10/'Output-Calculation-sheet'!R9*'Output-Calculation-sheet'!R81</f>
        <v>1502748312.0035062</v>
      </c>
      <c r="S98" s="2">
        <f>S10/'Output-Calculation-sheet'!S9*'Output-Calculation-sheet'!S81</f>
        <v>573068459.73919857</v>
      </c>
      <c r="T98" s="2">
        <f>T10/'Output-Calculation-sheet'!T9*'Output-Calculation-sheet'!T81</f>
        <v>753124344.17651939</v>
      </c>
      <c r="U98" s="2">
        <f>U10/'Output-Calculation-sheet'!U9*'Output-Calculation-sheet'!U81</f>
        <v>391331268.7755751</v>
      </c>
      <c r="V98" s="2">
        <f>V10/'Output-Calculation-sheet'!V9*'Output-Calculation-sheet'!V81</f>
        <v>288495817.10925615</v>
      </c>
      <c r="W98" s="2">
        <f>W10/'Output-Calculation-sheet'!W9*'Output-Calculation-sheet'!W81</f>
        <v>739351807.54146624</v>
      </c>
      <c r="X98" s="2">
        <f>X10/'Output-Calculation-sheet'!X9*'Output-Calculation-sheet'!X81</f>
        <v>93891850.782850444</v>
      </c>
      <c r="Y98" s="2">
        <f>Y10/'Output-Calculation-sheet'!Y9*'Output-Calculation-sheet'!Y81</f>
        <v>332074688.35039514</v>
      </c>
      <c r="AA98" s="2">
        <f t="shared" si="8"/>
        <v>59.297878806203947</v>
      </c>
    </row>
    <row r="99" spans="1:27" x14ac:dyDescent="0.25">
      <c r="A99" s="2">
        <v>2034</v>
      </c>
      <c r="B99" s="2">
        <f>B11/'Output-Calculation-sheet'!B10*'Output-Calculation-sheet'!B82</f>
        <v>13416102027.746695</v>
      </c>
      <c r="C99" s="2">
        <f>C11/'Output-Calculation-sheet'!C10*'Output-Calculation-sheet'!C82</f>
        <v>1703346083.7228076</v>
      </c>
      <c r="D99" s="2">
        <f>D11/'Output-Calculation-sheet'!D10*'Output-Calculation-sheet'!D82</f>
        <v>4930381956.5656347</v>
      </c>
      <c r="E99" s="2">
        <f>E11/'Output-Calculation-sheet'!E10*'Output-Calculation-sheet'!E82</f>
        <v>9192116609.676712</v>
      </c>
      <c r="F99" s="2">
        <f>F11/'Output-Calculation-sheet'!F10*'Output-Calculation-sheet'!F82</f>
        <v>4110915907.6377764</v>
      </c>
      <c r="G99" s="2">
        <f>G11/'Output-Calculation-sheet'!G10*'Output-Calculation-sheet'!G82</f>
        <v>2870645037.7298532</v>
      </c>
      <c r="H99" s="2">
        <f>H11/'Output-Calculation-sheet'!H10*'Output-Calculation-sheet'!H82</f>
        <v>945181666.75442624</v>
      </c>
      <c r="I99" s="2">
        <f>I11/'Output-Calculation-sheet'!I10*'Output-Calculation-sheet'!I82</f>
        <v>2154776593.8495412</v>
      </c>
      <c r="J99" s="2">
        <f>J11/'Output-Calculation-sheet'!J10*'Output-Calculation-sheet'!J82</f>
        <v>1476171106.4020057</v>
      </c>
      <c r="K99" s="2">
        <f>K11/'Output-Calculation-sheet'!K10*'Output-Calculation-sheet'!K82</f>
        <v>1744973027.7155581</v>
      </c>
      <c r="L99" s="2">
        <f>L11/'Output-Calculation-sheet'!L10*'Output-Calculation-sheet'!L82</f>
        <v>1525690158.5775657</v>
      </c>
      <c r="M99" s="2">
        <f>M11/'Output-Calculation-sheet'!M10*'Output-Calculation-sheet'!M82</f>
        <v>740511638.74468589</v>
      </c>
      <c r="N99" s="2">
        <f>N11/'Output-Calculation-sheet'!N10*'Output-Calculation-sheet'!N82</f>
        <v>688092969.78458118</v>
      </c>
      <c r="O99" s="2">
        <f>O11/'Output-Calculation-sheet'!O10*'Output-Calculation-sheet'!O82</f>
        <v>201435836.95789796</v>
      </c>
      <c r="P99" s="2">
        <f>P11/'Output-Calculation-sheet'!P10*'Output-Calculation-sheet'!P82</f>
        <v>1897817590.3011842</v>
      </c>
      <c r="Q99" s="2">
        <f>Q11/'Output-Calculation-sheet'!Q10*'Output-Calculation-sheet'!Q82</f>
        <v>827339390.96817482</v>
      </c>
      <c r="R99" s="2">
        <f>R11/'Output-Calculation-sheet'!R10*'Output-Calculation-sheet'!R82</f>
        <v>1344036235.2151973</v>
      </c>
      <c r="S99" s="2">
        <f>S11/'Output-Calculation-sheet'!S10*'Output-Calculation-sheet'!S82</f>
        <v>505049787.60132694</v>
      </c>
      <c r="T99" s="2">
        <f>T11/'Output-Calculation-sheet'!T10*'Output-Calculation-sheet'!T82</f>
        <v>652855477.83233106</v>
      </c>
      <c r="U99" s="2">
        <f>U11/'Output-Calculation-sheet'!U10*'Output-Calculation-sheet'!U82</f>
        <v>348042509.70658863</v>
      </c>
      <c r="V99" s="2">
        <f>V11/'Output-Calculation-sheet'!V10*'Output-Calculation-sheet'!V82</f>
        <v>256112001.03473911</v>
      </c>
      <c r="W99" s="2">
        <f>W11/'Output-Calculation-sheet'!W10*'Output-Calculation-sheet'!W82</f>
        <v>643099748.85991299</v>
      </c>
      <c r="X99" s="2">
        <f>X11/'Output-Calculation-sheet'!X10*'Output-Calculation-sheet'!X82</f>
        <v>90763302.177610427</v>
      </c>
      <c r="Y99" s="2">
        <f>Y11/'Output-Calculation-sheet'!Y10*'Output-Calculation-sheet'!Y82</f>
        <v>289264888.36471099</v>
      </c>
      <c r="AA99" s="2">
        <f t="shared" si="8"/>
        <v>52.554721553927521</v>
      </c>
    </row>
    <row r="100" spans="1:27" x14ac:dyDescent="0.25">
      <c r="A100" s="2">
        <v>2035</v>
      </c>
      <c r="B100" s="2">
        <f>B12/'Output-Calculation-sheet'!B11*'Output-Calculation-sheet'!B83</f>
        <v>11513091816.186819</v>
      </c>
      <c r="C100" s="2">
        <f>C12/'Output-Calculation-sheet'!C11*'Output-Calculation-sheet'!C83</f>
        <v>1437848101.7181175</v>
      </c>
      <c r="D100" s="2">
        <f>D12/'Output-Calculation-sheet'!D11*'Output-Calculation-sheet'!D83</f>
        <v>3916772998.2395287</v>
      </c>
      <c r="E100" s="2">
        <f>E12/'Output-Calculation-sheet'!E11*'Output-Calculation-sheet'!E83</f>
        <v>7509278337.85077</v>
      </c>
      <c r="F100" s="2">
        <f>F12/'Output-Calculation-sheet'!F11*'Output-Calculation-sheet'!F83</f>
        <v>3352196996.4788618</v>
      </c>
      <c r="G100" s="2">
        <f>G12/'Output-Calculation-sheet'!G11*'Output-Calculation-sheet'!G83</f>
        <v>2269679019.9549961</v>
      </c>
      <c r="H100" s="2">
        <f>H12/'Output-Calculation-sheet'!H11*'Output-Calculation-sheet'!H83</f>
        <v>781724529.69384193</v>
      </c>
      <c r="I100" s="2">
        <f>I12/'Output-Calculation-sheet'!I11*'Output-Calculation-sheet'!I83</f>
        <v>1774086555.1024563</v>
      </c>
      <c r="J100" s="2">
        <f>J12/'Output-Calculation-sheet'!J11*'Output-Calculation-sheet'!J83</f>
        <v>1183839974.8593869</v>
      </c>
      <c r="K100" s="2">
        <f>K12/'Output-Calculation-sheet'!K11*'Output-Calculation-sheet'!K83</f>
        <v>1411179405.4834173</v>
      </c>
      <c r="L100" s="2">
        <f>L12/'Output-Calculation-sheet'!L11*'Output-Calculation-sheet'!L83</f>
        <v>1276810239.5488813</v>
      </c>
      <c r="M100" s="2">
        <f>M12/'Output-Calculation-sheet'!M11*'Output-Calculation-sheet'!M83</f>
        <v>615354476.46772015</v>
      </c>
      <c r="N100" s="2">
        <f>N12/'Output-Calculation-sheet'!N11*'Output-Calculation-sheet'!N83</f>
        <v>552369374.02554834</v>
      </c>
      <c r="O100" s="2">
        <f>O12/'Output-Calculation-sheet'!O11*'Output-Calculation-sheet'!O83</f>
        <v>172147869.95194465</v>
      </c>
      <c r="P100" s="2">
        <f>P12/'Output-Calculation-sheet'!P11*'Output-Calculation-sheet'!P83</f>
        <v>1545701462.436424</v>
      </c>
      <c r="Q100" s="2">
        <f>Q12/'Output-Calculation-sheet'!Q11*'Output-Calculation-sheet'!Q83</f>
        <v>671309134.47474694</v>
      </c>
      <c r="R100" s="2">
        <f>R12/'Output-Calculation-sheet'!R11*'Output-Calculation-sheet'!R83</f>
        <v>1113627977.434478</v>
      </c>
      <c r="S100" s="2">
        <f>S12/'Output-Calculation-sheet'!S11*'Output-Calculation-sheet'!S83</f>
        <v>411908490.45847631</v>
      </c>
      <c r="T100" s="2">
        <f>T12/'Output-Calculation-sheet'!T11*'Output-Calculation-sheet'!T83</f>
        <v>525553678.3276329</v>
      </c>
      <c r="U100" s="2">
        <f>U12/'Output-Calculation-sheet'!U11*'Output-Calculation-sheet'!U83</f>
        <v>286435324.8218261</v>
      </c>
      <c r="V100" s="2">
        <f>V12/'Output-Calculation-sheet'!V11*'Output-Calculation-sheet'!V83</f>
        <v>210549742.13130739</v>
      </c>
      <c r="W100" s="2">
        <f>W12/'Output-Calculation-sheet'!W11*'Output-Calculation-sheet'!W83</f>
        <v>517141842.13643062</v>
      </c>
      <c r="X100" s="2">
        <f>X12/'Output-Calculation-sheet'!X11*'Output-Calculation-sheet'!X83</f>
        <v>81972573.642240509</v>
      </c>
      <c r="Y100" s="2">
        <f>Y12/'Output-Calculation-sheet'!Y11*'Output-Calculation-sheet'!Y83</f>
        <v>232840211.10375887</v>
      </c>
      <c r="AA100" s="2">
        <f t="shared" si="8"/>
        <v>43.363420132529612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95147940954.793701</v>
      </c>
      <c r="C8" s="2">
        <v>44838497692.624252</v>
      </c>
      <c r="D8" s="2">
        <v>39963223053.66922</v>
      </c>
      <c r="E8" s="2">
        <v>31706762153.154606</v>
      </c>
      <c r="F8" s="2">
        <v>20410780584.130936</v>
      </c>
      <c r="G8" s="2">
        <v>14341174597.164181</v>
      </c>
      <c r="H8" s="2">
        <v>13989265307.97233</v>
      </c>
      <c r="I8" s="2">
        <v>13065938955.142265</v>
      </c>
      <c r="J8" s="2">
        <v>12717482558.084991</v>
      </c>
      <c r="K8" s="2">
        <v>12595565152.757164</v>
      </c>
      <c r="L8" s="2">
        <v>10104326125.310034</v>
      </c>
      <c r="M8" s="2">
        <v>9651373574.8651047</v>
      </c>
      <c r="N8" s="2">
        <v>9472795289.7269993</v>
      </c>
      <c r="O8" s="2">
        <v>8712159040.2655773</v>
      </c>
      <c r="P8" s="2">
        <v>8623519710.3938999</v>
      </c>
      <c r="Q8" s="2">
        <v>8484149694.8723841</v>
      </c>
      <c r="R8" s="2">
        <v>8162142242.5106936</v>
      </c>
      <c r="S8" s="2">
        <v>5424977854.1750555</v>
      </c>
      <c r="T8" s="2">
        <v>3000333304.3945193</v>
      </c>
      <c r="U8" s="2">
        <v>2613187791.0284567</v>
      </c>
      <c r="V8" s="2">
        <v>2012206862.8477337</v>
      </c>
      <c r="W8" s="2">
        <v>1742125194.01897</v>
      </c>
      <c r="X8" s="2">
        <v>1045275116.4113824</v>
      </c>
      <c r="Y8" s="2">
        <v>1016519597.9589037</v>
      </c>
    </row>
    <row r="9" spans="1:27" x14ac:dyDescent="0.25">
      <c r="A9" s="2">
        <v>2032</v>
      </c>
      <c r="B9" s="2">
        <v>102715346999.48003</v>
      </c>
      <c r="C9" s="2">
        <v>48404640218.34671</v>
      </c>
      <c r="D9" s="2">
        <v>43141620112.678291</v>
      </c>
      <c r="E9" s="2">
        <v>34228497685.920494</v>
      </c>
      <c r="F9" s="2">
        <v>22034112238.175911</v>
      </c>
      <c r="G9" s="2">
        <v>15481771968.430937</v>
      </c>
      <c r="H9" s="2">
        <v>15101874259.778946</v>
      </c>
      <c r="I9" s="2">
        <v>14105112944.999002</v>
      </c>
      <c r="J9" s="2">
        <v>13728942747.527975</v>
      </c>
      <c r="K9" s="2">
        <v>13597328878.979059</v>
      </c>
      <c r="L9" s="2">
        <v>10907954010.799246</v>
      </c>
      <c r="M9" s="2">
        <v>10418976762.039284</v>
      </c>
      <c r="N9" s="2">
        <v>10226195601.033945</v>
      </c>
      <c r="O9" s="2">
        <v>9405063629.9182129</v>
      </c>
      <c r="P9" s="2">
        <v>9309374543.6993484</v>
      </c>
      <c r="Q9" s="2">
        <v>9158920005.61936</v>
      </c>
      <c r="R9" s="2">
        <v>8811302318.1124477</v>
      </c>
      <c r="S9" s="2">
        <v>5856442894.7635717</v>
      </c>
      <c r="T9" s="2">
        <v>3238958966.2418542</v>
      </c>
      <c r="U9" s="2">
        <v>2821022588.9998045</v>
      </c>
      <c r="V9" s="2">
        <v>2172243813.9816308</v>
      </c>
      <c r="W9" s="2">
        <v>1880681725.9998682</v>
      </c>
      <c r="X9" s="2">
        <v>1128409035.5999217</v>
      </c>
      <c r="Y9" s="2">
        <v>1097366503.030566</v>
      </c>
    </row>
    <row r="10" spans="1:27" x14ac:dyDescent="0.25">
      <c r="A10" s="2">
        <v>2033</v>
      </c>
      <c r="B10" s="2">
        <v>107369966975.98744</v>
      </c>
      <c r="C10" s="2">
        <v>50598131375.195068</v>
      </c>
      <c r="D10" s="2">
        <v>45096613720.365585</v>
      </c>
      <c r="E10" s="2">
        <v>35779586727.128036</v>
      </c>
      <c r="F10" s="2">
        <v>23032603914.292618</v>
      </c>
      <c r="G10" s="2">
        <v>16183339622.934952</v>
      </c>
      <c r="H10" s="2">
        <v>15786226575.822096</v>
      </c>
      <c r="I10" s="2">
        <v>14744296303.694347</v>
      </c>
      <c r="J10" s="2">
        <v>14351079682.618052</v>
      </c>
      <c r="K10" s="2">
        <v>14213501636.761375</v>
      </c>
      <c r="L10" s="2">
        <v>11402255808.190315</v>
      </c>
      <c r="M10" s="2">
        <v>10891120202.995581</v>
      </c>
      <c r="N10" s="2">
        <v>10689603024.741385</v>
      </c>
      <c r="O10" s="2">
        <v>9831260866.5625286</v>
      </c>
      <c r="P10" s="2">
        <v>9731235560.4382763</v>
      </c>
      <c r="Q10" s="2">
        <v>9573963066.5322056</v>
      </c>
      <c r="R10" s="2">
        <v>9210592832.9869175</v>
      </c>
      <c r="S10" s="2">
        <v>6121831825.2938786</v>
      </c>
      <c r="T10" s="2">
        <v>3385734726.1235147</v>
      </c>
      <c r="U10" s="2">
        <v>2948859260.738874</v>
      </c>
      <c r="V10" s="2">
        <v>2270680607.9541492</v>
      </c>
      <c r="W10" s="2">
        <v>1965906173.8259144</v>
      </c>
      <c r="X10" s="2">
        <v>1179543704.2955494</v>
      </c>
      <c r="Y10" s="2">
        <v>1147094456.9903769</v>
      </c>
    </row>
    <row r="11" spans="1:27" x14ac:dyDescent="0.25">
      <c r="A11" s="2">
        <v>2034</v>
      </c>
      <c r="B11" s="2">
        <v>109490936327.56226</v>
      </c>
      <c r="C11" s="2">
        <v>51597638862.402779</v>
      </c>
      <c r="D11" s="2">
        <v>45987445097.654678</v>
      </c>
      <c r="E11" s="2">
        <v>36486371026.290787</v>
      </c>
      <c r="F11" s="2">
        <v>23487586330.37273</v>
      </c>
      <c r="G11" s="2">
        <v>16503022755.128218</v>
      </c>
      <c r="H11" s="2">
        <v>16098065199.66951</v>
      </c>
      <c r="I11" s="2">
        <v>15035552801.683838</v>
      </c>
      <c r="J11" s="2">
        <v>14634568641.645559</v>
      </c>
      <c r="K11" s="2">
        <v>14494272900.823244</v>
      </c>
      <c r="L11" s="2">
        <v>11627494166.635521</v>
      </c>
      <c r="M11" s="2">
        <v>11106261669.510485</v>
      </c>
      <c r="N11" s="2">
        <v>10900763752.778568</v>
      </c>
      <c r="O11" s="2">
        <v>10025466039.317953</v>
      </c>
      <c r="P11" s="2">
        <v>9923464849.1113396</v>
      </c>
      <c r="Q11" s="2">
        <v>9763085619.2267151</v>
      </c>
      <c r="R11" s="2">
        <v>9392537427.5397758</v>
      </c>
      <c r="S11" s="2">
        <v>6242761523.2591152</v>
      </c>
      <c r="T11" s="2">
        <v>3452615994.5910411</v>
      </c>
      <c r="U11" s="2">
        <v>3007110560.336772</v>
      </c>
      <c r="V11" s="2">
        <v>2315535273.6705227</v>
      </c>
      <c r="W11" s="2">
        <v>2004740373.5578463</v>
      </c>
      <c r="X11" s="2">
        <v>1202844224.1347089</v>
      </c>
      <c r="Y11" s="2">
        <v>1169753979.5287611</v>
      </c>
    </row>
    <row r="12" spans="1:27" x14ac:dyDescent="0.25">
      <c r="A12" s="2">
        <v>2035</v>
      </c>
      <c r="B12" s="2">
        <v>109270124194.74315</v>
      </c>
      <c r="C12" s="2">
        <v>51493581073.988655</v>
      </c>
      <c r="D12" s="2">
        <v>45894701477.264626</v>
      </c>
      <c r="E12" s="2">
        <v>36412788374.83696</v>
      </c>
      <c r="F12" s="2">
        <v>23440218537.144012</v>
      </c>
      <c r="G12" s="2">
        <v>16469740843.631723</v>
      </c>
      <c r="H12" s="2">
        <v>16065599972.590206</v>
      </c>
      <c r="I12" s="2">
        <v>15005230360.451611</v>
      </c>
      <c r="J12" s="2">
        <v>14605054871.620052</v>
      </c>
      <c r="K12" s="2">
        <v>14465042067.475376</v>
      </c>
      <c r="L12" s="2">
        <v>11604044812.082598</v>
      </c>
      <c r="M12" s="2">
        <v>11083863492.920279</v>
      </c>
      <c r="N12" s="2">
        <v>10878780007.143154</v>
      </c>
      <c r="O12" s="2">
        <v>10005247520.663364</v>
      </c>
      <c r="P12" s="2">
        <v>9903452037.8980694</v>
      </c>
      <c r="Q12" s="2">
        <v>9743396247.3865891</v>
      </c>
      <c r="R12" s="2">
        <v>9373595346.1993294</v>
      </c>
      <c r="S12" s="2">
        <v>6230171645.6594944</v>
      </c>
      <c r="T12" s="2">
        <v>3445653048.3678927</v>
      </c>
      <c r="U12" s="2">
        <v>3001046072.0903268</v>
      </c>
      <c r="V12" s="2">
        <v>2310865496.4309945</v>
      </c>
      <c r="W12" s="2">
        <v>2000697381.3935494</v>
      </c>
      <c r="X12" s="2">
        <v>1200418428.8361306</v>
      </c>
      <c r="Y12" s="2">
        <v>1167394917.8588464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 t="shared" ref="AA16:AA23" si="0"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si="0"/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4984.5737226364008</v>
      </c>
      <c r="C19" s="2">
        <f>C8/'Output-Calculation-sheet'!C7*'Output-Calculation-sheet'!C25</f>
        <v>6646.2349543366518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2421.6657550409172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1772.5460021049505</v>
      </c>
      <c r="N19" s="2">
        <f>N8/'Output-Calculation-sheet'!N7*'Output-Calculation-sheet'!N25</f>
        <v>923.43793696716955</v>
      </c>
      <c r="O19" s="2">
        <f>O8/'Output-Calculation-sheet'!O7*'Output-Calculation-sheet'!O25</f>
        <v>1007.0332514356315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402.56401969672299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204.89468639598545</v>
      </c>
      <c r="Y19" s="2">
        <f>Y8/'Output-Calculation-sheet'!Y7*'Output-Calculation-sheet'!Y25</f>
        <v>0</v>
      </c>
      <c r="AA19" s="2">
        <f t="shared" si="0"/>
        <v>18.362950328614428</v>
      </c>
    </row>
    <row r="20" spans="1:27" x14ac:dyDescent="0.25">
      <c r="A20" s="2">
        <v>2032</v>
      </c>
      <c r="B20" s="2">
        <f>B9/'Output-Calculation-sheet'!B8*'Output-Calculation-sheet'!B26</f>
        <v>6458.0567191855807</v>
      </c>
      <c r="C20" s="2">
        <f>C9/'Output-Calculation-sheet'!C8*'Output-Calculation-sheet'!C26</f>
        <v>7443.4165037092225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2679.6615492843271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1956.7650869614945</v>
      </c>
      <c r="N20" s="2">
        <f>N9/'Output-Calculation-sheet'!N8*'Output-Calculation-sheet'!N26</f>
        <v>1113.0314188872653</v>
      </c>
      <c r="O20" s="2">
        <f>O9/'Output-Calculation-sheet'!O8*'Output-Calculation-sheet'!O26</f>
        <v>1151.4342609501214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503.13826829863388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226.0317701083697</v>
      </c>
      <c r="Y20" s="2">
        <f>Y9/'Output-Calculation-sheet'!Y8*'Output-Calculation-sheet'!Y26</f>
        <v>0</v>
      </c>
      <c r="AA20" s="2">
        <f t="shared" si="0"/>
        <v>21.531535577385018</v>
      </c>
    </row>
    <row r="21" spans="1:27" x14ac:dyDescent="0.25">
      <c r="A21" s="2">
        <v>2033</v>
      </c>
      <c r="B21" s="2">
        <f>B10/'Output-Calculation-sheet'!B9*'Output-Calculation-sheet'!B27</f>
        <v>8495.5582423613341</v>
      </c>
      <c r="C21" s="2">
        <f>C10/'Output-Calculation-sheet'!C9*'Output-Calculation-sheet'!C27</f>
        <v>7993.9247773942952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2860.6900530683324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24.822319526229478</v>
      </c>
      <c r="M21" s="2">
        <f>M10/'Output-Calculation-sheet'!M9*'Output-Calculation-sheet'!M27</f>
        <v>2099.6594557622966</v>
      </c>
      <c r="N21" s="2">
        <f>N10/'Output-Calculation-sheet'!N9*'Output-Calculation-sheet'!N27</f>
        <v>1283.4531701964706</v>
      </c>
      <c r="O21" s="2">
        <f>O10/'Output-Calculation-sheet'!O9*'Output-Calculation-sheet'!O27</f>
        <v>1250.2314622056317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596.40301391852927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243.06667900113314</v>
      </c>
      <c r="Y21" s="2">
        <f>Y10/'Output-Calculation-sheet'!Y9*'Output-Calculation-sheet'!Y27</f>
        <v>0</v>
      </c>
      <c r="AA21" s="2">
        <f t="shared" si="0"/>
        <v>24.847809173434257</v>
      </c>
    </row>
    <row r="22" spans="1:27" x14ac:dyDescent="0.25">
      <c r="A22" s="2">
        <v>2034</v>
      </c>
      <c r="B22" s="2">
        <f>B11/'Output-Calculation-sheet'!B10*'Output-Calculation-sheet'!B28</f>
        <v>10679.538998866967</v>
      </c>
      <c r="C22" s="2">
        <f>C11/'Output-Calculation-sheet'!C10*'Output-Calculation-sheet'!C28</f>
        <v>8412.2681325103076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2985.4075780800067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171.0020590186341</v>
      </c>
      <c r="M22" s="2">
        <f>M11/'Output-Calculation-sheet'!M10*'Output-Calculation-sheet'!M28</f>
        <v>2194.6024084323676</v>
      </c>
      <c r="N22" s="2">
        <f>N11/'Output-Calculation-sheet'!N10*'Output-Calculation-sheet'!N28</f>
        <v>1398.232703624237</v>
      </c>
      <c r="O22" s="2">
        <f>O11/'Output-Calculation-sheet'!O10*'Output-Calculation-sheet'!O28</f>
        <v>1334.6490272706358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648.16245523636769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270.90550916674567</v>
      </c>
      <c r="Y22" s="2">
        <f>Y11/'Output-Calculation-sheet'!Y10*'Output-Calculation-sheet'!Y28</f>
        <v>0</v>
      </c>
      <c r="AA22" s="2">
        <f t="shared" si="0"/>
        <v>28.09476887220627</v>
      </c>
    </row>
    <row r="23" spans="1:27" x14ac:dyDescent="0.25">
      <c r="A23" s="2">
        <v>2035</v>
      </c>
      <c r="B23" s="2">
        <f>B12/'Output-Calculation-sheet'!B11*'Output-Calculation-sheet'!B29</f>
        <v>13778.113658060558</v>
      </c>
      <c r="C23" s="2">
        <f>C12/'Output-Calculation-sheet'!C11*'Output-Calculation-sheet'!C29</f>
        <v>8628.8855220161677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3056.8386991551747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316.16586348829952</v>
      </c>
      <c r="M23" s="2">
        <f>M12/'Output-Calculation-sheet'!M11*'Output-Calculation-sheet'!M29</f>
        <v>2257.9044293518614</v>
      </c>
      <c r="N23" s="2">
        <f>N12/'Output-Calculation-sheet'!N11*'Output-Calculation-sheet'!N29</f>
        <v>1459.2804953569516</v>
      </c>
      <c r="O23" s="2">
        <f>O12/'Output-Calculation-sheet'!O11*'Output-Calculation-sheet'!O29</f>
        <v>1400.487872448655</v>
      </c>
      <c r="P23" s="2">
        <f>P12/'Output-Calculation-sheet'!P11*'Output-Calculation-sheet'!P29</f>
        <v>0</v>
      </c>
      <c r="Q23" s="2">
        <f>Q12/'Output-Calculation-sheet'!Q11*'Output-Calculation-sheet'!Q29</f>
        <v>82.25590180385629</v>
      </c>
      <c r="R23" s="2">
        <f>R12/'Output-Calculation-sheet'!R11*'Output-Calculation-sheet'!R29</f>
        <v>0</v>
      </c>
      <c r="S23" s="2">
        <f>S12/'Output-Calculation-sheet'!S11*'Output-Calculation-sheet'!S29</f>
        <v>680.20395750368095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298.39899618111758</v>
      </c>
      <c r="Y23" s="2">
        <f>Y12/'Output-Calculation-sheet'!Y11*'Output-Calculation-sheet'!Y29</f>
        <v>0</v>
      </c>
      <c r="AA23" s="2">
        <f t="shared" si="0"/>
        <v>31.958535395366315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 t="shared" ref="AA27:AA34" si="1"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si="1"/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24513.462617628207</v>
      </c>
      <c r="C30" s="2">
        <f>C8/'Output-Calculation-sheet'!C7*'Output-Calculation-sheet'!C16</f>
        <v>0</v>
      </c>
      <c r="D30" s="2">
        <f>D8/'Output-Calculation-sheet'!D7*'Output-Calculation-sheet'!D16</f>
        <v>5522.6468027346391</v>
      </c>
      <c r="E30" s="2">
        <f>E8/'Output-Calculation-sheet'!E7*'Output-Calculation-sheet'!E16</f>
        <v>6920.758663744482</v>
      </c>
      <c r="F30" s="2">
        <f>F8/'Output-Calculation-sheet'!F7*'Output-Calculation-sheet'!F16</f>
        <v>3380.097890637493</v>
      </c>
      <c r="G30" s="2">
        <f>G8/'Output-Calculation-sheet'!G7*'Output-Calculation-sheet'!G16</f>
        <v>2059.7877632197633</v>
      </c>
      <c r="H30" s="2">
        <f>H8/'Output-Calculation-sheet'!H7*'Output-Calculation-sheet'!H16</f>
        <v>0</v>
      </c>
      <c r="I30" s="2">
        <f>I8/'Output-Calculation-sheet'!I7*'Output-Calculation-sheet'!I16</f>
        <v>1939.0359573133758</v>
      </c>
      <c r="J30" s="2">
        <f>J8/'Output-Calculation-sheet'!J7*'Output-Calculation-sheet'!J16</f>
        <v>2078.5627139667781</v>
      </c>
      <c r="K30" s="2">
        <f>K8/'Output-Calculation-sheet'!K7*'Output-Calculation-sheet'!K16</f>
        <v>2011.8150636364246</v>
      </c>
      <c r="L30" s="2">
        <f>L8/'Output-Calculation-sheet'!L7*'Output-Calculation-sheet'!L16</f>
        <v>2223.7416226721321</v>
      </c>
      <c r="M30" s="2">
        <f>M8/'Output-Calculation-sheet'!M7*'Output-Calculation-sheet'!M16</f>
        <v>0</v>
      </c>
      <c r="N30" s="2">
        <f>N8/'Output-Calculation-sheet'!N7*'Output-Calculation-sheet'!N16</f>
        <v>997.1852264951965</v>
      </c>
      <c r="O30" s="2">
        <f>O8/'Output-Calculation-sheet'!O7*'Output-Calculation-sheet'!O16</f>
        <v>0</v>
      </c>
      <c r="P30" s="2">
        <f>P8/'Output-Calculation-sheet'!P7*'Output-Calculation-sheet'!P16</f>
        <v>1903.633147928128</v>
      </c>
      <c r="Q30" s="2">
        <f>Q8/'Output-Calculation-sheet'!Q7*'Output-Calculation-sheet'!Q16</f>
        <v>1867.5584272455701</v>
      </c>
      <c r="R30" s="2">
        <f>R8/'Output-Calculation-sheet'!R7*'Output-Calculation-sheet'!R16</f>
        <v>1657.3149645599735</v>
      </c>
      <c r="S30" s="2">
        <f>S8/'Output-Calculation-sheet'!S7*'Output-Calculation-sheet'!S16</f>
        <v>877.76674076781683</v>
      </c>
      <c r="T30" s="2">
        <f>T8/'Output-Calculation-sheet'!T7*'Output-Calculation-sheet'!T16</f>
        <v>625.99253762397484</v>
      </c>
      <c r="U30" s="2">
        <f>U8/'Output-Calculation-sheet'!U7*'Output-Calculation-sheet'!U16</f>
        <v>483.01750123239145</v>
      </c>
      <c r="V30" s="2">
        <f>V8/'Output-Calculation-sheet'!V7*'Output-Calculation-sheet'!V16</f>
        <v>625.41107537859932</v>
      </c>
      <c r="W30" s="2">
        <f>W8/'Output-Calculation-sheet'!W7*'Output-Calculation-sheet'!W16</f>
        <v>301.12265000937316</v>
      </c>
      <c r="X30" s="2">
        <f>X8/'Output-Calculation-sheet'!X7*'Output-Calculation-sheet'!X16</f>
        <v>0</v>
      </c>
      <c r="Y30" s="2">
        <f>Y8/'Output-Calculation-sheet'!Y7*'Output-Calculation-sheet'!Y16</f>
        <v>205.37221216620765</v>
      </c>
      <c r="AA30" s="2">
        <f t="shared" si="1"/>
        <v>60.19428357896053</v>
      </c>
    </row>
    <row r="31" spans="1:27" x14ac:dyDescent="0.25">
      <c r="A31" s="2">
        <v>2032</v>
      </c>
      <c r="B31" s="2">
        <f>B9/'Output-Calculation-sheet'!B8*'Output-Calculation-sheet'!B17</f>
        <v>26167.11135806634</v>
      </c>
      <c r="C31" s="2">
        <f>C9/'Output-Calculation-sheet'!C8*'Output-Calculation-sheet'!C17</f>
        <v>0</v>
      </c>
      <c r="D31" s="2">
        <f>D9/'Output-Calculation-sheet'!D8*'Output-Calculation-sheet'!D17</f>
        <v>5989.1118024613615</v>
      </c>
      <c r="E31" s="2">
        <f>E9/'Output-Calculation-sheet'!E8*'Output-Calculation-sheet'!E17</f>
        <v>7523.1156330136282</v>
      </c>
      <c r="F31" s="2">
        <f>F9/'Output-Calculation-sheet'!F8*'Output-Calculation-sheet'!F17</f>
        <v>3670.6720275478319</v>
      </c>
      <c r="G31" s="2">
        <f>G9/'Output-Calculation-sheet'!G8*'Output-Calculation-sheet'!G17</f>
        <v>2234.4362200139835</v>
      </c>
      <c r="H31" s="2">
        <f>H9/'Output-Calculation-sheet'!H8*'Output-Calculation-sheet'!H17</f>
        <v>0</v>
      </c>
      <c r="I31" s="2">
        <f>I9/'Output-Calculation-sheet'!I8*'Output-Calculation-sheet'!I17</f>
        <v>2102.393416122407</v>
      </c>
      <c r="J31" s="2">
        <f>J9/'Output-Calculation-sheet'!J8*'Output-Calculation-sheet'!J17</f>
        <v>2255.5072210784069</v>
      </c>
      <c r="K31" s="2">
        <f>K9/'Output-Calculation-sheet'!K8*'Output-Calculation-sheet'!K17</f>
        <v>2181.3922332187872</v>
      </c>
      <c r="L31" s="2">
        <f>L9/'Output-Calculation-sheet'!L8*'Output-Calculation-sheet'!L17</f>
        <v>2410.3604343766256</v>
      </c>
      <c r="M31" s="2">
        <f>M9/'Output-Calculation-sheet'!M8*'Output-Calculation-sheet'!M17</f>
        <v>0</v>
      </c>
      <c r="N31" s="2">
        <f>N9/'Output-Calculation-sheet'!N8*'Output-Calculation-sheet'!N17</f>
        <v>1016.2994897562148</v>
      </c>
      <c r="O31" s="2">
        <f>O9/'Output-Calculation-sheet'!O8*'Output-Calculation-sheet'!O17</f>
        <v>0</v>
      </c>
      <c r="P31" s="2">
        <f>P9/'Output-Calculation-sheet'!P8*'Output-Calculation-sheet'!P17</f>
        <v>2076.2498879094269</v>
      </c>
      <c r="Q31" s="2">
        <f>Q9/'Output-Calculation-sheet'!Q8*'Output-Calculation-sheet'!Q17</f>
        <v>2030.4825212808921</v>
      </c>
      <c r="R31" s="2">
        <f>R9/'Output-Calculation-sheet'!R8*'Output-Calculation-sheet'!R17</f>
        <v>1817.2223320522332</v>
      </c>
      <c r="S31" s="2">
        <f>S9/'Output-Calculation-sheet'!S8*'Output-Calculation-sheet'!S17</f>
        <v>909.66508438389064</v>
      </c>
      <c r="T31" s="2">
        <f>T9/'Output-Calculation-sheet'!T8*'Output-Calculation-sheet'!T17</f>
        <v>680.77309533163896</v>
      </c>
      <c r="U31" s="2">
        <f>U9/'Output-Calculation-sheet'!U8*'Output-Calculation-sheet'!U17</f>
        <v>527.11628249914622</v>
      </c>
      <c r="V31" s="2">
        <f>V9/'Output-Calculation-sheet'!V8*'Output-Calculation-sheet'!V17</f>
        <v>670.31287770969868</v>
      </c>
      <c r="W31" s="2">
        <f>W9/'Output-Calculation-sheet'!W8*'Output-Calculation-sheet'!W17</f>
        <v>326.70653225878874</v>
      </c>
      <c r="X31" s="2">
        <f>X9/'Output-Calculation-sheet'!X8*'Output-Calculation-sheet'!X17</f>
        <v>0</v>
      </c>
      <c r="Y31" s="2">
        <f>Y9/'Output-Calculation-sheet'!Y8*'Output-Calculation-sheet'!Y17</f>
        <v>222.71985070865634</v>
      </c>
      <c r="AA31" s="2">
        <f t="shared" si="1"/>
        <v>64.811648299789965</v>
      </c>
    </row>
    <row r="32" spans="1:27" x14ac:dyDescent="0.25">
      <c r="A32" s="2">
        <v>2033</v>
      </c>
      <c r="B32" s="2">
        <f>B10/'Output-Calculation-sheet'!B9*'Output-Calculation-sheet'!B18</f>
        <v>26913.955342747802</v>
      </c>
      <c r="C32" s="2">
        <f>C10/'Output-Calculation-sheet'!C9*'Output-Calculation-sheet'!C18</f>
        <v>0</v>
      </c>
      <c r="D32" s="2">
        <f>D10/'Output-Calculation-sheet'!D9*'Output-Calculation-sheet'!D18</f>
        <v>6296.5580163079494</v>
      </c>
      <c r="E32" s="2">
        <f>E10/'Output-Calculation-sheet'!E9*'Output-Calculation-sheet'!E18</f>
        <v>7919.2926692803385</v>
      </c>
      <c r="F32" s="2">
        <f>F10/'Output-Calculation-sheet'!F9*'Output-Calculation-sheet'!F18</f>
        <v>3857.142214426266</v>
      </c>
      <c r="G32" s="2">
        <f>G10/'Output-Calculation-sheet'!G9*'Output-Calculation-sheet'!G18</f>
        <v>2346.6298330526656</v>
      </c>
      <c r="H32" s="2">
        <f>H10/'Output-Calculation-sheet'!H9*'Output-Calculation-sheet'!H18</f>
        <v>0</v>
      </c>
      <c r="I32" s="2">
        <f>I10/'Output-Calculation-sheet'!I9*'Output-Calculation-sheet'!I18</f>
        <v>2211.2853100262141</v>
      </c>
      <c r="J32" s="2">
        <f>J10/'Output-Calculation-sheet'!J9*'Output-Calculation-sheet'!J18</f>
        <v>2369.7616884403183</v>
      </c>
      <c r="K32" s="2">
        <f>K10/'Output-Calculation-sheet'!K9*'Output-Calculation-sheet'!K18</f>
        <v>2298.4931448079451</v>
      </c>
      <c r="L32" s="2">
        <f>L10/'Output-Calculation-sheet'!L9*'Output-Calculation-sheet'!L18</f>
        <v>2524.9432311631567</v>
      </c>
      <c r="M32" s="2">
        <f>M10/'Output-Calculation-sheet'!M9*'Output-Calculation-sheet'!M18</f>
        <v>0</v>
      </c>
      <c r="N32" s="2">
        <f>N10/'Output-Calculation-sheet'!N9*'Output-Calculation-sheet'!N18</f>
        <v>982.69593675894828</v>
      </c>
      <c r="O32" s="2">
        <f>O10/'Output-Calculation-sheet'!O9*'Output-Calculation-sheet'!O18</f>
        <v>0</v>
      </c>
      <c r="P32" s="2">
        <f>P10/'Output-Calculation-sheet'!P9*'Output-Calculation-sheet'!P18</f>
        <v>2214.2875531855411</v>
      </c>
      <c r="Q32" s="2">
        <f>Q10/'Output-Calculation-sheet'!Q9*'Output-Calculation-sheet'!Q18</f>
        <v>2144.8883577433817</v>
      </c>
      <c r="R32" s="2">
        <f>R10/'Output-Calculation-sheet'!R9*'Output-Calculation-sheet'!R18</f>
        <v>1927.9145523035688</v>
      </c>
      <c r="S32" s="2">
        <f>S10/'Output-Calculation-sheet'!S9*'Output-Calculation-sheet'!S18</f>
        <v>918.85457872678944</v>
      </c>
      <c r="T32" s="2">
        <f>T10/'Output-Calculation-sheet'!T9*'Output-Calculation-sheet'!T18</f>
        <v>713.37382969368468</v>
      </c>
      <c r="U32" s="2">
        <f>U10/'Output-Calculation-sheet'!U9*'Output-Calculation-sheet'!U18</f>
        <v>556.16753984472462</v>
      </c>
      <c r="V32" s="2">
        <f>V10/'Output-Calculation-sheet'!V9*'Output-Calculation-sheet'!V18</f>
        <v>701.70204140437681</v>
      </c>
      <c r="W32" s="2">
        <f>W10/'Output-Calculation-sheet'!W9*'Output-Calculation-sheet'!W18</f>
        <v>342.37358406304776</v>
      </c>
      <c r="X32" s="2">
        <f>X10/'Output-Calculation-sheet'!X9*'Output-Calculation-sheet'!X18</f>
        <v>0</v>
      </c>
      <c r="Y32" s="2">
        <f>Y10/'Output-Calculation-sheet'!Y9*'Output-Calculation-sheet'!Y18</f>
        <v>234.29837104211077</v>
      </c>
      <c r="AA32" s="2">
        <f t="shared" si="1"/>
        <v>67.47461779501883</v>
      </c>
    </row>
    <row r="33" spans="1:27" x14ac:dyDescent="0.25">
      <c r="A33" s="2">
        <v>2034</v>
      </c>
      <c r="B33" s="2">
        <f>B11/'Output-Calculation-sheet'!B10*'Output-Calculation-sheet'!B19</f>
        <v>26779.754715018767</v>
      </c>
      <c r="C33" s="2">
        <f>C11/'Output-Calculation-sheet'!C10*'Output-Calculation-sheet'!C19</f>
        <v>0</v>
      </c>
      <c r="D33" s="2">
        <f>D11/'Output-Calculation-sheet'!D10*'Output-Calculation-sheet'!D19</f>
        <v>6449.3385335381427</v>
      </c>
      <c r="E33" s="2">
        <f>E11/'Output-Calculation-sheet'!E10*'Output-Calculation-sheet'!E19</f>
        <v>8117.9405010159344</v>
      </c>
      <c r="F33" s="2">
        <f>F11/'Output-Calculation-sheet'!F10*'Output-Calculation-sheet'!F19</f>
        <v>3951.7081080109892</v>
      </c>
      <c r="G33" s="2">
        <f>G11/'Output-Calculation-sheet'!G10*'Output-Calculation-sheet'!G19</f>
        <v>2398.8522380258655</v>
      </c>
      <c r="H33" s="2">
        <f>H11/'Output-Calculation-sheet'!H10*'Output-Calculation-sheet'!H19</f>
        <v>0</v>
      </c>
      <c r="I33" s="2">
        <f>I11/'Output-Calculation-sheet'!I10*'Output-Calculation-sheet'!I19</f>
        <v>2267.0293674649047</v>
      </c>
      <c r="J33" s="2">
        <f>J11/'Output-Calculation-sheet'!J10*'Output-Calculation-sheet'!J19</f>
        <v>2420.677304555973</v>
      </c>
      <c r="K33" s="2">
        <f>K11/'Output-Calculation-sheet'!K10*'Output-Calculation-sheet'!K19</f>
        <v>2361.3957910462505</v>
      </c>
      <c r="L33" s="2">
        <f>L11/'Output-Calculation-sheet'!L10*'Output-Calculation-sheet'!L19</f>
        <v>2538.5625040266937</v>
      </c>
      <c r="M33" s="2">
        <f>M11/'Output-Calculation-sheet'!M10*'Output-Calculation-sheet'!M19</f>
        <v>0</v>
      </c>
      <c r="N33" s="2">
        <f>N11/'Output-Calculation-sheet'!N10*'Output-Calculation-sheet'!N19</f>
        <v>955.62058995300094</v>
      </c>
      <c r="O33" s="2">
        <f>O11/'Output-Calculation-sheet'!O10*'Output-Calculation-sheet'!O19</f>
        <v>0</v>
      </c>
      <c r="P33" s="2">
        <f>P11/'Output-Calculation-sheet'!P10*'Output-Calculation-sheet'!P19</f>
        <v>2312.3301844588477</v>
      </c>
      <c r="Q33" s="2">
        <f>Q11/'Output-Calculation-sheet'!Q10*'Output-Calculation-sheet'!Q19</f>
        <v>2206.5220477964554</v>
      </c>
      <c r="R33" s="2">
        <f>R11/'Output-Calculation-sheet'!R10*'Output-Calculation-sheet'!R19</f>
        <v>1999.6729952842529</v>
      </c>
      <c r="S33" s="2">
        <f>S11/'Output-Calculation-sheet'!S10*'Output-Calculation-sheet'!S19</f>
        <v>921.68979601716569</v>
      </c>
      <c r="T33" s="2">
        <f>T11/'Output-Calculation-sheet'!T10*'Output-Calculation-sheet'!T19</f>
        <v>729.55003521649951</v>
      </c>
      <c r="U33" s="2">
        <f>U11/'Output-Calculation-sheet'!U10*'Output-Calculation-sheet'!U19</f>
        <v>573.54832814233532</v>
      </c>
      <c r="V33" s="2">
        <f>V11/'Output-Calculation-sheet'!V10*'Output-Calculation-sheet'!V19</f>
        <v>713.83786388116914</v>
      </c>
      <c r="W33" s="2">
        <f>W11/'Output-Calculation-sheet'!W10*'Output-Calculation-sheet'!W19</f>
        <v>350.17361076956627</v>
      </c>
      <c r="X33" s="2">
        <f>X11/'Output-Calculation-sheet'!X10*'Output-Calculation-sheet'!X19</f>
        <v>0</v>
      </c>
      <c r="Y33" s="2">
        <f>Y11/'Output-Calculation-sheet'!Y10*'Output-Calculation-sheet'!Y19</f>
        <v>240.59652529958953</v>
      </c>
      <c r="AA33" s="2">
        <f t="shared" si="1"/>
        <v>68.288801039522397</v>
      </c>
    </row>
    <row r="34" spans="1:27" x14ac:dyDescent="0.25">
      <c r="A34" s="2">
        <v>2035</v>
      </c>
      <c r="B34" s="2">
        <f>B12/'Output-Calculation-sheet'!B11*'Output-Calculation-sheet'!B20</f>
        <v>25703.913988470969</v>
      </c>
      <c r="C34" s="2">
        <f>C12/'Output-Calculation-sheet'!C11*'Output-Calculation-sheet'!C20</f>
        <v>0</v>
      </c>
      <c r="D34" s="2">
        <f>D12/'Output-Calculation-sheet'!D11*'Output-Calculation-sheet'!D20</f>
        <v>6475.347188264137</v>
      </c>
      <c r="E34" s="2">
        <f>E12/'Output-Calculation-sheet'!E11*'Output-Calculation-sheet'!E20</f>
        <v>8150.8231286524942</v>
      </c>
      <c r="F34" s="2">
        <f>F12/'Output-Calculation-sheet'!F11*'Output-Calculation-sheet'!F20</f>
        <v>3961.0878389948593</v>
      </c>
      <c r="G34" s="2">
        <f>G12/'Output-Calculation-sheet'!G11*'Output-Calculation-sheet'!G20</f>
        <v>2412.7073662453536</v>
      </c>
      <c r="H34" s="2">
        <f>H12/'Output-Calculation-sheet'!H11*'Output-Calculation-sheet'!H20</f>
        <v>0</v>
      </c>
      <c r="I34" s="2">
        <f>I12/'Output-Calculation-sheet'!I11*'Output-Calculation-sheet'!I20</f>
        <v>2275.6532965774668</v>
      </c>
      <c r="J34" s="2">
        <f>J12/'Output-Calculation-sheet'!J11*'Output-Calculation-sheet'!J20</f>
        <v>2422.2680029968483</v>
      </c>
      <c r="K34" s="2">
        <f>K12/'Output-Calculation-sheet'!K11*'Output-Calculation-sheet'!K20</f>
        <v>2373.7839523900261</v>
      </c>
      <c r="L34" s="2">
        <f>L12/'Output-Calculation-sheet'!L11*'Output-Calculation-sheet'!L20</f>
        <v>2504.7211525791236</v>
      </c>
      <c r="M34" s="2">
        <f>M12/'Output-Calculation-sheet'!M11*'Output-Calculation-sheet'!M20</f>
        <v>0</v>
      </c>
      <c r="N34" s="2">
        <f>N12/'Output-Calculation-sheet'!N11*'Output-Calculation-sheet'!N20</f>
        <v>918.74534458730136</v>
      </c>
      <c r="O34" s="2">
        <f>O12/'Output-Calculation-sheet'!O11*'Output-Calculation-sheet'!O20</f>
        <v>0</v>
      </c>
      <c r="P34" s="2">
        <f>P12/'Output-Calculation-sheet'!P11*'Output-Calculation-sheet'!P20</f>
        <v>2356.3095941971501</v>
      </c>
      <c r="Q34" s="2">
        <f>Q12/'Output-Calculation-sheet'!Q11*'Output-Calculation-sheet'!Q20</f>
        <v>2175.7369338383292</v>
      </c>
      <c r="R34" s="2">
        <f>R12/'Output-Calculation-sheet'!R11*'Output-Calculation-sheet'!R20</f>
        <v>2024.210590837838</v>
      </c>
      <c r="S34" s="2">
        <f>S12/'Output-Calculation-sheet'!S11*'Output-Calculation-sheet'!S20</f>
        <v>908.02606637182032</v>
      </c>
      <c r="T34" s="2">
        <f>T12/'Output-Calculation-sheet'!T11*'Output-Calculation-sheet'!T20</f>
        <v>731.18876869457404</v>
      </c>
      <c r="U34" s="2">
        <f>U12/'Output-Calculation-sheet'!U11*'Output-Calculation-sheet'!U20</f>
        <v>575.9093946060018</v>
      </c>
      <c r="V34" s="2">
        <f>V12/'Output-Calculation-sheet'!V11*'Output-Calculation-sheet'!V20</f>
        <v>714.5200976572828</v>
      </c>
      <c r="W34" s="2">
        <f>W12/'Output-Calculation-sheet'!W11*'Output-Calculation-sheet'!W20</f>
        <v>350.75788680602835</v>
      </c>
      <c r="X34" s="2">
        <f>X12/'Output-Calculation-sheet'!X11*'Output-Calculation-sheet'!X20</f>
        <v>0</v>
      </c>
      <c r="Y34" s="2">
        <f>Y12/'Output-Calculation-sheet'!Y11*'Output-Calculation-sheet'!Y20</f>
        <v>241.32144817154139</v>
      </c>
      <c r="AA34" s="2">
        <f t="shared" si="1"/>
        <v>67.277032040939147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140.07778268159373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124.69032105764785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542.21073856894554</v>
      </c>
      <c r="S52" s="2">
        <f>S8/'Output-Calculation-sheet'!S7*'Output-Calculation-sheet'!S43</f>
        <v>0</v>
      </c>
      <c r="T52" s="2">
        <f>T8/'Output-Calculation-sheet'!T7*'Output-Calculation-sheet'!T43</f>
        <v>436.59765491535558</v>
      </c>
      <c r="U52" s="2">
        <f>U8/'Output-Calculation-sheet'!U7*'Output-Calculation-sheet'!U43</f>
        <v>46.177581379769741</v>
      </c>
      <c r="V52" s="2">
        <f>V8/'Output-Calculation-sheet'!V7*'Output-Calculation-sheet'!V43</f>
        <v>787.31261782374054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2.0770666964270532</v>
      </c>
    </row>
    <row r="53" spans="1:27" x14ac:dyDescent="0.25">
      <c r="A53" s="2">
        <v>2032</v>
      </c>
      <c r="B53" s="2">
        <f>B9/'Output-Calculation-sheet'!B8*'Output-Calculation-sheet'!B44</f>
        <v>1604.2370362827091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302.43719224347035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242.29318090862679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757.49159318559123</v>
      </c>
      <c r="S53" s="2">
        <f>S9/'Output-Calculation-sheet'!S8*'Output-Calculation-sheet'!S44</f>
        <v>0</v>
      </c>
      <c r="T53" s="2">
        <f>T9/'Output-Calculation-sheet'!T8*'Output-Calculation-sheet'!T44</f>
        <v>522.27528481259662</v>
      </c>
      <c r="U53" s="2">
        <f>U9/'Output-Calculation-sheet'!U8*'Output-Calculation-sheet'!U44</f>
        <v>88.62262278530504</v>
      </c>
      <c r="V53" s="2">
        <f>V9/'Output-Calculation-sheet'!V8*'Output-Calculation-sheet'!V44</f>
        <v>875.55602236763343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4.392912932585932</v>
      </c>
    </row>
    <row r="54" spans="1:27" x14ac:dyDescent="0.25">
      <c r="A54" s="2">
        <v>2033</v>
      </c>
      <c r="B54" s="2">
        <f>B10/'Output-Calculation-sheet'!B9*'Output-Calculation-sheet'!B45</f>
        <v>5030.8025812793803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442.59929220818998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422.12145170474389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248.7426069683477</v>
      </c>
      <c r="Q54" s="2">
        <f>Q10/'Output-Calculation-sheet'!Q9*'Output-Calculation-sheet'!Q45</f>
        <v>0</v>
      </c>
      <c r="R54" s="2">
        <f>R10/'Output-Calculation-sheet'!R9*'Output-Calculation-sheet'!R45</f>
        <v>1007.7681990180233</v>
      </c>
      <c r="S54" s="2">
        <f>S10/'Output-Calculation-sheet'!S9*'Output-Calculation-sheet'!S45</f>
        <v>0</v>
      </c>
      <c r="T54" s="2">
        <f>T10/'Output-Calculation-sheet'!T9*'Output-Calculation-sheet'!T45</f>
        <v>605.86309125812249</v>
      </c>
      <c r="U54" s="2">
        <f>U10/'Output-Calculation-sheet'!U9*'Output-Calculation-sheet'!U45</f>
        <v>144.7478450115359</v>
      </c>
      <c r="V54" s="2">
        <f>V10/'Output-Calculation-sheet'!V9*'Output-Calculation-sheet'!V45</f>
        <v>950.9488637870121</v>
      </c>
      <c r="W54" s="2">
        <f>W10/'Output-Calculation-sheet'!W9*'Output-Calculation-sheet'!W45</f>
        <v>15.463853572703457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8.8690577848080601</v>
      </c>
    </row>
    <row r="55" spans="1:27" x14ac:dyDescent="0.25">
      <c r="A55" s="2">
        <v>2034</v>
      </c>
      <c r="B55" s="2">
        <f>B11/'Output-Calculation-sheet'!B10*'Output-Calculation-sheet'!B46</f>
        <v>9191.5729659390236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612.53601745073092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602.64396096921746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487.8004405733891</v>
      </c>
      <c r="Q55" s="2">
        <f>Q11/'Output-Calculation-sheet'!Q10*'Output-Calculation-sheet'!Q46</f>
        <v>0</v>
      </c>
      <c r="R55" s="2">
        <f>R11/'Output-Calculation-sheet'!R10*'Output-Calculation-sheet'!R46</f>
        <v>1266.2430177726396</v>
      </c>
      <c r="S55" s="2">
        <f>S11/'Output-Calculation-sheet'!S10*'Output-Calculation-sheet'!S46</f>
        <v>0</v>
      </c>
      <c r="T55" s="2">
        <f>T11/'Output-Calculation-sheet'!T10*'Output-Calculation-sheet'!T46</f>
        <v>658.5673390349491</v>
      </c>
      <c r="U55" s="2">
        <f>U11/'Output-Calculation-sheet'!U10*'Output-Calculation-sheet'!U46</f>
        <v>206.65003947850792</v>
      </c>
      <c r="V55" s="2">
        <f>V11/'Output-Calculation-sheet'!V10*'Output-Calculation-sheet'!V46</f>
        <v>992.49746051223497</v>
      </c>
      <c r="W55" s="2">
        <f>W11/'Output-Calculation-sheet'!W10*'Output-Calculation-sheet'!W46</f>
        <v>27.596317159629873</v>
      </c>
      <c r="X55" s="2">
        <f>X11/'Output-Calculation-sheet'!X10*'Output-Calculation-sheet'!X46</f>
        <v>66.009539883815393</v>
      </c>
      <c r="Y55" s="2">
        <f>Y11/'Output-Calculation-sheet'!Y10*'Output-Calculation-sheet'!Y46</f>
        <v>0</v>
      </c>
      <c r="AA55" s="2">
        <f t="shared" si="3"/>
        <v>14.112117098774139</v>
      </c>
    </row>
    <row r="56" spans="1:27" x14ac:dyDescent="0.25">
      <c r="A56" s="2">
        <v>2035</v>
      </c>
      <c r="B56" s="2">
        <f>B12/'Output-Calculation-sheet'!B11*'Output-Calculation-sheet'!B47</f>
        <v>20052.683726720428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739.99559172747206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715.98642761617918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681.54335980778023</v>
      </c>
      <c r="Q56" s="2">
        <f>Q12/'Output-Calculation-sheet'!Q11*'Output-Calculation-sheet'!Q47</f>
        <v>0</v>
      </c>
      <c r="R56" s="2">
        <f>R12/'Output-Calculation-sheet'!R11*'Output-Calculation-sheet'!R47</f>
        <v>1556.7187831027652</v>
      </c>
      <c r="S56" s="2">
        <f>S12/'Output-Calculation-sheet'!S11*'Output-Calculation-sheet'!S47</f>
        <v>0</v>
      </c>
      <c r="T56" s="2">
        <f>T12/'Output-Calculation-sheet'!T11*'Output-Calculation-sheet'!T47</f>
        <v>738.54713742154468</v>
      </c>
      <c r="U56" s="2">
        <f>U12/'Output-Calculation-sheet'!U11*'Output-Calculation-sheet'!U47</f>
        <v>282.83421945495184</v>
      </c>
      <c r="V56" s="2">
        <f>V12/'Output-Calculation-sheet'!V11*'Output-Calculation-sheet'!V47</f>
        <v>1008.6701111529746</v>
      </c>
      <c r="W56" s="2">
        <f>W12/'Output-Calculation-sheet'!W11*'Output-Calculation-sheet'!W47</f>
        <v>39.343804604050206</v>
      </c>
      <c r="X56" s="2">
        <f>X12/'Output-Calculation-sheet'!X11*'Output-Calculation-sheet'!X47</f>
        <v>155.28012668790564</v>
      </c>
      <c r="Y56" s="2">
        <f>Y12/'Output-Calculation-sheet'!Y11*'Output-Calculation-sheet'!Y47</f>
        <v>0</v>
      </c>
      <c r="AA56" s="2">
        <f t="shared" si="3"/>
        <v>25.971603288296048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 t="shared" ref="AA60:AA67" si="4"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si="4"/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6.7640612276230154</v>
      </c>
      <c r="C63" s="2">
        <f>C8*'Output-Calculation-sheet'!C52/10^9</f>
        <v>3.4285455381950998</v>
      </c>
      <c r="D63" s="2">
        <f>D8*'Output-Calculation-sheet'!D52/10^9</f>
        <v>1.197743697482222</v>
      </c>
      <c r="E63" s="2">
        <f>E8*'Output-Calculation-sheet'!E52/10^9</f>
        <v>1.5422012110343151</v>
      </c>
      <c r="F63" s="2">
        <f>F8*'Output-Calculation-sheet'!F52/10^9</f>
        <v>0.64148217375222327</v>
      </c>
      <c r="G63" s="2">
        <f>G8*'Output-Calculation-sheet'!G52/10^9</f>
        <v>0.46027872042905893</v>
      </c>
      <c r="H63" s="2">
        <f>H8*'Output-Calculation-sheet'!H52/10^9</f>
        <v>0.88912327352101417</v>
      </c>
      <c r="I63" s="2">
        <f>I8*'Output-Calculation-sheet'!I52/10^9</f>
        <v>0.41261041908727764</v>
      </c>
      <c r="J63" s="2">
        <f>J8*'Output-Calculation-sheet'!J52/10^9</f>
        <v>0.44357232620970471</v>
      </c>
      <c r="K63" s="2">
        <f>K8*'Output-Calculation-sheet'!K52/10^9</f>
        <v>0.45296458501312975</v>
      </c>
      <c r="L63" s="2">
        <f>L8*'Output-Calculation-sheet'!L52/10^9</f>
        <v>0.47108806485105992</v>
      </c>
      <c r="M63" s="2">
        <f>M8*'Output-Calculation-sheet'!M52/10^9</f>
        <v>0.6723204988593281</v>
      </c>
      <c r="N63" s="2">
        <f>N8*'Output-Calculation-sheet'!N52/10^9</f>
        <v>0.56803317901548922</v>
      </c>
      <c r="O63" s="2">
        <f>O8*'Output-Calculation-sheet'!O52/10^9</f>
        <v>0.58844686772579202</v>
      </c>
      <c r="P63" s="2">
        <f>P8*'Output-Calculation-sheet'!P52/10^9</f>
        <v>0.48768905536248647</v>
      </c>
      <c r="Q63" s="2">
        <f>Q8*'Output-Calculation-sheet'!Q52/10^9</f>
        <v>0.46134998107154496</v>
      </c>
      <c r="R63" s="2">
        <f>R8*'Output-Calculation-sheet'!R52/10^9</f>
        <v>0.38866038208627318</v>
      </c>
      <c r="S63" s="2">
        <f>S8*'Output-Calculation-sheet'!S52/10^9</f>
        <v>0.35734903308697996</v>
      </c>
      <c r="T63" s="2">
        <f>T8*'Output-Calculation-sheet'!T52/10^9</f>
        <v>0.12726922192659729</v>
      </c>
      <c r="U63" s="2">
        <f>U8*'Output-Calculation-sheet'!U52/10^9</f>
        <v>0.12484222577703097</v>
      </c>
      <c r="V63" s="2">
        <f>V8*'Output-Calculation-sheet'!V52/10^9</f>
        <v>0.11189187431076966</v>
      </c>
      <c r="W63" s="2">
        <f>W8*'Output-Calculation-sheet'!W52/10^9</f>
        <v>5.8409416236933902E-2</v>
      </c>
      <c r="X63" s="2">
        <f>X8*'Output-Calculation-sheet'!X52/10^9</f>
        <v>9.4390873144658979E-2</v>
      </c>
      <c r="Y63" s="2">
        <f>Y8*'Output-Calculation-sheet'!Y52/10^9</f>
        <v>4.8684921489123852E-2</v>
      </c>
      <c r="AA63" s="2">
        <f t="shared" si="4"/>
        <v>20.793008767291131</v>
      </c>
    </row>
    <row r="64" spans="1:27" x14ac:dyDescent="0.25">
      <c r="A64" s="2">
        <v>2032</v>
      </c>
      <c r="B64" s="2">
        <f>B9*'Output-Calculation-sheet'!B53/10^9</f>
        <v>7.2517159095555819</v>
      </c>
      <c r="C64" s="2">
        <f>C9*'Output-Calculation-sheet'!C53/10^9</f>
        <v>3.672437893654267</v>
      </c>
      <c r="D64" s="2">
        <f>D9*'Output-Calculation-sheet'!D53/10^9</f>
        <v>1.2864031061228978</v>
      </c>
      <c r="E64" s="2">
        <f>E9*'Output-Calculation-sheet'!E53/10^9</f>
        <v>1.6565733838324268</v>
      </c>
      <c r="F64" s="2">
        <f>F9*'Output-Calculation-sheet'!F53/10^9</f>
        <v>0.68845743852471741</v>
      </c>
      <c r="G64" s="2">
        <f>G9*'Output-Calculation-sheet'!G53/10^9</f>
        <v>0.49424360163033343</v>
      </c>
      <c r="H64" s="2">
        <f>H9*'Output-Calculation-sheet'!H53/10^9</f>
        <v>0.95119956992668797</v>
      </c>
      <c r="I64" s="2">
        <f>I9*'Output-Calculation-sheet'!I53/10^9</f>
        <v>0.44310925870220619</v>
      </c>
      <c r="J64" s="2">
        <f>J9*'Output-Calculation-sheet'!J53/10^9</f>
        <v>0.47621209888071592</v>
      </c>
      <c r="K64" s="2">
        <f>K9*'Output-Calculation-sheet'!K53/10^9</f>
        <v>0.48658585246146657</v>
      </c>
      <c r="L64" s="2">
        <f>L9*'Output-Calculation-sheet'!L53/10^9</f>
        <v>0.50589853570748944</v>
      </c>
      <c r="M64" s="2">
        <f>M9*'Output-Calculation-sheet'!M53/10^9</f>
        <v>0.71943484145161563</v>
      </c>
      <c r="N64" s="2">
        <f>N9*'Output-Calculation-sheet'!N53/10^9</f>
        <v>0.60850910444423112</v>
      </c>
      <c r="O64" s="2">
        <f>O9*'Output-Calculation-sheet'!O53/10^9</f>
        <v>0.63050455199140321</v>
      </c>
      <c r="P64" s="2">
        <f>P9*'Output-Calculation-sheet'!P53/10^9</f>
        <v>0.52419410017853674</v>
      </c>
      <c r="Q64" s="2">
        <f>Q9*'Output-Calculation-sheet'!Q53/10^9</f>
        <v>0.49580831171922973</v>
      </c>
      <c r="R64" s="2">
        <f>R9*'Output-Calculation-sheet'!R53/10^9</f>
        <v>0.41701668495050209</v>
      </c>
      <c r="S64" s="2">
        <f>S9*'Output-Calculation-sheet'!S53/10^9</f>
        <v>0.38315641371339698</v>
      </c>
      <c r="T64" s="2">
        <f>T9*'Output-Calculation-sheet'!T53/10^9</f>
        <v>0.1362552617725957</v>
      </c>
      <c r="U64" s="2">
        <f>U9*'Output-Calculation-sheet'!U53/10^9</f>
        <v>0.1341369113273958</v>
      </c>
      <c r="V64" s="2">
        <f>V9*'Output-Calculation-sheet'!V53/10^9</f>
        <v>0.11939587707274658</v>
      </c>
      <c r="W64" s="2">
        <f>W9*'Output-Calculation-sheet'!W53/10^9</f>
        <v>6.2694958245875204E-2</v>
      </c>
      <c r="X64" s="2">
        <f>X9*'Output-Calculation-sheet'!X53/10^9</f>
        <v>0.1010772395884077</v>
      </c>
      <c r="Y64" s="2">
        <f>Y9*'Output-Calculation-sheet'!Y53/10^9</f>
        <v>5.2311567646159643E-2</v>
      </c>
      <c r="AA64" s="2">
        <f t="shared" si="4"/>
        <v>22.297332473100894</v>
      </c>
    </row>
    <row r="65" spans="1:27" x14ac:dyDescent="0.25">
      <c r="A65" s="2">
        <v>2033</v>
      </c>
      <c r="B65" s="2">
        <f>B10*'Output-Calculation-sheet'!B54/10^9</f>
        <v>7.5213511209440664</v>
      </c>
      <c r="C65" s="2">
        <f>C10*'Output-Calculation-sheet'!C54/10^9</f>
        <v>3.8077988306290549</v>
      </c>
      <c r="D65" s="2">
        <f>D10*'Output-Calculation-sheet'!D54/10^9</f>
        <v>1.3377566653757837</v>
      </c>
      <c r="E65" s="2">
        <f>E10*'Output-Calculation-sheet'!E54/10^9</f>
        <v>1.7229261299469667</v>
      </c>
      <c r="F65" s="2">
        <f>F10*'Output-Calculation-sheet'!F54/10^9</f>
        <v>0.71540654186134844</v>
      </c>
      <c r="G65" s="2">
        <f>G10*'Output-Calculation-sheet'!G54/10^9</f>
        <v>0.51374997805473921</v>
      </c>
      <c r="H65" s="2">
        <f>H10*'Output-Calculation-sheet'!H54/10^9</f>
        <v>0.9850710338472094</v>
      </c>
      <c r="I65" s="2">
        <f>I10*'Output-Calculation-sheet'!I54/10^9</f>
        <v>0.46075495780944409</v>
      </c>
      <c r="J65" s="2">
        <f>J10*'Output-Calculation-sheet'!J54/10^9</f>
        <v>0.49490963355735179</v>
      </c>
      <c r="K65" s="2">
        <f>K10*'Output-Calculation-sheet'!K54/10^9</f>
        <v>0.50610637945744963</v>
      </c>
      <c r="L65" s="2">
        <f>L10*'Output-Calculation-sheet'!L54/10^9</f>
        <v>0.52602847599153923</v>
      </c>
      <c r="M65" s="2">
        <f>M10*'Output-Calculation-sheet'!M54/10^9</f>
        <v>0.74522729530768106</v>
      </c>
      <c r="N65" s="2">
        <f>N10*'Output-Calculation-sheet'!N54/10^9</f>
        <v>0.63084137638554594</v>
      </c>
      <c r="O65" s="2">
        <f>O10*'Output-Calculation-sheet'!O54/10^9</f>
        <v>0.65386862587721917</v>
      </c>
      <c r="P65" s="2">
        <f>P10*'Output-Calculation-sheet'!P54/10^9</f>
        <v>0.54542796374788938</v>
      </c>
      <c r="Q65" s="2">
        <f>Q10*'Output-Calculation-sheet'!Q54/10^9</f>
        <v>0.5159180365501298</v>
      </c>
      <c r="R65" s="2">
        <f>R10*'Output-Calculation-sheet'!R54/10^9</f>
        <v>0.43310864680994193</v>
      </c>
      <c r="S65" s="2">
        <f>S10*'Output-Calculation-sheet'!S54/10^9</f>
        <v>0.39757331301340354</v>
      </c>
      <c r="T65" s="2">
        <f>T10*'Output-Calculation-sheet'!T54/10^9</f>
        <v>0.14119787175707138</v>
      </c>
      <c r="U65" s="2">
        <f>U10*'Output-Calculation-sheet'!U54/10^9</f>
        <v>0.13951244343792352</v>
      </c>
      <c r="V65" s="2">
        <f>V10*'Output-Calculation-sheet'!V54/10^9</f>
        <v>0.12334756028500873</v>
      </c>
      <c r="W65" s="2">
        <f>W10*'Output-Calculation-sheet'!W54/10^9</f>
        <v>6.5149980440569785E-2</v>
      </c>
      <c r="X65" s="2">
        <f>X10*'Output-Calculation-sheet'!X54/10^9</f>
        <v>0.10477864764843108</v>
      </c>
      <c r="Y65" s="2">
        <f>Y10*'Output-Calculation-sheet'!Y54/10^9</f>
        <v>5.4424046583343121E-2</v>
      </c>
      <c r="AA65" s="2">
        <f t="shared" si="4"/>
        <v>23.142235555319111</v>
      </c>
    </row>
    <row r="66" spans="1:27" x14ac:dyDescent="0.25">
      <c r="A66" s="2">
        <v>2034</v>
      </c>
      <c r="B66" s="2">
        <f>B11*'Output-Calculation-sheet'!B55/10^9</f>
        <v>7.6011405662575875</v>
      </c>
      <c r="C66" s="2">
        <f>C11*'Output-Calculation-sheet'!C55/10^9</f>
        <v>3.850374172816712</v>
      </c>
      <c r="D66" s="2">
        <f>D11*'Output-Calculation-sheet'!D55/10^9</f>
        <v>1.3570725495732578</v>
      </c>
      <c r="E66" s="2">
        <f>E11*'Output-Calculation-sheet'!E55/10^9</f>
        <v>1.7480154405379917</v>
      </c>
      <c r="F66" s="2">
        <f>F11*'Output-Calculation-sheet'!F55/10^9</f>
        <v>0.72518426992933172</v>
      </c>
      <c r="G66" s="2">
        <f>G11*'Output-Calculation-sheet'!G55/10^9</f>
        <v>0.5208510165886252</v>
      </c>
      <c r="H66" s="2">
        <f>H11*'Output-Calculation-sheet'!H55/10^9</f>
        <v>0.9949044649214609</v>
      </c>
      <c r="I66" s="2">
        <f>I11*'Output-Calculation-sheet'!I55/10^9</f>
        <v>0.46735889428821836</v>
      </c>
      <c r="J66" s="2">
        <f>J11*'Output-Calculation-sheet'!J55/10^9</f>
        <v>0.5016238629470936</v>
      </c>
      <c r="K66" s="2">
        <f>K11*'Output-Calculation-sheet'!K55/10^9</f>
        <v>0.51350320013708339</v>
      </c>
      <c r="L66" s="2">
        <f>L11*'Output-Calculation-sheet'!L55/10^9</f>
        <v>0.53320412544004858</v>
      </c>
      <c r="M66" s="2">
        <f>M11*'Output-Calculation-sheet'!M55/10^9</f>
        <v>0.75282746606175466</v>
      </c>
      <c r="N66" s="2">
        <f>N11*'Output-Calculation-sheet'!N55/10^9</f>
        <v>0.6376599783716389</v>
      </c>
      <c r="O66" s="2">
        <f>O11*'Output-Calculation-sheet'!O55/10^9</f>
        <v>0.66126107465456485</v>
      </c>
      <c r="P66" s="2">
        <f>P11*'Output-Calculation-sheet'!P55/10^9</f>
        <v>0.55338867115946067</v>
      </c>
      <c r="Q66" s="2">
        <f>Q11*'Output-Calculation-sheet'!Q55/10^9</f>
        <v>0.52368178375494479</v>
      </c>
      <c r="R66" s="2">
        <f>R11*'Output-Calculation-sheet'!R55/10^9</f>
        <v>0.43862118961833357</v>
      </c>
      <c r="S66" s="2">
        <f>S11*'Output-Calculation-sheet'!S55/10^9</f>
        <v>0.40225965621469922</v>
      </c>
      <c r="T66" s="2">
        <f>T11*'Output-Calculation-sheet'!T55/10^9</f>
        <v>0.14270580575444622</v>
      </c>
      <c r="U66" s="2">
        <f>U11*'Output-Calculation-sheet'!U55/10^9</f>
        <v>0.14151115289669583</v>
      </c>
      <c r="V66" s="2">
        <f>V11*'Output-Calculation-sheet'!V55/10^9</f>
        <v>0.12430733900975277</v>
      </c>
      <c r="W66" s="2">
        <f>W11*'Output-Calculation-sheet'!W55/10^9</f>
        <v>6.6034530120632651E-2</v>
      </c>
      <c r="X66" s="2">
        <f>X11*'Output-Calculation-sheet'!X55/10^9</f>
        <v>0.10587470611156735</v>
      </c>
      <c r="Y66" s="2">
        <f>Y11*'Output-Calculation-sheet'!Y55/10^9</f>
        <v>5.52342385195594E-2</v>
      </c>
      <c r="AA66" s="2">
        <f t="shared" si="4"/>
        <v>23.418600155685464</v>
      </c>
    </row>
    <row r="67" spans="1:27" x14ac:dyDescent="0.25">
      <c r="A67" s="2">
        <v>2035</v>
      </c>
      <c r="B67" s="2">
        <f>B12*'Output-Calculation-sheet'!B56/10^9</f>
        <v>7.5041353914099451</v>
      </c>
      <c r="C67" s="2">
        <f>C12*'Output-Calculation-sheet'!C56/10^9</f>
        <v>3.8090562207778045</v>
      </c>
      <c r="D67" s="2">
        <f>D12*'Output-Calculation-sheet'!D56/10^9</f>
        <v>1.3472036837125334</v>
      </c>
      <c r="E67" s="2">
        <f>E12*'Output-Calculation-sheet'!E56/10^9</f>
        <v>1.7355104438243778</v>
      </c>
      <c r="F67" s="2">
        <f>F12*'Output-Calculation-sheet'!F56/10^9</f>
        <v>0.71935550551672156</v>
      </c>
      <c r="G67" s="2">
        <f>G12*'Output-Calculation-sheet'!G56/10^9</f>
        <v>0.51663930640902123</v>
      </c>
      <c r="H67" s="2">
        <f>H12*'Output-Calculation-sheet'!H56/10^9</f>
        <v>0.98306180965253886</v>
      </c>
      <c r="I67" s="2">
        <f>I12*'Output-Calculation-sheet'!I56/10^9</f>
        <v>0.4639086140093725</v>
      </c>
      <c r="J67" s="2">
        <f>J12*'Output-Calculation-sheet'!J56/10^9</f>
        <v>0.4974692674160594</v>
      </c>
      <c r="K67" s="2">
        <f>K12*'Output-Calculation-sheet'!K56/10^9</f>
        <v>0.50985411082232546</v>
      </c>
      <c r="L67" s="2">
        <f>L12*'Output-Calculation-sheet'!L56/10^9</f>
        <v>0.52842920833281148</v>
      </c>
      <c r="M67" s="2">
        <f>M12*'Output-Calculation-sheet'!M56/10^9</f>
        <v>0.74401034199345417</v>
      </c>
      <c r="N67" s="2">
        <f>N12*'Output-Calculation-sheet'!N56/10^9</f>
        <v>0.63053442238560597</v>
      </c>
      <c r="O67" s="2">
        <f>O12*'Output-Calculation-sheet'!O56/10^9</f>
        <v>0.65414561945708749</v>
      </c>
      <c r="P67" s="2">
        <f>P12*'Output-Calculation-sheet'!P56/10^9</f>
        <v>0.5492606934018418</v>
      </c>
      <c r="Q67" s="2">
        <f>Q12*'Output-Calculation-sheet'!Q56/10^9</f>
        <v>0.52014069416410869</v>
      </c>
      <c r="R67" s="2">
        <f>R12*'Output-Calculation-sheet'!R56/10^9</f>
        <v>0.43454383754989684</v>
      </c>
      <c r="S67" s="2">
        <f>S12*'Output-Calculation-sheet'!S56/10^9</f>
        <v>0.39818027343246576</v>
      </c>
      <c r="T67" s="2">
        <f>T12*'Output-Calculation-sheet'!T56/10^9</f>
        <v>0.141112193933876</v>
      </c>
      <c r="U67" s="2">
        <f>U12*'Output-Calculation-sheet'!U56/10^9</f>
        <v>0.14041606027706674</v>
      </c>
      <c r="V67" s="2">
        <f>V12*'Output-Calculation-sheet'!V56/10^9</f>
        <v>0.12258406998995949</v>
      </c>
      <c r="W67" s="2">
        <f>W12*'Output-Calculation-sheet'!W56/10^9</f>
        <v>6.5489433992441601E-2</v>
      </c>
      <c r="X67" s="2">
        <f>X12*'Output-Calculation-sheet'!X56/10^9</f>
        <v>0.10455233365186235</v>
      </c>
      <c r="Y67" s="2">
        <f>Y12*'Output-Calculation-sheet'!Y56/10^9</f>
        <v>5.4857032006343315E-2</v>
      </c>
      <c r="AA67" s="2">
        <f t="shared" si="4"/>
        <v>23.174450568119518</v>
      </c>
    </row>
    <row r="68" spans="1:27" x14ac:dyDescent="0.25">
      <c r="B68" s="2">
        <f>SUM(B60:B67)</f>
        <v>51.234641305624635</v>
      </c>
      <c r="C68" s="2">
        <f t="shared" ref="C68:Y68" si="5">SUM(C60:C67)</f>
        <v>25.952701436365825</v>
      </c>
      <c r="D68" s="2">
        <f t="shared" si="5"/>
        <v>9.1069562292322406</v>
      </c>
      <c r="E68" s="2">
        <f t="shared" si="5"/>
        <v>11.726961012651664</v>
      </c>
      <c r="F68" s="2">
        <f t="shared" si="5"/>
        <v>4.8747835543879816</v>
      </c>
      <c r="G68" s="2">
        <f t="shared" si="5"/>
        <v>3.4972412414055571</v>
      </c>
      <c r="H68" s="2">
        <f t="shared" si="5"/>
        <v>6.7231667824108632</v>
      </c>
      <c r="I68" s="2">
        <f t="shared" si="5"/>
        <v>3.1369981855073124</v>
      </c>
      <c r="J68" s="2">
        <f t="shared" si="5"/>
        <v>3.3700901251452122</v>
      </c>
      <c r="K68" s="2">
        <f t="shared" si="5"/>
        <v>3.4444792425099258</v>
      </c>
      <c r="L68" s="2">
        <f t="shared" si="5"/>
        <v>3.5800311356300081</v>
      </c>
      <c r="M68" s="2">
        <f t="shared" si="5"/>
        <v>5.0848437593824887</v>
      </c>
      <c r="N68" s="2">
        <f t="shared" si="5"/>
        <v>4.300097651814248</v>
      </c>
      <c r="O68" s="2">
        <f t="shared" si="5"/>
        <v>4.4517747966139716</v>
      </c>
      <c r="P68" s="2">
        <f t="shared" si="5"/>
        <v>3.70849739959578</v>
      </c>
      <c r="Q68" s="2">
        <f t="shared" si="5"/>
        <v>3.5092433051318102</v>
      </c>
      <c r="R68" s="2">
        <f t="shared" si="5"/>
        <v>2.9499988516224076</v>
      </c>
      <c r="S68" s="2">
        <f t="shared" si="5"/>
        <v>2.7082958269897484</v>
      </c>
      <c r="T68" s="2">
        <f t="shared" si="5"/>
        <v>0.96519248338779573</v>
      </c>
      <c r="U68" s="2">
        <f t="shared" si="5"/>
        <v>0.94884937691732596</v>
      </c>
      <c r="V68" s="2">
        <f t="shared" si="5"/>
        <v>0.84833064669052693</v>
      </c>
      <c r="W68" s="2">
        <f t="shared" si="5"/>
        <v>0.44383951654612319</v>
      </c>
      <c r="X68" s="2">
        <f t="shared" si="5"/>
        <v>0.71413570925549175</v>
      </c>
      <c r="Y68" s="2">
        <f t="shared" si="5"/>
        <v>0.37028791553062246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51.324499574535949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45.686533635522174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181.27380780332953</v>
      </c>
      <c r="S74" s="2">
        <f>S8/'Output-Calculation-sheet'!S7*'Output-Calculation-sheet'!S61</f>
        <v>0</v>
      </c>
      <c r="T74" s="2">
        <f>T8/'Output-Calculation-sheet'!T7*'Output-Calculation-sheet'!T61</f>
        <v>133.53988272100213</v>
      </c>
      <c r="U74" s="2">
        <f>U8/'Output-Calculation-sheet'!U7*'Output-Calculation-sheet'!U61</f>
        <v>16.916387312122314</v>
      </c>
      <c r="V74" s="2">
        <f>V8/'Output-Calculation-sheet'!V7*'Output-Calculation-sheet'!V61</f>
        <v>153.28462344202515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0.58202573448853734</v>
      </c>
    </row>
    <row r="75" spans="1:27" x14ac:dyDescent="0.25">
      <c r="A75" s="2">
        <v>2032</v>
      </c>
      <c r="B75" s="2">
        <f>B9/'Output-Calculation-sheet'!B8*'Output-Calculation-sheet'!B62</f>
        <v>546.24271085426255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110.78274351878319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88.760068606193613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234.85682532358715</v>
      </c>
      <c r="S75" s="2">
        <f>S9/'Output-Calculation-sheet'!S8*'Output-Calculation-sheet'!S62</f>
        <v>0</v>
      </c>
      <c r="T75" s="2">
        <f>T9/'Output-Calculation-sheet'!T8*'Output-Calculation-sheet'!T62</f>
        <v>155.12849801092199</v>
      </c>
      <c r="U75" s="2">
        <f>U9/'Output-Calculation-sheet'!U8*'Output-Calculation-sheet'!U62</f>
        <v>31.710282215366959</v>
      </c>
      <c r="V75" s="2">
        <f>V9/'Output-Calculation-sheet'!V8*'Output-Calculation-sheet'!V62</f>
        <v>166.17626204038967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1.3336573905695053</v>
      </c>
    </row>
    <row r="76" spans="1:27" x14ac:dyDescent="0.25">
      <c r="A76" s="2">
        <v>2033</v>
      </c>
      <c r="B76" s="2">
        <f>B10/'Output-Calculation-sheet'!B9*'Output-Calculation-sheet'!B63</f>
        <v>1382.0033924322897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162.11779788882845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154.6371584745045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69.762734231276596</v>
      </c>
      <c r="Q76" s="2">
        <f>Q10/'Output-Calculation-sheet'!Q9*'Output-Calculation-sheet'!Q63</f>
        <v>0</v>
      </c>
      <c r="R76" s="2">
        <f>R10/'Output-Calculation-sheet'!R9*'Output-Calculation-sheet'!R63</f>
        <v>297.12965596404609</v>
      </c>
      <c r="S76" s="2">
        <f>S10/'Output-Calculation-sheet'!S9*'Output-Calculation-sheet'!S63</f>
        <v>0</v>
      </c>
      <c r="T76" s="2">
        <f>T10/'Output-Calculation-sheet'!T9*'Output-Calculation-sheet'!T63</f>
        <v>173.66299859754801</v>
      </c>
      <c r="U76" s="2">
        <f>U10/'Output-Calculation-sheet'!U9*'Output-Calculation-sheet'!U63</f>
        <v>50.511207995225568</v>
      </c>
      <c r="V76" s="2">
        <f>V10/'Output-Calculation-sheet'!V9*'Output-Calculation-sheet'!V63</f>
        <v>180.37669481090546</v>
      </c>
      <c r="W76" s="2">
        <f>W10/'Output-Calculation-sheet'!W9*'Output-Calculation-sheet'!W63</f>
        <v>5.6636363710026414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2.4758652767656266</v>
      </c>
    </row>
    <row r="77" spans="1:27" x14ac:dyDescent="0.25">
      <c r="A77" s="2">
        <v>2034</v>
      </c>
      <c r="B77" s="2">
        <f>B11/'Output-Calculation-sheet'!B10*'Output-Calculation-sheet'!B64</f>
        <v>2355.6077694104197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224.38161481353092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208.57220515829869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134.63292159825539</v>
      </c>
      <c r="Q77" s="2">
        <f>Q11/'Output-Calculation-sheet'!Q10*'Output-Calculation-sheet'!Q64</f>
        <v>0</v>
      </c>
      <c r="R77" s="2">
        <f>R11/'Output-Calculation-sheet'!R10*'Output-Calculation-sheet'!R64</f>
        <v>349.72164043033615</v>
      </c>
      <c r="S77" s="2">
        <f>S11/'Output-Calculation-sheet'!S10*'Output-Calculation-sheet'!S64</f>
        <v>0</v>
      </c>
      <c r="T77" s="2">
        <f>T11/'Output-Calculation-sheet'!T10*'Output-Calculation-sheet'!T64</f>
        <v>188.37062702602745</v>
      </c>
      <c r="U77" s="2">
        <f>U11/'Output-Calculation-sheet'!U10*'Output-Calculation-sheet'!U64</f>
        <v>63.860766485701191</v>
      </c>
      <c r="V77" s="2">
        <f>V11/'Output-Calculation-sheet'!V10*'Output-Calculation-sheet'!V64</f>
        <v>190.7507275254203</v>
      </c>
      <c r="W77" s="2">
        <f>W11/'Output-Calculation-sheet'!W10*'Output-Calculation-sheet'!W64</f>
        <v>10.108136742470142</v>
      </c>
      <c r="X77" s="2">
        <f>X11/'Output-Calculation-sheet'!X10*'Output-Calculation-sheet'!X64</f>
        <v>18.13612108307828</v>
      </c>
      <c r="Y77" s="2">
        <f>Y11/'Output-Calculation-sheet'!Y10*'Output-Calculation-sheet'!Y64</f>
        <v>0</v>
      </c>
      <c r="AA77" s="2">
        <f t="shared" si="6"/>
        <v>3.7441425302735385</v>
      </c>
    </row>
    <row r="78" spans="1:27" x14ac:dyDescent="0.25">
      <c r="A78" s="2">
        <v>2035</v>
      </c>
      <c r="B78" s="2">
        <f>B12/'Output-Calculation-sheet'!B11*'Output-Calculation-sheet'!B65</f>
        <v>4137.4659668057739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267.55666699155034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236.30416057044377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191.96155545671709</v>
      </c>
      <c r="Q78" s="2">
        <f>Q12/'Output-Calculation-sheet'!Q11*'Output-Calculation-sheet'!Q65</f>
        <v>0</v>
      </c>
      <c r="R78" s="2">
        <f>R12/'Output-Calculation-sheet'!R11*'Output-Calculation-sheet'!R65</f>
        <v>421.3946174166062</v>
      </c>
      <c r="S78" s="2">
        <f>S12/'Output-Calculation-sheet'!S11*'Output-Calculation-sheet'!S65</f>
        <v>0</v>
      </c>
      <c r="T78" s="2">
        <f>T12/'Output-Calculation-sheet'!T11*'Output-Calculation-sheet'!T65</f>
        <v>203.96774750275927</v>
      </c>
      <c r="U78" s="2">
        <f>U12/'Output-Calculation-sheet'!U11*'Output-Calculation-sheet'!U65</f>
        <v>79.305536659254102</v>
      </c>
      <c r="V78" s="2">
        <f>V12/'Output-Calculation-sheet'!V11*'Output-Calculation-sheet'!V65</f>
        <v>192.43335683631503</v>
      </c>
      <c r="W78" s="2">
        <f>W12/'Output-Calculation-sheet'!W11*'Output-Calculation-sheet'!W65</f>
        <v>14.411635626463589</v>
      </c>
      <c r="X78" s="2">
        <f>X12/'Output-Calculation-sheet'!X11*'Output-Calculation-sheet'!X65</f>
        <v>39.356453927807358</v>
      </c>
      <c r="Y78" s="2">
        <f>Y12/'Output-Calculation-sheet'!Y11*'Output-Calculation-sheet'!Y65</f>
        <v>0</v>
      </c>
      <c r="AA78" s="2">
        <f t="shared" si="6"/>
        <v>5.7841576977936917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 t="shared" ref="AA93:AA100" si="8"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si="8"/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14852409902.040308</v>
      </c>
      <c r="C96" s="2">
        <f>C8/'Output-Calculation-sheet'!C7*'Output-Calculation-sheet'!C79</f>
        <v>1828174387.1363096</v>
      </c>
      <c r="D96" s="2">
        <f>D8/'Output-Calculation-sheet'!D7*'Output-Calculation-sheet'!D79</f>
        <v>6474125262.5793705</v>
      </c>
      <c r="E96" s="2">
        <f>E8/'Output-Calculation-sheet'!E7*'Output-Calculation-sheet'!E79</f>
        <v>11069291204.97843</v>
      </c>
      <c r="F96" s="2">
        <f>F8/'Output-Calculation-sheet'!F7*'Output-Calculation-sheet'!F79</f>
        <v>4981550476.4580259</v>
      </c>
      <c r="G96" s="2">
        <f>G8/'Output-Calculation-sheet'!G7*'Output-Calculation-sheet'!G79</f>
        <v>3783713828.4595227</v>
      </c>
      <c r="H96" s="2">
        <f>H8/'Output-Calculation-sheet'!H7*'Output-Calculation-sheet'!H79</f>
        <v>1100811415.8930023</v>
      </c>
      <c r="I96" s="2">
        <f>I8/'Output-Calculation-sheet'!I7*'Output-Calculation-sheet'!I79</f>
        <v>2538012633.6829824</v>
      </c>
      <c r="J96" s="2">
        <f>J8/'Output-Calculation-sheet'!J7*'Output-Calculation-sheet'!J79</f>
        <v>1880711344.5511239</v>
      </c>
      <c r="K96" s="2">
        <f>K8/'Output-Calculation-sheet'!K7*'Output-Calculation-sheet'!K79</f>
        <v>2174575119.9314461</v>
      </c>
      <c r="L96" s="2">
        <f>L8/'Output-Calculation-sheet'!L7*'Output-Calculation-sheet'!L79</f>
        <v>1729834551.6112518</v>
      </c>
      <c r="M96" s="2">
        <f>M8/'Output-Calculation-sheet'!M7*'Output-Calculation-sheet'!M79</f>
        <v>855782640.17827165</v>
      </c>
      <c r="N96" s="2">
        <f>N8/'Output-Calculation-sheet'!N7*'Output-Calculation-sheet'!N79</f>
        <v>869132180.28127003</v>
      </c>
      <c r="O96" s="2">
        <f>O8/'Output-Calculation-sheet'!O7*'Output-Calculation-sheet'!O79</f>
        <v>212155246.54426435</v>
      </c>
      <c r="P96" s="2">
        <f>P8/'Output-Calculation-sheet'!P7*'Output-Calculation-sheet'!P79</f>
        <v>2311592808.883832</v>
      </c>
      <c r="Q96" s="2">
        <f>Q8/'Output-Calculation-sheet'!Q7*'Output-Calculation-sheet'!Q79</f>
        <v>1025033469.5132633</v>
      </c>
      <c r="R96" s="2">
        <f>R8/'Output-Calculation-sheet'!R7*'Output-Calculation-sheet'!R79</f>
        <v>1559571751.0343761</v>
      </c>
      <c r="S96" s="2">
        <f>S8/'Output-Calculation-sheet'!S7*'Output-Calculation-sheet'!S79</f>
        <v>609592735.61268032</v>
      </c>
      <c r="T96" s="2">
        <f>T8/'Output-Calculation-sheet'!T7*'Output-Calculation-sheet'!T79</f>
        <v>825583155.56852973</v>
      </c>
      <c r="U96" s="2">
        <f>U8/'Output-Calculation-sheet'!U7*'Output-Calculation-sheet'!U79</f>
        <v>410044146.85484022</v>
      </c>
      <c r="V96" s="2">
        <f>V8/'Output-Calculation-sheet'!V7*'Output-Calculation-sheet'!V79</f>
        <v>302148862.38772726</v>
      </c>
      <c r="W96" s="2">
        <f>W8/'Output-Calculation-sheet'!W7*'Output-Calculation-sheet'!W79</f>
        <v>804937815.75637436</v>
      </c>
      <c r="X96" s="2">
        <f>X8/'Output-Calculation-sheet'!X7*'Output-Calculation-sheet'!X79</f>
        <v>95383378.960834593</v>
      </c>
      <c r="Y96" s="2">
        <f>Y8/'Output-Calculation-sheet'!Y7*'Output-Calculation-sheet'!Y79</f>
        <v>361246204.12634724</v>
      </c>
      <c r="AA96" s="2">
        <f t="shared" si="8"/>
        <v>62.655414523024398</v>
      </c>
    </row>
    <row r="97" spans="1:27" x14ac:dyDescent="0.25">
      <c r="A97" s="2">
        <v>2032</v>
      </c>
      <c r="B97" s="2">
        <f>B9/'Output-Calculation-sheet'!B8*'Output-Calculation-sheet'!B80</f>
        <v>16246768208.916166</v>
      </c>
      <c r="C97" s="2">
        <f>C9/'Output-Calculation-sheet'!C8*'Output-Calculation-sheet'!C80</f>
        <v>2041134288.4830351</v>
      </c>
      <c r="D97" s="2">
        <f>D9/'Output-Calculation-sheet'!D8*'Output-Calculation-sheet'!D80</f>
        <v>6722466684.5062361</v>
      </c>
      <c r="E97" s="2">
        <f>E9/'Output-Calculation-sheet'!E8*'Output-Calculation-sheet'!E80</f>
        <v>11835611900.098507</v>
      </c>
      <c r="F97" s="2">
        <f>F9/'Output-Calculation-sheet'!F8*'Output-Calculation-sheet'!F80</f>
        <v>5314120031.7076149</v>
      </c>
      <c r="G97" s="2">
        <f>G9/'Output-Calculation-sheet'!G8*'Output-Calculation-sheet'!G80</f>
        <v>3933410415.532825</v>
      </c>
      <c r="H97" s="2">
        <f>H9/'Output-Calculation-sheet'!H8*'Output-Calculation-sheet'!H80</f>
        <v>1191848778.6668327</v>
      </c>
      <c r="I97" s="2">
        <f>I9/'Output-Calculation-sheet'!I8*'Output-Calculation-sheet'!I80</f>
        <v>2732034225.1365652</v>
      </c>
      <c r="J97" s="2">
        <f>J9/'Output-Calculation-sheet'!J8*'Output-Calculation-sheet'!J80</f>
        <v>1971322356.8346148</v>
      </c>
      <c r="K97" s="2">
        <f>K9/'Output-Calculation-sheet'!K8*'Output-Calculation-sheet'!K80</f>
        <v>2294677262.185699</v>
      </c>
      <c r="L97" s="2">
        <f>L9/'Output-Calculation-sheet'!L8*'Output-Calculation-sheet'!L80</f>
        <v>1881504637.7658484</v>
      </c>
      <c r="M97" s="2">
        <f>M9/'Output-Calculation-sheet'!M8*'Output-Calculation-sheet'!M80</f>
        <v>926402732.6663307</v>
      </c>
      <c r="N97" s="2">
        <f>N9/'Output-Calculation-sheet'!N8*'Output-Calculation-sheet'!N80</f>
        <v>918182760.4352895</v>
      </c>
      <c r="O97" s="2">
        <f>O9/'Output-Calculation-sheet'!O8*'Output-Calculation-sheet'!O80</f>
        <v>239628422.65101409</v>
      </c>
      <c r="P97" s="2">
        <f>P9/'Output-Calculation-sheet'!P8*'Output-Calculation-sheet'!P80</f>
        <v>2436895525.816606</v>
      </c>
      <c r="Q97" s="2">
        <f>Q9/'Output-Calculation-sheet'!Q8*'Output-Calculation-sheet'!Q80</f>
        <v>1083582014.7853539</v>
      </c>
      <c r="R97" s="2">
        <f>R9/'Output-Calculation-sheet'!R8*'Output-Calculation-sheet'!R80</f>
        <v>1686213128.0677037</v>
      </c>
      <c r="S97" s="2">
        <f>S9/'Output-Calculation-sheet'!S8*'Output-Calculation-sheet'!S80</f>
        <v>650319443.88764989</v>
      </c>
      <c r="T97" s="2">
        <f>T9/'Output-Calculation-sheet'!T8*'Output-Calculation-sheet'!T80</f>
        <v>869543127.81636155</v>
      </c>
      <c r="U97" s="2">
        <f>U9/'Output-Calculation-sheet'!U8*'Output-Calculation-sheet'!U80</f>
        <v>441311471.39443922</v>
      </c>
      <c r="V97" s="2">
        <f>V9/'Output-Calculation-sheet'!V8*'Output-Calculation-sheet'!V80</f>
        <v>325083102.75243491</v>
      </c>
      <c r="W97" s="2">
        <f>W9/'Output-Calculation-sheet'!W8*'Output-Calculation-sheet'!W80</f>
        <v>850142632.70296896</v>
      </c>
      <c r="X97" s="2">
        <f>X9/'Output-Calculation-sheet'!X8*'Output-Calculation-sheet'!X80</f>
        <v>104109057.18503678</v>
      </c>
      <c r="Y97" s="2">
        <f>Y9/'Output-Calculation-sheet'!Y8*'Output-Calculation-sheet'!Y80</f>
        <v>381752529.41927838</v>
      </c>
      <c r="AA97" s="2">
        <f t="shared" si="8"/>
        <v>67.078064739414415</v>
      </c>
    </row>
    <row r="98" spans="1:27" x14ac:dyDescent="0.25">
      <c r="A98" s="2">
        <v>2033</v>
      </c>
      <c r="B98" s="2">
        <f>B10/'Output-Calculation-sheet'!B9*'Output-Calculation-sheet'!B81</f>
        <v>17359719197.517525</v>
      </c>
      <c r="C98" s="2">
        <f>C10/'Output-Calculation-sheet'!C9*'Output-Calculation-sheet'!C81</f>
        <v>2189019152.2318625</v>
      </c>
      <c r="D98" s="2">
        <f>D10/'Output-Calculation-sheet'!D9*'Output-Calculation-sheet'!D81</f>
        <v>6765678292.0063467</v>
      </c>
      <c r="E98" s="2">
        <f>E10/'Output-Calculation-sheet'!E9*'Output-Calculation-sheet'!E81</f>
        <v>12260209226.923429</v>
      </c>
      <c r="F98" s="2">
        <f>F10/'Output-Calculation-sheet'!F9*'Output-Calculation-sheet'!F81</f>
        <v>5491993981.5449352</v>
      </c>
      <c r="G98" s="2">
        <f>G10/'Output-Calculation-sheet'!G9*'Output-Calculation-sheet'!G81</f>
        <v>3951665583.4694142</v>
      </c>
      <c r="H98" s="2">
        <f>H10/'Output-Calculation-sheet'!H9*'Output-Calculation-sheet'!H81</f>
        <v>1246457917.2251158</v>
      </c>
      <c r="I98" s="2">
        <f>I10/'Output-Calculation-sheet'!I9*'Output-Calculation-sheet'!I81</f>
        <v>2851345576.5441661</v>
      </c>
      <c r="J98" s="2">
        <f>J10/'Output-Calculation-sheet'!J9*'Output-Calculation-sheet'!J81</f>
        <v>2004793229.9819877</v>
      </c>
      <c r="K98" s="2">
        <f>K10/'Output-Calculation-sheet'!K9*'Output-Calculation-sheet'!K81</f>
        <v>2351119202.8344345</v>
      </c>
      <c r="L98" s="2">
        <f>L10/'Output-Calculation-sheet'!L9*'Output-Calculation-sheet'!L81</f>
        <v>1985282671.2381268</v>
      </c>
      <c r="M98" s="2">
        <f>M10/'Output-Calculation-sheet'!M9*'Output-Calculation-sheet'!M81</f>
        <v>973816302.51353693</v>
      </c>
      <c r="N98" s="2">
        <f>N10/'Output-Calculation-sheet'!N9*'Output-Calculation-sheet'!N81</f>
        <v>931604902.69917214</v>
      </c>
      <c r="O98" s="2">
        <f>O10/'Output-Calculation-sheet'!O9*'Output-Calculation-sheet'!O81</f>
        <v>257415864.27732307</v>
      </c>
      <c r="P98" s="2">
        <f>P10/'Output-Calculation-sheet'!P9*'Output-Calculation-sheet'!P81</f>
        <v>2527310990.0085173</v>
      </c>
      <c r="Q98" s="2">
        <f>Q10/'Output-Calculation-sheet'!Q9*'Output-Calculation-sheet'!Q81</f>
        <v>1112872902.734812</v>
      </c>
      <c r="R98" s="2">
        <f>R10/'Output-Calculation-sheet'!R9*'Output-Calculation-sheet'!R81</f>
        <v>1767857207.763387</v>
      </c>
      <c r="S98" s="2">
        <f>S10/'Output-Calculation-sheet'!S9*'Output-Calculation-sheet'!S81</f>
        <v>674166924.02808762</v>
      </c>
      <c r="T98" s="2">
        <f>T10/'Output-Calculation-sheet'!T9*'Output-Calculation-sheet'!T81</f>
        <v>885987553.31120765</v>
      </c>
      <c r="U98" s="2">
        <f>U10/'Output-Calculation-sheet'!U9*'Output-Calculation-sheet'!U81</f>
        <v>460368378.79108375</v>
      </c>
      <c r="V98" s="2">
        <f>V10/'Output-Calculation-sheet'!V9*'Output-Calculation-sheet'!V81</f>
        <v>339391104.69285053</v>
      </c>
      <c r="W98" s="2">
        <f>W10/'Output-Calculation-sheet'!W9*'Output-Calculation-sheet'!W81</f>
        <v>869785320.39902902</v>
      </c>
      <c r="X98" s="2">
        <f>X10/'Output-Calculation-sheet'!X9*'Output-Calculation-sheet'!X81</f>
        <v>110455878.6264132</v>
      </c>
      <c r="Y98" s="2">
        <f>Y10/'Output-Calculation-sheet'!Y9*'Output-Calculation-sheet'!Y81</f>
        <v>390657987.51977354</v>
      </c>
      <c r="AA98" s="2">
        <f t="shared" si="8"/>
        <v>69.758975348882544</v>
      </c>
    </row>
    <row r="99" spans="1:27" x14ac:dyDescent="0.25">
      <c r="A99" s="2">
        <v>2034</v>
      </c>
      <c r="B99" s="2">
        <f>B11/'Output-Calculation-sheet'!B10*'Output-Calculation-sheet'!B82</f>
        <v>18080185274.195374</v>
      </c>
      <c r="C99" s="2">
        <f>C11/'Output-Calculation-sheet'!C10*'Output-Calculation-sheet'!C82</f>
        <v>2295511223.4604821</v>
      </c>
      <c r="D99" s="2">
        <f>D11/'Output-Calculation-sheet'!D10*'Output-Calculation-sheet'!D82</f>
        <v>6644420194.6955881</v>
      </c>
      <c r="E99" s="2">
        <f>E11/'Output-Calculation-sheet'!E10*'Output-Calculation-sheet'!E82</f>
        <v>12387739078.105156</v>
      </c>
      <c r="F99" s="2">
        <f>F11/'Output-Calculation-sheet'!F10*'Output-Calculation-sheet'!F82</f>
        <v>5540068277.8805256</v>
      </c>
      <c r="G99" s="2">
        <f>G11/'Output-Calculation-sheet'!G10*'Output-Calculation-sheet'!G82</f>
        <v>3868619516.40379</v>
      </c>
      <c r="H99" s="2">
        <f>H11/'Output-Calculation-sheet'!H10*'Output-Calculation-sheet'!H82</f>
        <v>1273772338.4444933</v>
      </c>
      <c r="I99" s="2">
        <f>I11/'Output-Calculation-sheet'!I10*'Output-Calculation-sheet'!I82</f>
        <v>2903880721.8912206</v>
      </c>
      <c r="J99" s="2">
        <f>J11/'Output-Calculation-sheet'!J10*'Output-Calculation-sheet'!J82</f>
        <v>1989359282.224009</v>
      </c>
      <c r="K99" s="2">
        <f>K11/'Output-Calculation-sheet'!K10*'Output-Calculation-sheet'!K82</f>
        <v>2351609698.1315112</v>
      </c>
      <c r="L99" s="2">
        <f>L11/'Output-Calculation-sheet'!L10*'Output-Calculation-sheet'!L82</f>
        <v>2056093542.0026703</v>
      </c>
      <c r="M99" s="2">
        <f>M11/'Output-Calculation-sheet'!M10*'Output-Calculation-sheet'!M82</f>
        <v>997949150.84218693</v>
      </c>
      <c r="N99" s="2">
        <f>N11/'Output-Calculation-sheet'!N10*'Output-Calculation-sheet'!N82</f>
        <v>927307227.82570076</v>
      </c>
      <c r="O99" s="2">
        <f>O11/'Output-Calculation-sheet'!O10*'Output-Calculation-sheet'!O82</f>
        <v>271464635.96722513</v>
      </c>
      <c r="P99" s="2">
        <f>P11/'Output-Calculation-sheet'!P10*'Output-Calculation-sheet'!P82</f>
        <v>2557590392.3738608</v>
      </c>
      <c r="Q99" s="2">
        <f>Q11/'Output-Calculation-sheet'!Q10*'Output-Calculation-sheet'!Q82</f>
        <v>1114962411.7652092</v>
      </c>
      <c r="R99" s="2">
        <f>R11/'Output-Calculation-sheet'!R10*'Output-Calculation-sheet'!R82</f>
        <v>1811287965.5853498</v>
      </c>
      <c r="S99" s="2">
        <f>S11/'Output-Calculation-sheet'!S10*'Output-Calculation-sheet'!S82</f>
        <v>680629419.30821598</v>
      </c>
      <c r="T99" s="2">
        <f>T11/'Output-Calculation-sheet'!T10*'Output-Calculation-sheet'!T82</f>
        <v>879819486.47005045</v>
      </c>
      <c r="U99" s="2">
        <f>U11/'Output-Calculation-sheet'!U10*'Output-Calculation-sheet'!U82</f>
        <v>469038849.41965902</v>
      </c>
      <c r="V99" s="2">
        <f>V11/'Output-Calculation-sheet'!V10*'Output-Calculation-sheet'!V82</f>
        <v>345148868.13444477</v>
      </c>
      <c r="W99" s="2">
        <f>W11/'Output-Calculation-sheet'!W10*'Output-Calculation-sheet'!W82</f>
        <v>866672196.22573316</v>
      </c>
      <c r="X99" s="2">
        <f>X11/'Output-Calculation-sheet'!X10*'Output-Calculation-sheet'!X82</f>
        <v>122316997.59550761</v>
      </c>
      <c r="Y99" s="2">
        <f>Y11/'Output-Calculation-sheet'!Y10*'Output-Calculation-sheet'!Y82</f>
        <v>389827295.89690053</v>
      </c>
      <c r="AA99" s="2">
        <f t="shared" si="8"/>
        <v>70.825274044844846</v>
      </c>
    </row>
    <row r="100" spans="1:27" x14ac:dyDescent="0.25">
      <c r="A100" s="2">
        <v>2035</v>
      </c>
      <c r="B100" s="2">
        <f>B12/'Output-Calculation-sheet'!B11*'Output-Calculation-sheet'!B83</f>
        <v>18796037502.436741</v>
      </c>
      <c r="C100" s="2">
        <f>C12/'Output-Calculation-sheet'!C11*'Output-Calculation-sheet'!C83</f>
        <v>2347401312.7129107</v>
      </c>
      <c r="D100" s="2">
        <f>D12/'Output-Calculation-sheet'!D11*'Output-Calculation-sheet'!D83</f>
        <v>6394443242.425642</v>
      </c>
      <c r="E100" s="2">
        <f>E12/'Output-Calculation-sheet'!E11*'Output-Calculation-sheet'!E83</f>
        <v>12259493757.88324</v>
      </c>
      <c r="F100" s="2">
        <f>F12/'Output-Calculation-sheet'!F11*'Output-Calculation-sheet'!F83</f>
        <v>5472728044.502037</v>
      </c>
      <c r="G100" s="2">
        <f>G12/'Output-Calculation-sheet'!G11*'Output-Calculation-sheet'!G83</f>
        <v>3705431404.4111781</v>
      </c>
      <c r="H100" s="2">
        <f>H12/'Output-Calculation-sheet'!H11*'Output-Calculation-sheet'!H83</f>
        <v>1276227429.7198007</v>
      </c>
      <c r="I100" s="2">
        <f>I12/'Output-Calculation-sheet'!I11*'Output-Calculation-sheet'!I83</f>
        <v>2896337313.6130195</v>
      </c>
      <c r="J100" s="2">
        <f>J12/'Output-Calculation-sheet'!J11*'Output-Calculation-sheet'!J83</f>
        <v>1932712855.9034276</v>
      </c>
      <c r="K100" s="2">
        <f>K12/'Output-Calculation-sheet'!K11*'Output-Calculation-sheet'!K83</f>
        <v>2303862546.3613944</v>
      </c>
      <c r="L100" s="2">
        <f>L12/'Output-Calculation-sheet'!L11*'Output-Calculation-sheet'!L83</f>
        <v>2084494202.7053652</v>
      </c>
      <c r="M100" s="2">
        <f>M12/'Output-Calculation-sheet'!M11*'Output-Calculation-sheet'!M83</f>
        <v>1004615093.9852725</v>
      </c>
      <c r="N100" s="2">
        <f>N12/'Output-Calculation-sheet'!N11*'Output-Calculation-sheet'!N83</f>
        <v>901786907.90814769</v>
      </c>
      <c r="O100" s="2">
        <f>O12/'Output-Calculation-sheet'!O11*'Output-Calculation-sheet'!O83</f>
        <v>281045080.78639036</v>
      </c>
      <c r="P100" s="2">
        <f>P12/'Output-Calculation-sheet'!P11*'Output-Calculation-sheet'!P83</f>
        <v>2523480496.757545</v>
      </c>
      <c r="Q100" s="2">
        <f>Q12/'Output-Calculation-sheet'!Q11*'Output-Calculation-sheet'!Q83</f>
        <v>1095965520.7105618</v>
      </c>
      <c r="R100" s="2">
        <f>R12/'Output-Calculation-sheet'!R11*'Output-Calculation-sheet'!R83</f>
        <v>1818086189.3407459</v>
      </c>
      <c r="S100" s="2">
        <f>S12/'Output-Calculation-sheet'!S11*'Output-Calculation-sheet'!S83</f>
        <v>672473351.01978624</v>
      </c>
      <c r="T100" s="2">
        <f>T12/'Output-Calculation-sheet'!T11*'Output-Calculation-sheet'!T83</f>
        <v>858008153.24875116</v>
      </c>
      <c r="U100" s="2">
        <f>U12/'Output-Calculation-sheet'!U11*'Output-Calculation-sheet'!U83</f>
        <v>467628434.94431937</v>
      </c>
      <c r="V100" s="2">
        <f>V12/'Output-Calculation-sheet'!V11*'Output-Calculation-sheet'!V83</f>
        <v>343739189.47336054</v>
      </c>
      <c r="W100" s="2">
        <f>W12/'Output-Calculation-sheet'!W11*'Output-Calculation-sheet'!W83</f>
        <v>844275162.0558989</v>
      </c>
      <c r="X100" s="2">
        <f>X12/'Output-Calculation-sheet'!X11*'Output-Calculation-sheet'!X83</f>
        <v>133826742.02116419</v>
      </c>
      <c r="Y100" s="2">
        <f>Y12/'Output-Calculation-sheet'!Y11*'Output-Calculation-sheet'!Y83</f>
        <v>380130151.81798875</v>
      </c>
      <c r="AA100" s="2">
        <f t="shared" si="8"/>
        <v>70.79423008674469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95554804588.765823</v>
      </c>
      <c r="C8" s="2">
        <v>45030232310.630737</v>
      </c>
      <c r="D8" s="2">
        <v>40134110431.721672</v>
      </c>
      <c r="E8" s="2">
        <v>31842343946.535206</v>
      </c>
      <c r="F8" s="2">
        <v>20498059449.835583</v>
      </c>
      <c r="G8" s="2">
        <v>14402499123.512083</v>
      </c>
      <c r="H8" s="2">
        <v>14049085029.373405</v>
      </c>
      <c r="I8" s="2">
        <v>13121810425.940281</v>
      </c>
      <c r="J8" s="2">
        <v>12771863988.90353</v>
      </c>
      <c r="K8" s="2">
        <v>12649425250.606451</v>
      </c>
      <c r="L8" s="2">
        <v>10147533396.060501</v>
      </c>
      <c r="M8" s="2">
        <v>9692643967.9612389</v>
      </c>
      <c r="N8" s="2">
        <v>9513302061.3583851</v>
      </c>
      <c r="O8" s="2">
        <v>8749413243.0501595</v>
      </c>
      <c r="P8" s="2">
        <v>8660394881.1205921</v>
      </c>
      <c r="Q8" s="2">
        <v>8520428903.2438965</v>
      </c>
      <c r="R8" s="2">
        <v>8197044509.6586819</v>
      </c>
      <c r="S8" s="2">
        <v>5448175688.8503914</v>
      </c>
      <c r="T8" s="2">
        <v>3013163077.6833973</v>
      </c>
      <c r="U8" s="2">
        <v>2624362085.1880598</v>
      </c>
      <c r="V8" s="2">
        <v>2020811292.8365111</v>
      </c>
      <c r="W8" s="2">
        <v>1749574723.4587054</v>
      </c>
      <c r="X8" s="2">
        <v>1049744834.0752238</v>
      </c>
      <c r="Y8" s="2">
        <v>1020866353.6898128</v>
      </c>
    </row>
    <row r="9" spans="1:27" x14ac:dyDescent="0.25">
      <c r="A9" s="2">
        <v>2032</v>
      </c>
      <c r="B9" s="2">
        <v>104102537958.37828</v>
      </c>
      <c r="C9" s="2">
        <v>49058354402.65406</v>
      </c>
      <c r="D9" s="2">
        <v>43724256175.552437</v>
      </c>
      <c r="E9" s="2">
        <v>34690760277.768806</v>
      </c>
      <c r="F9" s="2">
        <v>22331687256.68119</v>
      </c>
      <c r="G9" s="2">
        <v>15690856343.158701</v>
      </c>
      <c r="H9" s="2">
        <v>15305828041.249298</v>
      </c>
      <c r="I9" s="2">
        <v>14295605268.912781</v>
      </c>
      <c r="J9" s="2">
        <v>13914354818.955807</v>
      </c>
      <c r="K9" s="2">
        <v>13780963479.231943</v>
      </c>
      <c r="L9" s="2">
        <v>11055268074.625902</v>
      </c>
      <c r="M9" s="2">
        <v>10559687091.970261</v>
      </c>
      <c r="N9" s="2">
        <v>10364302383.477575</v>
      </c>
      <c r="O9" s="2">
        <v>9532080863.6267376</v>
      </c>
      <c r="P9" s="2">
        <v>9435099477.4824429</v>
      </c>
      <c r="Q9" s="2">
        <v>9282613021.2807064</v>
      </c>
      <c r="R9" s="2">
        <v>8930300688.5494041</v>
      </c>
      <c r="S9" s="2">
        <v>5935535307.6525726</v>
      </c>
      <c r="T9" s="2">
        <v>3282701743.9811516</v>
      </c>
      <c r="U9" s="2">
        <v>2859121053.7825603</v>
      </c>
      <c r="V9" s="2">
        <v>2201580393.8336482</v>
      </c>
      <c r="W9" s="2">
        <v>1906080702.5217052</v>
      </c>
      <c r="X9" s="2">
        <v>1143648421.5130241</v>
      </c>
      <c r="Y9" s="2">
        <v>1112186653.4371989</v>
      </c>
    </row>
    <row r="10" spans="1:27" x14ac:dyDescent="0.25">
      <c r="A10" s="2">
        <v>2033</v>
      </c>
      <c r="B10" s="2">
        <v>110329916736.84514</v>
      </c>
      <c r="C10" s="2">
        <v>51993008649.371269</v>
      </c>
      <c r="D10" s="2">
        <v>46339826461.847939</v>
      </c>
      <c r="E10" s="2">
        <v>36765949880.245468</v>
      </c>
      <c r="F10" s="2">
        <v>23667561271.253407</v>
      </c>
      <c r="G10" s="2">
        <v>16629478087.869917</v>
      </c>
      <c r="H10" s="2">
        <v>16221417522.545586</v>
      </c>
      <c r="I10" s="2">
        <v>15150763564.021393</v>
      </c>
      <c r="J10" s="2">
        <v>14746706840.481619</v>
      </c>
      <c r="K10" s="2">
        <v>14605336075.716646</v>
      </c>
      <c r="L10" s="2">
        <v>11716590489.509897</v>
      </c>
      <c r="M10" s="2">
        <v>11191364019.290491</v>
      </c>
      <c r="N10" s="2">
        <v>10984291463.304684</v>
      </c>
      <c r="O10" s="2">
        <v>10102286732.272438</v>
      </c>
      <c r="P10" s="2">
        <v>9999503952.2541275</v>
      </c>
      <c r="Q10" s="2">
        <v>9837895807.5712318</v>
      </c>
      <c r="R10" s="2">
        <v>9464508269.6886387</v>
      </c>
      <c r="S10" s="2">
        <v>6290597031.7816677</v>
      </c>
      <c r="T10" s="2">
        <v>3479071857.3080492</v>
      </c>
      <c r="U10" s="2">
        <v>3030152712.8042827</v>
      </c>
      <c r="V10" s="2">
        <v>2333278191.9135556</v>
      </c>
      <c r="W10" s="2">
        <v>2020101808.5361872</v>
      </c>
      <c r="X10" s="2">
        <v>1212061085.1217132</v>
      </c>
      <c r="Y10" s="2">
        <v>1178717284.670013</v>
      </c>
    </row>
    <row r="11" spans="1:27" x14ac:dyDescent="0.25">
      <c r="A11" s="2">
        <v>2034</v>
      </c>
      <c r="B11" s="2">
        <v>114770067070.44748</v>
      </c>
      <c r="C11" s="2">
        <v>54085430918.2118</v>
      </c>
      <c r="D11" s="2">
        <v>48204740367.42453</v>
      </c>
      <c r="E11" s="2">
        <v>38245569818.827934</v>
      </c>
      <c r="F11" s="2">
        <v>24620045721.366436</v>
      </c>
      <c r="G11" s="2">
        <v>17298719802.749508</v>
      </c>
      <c r="H11" s="2">
        <v>16874237125.373953</v>
      </c>
      <c r="I11" s="2">
        <v>15760495447.111397</v>
      </c>
      <c r="J11" s="2">
        <v>15340177743.332703</v>
      </c>
      <c r="K11" s="2">
        <v>15193117611.015411</v>
      </c>
      <c r="L11" s="2">
        <v>12188116479.099503</v>
      </c>
      <c r="M11" s="2">
        <v>11641752636.932976</v>
      </c>
      <c r="N11" s="2">
        <v>11426346590.759434</v>
      </c>
      <c r="O11" s="2">
        <v>10508846196.206722</v>
      </c>
      <c r="P11" s="2">
        <v>10401926995.093531</v>
      </c>
      <c r="Q11" s="2">
        <v>10233815043.657677</v>
      </c>
      <c r="R11" s="2">
        <v>9845400785.4627037</v>
      </c>
      <c r="S11" s="2">
        <v>6543757709.6406374</v>
      </c>
      <c r="T11" s="2">
        <v>3619084670.9195914</v>
      </c>
      <c r="U11" s="2">
        <v>3152099089.4222841</v>
      </c>
      <c r="V11" s="2">
        <v>2427179340.8369489</v>
      </c>
      <c r="W11" s="2">
        <v>2101399392.9481881</v>
      </c>
      <c r="X11" s="2">
        <v>1260839635.7689135</v>
      </c>
      <c r="Y11" s="2">
        <v>1226153937.3889089</v>
      </c>
    </row>
    <row r="12" spans="1:27" x14ac:dyDescent="0.25">
      <c r="A12" s="2">
        <v>2035</v>
      </c>
      <c r="B12" s="2">
        <v>117682725542.31569</v>
      </c>
      <c r="C12" s="2">
        <v>55458022157.283539</v>
      </c>
      <c r="D12" s="2">
        <v>49428090226.83696</v>
      </c>
      <c r="E12" s="2">
        <v>39216173790.644554</v>
      </c>
      <c r="F12" s="2">
        <v>25244858327.811146</v>
      </c>
      <c r="G12" s="2">
        <v>17737730287.556717</v>
      </c>
      <c r="H12" s="2">
        <v>17302475001.103039</v>
      </c>
      <c r="I12" s="2">
        <v>16160468556.447409</v>
      </c>
      <c r="J12" s="2">
        <v>15729483943.150959</v>
      </c>
      <c r="K12" s="2">
        <v>15578691688.415327</v>
      </c>
      <c r="L12" s="2">
        <v>12497429016.986017</v>
      </c>
      <c r="M12" s="2">
        <v>11937199440.362509</v>
      </c>
      <c r="N12" s="2">
        <v>11716326775.049555</v>
      </c>
      <c r="O12" s="2">
        <v>10775541865.942225</v>
      </c>
      <c r="P12" s="2">
        <v>10665909247.255299</v>
      </c>
      <c r="Q12" s="2">
        <v>10493530915.986526</v>
      </c>
      <c r="R12" s="2">
        <v>10095259400.50659</v>
      </c>
      <c r="S12" s="2">
        <v>6709826544.6369486</v>
      </c>
      <c r="T12" s="2">
        <v>3710930549.346168</v>
      </c>
      <c r="U12" s="2">
        <v>3232093711.2894864</v>
      </c>
      <c r="V12" s="2">
        <v>2488776799.567132</v>
      </c>
      <c r="W12" s="2">
        <v>2154729140.8596559</v>
      </c>
      <c r="X12" s="2">
        <v>1292837484.5157943</v>
      </c>
      <c r="Y12" s="2">
        <v>1257271525.3167627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 t="shared" ref="AA16:AA23" si="0"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si="0"/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5005.8883381524356</v>
      </c>
      <c r="C19" s="2">
        <f>C8/'Output-Calculation-sheet'!C7*'Output-Calculation-sheet'!C25</f>
        <v>6674.6550260546364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2432.0210787554884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1780.1256144492868</v>
      </c>
      <c r="N19" s="2">
        <f>N8/'Output-Calculation-sheet'!N7*'Output-Calculation-sheet'!N25</f>
        <v>927.38666471694501</v>
      </c>
      <c r="O19" s="2">
        <f>O8/'Output-Calculation-sheet'!O7*'Output-Calculation-sheet'!O25</f>
        <v>1011.3394424482623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404.28543014782309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205.77083984557254</v>
      </c>
      <c r="Y19" s="2">
        <f>Y8/'Output-Calculation-sheet'!Y7*'Output-Calculation-sheet'!Y25</f>
        <v>0</v>
      </c>
      <c r="AA19" s="2">
        <f t="shared" si="0"/>
        <v>18.441472434570446</v>
      </c>
    </row>
    <row r="20" spans="1:27" x14ac:dyDescent="0.25">
      <c r="A20" s="2">
        <v>2032</v>
      </c>
      <c r="B20" s="2">
        <f>B9/'Output-Calculation-sheet'!B8*'Output-Calculation-sheet'!B26</f>
        <v>6545.2740450731299</v>
      </c>
      <c r="C20" s="2">
        <f>C9/'Output-Calculation-sheet'!C8*'Output-Calculation-sheet'!C26</f>
        <v>7543.9413072452653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2715.8509054288693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1983.1915842339461</v>
      </c>
      <c r="N20" s="2">
        <f>N9/'Output-Calculation-sheet'!N8*'Output-Calculation-sheet'!N26</f>
        <v>1128.0631270628498</v>
      </c>
      <c r="O20" s="2">
        <f>O9/'Output-Calculation-sheet'!O8*'Output-Calculation-sheet'!O26</f>
        <v>1166.9846070591964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509.93324954776614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229.08437360996413</v>
      </c>
      <c r="Y20" s="2">
        <f>Y9/'Output-Calculation-sheet'!Y8*'Output-Calculation-sheet'!Y26</f>
        <v>0</v>
      </c>
      <c r="AA20" s="2">
        <f t="shared" si="0"/>
        <v>21.822323199260985</v>
      </c>
    </row>
    <row r="21" spans="1:27" x14ac:dyDescent="0.25">
      <c r="A21" s="2">
        <v>2033</v>
      </c>
      <c r="B21" s="2">
        <f>B10/'Output-Calculation-sheet'!B9*'Output-Calculation-sheet'!B27</f>
        <v>8729.7617752119495</v>
      </c>
      <c r="C21" s="2">
        <f>C10/'Output-Calculation-sheet'!C9*'Output-Calculation-sheet'!C27</f>
        <v>8214.2993979663061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2939.5528773473161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25.506615338316553</v>
      </c>
      <c r="M21" s="2">
        <f>M10/'Output-Calculation-sheet'!M9*'Output-Calculation-sheet'!M27</f>
        <v>2157.5423691970759</v>
      </c>
      <c r="N21" s="2">
        <f>N10/'Output-Calculation-sheet'!N9*'Output-Calculation-sheet'!N27</f>
        <v>1318.8351025113484</v>
      </c>
      <c r="O21" s="2">
        <f>O10/'Output-Calculation-sheet'!O9*'Output-Calculation-sheet'!O27</f>
        <v>1284.6975463611755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612.84451062512471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249.76748350583028</v>
      </c>
      <c r="Y21" s="2">
        <f>Y10/'Output-Calculation-sheet'!Y9*'Output-Calculation-sheet'!Y27</f>
        <v>0</v>
      </c>
      <c r="AA21" s="2">
        <f t="shared" si="0"/>
        <v>25.53280767806444</v>
      </c>
    </row>
    <row r="22" spans="1:27" x14ac:dyDescent="0.25">
      <c r="A22" s="2">
        <v>2034</v>
      </c>
      <c r="B22" s="2">
        <f>B11/'Output-Calculation-sheet'!B10*'Output-Calculation-sheet'!B28</f>
        <v>11194.455434325087</v>
      </c>
      <c r="C22" s="2">
        <f>C11/'Output-Calculation-sheet'!C10*'Output-Calculation-sheet'!C28</f>
        <v>8817.8675803300794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3129.3496928714512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179.24696272610839</v>
      </c>
      <c r="M22" s="2">
        <f>M11/'Output-Calculation-sheet'!M10*'Output-Calculation-sheet'!M28</f>
        <v>2300.4156696150549</v>
      </c>
      <c r="N22" s="2">
        <f>N11/'Output-Calculation-sheet'!N10*'Output-Calculation-sheet'!N28</f>
        <v>1465.6488158522602</v>
      </c>
      <c r="O22" s="2">
        <f>O11/'Output-Calculation-sheet'!O10*'Output-Calculation-sheet'!O28</f>
        <v>1398.9994378813144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679.41375747736367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283.96728076015501</v>
      </c>
      <c r="Y22" s="2">
        <f>Y11/'Output-Calculation-sheet'!Y10*'Output-Calculation-sheet'!Y28</f>
        <v>0</v>
      </c>
      <c r="AA22" s="2">
        <f t="shared" si="0"/>
        <v>29.449364631838872</v>
      </c>
    </row>
    <row r="23" spans="1:27" x14ac:dyDescent="0.25">
      <c r="A23" s="2">
        <v>2035</v>
      </c>
      <c r="B23" s="2">
        <f>B12/'Output-Calculation-sheet'!B11*'Output-Calculation-sheet'!B29</f>
        <v>14838.877324076269</v>
      </c>
      <c r="C23" s="2">
        <f>C12/'Output-Calculation-sheet'!C11*'Output-Calculation-sheet'!C29</f>
        <v>9293.2150860714719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3292.1817588371905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340.50716801997379</v>
      </c>
      <c r="M23" s="2">
        <f>M12/'Output-Calculation-sheet'!M11*'Output-Calculation-sheet'!M29</f>
        <v>2431.7383110742117</v>
      </c>
      <c r="N23" s="2">
        <f>N12/'Output-Calculation-sheet'!N11*'Output-Calculation-sheet'!N29</f>
        <v>1571.6290915738566</v>
      </c>
      <c r="O23" s="2">
        <f>O12/'Output-Calculation-sheet'!O11*'Output-Calculation-sheet'!O29</f>
        <v>1508.3100813995929</v>
      </c>
      <c r="P23" s="2">
        <f>P12/'Output-Calculation-sheet'!P11*'Output-Calculation-sheet'!P29</f>
        <v>0</v>
      </c>
      <c r="Q23" s="2">
        <f>Q12/'Output-Calculation-sheet'!Q11*'Output-Calculation-sheet'!Q29</f>
        <v>88.588704255216612</v>
      </c>
      <c r="R23" s="2">
        <f>R12/'Output-Calculation-sheet'!R11*'Output-Calculation-sheet'!R29</f>
        <v>0</v>
      </c>
      <c r="S23" s="2">
        <f>S12/'Output-Calculation-sheet'!S11*'Output-Calculation-sheet'!S29</f>
        <v>732.57220336859177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321.37244675497834</v>
      </c>
      <c r="Y23" s="2">
        <f>Y12/'Output-Calculation-sheet'!Y11*'Output-Calculation-sheet'!Y29</f>
        <v>0</v>
      </c>
      <c r="AA23" s="2">
        <f t="shared" si="0"/>
        <v>34.418992175431349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 t="shared" ref="AA27:AA34" si="1"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si="1"/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24618.285027674756</v>
      </c>
      <c r="C30" s="2">
        <f>C8/'Output-Calculation-sheet'!C7*'Output-Calculation-sheet'!C16</f>
        <v>0</v>
      </c>
      <c r="D30" s="2">
        <f>D8/'Output-Calculation-sheet'!D7*'Output-Calculation-sheet'!D16</f>
        <v>5546.2622811649362</v>
      </c>
      <c r="E30" s="2">
        <f>E8/'Output-Calculation-sheet'!E7*'Output-Calculation-sheet'!E16</f>
        <v>6950.3526306923632</v>
      </c>
      <c r="F30" s="2">
        <f>F8/'Output-Calculation-sheet'!F7*'Output-Calculation-sheet'!F16</f>
        <v>3394.55158135498</v>
      </c>
      <c r="G30" s="2">
        <f>G8/'Output-Calculation-sheet'!G7*'Output-Calculation-sheet'!G16</f>
        <v>2068.5956546585603</v>
      </c>
      <c r="H30" s="2">
        <f>H8/'Output-Calculation-sheet'!H7*'Output-Calculation-sheet'!H16</f>
        <v>0</v>
      </c>
      <c r="I30" s="2">
        <f>I8/'Output-Calculation-sheet'!I7*'Output-Calculation-sheet'!I16</f>
        <v>1947.3275000212727</v>
      </c>
      <c r="J30" s="2">
        <f>J8/'Output-Calculation-sheet'!J7*'Output-Calculation-sheet'!J16</f>
        <v>2087.4508892731183</v>
      </c>
      <c r="K30" s="2">
        <f>K8/'Output-Calculation-sheet'!K7*'Output-Calculation-sheet'!K16</f>
        <v>2020.4178182463204</v>
      </c>
      <c r="L30" s="2">
        <f>L8/'Output-Calculation-sheet'!L7*'Output-Calculation-sheet'!L16</f>
        <v>2233.2505998348151</v>
      </c>
      <c r="M30" s="2">
        <f>M8/'Output-Calculation-sheet'!M7*'Output-Calculation-sheet'!M16</f>
        <v>0</v>
      </c>
      <c r="N30" s="2">
        <f>N8/'Output-Calculation-sheet'!N7*'Output-Calculation-sheet'!N16</f>
        <v>1001.4493062106778</v>
      </c>
      <c r="O30" s="2">
        <f>O8/'Output-Calculation-sheet'!O7*'Output-Calculation-sheet'!O16</f>
        <v>0</v>
      </c>
      <c r="P30" s="2">
        <f>P8/'Output-Calculation-sheet'!P7*'Output-Calculation-sheet'!P16</f>
        <v>1911.7733041158888</v>
      </c>
      <c r="Q30" s="2">
        <f>Q8/'Output-Calculation-sheet'!Q7*'Output-Calculation-sheet'!Q16</f>
        <v>1875.5443237425359</v>
      </c>
      <c r="R30" s="2">
        <f>R8/'Output-Calculation-sheet'!R7*'Output-Calculation-sheet'!R16</f>
        <v>1664.4018356194074</v>
      </c>
      <c r="S30" s="2">
        <f>S8/'Output-Calculation-sheet'!S7*'Output-Calculation-sheet'!S16</f>
        <v>881.52017318416654</v>
      </c>
      <c r="T30" s="2">
        <f>T8/'Output-Calculation-sheet'!T7*'Output-Calculation-sheet'!T16</f>
        <v>628.66935433846504</v>
      </c>
      <c r="U30" s="2">
        <f>U8/'Output-Calculation-sheet'!U7*'Output-Calculation-sheet'!U16</f>
        <v>485.08294010423123</v>
      </c>
      <c r="V30" s="2">
        <f>V8/'Output-Calculation-sheet'!V7*'Output-Calculation-sheet'!V16</f>
        <v>628.0854056930707</v>
      </c>
      <c r="W30" s="2">
        <f>W8/'Output-Calculation-sheet'!W7*'Output-Calculation-sheet'!W16</f>
        <v>302.41028539511768</v>
      </c>
      <c r="X30" s="2">
        <f>X8/'Output-Calculation-sheet'!X7*'Output-Calculation-sheet'!X16</f>
        <v>0</v>
      </c>
      <c r="Y30" s="2">
        <f>Y8/'Output-Calculation-sheet'!Y7*'Output-Calculation-sheet'!Y16</f>
        <v>206.25040757138765</v>
      </c>
      <c r="AA30" s="2">
        <f t="shared" si="1"/>
        <v>60.451681318896064</v>
      </c>
    </row>
    <row r="31" spans="1:27" x14ac:dyDescent="0.25">
      <c r="A31" s="2">
        <v>2032</v>
      </c>
      <c r="B31" s="2">
        <f>B9/'Output-Calculation-sheet'!B8*'Output-Calculation-sheet'!B17</f>
        <v>26520.503342387605</v>
      </c>
      <c r="C31" s="2">
        <f>C9/'Output-Calculation-sheet'!C8*'Output-Calculation-sheet'!C17</f>
        <v>0</v>
      </c>
      <c r="D31" s="2">
        <f>D9/'Output-Calculation-sheet'!D8*'Output-Calculation-sheet'!D17</f>
        <v>6069.9959350364779</v>
      </c>
      <c r="E31" s="2">
        <f>E9/'Output-Calculation-sheet'!E8*'Output-Calculation-sheet'!E17</f>
        <v>7624.7167889627517</v>
      </c>
      <c r="F31" s="2">
        <f>F9/'Output-Calculation-sheet'!F8*'Output-Calculation-sheet'!F17</f>
        <v>3720.2451750709643</v>
      </c>
      <c r="G31" s="2">
        <f>G9/'Output-Calculation-sheet'!G8*'Output-Calculation-sheet'!G17</f>
        <v>2264.6127205388157</v>
      </c>
      <c r="H31" s="2">
        <f>H9/'Output-Calculation-sheet'!H8*'Output-Calculation-sheet'!H17</f>
        <v>0</v>
      </c>
      <c r="I31" s="2">
        <f>I9/'Output-Calculation-sheet'!I8*'Output-Calculation-sheet'!I17</f>
        <v>2130.7866526161406</v>
      </c>
      <c r="J31" s="2">
        <f>J9/'Output-Calculation-sheet'!J8*'Output-Calculation-sheet'!J17</f>
        <v>2285.9682896159593</v>
      </c>
      <c r="K31" s="2">
        <f>K9/'Output-Calculation-sheet'!K8*'Output-Calculation-sheet'!K17</f>
        <v>2210.8523642715231</v>
      </c>
      <c r="L31" s="2">
        <f>L9/'Output-Calculation-sheet'!L8*'Output-Calculation-sheet'!L17</f>
        <v>2442.9128260096909</v>
      </c>
      <c r="M31" s="2">
        <f>M9/'Output-Calculation-sheet'!M8*'Output-Calculation-sheet'!M17</f>
        <v>0</v>
      </c>
      <c r="N31" s="2">
        <f>N9/'Output-Calculation-sheet'!N8*'Output-Calculation-sheet'!N17</f>
        <v>1030.0248142077776</v>
      </c>
      <c r="O31" s="2">
        <f>O9/'Output-Calculation-sheet'!O8*'Output-Calculation-sheet'!O17</f>
        <v>0</v>
      </c>
      <c r="P31" s="2">
        <f>P9/'Output-Calculation-sheet'!P8*'Output-Calculation-sheet'!P17</f>
        <v>2104.2900509138512</v>
      </c>
      <c r="Q31" s="2">
        <f>Q9/'Output-Calculation-sheet'!Q8*'Output-Calculation-sheet'!Q17</f>
        <v>2057.9045869994256</v>
      </c>
      <c r="R31" s="2">
        <f>R9/'Output-Calculation-sheet'!R8*'Output-Calculation-sheet'!R17</f>
        <v>1841.7642769803226</v>
      </c>
      <c r="S31" s="2">
        <f>S9/'Output-Calculation-sheet'!S8*'Output-Calculation-sheet'!S17</f>
        <v>921.95029022259678</v>
      </c>
      <c r="T31" s="2">
        <f>T9/'Output-Calculation-sheet'!T8*'Output-Calculation-sheet'!T17</f>
        <v>689.96706984948776</v>
      </c>
      <c r="U31" s="2">
        <f>U9/'Output-Calculation-sheet'!U8*'Output-Calculation-sheet'!U17</f>
        <v>534.23509154502869</v>
      </c>
      <c r="V31" s="2">
        <f>V9/'Output-Calculation-sheet'!V8*'Output-Calculation-sheet'!V17</f>
        <v>679.365584931694</v>
      </c>
      <c r="W31" s="2">
        <f>W9/'Output-Calculation-sheet'!W8*'Output-Calculation-sheet'!W17</f>
        <v>331.11876821963966</v>
      </c>
      <c r="X31" s="2">
        <f>X9/'Output-Calculation-sheet'!X8*'Output-Calculation-sheet'!X17</f>
        <v>0</v>
      </c>
      <c r="Y31" s="2">
        <f>Y9/'Output-Calculation-sheet'!Y8*'Output-Calculation-sheet'!Y17</f>
        <v>225.72772608751069</v>
      </c>
      <c r="AA31" s="2">
        <f t="shared" si="1"/>
        <v>65.686942354467249</v>
      </c>
    </row>
    <row r="32" spans="1:27" x14ac:dyDescent="0.25">
      <c r="A32" s="2">
        <v>2033</v>
      </c>
      <c r="B32" s="2">
        <f>B10/'Output-Calculation-sheet'!B9*'Output-Calculation-sheet'!B18</f>
        <v>27655.912874487731</v>
      </c>
      <c r="C32" s="2">
        <f>C10/'Output-Calculation-sheet'!C9*'Output-Calculation-sheet'!C18</f>
        <v>0</v>
      </c>
      <c r="D32" s="2">
        <f>D10/'Output-Calculation-sheet'!D9*'Output-Calculation-sheet'!D18</f>
        <v>6470.1400329510698</v>
      </c>
      <c r="E32" s="2">
        <f>E10/'Output-Calculation-sheet'!E9*'Output-Calculation-sheet'!E18</f>
        <v>8137.6098496129043</v>
      </c>
      <c r="F32" s="2">
        <f>F10/'Output-Calculation-sheet'!F9*'Output-Calculation-sheet'!F18</f>
        <v>3963.4749953401169</v>
      </c>
      <c r="G32" s="2">
        <f>G10/'Output-Calculation-sheet'!G9*'Output-Calculation-sheet'!G18</f>
        <v>2411.321167219874</v>
      </c>
      <c r="H32" s="2">
        <f>H10/'Output-Calculation-sheet'!H9*'Output-Calculation-sheet'!H18</f>
        <v>0</v>
      </c>
      <c r="I32" s="2">
        <f>I10/'Output-Calculation-sheet'!I9*'Output-Calculation-sheet'!I18</f>
        <v>2272.2454985122927</v>
      </c>
      <c r="J32" s="2">
        <f>J10/'Output-Calculation-sheet'!J9*'Output-Calculation-sheet'!J18</f>
        <v>2435.0907161055443</v>
      </c>
      <c r="K32" s="2">
        <f>K10/'Output-Calculation-sheet'!K9*'Output-Calculation-sheet'!K18</f>
        <v>2361.8574581808721</v>
      </c>
      <c r="L32" s="2">
        <f>L10/'Output-Calculation-sheet'!L9*'Output-Calculation-sheet'!L18</f>
        <v>2594.5502667593587</v>
      </c>
      <c r="M32" s="2">
        <f>M10/'Output-Calculation-sheet'!M9*'Output-Calculation-sheet'!M18</f>
        <v>0</v>
      </c>
      <c r="N32" s="2">
        <f>N10/'Output-Calculation-sheet'!N9*'Output-Calculation-sheet'!N18</f>
        <v>1009.786665059684</v>
      </c>
      <c r="O32" s="2">
        <f>O10/'Output-Calculation-sheet'!O9*'Output-Calculation-sheet'!O18</f>
        <v>0</v>
      </c>
      <c r="P32" s="2">
        <f>P10/'Output-Calculation-sheet'!P9*'Output-Calculation-sheet'!P18</f>
        <v>2275.3305067983288</v>
      </c>
      <c r="Q32" s="2">
        <f>Q10/'Output-Calculation-sheet'!Q9*'Output-Calculation-sheet'!Q18</f>
        <v>2204.01813081101</v>
      </c>
      <c r="R32" s="2">
        <f>R10/'Output-Calculation-sheet'!R9*'Output-Calculation-sheet'!R18</f>
        <v>1981.0628430106087</v>
      </c>
      <c r="S32" s="2">
        <f>S10/'Output-Calculation-sheet'!S9*'Output-Calculation-sheet'!S18</f>
        <v>944.185343624702</v>
      </c>
      <c r="T32" s="2">
        <f>T10/'Output-Calculation-sheet'!T9*'Output-Calculation-sheet'!T18</f>
        <v>733.0399500816718</v>
      </c>
      <c r="U32" s="2">
        <f>U10/'Output-Calculation-sheet'!U9*'Output-Calculation-sheet'!U18</f>
        <v>571.49983455361996</v>
      </c>
      <c r="V32" s="2">
        <f>V10/'Output-Calculation-sheet'!V9*'Output-Calculation-sheet'!V18</f>
        <v>721.04639670358938</v>
      </c>
      <c r="W32" s="2">
        <f>W10/'Output-Calculation-sheet'!W9*'Output-Calculation-sheet'!W18</f>
        <v>351.81205775185919</v>
      </c>
      <c r="X32" s="2">
        <f>X10/'Output-Calculation-sheet'!X9*'Output-Calculation-sheet'!X18</f>
        <v>0</v>
      </c>
      <c r="Y32" s="2">
        <f>Y10/'Output-Calculation-sheet'!Y9*'Output-Calculation-sheet'!Y18</f>
        <v>240.75745291451693</v>
      </c>
      <c r="AA32" s="2">
        <f t="shared" si="1"/>
        <v>69.33474204047937</v>
      </c>
    </row>
    <row r="33" spans="1:27" x14ac:dyDescent="0.25">
      <c r="A33" s="2">
        <v>2034</v>
      </c>
      <c r="B33" s="2">
        <f>B11/'Output-Calculation-sheet'!B10*'Output-Calculation-sheet'!B19</f>
        <v>28070.946763829415</v>
      </c>
      <c r="C33" s="2">
        <f>C11/'Output-Calculation-sheet'!C10*'Output-Calculation-sheet'!C19</f>
        <v>0</v>
      </c>
      <c r="D33" s="2">
        <f>D11/'Output-Calculation-sheet'!D10*'Output-Calculation-sheet'!D19</f>
        <v>6760.2948781054965</v>
      </c>
      <c r="E33" s="2">
        <f>E11/'Output-Calculation-sheet'!E10*'Output-Calculation-sheet'!E19</f>
        <v>8509.3488742132904</v>
      </c>
      <c r="F33" s="2">
        <f>F11/'Output-Calculation-sheet'!F10*'Output-Calculation-sheet'!F19</f>
        <v>4142.2406256752683</v>
      </c>
      <c r="G33" s="2">
        <f>G11/'Output-Calculation-sheet'!G10*'Output-Calculation-sheet'!G19</f>
        <v>2514.5134518409996</v>
      </c>
      <c r="H33" s="2">
        <f>H11/'Output-Calculation-sheet'!H10*'Output-Calculation-sheet'!H19</f>
        <v>0</v>
      </c>
      <c r="I33" s="2">
        <f>I11/'Output-Calculation-sheet'!I10*'Output-Calculation-sheet'!I19</f>
        <v>2376.334711178501</v>
      </c>
      <c r="J33" s="2">
        <f>J11/'Output-Calculation-sheet'!J10*'Output-Calculation-sheet'!J19</f>
        <v>2537.3908189865656</v>
      </c>
      <c r="K33" s="2">
        <f>K11/'Output-Calculation-sheet'!K10*'Output-Calculation-sheet'!K19</f>
        <v>2475.2510336330647</v>
      </c>
      <c r="L33" s="2">
        <f>L11/'Output-Calculation-sheet'!L10*'Output-Calculation-sheet'!L19</f>
        <v>2660.9598805332776</v>
      </c>
      <c r="M33" s="2">
        <f>M11/'Output-Calculation-sheet'!M10*'Output-Calculation-sheet'!M19</f>
        <v>0</v>
      </c>
      <c r="N33" s="2">
        <f>N11/'Output-Calculation-sheet'!N10*'Output-Calculation-sheet'!N19</f>
        <v>1001.6960570570764</v>
      </c>
      <c r="O33" s="2">
        <f>O11/'Output-Calculation-sheet'!O10*'Output-Calculation-sheet'!O19</f>
        <v>0</v>
      </c>
      <c r="P33" s="2">
        <f>P11/'Output-Calculation-sheet'!P10*'Output-Calculation-sheet'!P19</f>
        <v>2423.8197175098617</v>
      </c>
      <c r="Q33" s="2">
        <f>Q11/'Output-Calculation-sheet'!Q10*'Output-Calculation-sheet'!Q19</f>
        <v>2312.9100171396681</v>
      </c>
      <c r="R33" s="2">
        <f>R11/'Output-Calculation-sheet'!R10*'Output-Calculation-sheet'!R19</f>
        <v>2096.0876898626307</v>
      </c>
      <c r="S33" s="2">
        <f>S11/'Output-Calculation-sheet'!S10*'Output-Calculation-sheet'!S19</f>
        <v>966.1292820674189</v>
      </c>
      <c r="T33" s="2">
        <f>T11/'Output-Calculation-sheet'!T10*'Output-Calculation-sheet'!T19</f>
        <v>764.72545839364989</v>
      </c>
      <c r="U33" s="2">
        <f>U11/'Output-Calculation-sheet'!U10*'Output-Calculation-sheet'!U19</f>
        <v>601.20209303999138</v>
      </c>
      <c r="V33" s="2">
        <f>V11/'Output-Calculation-sheet'!V10*'Output-Calculation-sheet'!V19</f>
        <v>748.25572109426855</v>
      </c>
      <c r="W33" s="2">
        <f>W11/'Output-Calculation-sheet'!W10*'Output-Calculation-sheet'!W19</f>
        <v>367.05731216043108</v>
      </c>
      <c r="X33" s="2">
        <f>X11/'Output-Calculation-sheet'!X10*'Output-Calculation-sheet'!X19</f>
        <v>0</v>
      </c>
      <c r="Y33" s="2">
        <f>Y11/'Output-Calculation-sheet'!Y10*'Output-Calculation-sheet'!Y19</f>
        <v>252.19694224680211</v>
      </c>
      <c r="AA33" s="2">
        <f t="shared" si="1"/>
        <v>71.581361328567638</v>
      </c>
    </row>
    <row r="34" spans="1:27" x14ac:dyDescent="0.25">
      <c r="A34" s="2">
        <v>2035</v>
      </c>
      <c r="B34" s="2">
        <f>B12/'Output-Calculation-sheet'!B11*'Output-Calculation-sheet'!B20</f>
        <v>27682.833506050345</v>
      </c>
      <c r="C34" s="2">
        <f>C12/'Output-Calculation-sheet'!C11*'Output-Calculation-sheet'!C20</f>
        <v>0</v>
      </c>
      <c r="D34" s="2">
        <f>D12/'Output-Calculation-sheet'!D11*'Output-Calculation-sheet'!D20</f>
        <v>6973.877915518603</v>
      </c>
      <c r="E34" s="2">
        <f>E12/'Output-Calculation-sheet'!E11*'Output-Calculation-sheet'!E20</f>
        <v>8778.3471306726751</v>
      </c>
      <c r="F34" s="2">
        <f>F12/'Output-Calculation-sheet'!F11*'Output-Calculation-sheet'!F20</f>
        <v>4266.0481667857612</v>
      </c>
      <c r="G34" s="2">
        <f>G12/'Output-Calculation-sheet'!G11*'Output-Calculation-sheet'!G20</f>
        <v>2598.4593765972409</v>
      </c>
      <c r="H34" s="2">
        <f>H12/'Output-Calculation-sheet'!H11*'Output-Calculation-sheet'!H20</f>
        <v>0</v>
      </c>
      <c r="I34" s="2">
        <f>I12/'Output-Calculation-sheet'!I11*'Output-Calculation-sheet'!I20</f>
        <v>2450.8536464487315</v>
      </c>
      <c r="J34" s="2">
        <f>J12/'Output-Calculation-sheet'!J11*'Output-Calculation-sheet'!J20</f>
        <v>2608.7560775402239</v>
      </c>
      <c r="K34" s="2">
        <f>K12/'Output-Calculation-sheet'!K11*'Output-Calculation-sheet'!K20</f>
        <v>2556.53928669469</v>
      </c>
      <c r="L34" s="2">
        <f>L12/'Output-Calculation-sheet'!L11*'Output-Calculation-sheet'!L20</f>
        <v>2697.5572154898523</v>
      </c>
      <c r="M34" s="2">
        <f>M12/'Output-Calculation-sheet'!M11*'Output-Calculation-sheet'!M20</f>
        <v>0</v>
      </c>
      <c r="N34" s="2">
        <f>N12/'Output-Calculation-sheet'!N11*'Output-Calculation-sheet'!N20</f>
        <v>989.47866150177958</v>
      </c>
      <c r="O34" s="2">
        <f>O12/'Output-Calculation-sheet'!O11*'Output-Calculation-sheet'!O20</f>
        <v>0</v>
      </c>
      <c r="P34" s="2">
        <f>P12/'Output-Calculation-sheet'!P11*'Output-Calculation-sheet'!P20</f>
        <v>2537.7195945382568</v>
      </c>
      <c r="Q34" s="2">
        <f>Q12/'Output-Calculation-sheet'!Q11*'Output-Calculation-sheet'!Q20</f>
        <v>2343.2448194242434</v>
      </c>
      <c r="R34" s="2">
        <f>R12/'Output-Calculation-sheet'!R11*'Output-Calculation-sheet'!R20</f>
        <v>2180.0526095940709</v>
      </c>
      <c r="S34" s="2">
        <f>S12/'Output-Calculation-sheet'!S11*'Output-Calculation-sheet'!S20</f>
        <v>977.93411640731279</v>
      </c>
      <c r="T34" s="2">
        <f>T12/'Output-Calculation-sheet'!T11*'Output-Calculation-sheet'!T20</f>
        <v>787.48228594076227</v>
      </c>
      <c r="U34" s="2">
        <f>U12/'Output-Calculation-sheet'!U11*'Output-Calculation-sheet'!U20</f>
        <v>620.24810278306461</v>
      </c>
      <c r="V34" s="2">
        <f>V12/'Output-Calculation-sheet'!V11*'Output-Calculation-sheet'!V20</f>
        <v>769.53031001602847</v>
      </c>
      <c r="W34" s="2">
        <f>W12/'Output-Calculation-sheet'!W11*'Output-Calculation-sheet'!W20</f>
        <v>377.76239780994337</v>
      </c>
      <c r="X34" s="2">
        <f>X12/'Output-Calculation-sheet'!X11*'Output-Calculation-sheet'!X20</f>
        <v>0</v>
      </c>
      <c r="Y34" s="2">
        <f>Y12/'Output-Calculation-sheet'!Y11*'Output-Calculation-sheet'!Y20</f>
        <v>259.90055343976564</v>
      </c>
      <c r="AA34" s="2">
        <f t="shared" si="1"/>
        <v>72.45662577325335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140.67677153125965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125.22351133625588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544.5292945908534</v>
      </c>
      <c r="S52" s="2">
        <f>S8/'Output-Calculation-sheet'!S7*'Output-Calculation-sheet'!S43</f>
        <v>0</v>
      </c>
      <c r="T52" s="2">
        <f>T8/'Output-Calculation-sheet'!T7*'Output-Calculation-sheet'!T43</f>
        <v>438.46459713901294</v>
      </c>
      <c r="U52" s="2">
        <f>U8/'Output-Calculation-sheet'!U7*'Output-Calculation-sheet'!U43</f>
        <v>46.375042074974303</v>
      </c>
      <c r="V52" s="2">
        <f>V8/'Output-Calculation-sheet'!V7*'Output-Calculation-sheet'!V43</f>
        <v>790.67925791647838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2.0859484745888346</v>
      </c>
    </row>
    <row r="53" spans="1:27" x14ac:dyDescent="0.25">
      <c r="A53" s="2">
        <v>2032</v>
      </c>
      <c r="B53" s="2">
        <f>B9/'Output-Calculation-sheet'!B8*'Output-Calculation-sheet'!B44</f>
        <v>1625.9025729105742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306.52166599515647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245.56539796067881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767.7216661026772</v>
      </c>
      <c r="S53" s="2">
        <f>S9/'Output-Calculation-sheet'!S8*'Output-Calculation-sheet'!S44</f>
        <v>0</v>
      </c>
      <c r="T53" s="2">
        <f>T9/'Output-Calculation-sheet'!T8*'Output-Calculation-sheet'!T44</f>
        <v>529.32871523280153</v>
      </c>
      <c r="U53" s="2">
        <f>U9/'Output-Calculation-sheet'!U8*'Output-Calculation-sheet'!U44</f>
        <v>89.819488732535362</v>
      </c>
      <c r="V53" s="2">
        <f>V9/'Output-Calculation-sheet'!V8*'Output-Calculation-sheet'!V44</f>
        <v>887.38057861669552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4.4522400855511197</v>
      </c>
    </row>
    <row r="54" spans="1:27" x14ac:dyDescent="0.25">
      <c r="A54" s="2">
        <v>2033</v>
      </c>
      <c r="B54" s="2">
        <f>B10/'Output-Calculation-sheet'!B9*'Output-Calculation-sheet'!B45</f>
        <v>5169.4905525694385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454.80076442639785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433.75839567722164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255.59988410782694</v>
      </c>
      <c r="Q54" s="2">
        <f>Q10/'Output-Calculation-sheet'!Q9*'Output-Calculation-sheet'!Q45</f>
        <v>0</v>
      </c>
      <c r="R54" s="2">
        <f>R10/'Output-Calculation-sheet'!R9*'Output-Calculation-sheet'!R45</f>
        <v>1035.5501134927713</v>
      </c>
      <c r="S54" s="2">
        <f>S10/'Output-Calculation-sheet'!S9*'Output-Calculation-sheet'!S45</f>
        <v>0</v>
      </c>
      <c r="T54" s="2">
        <f>T10/'Output-Calculation-sheet'!T9*'Output-Calculation-sheet'!T45</f>
        <v>622.56538113107229</v>
      </c>
      <c r="U54" s="2">
        <f>U10/'Output-Calculation-sheet'!U9*'Output-Calculation-sheet'!U45</f>
        <v>148.73821924088048</v>
      </c>
      <c r="V54" s="2">
        <f>V10/'Output-Calculation-sheet'!V9*'Output-Calculation-sheet'!V45</f>
        <v>977.16439631654839</v>
      </c>
      <c r="W54" s="2">
        <f>W10/'Output-Calculation-sheet'!W9*'Output-Calculation-sheet'!W45</f>
        <v>15.890157417005641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9.1135578643791639</v>
      </c>
    </row>
    <row r="55" spans="1:27" x14ac:dyDescent="0.25">
      <c r="A55" s="2">
        <v>2034</v>
      </c>
      <c r="B55" s="2">
        <f>B11/'Output-Calculation-sheet'!B10*'Output-Calculation-sheet'!B46</f>
        <v>9634.7467760048585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642.0695827786825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631.70057851287311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511.31985129903927</v>
      </c>
      <c r="Q55" s="2">
        <f>Q11/'Output-Calculation-sheet'!Q10*'Output-Calculation-sheet'!Q46</f>
        <v>0</v>
      </c>
      <c r="R55" s="2">
        <f>R11/'Output-Calculation-sheet'!R10*'Output-Calculation-sheet'!R46</f>
        <v>1327.2952168614202</v>
      </c>
      <c r="S55" s="2">
        <f>S11/'Output-Calculation-sheet'!S10*'Output-Calculation-sheet'!S46</f>
        <v>0</v>
      </c>
      <c r="T55" s="2">
        <f>T11/'Output-Calculation-sheet'!T10*'Output-Calculation-sheet'!T46</f>
        <v>690.32031514758773</v>
      </c>
      <c r="U55" s="2">
        <f>U11/'Output-Calculation-sheet'!U10*'Output-Calculation-sheet'!U46</f>
        <v>216.61371878403247</v>
      </c>
      <c r="V55" s="2">
        <f>V11/'Output-Calculation-sheet'!V10*'Output-Calculation-sheet'!V46</f>
        <v>1040.3509544338749</v>
      </c>
      <c r="W55" s="2">
        <f>W11/'Output-Calculation-sheet'!W10*'Output-Calculation-sheet'!W46</f>
        <v>28.926879955001098</v>
      </c>
      <c r="X55" s="2">
        <f>X11/'Output-Calculation-sheet'!X10*'Output-Calculation-sheet'!X46</f>
        <v>69.192205070656414</v>
      </c>
      <c r="Y55" s="2">
        <f>Y11/'Output-Calculation-sheet'!Y10*'Output-Calculation-sheet'!Y46</f>
        <v>0</v>
      </c>
      <c r="AA55" s="2">
        <f t="shared" si="3"/>
        <v>14.792536078848025</v>
      </c>
    </row>
    <row r="56" spans="1:27" x14ac:dyDescent="0.25">
      <c r="A56" s="2">
        <v>2035</v>
      </c>
      <c r="B56" s="2">
        <f>B12/'Output-Calculation-sheet'!B11*'Output-Calculation-sheet'!B47</f>
        <v>21596.520483428078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796.96713777485718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771.10953130253256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734.01472496272072</v>
      </c>
      <c r="Q56" s="2">
        <f>Q12/'Output-Calculation-sheet'!Q11*'Output-Calculation-sheet'!Q47</f>
        <v>0</v>
      </c>
      <c r="R56" s="2">
        <f>R12/'Output-Calculation-sheet'!R11*'Output-Calculation-sheet'!R47</f>
        <v>1676.5690590041802</v>
      </c>
      <c r="S56" s="2">
        <f>S12/'Output-Calculation-sheet'!S11*'Output-Calculation-sheet'!S47</f>
        <v>0</v>
      </c>
      <c r="T56" s="2">
        <f>T12/'Output-Calculation-sheet'!T11*'Output-Calculation-sheet'!T47</f>
        <v>795.40716837058289</v>
      </c>
      <c r="U56" s="2">
        <f>U12/'Output-Calculation-sheet'!U11*'Output-Calculation-sheet'!U47</f>
        <v>304.6093528984336</v>
      </c>
      <c r="V56" s="2">
        <f>V12/'Output-Calculation-sheet'!V11*'Output-Calculation-sheet'!V47</f>
        <v>1086.3266490115625</v>
      </c>
      <c r="W56" s="2">
        <f>W12/'Output-Calculation-sheet'!W11*'Output-Calculation-sheet'!W47</f>
        <v>42.372846129076564</v>
      </c>
      <c r="X56" s="2">
        <f>X12/'Output-Calculation-sheet'!X11*'Output-Calculation-sheet'!X47</f>
        <v>167.23499369892667</v>
      </c>
      <c r="Y56" s="2">
        <f>Y12/'Output-Calculation-sheet'!Y11*'Output-Calculation-sheet'!Y47</f>
        <v>0</v>
      </c>
      <c r="AA56" s="2">
        <f t="shared" si="3"/>
        <v>27.971131946580957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 t="shared" ref="AA60:AA67" si="4"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si="4"/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6.792985138155017</v>
      </c>
      <c r="C63" s="2">
        <f>C8*'Output-Calculation-sheet'!C52/10^9</f>
        <v>3.4432063966741255</v>
      </c>
      <c r="D63" s="2">
        <f>D8*'Output-Calculation-sheet'!D52/10^9</f>
        <v>1.2028653884871421</v>
      </c>
      <c r="E63" s="2">
        <f>E8*'Output-Calculation-sheet'!E52/10^9</f>
        <v>1.5487958423289194</v>
      </c>
      <c r="F63" s="2">
        <f>F8*'Output-Calculation-sheet'!F52/10^9</f>
        <v>0.64422522594780529</v>
      </c>
      <c r="G63" s="2">
        <f>G8*'Output-Calculation-sheet'!G52/10^9</f>
        <v>0.46224692563617714</v>
      </c>
      <c r="H63" s="2">
        <f>H8*'Output-Calculation-sheet'!H52/10^9</f>
        <v>0.89292526778892822</v>
      </c>
      <c r="I63" s="2">
        <f>I8*'Output-Calculation-sheet'!I52/10^9</f>
        <v>0.4143747891076901</v>
      </c>
      <c r="J63" s="2">
        <f>J8*'Output-Calculation-sheet'!J52/10^9</f>
        <v>0.44546909293697301</v>
      </c>
      <c r="K63" s="2">
        <f>K8*'Output-Calculation-sheet'!K52/10^9</f>
        <v>0.4549015141286708</v>
      </c>
      <c r="L63" s="2">
        <f>L8*'Output-Calculation-sheet'!L52/10^9</f>
        <v>0.47310249206895705</v>
      </c>
      <c r="M63" s="2">
        <f>M8*'Output-Calculation-sheet'!M52/10^9</f>
        <v>0.67519541931073157</v>
      </c>
      <c r="N63" s="2">
        <f>N8*'Output-Calculation-sheet'!N52/10^9</f>
        <v>0.57046215478849938</v>
      </c>
      <c r="O63" s="2">
        <f>O8*'Output-Calculation-sheet'!O52/10^9</f>
        <v>0.59096313479999141</v>
      </c>
      <c r="P63" s="2">
        <f>P8*'Output-Calculation-sheet'!P52/10^9</f>
        <v>0.48977447034175015</v>
      </c>
      <c r="Q63" s="2">
        <f>Q8*'Output-Calculation-sheet'!Q52/10^9</f>
        <v>0.46332276711345133</v>
      </c>
      <c r="R63" s="2">
        <f>R8*'Output-Calculation-sheet'!R52/10^9</f>
        <v>0.39032233896994073</v>
      </c>
      <c r="S63" s="2">
        <f>S8*'Output-Calculation-sheet'!S52/10^9</f>
        <v>0.35887709900978615</v>
      </c>
      <c r="T63" s="2">
        <f>T8*'Output-Calculation-sheet'!T52/10^9</f>
        <v>0.12781343988450836</v>
      </c>
      <c r="U63" s="2">
        <f>U8*'Output-Calculation-sheet'!U52/10^9</f>
        <v>0.12537606561784209</v>
      </c>
      <c r="V63" s="2">
        <f>V8*'Output-Calculation-sheet'!V52/10^9</f>
        <v>0.1123703369462949</v>
      </c>
      <c r="W63" s="2">
        <f>W8*'Output-Calculation-sheet'!W52/10^9</f>
        <v>5.865918167704616E-2</v>
      </c>
      <c r="X63" s="2">
        <f>X8*'Output-Calculation-sheet'!X52/10^9</f>
        <v>9.4794499468844856E-2</v>
      </c>
      <c r="Y63" s="2">
        <f>Y8*'Output-Calculation-sheet'!Y52/10^9</f>
        <v>4.8893103861521424E-2</v>
      </c>
      <c r="AA63" s="2">
        <f t="shared" si="4"/>
        <v>20.881922085050611</v>
      </c>
    </row>
    <row r="64" spans="1:27" x14ac:dyDescent="0.25">
      <c r="A64" s="2">
        <v>2032</v>
      </c>
      <c r="B64" s="2">
        <f>B9*'Output-Calculation-sheet'!B53/10^9</f>
        <v>7.349651758872092</v>
      </c>
      <c r="C64" s="2">
        <f>C9*'Output-Calculation-sheet'!C53/10^9</f>
        <v>3.7220348895464017</v>
      </c>
      <c r="D64" s="2">
        <f>D9*'Output-Calculation-sheet'!D53/10^9</f>
        <v>1.3037762330259428</v>
      </c>
      <c r="E64" s="2">
        <f>E9*'Output-Calculation-sheet'!E53/10^9</f>
        <v>1.6789457331252295</v>
      </c>
      <c r="F64" s="2">
        <f>F9*'Output-Calculation-sheet'!F53/10^9</f>
        <v>0.69775519160841726</v>
      </c>
      <c r="G64" s="2">
        <f>G9*'Output-Calculation-sheet'!G53/10^9</f>
        <v>0.50091845865708695</v>
      </c>
      <c r="H64" s="2">
        <f>H9*'Output-Calculation-sheet'!H53/10^9</f>
        <v>0.96404570715987936</v>
      </c>
      <c r="I64" s="2">
        <f>I9*'Output-Calculation-sheet'!I53/10^9</f>
        <v>0.44909353637279537</v>
      </c>
      <c r="J64" s="2">
        <f>J9*'Output-Calculation-sheet'!J53/10^9</f>
        <v>0.48264343691716938</v>
      </c>
      <c r="K64" s="2">
        <f>K9*'Output-Calculation-sheet'!K53/10^9</f>
        <v>0.49315729007989528</v>
      </c>
      <c r="L64" s="2">
        <f>L9*'Output-Calculation-sheet'!L53/10^9</f>
        <v>0.51273079491075002</v>
      </c>
      <c r="M64" s="2">
        <f>M9*'Output-Calculation-sheet'!M53/10^9</f>
        <v>0.72915095045315659</v>
      </c>
      <c r="N64" s="2">
        <f>N9*'Output-Calculation-sheet'!N53/10^9</f>
        <v>0.6167271395553483</v>
      </c>
      <c r="O64" s="2">
        <f>O9*'Output-Calculation-sheet'!O53/10^9</f>
        <v>0.63901963994677069</v>
      </c>
      <c r="P64" s="2">
        <f>P9*'Output-Calculation-sheet'!P53/10^9</f>
        <v>0.53127344457756942</v>
      </c>
      <c r="Q64" s="2">
        <f>Q9*'Output-Calculation-sheet'!Q53/10^9</f>
        <v>0.5025043004634141</v>
      </c>
      <c r="R64" s="2">
        <f>R9*'Output-Calculation-sheet'!R53/10^9</f>
        <v>0.42264857728180072</v>
      </c>
      <c r="S64" s="2">
        <f>S9*'Output-Calculation-sheet'!S53/10^9</f>
        <v>0.38833101642344559</v>
      </c>
      <c r="T64" s="2">
        <f>T9*'Output-Calculation-sheet'!T53/10^9</f>
        <v>0.13809541587570373</v>
      </c>
      <c r="U64" s="2">
        <f>U9*'Output-Calculation-sheet'!U53/10^9</f>
        <v>0.13594845669119465</v>
      </c>
      <c r="V64" s="2">
        <f>V9*'Output-Calculation-sheet'!V53/10^9</f>
        <v>0.12100834187029896</v>
      </c>
      <c r="W64" s="2">
        <f>W9*'Output-Calculation-sheet'!W53/10^9</f>
        <v>6.3541665985154136E-2</v>
      </c>
      <c r="X64" s="2">
        <f>X9*'Output-Calculation-sheet'!X53/10^9</f>
        <v>0.10244230758460636</v>
      </c>
      <c r="Y64" s="2">
        <f>Y9*'Output-Calculation-sheet'!Y53/10^9</f>
        <v>5.3018045653627346E-2</v>
      </c>
      <c r="AA64" s="2">
        <f t="shared" si="4"/>
        <v>22.598462332637759</v>
      </c>
    </row>
    <row r="65" spans="1:27" x14ac:dyDescent="0.25">
      <c r="A65" s="2">
        <v>2033</v>
      </c>
      <c r="B65" s="2">
        <f>B10*'Output-Calculation-sheet'!B54/10^9</f>
        <v>7.7286979431401095</v>
      </c>
      <c r="C65" s="2">
        <f>C10*'Output-Calculation-sheet'!C54/10^9</f>
        <v>3.9127713248520926</v>
      </c>
      <c r="D65" s="2">
        <f>D10*'Output-Calculation-sheet'!D54/10^9</f>
        <v>1.3746356235545671</v>
      </c>
      <c r="E65" s="2">
        <f>E10*'Output-Calculation-sheet'!E54/10^9</f>
        <v>1.7704233484890244</v>
      </c>
      <c r="F65" s="2">
        <f>F10*'Output-Calculation-sheet'!F54/10^9</f>
        <v>0.73512869957582461</v>
      </c>
      <c r="G65" s="2">
        <f>G10*'Output-Calculation-sheet'!G54/10^9</f>
        <v>0.52791291548978425</v>
      </c>
      <c r="H65" s="2">
        <f>H10*'Output-Calculation-sheet'!H54/10^9</f>
        <v>1.0122272382606463</v>
      </c>
      <c r="I65" s="2">
        <f>I10*'Output-Calculation-sheet'!I54/10^9</f>
        <v>0.47345694110694353</v>
      </c>
      <c r="J65" s="2">
        <f>J10*'Output-Calculation-sheet'!J54/10^9</f>
        <v>0.50855318484783385</v>
      </c>
      <c r="K65" s="2">
        <f>K10*'Output-Calculation-sheet'!K54/10^9</f>
        <v>0.52005859998089132</v>
      </c>
      <c r="L65" s="2">
        <f>L10*'Output-Calculation-sheet'!L54/10^9</f>
        <v>0.54052990414289281</v>
      </c>
      <c r="M65" s="2">
        <f>M10*'Output-Calculation-sheet'!M54/10^9</f>
        <v>0.76577154447396711</v>
      </c>
      <c r="N65" s="2">
        <f>N10*'Output-Calculation-sheet'!N54/10^9</f>
        <v>0.64823226169325132</v>
      </c>
      <c r="O65" s="2">
        <f>O10*'Output-Calculation-sheet'!O54/10^9</f>
        <v>0.67189432093243395</v>
      </c>
      <c r="P65" s="2">
        <f>P10*'Output-Calculation-sheet'!P54/10^9</f>
        <v>0.56046419237243317</v>
      </c>
      <c r="Q65" s="2">
        <f>Q10*'Output-Calculation-sheet'!Q54/10^9</f>
        <v>0.53014074250709675</v>
      </c>
      <c r="R65" s="2">
        <f>R10*'Output-Calculation-sheet'!R54/10^9</f>
        <v>0.44504848316881118</v>
      </c>
      <c r="S65" s="2">
        <f>S10*'Output-Calculation-sheet'!S54/10^9</f>
        <v>0.4085335197259623</v>
      </c>
      <c r="T65" s="2">
        <f>T10*'Output-Calculation-sheet'!T54/10^9</f>
        <v>0.14509038116647099</v>
      </c>
      <c r="U65" s="2">
        <f>U10*'Output-Calculation-sheet'!U54/10^9</f>
        <v>0.1433584893595275</v>
      </c>
      <c r="V65" s="2">
        <f>V10*'Output-Calculation-sheet'!V54/10^9</f>
        <v>0.12674797654526185</v>
      </c>
      <c r="W65" s="2">
        <f>W10*'Output-Calculation-sheet'!W54/10^9</f>
        <v>6.6946019635292411E-2</v>
      </c>
      <c r="X65" s="2">
        <f>X10*'Output-Calculation-sheet'!X54/10^9</f>
        <v>0.10766716053322434</v>
      </c>
      <c r="Y65" s="2">
        <f>Y10*'Output-Calculation-sheet'!Y54/10^9</f>
        <v>5.5924395779737138E-2</v>
      </c>
      <c r="AA65" s="2">
        <f t="shared" si="4"/>
        <v>23.780215211334085</v>
      </c>
    </row>
    <row r="66" spans="1:27" x14ac:dyDescent="0.25">
      <c r="A66" s="2">
        <v>2034</v>
      </c>
      <c r="B66" s="2">
        <f>B11*'Output-Calculation-sheet'!B55/10^9</f>
        <v>7.9676313114300825</v>
      </c>
      <c r="C66" s="2">
        <f>C11*'Output-Calculation-sheet'!C55/10^9</f>
        <v>4.0360208514286944</v>
      </c>
      <c r="D66" s="2">
        <f>D11*'Output-Calculation-sheet'!D55/10^9</f>
        <v>1.4225041154824662</v>
      </c>
      <c r="E66" s="2">
        <f>E11*'Output-Calculation-sheet'!E55/10^9</f>
        <v>1.8322964080837889</v>
      </c>
      <c r="F66" s="2">
        <f>F11*'Output-Calculation-sheet'!F55/10^9</f>
        <v>0.76014919672644599</v>
      </c>
      <c r="G66" s="2">
        <f>G11*'Output-Calculation-sheet'!G55/10^9</f>
        <v>0.54596396845808381</v>
      </c>
      <c r="H66" s="2">
        <f>H11*'Output-Calculation-sheet'!H55/10^9</f>
        <v>1.0428740131157304</v>
      </c>
      <c r="I66" s="2">
        <f>I11*'Output-Calculation-sheet'!I55/10^9</f>
        <v>0.48989271114604993</v>
      </c>
      <c r="J66" s="2">
        <f>J11*'Output-Calculation-sheet'!J55/10^9</f>
        <v>0.52580977317007738</v>
      </c>
      <c r="K66" s="2">
        <f>K11*'Output-Calculation-sheet'!K55/10^9</f>
        <v>0.53826187534197534</v>
      </c>
      <c r="L66" s="2">
        <f>L11*'Output-Calculation-sheet'!L55/10^9</f>
        <v>0.55891268530132021</v>
      </c>
      <c r="M66" s="2">
        <f>M11*'Output-Calculation-sheet'!M55/10^9</f>
        <v>0.78912521593472351</v>
      </c>
      <c r="N66" s="2">
        <f>N11*'Output-Calculation-sheet'!N55/10^9</f>
        <v>0.66840490126880348</v>
      </c>
      <c r="O66" s="2">
        <f>O11*'Output-Calculation-sheet'!O55/10^9</f>
        <v>0.69314392985126005</v>
      </c>
      <c r="P66" s="2">
        <f>P11*'Output-Calculation-sheet'!P55/10^9</f>
        <v>0.58007043354701016</v>
      </c>
      <c r="Q66" s="2">
        <f>Q11*'Output-Calculation-sheet'!Q55/10^9</f>
        <v>0.54893122171608288</v>
      </c>
      <c r="R66" s="2">
        <f>R11*'Output-Calculation-sheet'!R55/10^9</f>
        <v>0.45976941141879085</v>
      </c>
      <c r="S66" s="2">
        <f>S11*'Output-Calculation-sheet'!S55/10^9</f>
        <v>0.42165469829738256</v>
      </c>
      <c r="T66" s="2">
        <f>T11*'Output-Calculation-sheet'!T55/10^9</f>
        <v>0.14958639908586757</v>
      </c>
      <c r="U66" s="2">
        <f>U11*'Output-Calculation-sheet'!U55/10^9</f>
        <v>0.14833414576510207</v>
      </c>
      <c r="V66" s="2">
        <f>V11*'Output-Calculation-sheet'!V55/10^9</f>
        <v>0.13030084602451969</v>
      </c>
      <c r="W66" s="2">
        <f>W11*'Output-Calculation-sheet'!W55/10^9</f>
        <v>6.9218400217504417E-2</v>
      </c>
      <c r="X66" s="2">
        <f>X11*'Output-Calculation-sheet'!X55/10^9</f>
        <v>0.11097947948071073</v>
      </c>
      <c r="Y66" s="2">
        <f>Y11*'Output-Calculation-sheet'!Y55/10^9</f>
        <v>5.7897370066412927E-2</v>
      </c>
      <c r="AA66" s="2">
        <f t="shared" si="4"/>
        <v>24.547733362358887</v>
      </c>
    </row>
    <row r="67" spans="1:27" x14ac:dyDescent="0.25">
      <c r="A67" s="2">
        <v>2035</v>
      </c>
      <c r="B67" s="2">
        <f>B12*'Output-Calculation-sheet'!B56/10^9</f>
        <v>8.0818715289989527</v>
      </c>
      <c r="C67" s="2">
        <f>C12*'Output-Calculation-sheet'!C56/10^9</f>
        <v>4.1023117810880088</v>
      </c>
      <c r="D67" s="2">
        <f>D12*'Output-Calculation-sheet'!D56/10^9</f>
        <v>1.4509235944253285</v>
      </c>
      <c r="E67" s="2">
        <f>E12*'Output-Calculation-sheet'!E56/10^9</f>
        <v>1.869125717038697</v>
      </c>
      <c r="F67" s="2">
        <f>F12*'Output-Calculation-sheet'!F56/10^9</f>
        <v>0.7747379912573652</v>
      </c>
      <c r="G67" s="2">
        <f>G12*'Output-Calculation-sheet'!G56/10^9</f>
        <v>0.5564148677285955</v>
      </c>
      <c r="H67" s="2">
        <f>H12*'Output-Calculation-sheet'!H56/10^9</f>
        <v>1.0587467891066751</v>
      </c>
      <c r="I67" s="2">
        <f>I12*'Output-Calculation-sheet'!I56/10^9</f>
        <v>0.49962449023927719</v>
      </c>
      <c r="J67" s="2">
        <f>J12*'Output-Calculation-sheet'!J56/10^9</f>
        <v>0.53576894594467228</v>
      </c>
      <c r="K67" s="2">
        <f>K12*'Output-Calculation-sheet'!K56/10^9</f>
        <v>0.54910728648564777</v>
      </c>
      <c r="L67" s="2">
        <f>L12*'Output-Calculation-sheet'!L56/10^9</f>
        <v>0.56911246281685079</v>
      </c>
      <c r="M67" s="2">
        <f>M12*'Output-Calculation-sheet'!M56/10^9</f>
        <v>0.80129097978706598</v>
      </c>
      <c r="N67" s="2">
        <f>N12*'Output-Calculation-sheet'!N56/10^9</f>
        <v>0.67907865870401973</v>
      </c>
      <c r="O67" s="2">
        <f>O12*'Output-Calculation-sheet'!O56/10^9</f>
        <v>0.70450765903842549</v>
      </c>
      <c r="P67" s="2">
        <f>P12*'Output-Calculation-sheet'!P56/10^9</f>
        <v>0.59154774380590169</v>
      </c>
      <c r="Q67" s="2">
        <f>Q12*'Output-Calculation-sheet'!Q56/10^9</f>
        <v>0.56018582394591232</v>
      </c>
      <c r="R67" s="2">
        <f>R12*'Output-Calculation-sheet'!R56/10^9</f>
        <v>0.4679989479956071</v>
      </c>
      <c r="S67" s="2">
        <f>S12*'Output-Calculation-sheet'!S56/10^9</f>
        <v>0.42883578819041385</v>
      </c>
      <c r="T67" s="2">
        <f>T12*'Output-Calculation-sheet'!T56/10^9</f>
        <v>0.1519762854831026</v>
      </c>
      <c r="U67" s="2">
        <f>U12*'Output-Calculation-sheet'!U56/10^9</f>
        <v>0.151226557168261</v>
      </c>
      <c r="V67" s="2">
        <f>V12*'Output-Calculation-sheet'!V56/10^9</f>
        <v>0.13202169916800041</v>
      </c>
      <c r="W67" s="2">
        <f>W12*'Output-Calculation-sheet'!W56/10^9</f>
        <v>7.0531402277154889E-2</v>
      </c>
      <c r="X67" s="2">
        <f>X12*'Output-Calculation-sheet'!X56/10^9</f>
        <v>0.11260171686116437</v>
      </c>
      <c r="Y67" s="2">
        <f>Y12*'Output-Calculation-sheet'!Y56/10^9</f>
        <v>5.9080421929081188E-2</v>
      </c>
      <c r="AA67" s="2">
        <f t="shared" si="4"/>
        <v>24.958629139484174</v>
      </c>
    </row>
    <row r="68" spans="1:27" x14ac:dyDescent="0.25">
      <c r="B68" s="2">
        <f>SUM(B60:B67)</f>
        <v>52.513074770430691</v>
      </c>
      <c r="C68" s="2">
        <f t="shared" ref="C68:Y68" si="5">SUM(C60:C67)</f>
        <v>26.600834023882211</v>
      </c>
      <c r="D68" s="2">
        <f t="shared" si="5"/>
        <v>9.3354814819409935</v>
      </c>
      <c r="E68" s="2">
        <f t="shared" si="5"/>
        <v>12.021321452541246</v>
      </c>
      <c r="F68" s="2">
        <f t="shared" si="5"/>
        <v>4.9968939299194961</v>
      </c>
      <c r="G68" s="2">
        <f t="shared" si="5"/>
        <v>3.584935754263507</v>
      </c>
      <c r="H68" s="2">
        <f t="shared" si="5"/>
        <v>6.8906256459738113</v>
      </c>
      <c r="I68" s="2">
        <f t="shared" si="5"/>
        <v>3.2156985095835493</v>
      </c>
      <c r="J68" s="2">
        <f t="shared" si="5"/>
        <v>3.4545473699510127</v>
      </c>
      <c r="K68" s="2">
        <f t="shared" si="5"/>
        <v>3.5309516806355514</v>
      </c>
      <c r="L68" s="2">
        <f t="shared" si="5"/>
        <v>3.6697710645478305</v>
      </c>
      <c r="M68" s="2">
        <f t="shared" si="5"/>
        <v>5.2115574256682997</v>
      </c>
      <c r="N68" s="2">
        <f t="shared" si="5"/>
        <v>4.4074247072216579</v>
      </c>
      <c r="O68" s="2">
        <f t="shared" si="5"/>
        <v>4.5630767414767872</v>
      </c>
      <c r="P68" s="2">
        <f t="shared" si="5"/>
        <v>3.8016672003902299</v>
      </c>
      <c r="Q68" s="2">
        <f t="shared" si="5"/>
        <v>3.5974293536178097</v>
      </c>
      <c r="R68" s="2">
        <f t="shared" si="5"/>
        <v>3.0238358694424106</v>
      </c>
      <c r="S68" s="2">
        <f t="shared" si="5"/>
        <v>2.776009259175793</v>
      </c>
      <c r="T68" s="2">
        <f t="shared" si="5"/>
        <v>0.98921404973886251</v>
      </c>
      <c r="U68" s="2">
        <f t="shared" si="5"/>
        <v>0.97267429780314041</v>
      </c>
      <c r="V68" s="2">
        <f t="shared" si="5"/>
        <v>0.86925312657666554</v>
      </c>
      <c r="W68" s="2">
        <f t="shared" si="5"/>
        <v>0.45495786730182203</v>
      </c>
      <c r="X68" s="2">
        <f t="shared" si="5"/>
        <v>0.73194707303911499</v>
      </c>
      <c r="Y68" s="2">
        <f t="shared" si="5"/>
        <v>0.3795894465764732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51.543969089053533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45.881894553604155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182.04895563571267</v>
      </c>
      <c r="S74" s="2">
        <f>S8/'Output-Calculation-sheet'!S7*'Output-Calculation-sheet'!S61</f>
        <v>0</v>
      </c>
      <c r="T74" s="2">
        <f>T8/'Output-Calculation-sheet'!T7*'Output-Calculation-sheet'!T61</f>
        <v>134.11091475195161</v>
      </c>
      <c r="U74" s="2">
        <f>U8/'Output-Calculation-sheet'!U7*'Output-Calculation-sheet'!U61</f>
        <v>16.988723746798922</v>
      </c>
      <c r="V74" s="2">
        <f>V8/'Output-Calculation-sheet'!V7*'Output-Calculation-sheet'!V61</f>
        <v>153.94008627495498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0.58451454405207592</v>
      </c>
    </row>
    <row r="75" spans="1:27" x14ac:dyDescent="0.25">
      <c r="A75" s="2">
        <v>2032</v>
      </c>
      <c r="B75" s="2">
        <f>B9/'Output-Calculation-sheet'!B8*'Output-Calculation-sheet'!B62</f>
        <v>553.61982607605057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112.27888625402582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89.958790786262014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238.02861293119824</v>
      </c>
      <c r="S75" s="2">
        <f>S9/'Output-Calculation-sheet'!S8*'Output-Calculation-sheet'!S62</f>
        <v>0</v>
      </c>
      <c r="T75" s="2">
        <f>T9/'Output-Calculation-sheet'!T8*'Output-Calculation-sheet'!T62</f>
        <v>157.22353888061116</v>
      </c>
      <c r="U75" s="2">
        <f>U9/'Output-Calculation-sheet'!U8*'Output-Calculation-sheet'!U62</f>
        <v>32.138535812110305</v>
      </c>
      <c r="V75" s="2">
        <f>V9/'Output-Calculation-sheet'!V8*'Output-Calculation-sheet'!V62</f>
        <v>168.42050513569947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1.3516686958759576</v>
      </c>
    </row>
    <row r="76" spans="1:27" x14ac:dyDescent="0.25">
      <c r="A76" s="2">
        <v>2033</v>
      </c>
      <c r="B76" s="2">
        <f>B10/'Output-Calculation-sheet'!B9*'Output-Calculation-sheet'!B63</f>
        <v>1420.1021338787627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166.58702285561202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158.90015894975554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71.685936727472082</v>
      </c>
      <c r="Q76" s="2">
        <f>Q10/'Output-Calculation-sheet'!Q9*'Output-Calculation-sheet'!Q63</f>
        <v>0</v>
      </c>
      <c r="R76" s="2">
        <f>R10/'Output-Calculation-sheet'!R9*'Output-Calculation-sheet'!R63</f>
        <v>305.32085578355617</v>
      </c>
      <c r="S76" s="2">
        <f>S10/'Output-Calculation-sheet'!S9*'Output-Calculation-sheet'!S63</f>
        <v>0</v>
      </c>
      <c r="T76" s="2">
        <f>T10/'Output-Calculation-sheet'!T9*'Output-Calculation-sheet'!T63</f>
        <v>178.45049891673506</v>
      </c>
      <c r="U76" s="2">
        <f>U10/'Output-Calculation-sheet'!U9*'Output-Calculation-sheet'!U63</f>
        <v>51.903688986297659</v>
      </c>
      <c r="V76" s="2">
        <f>V10/'Output-Calculation-sheet'!V9*'Output-Calculation-sheet'!V63</f>
        <v>185.34927671352671</v>
      </c>
      <c r="W76" s="2">
        <f>W10/'Output-Calculation-sheet'!W9*'Output-Calculation-sheet'!W63</f>
        <v>5.8197701539783164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2.5441193429656965</v>
      </c>
    </row>
    <row r="77" spans="1:27" x14ac:dyDescent="0.25">
      <c r="A77" s="2">
        <v>2034</v>
      </c>
      <c r="B77" s="2">
        <f>B11/'Output-Calculation-sheet'!B10*'Output-Calculation-sheet'!B64</f>
        <v>2469.1839411993847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235.20022611261211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218.62856212531247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141.12427895853486</v>
      </c>
      <c r="Q77" s="2">
        <f>Q11/'Output-Calculation-sheet'!Q10*'Output-Calculation-sheet'!Q64</f>
        <v>0</v>
      </c>
      <c r="R77" s="2">
        <f>R11/'Output-Calculation-sheet'!R10*'Output-Calculation-sheet'!R64</f>
        <v>366.58354996707368</v>
      </c>
      <c r="S77" s="2">
        <f>S11/'Output-Calculation-sheet'!S10*'Output-Calculation-sheet'!S64</f>
        <v>0</v>
      </c>
      <c r="T77" s="2">
        <f>T11/'Output-Calculation-sheet'!T10*'Output-Calculation-sheet'!T64</f>
        <v>197.45296024504972</v>
      </c>
      <c r="U77" s="2">
        <f>U11/'Output-Calculation-sheet'!U10*'Output-Calculation-sheet'!U64</f>
        <v>66.93982806765986</v>
      </c>
      <c r="V77" s="2">
        <f>V11/'Output-Calculation-sheet'!V10*'Output-Calculation-sheet'!V64</f>
        <v>199.94781783885549</v>
      </c>
      <c r="W77" s="2">
        <f>W11/'Output-Calculation-sheet'!W10*'Output-Calculation-sheet'!W64</f>
        <v>10.595502886374689</v>
      </c>
      <c r="X77" s="2">
        <f>X11/'Output-Calculation-sheet'!X10*'Output-Calculation-sheet'!X64</f>
        <v>19.010558343162849</v>
      </c>
      <c r="Y77" s="2">
        <f>Y11/'Output-Calculation-sheet'!Y10*'Output-Calculation-sheet'!Y64</f>
        <v>0</v>
      </c>
      <c r="AA77" s="2">
        <f t="shared" si="6"/>
        <v>3.9246672257440203</v>
      </c>
    </row>
    <row r="78" spans="1:27" x14ac:dyDescent="0.25">
      <c r="A78" s="2">
        <v>2035</v>
      </c>
      <c r="B78" s="2">
        <f>B12/'Output-Calculation-sheet'!B11*'Output-Calculation-sheet'!B65</f>
        <v>4456.0054763413573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288.15559642329185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254.49698971108782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206.74049024807147</v>
      </c>
      <c r="Q78" s="2">
        <f>Q12/'Output-Calculation-sheet'!Q11*'Output-Calculation-sheet'!Q65</f>
        <v>0</v>
      </c>
      <c r="R78" s="2">
        <f>R12/'Output-Calculation-sheet'!R11*'Output-Calculation-sheet'!R65</f>
        <v>453.83738210149625</v>
      </c>
      <c r="S78" s="2">
        <f>S12/'Output-Calculation-sheet'!S11*'Output-Calculation-sheet'!S65</f>
        <v>0</v>
      </c>
      <c r="T78" s="2">
        <f>T12/'Output-Calculation-sheet'!T11*'Output-Calculation-sheet'!T65</f>
        <v>219.67102742623538</v>
      </c>
      <c r="U78" s="2">
        <f>U12/'Output-Calculation-sheet'!U11*'Output-Calculation-sheet'!U65</f>
        <v>85.411193347083696</v>
      </c>
      <c r="V78" s="2">
        <f>V12/'Output-Calculation-sheet'!V11*'Output-Calculation-sheet'!V65</f>
        <v>207.24861516030052</v>
      </c>
      <c r="W78" s="2">
        <f>W12/'Output-Calculation-sheet'!W11*'Output-Calculation-sheet'!W65</f>
        <v>15.521173537080744</v>
      </c>
      <c r="X78" s="2">
        <f>X12/'Output-Calculation-sheet'!X11*'Output-Calculation-sheet'!X65</f>
        <v>42.38646931205524</v>
      </c>
      <c r="Y78" s="2">
        <f>Y12/'Output-Calculation-sheet'!Y11*'Output-Calculation-sheet'!Y65</f>
        <v>0</v>
      </c>
      <c r="AA78" s="2">
        <f t="shared" si="6"/>
        <v>6.2294744136080595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 t="shared" ref="AA93:AA100" si="8"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si="8"/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14915920529.86208</v>
      </c>
      <c r="C96" s="2">
        <f>C8/'Output-Calculation-sheet'!C7*'Output-Calculation-sheet'!C79</f>
        <v>1835991872.9086857</v>
      </c>
      <c r="D96" s="2">
        <f>D8/'Output-Calculation-sheet'!D7*'Output-Calculation-sheet'!D79</f>
        <v>6501809373.2883472</v>
      </c>
      <c r="E96" s="2">
        <f>E8/'Output-Calculation-sheet'!E7*'Output-Calculation-sheet'!E79</f>
        <v>11116624778.358572</v>
      </c>
      <c r="F96" s="2">
        <f>F8/'Output-Calculation-sheet'!F7*'Output-Calculation-sheet'!F79</f>
        <v>5002852164.2226648</v>
      </c>
      <c r="G96" s="2">
        <f>G8/'Output-Calculation-sheet'!G7*'Output-Calculation-sheet'!G79</f>
        <v>3799893427.7520504</v>
      </c>
      <c r="H96" s="2">
        <f>H8/'Output-Calculation-sheet'!H7*'Output-Calculation-sheet'!H79</f>
        <v>1105518613.2163897</v>
      </c>
      <c r="I96" s="2">
        <f>I8/'Output-Calculation-sheet'!I7*'Output-Calculation-sheet'!I79</f>
        <v>2548865470.1484404</v>
      </c>
      <c r="J96" s="2">
        <f>J8/'Output-Calculation-sheet'!J7*'Output-Calculation-sheet'!J79</f>
        <v>1888753484.4484048</v>
      </c>
      <c r="K96" s="2">
        <f>K8/'Output-Calculation-sheet'!K7*'Output-Calculation-sheet'!K79</f>
        <v>2183873855.4244294</v>
      </c>
      <c r="L96" s="2">
        <f>L8/'Output-Calculation-sheet'!L7*'Output-Calculation-sheet'!L79</f>
        <v>1737231524.8381712</v>
      </c>
      <c r="M96" s="2">
        <f>M8/'Output-Calculation-sheet'!M7*'Output-Calculation-sheet'!M79</f>
        <v>859442066.03004718</v>
      </c>
      <c r="N96" s="2">
        <f>N8/'Output-Calculation-sheet'!N7*'Output-Calculation-sheet'!N79</f>
        <v>872848690.3152535</v>
      </c>
      <c r="O96" s="2">
        <f>O8/'Output-Calculation-sheet'!O7*'Output-Calculation-sheet'!O79</f>
        <v>213062446.99136868</v>
      </c>
      <c r="P96" s="2">
        <f>P8/'Output-Calculation-sheet'!P7*'Output-Calculation-sheet'!P79</f>
        <v>2321477447.9106836</v>
      </c>
      <c r="Q96" s="2">
        <f>Q8/'Output-Calculation-sheet'!Q7*'Output-Calculation-sheet'!Q79</f>
        <v>1029416631.546663</v>
      </c>
      <c r="R96" s="2">
        <f>R8/'Output-Calculation-sheet'!R7*'Output-Calculation-sheet'!R79</f>
        <v>1566240660.7732382</v>
      </c>
      <c r="S96" s="2">
        <f>S8/'Output-Calculation-sheet'!S7*'Output-Calculation-sheet'!S79</f>
        <v>612199424.87117112</v>
      </c>
      <c r="T96" s="2">
        <f>T8/'Output-Calculation-sheet'!T7*'Output-Calculation-sheet'!T79</f>
        <v>829113444.92056489</v>
      </c>
      <c r="U96" s="2">
        <f>U8/'Output-Calculation-sheet'!U7*'Output-Calculation-sheet'!U79</f>
        <v>411797543.19746441</v>
      </c>
      <c r="V96" s="2">
        <f>V8/'Output-Calculation-sheet'!V7*'Output-Calculation-sheet'!V79</f>
        <v>303440885.97665614</v>
      </c>
      <c r="W96" s="2">
        <f>W8/'Output-Calculation-sheet'!W7*'Output-Calculation-sheet'!W79</f>
        <v>808379823.24023378</v>
      </c>
      <c r="X96" s="2">
        <f>X8/'Output-Calculation-sheet'!X7*'Output-Calculation-sheet'!X79</f>
        <v>95791249.355034545</v>
      </c>
      <c r="Y96" s="2">
        <f>Y8/'Output-Calculation-sheet'!Y7*'Output-Calculation-sheet'!Y79</f>
        <v>362790934.80464238</v>
      </c>
      <c r="AA96" s="2">
        <f t="shared" si="8"/>
        <v>62.92333634440125</v>
      </c>
    </row>
    <row r="97" spans="1:27" x14ac:dyDescent="0.25">
      <c r="A97" s="2">
        <v>2032</v>
      </c>
      <c r="B97" s="2">
        <f>B9/'Output-Calculation-sheet'!B8*'Output-Calculation-sheet'!B80</f>
        <v>16466184008.298494</v>
      </c>
      <c r="C97" s="2">
        <f>C9/'Output-Calculation-sheet'!C8*'Output-Calculation-sheet'!C80</f>
        <v>2068700208.4121685</v>
      </c>
      <c r="D97" s="2">
        <f>D9/'Output-Calculation-sheet'!D8*'Output-Calculation-sheet'!D80</f>
        <v>6813254918.9683046</v>
      </c>
      <c r="E97" s="2">
        <f>E9/'Output-Calculation-sheet'!E8*'Output-Calculation-sheet'!E80</f>
        <v>11995454166.132309</v>
      </c>
      <c r="F97" s="2">
        <f>F9/'Output-Calculation-sheet'!F8*'Output-Calculation-sheet'!F80</f>
        <v>5385888267.6901312</v>
      </c>
      <c r="G97" s="2">
        <f>G9/'Output-Calculation-sheet'!G8*'Output-Calculation-sheet'!G80</f>
        <v>3986531896.6498666</v>
      </c>
      <c r="H97" s="2">
        <f>H9/'Output-Calculation-sheet'!H8*'Output-Calculation-sheet'!H80</f>
        <v>1207944930.7846744</v>
      </c>
      <c r="I97" s="2">
        <f>I9/'Output-Calculation-sheet'!I8*'Output-Calculation-sheet'!I80</f>
        <v>2768930884.5669146</v>
      </c>
      <c r="J97" s="2">
        <f>J9/'Output-Calculation-sheet'!J8*'Output-Calculation-sheet'!J80</f>
        <v>1997945452.8992054</v>
      </c>
      <c r="K97" s="2">
        <f>K9/'Output-Calculation-sheet'!K8*'Output-Calculation-sheet'!K80</f>
        <v>2325667329.8306975</v>
      </c>
      <c r="L97" s="2">
        <f>L9/'Output-Calculation-sheet'!L8*'Output-Calculation-sheet'!L80</f>
        <v>1906914727.8729005</v>
      </c>
      <c r="M97" s="2">
        <f>M9/'Output-Calculation-sheet'!M8*'Output-Calculation-sheet'!M80</f>
        <v>938913983.73633718</v>
      </c>
      <c r="N97" s="2">
        <f>N9/'Output-Calculation-sheet'!N8*'Output-Calculation-sheet'!N80</f>
        <v>930582999.1639626</v>
      </c>
      <c r="O97" s="2">
        <f>O9/'Output-Calculation-sheet'!O8*'Output-Calculation-sheet'!O80</f>
        <v>242864651.61880615</v>
      </c>
      <c r="P97" s="2">
        <f>P9/'Output-Calculation-sheet'!P8*'Output-Calculation-sheet'!P80</f>
        <v>2469806279.0773573</v>
      </c>
      <c r="Q97" s="2">
        <f>Q9/'Output-Calculation-sheet'!Q8*'Output-Calculation-sheet'!Q80</f>
        <v>1098216002.9676902</v>
      </c>
      <c r="R97" s="2">
        <f>R9/'Output-Calculation-sheet'!R8*'Output-Calculation-sheet'!R80</f>
        <v>1708985767.9346836</v>
      </c>
      <c r="S97" s="2">
        <f>S9/'Output-Calculation-sheet'!S8*'Output-Calculation-sheet'!S80</f>
        <v>659102135.8544234</v>
      </c>
      <c r="T97" s="2">
        <f>T9/'Output-Calculation-sheet'!T8*'Output-Calculation-sheet'!T80</f>
        <v>881286478.74214923</v>
      </c>
      <c r="U97" s="2">
        <f>U9/'Output-Calculation-sheet'!U8*'Output-Calculation-sheet'!U80</f>
        <v>447271469.59392482</v>
      </c>
      <c r="V97" s="2">
        <f>V9/'Output-Calculation-sheet'!V8*'Output-Calculation-sheet'!V80</f>
        <v>329473413.97857571</v>
      </c>
      <c r="W97" s="2">
        <f>W9/'Output-Calculation-sheet'!W8*'Output-Calculation-sheet'!W80</f>
        <v>861623976.12738895</v>
      </c>
      <c r="X97" s="2">
        <f>X9/'Output-Calculation-sheet'!X8*'Output-Calculation-sheet'!X80</f>
        <v>105515070.47404641</v>
      </c>
      <c r="Y97" s="2">
        <f>Y9/'Output-Calculation-sheet'!Y8*'Output-Calculation-sheet'!Y80</f>
        <v>386908172.39587891</v>
      </c>
      <c r="AA97" s="2">
        <f t="shared" si="8"/>
        <v>67.983967193770894</v>
      </c>
    </row>
    <row r="98" spans="1:27" x14ac:dyDescent="0.25">
      <c r="A98" s="2">
        <v>2033</v>
      </c>
      <c r="B98" s="2">
        <f>B10/'Output-Calculation-sheet'!B9*'Output-Calculation-sheet'!B81</f>
        <v>17838287815.301865</v>
      </c>
      <c r="C98" s="2">
        <f>C10/'Output-Calculation-sheet'!C9*'Output-Calculation-sheet'!C81</f>
        <v>2249365512.5656667</v>
      </c>
      <c r="D98" s="2">
        <f>D10/'Output-Calculation-sheet'!D9*'Output-Calculation-sheet'!D81</f>
        <v>6952192905.044672</v>
      </c>
      <c r="E98" s="2">
        <f>E10/'Output-Calculation-sheet'!E9*'Output-Calculation-sheet'!E81</f>
        <v>12598195764.419647</v>
      </c>
      <c r="F98" s="2">
        <f>F10/'Output-Calculation-sheet'!F9*'Output-Calculation-sheet'!F81</f>
        <v>5643395967.8745136</v>
      </c>
      <c r="G98" s="2">
        <f>G10/'Output-Calculation-sheet'!G9*'Output-Calculation-sheet'!G81</f>
        <v>4060604162.1819854</v>
      </c>
      <c r="H98" s="2">
        <f>H10/'Output-Calculation-sheet'!H9*'Output-Calculation-sheet'!H81</f>
        <v>1280819973.1884446</v>
      </c>
      <c r="I98" s="2">
        <f>I10/'Output-Calculation-sheet'!I9*'Output-Calculation-sheet'!I81</f>
        <v>2929950794.5126328</v>
      </c>
      <c r="J98" s="2">
        <f>J10/'Output-Calculation-sheet'!J9*'Output-Calculation-sheet'!J81</f>
        <v>2060060893.8249078</v>
      </c>
      <c r="K98" s="2">
        <f>K10/'Output-Calculation-sheet'!K9*'Output-Calculation-sheet'!K81</f>
        <v>2415934298.8820477</v>
      </c>
      <c r="L98" s="2">
        <f>L10/'Output-Calculation-sheet'!L9*'Output-Calculation-sheet'!L81</f>
        <v>2040012472.62924</v>
      </c>
      <c r="M98" s="2">
        <f>M10/'Output-Calculation-sheet'!M9*'Output-Calculation-sheet'!M81</f>
        <v>1000662239.1653466</v>
      </c>
      <c r="N98" s="2">
        <f>N10/'Output-Calculation-sheet'!N9*'Output-Calculation-sheet'!N81</f>
        <v>957287165.50153422</v>
      </c>
      <c r="O98" s="2">
        <f>O10/'Output-Calculation-sheet'!O9*'Output-Calculation-sheet'!O81</f>
        <v>264512243.71533707</v>
      </c>
      <c r="P98" s="2">
        <f>P10/'Output-Calculation-sheet'!P9*'Output-Calculation-sheet'!P81</f>
        <v>2596983299.4184823</v>
      </c>
      <c r="Q98" s="2">
        <f>Q10/'Output-Calculation-sheet'!Q9*'Output-Calculation-sheet'!Q81</f>
        <v>1143552318.7306421</v>
      </c>
      <c r="R98" s="2">
        <f>R10/'Output-Calculation-sheet'!R9*'Output-Calculation-sheet'!R81</f>
        <v>1816593075.5924242</v>
      </c>
      <c r="S98" s="2">
        <f>S10/'Output-Calculation-sheet'!S9*'Output-Calculation-sheet'!S81</f>
        <v>692752197.74807847</v>
      </c>
      <c r="T98" s="2">
        <f>T10/'Output-Calculation-sheet'!T9*'Output-Calculation-sheet'!T81</f>
        <v>910412247.85482156</v>
      </c>
      <c r="U98" s="2">
        <f>U10/'Output-Calculation-sheet'!U9*'Output-Calculation-sheet'!U81</f>
        <v>473059704.96997565</v>
      </c>
      <c r="V98" s="2">
        <f>V10/'Output-Calculation-sheet'!V9*'Output-Calculation-sheet'!V81</f>
        <v>348747358.09840006</v>
      </c>
      <c r="W98" s="2">
        <f>W10/'Output-Calculation-sheet'!W9*'Output-Calculation-sheet'!W81</f>
        <v>893763355.6319952</v>
      </c>
      <c r="X98" s="2">
        <f>X10/'Output-Calculation-sheet'!X9*'Output-Calculation-sheet'!X81</f>
        <v>113500900.06708011</v>
      </c>
      <c r="Y98" s="2">
        <f>Y10/'Output-Calculation-sheet'!Y9*'Output-Calculation-sheet'!Y81</f>
        <v>401427554.18076468</v>
      </c>
      <c r="AA98" s="2">
        <f t="shared" si="8"/>
        <v>71.682074221100493</v>
      </c>
    </row>
    <row r="99" spans="1:27" x14ac:dyDescent="0.25">
      <c r="A99" s="2">
        <v>2034</v>
      </c>
      <c r="B99" s="2">
        <f>B11/'Output-Calculation-sheet'!B10*'Output-Calculation-sheet'!B82</f>
        <v>18951925576.356243</v>
      </c>
      <c r="C99" s="2">
        <f>C11/'Output-Calculation-sheet'!C10*'Output-Calculation-sheet'!C82</f>
        <v>2406189826.4286237</v>
      </c>
      <c r="D99" s="2">
        <f>D11/'Output-Calculation-sheet'!D10*'Output-Calculation-sheet'!D82</f>
        <v>6964782446.5401278</v>
      </c>
      <c r="E99" s="2">
        <f>E11/'Output-Calculation-sheet'!E10*'Output-Calculation-sheet'!E82</f>
        <v>12985016774.282858</v>
      </c>
      <c r="F99" s="2">
        <f>F11/'Output-Calculation-sheet'!F10*'Output-Calculation-sheet'!F82</f>
        <v>5807183947.3999214</v>
      </c>
      <c r="G99" s="2">
        <f>G11/'Output-Calculation-sheet'!G10*'Output-Calculation-sheet'!G82</f>
        <v>4055145898.4640737</v>
      </c>
      <c r="H99" s="2">
        <f>H11/'Output-Calculation-sheet'!H10*'Output-Calculation-sheet'!H82</f>
        <v>1335187565.4656765</v>
      </c>
      <c r="I99" s="2">
        <f>I11/'Output-Calculation-sheet'!I10*'Output-Calculation-sheet'!I82</f>
        <v>3043892000.5119944</v>
      </c>
      <c r="J99" s="2">
        <f>J11/'Output-Calculation-sheet'!J10*'Output-Calculation-sheet'!J82</f>
        <v>2085276698.7489161</v>
      </c>
      <c r="K99" s="2">
        <f>K11/'Output-Calculation-sheet'!K10*'Output-Calculation-sheet'!K82</f>
        <v>2464993101.9918361</v>
      </c>
      <c r="L99" s="2">
        <f>L11/'Output-Calculation-sheet'!L10*'Output-Calculation-sheet'!L82</f>
        <v>2155228566.2512641</v>
      </c>
      <c r="M99" s="2">
        <f>M11/'Output-Calculation-sheet'!M10*'Output-Calculation-sheet'!M82</f>
        <v>1046065499.2702075</v>
      </c>
      <c r="N99" s="2">
        <f>N11/'Output-Calculation-sheet'!N10*'Output-Calculation-sheet'!N82</f>
        <v>972017559.64594328</v>
      </c>
      <c r="O99" s="2">
        <f>O11/'Output-Calculation-sheet'!O10*'Output-Calculation-sheet'!O82</f>
        <v>284553365.98825037</v>
      </c>
      <c r="P99" s="2">
        <f>P11/'Output-Calculation-sheet'!P10*'Output-Calculation-sheet'!P82</f>
        <v>2680905202.9048033</v>
      </c>
      <c r="Q99" s="2">
        <f>Q11/'Output-Calculation-sheet'!Q10*'Output-Calculation-sheet'!Q82</f>
        <v>1168720581.5510809</v>
      </c>
      <c r="R99" s="2">
        <f>R11/'Output-Calculation-sheet'!R10*'Output-Calculation-sheet'!R82</f>
        <v>1898619632.5165114</v>
      </c>
      <c r="S99" s="2">
        <f>S11/'Output-Calculation-sheet'!S10*'Output-Calculation-sheet'!S82</f>
        <v>713446123.70859325</v>
      </c>
      <c r="T99" s="2">
        <f>T11/'Output-Calculation-sheet'!T10*'Output-Calculation-sheet'!T82</f>
        <v>922240185.89048576</v>
      </c>
      <c r="U99" s="2">
        <f>U11/'Output-Calculation-sheet'!U10*'Output-Calculation-sheet'!U82</f>
        <v>491653665.70153898</v>
      </c>
      <c r="V99" s="2">
        <f>V11/'Output-Calculation-sheet'!V10*'Output-Calculation-sheet'!V82</f>
        <v>361790300.40048629</v>
      </c>
      <c r="W99" s="2">
        <f>W11/'Output-Calculation-sheet'!W10*'Output-Calculation-sheet'!W82</f>
        <v>908458996.01536489</v>
      </c>
      <c r="X99" s="2">
        <f>X11/'Output-Calculation-sheet'!X10*'Output-Calculation-sheet'!X82</f>
        <v>128214539.84002773</v>
      </c>
      <c r="Y99" s="2">
        <f>Y11/'Output-Calculation-sheet'!Y10*'Output-Calculation-sheet'!Y82</f>
        <v>408622908.86004496</v>
      </c>
      <c r="AA99" s="2">
        <f t="shared" si="8"/>
        <v>74.24013096473486</v>
      </c>
    </row>
    <row r="100" spans="1:27" x14ac:dyDescent="0.25">
      <c r="A100" s="2">
        <v>2035</v>
      </c>
      <c r="B100" s="2">
        <f>B12/'Output-Calculation-sheet'!B11*'Output-Calculation-sheet'!B83</f>
        <v>20243126279.788296</v>
      </c>
      <c r="C100" s="2">
        <f>C12/'Output-Calculation-sheet'!C11*'Output-Calculation-sheet'!C83</f>
        <v>2528125473.0646224</v>
      </c>
      <c r="D100" s="2">
        <f>D12/'Output-Calculation-sheet'!D11*'Output-Calculation-sheet'!D83</f>
        <v>6886745253.0130367</v>
      </c>
      <c r="E100" s="2">
        <f>E12/'Output-Calculation-sheet'!E11*'Output-Calculation-sheet'!E83</f>
        <v>13203340344.204659</v>
      </c>
      <c r="F100" s="2">
        <f>F12/'Output-Calculation-sheet'!F11*'Output-Calculation-sheet'!F83</f>
        <v>5894068092.0343609</v>
      </c>
      <c r="G100" s="2">
        <f>G12/'Output-Calculation-sheet'!G11*'Output-Calculation-sheet'!G83</f>
        <v>3990708990.1722355</v>
      </c>
      <c r="H100" s="2">
        <f>H12/'Output-Calculation-sheet'!H11*'Output-Calculation-sheet'!H83</f>
        <v>1374482947.1742811</v>
      </c>
      <c r="I100" s="2">
        <f>I12/'Output-Calculation-sheet'!I11*'Output-Calculation-sheet'!I83</f>
        <v>3119323526.6066146</v>
      </c>
      <c r="J100" s="2">
        <f>J12/'Output-Calculation-sheet'!J11*'Output-Calculation-sheet'!J83</f>
        <v>2081510552.3997421</v>
      </c>
      <c r="K100" s="2">
        <f>K12/'Output-Calculation-sheet'!K11*'Output-Calculation-sheet'!K83</f>
        <v>2481234699.1339107</v>
      </c>
      <c r="L100" s="2">
        <f>L12/'Output-Calculation-sheet'!L11*'Output-Calculation-sheet'!L83</f>
        <v>2244977398.5277967</v>
      </c>
      <c r="M100" s="2">
        <f>M12/'Output-Calculation-sheet'!M11*'Output-Calculation-sheet'!M83</f>
        <v>1081959439.9877532</v>
      </c>
      <c r="N100" s="2">
        <f>N12/'Output-Calculation-sheet'!N11*'Output-Calculation-sheet'!N83</f>
        <v>971214611.15822196</v>
      </c>
      <c r="O100" s="2">
        <f>O12/'Output-Calculation-sheet'!O11*'Output-Calculation-sheet'!O83</f>
        <v>302682470.17142016</v>
      </c>
      <c r="P100" s="2">
        <f>P12/'Output-Calculation-sheet'!P11*'Output-Calculation-sheet'!P83</f>
        <v>2717760823.4620414</v>
      </c>
      <c r="Q100" s="2">
        <f>Q12/'Output-Calculation-sheet'!Q11*'Output-Calculation-sheet'!Q83</f>
        <v>1180342847.8561847</v>
      </c>
      <c r="R100" s="2">
        <f>R12/'Output-Calculation-sheet'!R11*'Output-Calculation-sheet'!R83</f>
        <v>1958058889.4650021</v>
      </c>
      <c r="S100" s="2">
        <f>S12/'Output-Calculation-sheet'!S11*'Output-Calculation-sheet'!S83</f>
        <v>724246424.95638418</v>
      </c>
      <c r="T100" s="2">
        <f>T12/'Output-Calculation-sheet'!T11*'Output-Calculation-sheet'!T83</f>
        <v>924065372.45154536</v>
      </c>
      <c r="U100" s="2">
        <f>U12/'Output-Calculation-sheet'!U11*'Output-Calculation-sheet'!U83</f>
        <v>503630696.59604603</v>
      </c>
      <c r="V100" s="2">
        <f>V12/'Output-Calculation-sheet'!V11*'Output-Calculation-sheet'!V83</f>
        <v>370203337.74707699</v>
      </c>
      <c r="W100" s="2">
        <f>W12/'Output-Calculation-sheet'!W11*'Output-Calculation-sheet'!W83</f>
        <v>909275091.52770233</v>
      </c>
      <c r="X100" s="2">
        <f>X12/'Output-Calculation-sheet'!X11*'Output-Calculation-sheet'!X83</f>
        <v>144129933.66266</v>
      </c>
      <c r="Y100" s="2">
        <f>Y12/'Output-Calculation-sheet'!Y11*'Output-Calculation-sheet'!Y83</f>
        <v>409396005.14252281</v>
      </c>
      <c r="AA100" s="2">
        <f t="shared" si="8"/>
        <v>76.24460950030408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92535391847.685913</v>
      </c>
      <c r="C8" s="2">
        <v>43607333087.952705</v>
      </c>
      <c r="D8" s="2">
        <v>38865922558.689323</v>
      </c>
      <c r="E8" s="2">
        <v>30836165560.929249</v>
      </c>
      <c r="F8" s="2">
        <v>19850346316.659195</v>
      </c>
      <c r="G8" s="2">
        <v>13947398100.135208</v>
      </c>
      <c r="H8" s="2">
        <v>13605151450.933624</v>
      </c>
      <c r="I8" s="2">
        <v>12707177569.365141</v>
      </c>
      <c r="J8" s="2">
        <v>12368289003.622583</v>
      </c>
      <c r="K8" s="2">
        <v>12249719176.868015</v>
      </c>
      <c r="L8" s="2">
        <v>9826883986.9757271</v>
      </c>
      <c r="M8" s="2">
        <v>9386368497.9044037</v>
      </c>
      <c r="N8" s="2">
        <v>9212693572.0476933</v>
      </c>
      <c r="O8" s="2">
        <v>8472942688.4115639</v>
      </c>
      <c r="P8" s="2">
        <v>8386737195.7809982</v>
      </c>
      <c r="Q8" s="2">
        <v>8251193968.3744392</v>
      </c>
      <c r="R8" s="2">
        <v>7938028118.6129484</v>
      </c>
      <c r="S8" s="2">
        <v>5276020126.8003941</v>
      </c>
      <c r="T8" s="2">
        <v>2917950879.5436668</v>
      </c>
      <c r="U8" s="2">
        <v>2541435513.8730321</v>
      </c>
      <c r="V8" s="2">
        <v>1956956174.3925135</v>
      </c>
      <c r="W8" s="2">
        <v>1694290342.58202</v>
      </c>
      <c r="X8" s="2">
        <v>1016574205.5492126</v>
      </c>
      <c r="Y8" s="2">
        <v>988608249.1545521</v>
      </c>
    </row>
    <row r="9" spans="1:27" x14ac:dyDescent="0.25">
      <c r="A9" s="2">
        <v>2032</v>
      </c>
      <c r="B9" s="2">
        <v>92363380224.151535</v>
      </c>
      <c r="C9" s="2">
        <v>43526272555.191254</v>
      </c>
      <c r="D9" s="2">
        <v>38793675710.148552</v>
      </c>
      <c r="E9" s="2">
        <v>30778845017.991032</v>
      </c>
      <c r="F9" s="2">
        <v>19813447026.242096</v>
      </c>
      <c r="G9" s="2">
        <v>13921471646.01446</v>
      </c>
      <c r="H9" s="2">
        <v>13579861190.172009</v>
      </c>
      <c r="I9" s="2">
        <v>12683556528.803234</v>
      </c>
      <c r="J9" s="2">
        <v>12345297914.166159</v>
      </c>
      <c r="K9" s="2">
        <v>12226948493.766338</v>
      </c>
      <c r="L9" s="2">
        <v>9808617048.941185</v>
      </c>
      <c r="M9" s="2">
        <v>9368920422.6093407</v>
      </c>
      <c r="N9" s="2">
        <v>9195568336.5371437</v>
      </c>
      <c r="O9" s="2">
        <v>8457192556.5015335</v>
      </c>
      <c r="P9" s="2">
        <v>8371147309.0101404</v>
      </c>
      <c r="Q9" s="2">
        <v>8235856039.3695745</v>
      </c>
      <c r="R9" s="2">
        <v>7923272325.428524</v>
      </c>
      <c r="S9" s="2">
        <v>5266212670.7590904</v>
      </c>
      <c r="T9" s="2">
        <v>2912526776.8499641</v>
      </c>
      <c r="U9" s="2">
        <v>2536711305.7606506</v>
      </c>
      <c r="V9" s="2">
        <v>1953318439.6618176</v>
      </c>
      <c r="W9" s="2">
        <v>1691140870.5070992</v>
      </c>
      <c r="X9" s="2">
        <v>1014684522.3042603</v>
      </c>
      <c r="Y9" s="2">
        <v>986770551.09566832</v>
      </c>
    </row>
    <row r="10" spans="1:27" x14ac:dyDescent="0.25">
      <c r="A10" s="2">
        <v>2033</v>
      </c>
      <c r="B10" s="2">
        <v>84635419472.346741</v>
      </c>
      <c r="C10" s="2">
        <v>39884468572.243027</v>
      </c>
      <c r="D10" s="2">
        <v>35547843838.483467</v>
      </c>
      <c r="E10" s="2">
        <v>28203606804.451488</v>
      </c>
      <c r="F10" s="2">
        <v>18155673776.658001</v>
      </c>
      <c r="G10" s="2">
        <v>12756674664.497845</v>
      </c>
      <c r="H10" s="2">
        <v>12443646447.511852</v>
      </c>
      <c r="I10" s="2">
        <v>11622334789.083288</v>
      </c>
      <c r="J10" s="2">
        <v>11312377967.77092</v>
      </c>
      <c r="K10" s="2">
        <v>11203930736.676308</v>
      </c>
      <c r="L10" s="2">
        <v>8987938903.5577583</v>
      </c>
      <c r="M10" s="2">
        <v>8585031297.5362062</v>
      </c>
      <c r="N10" s="2">
        <v>8426183424.2175732</v>
      </c>
      <c r="O10" s="2">
        <v>7749586880.0041084</v>
      </c>
      <c r="P10" s="2">
        <v>7670740960.7949753</v>
      </c>
      <c r="Q10" s="2">
        <v>7546769389.711422</v>
      </c>
      <c r="R10" s="2">
        <v>7260339273.3014212</v>
      </c>
      <c r="S10" s="2">
        <v>4825593404.4273701</v>
      </c>
      <c r="T10" s="2">
        <v>2668838287.2618403</v>
      </c>
      <c r="U10" s="2">
        <v>2324466957.8166614</v>
      </c>
      <c r="V10" s="2">
        <v>1789886046.8579865</v>
      </c>
      <c r="W10" s="2">
        <v>1549644638.5444396</v>
      </c>
      <c r="X10" s="2">
        <v>929786783.12666428</v>
      </c>
      <c r="Y10" s="2">
        <v>904208348.7228483</v>
      </c>
    </row>
    <row r="11" spans="1:27" x14ac:dyDescent="0.25">
      <c r="A11" s="2">
        <v>2034</v>
      </c>
      <c r="B11" s="2">
        <v>71162912104.398483</v>
      </c>
      <c r="C11" s="2">
        <v>33535545153.935715</v>
      </c>
      <c r="D11" s="2">
        <v>29889236709.052021</v>
      </c>
      <c r="E11" s="2">
        <v>23714076264.582912</v>
      </c>
      <c r="F11" s="2">
        <v>15265601862.900787</v>
      </c>
      <c r="G11" s="2">
        <v>10726030822.009182</v>
      </c>
      <c r="H11" s="2">
        <v>10462831329.049273</v>
      </c>
      <c r="I11" s="2">
        <v>9772258401.9762726</v>
      </c>
      <c r="J11" s="2">
        <v>9511641391.1700859</v>
      </c>
      <c r="K11" s="2">
        <v>9420457099.5051422</v>
      </c>
      <c r="L11" s="2">
        <v>7557213164.1949978</v>
      </c>
      <c r="M11" s="2">
        <v>7218441539.5931549</v>
      </c>
      <c r="N11" s="2">
        <v>7084879523.6260939</v>
      </c>
      <c r="O11" s="2">
        <v>6515985546.3033466</v>
      </c>
      <c r="P11" s="2">
        <v>6449690545.3043451</v>
      </c>
      <c r="Q11" s="2">
        <v>6345453122.3499327</v>
      </c>
      <c r="R11" s="2">
        <v>6104617768.4849072</v>
      </c>
      <c r="S11" s="2">
        <v>4057441688.5005393</v>
      </c>
      <c r="T11" s="2">
        <v>2244004999.8136039</v>
      </c>
      <c r="U11" s="2">
        <v>1954451680.3952577</v>
      </c>
      <c r="V11" s="2">
        <v>1504966882.9379573</v>
      </c>
      <c r="W11" s="2">
        <v>1302967786.9301708</v>
      </c>
      <c r="X11" s="2">
        <v>781780672.15810299</v>
      </c>
      <c r="Y11" s="2">
        <v>760273885.86703229</v>
      </c>
    </row>
    <row r="12" spans="1:27" x14ac:dyDescent="0.25">
      <c r="A12" s="2">
        <v>2035</v>
      </c>
      <c r="B12" s="2">
        <v>54171441340.111244</v>
      </c>
      <c r="C12" s="2">
        <v>25528309106.434032</v>
      </c>
      <c r="D12" s="2">
        <v>22752624719.878967</v>
      </c>
      <c r="E12" s="2">
        <v>18051898851.710655</v>
      </c>
      <c r="F12" s="2">
        <v>11620655076.965431</v>
      </c>
      <c r="G12" s="2">
        <v>8164991177.3464632</v>
      </c>
      <c r="H12" s="2">
        <v>7964635465.7546186</v>
      </c>
      <c r="I12" s="2">
        <v>7438949687.8156395</v>
      </c>
      <c r="J12" s="2">
        <v>7240559842.6613121</v>
      </c>
      <c r="K12" s="2">
        <v>7171147499.0542879</v>
      </c>
      <c r="L12" s="2">
        <v>5752787758.5774374</v>
      </c>
      <c r="M12" s="2">
        <v>5494904169.3998299</v>
      </c>
      <c r="N12" s="2">
        <v>5393232572.5066013</v>
      </c>
      <c r="O12" s="2">
        <v>4960172628.6404619</v>
      </c>
      <c r="P12" s="2">
        <v>4909706793.9583254</v>
      </c>
      <c r="Q12" s="2">
        <v>4830357997.2882929</v>
      </c>
      <c r="R12" s="2">
        <v>4647026570.0220137</v>
      </c>
      <c r="S12" s="2">
        <v>3088651910.3810463</v>
      </c>
      <c r="T12" s="2">
        <v>1708207008.6730676</v>
      </c>
      <c r="U12" s="2">
        <v>1487789937.5631301</v>
      </c>
      <c r="V12" s="2">
        <v>1145628007.7223623</v>
      </c>
      <c r="W12" s="2">
        <v>991859958.37541926</v>
      </c>
      <c r="X12" s="2">
        <v>595115975.02525198</v>
      </c>
      <c r="Y12" s="2">
        <v>578744334.55230629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 t="shared" ref="AA16:AA23" si="0"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si="0"/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4847.7085051896693</v>
      </c>
      <c r="C19" s="2">
        <f>C8/'Output-Calculation-sheet'!C7*'Output-Calculation-sheet'!C25</f>
        <v>6463.7442454328138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2355.1722435412671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1723.8758634909479</v>
      </c>
      <c r="N19" s="2">
        <f>N8/'Output-Calculation-sheet'!N7*'Output-Calculation-sheet'!N25</f>
        <v>898.08240185538762</v>
      </c>
      <c r="O19" s="2">
        <f>O8/'Output-Calculation-sheet'!O7*'Output-Calculation-sheet'!O25</f>
        <v>979.3823764354463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391.51051439058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199.26873774566951</v>
      </c>
      <c r="Y19" s="2">
        <f>Y8/'Output-Calculation-sheet'!Y7*'Output-Calculation-sheet'!Y25</f>
        <v>0</v>
      </c>
      <c r="AA19" s="2">
        <f t="shared" si="0"/>
        <v>17.85874488808178</v>
      </c>
    </row>
    <row r="20" spans="1:27" x14ac:dyDescent="0.25">
      <c r="A20" s="2">
        <v>2032</v>
      </c>
      <c r="B20" s="2">
        <f>B9/'Output-Calculation-sheet'!B8*'Output-Calculation-sheet'!B26</f>
        <v>5807.1940142138064</v>
      </c>
      <c r="C20" s="2">
        <f>C9/'Output-Calculation-sheet'!C8*'Output-Calculation-sheet'!C26</f>
        <v>6693.2462264115184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2409.5970639113957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1759.5563176872133</v>
      </c>
      <c r="N20" s="2">
        <f>N9/'Output-Calculation-sheet'!N8*'Output-Calculation-sheet'!N26</f>
        <v>1000.8567088288353</v>
      </c>
      <c r="O20" s="2">
        <f>O9/'Output-Calculation-sheet'!O8*'Output-Calculation-sheet'!O26</f>
        <v>1035.3891950322607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452.43045501684514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203.25159710907707</v>
      </c>
      <c r="Y20" s="2">
        <f>Y9/'Output-Calculation-sheet'!Y8*'Output-Calculation-sheet'!Y26</f>
        <v>0</v>
      </c>
      <c r="AA20" s="2">
        <f t="shared" si="0"/>
        <v>19.361521578210951</v>
      </c>
    </row>
    <row r="21" spans="1:27" x14ac:dyDescent="0.25">
      <c r="A21" s="2">
        <v>2033</v>
      </c>
      <c r="B21" s="2">
        <f>B10/'Output-Calculation-sheet'!B9*'Output-Calculation-sheet'!B27</f>
        <v>6696.7063113171062</v>
      </c>
      <c r="C21" s="2">
        <f>C10/'Output-Calculation-sheet'!C9*'Output-Calculation-sheet'!C27</f>
        <v>6301.2888596348566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2254.9667233850942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19.566434493259138</v>
      </c>
      <c r="M21" s="2">
        <f>M10/'Output-Calculation-sheet'!M9*'Output-Calculation-sheet'!M27</f>
        <v>1655.0769623247054</v>
      </c>
      <c r="N21" s="2">
        <f>N10/'Output-Calculation-sheet'!N9*'Output-Calculation-sheet'!N27</f>
        <v>1011.6944290109067</v>
      </c>
      <c r="O21" s="2">
        <f>O10/'Output-Calculation-sheet'!O9*'Output-Calculation-sheet'!O27</f>
        <v>985.50709496784702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470.12046924495536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191.59967089877151</v>
      </c>
      <c r="Y21" s="2">
        <f>Y10/'Output-Calculation-sheet'!Y9*'Output-Calculation-sheet'!Y27</f>
        <v>0</v>
      </c>
      <c r="AA21" s="2">
        <f t="shared" si="0"/>
        <v>19.586526955277503</v>
      </c>
    </row>
    <row r="22" spans="1:27" x14ac:dyDescent="0.25">
      <c r="A22" s="2">
        <v>2034</v>
      </c>
      <c r="B22" s="2">
        <f>B11/'Output-Calculation-sheet'!B10*'Output-Calculation-sheet'!B28</f>
        <v>6941.095953533767</v>
      </c>
      <c r="C22" s="2">
        <f>C11/'Output-Calculation-sheet'!C10*'Output-Calculation-sheet'!C28</f>
        <v>5467.4982038834469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1940.3459701826696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111.14166070521497</v>
      </c>
      <c r="M22" s="2">
        <f>M11/'Output-Calculation-sheet'!M10*'Output-Calculation-sheet'!M28</f>
        <v>1426.3673645839478</v>
      </c>
      <c r="N22" s="2">
        <f>N11/'Output-Calculation-sheet'!N10*'Output-Calculation-sheet'!N28</f>
        <v>908.77212604911506</v>
      </c>
      <c r="O22" s="2">
        <f>O11/'Output-Calculation-sheet'!O10*'Output-Calculation-sheet'!O28</f>
        <v>867.44633486134899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421.2689139251213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176.07324938527776</v>
      </c>
      <c r="Y22" s="2">
        <f>Y11/'Output-Calculation-sheet'!Y10*'Output-Calculation-sheet'!Y28</f>
        <v>0</v>
      </c>
      <c r="AA22" s="2">
        <f t="shared" si="0"/>
        <v>18.260009777109907</v>
      </c>
    </row>
    <row r="23" spans="1:27" x14ac:dyDescent="0.25">
      <c r="A23" s="2">
        <v>2035</v>
      </c>
      <c r="B23" s="2">
        <f>B12/'Output-Calculation-sheet'!B11*'Output-Calculation-sheet'!B29</f>
        <v>6830.5978537628534</v>
      </c>
      <c r="C23" s="2">
        <f>C12/'Output-Calculation-sheet'!C11*'Output-Calculation-sheet'!C29</f>
        <v>4277.8313773429572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1515.4495292999125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156.7414758052046</v>
      </c>
      <c r="M23" s="2">
        <f>M12/'Output-Calculation-sheet'!M11*'Output-Calculation-sheet'!M29</f>
        <v>1119.3721819902178</v>
      </c>
      <c r="N23" s="2">
        <f>N12/'Output-Calculation-sheet'!N11*'Output-Calculation-sheet'!N29</f>
        <v>723.44868586504867</v>
      </c>
      <c r="O23" s="2">
        <f>O12/'Output-Calculation-sheet'!O11*'Output-Calculation-sheet'!O29</f>
        <v>694.30182484902252</v>
      </c>
      <c r="P23" s="2">
        <f>P12/'Output-Calculation-sheet'!P11*'Output-Calculation-sheet'!P29</f>
        <v>0</v>
      </c>
      <c r="Q23" s="2">
        <f>Q12/'Output-Calculation-sheet'!Q11*'Output-Calculation-sheet'!Q29</f>
        <v>40.778948429711036</v>
      </c>
      <c r="R23" s="2">
        <f>R12/'Output-Calculation-sheet'!R11*'Output-Calculation-sheet'!R29</f>
        <v>0</v>
      </c>
      <c r="S23" s="2">
        <f>S12/'Output-Calculation-sheet'!S11*'Output-Calculation-sheet'!S29</f>
        <v>337.2159504234815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147.93342495671064</v>
      </c>
      <c r="Y23" s="2">
        <f>Y12/'Output-Calculation-sheet'!Y11*'Output-Calculation-sheet'!Y29</f>
        <v>0</v>
      </c>
      <c r="AA23" s="2">
        <f t="shared" si="0"/>
        <v>15.843671252725123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 t="shared" ref="AA27:AA34" si="1"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si="1"/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23840.377901015872</v>
      </c>
      <c r="C30" s="2">
        <f>C8/'Output-Calculation-sheet'!C7*'Output-Calculation-sheet'!C16</f>
        <v>0</v>
      </c>
      <c r="D30" s="2">
        <f>D8/'Output-Calculation-sheet'!D7*'Output-Calculation-sheet'!D16</f>
        <v>5371.007305036931</v>
      </c>
      <c r="E30" s="2">
        <f>E8/'Output-Calculation-sheet'!E7*'Output-Calculation-sheet'!E16</f>
        <v>6730.7301493485202</v>
      </c>
      <c r="F30" s="2">
        <f>F8/'Output-Calculation-sheet'!F7*'Output-Calculation-sheet'!F16</f>
        <v>3287.2879817996604</v>
      </c>
      <c r="G30" s="2">
        <f>G8/'Output-Calculation-sheet'!G7*'Output-Calculation-sheet'!G16</f>
        <v>2003.2306099316213</v>
      </c>
      <c r="H30" s="2">
        <f>H8/'Output-Calculation-sheet'!H7*'Output-Calculation-sheet'!H16</f>
        <v>0</v>
      </c>
      <c r="I30" s="2">
        <f>I8/'Output-Calculation-sheet'!I7*'Output-Calculation-sheet'!I16</f>
        <v>1885.7943778520209</v>
      </c>
      <c r="J30" s="2">
        <f>J8/'Output-Calculation-sheet'!J7*'Output-Calculation-sheet'!J16</f>
        <v>2021.4900426304489</v>
      </c>
      <c r="K30" s="2">
        <f>K8/'Output-Calculation-sheet'!K7*'Output-Calculation-sheet'!K16</f>
        <v>1956.57513310901</v>
      </c>
      <c r="L30" s="2">
        <f>L8/'Output-Calculation-sheet'!L7*'Output-Calculation-sheet'!L16</f>
        <v>2162.6826640393783</v>
      </c>
      <c r="M30" s="2">
        <f>M8/'Output-Calculation-sheet'!M7*'Output-Calculation-sheet'!M16</f>
        <v>0</v>
      </c>
      <c r="N30" s="2">
        <f>N8/'Output-Calculation-sheet'!N7*'Output-Calculation-sheet'!N16</f>
        <v>969.80475617751654</v>
      </c>
      <c r="O30" s="2">
        <f>O8/'Output-Calculation-sheet'!O7*'Output-Calculation-sheet'!O16</f>
        <v>0</v>
      </c>
      <c r="P30" s="2">
        <f>P8/'Output-Calculation-sheet'!P7*'Output-Calculation-sheet'!P16</f>
        <v>1851.3636502282955</v>
      </c>
      <c r="Q30" s="2">
        <f>Q8/'Output-Calculation-sheet'!Q7*'Output-Calculation-sheet'!Q16</f>
        <v>1816.279460484848</v>
      </c>
      <c r="R30" s="2">
        <f>R8/'Output-Calculation-sheet'!R7*'Output-Calculation-sheet'!R16</f>
        <v>1611.8088118528469</v>
      </c>
      <c r="S30" s="2">
        <f>S8/'Output-Calculation-sheet'!S7*'Output-Calculation-sheet'!S16</f>
        <v>853.66523429453002</v>
      </c>
      <c r="T30" s="2">
        <f>T8/'Output-Calculation-sheet'!T7*'Output-Calculation-sheet'!T16</f>
        <v>608.80418621232764</v>
      </c>
      <c r="U30" s="2">
        <f>U8/'Output-Calculation-sheet'!U7*'Output-Calculation-sheet'!U16</f>
        <v>469.7549237252054</v>
      </c>
      <c r="V30" s="2">
        <f>V8/'Output-Calculation-sheet'!V7*'Output-Calculation-sheet'!V16</f>
        <v>608.23868961638948</v>
      </c>
      <c r="W30" s="2">
        <f>W8/'Output-Calculation-sheet'!W7*'Output-Calculation-sheet'!W16</f>
        <v>292.85449725149374</v>
      </c>
      <c r="X30" s="2">
        <f>X8/'Output-Calculation-sheet'!X7*'Output-Calculation-sheet'!X16</f>
        <v>0</v>
      </c>
      <c r="Y30" s="2">
        <f>Y8/'Output-Calculation-sheet'!Y7*'Output-Calculation-sheet'!Y16</f>
        <v>199.73315172900391</v>
      </c>
      <c r="AA30" s="2">
        <f t="shared" si="1"/>
        <v>58.541483526335902</v>
      </c>
    </row>
    <row r="31" spans="1:27" x14ac:dyDescent="0.25">
      <c r="A31" s="2">
        <v>2032</v>
      </c>
      <c r="B31" s="2">
        <f>B9/'Output-Calculation-sheet'!B8*'Output-Calculation-sheet'!B17</f>
        <v>23529.909856070786</v>
      </c>
      <c r="C31" s="2">
        <f>C9/'Output-Calculation-sheet'!C8*'Output-Calculation-sheet'!C17</f>
        <v>0</v>
      </c>
      <c r="D31" s="2">
        <f>D9/'Output-Calculation-sheet'!D8*'Output-Calculation-sheet'!D17</f>
        <v>5385.5108002360412</v>
      </c>
      <c r="E31" s="2">
        <f>E9/'Output-Calculation-sheet'!E8*'Output-Calculation-sheet'!E17</f>
        <v>6764.9130337437682</v>
      </c>
      <c r="F31" s="2">
        <f>F9/'Output-Calculation-sheet'!F8*'Output-Calculation-sheet'!F17</f>
        <v>3300.7304756539834</v>
      </c>
      <c r="G31" s="2">
        <f>G9/'Output-Calculation-sheet'!G8*'Output-Calculation-sheet'!G17</f>
        <v>2009.2429048291312</v>
      </c>
      <c r="H31" s="2">
        <f>H9/'Output-Calculation-sheet'!H8*'Output-Calculation-sheet'!H17</f>
        <v>0</v>
      </c>
      <c r="I31" s="2">
        <f>I9/'Output-Calculation-sheet'!I8*'Output-Calculation-sheet'!I17</f>
        <v>1890.5077785021713</v>
      </c>
      <c r="J31" s="2">
        <f>J9/'Output-Calculation-sheet'!J8*'Output-Calculation-sheet'!J17</f>
        <v>2028.1903059709171</v>
      </c>
      <c r="K31" s="2">
        <f>K9/'Output-Calculation-sheet'!K8*'Output-Calculation-sheet'!K17</f>
        <v>1961.5448532322812</v>
      </c>
      <c r="L31" s="2">
        <f>L9/'Output-Calculation-sheet'!L8*'Output-Calculation-sheet'!L17</f>
        <v>2167.4369388900213</v>
      </c>
      <c r="M31" s="2">
        <f>M9/'Output-Calculation-sheet'!M8*'Output-Calculation-sheet'!M17</f>
        <v>0</v>
      </c>
      <c r="N31" s="2">
        <f>N9/'Output-Calculation-sheet'!N8*'Output-Calculation-sheet'!N17</f>
        <v>913.87371932297185</v>
      </c>
      <c r="O31" s="2">
        <f>O9/'Output-Calculation-sheet'!O8*'Output-Calculation-sheet'!O17</f>
        <v>0</v>
      </c>
      <c r="P31" s="2">
        <f>P9/'Output-Calculation-sheet'!P8*'Output-Calculation-sheet'!P17</f>
        <v>1866.9990750097077</v>
      </c>
      <c r="Q31" s="2">
        <f>Q9/'Output-Calculation-sheet'!Q8*'Output-Calculation-sheet'!Q17</f>
        <v>1825.8442835471344</v>
      </c>
      <c r="R31" s="2">
        <f>R9/'Output-Calculation-sheet'!R8*'Output-Calculation-sheet'!R17</f>
        <v>1634.0771083410687</v>
      </c>
      <c r="S31" s="2">
        <f>S9/'Output-Calculation-sheet'!S8*'Output-Calculation-sheet'!S17</f>
        <v>817.98625541331717</v>
      </c>
      <c r="T31" s="2">
        <f>T9/'Output-Calculation-sheet'!T8*'Output-Calculation-sheet'!T17</f>
        <v>612.16270097210543</v>
      </c>
      <c r="U31" s="2">
        <f>U9/'Output-Calculation-sheet'!U8*'Output-Calculation-sheet'!U17</f>
        <v>473.99189162118461</v>
      </c>
      <c r="V31" s="2">
        <f>V9/'Output-Calculation-sheet'!V8*'Output-Calculation-sheet'!V17</f>
        <v>602.75669606957092</v>
      </c>
      <c r="W31" s="2">
        <f>W9/'Output-Calculation-sheet'!W8*'Output-Calculation-sheet'!W17</f>
        <v>293.78004886538804</v>
      </c>
      <c r="X31" s="2">
        <f>X9/'Output-Calculation-sheet'!X8*'Output-Calculation-sheet'!X17</f>
        <v>0</v>
      </c>
      <c r="Y31" s="2">
        <f>Y9/'Output-Calculation-sheet'!Y8*'Output-Calculation-sheet'!Y17</f>
        <v>200.27346307435471</v>
      </c>
      <c r="AA31" s="2">
        <f t="shared" si="1"/>
        <v>58.279732189365902</v>
      </c>
    </row>
    <row r="32" spans="1:27" x14ac:dyDescent="0.25">
      <c r="A32" s="2">
        <v>2033</v>
      </c>
      <c r="B32" s="2">
        <f>B10/'Output-Calculation-sheet'!B9*'Output-Calculation-sheet'!B18</f>
        <v>21215.186744007278</v>
      </c>
      <c r="C32" s="2">
        <f>C10/'Output-Calculation-sheet'!C9*'Output-Calculation-sheet'!C18</f>
        <v>0</v>
      </c>
      <c r="D32" s="2">
        <f>D10/'Output-Calculation-sheet'!D9*'Output-Calculation-sheet'!D18</f>
        <v>4963.3230218034141</v>
      </c>
      <c r="E32" s="2">
        <f>E10/'Output-Calculation-sheet'!E9*'Output-Calculation-sheet'!E18</f>
        <v>6242.4593754296229</v>
      </c>
      <c r="F32" s="2">
        <f>F10/'Output-Calculation-sheet'!F9*'Output-Calculation-sheet'!F18</f>
        <v>3040.4298192200417</v>
      </c>
      <c r="G32" s="2">
        <f>G10/'Output-Calculation-sheet'!G9*'Output-Calculation-sheet'!G18</f>
        <v>1849.7537613209163</v>
      </c>
      <c r="H32" s="2">
        <f>H10/'Output-Calculation-sheet'!H9*'Output-Calculation-sheet'!H18</f>
        <v>0</v>
      </c>
      <c r="I32" s="2">
        <f>I10/'Output-Calculation-sheet'!I9*'Output-Calculation-sheet'!I18</f>
        <v>1743.0671262939145</v>
      </c>
      <c r="J32" s="2">
        <f>J10/'Output-Calculation-sheet'!J9*'Output-Calculation-sheet'!J18</f>
        <v>1867.9876710355902</v>
      </c>
      <c r="K32" s="2">
        <f>K10/'Output-Calculation-sheet'!K9*'Output-Calculation-sheet'!K18</f>
        <v>1811.8095492069956</v>
      </c>
      <c r="L32" s="2">
        <f>L10/'Output-Calculation-sheet'!L9*'Output-Calculation-sheet'!L18</f>
        <v>1990.3110295372333</v>
      </c>
      <c r="M32" s="2">
        <f>M10/'Output-Calculation-sheet'!M9*'Output-Calculation-sheet'!M18</f>
        <v>0</v>
      </c>
      <c r="N32" s="2">
        <f>N10/'Output-Calculation-sheet'!N9*'Output-Calculation-sheet'!N18</f>
        <v>774.61961816533767</v>
      </c>
      <c r="O32" s="2">
        <f>O10/'Output-Calculation-sheet'!O9*'Output-Calculation-sheet'!O18</f>
        <v>0</v>
      </c>
      <c r="P32" s="2">
        <f>P10/'Output-Calculation-sheet'!P9*'Output-Calculation-sheet'!P18</f>
        <v>1745.4336736283701</v>
      </c>
      <c r="Q32" s="2">
        <f>Q10/'Output-Calculation-sheet'!Q9*'Output-Calculation-sheet'!Q18</f>
        <v>1690.7290836697634</v>
      </c>
      <c r="R32" s="2">
        <f>R10/'Output-Calculation-sheet'!R9*'Output-Calculation-sheet'!R18</f>
        <v>1519.6973738247116</v>
      </c>
      <c r="S32" s="2">
        <f>S10/'Output-Calculation-sheet'!S9*'Output-Calculation-sheet'!S18</f>
        <v>724.29604753460046</v>
      </c>
      <c r="T32" s="2">
        <f>T10/'Output-Calculation-sheet'!T9*'Output-Calculation-sheet'!T18</f>
        <v>562.32385104693458</v>
      </c>
      <c r="U32" s="2">
        <f>U10/'Output-Calculation-sheet'!U9*'Output-Calculation-sheet'!U18</f>
        <v>438.40446595451226</v>
      </c>
      <c r="V32" s="2">
        <f>V10/'Output-Calculation-sheet'!V9*'Output-Calculation-sheet'!V18</f>
        <v>553.12345054686807</v>
      </c>
      <c r="W32" s="2">
        <f>W10/'Output-Calculation-sheet'!W9*'Output-Calculation-sheet'!W18</f>
        <v>269.87930349189088</v>
      </c>
      <c r="X32" s="2">
        <f>X10/'Output-Calculation-sheet'!X9*'Output-Calculation-sheet'!X18</f>
        <v>0</v>
      </c>
      <c r="Y32" s="2">
        <f>Y10/'Output-Calculation-sheet'!Y9*'Output-Calculation-sheet'!Y18</f>
        <v>184.68796697377596</v>
      </c>
      <c r="AA32" s="2">
        <f t="shared" si="1"/>
        <v>53.18752293269177</v>
      </c>
    </row>
    <row r="33" spans="1:27" x14ac:dyDescent="0.25">
      <c r="A33" s="2">
        <v>2034</v>
      </c>
      <c r="B33" s="2">
        <f>B11/'Output-Calculation-sheet'!B10*'Output-Calculation-sheet'!B19</f>
        <v>17405.324996590622</v>
      </c>
      <c r="C33" s="2">
        <f>C11/'Output-Calculation-sheet'!C10*'Output-Calculation-sheet'!C19</f>
        <v>0</v>
      </c>
      <c r="D33" s="2">
        <f>D11/'Output-Calculation-sheet'!D10*'Output-Calculation-sheet'!D19</f>
        <v>4191.7050542032157</v>
      </c>
      <c r="E33" s="2">
        <f>E11/'Output-Calculation-sheet'!E10*'Output-Calculation-sheet'!E19</f>
        <v>5276.2019005321963</v>
      </c>
      <c r="F33" s="2">
        <f>F11/'Output-Calculation-sheet'!F10*'Output-Calculation-sheet'!F19</f>
        <v>2568.386628015659</v>
      </c>
      <c r="G33" s="2">
        <f>G11/'Output-Calculation-sheet'!G10*'Output-Calculation-sheet'!G19</f>
        <v>1559.1181945450351</v>
      </c>
      <c r="H33" s="2">
        <f>H11/'Output-Calculation-sheet'!H10*'Output-Calculation-sheet'!H19</f>
        <v>0</v>
      </c>
      <c r="I33" s="2">
        <f>I11/'Output-Calculation-sheet'!I10*'Output-Calculation-sheet'!I19</f>
        <v>1473.4407890380216</v>
      </c>
      <c r="J33" s="2">
        <f>J11/'Output-Calculation-sheet'!J10*'Output-Calculation-sheet'!J19</f>
        <v>1573.3032526260827</v>
      </c>
      <c r="K33" s="2">
        <f>K11/'Output-Calculation-sheet'!K10*'Output-Calculation-sheet'!K19</f>
        <v>1534.773623811079</v>
      </c>
      <c r="L33" s="2">
        <f>L11/'Output-Calculation-sheet'!L10*'Output-Calculation-sheet'!L19</f>
        <v>1649.9219607102561</v>
      </c>
      <c r="M33" s="2">
        <f>M11/'Output-Calculation-sheet'!M10*'Output-Calculation-sheet'!M19</f>
        <v>0</v>
      </c>
      <c r="N33" s="2">
        <f>N11/'Output-Calculation-sheet'!N10*'Output-Calculation-sheet'!N19</f>
        <v>621.09930126572431</v>
      </c>
      <c r="O33" s="2">
        <f>O11/'Output-Calculation-sheet'!O10*'Output-Calculation-sheet'!O19</f>
        <v>0</v>
      </c>
      <c r="P33" s="2">
        <f>P11/'Output-Calculation-sheet'!P10*'Output-Calculation-sheet'!P19</f>
        <v>1502.8837563385571</v>
      </c>
      <c r="Q33" s="2">
        <f>Q11/'Output-Calculation-sheet'!Q10*'Output-Calculation-sheet'!Q19</f>
        <v>1434.1144555928788</v>
      </c>
      <c r="R33" s="2">
        <f>R11/'Output-Calculation-sheet'!R10*'Output-Calculation-sheet'!R19</f>
        <v>1299.6742778345445</v>
      </c>
      <c r="S33" s="2">
        <f>S11/'Output-Calculation-sheet'!S10*'Output-Calculation-sheet'!S19</f>
        <v>599.0462054801103</v>
      </c>
      <c r="T33" s="2">
        <f>T11/'Output-Calculation-sheet'!T10*'Output-Calculation-sheet'!T19</f>
        <v>474.16623487951199</v>
      </c>
      <c r="U33" s="2">
        <f>U11/'Output-Calculation-sheet'!U10*'Output-Calculation-sheet'!U19</f>
        <v>372.77395401123471</v>
      </c>
      <c r="V33" s="2">
        <f>V11/'Output-Calculation-sheet'!V10*'Output-Calculation-sheet'!V19</f>
        <v>463.9542127230817</v>
      </c>
      <c r="W33" s="2">
        <f>W11/'Output-Calculation-sheet'!W10*'Output-Calculation-sheet'!W19</f>
        <v>227.59302934375876</v>
      </c>
      <c r="X33" s="2">
        <f>X11/'Output-Calculation-sheet'!X10*'Output-Calculation-sheet'!X19</f>
        <v>0</v>
      </c>
      <c r="Y33" s="2">
        <f>Y11/'Output-Calculation-sheet'!Y10*'Output-Calculation-sheet'!Y19</f>
        <v>156.37412517229839</v>
      </c>
      <c r="AA33" s="2">
        <f t="shared" si="1"/>
        <v>44.383855952713873</v>
      </c>
    </row>
    <row r="34" spans="1:27" x14ac:dyDescent="0.25">
      <c r="A34" s="2">
        <v>2035</v>
      </c>
      <c r="B34" s="2">
        <f>B12/'Output-Calculation-sheet'!B11*'Output-Calculation-sheet'!B20</f>
        <v>12742.898199293046</v>
      </c>
      <c r="C34" s="2">
        <f>C12/'Output-Calculation-sheet'!C11*'Output-Calculation-sheet'!C20</f>
        <v>0</v>
      </c>
      <c r="D34" s="2">
        <f>D12/'Output-Calculation-sheet'!D11*'Output-Calculation-sheet'!D20</f>
        <v>3210.1994296331231</v>
      </c>
      <c r="E34" s="2">
        <f>E12/'Output-Calculation-sheet'!E11*'Output-Calculation-sheet'!E20</f>
        <v>4040.828545234348</v>
      </c>
      <c r="F34" s="2">
        <f>F12/'Output-Calculation-sheet'!F11*'Output-Calculation-sheet'!F20</f>
        <v>1963.737472565819</v>
      </c>
      <c r="G34" s="2">
        <f>G12/'Output-Calculation-sheet'!G11*'Output-Calculation-sheet'!G20</f>
        <v>1196.116839114037</v>
      </c>
      <c r="H34" s="2">
        <f>H12/'Output-Calculation-sheet'!H11*'Output-Calculation-sheet'!H20</f>
        <v>0</v>
      </c>
      <c r="I34" s="2">
        <f>I12/'Output-Calculation-sheet'!I11*'Output-Calculation-sheet'!I20</f>
        <v>1128.1713091702302</v>
      </c>
      <c r="J34" s="2">
        <f>J12/'Output-Calculation-sheet'!J11*'Output-Calculation-sheet'!J20</f>
        <v>1200.856592791215</v>
      </c>
      <c r="K34" s="2">
        <f>K12/'Output-Calculation-sheet'!K11*'Output-Calculation-sheet'!K20</f>
        <v>1176.8202798215552</v>
      </c>
      <c r="L34" s="2">
        <f>L12/'Output-Calculation-sheet'!L11*'Output-Calculation-sheet'!L20</f>
        <v>1241.7333282101586</v>
      </c>
      <c r="M34" s="2">
        <f>M12/'Output-Calculation-sheet'!M11*'Output-Calculation-sheet'!M20</f>
        <v>0</v>
      </c>
      <c r="N34" s="2">
        <f>N12/'Output-Calculation-sheet'!N11*'Output-Calculation-sheet'!N20</f>
        <v>455.47453988530981</v>
      </c>
      <c r="O34" s="2">
        <f>O12/'Output-Calculation-sheet'!O11*'Output-Calculation-sheet'!O20</f>
        <v>0</v>
      </c>
      <c r="P34" s="2">
        <f>P12/'Output-Calculation-sheet'!P11*'Output-Calculation-sheet'!P20</f>
        <v>1168.1572424471817</v>
      </c>
      <c r="Q34" s="2">
        <f>Q12/'Output-Calculation-sheet'!Q11*'Output-Calculation-sheet'!Q20</f>
        <v>1078.6370616077945</v>
      </c>
      <c r="R34" s="2">
        <f>R12/'Output-Calculation-sheet'!R11*'Output-Calculation-sheet'!R20</f>
        <v>1003.5167992138075</v>
      </c>
      <c r="S34" s="2">
        <f>S12/'Output-Calculation-sheet'!S11*'Output-Calculation-sheet'!S20</f>
        <v>450.16038146060282</v>
      </c>
      <c r="T34" s="2">
        <f>T12/'Output-Calculation-sheet'!T11*'Output-Calculation-sheet'!T20</f>
        <v>362.49203324134089</v>
      </c>
      <c r="U34" s="2">
        <f>U12/'Output-Calculation-sheet'!U11*'Output-Calculation-sheet'!U20</f>
        <v>285.5111789890222</v>
      </c>
      <c r="V34" s="2">
        <f>V12/'Output-Calculation-sheet'!V11*'Output-Calculation-sheet'!V20</f>
        <v>354.2284210054388</v>
      </c>
      <c r="W34" s="2">
        <f>W12/'Output-Calculation-sheet'!W11*'Output-Calculation-sheet'!W20</f>
        <v>173.89071742821596</v>
      </c>
      <c r="X34" s="2">
        <f>X12/'Output-Calculation-sheet'!X11*'Output-Calculation-sheet'!X20</f>
        <v>0</v>
      </c>
      <c r="Y34" s="2">
        <f>Y12/'Output-Calculation-sheet'!Y11*'Output-Calculation-sheet'!Y20</f>
        <v>119.63682452155814</v>
      </c>
      <c r="AA34" s="2">
        <f t="shared" si="1"/>
        <v>33.353067195633798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136.23156086745789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121.26660443619292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527.32284749429186</v>
      </c>
      <c r="S52" s="2">
        <f>S8/'Output-Calculation-sheet'!S7*'Output-Calculation-sheet'!S43</f>
        <v>0</v>
      </c>
      <c r="T52" s="2">
        <f>T8/'Output-Calculation-sheet'!T7*'Output-Calculation-sheet'!T43</f>
        <v>424.60966230018801</v>
      </c>
      <c r="U52" s="2">
        <f>U8/'Output-Calculation-sheet'!U7*'Output-Calculation-sheet'!U43</f>
        <v>44.909648539694594</v>
      </c>
      <c r="V52" s="2">
        <f>V8/'Output-Calculation-sheet'!V7*'Output-Calculation-sheet'!V43</f>
        <v>765.6947787399987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2.020035102377824</v>
      </c>
    </row>
    <row r="53" spans="1:27" x14ac:dyDescent="0.25">
      <c r="A53" s="2">
        <v>2032</v>
      </c>
      <c r="B53" s="2">
        <f>B9/'Output-Calculation-sheet'!B8*'Output-Calculation-sheet'!B44</f>
        <v>1442.5571219906988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271.95664715273631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217.87413320130165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681.1492740062813</v>
      </c>
      <c r="S53" s="2">
        <f>S9/'Output-Calculation-sheet'!S8*'Output-Calculation-sheet'!S44</f>
        <v>0</v>
      </c>
      <c r="T53" s="2">
        <f>T9/'Output-Calculation-sheet'!T8*'Output-Calculation-sheet'!T44</f>
        <v>469.63878448531261</v>
      </c>
      <c r="U53" s="2">
        <f>U9/'Output-Calculation-sheet'!U8*'Output-Calculation-sheet'!U44</f>
        <v>79.690963851994979</v>
      </c>
      <c r="V53" s="2">
        <f>V9/'Output-Calculation-sheet'!V8*'Output-Calculation-sheet'!V44</f>
        <v>787.31480897296535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3.9501817336612914</v>
      </c>
    </row>
    <row r="54" spans="1:27" x14ac:dyDescent="0.25">
      <c r="A54" s="2">
        <v>2033</v>
      </c>
      <c r="B54" s="2">
        <f>B10/'Output-Calculation-sheet'!B9*'Output-Calculation-sheet'!B45</f>
        <v>3965.5790044563282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348.88319154071735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332.74133483990846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196.0737762555093</v>
      </c>
      <c r="Q54" s="2">
        <f>Q10/'Output-Calculation-sheet'!Q9*'Output-Calculation-sheet'!Q45</f>
        <v>0</v>
      </c>
      <c r="R54" s="2">
        <f>R10/'Output-Calculation-sheet'!R9*'Output-Calculation-sheet'!R45</f>
        <v>794.38307244573321</v>
      </c>
      <c r="S54" s="2">
        <f>S10/'Output-Calculation-sheet'!S9*'Output-Calculation-sheet'!S45</f>
        <v>0</v>
      </c>
      <c r="T54" s="2">
        <f>T10/'Output-Calculation-sheet'!T9*'Output-Calculation-sheet'!T45</f>
        <v>477.57746710410885</v>
      </c>
      <c r="U54" s="2">
        <f>U10/'Output-Calculation-sheet'!U9*'Output-Calculation-sheet'!U45</f>
        <v>114.09889492663605</v>
      </c>
      <c r="V54" s="2">
        <f>V10/'Output-Calculation-sheet'!V9*'Output-Calculation-sheet'!V45</f>
        <v>749.59467950069279</v>
      </c>
      <c r="W54" s="2">
        <f>W10/'Output-Calculation-sheet'!W9*'Output-Calculation-sheet'!W45</f>
        <v>12.189532796237208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6.9911209538658712</v>
      </c>
    </row>
    <row r="55" spans="1:27" x14ac:dyDescent="0.25">
      <c r="A55" s="2">
        <v>2034</v>
      </c>
      <c r="B55" s="2">
        <f>B11/'Output-Calculation-sheet'!B10*'Output-Calculation-sheet'!B46</f>
        <v>5974.0022417876344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398.11374560007073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391.68446871618613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317.0426798905047</v>
      </c>
      <c r="Q55" s="2">
        <f>Q11/'Output-Calculation-sheet'!Q10*'Output-Calculation-sheet'!Q46</f>
        <v>0</v>
      </c>
      <c r="R55" s="2">
        <f>R11/'Output-Calculation-sheet'!R10*'Output-Calculation-sheet'!R46</f>
        <v>822.98630004389963</v>
      </c>
      <c r="S55" s="2">
        <f>S11/'Output-Calculation-sheet'!S10*'Output-Calculation-sheet'!S46</f>
        <v>0</v>
      </c>
      <c r="T55" s="2">
        <f>T11/'Output-Calculation-sheet'!T10*'Output-Calculation-sheet'!T46</f>
        <v>428.03149954225177</v>
      </c>
      <c r="U55" s="2">
        <f>U11/'Output-Calculation-sheet'!U10*'Output-Calculation-sheet'!U46</f>
        <v>134.31083054933771</v>
      </c>
      <c r="V55" s="2">
        <f>V11/'Output-Calculation-sheet'!V10*'Output-Calculation-sheet'!V46</f>
        <v>645.06718012686667</v>
      </c>
      <c r="W55" s="2">
        <f>W11/'Output-Calculation-sheet'!W10*'Output-Calculation-sheet'!W46</f>
        <v>17.936044373213448</v>
      </c>
      <c r="X55" s="2">
        <f>X11/'Output-Calculation-sheet'!X10*'Output-Calculation-sheet'!X46</f>
        <v>42.902465193561895</v>
      </c>
      <c r="Y55" s="2">
        <f>Y11/'Output-Calculation-sheet'!Y10*'Output-Calculation-sheet'!Y46</f>
        <v>0</v>
      </c>
      <c r="AA55" s="2">
        <f t="shared" si="3"/>
        <v>9.1720774558235263</v>
      </c>
    </row>
    <row r="56" spans="1:27" x14ac:dyDescent="0.25">
      <c r="A56" s="2">
        <v>2035</v>
      </c>
      <c r="B56" s="2">
        <f>B12/'Output-Calculation-sheet'!B11*'Output-Calculation-sheet'!B47</f>
        <v>9941.2605981653924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366.85807840542549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354.9553645129983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337.87996864330165</v>
      </c>
      <c r="Q56" s="2">
        <f>Q12/'Output-Calculation-sheet'!Q11*'Output-Calculation-sheet'!Q47</f>
        <v>0</v>
      </c>
      <c r="R56" s="2">
        <f>R12/'Output-Calculation-sheet'!R11*'Output-Calculation-sheet'!R47</f>
        <v>771.75441012226668</v>
      </c>
      <c r="S56" s="2">
        <f>S12/'Output-Calculation-sheet'!S11*'Output-Calculation-sheet'!S47</f>
        <v>0</v>
      </c>
      <c r="T56" s="2">
        <f>T12/'Output-Calculation-sheet'!T11*'Output-Calculation-sheet'!T47</f>
        <v>366.13999687997995</v>
      </c>
      <c r="U56" s="2">
        <f>U12/'Output-Calculation-sheet'!U11*'Output-Calculation-sheet'!U47</f>
        <v>140.21707617787416</v>
      </c>
      <c r="V56" s="2">
        <f>V12/'Output-Calculation-sheet'!V11*'Output-Calculation-sheet'!V47</f>
        <v>500.05538257158474</v>
      </c>
      <c r="W56" s="2">
        <f>W12/'Output-Calculation-sheet'!W11*'Output-Calculation-sheet'!W47</f>
        <v>19.504970996524584</v>
      </c>
      <c r="X56" s="2">
        <f>X12/'Output-Calculation-sheet'!X11*'Output-Calculation-sheet'!X47</f>
        <v>76.981227358791628</v>
      </c>
      <c r="Y56" s="2">
        <f>Y12/'Output-Calculation-sheet'!Y11*'Output-Calculation-sheet'!Y47</f>
        <v>0</v>
      </c>
      <c r="AA56" s="2">
        <f t="shared" si="3"/>
        <v>12.875607073834139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 t="shared" ref="AA60:AA67" si="4"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si="4"/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6.5783352734581753</v>
      </c>
      <c r="C63" s="2">
        <f>C8*'Output-Calculation-sheet'!C52/10^9</f>
        <v>3.3344053655901487</v>
      </c>
      <c r="D63" s="2">
        <f>D8*'Output-Calculation-sheet'!D52/10^9</f>
        <v>1.1648563412662016</v>
      </c>
      <c r="E63" s="2">
        <f>E8*'Output-Calculation-sheet'!E52/10^9</f>
        <v>1.4998558238778812</v>
      </c>
      <c r="F63" s="2">
        <f>F8*'Output-Calculation-sheet'!F52/10^9</f>
        <v>0.62386851166511414</v>
      </c>
      <c r="G63" s="2">
        <f>G8*'Output-Calculation-sheet'!G52/10^9</f>
        <v>0.44764049885525753</v>
      </c>
      <c r="H63" s="2">
        <f>H8*'Output-Calculation-sheet'!H52/10^9</f>
        <v>0.86470994212323127</v>
      </c>
      <c r="I63" s="2">
        <f>I8*'Output-Calculation-sheet'!I52/10^9</f>
        <v>0.40128106218104681</v>
      </c>
      <c r="J63" s="2">
        <f>J8*'Output-Calculation-sheet'!J52/10^9</f>
        <v>0.43139282476019375</v>
      </c>
      <c r="K63" s="2">
        <f>K8*'Output-Calculation-sheet'!K52/10^9</f>
        <v>0.44052719319726541</v>
      </c>
      <c r="L63" s="2">
        <f>L8*'Output-Calculation-sheet'!L52/10^9</f>
        <v>0.4581530429173693</v>
      </c>
      <c r="M63" s="2">
        <f>M8*'Output-Calculation-sheet'!M52/10^9</f>
        <v>0.65386008551397035</v>
      </c>
      <c r="N63" s="2">
        <f>N8*'Output-Calculation-sheet'!N52/10^9</f>
        <v>0.55243626162817994</v>
      </c>
      <c r="O63" s="2">
        <f>O8*'Output-Calculation-sheet'!O52/10^9</f>
        <v>0.57228943622038708</v>
      </c>
      <c r="P63" s="2">
        <f>P8*'Output-Calculation-sheet'!P52/10^9</f>
        <v>0.47429820745397683</v>
      </c>
      <c r="Q63" s="2">
        <f>Q8*'Output-Calculation-sheet'!Q52/10^9</f>
        <v>0.44868234508260324</v>
      </c>
      <c r="R63" s="2">
        <f>R8*'Output-Calculation-sheet'!R52/10^9</f>
        <v>0.37798863949259909</v>
      </c>
      <c r="S63" s="2">
        <f>S8*'Output-Calculation-sheet'!S52/10^9</f>
        <v>0.34753702992696645</v>
      </c>
      <c r="T63" s="2">
        <f>T8*'Output-Calculation-sheet'!T52/10^9</f>
        <v>0.12377469446998518</v>
      </c>
      <c r="U63" s="2">
        <f>U8*'Output-Calculation-sheet'!U52/10^9</f>
        <v>0.12141433819259979</v>
      </c>
      <c r="V63" s="2">
        <f>V8*'Output-Calculation-sheet'!V52/10^9</f>
        <v>0.10881957433885429</v>
      </c>
      <c r="W63" s="2">
        <f>W8*'Output-Calculation-sheet'!W52/10^9</f>
        <v>5.6805624639289232E-2</v>
      </c>
      <c r="X63" s="2">
        <f>X8*'Output-Calculation-sheet'!X52/10^9</f>
        <v>9.1799111422034146E-2</v>
      </c>
      <c r="Y63" s="2">
        <f>Y8*'Output-Calculation-sheet'!Y52/10^9</f>
        <v>4.7348142711888364E-2</v>
      </c>
      <c r="AA63" s="2">
        <f t="shared" si="4"/>
        <v>20.22207937098522</v>
      </c>
    </row>
    <row r="64" spans="1:27" x14ac:dyDescent="0.25">
      <c r="A64" s="2">
        <v>2032</v>
      </c>
      <c r="B64" s="2">
        <f>B9*'Output-Calculation-sheet'!B53/10^9</f>
        <v>6.5208658043593211</v>
      </c>
      <c r="C64" s="2">
        <f>C9*'Output-Calculation-sheet'!C53/10^9</f>
        <v>3.302318372374172</v>
      </c>
      <c r="D64" s="2">
        <f>D9*'Output-Calculation-sheet'!D53/10^9</f>
        <v>1.1567554672522331</v>
      </c>
      <c r="E64" s="2">
        <f>E9*'Output-Calculation-sheet'!E53/10^9</f>
        <v>1.4896188523891989</v>
      </c>
      <c r="F64" s="2">
        <f>F9*'Output-Calculation-sheet'!F53/10^9</f>
        <v>0.61907259255937497</v>
      </c>
      <c r="G64" s="2">
        <f>G9*'Output-Calculation-sheet'!G53/10^9</f>
        <v>0.44443222005536975</v>
      </c>
      <c r="H64" s="2">
        <f>H9*'Output-Calculation-sheet'!H53/10^9</f>
        <v>0.85533476849017342</v>
      </c>
      <c r="I64" s="2">
        <f>I9*'Output-Calculation-sheet'!I53/10^9</f>
        <v>0.39845135257695208</v>
      </c>
      <c r="J64" s="2">
        <f>J9*'Output-Calculation-sheet'!J53/10^9</f>
        <v>0.42821798729340294</v>
      </c>
      <c r="K64" s="2">
        <f>K9*'Output-Calculation-sheet'!K53/10^9</f>
        <v>0.43754624226522698</v>
      </c>
      <c r="L64" s="2">
        <f>L9*'Output-Calculation-sheet'!L53/10^9</f>
        <v>0.4549125342353067</v>
      </c>
      <c r="M64" s="2">
        <f>M9*'Output-Calculation-sheet'!M53/10^9</f>
        <v>0.6469279980900432</v>
      </c>
      <c r="N64" s="2">
        <f>N9*'Output-Calculation-sheet'!N53/10^9</f>
        <v>0.54718169607045164</v>
      </c>
      <c r="O64" s="2">
        <f>O9*'Output-Calculation-sheet'!O53/10^9</f>
        <v>0.56696037515148623</v>
      </c>
      <c r="P64" s="2">
        <f>P9*'Output-Calculation-sheet'!P53/10^9</f>
        <v>0.47136421577091353</v>
      </c>
      <c r="Q64" s="2">
        <f>Q9*'Output-Calculation-sheet'!Q53/10^9</f>
        <v>0.44583923387660551</v>
      </c>
      <c r="R64" s="2">
        <f>R9*'Output-Calculation-sheet'!R53/10^9</f>
        <v>0.37498846819933757</v>
      </c>
      <c r="S64" s="2">
        <f>S9*'Output-Calculation-sheet'!S53/10^9</f>
        <v>0.34454073864260948</v>
      </c>
      <c r="T64" s="2">
        <f>T9*'Output-Calculation-sheet'!T53/10^9</f>
        <v>0.12252303982098475</v>
      </c>
      <c r="U64" s="2">
        <f>U9*'Output-Calculation-sheet'!U53/10^9</f>
        <v>0.12061818321159229</v>
      </c>
      <c r="V64" s="2">
        <f>V9*'Output-Calculation-sheet'!V53/10^9</f>
        <v>0.10736279546738012</v>
      </c>
      <c r="W64" s="2">
        <f>W9*'Output-Calculation-sheet'!W53/10^9</f>
        <v>5.6376368631947393E-2</v>
      </c>
      <c r="X64" s="2">
        <f>X9*'Output-Calculation-sheet'!X53/10^9</f>
        <v>9.0890366287318516E-2</v>
      </c>
      <c r="Y64" s="2">
        <f>Y9*'Output-Calculation-sheet'!Y53/10^9</f>
        <v>4.7039447889399878E-2</v>
      </c>
      <c r="AA64" s="2">
        <f t="shared" si="4"/>
        <v>20.050139120960807</v>
      </c>
    </row>
    <row r="65" spans="1:27" x14ac:dyDescent="0.25">
      <c r="A65" s="2">
        <v>2033</v>
      </c>
      <c r="B65" s="2">
        <f>B10*'Output-Calculation-sheet'!B54/10^9</f>
        <v>5.9287780843061215</v>
      </c>
      <c r="C65" s="2">
        <f>C10*'Output-Calculation-sheet'!C54/10^9</f>
        <v>3.001534417614899</v>
      </c>
      <c r="D65" s="2">
        <f>D10*'Output-Calculation-sheet'!D54/10^9</f>
        <v>1.0544996865960521</v>
      </c>
      <c r="E65" s="2">
        <f>E10*'Output-Calculation-sheet'!E54/10^9</f>
        <v>1.3581132586223137</v>
      </c>
      <c r="F65" s="2">
        <f>F10*'Output-Calculation-sheet'!F54/10^9</f>
        <v>0.56392615615908226</v>
      </c>
      <c r="G65" s="2">
        <f>G10*'Output-Calculation-sheet'!G54/10^9</f>
        <v>0.40496841082475238</v>
      </c>
      <c r="H65" s="2">
        <f>H10*'Output-Calculation-sheet'!H54/10^9</f>
        <v>0.77649181151711066</v>
      </c>
      <c r="I65" s="2">
        <f>I10*'Output-Calculation-sheet'!I54/10^9</f>
        <v>0.36319457131701416</v>
      </c>
      <c r="J65" s="2">
        <f>J10*'Output-Calculation-sheet'!J54/10^9</f>
        <v>0.39011732625753343</v>
      </c>
      <c r="K65" s="2">
        <f>K10*'Output-Calculation-sheet'!K54/10^9</f>
        <v>0.39894326997969171</v>
      </c>
      <c r="L65" s="2">
        <f>L10*'Output-Calculation-sheet'!L54/10^9</f>
        <v>0.41464705609809804</v>
      </c>
      <c r="M65" s="2">
        <f>M10*'Output-Calculation-sheet'!M54/10^9</f>
        <v>0.58743265474519302</v>
      </c>
      <c r="N65" s="2">
        <f>N10*'Output-Calculation-sheet'!N54/10^9</f>
        <v>0.4972668429975759</v>
      </c>
      <c r="O65" s="2">
        <f>O10*'Output-Calculation-sheet'!O54/10^9</f>
        <v>0.51541829609859069</v>
      </c>
      <c r="P65" s="2">
        <f>P10*'Output-Calculation-sheet'!P54/10^9</f>
        <v>0.4299388907707728</v>
      </c>
      <c r="Q65" s="2">
        <f>Q10*'Output-Calculation-sheet'!Q54/10^9</f>
        <v>0.40667740399449986</v>
      </c>
      <c r="R65" s="2">
        <f>R10*'Output-Calculation-sheet'!R54/10^9</f>
        <v>0.34140209811238781</v>
      </c>
      <c r="S65" s="2">
        <f>S10*'Output-Calculation-sheet'!S54/10^9</f>
        <v>0.31339102605317321</v>
      </c>
      <c r="T65" s="2">
        <f>T10*'Output-Calculation-sheet'!T54/10^9</f>
        <v>0.1113005940239785</v>
      </c>
      <c r="U65" s="2">
        <f>U10*'Output-Calculation-sheet'!U54/10^9</f>
        <v>0.10997203877897639</v>
      </c>
      <c r="V65" s="2">
        <f>V10*'Output-Calculation-sheet'!V54/10^9</f>
        <v>9.7229912606260072E-2</v>
      </c>
      <c r="W65" s="2">
        <f>W10*'Output-Calculation-sheet'!W54/10^9</f>
        <v>5.1355104956267494E-2</v>
      </c>
      <c r="X65" s="2">
        <f>X10*'Output-Calculation-sheet'!X54/10^9</f>
        <v>8.2592786840042953E-2</v>
      </c>
      <c r="Y65" s="2">
        <f>Y10*'Output-Calculation-sheet'!Y54/10^9</f>
        <v>4.2900283400421742E-2</v>
      </c>
      <c r="AA65" s="2">
        <f t="shared" si="4"/>
        <v>18.242091982670814</v>
      </c>
    </row>
    <row r="66" spans="1:27" x14ac:dyDescent="0.25">
      <c r="A66" s="2">
        <v>2034</v>
      </c>
      <c r="B66" s="2">
        <f>B11*'Output-Calculation-sheet'!B55/10^9</f>
        <v>4.9403111906131381</v>
      </c>
      <c r="C66" s="2">
        <f>C11*'Output-Calculation-sheet'!C55/10^9</f>
        <v>2.5025253050121781</v>
      </c>
      <c r="D66" s="2">
        <f>D11*'Output-Calculation-sheet'!D55/10^9</f>
        <v>0.88202035532564216</v>
      </c>
      <c r="E66" s="2">
        <f>E11*'Output-Calculation-sheet'!E55/10^9</f>
        <v>1.1361111095076344</v>
      </c>
      <c r="F66" s="2">
        <f>F11*'Output-Calculation-sheet'!F55/10^9</f>
        <v>0.47132873451811491</v>
      </c>
      <c r="G66" s="2">
        <f>G11*'Output-Calculation-sheet'!G55/10^9</f>
        <v>0.33852368384260917</v>
      </c>
      <c r="H66" s="2">
        <f>H11*'Output-Calculation-sheet'!H55/10^9</f>
        <v>0.64663159677132931</v>
      </c>
      <c r="I66" s="2">
        <f>I11*'Output-Calculation-sheet'!I55/10^9</f>
        <v>0.3037568316699939</v>
      </c>
      <c r="J66" s="2">
        <f>J11*'Output-Calculation-sheet'!J55/10^9</f>
        <v>0.32602712211336549</v>
      </c>
      <c r="K66" s="2">
        <f>K11*'Output-Calculation-sheet'!K55/10^9</f>
        <v>0.33374801898998613</v>
      </c>
      <c r="L66" s="2">
        <f>L11*'Output-Calculation-sheet'!L55/10^9</f>
        <v>0.34655250548662153</v>
      </c>
      <c r="M66" s="2">
        <f>M11*'Output-Calculation-sheet'!M55/10^9</f>
        <v>0.48929524757058457</v>
      </c>
      <c r="N66" s="2">
        <f>N11*'Output-Calculation-sheet'!N55/10^9</f>
        <v>0.41444289833815767</v>
      </c>
      <c r="O66" s="2">
        <f>O11*'Output-Calculation-sheet'!O55/10^9</f>
        <v>0.42978227524625828</v>
      </c>
      <c r="P66" s="2">
        <f>P11*'Output-Calculation-sheet'!P55/10^9</f>
        <v>0.35967131788402867</v>
      </c>
      <c r="Q66" s="2">
        <f>Q11*'Output-Calculation-sheet'!Q55/10^9</f>
        <v>0.34036352229683653</v>
      </c>
      <c r="R66" s="2">
        <f>R11*'Output-Calculation-sheet'!R55/10^9</f>
        <v>0.28507895001057504</v>
      </c>
      <c r="S66" s="2">
        <f>S11*'Output-Calculation-sheet'!S55/10^9</f>
        <v>0.26144601113568294</v>
      </c>
      <c r="T66" s="2">
        <f>T11*'Output-Calculation-sheet'!T55/10^9</f>
        <v>9.2750697476085081E-2</v>
      </c>
      <c r="U66" s="2">
        <f>U11*'Output-Calculation-sheet'!U55/10^9</f>
        <v>9.1974240728496207E-2</v>
      </c>
      <c r="V66" s="2">
        <f>V11*'Output-Calculation-sheet'!V55/10^9</f>
        <v>8.0792735331242871E-2</v>
      </c>
      <c r="W66" s="2">
        <f>W11*'Output-Calculation-sheet'!W55/10^9</f>
        <v>4.2918707433200573E-2</v>
      </c>
      <c r="X66" s="2">
        <f>X11*'Output-Calculation-sheet'!X55/10^9</f>
        <v>6.8812567120223433E-2</v>
      </c>
      <c r="Y66" s="2">
        <f>Y11*'Output-Calculation-sheet'!Y55/10^9</f>
        <v>3.5899129122081729E-2</v>
      </c>
      <c r="AA66" s="2">
        <f t="shared" si="4"/>
        <v>15.220764753544069</v>
      </c>
    </row>
    <row r="67" spans="1:27" x14ac:dyDescent="0.25">
      <c r="A67" s="2">
        <v>2035</v>
      </c>
      <c r="B67" s="2">
        <f>B12*'Output-Calculation-sheet'!B56/10^9</f>
        <v>3.7202284994160673</v>
      </c>
      <c r="C67" s="2">
        <f>C12*'Output-Calculation-sheet'!C56/10^9</f>
        <v>1.8883667163890485</v>
      </c>
      <c r="D67" s="2">
        <f>D12*'Output-Calculation-sheet'!D56/10^9</f>
        <v>0.66788580925696683</v>
      </c>
      <c r="E67" s="2">
        <f>E12*'Output-Calculation-sheet'!E56/10^9</f>
        <v>0.86039164772273269</v>
      </c>
      <c r="F67" s="2">
        <f>F12*'Output-Calculation-sheet'!F56/10^9</f>
        <v>0.35662560884743544</v>
      </c>
      <c r="G67" s="2">
        <f>G12*'Output-Calculation-sheet'!G56/10^9</f>
        <v>0.25612761115978011</v>
      </c>
      <c r="H67" s="2">
        <f>H12*'Output-Calculation-sheet'!H56/10^9</f>
        <v>0.48735988494335486</v>
      </c>
      <c r="I67" s="2">
        <f>I12*'Output-Calculation-sheet'!I56/10^9</f>
        <v>0.22998599531371294</v>
      </c>
      <c r="J67" s="2">
        <f>J12*'Output-Calculation-sheet'!J56/10^9</f>
        <v>0.24662392796688737</v>
      </c>
      <c r="K67" s="2">
        <f>K12*'Output-Calculation-sheet'!K56/10^9</f>
        <v>0.25276380218258154</v>
      </c>
      <c r="L67" s="2">
        <f>L12*'Output-Calculation-sheet'!L56/10^9</f>
        <v>0.261972538903543</v>
      </c>
      <c r="M67" s="2">
        <f>M12*'Output-Calculation-sheet'!M56/10^9</f>
        <v>0.36884841940788693</v>
      </c>
      <c r="N67" s="2">
        <f>N12*'Output-Calculation-sheet'!N56/10^9</f>
        <v>0.31259192507466765</v>
      </c>
      <c r="O67" s="2">
        <f>O12*'Output-Calculation-sheet'!O56/10^9</f>
        <v>0.32429734397625154</v>
      </c>
      <c r="P67" s="2">
        <f>P12*'Output-Calculation-sheet'!P56/10^9</f>
        <v>0.27229989580700176</v>
      </c>
      <c r="Q67" s="2">
        <f>Q12*'Output-Calculation-sheet'!Q56/10^9</f>
        <v>0.25786344904576669</v>
      </c>
      <c r="R67" s="2">
        <f>R12*'Output-Calculation-sheet'!R56/10^9</f>
        <v>0.21542819850362666</v>
      </c>
      <c r="S67" s="2">
        <f>S12*'Output-Calculation-sheet'!S56/10^9</f>
        <v>0.19740070292767159</v>
      </c>
      <c r="T67" s="2">
        <f>T12*'Output-Calculation-sheet'!T56/10^9</f>
        <v>6.9957373915304127E-2</v>
      </c>
      <c r="U67" s="2">
        <f>U12*'Output-Calculation-sheet'!U56/10^9</f>
        <v>6.9612260703137252E-2</v>
      </c>
      <c r="V67" s="2">
        <f>V12*'Output-Calculation-sheet'!V56/10^9</f>
        <v>6.0771924674106415E-2</v>
      </c>
      <c r="W67" s="2">
        <f>W12*'Output-Calculation-sheet'!W56/10^9</f>
        <v>3.2466852747379878E-2</v>
      </c>
      <c r="X67" s="2">
        <f>X12*'Output-Calculation-sheet'!X56/10^9</f>
        <v>5.1832563119444827E-2</v>
      </c>
      <c r="Y67" s="2">
        <f>Y12*'Output-Calculation-sheet'!Y56/10^9</f>
        <v>2.7195763831365682E-2</v>
      </c>
      <c r="AA67" s="2">
        <f t="shared" si="4"/>
        <v>11.48889871583572</v>
      </c>
    </row>
    <row r="68" spans="1:27" x14ac:dyDescent="0.25">
      <c r="B68" s="2">
        <f>SUM(B60:B67)</f>
        <v>42.280755941987259</v>
      </c>
      <c r="C68" s="2">
        <f t="shared" ref="C68:Y68" si="5">SUM(C60:C67)</f>
        <v>21.413638957273331</v>
      </c>
      <c r="D68" s="2">
        <f t="shared" si="5"/>
        <v>7.506794186662642</v>
      </c>
      <c r="E68" s="2">
        <f t="shared" si="5"/>
        <v>9.6658250955953466</v>
      </c>
      <c r="F68" s="2">
        <f t="shared" si="5"/>
        <v>4.0197192285527601</v>
      </c>
      <c r="G68" s="2">
        <f t="shared" si="5"/>
        <v>2.883171043031548</v>
      </c>
      <c r="H68" s="2">
        <f t="shared" si="5"/>
        <v>5.5503346343871511</v>
      </c>
      <c r="I68" s="2">
        <f t="shared" si="5"/>
        <v>2.585925854669513</v>
      </c>
      <c r="J68" s="2">
        <f t="shared" si="5"/>
        <v>2.7786821245256696</v>
      </c>
      <c r="K68" s="2">
        <f t="shared" si="5"/>
        <v>2.8389936412332224</v>
      </c>
      <c r="L68" s="2">
        <f t="shared" si="5"/>
        <v>2.9516204029479978</v>
      </c>
      <c r="M68" s="2">
        <f t="shared" si="5"/>
        <v>4.1973877210363337</v>
      </c>
      <c r="N68" s="2">
        <f t="shared" si="5"/>
        <v>3.5484392153207698</v>
      </c>
      <c r="O68" s="2">
        <f t="shared" si="5"/>
        <v>3.6722957836008785</v>
      </c>
      <c r="P68" s="2">
        <f t="shared" si="5"/>
        <v>3.0561094434322587</v>
      </c>
      <c r="Q68" s="2">
        <f t="shared" si="5"/>
        <v>2.891770452168164</v>
      </c>
      <c r="R68" s="2">
        <f t="shared" si="5"/>
        <v>2.4329344649259865</v>
      </c>
      <c r="S68" s="2">
        <f t="shared" si="5"/>
        <v>2.234092646214906</v>
      </c>
      <c r="T68" s="2">
        <f t="shared" si="5"/>
        <v>0.79695852794954691</v>
      </c>
      <c r="U68" s="2">
        <f t="shared" si="5"/>
        <v>0.7820216448160151</v>
      </c>
      <c r="V68" s="2">
        <f t="shared" si="5"/>
        <v>0.70178086844013343</v>
      </c>
      <c r="W68" s="2">
        <f t="shared" si="5"/>
        <v>0.36598385591775456</v>
      </c>
      <c r="X68" s="2">
        <f t="shared" si="5"/>
        <v>0.58938930389962818</v>
      </c>
      <c r="Y68" s="2">
        <f t="shared" si="5"/>
        <v>0.30515887624125054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49.915243901836575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44.432083865421085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176.29643551375344</v>
      </c>
      <c r="S74" s="2">
        <f>S8/'Output-Calculation-sheet'!S7*'Output-Calculation-sheet'!S61</f>
        <v>0</v>
      </c>
      <c r="T74" s="2">
        <f>T8/'Output-Calculation-sheet'!T7*'Output-Calculation-sheet'!T61</f>
        <v>129.87317697976292</v>
      </c>
      <c r="U74" s="2">
        <f>U8/'Output-Calculation-sheet'!U7*'Output-Calculation-sheet'!U61</f>
        <v>16.451901248374785</v>
      </c>
      <c r="V74" s="2">
        <f>V8/'Output-Calculation-sheet'!V7*'Output-Calculation-sheet'!V61</f>
        <v>149.07577139448497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0.56604461290363384</v>
      </c>
    </row>
    <row r="75" spans="1:27" x14ac:dyDescent="0.25">
      <c r="A75" s="2">
        <v>2032</v>
      </c>
      <c r="B75" s="2">
        <f>B9/'Output-Calculation-sheet'!B8*'Output-Calculation-sheet'!B62</f>
        <v>491.19070003783298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99.617719852047315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79.814557462743508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211.18723627258382</v>
      </c>
      <c r="S75" s="2">
        <f>S9/'Output-Calculation-sheet'!S8*'Output-Calculation-sheet'!S62</f>
        <v>0</v>
      </c>
      <c r="T75" s="2">
        <f>T9/'Output-Calculation-sheet'!T8*'Output-Calculation-sheet'!T62</f>
        <v>139.49417359663749</v>
      </c>
      <c r="U75" s="2">
        <f>U9/'Output-Calculation-sheet'!U8*'Output-Calculation-sheet'!U62</f>
        <v>28.514423003291952</v>
      </c>
      <c r="V75" s="2">
        <f>V9/'Output-Calculation-sheet'!V8*'Output-Calculation-sheet'!V62</f>
        <v>149.42851018302505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1.1992473204081624</v>
      </c>
    </row>
    <row r="76" spans="1:27" x14ac:dyDescent="0.25">
      <c r="A76" s="2">
        <v>2033</v>
      </c>
      <c r="B76" s="2">
        <f>B10/'Output-Calculation-sheet'!B9*'Output-Calculation-sheet'!B63</f>
        <v>1089.3775990158572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127.79092901577134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121.89424232968646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54.991152940583603</v>
      </c>
      <c r="Q76" s="2">
        <f>Q10/'Output-Calculation-sheet'!Q9*'Output-Calculation-sheet'!Q63</f>
        <v>0</v>
      </c>
      <c r="R76" s="2">
        <f>R10/'Output-Calculation-sheet'!R9*'Output-Calculation-sheet'!R63</f>
        <v>234.21533766341966</v>
      </c>
      <c r="S76" s="2">
        <f>S10/'Output-Calculation-sheet'!S9*'Output-Calculation-sheet'!S63</f>
        <v>0</v>
      </c>
      <c r="T76" s="2">
        <f>T10/'Output-Calculation-sheet'!T9*'Output-Calculation-sheet'!T63</f>
        <v>136.89154562575357</v>
      </c>
      <c r="U76" s="2">
        <f>U10/'Output-Calculation-sheet'!U9*'Output-Calculation-sheet'!U63</f>
        <v>39.815950373598916</v>
      </c>
      <c r="V76" s="2">
        <f>V10/'Output-Calculation-sheet'!V9*'Output-Calculation-sheet'!V63</f>
        <v>142.18368188350701</v>
      </c>
      <c r="W76" s="2">
        <f>W10/'Output-Calculation-sheet'!W9*'Output-Calculation-sheet'!W63</f>
        <v>4.4644163866218776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1.9516248552347997</v>
      </c>
    </row>
    <row r="77" spans="1:27" x14ac:dyDescent="0.25">
      <c r="A77" s="2">
        <v>2034</v>
      </c>
      <c r="B77" s="2">
        <f>B11/'Output-Calculation-sheet'!B10*'Output-Calculation-sheet'!B64</f>
        <v>1531.0117373139472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145.83535101981539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135.56012945853527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87.503779649779304</v>
      </c>
      <c r="Q77" s="2">
        <f>Q11/'Output-Calculation-sheet'!Q10*'Output-Calculation-sheet'!Q64</f>
        <v>0</v>
      </c>
      <c r="R77" s="2">
        <f>R11/'Output-Calculation-sheet'!R10*'Output-Calculation-sheet'!R64</f>
        <v>227.29927420197964</v>
      </c>
      <c r="S77" s="2">
        <f>S11/'Output-Calculation-sheet'!S10*'Output-Calculation-sheet'!S64</f>
        <v>0</v>
      </c>
      <c r="T77" s="2">
        <f>T11/'Output-Calculation-sheet'!T10*'Output-Calculation-sheet'!T64</f>
        <v>122.43024695669872</v>
      </c>
      <c r="U77" s="2">
        <f>U11/'Output-Calculation-sheet'!U10*'Output-Calculation-sheet'!U64</f>
        <v>41.505884092046763</v>
      </c>
      <c r="V77" s="2">
        <f>V11/'Output-Calculation-sheet'!V10*'Output-Calculation-sheet'!V64</f>
        <v>123.9771775823645</v>
      </c>
      <c r="W77" s="2">
        <f>W11/'Output-Calculation-sheet'!W10*'Output-Calculation-sheet'!W64</f>
        <v>6.5697168247027546</v>
      </c>
      <c r="X77" s="2">
        <f>X11/'Output-Calculation-sheet'!X10*'Output-Calculation-sheet'!X64</f>
        <v>11.78745231193113</v>
      </c>
      <c r="Y77" s="2">
        <f>Y11/'Output-Calculation-sheet'!Y10*'Output-Calculation-sheet'!Y64</f>
        <v>0</v>
      </c>
      <c r="AA77" s="2">
        <f t="shared" si="6"/>
        <v>2.4334807494118014</v>
      </c>
    </row>
    <row r="78" spans="1:27" x14ac:dyDescent="0.25">
      <c r="A78" s="2">
        <v>2035</v>
      </c>
      <c r="B78" s="2">
        <f>B12/'Output-Calculation-sheet'!B11*'Output-Calculation-sheet'!B65</f>
        <v>2051.1781840576359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132.64312087041384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117.14946850386995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95.166306596733364</v>
      </c>
      <c r="Q78" s="2">
        <f>Q12/'Output-Calculation-sheet'!Q11*'Output-Calculation-sheet'!Q65</f>
        <v>0</v>
      </c>
      <c r="R78" s="2">
        <f>R12/'Output-Calculation-sheet'!R11*'Output-Calculation-sheet'!R65</f>
        <v>208.90937908827334</v>
      </c>
      <c r="S78" s="2">
        <f>S12/'Output-Calculation-sheet'!S11*'Output-Calculation-sheet'!S65</f>
        <v>0</v>
      </c>
      <c r="T78" s="2">
        <f>T12/'Output-Calculation-sheet'!T11*'Output-Calculation-sheet'!T65</f>
        <v>101.11846170713795</v>
      </c>
      <c r="U78" s="2">
        <f>U12/'Output-Calculation-sheet'!U11*'Output-Calculation-sheet'!U65</f>
        <v>39.31628392245851</v>
      </c>
      <c r="V78" s="2">
        <f>V12/'Output-Calculation-sheet'!V11*'Output-Calculation-sheet'!V65</f>
        <v>95.40020548673121</v>
      </c>
      <c r="W78" s="2">
        <f>W12/'Output-Calculation-sheet'!W11*'Output-Calculation-sheet'!W65</f>
        <v>7.1446708760269537</v>
      </c>
      <c r="X78" s="2">
        <f>X12/'Output-Calculation-sheet'!X11*'Output-Calculation-sheet'!X65</f>
        <v>19.511241988755554</v>
      </c>
      <c r="Y78" s="2">
        <f>Y12/'Output-Calculation-sheet'!Y11*'Output-Calculation-sheet'!Y65</f>
        <v>0</v>
      </c>
      <c r="AA78" s="2">
        <f t="shared" si="6"/>
        <v>2.8675373230980363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 t="shared" ref="AA93:AA100" si="8"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si="8"/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14444596029.889256</v>
      </c>
      <c r="C96" s="2">
        <f>C8/'Output-Calculation-sheet'!C7*'Output-Calculation-sheet'!C79</f>
        <v>1777976817.8056231</v>
      </c>
      <c r="D96" s="2">
        <f>D8/'Output-Calculation-sheet'!D7*'Output-Calculation-sheet'!D79</f>
        <v>6296360299.8873053</v>
      </c>
      <c r="E96" s="2">
        <f>E8/'Output-Calculation-sheet'!E7*'Output-Calculation-sheet'!E79</f>
        <v>10765353289.310635</v>
      </c>
      <c r="F96" s="2">
        <f>F8/'Output-Calculation-sheet'!F7*'Output-Calculation-sheet'!F79</f>
        <v>4844768270.5722857</v>
      </c>
      <c r="G96" s="2">
        <f>G8/'Output-Calculation-sheet'!G7*'Output-Calculation-sheet'!G79</f>
        <v>3679821531.0025563</v>
      </c>
      <c r="H96" s="2">
        <f>H8/'Output-Calculation-sheet'!H7*'Output-Calculation-sheet'!H79</f>
        <v>1070585602.7768602</v>
      </c>
      <c r="I96" s="2">
        <f>I8/'Output-Calculation-sheet'!I7*'Output-Calculation-sheet'!I79</f>
        <v>2468324497.7819953</v>
      </c>
      <c r="J96" s="2">
        <f>J8/'Output-Calculation-sheet'!J7*'Output-Calculation-sheet'!J79</f>
        <v>1829071228.174155</v>
      </c>
      <c r="K96" s="2">
        <f>K8/'Output-Calculation-sheet'!K7*'Output-Calculation-sheet'!K79</f>
        <v>2114866163.2172389</v>
      </c>
      <c r="L96" s="2">
        <f>L8/'Output-Calculation-sheet'!L7*'Output-Calculation-sheet'!L79</f>
        <v>1682337173.6553452</v>
      </c>
      <c r="M96" s="2">
        <f>M8/'Output-Calculation-sheet'!M7*'Output-Calculation-sheet'!M79</f>
        <v>832284767.81192875</v>
      </c>
      <c r="N96" s="2">
        <f>N8/'Output-Calculation-sheet'!N7*'Output-Calculation-sheet'!N79</f>
        <v>845267759.47755241</v>
      </c>
      <c r="O96" s="2">
        <f>O8/'Output-Calculation-sheet'!O7*'Output-Calculation-sheet'!O79</f>
        <v>206329939.19272858</v>
      </c>
      <c r="P96" s="2">
        <f>P8/'Output-Calculation-sheet'!P7*'Output-Calculation-sheet'!P79</f>
        <v>2248121653.6676044</v>
      </c>
      <c r="Q96" s="2">
        <f>Q8/'Output-Calculation-sheet'!Q7*'Output-Calculation-sheet'!Q79</f>
        <v>996888348.88679802</v>
      </c>
      <c r="R96" s="2">
        <f>R8/'Output-Calculation-sheet'!R7*'Output-Calculation-sheet'!R79</f>
        <v>1516749407.7997367</v>
      </c>
      <c r="S96" s="2">
        <f>S8/'Output-Calculation-sheet'!S7*'Output-Calculation-sheet'!S79</f>
        <v>592854685.99076605</v>
      </c>
      <c r="T96" s="2">
        <f>T8/'Output-Calculation-sheet'!T7*'Output-Calculation-sheet'!T79</f>
        <v>802914493.33285856</v>
      </c>
      <c r="U96" s="2">
        <f>U8/'Output-Calculation-sheet'!U7*'Output-Calculation-sheet'!U79</f>
        <v>398785254.02972531</v>
      </c>
      <c r="V96" s="2">
        <f>V8/'Output-Calculation-sheet'!V7*'Output-Calculation-sheet'!V79</f>
        <v>293852532.13902819</v>
      </c>
      <c r="W96" s="2">
        <f>W8/'Output-Calculation-sheet'!W7*'Output-Calculation-sheet'!W79</f>
        <v>782836028.25862122</v>
      </c>
      <c r="X96" s="2">
        <f>X8/'Output-Calculation-sheet'!X7*'Output-Calculation-sheet'!X79</f>
        <v>92764365.254006743</v>
      </c>
      <c r="Y96" s="2">
        <f>Y8/'Output-Calculation-sheet'!Y7*'Output-Calculation-sheet'!Y79</f>
        <v>351327193.38827181</v>
      </c>
      <c r="AA96" s="2">
        <f t="shared" si="8"/>
        <v>60.93503733330288</v>
      </c>
    </row>
    <row r="97" spans="1:27" x14ac:dyDescent="0.25">
      <c r="A97" s="2">
        <v>2032</v>
      </c>
      <c r="B97" s="2">
        <f>B9/'Output-Calculation-sheet'!B8*'Output-Calculation-sheet'!B80</f>
        <v>14609369226.016226</v>
      </c>
      <c r="C97" s="2">
        <f>C9/'Output-Calculation-sheet'!C8*'Output-Calculation-sheet'!C80</f>
        <v>1835422533.0774176</v>
      </c>
      <c r="D97" s="2">
        <f>D9/'Output-Calculation-sheet'!D8*'Output-Calculation-sheet'!D80</f>
        <v>6044955934.6607084</v>
      </c>
      <c r="E97" s="2">
        <f>E9/'Output-Calculation-sheet'!E8*'Output-Calculation-sheet'!E80</f>
        <v>10642782739.368298</v>
      </c>
      <c r="F97" s="2">
        <f>F9/'Output-Calculation-sheet'!F8*'Output-Calculation-sheet'!F80</f>
        <v>4778546764.2715101</v>
      </c>
      <c r="G97" s="2">
        <f>G9/'Output-Calculation-sheet'!G8*'Output-Calculation-sheet'!G80</f>
        <v>3536989285.4408145</v>
      </c>
      <c r="H97" s="2">
        <f>H9/'Output-Calculation-sheet'!H8*'Output-Calculation-sheet'!H80</f>
        <v>1071730614.0654187</v>
      </c>
      <c r="I97" s="2">
        <f>I9/'Output-Calculation-sheet'!I8*'Output-Calculation-sheet'!I80</f>
        <v>2456691461.3349957</v>
      </c>
      <c r="J97" s="2">
        <f>J9/'Output-Calculation-sheet'!J8*'Output-Calculation-sheet'!J80</f>
        <v>1772646461.3862209</v>
      </c>
      <c r="K97" s="2">
        <f>K9/'Output-Calculation-sheet'!K8*'Output-Calculation-sheet'!K80</f>
        <v>2063412670.5529771</v>
      </c>
      <c r="L97" s="2">
        <f>L9/'Output-Calculation-sheet'!L8*'Output-Calculation-sheet'!L80</f>
        <v>1691880846.7088304</v>
      </c>
      <c r="M97" s="2">
        <f>M9/'Output-Calculation-sheet'!M8*'Output-Calculation-sheet'!M80</f>
        <v>833037032.31793058</v>
      </c>
      <c r="N97" s="2">
        <f>N9/'Output-Calculation-sheet'!N8*'Output-Calculation-sheet'!N80</f>
        <v>825645494.02510417</v>
      </c>
      <c r="O97" s="2">
        <f>O9/'Output-Calculation-sheet'!O8*'Output-Calculation-sheet'!O80</f>
        <v>215477937.42975274</v>
      </c>
      <c r="P97" s="2">
        <f>P9/'Output-Calculation-sheet'!P8*'Output-Calculation-sheet'!P80</f>
        <v>2191297742.670063</v>
      </c>
      <c r="Q97" s="2">
        <f>Q9/'Output-Calculation-sheet'!Q8*'Output-Calculation-sheet'!Q80</f>
        <v>974375305.72893345</v>
      </c>
      <c r="R97" s="2">
        <f>R9/'Output-Calculation-sheet'!R8*'Output-Calculation-sheet'!R80</f>
        <v>1516271412.5617633</v>
      </c>
      <c r="S97" s="2">
        <f>S9/'Output-Calculation-sheet'!S8*'Output-Calculation-sheet'!S80</f>
        <v>584778261.64826035</v>
      </c>
      <c r="T97" s="2">
        <f>T9/'Output-Calculation-sheet'!T8*'Output-Calculation-sheet'!T80</f>
        <v>781907912.32207179</v>
      </c>
      <c r="U97" s="2">
        <f>U9/'Output-Calculation-sheet'!U8*'Output-Calculation-sheet'!U80</f>
        <v>396834751.77171624</v>
      </c>
      <c r="V97" s="2">
        <f>V9/'Output-Calculation-sheet'!V8*'Output-Calculation-sheet'!V80</f>
        <v>292320233.54915088</v>
      </c>
      <c r="W97" s="2">
        <f>W9/'Output-Calculation-sheet'!W8*'Output-Calculation-sheet'!W80</f>
        <v>764462658.43314552</v>
      </c>
      <c r="X97" s="2">
        <f>X9/'Output-Calculation-sheet'!X8*'Output-Calculation-sheet'!X80</f>
        <v>93616628.035225987</v>
      </c>
      <c r="Y97" s="2">
        <f>Y9/'Output-Calculation-sheet'!Y8*'Output-Calculation-sheet'!Y80</f>
        <v>343278342.10074663</v>
      </c>
      <c r="AA97" s="2">
        <f t="shared" si="8"/>
        <v>60.317732249477288</v>
      </c>
    </row>
    <row r="98" spans="1:27" x14ac:dyDescent="0.25">
      <c r="A98" s="2">
        <v>2033</v>
      </c>
      <c r="B98" s="2">
        <f>B10/'Output-Calculation-sheet'!B9*'Output-Calculation-sheet'!B81</f>
        <v>13683967291.641556</v>
      </c>
      <c r="C98" s="2">
        <f>C10/'Output-Calculation-sheet'!C9*'Output-Calculation-sheet'!C81</f>
        <v>1725515611.1166406</v>
      </c>
      <c r="D98" s="2">
        <f>D10/'Output-Calculation-sheet'!D9*'Output-Calculation-sheet'!D81</f>
        <v>5333111636.2080021</v>
      </c>
      <c r="E98" s="2">
        <f>E10/'Output-Calculation-sheet'!E9*'Output-Calculation-sheet'!E81</f>
        <v>9664229020.1268597</v>
      </c>
      <c r="F98" s="2">
        <f>F10/'Output-Calculation-sheet'!F9*'Output-Calculation-sheet'!F81</f>
        <v>4329117605.7790203</v>
      </c>
      <c r="G98" s="2">
        <f>G10/'Output-Calculation-sheet'!G9*'Output-Calculation-sheet'!G81</f>
        <v>3114938783.0785804</v>
      </c>
      <c r="H98" s="2">
        <f>H10/'Output-Calculation-sheet'!H9*'Output-Calculation-sheet'!H81</f>
        <v>982532561.48032939</v>
      </c>
      <c r="I98" s="2">
        <f>I10/'Output-Calculation-sheet'!I9*'Output-Calculation-sheet'!I81</f>
        <v>2247600848.9916596</v>
      </c>
      <c r="J98" s="2">
        <f>J10/'Output-Calculation-sheet'!J9*'Output-Calculation-sheet'!J81</f>
        <v>1580297738.3125527</v>
      </c>
      <c r="K98" s="2">
        <f>K10/'Output-Calculation-sheet'!K9*'Output-Calculation-sheet'!K81</f>
        <v>1853292550.6616213</v>
      </c>
      <c r="L98" s="2">
        <f>L10/'Output-Calculation-sheet'!L9*'Output-Calculation-sheet'!L81</f>
        <v>1564918350.8550169</v>
      </c>
      <c r="M98" s="2">
        <f>M10/'Output-Calculation-sheet'!M9*'Output-Calculation-sheet'!M81</f>
        <v>767620160.21366036</v>
      </c>
      <c r="N98" s="2">
        <f>N10/'Output-Calculation-sheet'!N9*'Output-Calculation-sheet'!N81</f>
        <v>734346614.26386344</v>
      </c>
      <c r="O98" s="2">
        <f>O10/'Output-Calculation-sheet'!O9*'Output-Calculation-sheet'!O81</f>
        <v>202910555.58227295</v>
      </c>
      <c r="P98" s="2">
        <f>P10/'Output-Calculation-sheet'!P9*'Output-Calculation-sheet'!P81</f>
        <v>1992177438.4477551</v>
      </c>
      <c r="Q98" s="2">
        <f>Q10/'Output-Calculation-sheet'!Q9*'Output-Calculation-sheet'!Q81</f>
        <v>877232876.14900303</v>
      </c>
      <c r="R98" s="2">
        <f>R10/'Output-Calculation-sheet'!R9*'Output-Calculation-sheet'!R81</f>
        <v>1393530617.1764786</v>
      </c>
      <c r="S98" s="2">
        <f>S10/'Output-Calculation-sheet'!S9*'Output-Calculation-sheet'!S81</f>
        <v>531418626.7958864</v>
      </c>
      <c r="T98" s="2">
        <f>T10/'Output-Calculation-sheet'!T9*'Output-Calculation-sheet'!T81</f>
        <v>698388295.47691226</v>
      </c>
      <c r="U98" s="2">
        <f>U10/'Output-Calculation-sheet'!U9*'Output-Calculation-sheet'!U81</f>
        <v>362889846.65052104</v>
      </c>
      <c r="V98" s="2">
        <f>V10/'Output-Calculation-sheet'!V9*'Output-Calculation-sheet'!V81</f>
        <v>267528335.15620422</v>
      </c>
      <c r="W98" s="2">
        <f>W10/'Output-Calculation-sheet'!W9*'Output-Calculation-sheet'!W81</f>
        <v>685616727.99363661</v>
      </c>
      <c r="X98" s="2">
        <f>X10/'Output-Calculation-sheet'!X9*'Output-Calculation-sheet'!X81</f>
        <v>87067919.307675883</v>
      </c>
      <c r="Y98" s="2">
        <f>Y10/'Output-Calculation-sheet'!Y9*'Output-Calculation-sheet'!Y81</f>
        <v>307939953.55659616</v>
      </c>
      <c r="AA98" s="2">
        <f t="shared" si="8"/>
        <v>54.988189965022308</v>
      </c>
    </row>
    <row r="99" spans="1:27" x14ac:dyDescent="0.25">
      <c r="A99" s="2">
        <v>2034</v>
      </c>
      <c r="B99" s="2">
        <f>B11/'Output-Calculation-sheet'!B10*'Output-Calculation-sheet'!B82</f>
        <v>11751097201.777407</v>
      </c>
      <c r="C99" s="2">
        <f>C11/'Output-Calculation-sheet'!C10*'Output-Calculation-sheet'!C82</f>
        <v>1491952383.5385902</v>
      </c>
      <c r="D99" s="2">
        <f>D11/'Output-Calculation-sheet'!D10*'Output-Calculation-sheet'!D82</f>
        <v>4318497093.5423899</v>
      </c>
      <c r="E99" s="2">
        <f>E11/'Output-Calculation-sheet'!E10*'Output-Calculation-sheet'!E82</f>
        <v>8051329331.499258</v>
      </c>
      <c r="F99" s="2">
        <f>F11/'Output-Calculation-sheet'!F10*'Output-Calculation-sheet'!F82</f>
        <v>3600730847.0877857</v>
      </c>
      <c r="G99" s="2">
        <f>G11/'Output-Calculation-sheet'!G10*'Output-Calculation-sheet'!G82</f>
        <v>2514383745.7703919</v>
      </c>
      <c r="H99" s="2">
        <f>H11/'Output-Calculation-sheet'!H10*'Output-Calculation-sheet'!H82</f>
        <v>827879932.36771107</v>
      </c>
      <c r="I99" s="2">
        <f>I11/'Output-Calculation-sheet'!I10*'Output-Calculation-sheet'!I82</f>
        <v>1887358127.5748236</v>
      </c>
      <c r="J99" s="2">
        <f>J11/'Output-Calculation-sheet'!J10*'Output-Calculation-sheet'!J82</f>
        <v>1292970948.0376346</v>
      </c>
      <c r="K99" s="2">
        <f>K11/'Output-Calculation-sheet'!K10*'Output-Calculation-sheet'!K82</f>
        <v>1528413217.2487161</v>
      </c>
      <c r="L99" s="2">
        <f>L11/'Output-Calculation-sheet'!L10*'Output-Calculation-sheet'!L82</f>
        <v>1336344440.1481907</v>
      </c>
      <c r="M99" s="2">
        <f>M11/'Output-Calculation-sheet'!M10*'Output-Calculation-sheet'!M82</f>
        <v>648610470.30944502</v>
      </c>
      <c r="N99" s="2">
        <f>N11/'Output-Calculation-sheet'!N10*'Output-Calculation-sheet'!N82</f>
        <v>602697218.2438271</v>
      </c>
      <c r="O99" s="2">
        <f>O11/'Output-Calculation-sheet'!O10*'Output-Calculation-sheet'!O82</f>
        <v>176436650.16247725</v>
      </c>
      <c r="P99" s="2">
        <f>P11/'Output-Calculation-sheet'!P10*'Output-Calculation-sheet'!P82</f>
        <v>1662289011.2753444</v>
      </c>
      <c r="Q99" s="2">
        <f>Q11/'Output-Calculation-sheet'!Q10*'Output-Calculation-sheet'!Q82</f>
        <v>724662467.68393373</v>
      </c>
      <c r="R99" s="2">
        <f>R11/'Output-Calculation-sheet'!R10*'Output-Calculation-sheet'!R82</f>
        <v>1177234669.9555786</v>
      </c>
      <c r="S99" s="2">
        <f>S11/'Output-Calculation-sheet'!S10*'Output-Calculation-sheet'!S82</f>
        <v>442370603.14284325</v>
      </c>
      <c r="T99" s="2">
        <f>T11/'Output-Calculation-sheet'!T10*'Output-Calculation-sheet'!T82</f>
        <v>571832873.87454927</v>
      </c>
      <c r="U99" s="2">
        <f>U11/'Output-Calculation-sheet'!U10*'Output-Calculation-sheet'!U82</f>
        <v>304848707.43038005</v>
      </c>
      <c r="V99" s="2">
        <f>V11/'Output-Calculation-sheet'!V10*'Output-Calculation-sheet'!V82</f>
        <v>224327231.00022623</v>
      </c>
      <c r="W99" s="2">
        <f>W11/'Output-Calculation-sheet'!W10*'Output-Calculation-sheet'!W82</f>
        <v>563287879.27090156</v>
      </c>
      <c r="X99" s="2">
        <f>X11/'Output-Calculation-sheet'!X10*'Output-Calculation-sheet'!X82</f>
        <v>79499126.05297406</v>
      </c>
      <c r="Y99" s="2">
        <f>Y11/'Output-Calculation-sheet'!Y10*'Output-Calculation-sheet'!Y82</f>
        <v>253365680.5236685</v>
      </c>
      <c r="AA99" s="2">
        <f t="shared" si="8"/>
        <v>46.032419857519066</v>
      </c>
    </row>
    <row r="100" spans="1:27" x14ac:dyDescent="0.25">
      <c r="A100" s="2">
        <v>2035</v>
      </c>
      <c r="B100" s="2">
        <f>B12/'Output-Calculation-sheet'!B11*'Output-Calculation-sheet'!B83</f>
        <v>9318269293.5821495</v>
      </c>
      <c r="C100" s="2">
        <f>C12/'Output-Calculation-sheet'!C11*'Output-Calculation-sheet'!C83</f>
        <v>1163740898.5341411</v>
      </c>
      <c r="D100" s="2">
        <f>D12/'Output-Calculation-sheet'!D11*'Output-Calculation-sheet'!D83</f>
        <v>3170090722.9901013</v>
      </c>
      <c r="E100" s="2">
        <f>E12/'Output-Calculation-sheet'!E11*'Output-Calculation-sheet'!E83</f>
        <v>6077731235.8594484</v>
      </c>
      <c r="F100" s="2">
        <f>F12/'Output-Calculation-sheet'!F11*'Output-Calculation-sheet'!F83</f>
        <v>2713143857.1878777</v>
      </c>
      <c r="G100" s="2">
        <f>G12/'Output-Calculation-sheet'!G11*'Output-Calculation-sheet'!G83</f>
        <v>1836993976.5614629</v>
      </c>
      <c r="H100" s="2">
        <f>H12/'Output-Calculation-sheet'!H11*'Output-Calculation-sheet'!H83</f>
        <v>632698826.46507621</v>
      </c>
      <c r="I100" s="2">
        <f>I12/'Output-Calculation-sheet'!I11*'Output-Calculation-sheet'!I83</f>
        <v>1435879825.7237751</v>
      </c>
      <c r="J100" s="2">
        <f>J12/'Output-Calculation-sheet'!J11*'Output-Calculation-sheet'!J83</f>
        <v>958156146.26974392</v>
      </c>
      <c r="K100" s="2">
        <f>K12/'Output-Calculation-sheet'!K11*'Output-Calculation-sheet'!K83</f>
        <v>1142156245.4113119</v>
      </c>
      <c r="L100" s="2">
        <f>L12/'Output-Calculation-sheet'!L11*'Output-Calculation-sheet'!L83</f>
        <v>1033402828.6122154</v>
      </c>
      <c r="M100" s="2">
        <f>M12/'Output-Calculation-sheet'!M11*'Output-Calculation-sheet'!M83</f>
        <v>498045078.96616524</v>
      </c>
      <c r="N100" s="2">
        <f>N12/'Output-Calculation-sheet'!N11*'Output-Calculation-sheet'!N83</f>
        <v>447067274.27126598</v>
      </c>
      <c r="O100" s="2">
        <f>O12/'Output-Calculation-sheet'!O11*'Output-Calculation-sheet'!O83</f>
        <v>139330097.95626467</v>
      </c>
      <c r="P100" s="2">
        <f>P12/'Output-Calculation-sheet'!P11*'Output-Calculation-sheet'!P83</f>
        <v>1251033406.5273497</v>
      </c>
      <c r="Q100" s="2">
        <f>Q12/'Output-Calculation-sheet'!Q11*'Output-Calculation-sheet'!Q83</f>
        <v>543332702.81771016</v>
      </c>
      <c r="R100" s="2">
        <f>R12/'Output-Calculation-sheet'!R11*'Output-Calculation-sheet'!R83</f>
        <v>901329160.94806421</v>
      </c>
      <c r="S100" s="2">
        <f>S12/'Output-Calculation-sheet'!S11*'Output-Calculation-sheet'!S83</f>
        <v>333383447.26901048</v>
      </c>
      <c r="T100" s="2">
        <f>T12/'Output-Calculation-sheet'!T11*'Output-Calculation-sheet'!T83</f>
        <v>425363645.23769778</v>
      </c>
      <c r="U100" s="2">
        <f>U12/'Output-Calculation-sheet'!U11*'Output-Calculation-sheet'!U83</f>
        <v>231830123.00239441</v>
      </c>
      <c r="V100" s="2">
        <f>V12/'Output-Calculation-sheet'!V11*'Output-Calculation-sheet'!V83</f>
        <v>170411148.29948518</v>
      </c>
      <c r="W100" s="2">
        <f>W12/'Output-Calculation-sheet'!W11*'Output-Calculation-sheet'!W83</f>
        <v>418555417.16703135</v>
      </c>
      <c r="X100" s="2">
        <f>X12/'Output-Calculation-sheet'!X11*'Output-Calculation-sheet'!X83</f>
        <v>66345559.306012616</v>
      </c>
      <c r="Y100" s="2">
        <f>Y12/'Output-Calculation-sheet'!Y11*'Output-Calculation-sheet'!Y83</f>
        <v>188452226.74146485</v>
      </c>
      <c r="AA100" s="2">
        <f t="shared" si="8"/>
        <v>35.096743145707222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94188539892.915421</v>
      </c>
      <c r="C8" s="2">
        <v>44386379634.496544</v>
      </c>
      <c r="D8" s="2">
        <v>39560263638.583344</v>
      </c>
      <c r="E8" s="2">
        <v>31387054748.315319</v>
      </c>
      <c r="F8" s="2">
        <v>20204973455.046726</v>
      </c>
      <c r="G8" s="2">
        <v>14196568860.04541</v>
      </c>
      <c r="H8" s="2">
        <v>13848207962.362062</v>
      </c>
      <c r="I8" s="2">
        <v>12934191745.668165</v>
      </c>
      <c r="J8" s="2">
        <v>12589248923.723505</v>
      </c>
      <c r="K8" s="2">
        <v>12468560842.824133</v>
      </c>
      <c r="L8" s="2">
        <v>10002441616.650064</v>
      </c>
      <c r="M8" s="2">
        <v>9554056302.8002377</v>
      </c>
      <c r="N8" s="2">
        <v>9377278668.2560463</v>
      </c>
      <c r="O8" s="2">
        <v>8624312108.9435997</v>
      </c>
      <c r="P8" s="2">
        <v>8536566552.1409969</v>
      </c>
      <c r="Q8" s="2">
        <v>8398601840.1872025</v>
      </c>
      <c r="R8" s="2">
        <v>8079841271.4535599</v>
      </c>
      <c r="S8" s="2">
        <v>5370276412.8014097</v>
      </c>
      <c r="T8" s="2">
        <v>2970080175.1166873</v>
      </c>
      <c r="U8" s="2">
        <v>2586838349.133637</v>
      </c>
      <c r="V8" s="2">
        <v>1991917265.5998845</v>
      </c>
      <c r="W8" s="2">
        <v>1724558899.4224231</v>
      </c>
      <c r="X8" s="2">
        <v>1034735339.6534547</v>
      </c>
      <c r="Y8" s="2">
        <v>1006269770.4595864</v>
      </c>
    </row>
    <row r="9" spans="1:27" x14ac:dyDescent="0.25">
      <c r="A9" s="2">
        <v>2032</v>
      </c>
      <c r="B9" s="2">
        <v>97946231641.274658</v>
      </c>
      <c r="C9" s="2">
        <v>46157193076.150017</v>
      </c>
      <c r="D9" s="2">
        <v>41138537135.620567</v>
      </c>
      <c r="E9" s="2">
        <v>32639254610.072769</v>
      </c>
      <c r="F9" s="2">
        <v>21011059440.817036</v>
      </c>
      <c r="G9" s="2">
        <v>14762946996.080399</v>
      </c>
      <c r="H9" s="2">
        <v>14400688092.629429</v>
      </c>
      <c r="I9" s="2">
        <v>13450206811.29771</v>
      </c>
      <c r="J9" s="2">
        <v>13091502349.166771</v>
      </c>
      <c r="K9" s="2">
        <v>12965999366.091013</v>
      </c>
      <c r="L9" s="2">
        <v>10401493267.40358</v>
      </c>
      <c r="M9" s="2">
        <v>9935219431.278595</v>
      </c>
      <c r="N9" s="2">
        <v>9751389178.0254135</v>
      </c>
      <c r="O9" s="2">
        <v>8968382698.4643307</v>
      </c>
      <c r="P9" s="2">
        <v>8877136495.4564953</v>
      </c>
      <c r="Q9" s="2">
        <v>8733667622.8026543</v>
      </c>
      <c r="R9" s="2">
        <v>8402189965.9795847</v>
      </c>
      <c r="S9" s="2">
        <v>5584525868.0507956</v>
      </c>
      <c r="T9" s="2">
        <v>3088572783.439208</v>
      </c>
      <c r="U9" s="2">
        <v>2690041362.2595458</v>
      </c>
      <c r="V9" s="2">
        <v>2071385649.7670968</v>
      </c>
      <c r="W9" s="2">
        <v>1793360908.1730292</v>
      </c>
      <c r="X9" s="2">
        <v>1076016544.9038181</v>
      </c>
      <c r="Y9" s="2">
        <v>1046415329.7535124</v>
      </c>
    </row>
    <row r="10" spans="1:27" x14ac:dyDescent="0.25">
      <c r="A10" s="2">
        <v>2033</v>
      </c>
      <c r="B10" s="2">
        <v>95304299326.597229</v>
      </c>
      <c r="C10" s="2">
        <v>44912181625.486923</v>
      </c>
      <c r="D10" s="2">
        <v>40028895357.515099</v>
      </c>
      <c r="E10" s="2">
        <v>31758866462.041168</v>
      </c>
      <c r="F10" s="2">
        <v>20444321997.506241</v>
      </c>
      <c r="G10" s="2">
        <v>14364741714.720913</v>
      </c>
      <c r="H10" s="2">
        <v>14012254126.483089</v>
      </c>
      <c r="I10" s="2">
        <v>13087410454.37398</v>
      </c>
      <c r="J10" s="2">
        <v>12738381432.472265</v>
      </c>
      <c r="K10" s="2">
        <v>12616263678.016539</v>
      </c>
      <c r="L10" s="2">
        <v>10120930751.382563</v>
      </c>
      <c r="M10" s="2">
        <v>9667233855.6309319</v>
      </c>
      <c r="N10" s="2">
        <v>9488362109.4927959</v>
      </c>
      <c r="O10" s="2">
        <v>8726475892.4092979</v>
      </c>
      <c r="P10" s="2">
        <v>8637690899.8868351</v>
      </c>
      <c r="Q10" s="2">
        <v>8498091855.0401793</v>
      </c>
      <c r="R10" s="2">
        <v>8175555241.8742228</v>
      </c>
      <c r="S10" s="2">
        <v>5433892820.656064</v>
      </c>
      <c r="T10" s="2">
        <v>3005263807.6259651</v>
      </c>
      <c r="U10" s="2">
        <v>2617482090.8748002</v>
      </c>
      <c r="V10" s="2">
        <v>2015513559.6154149</v>
      </c>
      <c r="W10" s="2">
        <v>1744988060.5831985</v>
      </c>
      <c r="X10" s="2">
        <v>1046992836.3499199</v>
      </c>
      <c r="Y10" s="2">
        <v>1018190063.4219319</v>
      </c>
    </row>
    <row r="11" spans="1:27" x14ac:dyDescent="0.25">
      <c r="A11" s="2">
        <v>2034</v>
      </c>
      <c r="B11" s="2">
        <v>87035895270.265305</v>
      </c>
      <c r="C11" s="2">
        <v>41015693561.938919</v>
      </c>
      <c r="D11" s="2">
        <v>36556071118.91124</v>
      </c>
      <c r="E11" s="2">
        <v>29003532839.79438</v>
      </c>
      <c r="F11" s="2">
        <v>18670614870.676117</v>
      </c>
      <c r="G11" s="2">
        <v>13118486409.331852</v>
      </c>
      <c r="H11" s="2">
        <v>12796579915.808388</v>
      </c>
      <c r="I11" s="2">
        <v>11951973769.434971</v>
      </c>
      <c r="J11" s="2">
        <v>11633225784.17967</v>
      </c>
      <c r="K11" s="2">
        <v>11521702713.735332</v>
      </c>
      <c r="L11" s="2">
        <v>9242859715.0297279</v>
      </c>
      <c r="M11" s="2">
        <v>8828524624.3559837</v>
      </c>
      <c r="N11" s="2">
        <v>8665171421.2613583</v>
      </c>
      <c r="O11" s="2">
        <v>7969384877.8789253</v>
      </c>
      <c r="P11" s="2">
        <v>7888302687.8270864</v>
      </c>
      <c r="Q11" s="2">
        <v>7760814967.6197805</v>
      </c>
      <c r="R11" s="2">
        <v>7466260964.4668093</v>
      </c>
      <c r="S11" s="2">
        <v>4962459509.0693884</v>
      </c>
      <c r="T11" s="2">
        <v>2744533330.2718611</v>
      </c>
      <c r="U11" s="2">
        <v>2390394753.8869977</v>
      </c>
      <c r="V11" s="2">
        <v>1840651768.3880672</v>
      </c>
      <c r="W11" s="2">
        <v>1593596502.5913305</v>
      </c>
      <c r="X11" s="2">
        <v>956157901.55479896</v>
      </c>
      <c r="Y11" s="2">
        <v>929853997.68302488</v>
      </c>
    </row>
    <row r="12" spans="1:27" x14ac:dyDescent="0.25">
      <c r="A12" s="2">
        <v>2035</v>
      </c>
      <c r="B12" s="2">
        <v>74486357146.907959</v>
      </c>
      <c r="C12" s="2">
        <v>35101719696.177528</v>
      </c>
      <c r="D12" s="2">
        <v>31285121624.769958</v>
      </c>
      <c r="E12" s="2">
        <v>24821569295.27282</v>
      </c>
      <c r="F12" s="2">
        <v>15978534868.758558</v>
      </c>
      <c r="G12" s="2">
        <v>11226957117.843088</v>
      </c>
      <c r="H12" s="2">
        <v>10951465701.686089</v>
      </c>
      <c r="I12" s="2">
        <v>10228641688.99696</v>
      </c>
      <c r="J12" s="2">
        <v>9955853361.8836651</v>
      </c>
      <c r="K12" s="2">
        <v>9860410588.1930866</v>
      </c>
      <c r="L12" s="2">
        <v>7910149572.8243294</v>
      </c>
      <c r="M12" s="2">
        <v>7555556660.9391041</v>
      </c>
      <c r="N12" s="2">
        <v>7415757041.6094627</v>
      </c>
      <c r="O12" s="2">
        <v>6820294619.9561472</v>
      </c>
      <c r="P12" s="2">
        <v>6750903514.737999</v>
      </c>
      <c r="Q12" s="2">
        <v>6641798003.3886986</v>
      </c>
      <c r="R12" s="2">
        <v>6389715174.6917067</v>
      </c>
      <c r="S12" s="2">
        <v>4246932029.2715282</v>
      </c>
      <c r="T12" s="2">
        <v>2348804354.8632693</v>
      </c>
      <c r="U12" s="2">
        <v>2045728337.7993951</v>
      </c>
      <c r="V12" s="2">
        <v>1575251734.6722915</v>
      </c>
      <c r="W12" s="2">
        <v>1363818891.8662624</v>
      </c>
      <c r="X12" s="2">
        <v>818291335.11975801</v>
      </c>
      <c r="Y12" s="2">
        <v>795780140.49061203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 t="shared" ref="AA16:AA23" si="0"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si="0"/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4934.3129889356051</v>
      </c>
      <c r="C19" s="2">
        <f>C8/'Output-Calculation-sheet'!C7*'Output-Calculation-sheet'!C25</f>
        <v>6579.2192647831307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2397.2474788955155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1754.6729667078359</v>
      </c>
      <c r="N19" s="2">
        <f>N8/'Output-Calculation-sheet'!N7*'Output-Calculation-sheet'!N25</f>
        <v>914.12667569956193</v>
      </c>
      <c r="O19" s="2">
        <f>O8/'Output-Calculation-sheet'!O7*'Output-Calculation-sheet'!O25</f>
        <v>996.87907719834448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398.50486356475238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202.82868078694213</v>
      </c>
      <c r="Y19" s="2">
        <f>Y8/'Output-Calculation-sheet'!Y7*'Output-Calculation-sheet'!Y25</f>
        <v>0</v>
      </c>
      <c r="AA19" s="2">
        <f t="shared" si="0"/>
        <v>18.177791996571681</v>
      </c>
    </row>
    <row r="20" spans="1:27" x14ac:dyDescent="0.25">
      <c r="A20" s="2">
        <v>2032</v>
      </c>
      <c r="B20" s="2">
        <f>B9/'Output-Calculation-sheet'!B8*'Output-Calculation-sheet'!B26</f>
        <v>6158.2065177956638</v>
      </c>
      <c r="C20" s="2">
        <f>C9/'Output-Calculation-sheet'!C8*'Output-Calculation-sheet'!C26</f>
        <v>7097.8156465603997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2555.2437731408168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1865.9116877252989</v>
      </c>
      <c r="N20" s="2">
        <f>N9/'Output-Calculation-sheet'!N8*'Output-Calculation-sheet'!N26</f>
        <v>1061.3529171926036</v>
      </c>
      <c r="O20" s="2">
        <f>O9/'Output-Calculation-sheet'!O8*'Output-Calculation-sheet'!O26</f>
        <v>1097.9726996715631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479.77735376406076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215.53702304519098</v>
      </c>
      <c r="Y20" s="2">
        <f>Y9/'Output-Calculation-sheet'!Y8*'Output-Calculation-sheet'!Y26</f>
        <v>0</v>
      </c>
      <c r="AA20" s="2">
        <f t="shared" si="0"/>
        <v>20.531817618895595</v>
      </c>
    </row>
    <row r="21" spans="1:27" x14ac:dyDescent="0.25">
      <c r="A21" s="2">
        <v>2033</v>
      </c>
      <c r="B21" s="2">
        <f>B10/'Output-Calculation-sheet'!B9*'Output-Calculation-sheet'!B27</f>
        <v>7540.8724476707766</v>
      </c>
      <c r="C21" s="2">
        <f>C10/'Output-Calculation-sheet'!C9*'Output-Calculation-sheet'!C27</f>
        <v>7095.6098920051982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2539.2208713188566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22.03291885744251</v>
      </c>
      <c r="M21" s="2">
        <f>M10/'Output-Calculation-sheet'!M9*'Output-Calculation-sheet'!M27</f>
        <v>1863.7108578103835</v>
      </c>
      <c r="N21" s="2">
        <f>N10/'Output-Calculation-sheet'!N9*'Output-Calculation-sheet'!N27</f>
        <v>1139.2255073658569</v>
      </c>
      <c r="O21" s="2">
        <f>O10/'Output-Calculation-sheet'!O9*'Output-Calculation-sheet'!O27</f>
        <v>1109.7370787887312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529.38240514210156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215.75213427258183</v>
      </c>
      <c r="Y21" s="2">
        <f>Y10/'Output-Calculation-sheet'!Y9*'Output-Calculation-sheet'!Y27</f>
        <v>0</v>
      </c>
      <c r="AA21" s="2">
        <f t="shared" si="0"/>
        <v>22.055544113231925</v>
      </c>
    </row>
    <row r="22" spans="1:27" x14ac:dyDescent="0.25">
      <c r="A22" s="2">
        <v>2034</v>
      </c>
      <c r="B22" s="2">
        <f>B11/'Output-Calculation-sheet'!B10*'Output-Calculation-sheet'!B28</f>
        <v>8489.3167326592175</v>
      </c>
      <c r="C22" s="2">
        <f>C11/'Output-Calculation-sheet'!C10*'Output-Calculation-sheet'!C28</f>
        <v>6687.0310248890237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2373.1427460577729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135.93195746558771</v>
      </c>
      <c r="M22" s="2">
        <f>M11/'Output-Calculation-sheet'!M10*'Output-Calculation-sheet'!M28</f>
        <v>1744.5205218517131</v>
      </c>
      <c r="N22" s="2">
        <f>N11/'Output-Calculation-sheet'!N10*'Output-Calculation-sheet'!N28</f>
        <v>1111.4749698735038</v>
      </c>
      <c r="O22" s="2">
        <f>O11/'Output-Calculation-sheet'!O10*'Output-Calculation-sheet'!O28</f>
        <v>1060.9314054322035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515.23351123146369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215.34662424874458</v>
      </c>
      <c r="Y22" s="2">
        <f>Y11/'Output-Calculation-sheet'!Y10*'Output-Calculation-sheet'!Y28</f>
        <v>0</v>
      </c>
      <c r="AA22" s="2">
        <f t="shared" si="0"/>
        <v>22.332929493709234</v>
      </c>
    </row>
    <row r="23" spans="1:27" x14ac:dyDescent="0.25">
      <c r="A23" s="2">
        <v>2035</v>
      </c>
      <c r="B23" s="2">
        <f>B12/'Output-Calculation-sheet'!B11*'Output-Calculation-sheet'!B29</f>
        <v>9392.1508949320141</v>
      </c>
      <c r="C23" s="2">
        <f>C12/'Output-Calculation-sheet'!C11*'Output-Calculation-sheet'!C29</f>
        <v>5882.0675231153527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2083.7605957138271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215.52133850858192</v>
      </c>
      <c r="M23" s="2">
        <f>M12/'Output-Calculation-sheet'!M11*'Output-Calculation-sheet'!M29</f>
        <v>1539.1496712179933</v>
      </c>
      <c r="N23" s="2">
        <f>N12/'Output-Calculation-sheet'!N11*'Output-Calculation-sheet'!N29</f>
        <v>994.75029387679535</v>
      </c>
      <c r="O23" s="2">
        <f>O12/'Output-Calculation-sheet'!O11*'Output-Calculation-sheet'!O29</f>
        <v>954.67302353576315</v>
      </c>
      <c r="P23" s="2">
        <f>P12/'Output-Calculation-sheet'!P11*'Output-Calculation-sheet'!P29</f>
        <v>0</v>
      </c>
      <c r="Q23" s="2">
        <f>Q12/'Output-Calculation-sheet'!Q11*'Output-Calculation-sheet'!Q29</f>
        <v>56.071524804744286</v>
      </c>
      <c r="R23" s="2">
        <f>R12/'Output-Calculation-sheet'!R11*'Output-Calculation-sheet'!R29</f>
        <v>0</v>
      </c>
      <c r="S23" s="2">
        <f>S12/'Output-Calculation-sheet'!S11*'Output-Calculation-sheet'!S29</f>
        <v>463.67582433659265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203.41016692003399</v>
      </c>
      <c r="Y23" s="2">
        <f>Y12/'Output-Calculation-sheet'!Y11*'Output-Calculation-sheet'!Y29</f>
        <v>0</v>
      </c>
      <c r="AA23" s="2">
        <f t="shared" si="0"/>
        <v>21.785230856961697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 t="shared" ref="AA27:AA34" si="1"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si="1"/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24266.287094651416</v>
      </c>
      <c r="C30" s="2">
        <f>C8/'Output-Calculation-sheet'!C7*'Output-Calculation-sheet'!C16</f>
        <v>0</v>
      </c>
      <c r="D30" s="2">
        <f>D8/'Output-Calculation-sheet'!D7*'Output-Calculation-sheet'!D16</f>
        <v>5466.9605403336509</v>
      </c>
      <c r="E30" s="2">
        <f>E8/'Output-Calculation-sheet'!E7*'Output-Calculation-sheet'!E16</f>
        <v>6850.9748813066199</v>
      </c>
      <c r="F30" s="2">
        <f>F8/'Output-Calculation-sheet'!F7*'Output-Calculation-sheet'!F16</f>
        <v>3346.0154977555399</v>
      </c>
      <c r="G30" s="2">
        <f>G8/'Output-Calculation-sheet'!G7*'Output-Calculation-sheet'!G16</f>
        <v>2039.0183955650721</v>
      </c>
      <c r="H30" s="2">
        <f>H8/'Output-Calculation-sheet'!H7*'Output-Calculation-sheet'!H16</f>
        <v>0</v>
      </c>
      <c r="I30" s="2">
        <f>I8/'Output-Calculation-sheet'!I7*'Output-Calculation-sheet'!I16</f>
        <v>1919.4841610495921</v>
      </c>
      <c r="J30" s="2">
        <f>J8/'Output-Calculation-sheet'!J7*'Output-Calculation-sheet'!J16</f>
        <v>2057.6040336742872</v>
      </c>
      <c r="K30" s="2">
        <f>K8/'Output-Calculation-sheet'!K7*'Output-Calculation-sheet'!K16</f>
        <v>1991.529417000387</v>
      </c>
      <c r="L30" s="2">
        <f>L8/'Output-Calculation-sheet'!L7*'Output-Calculation-sheet'!L16</f>
        <v>2201.3190662539305</v>
      </c>
      <c r="M30" s="2">
        <f>M8/'Output-Calculation-sheet'!M7*'Output-Calculation-sheet'!M16</f>
        <v>0</v>
      </c>
      <c r="N30" s="2">
        <f>N8/'Output-Calculation-sheet'!N7*'Output-Calculation-sheet'!N16</f>
        <v>987.13035241606769</v>
      </c>
      <c r="O30" s="2">
        <f>O8/'Output-Calculation-sheet'!O7*'Output-Calculation-sheet'!O16</f>
        <v>0</v>
      </c>
      <c r="P30" s="2">
        <f>P8/'Output-Calculation-sheet'!P7*'Output-Calculation-sheet'!P16</f>
        <v>1884.4383272602099</v>
      </c>
      <c r="Q30" s="2">
        <f>Q8/'Output-Calculation-sheet'!Q7*'Output-Calculation-sheet'!Q16</f>
        <v>1848.7273572272454</v>
      </c>
      <c r="R30" s="2">
        <f>R8/'Output-Calculation-sheet'!R7*'Output-Calculation-sheet'!R16</f>
        <v>1640.6038332321705</v>
      </c>
      <c r="S30" s="2">
        <f>S8/'Output-Calculation-sheet'!S7*'Output-Calculation-sheet'!S16</f>
        <v>868.91599387068527</v>
      </c>
      <c r="T30" s="2">
        <f>T8/'Output-Calculation-sheet'!T7*'Output-Calculation-sheet'!T16</f>
        <v>619.68049451197862</v>
      </c>
      <c r="U30" s="2">
        <f>U8/'Output-Calculation-sheet'!U7*'Output-Calculation-sheet'!U16</f>
        <v>478.1471120370191</v>
      </c>
      <c r="V30" s="2">
        <f>V8/'Output-Calculation-sheet'!V7*'Output-Calculation-sheet'!V16</f>
        <v>619.10489529937149</v>
      </c>
      <c r="W30" s="2">
        <f>W8/'Output-Calculation-sheet'!W7*'Output-Calculation-sheet'!W16</f>
        <v>298.08635319332473</v>
      </c>
      <c r="X30" s="2">
        <f>X8/'Output-Calculation-sheet'!X7*'Output-Calculation-sheet'!X16</f>
        <v>0</v>
      </c>
      <c r="Y30" s="2">
        <f>Y8/'Output-Calculation-sheet'!Y7*'Output-Calculation-sheet'!Y16</f>
        <v>203.30139154249952</v>
      </c>
      <c r="AA30" s="2">
        <f t="shared" si="1"/>
        <v>59.587329198181067</v>
      </c>
    </row>
    <row r="31" spans="1:27" x14ac:dyDescent="0.25">
      <c r="A31" s="2">
        <v>2032</v>
      </c>
      <c r="B31" s="2">
        <f>B9/'Output-Calculation-sheet'!B8*'Output-Calculation-sheet'!B17</f>
        <v>24952.161729767311</v>
      </c>
      <c r="C31" s="2">
        <f>C9/'Output-Calculation-sheet'!C8*'Output-Calculation-sheet'!C17</f>
        <v>0</v>
      </c>
      <c r="D31" s="2">
        <f>D9/'Output-Calculation-sheet'!D8*'Output-Calculation-sheet'!D17</f>
        <v>5711.034904378429</v>
      </c>
      <c r="E31" s="2">
        <f>E9/'Output-Calculation-sheet'!E8*'Output-Calculation-sheet'!E17</f>
        <v>7173.8143128599631</v>
      </c>
      <c r="F31" s="2">
        <f>F9/'Output-Calculation-sheet'!F8*'Output-Calculation-sheet'!F17</f>
        <v>3500.2412316356899</v>
      </c>
      <c r="G31" s="2">
        <f>G9/'Output-Calculation-sheet'!G8*'Output-Calculation-sheet'!G17</f>
        <v>2130.6904370799789</v>
      </c>
      <c r="H31" s="2">
        <f>H9/'Output-Calculation-sheet'!H8*'Output-Calculation-sheet'!H17</f>
        <v>0</v>
      </c>
      <c r="I31" s="2">
        <f>I9/'Output-Calculation-sheet'!I8*'Output-Calculation-sheet'!I17</f>
        <v>2004.7784343040619</v>
      </c>
      <c r="J31" s="2">
        <f>J9/'Output-Calculation-sheet'!J8*'Output-Calculation-sheet'!J17</f>
        <v>2150.7831029907506</v>
      </c>
      <c r="K31" s="2">
        <f>K9/'Output-Calculation-sheet'!K8*'Output-Calculation-sheet'!K17</f>
        <v>2080.1093041763893</v>
      </c>
      <c r="L31" s="2">
        <f>L9/'Output-Calculation-sheet'!L8*'Output-Calculation-sheet'!L17</f>
        <v>2298.4464185825268</v>
      </c>
      <c r="M31" s="2">
        <f>M9/'Output-Calculation-sheet'!M8*'Output-Calculation-sheet'!M17</f>
        <v>0</v>
      </c>
      <c r="N31" s="2">
        <f>N9/'Output-Calculation-sheet'!N8*'Output-Calculation-sheet'!N17</f>
        <v>969.11229089334984</v>
      </c>
      <c r="O31" s="2">
        <f>O9/'Output-Calculation-sheet'!O8*'Output-Calculation-sheet'!O17</f>
        <v>0</v>
      </c>
      <c r="P31" s="2">
        <f>P9/'Output-Calculation-sheet'!P8*'Output-Calculation-sheet'!P17</f>
        <v>1979.8487607443581</v>
      </c>
      <c r="Q31" s="2">
        <f>Q9/'Output-Calculation-sheet'!Q8*'Output-Calculation-sheet'!Q17</f>
        <v>1936.2063915720835</v>
      </c>
      <c r="R31" s="2">
        <f>R9/'Output-Calculation-sheet'!R8*'Output-Calculation-sheet'!R17</f>
        <v>1732.8479597093358</v>
      </c>
      <c r="S31" s="2">
        <f>S9/'Output-Calculation-sheet'!S8*'Output-Calculation-sheet'!S17</f>
        <v>867.42896435422881</v>
      </c>
      <c r="T31" s="2">
        <f>T9/'Output-Calculation-sheet'!T8*'Output-Calculation-sheet'!T17</f>
        <v>649.16452349460303</v>
      </c>
      <c r="U31" s="2">
        <f>U9/'Output-Calculation-sheet'!U8*'Output-Calculation-sheet'!U17</f>
        <v>502.64205900808867</v>
      </c>
      <c r="V31" s="2">
        <f>V9/'Output-Calculation-sheet'!V8*'Output-Calculation-sheet'!V17</f>
        <v>639.18997803333048</v>
      </c>
      <c r="W31" s="2">
        <f>W9/'Output-Calculation-sheet'!W8*'Output-Calculation-sheet'!W17</f>
        <v>311.53741502230321</v>
      </c>
      <c r="X31" s="2">
        <f>X9/'Output-Calculation-sheet'!X8*'Output-Calculation-sheet'!X17</f>
        <v>0</v>
      </c>
      <c r="Y31" s="2">
        <f>Y9/'Output-Calculation-sheet'!Y8*'Output-Calculation-sheet'!Y17</f>
        <v>212.37887741089551</v>
      </c>
      <c r="AA31" s="2">
        <f t="shared" si="1"/>
        <v>61.802417096017699</v>
      </c>
    </row>
    <row r="32" spans="1:27" x14ac:dyDescent="0.25">
      <c r="A32" s="2">
        <v>2033</v>
      </c>
      <c r="B32" s="2">
        <f>B10/'Output-Calculation-sheet'!B9*'Output-Calculation-sheet'!B18</f>
        <v>23889.507730048528</v>
      </c>
      <c r="C32" s="2">
        <f>C10/'Output-Calculation-sheet'!C9*'Output-Calculation-sheet'!C18</f>
        <v>0</v>
      </c>
      <c r="D32" s="2">
        <f>D10/'Output-Calculation-sheet'!D9*'Output-Calculation-sheet'!D18</f>
        <v>5588.9842086633389</v>
      </c>
      <c r="E32" s="2">
        <f>E10/'Output-Calculation-sheet'!E9*'Output-Calculation-sheet'!E18</f>
        <v>7029.3645445268085</v>
      </c>
      <c r="F32" s="2">
        <f>F10/'Output-Calculation-sheet'!F9*'Output-Calculation-sheet'!F18</f>
        <v>3423.6970216368477</v>
      </c>
      <c r="G32" s="2">
        <f>G10/'Output-Calculation-sheet'!G9*'Output-Calculation-sheet'!G18</f>
        <v>2082.9280134545493</v>
      </c>
      <c r="H32" s="2">
        <f>H10/'Output-Calculation-sheet'!H9*'Output-Calculation-sheet'!H18</f>
        <v>0</v>
      </c>
      <c r="I32" s="2">
        <f>I10/'Output-Calculation-sheet'!I9*'Output-Calculation-sheet'!I18</f>
        <v>1962.7927903747734</v>
      </c>
      <c r="J32" s="2">
        <f>J10/'Output-Calculation-sheet'!J9*'Output-Calculation-sheet'!J18</f>
        <v>2103.4604335710378</v>
      </c>
      <c r="K32" s="2">
        <f>K10/'Output-Calculation-sheet'!K9*'Output-Calculation-sheet'!K18</f>
        <v>2040.200671030276</v>
      </c>
      <c r="L32" s="2">
        <f>L10/'Output-Calculation-sheet'!L9*'Output-Calculation-sheet'!L18</f>
        <v>2241.2034972429124</v>
      </c>
      <c r="M32" s="2">
        <f>M10/'Output-Calculation-sheet'!M9*'Output-Calculation-sheet'!M18</f>
        <v>0</v>
      </c>
      <c r="N32" s="2">
        <f>N10/'Output-Calculation-sheet'!N9*'Output-Calculation-sheet'!N18</f>
        <v>872.26577730857457</v>
      </c>
      <c r="O32" s="2">
        <f>O10/'Output-Calculation-sheet'!O9*'Output-Calculation-sheet'!O18</f>
        <v>0</v>
      </c>
      <c r="P32" s="2">
        <f>P10/'Output-Calculation-sheet'!P9*'Output-Calculation-sheet'!P18</f>
        <v>1965.4576573647364</v>
      </c>
      <c r="Q32" s="2">
        <f>Q10/'Output-Calculation-sheet'!Q9*'Output-Calculation-sheet'!Q18</f>
        <v>1903.8571755752266</v>
      </c>
      <c r="R32" s="2">
        <f>R10/'Output-Calculation-sheet'!R9*'Output-Calculation-sheet'!R18</f>
        <v>1711.265736068764</v>
      </c>
      <c r="S32" s="2">
        <f>S10/'Output-Calculation-sheet'!S9*'Output-Calculation-sheet'!S18</f>
        <v>815.59857262670994</v>
      </c>
      <c r="T32" s="2">
        <f>T10/'Output-Calculation-sheet'!T9*'Output-Calculation-sheet'!T18</f>
        <v>633.2086607802803</v>
      </c>
      <c r="U32" s="2">
        <f>U10/'Output-Calculation-sheet'!U9*'Output-Calculation-sheet'!U18</f>
        <v>493.66838032979064</v>
      </c>
      <c r="V32" s="2">
        <f>V10/'Output-Calculation-sheet'!V9*'Output-Calculation-sheet'!V18</f>
        <v>622.84848617903765</v>
      </c>
      <c r="W32" s="2">
        <f>W10/'Output-Calculation-sheet'!W9*'Output-Calculation-sheet'!W18</f>
        <v>303.89945583537343</v>
      </c>
      <c r="X32" s="2">
        <f>X10/'Output-Calculation-sheet'!X9*'Output-Calculation-sheet'!X18</f>
        <v>0</v>
      </c>
      <c r="Y32" s="2">
        <f>Y10/'Output-Calculation-sheet'!Y9*'Output-Calculation-sheet'!Y18</f>
        <v>207.96916227538131</v>
      </c>
      <c r="AA32" s="2">
        <f t="shared" si="1"/>
        <v>59.892177974892945</v>
      </c>
    </row>
    <row r="33" spans="1:27" x14ac:dyDescent="0.25">
      <c r="A33" s="2">
        <v>2034</v>
      </c>
      <c r="B33" s="2">
        <f>B11/'Output-Calculation-sheet'!B10*'Output-Calculation-sheet'!B19</f>
        <v>21287.606124462673</v>
      </c>
      <c r="C33" s="2">
        <f>C11/'Output-Calculation-sheet'!C10*'Output-Calculation-sheet'!C19</f>
        <v>0</v>
      </c>
      <c r="D33" s="2">
        <f>D11/'Output-Calculation-sheet'!D10*'Output-Calculation-sheet'!D19</f>
        <v>5126.670498900552</v>
      </c>
      <c r="E33" s="2">
        <f>E11/'Output-Calculation-sheet'!E10*'Output-Calculation-sheet'!E19</f>
        <v>6453.0658240321109</v>
      </c>
      <c r="F33" s="2">
        <f>F11/'Output-Calculation-sheet'!F10*'Output-Calculation-sheet'!F19</f>
        <v>3141.2687165131333</v>
      </c>
      <c r="G33" s="2">
        <f>G11/'Output-Calculation-sheet'!G10*'Output-Calculation-sheet'!G19</f>
        <v>1906.881602811746</v>
      </c>
      <c r="H33" s="2">
        <f>H11/'Output-Calculation-sheet'!H10*'Output-Calculation-sheet'!H19</f>
        <v>0</v>
      </c>
      <c r="I33" s="2">
        <f>I11/'Output-Calculation-sheet'!I10*'Output-Calculation-sheet'!I19</f>
        <v>1802.0937368824152</v>
      </c>
      <c r="J33" s="2">
        <f>J11/'Output-Calculation-sheet'!J10*'Output-Calculation-sheet'!J19</f>
        <v>1924.2306571581091</v>
      </c>
      <c r="K33" s="2">
        <f>K11/'Output-Calculation-sheet'!K10*'Output-Calculation-sheet'!K19</f>
        <v>1877.1069428639955</v>
      </c>
      <c r="L33" s="2">
        <f>L11/'Output-Calculation-sheet'!L10*'Output-Calculation-sheet'!L19</f>
        <v>2017.9392710323441</v>
      </c>
      <c r="M33" s="2">
        <f>M11/'Output-Calculation-sheet'!M10*'Output-Calculation-sheet'!M19</f>
        <v>0</v>
      </c>
      <c r="N33" s="2">
        <f>N11/'Output-Calculation-sheet'!N10*'Output-Calculation-sheet'!N19</f>
        <v>759.63633497872661</v>
      </c>
      <c r="O33" s="2">
        <f>O11/'Output-Calculation-sheet'!O10*'Output-Calculation-sheet'!O19</f>
        <v>0</v>
      </c>
      <c r="P33" s="2">
        <f>P11/'Output-Calculation-sheet'!P10*'Output-Calculation-sheet'!P19</f>
        <v>1838.103997601592</v>
      </c>
      <c r="Q33" s="2">
        <f>Q11/'Output-Calculation-sheet'!Q10*'Output-Calculation-sheet'!Q19</f>
        <v>1753.9956119198839</v>
      </c>
      <c r="R33" s="2">
        <f>R11/'Output-Calculation-sheet'!R10*'Output-Calculation-sheet'!R19</f>
        <v>1589.5683718664654</v>
      </c>
      <c r="S33" s="2">
        <f>S11/'Output-Calculation-sheet'!S10*'Output-Calculation-sheet'!S19</f>
        <v>732.66426654558029</v>
      </c>
      <c r="T33" s="2">
        <f>T11/'Output-Calculation-sheet'!T10*'Output-Calculation-sheet'!T19</f>
        <v>579.92965070239734</v>
      </c>
      <c r="U33" s="2">
        <f>U11/'Output-Calculation-sheet'!U10*'Output-Calculation-sheet'!U19</f>
        <v>455.92168534653251</v>
      </c>
      <c r="V33" s="2">
        <f>V11/'Output-Calculation-sheet'!V10*'Output-Calculation-sheet'!V19</f>
        <v>567.43982328217078</v>
      </c>
      <c r="W33" s="2">
        <f>W11/'Output-Calculation-sheet'!W10*'Output-Calculation-sheet'!W19</f>
        <v>278.35796035364115</v>
      </c>
      <c r="X33" s="2">
        <f>X11/'Output-Calculation-sheet'!X10*'Output-Calculation-sheet'!X19</f>
        <v>0</v>
      </c>
      <c r="Y33" s="2">
        <f>Y11/'Output-Calculation-sheet'!Y10*'Output-Calculation-sheet'!Y19</f>
        <v>191.25358391051978</v>
      </c>
      <c r="AA33" s="2">
        <f t="shared" si="1"/>
        <v>54.283734661164587</v>
      </c>
    </row>
    <row r="34" spans="1:27" x14ac:dyDescent="0.25">
      <c r="A34" s="2">
        <v>2035</v>
      </c>
      <c r="B34" s="2">
        <f>B12/'Output-Calculation-sheet'!B11*'Output-Calculation-sheet'!B20</f>
        <v>17521.632116079913</v>
      </c>
      <c r="C34" s="2">
        <f>C12/'Output-Calculation-sheet'!C11*'Output-Calculation-sheet'!C20</f>
        <v>0</v>
      </c>
      <c r="D34" s="2">
        <f>D12/'Output-Calculation-sheet'!D11*'Output-Calculation-sheet'!D20</f>
        <v>4414.0612712735701</v>
      </c>
      <c r="E34" s="2">
        <f>E12/'Output-Calculation-sheet'!E11*'Output-Calculation-sheet'!E20</f>
        <v>5556.1858932278528</v>
      </c>
      <c r="F34" s="2">
        <f>F12/'Output-Calculation-sheet'!F11*'Output-Calculation-sheet'!F20</f>
        <v>2700.1616923195488</v>
      </c>
      <c r="G34" s="2">
        <f>G12/'Output-Calculation-sheet'!G11*'Output-Calculation-sheet'!G20</f>
        <v>1644.6744606315078</v>
      </c>
      <c r="H34" s="2">
        <f>H12/'Output-Calculation-sheet'!H11*'Output-Calculation-sheet'!H20</f>
        <v>0</v>
      </c>
      <c r="I34" s="2">
        <f>I12/'Output-Calculation-sheet'!I11*'Output-Calculation-sheet'!I20</f>
        <v>1551.2485726593725</v>
      </c>
      <c r="J34" s="2">
        <f>J12/'Output-Calculation-sheet'!J11*'Output-Calculation-sheet'!J20</f>
        <v>1651.1916766488932</v>
      </c>
      <c r="K34" s="2">
        <f>K12/'Output-Calculation-sheet'!K11*'Output-Calculation-sheet'!K20</f>
        <v>1618.1414688629832</v>
      </c>
      <c r="L34" s="2">
        <f>L12/'Output-Calculation-sheet'!L11*'Output-Calculation-sheet'!L20</f>
        <v>1707.3976596925938</v>
      </c>
      <c r="M34" s="2">
        <f>M12/'Output-Calculation-sheet'!M11*'Output-Calculation-sheet'!M20</f>
        <v>0</v>
      </c>
      <c r="N34" s="2">
        <f>N12/'Output-Calculation-sheet'!N11*'Output-Calculation-sheet'!N20</f>
        <v>626.28274991272531</v>
      </c>
      <c r="O34" s="2">
        <f>O12/'Output-Calculation-sheet'!O11*'Output-Calculation-sheet'!O20</f>
        <v>0</v>
      </c>
      <c r="P34" s="2">
        <f>P12/'Output-Calculation-sheet'!P11*'Output-Calculation-sheet'!P20</f>
        <v>1606.2296924752502</v>
      </c>
      <c r="Q34" s="2">
        <f>Q12/'Output-Calculation-sheet'!Q11*'Output-Calculation-sheet'!Q20</f>
        <v>1483.1384104841791</v>
      </c>
      <c r="R34" s="2">
        <f>R12/'Output-Calculation-sheet'!R11*'Output-Calculation-sheet'!R20</f>
        <v>1379.8471825746717</v>
      </c>
      <c r="S34" s="2">
        <f>S12/'Output-Calculation-sheet'!S11*'Output-Calculation-sheet'!S20</f>
        <v>618.97572073709819</v>
      </c>
      <c r="T34" s="2">
        <f>T12/'Output-Calculation-sheet'!T11*'Output-Calculation-sheet'!T20</f>
        <v>498.43072997451662</v>
      </c>
      <c r="U34" s="2">
        <f>U12/'Output-Calculation-sheet'!U11*'Output-Calculation-sheet'!U20</f>
        <v>392.58116678287746</v>
      </c>
      <c r="V34" s="2">
        <f>V12/'Output-Calculation-sheet'!V11*'Output-Calculation-sheet'!V20</f>
        <v>487.06816776277066</v>
      </c>
      <c r="W34" s="2">
        <f>W12/'Output-Calculation-sheet'!W11*'Output-Calculation-sheet'!W20</f>
        <v>239.10174369496571</v>
      </c>
      <c r="X34" s="2">
        <f>X12/'Output-Calculation-sheet'!X11*'Output-Calculation-sheet'!X20</f>
        <v>0</v>
      </c>
      <c r="Y34" s="2">
        <f>Y12/'Output-Calculation-sheet'!Y11*'Output-Calculation-sheet'!Y20</f>
        <v>164.50201469231271</v>
      </c>
      <c r="AA34" s="2">
        <f t="shared" si="1"/>
        <v>45.860852390487601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138.66534251629233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123.43303660957463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536.74348879848537</v>
      </c>
      <c r="S52" s="2">
        <f>S8/'Output-Calculation-sheet'!S7*'Output-Calculation-sheet'!S43</f>
        <v>0</v>
      </c>
      <c r="T52" s="2">
        <f>T8/'Output-Calculation-sheet'!T7*'Output-Calculation-sheet'!T43</f>
        <v>432.1953289213713</v>
      </c>
      <c r="U52" s="2">
        <f>U8/'Output-Calculation-sheet'!U7*'Output-Calculation-sheet'!U43</f>
        <v>45.711960997802976</v>
      </c>
      <c r="V52" s="2">
        <f>V8/'Output-Calculation-sheet'!V7*'Output-Calculation-sheet'!V43</f>
        <v>779.37394301911024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2.0561231008626368</v>
      </c>
    </row>
    <row r="53" spans="1:27" x14ac:dyDescent="0.25">
      <c r="A53" s="2">
        <v>2032</v>
      </c>
      <c r="B53" s="2">
        <f>B9/'Output-Calculation-sheet'!B8*'Output-Calculation-sheet'!B44</f>
        <v>1529.7516578905547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288.39491033959729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231.0434099248846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722.32095027483774</v>
      </c>
      <c r="S53" s="2">
        <f>S9/'Output-Calculation-sheet'!S8*'Output-Calculation-sheet'!S44</f>
        <v>0</v>
      </c>
      <c r="T53" s="2">
        <f>T9/'Output-Calculation-sheet'!T8*'Output-Calculation-sheet'!T44</f>
        <v>498.02583081402861</v>
      </c>
      <c r="U53" s="2">
        <f>U9/'Output-Calculation-sheet'!U8*'Output-Calculation-sheet'!U44</f>
        <v>84.507838346987569</v>
      </c>
      <c r="V53" s="2">
        <f>V9/'Output-Calculation-sheet'!V8*'Output-Calculation-sheet'!V44</f>
        <v>834.90359996707605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4.1889481975579663</v>
      </c>
    </row>
    <row r="54" spans="1:27" x14ac:dyDescent="0.25">
      <c r="A54" s="2">
        <v>2033</v>
      </c>
      <c r="B54" s="2">
        <f>B10/'Output-Calculation-sheet'!B9*'Output-Calculation-sheet'!B45</f>
        <v>4465.4676588146422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392.86233026208379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374.68568090780752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220.79023154669756</v>
      </c>
      <c r="Q54" s="2">
        <f>Q10/'Output-Calculation-sheet'!Q9*'Output-Calculation-sheet'!Q45</f>
        <v>0</v>
      </c>
      <c r="R54" s="2">
        <f>R10/'Output-Calculation-sheet'!R9*'Output-Calculation-sheet'!R45</f>
        <v>894.5205516596576</v>
      </c>
      <c r="S54" s="2">
        <f>S10/'Output-Calculation-sheet'!S9*'Output-Calculation-sheet'!S45</f>
        <v>0</v>
      </c>
      <c r="T54" s="2">
        <f>T10/'Output-Calculation-sheet'!T9*'Output-Calculation-sheet'!T45</f>
        <v>537.77940914441251</v>
      </c>
      <c r="U54" s="2">
        <f>U10/'Output-Calculation-sheet'!U9*'Output-Calculation-sheet'!U45</f>
        <v>128.48184959342029</v>
      </c>
      <c r="V54" s="2">
        <f>V10/'Output-Calculation-sheet'!V9*'Output-Calculation-sheet'!V45</f>
        <v>844.08627208494522</v>
      </c>
      <c r="W54" s="2">
        <f>W10/'Output-Calculation-sheet'!W9*'Output-Calculation-sheet'!W45</f>
        <v>13.726107692341929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7.8724000917060089</v>
      </c>
    </row>
    <row r="55" spans="1:27" x14ac:dyDescent="0.25">
      <c r="A55" s="2">
        <v>2034</v>
      </c>
      <c r="B55" s="2">
        <f>B11/'Output-Calculation-sheet'!B10*'Output-Calculation-sheet'!B46</f>
        <v>7306.5114690327737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486.91355149811409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479.050215766316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387.75947564754955</v>
      </c>
      <c r="Q55" s="2">
        <f>Q11/'Output-Calculation-sheet'!Q10*'Output-Calculation-sheet'!Q46</f>
        <v>0</v>
      </c>
      <c r="R55" s="2">
        <f>R11/'Output-Calculation-sheet'!R10*'Output-Calculation-sheet'!R46</f>
        <v>1006.5545001081633</v>
      </c>
      <c r="S55" s="2">
        <f>S11/'Output-Calculation-sheet'!S10*'Output-Calculation-sheet'!S46</f>
        <v>0</v>
      </c>
      <c r="T55" s="2">
        <f>T11/'Output-Calculation-sheet'!T10*'Output-Calculation-sheet'!T46</f>
        <v>523.50450065732207</v>
      </c>
      <c r="U55" s="2">
        <f>U11/'Output-Calculation-sheet'!U10*'Output-Calculation-sheet'!U46</f>
        <v>164.26904177565225</v>
      </c>
      <c r="V55" s="2">
        <f>V11/'Output-Calculation-sheet'!V10*'Output-Calculation-sheet'!V46</f>
        <v>788.95028142527553</v>
      </c>
      <c r="W55" s="2">
        <f>W11/'Output-Calculation-sheet'!W10*'Output-Calculation-sheet'!W46</f>
        <v>21.93670317116419</v>
      </c>
      <c r="X55" s="2">
        <f>X11/'Output-Calculation-sheet'!X10*'Output-Calculation-sheet'!X46</f>
        <v>52.471917702651993</v>
      </c>
      <c r="Y55" s="2">
        <f>Y11/'Output-Calculation-sheet'!Y10*'Output-Calculation-sheet'!Y46</f>
        <v>0</v>
      </c>
      <c r="AA55" s="2">
        <f t="shared" si="3"/>
        <v>11.217921656784986</v>
      </c>
    </row>
    <row r="56" spans="1:27" x14ac:dyDescent="0.25">
      <c r="A56" s="2">
        <v>2035</v>
      </c>
      <c r="B56" s="2">
        <f>B12/'Output-Calculation-sheet'!B11*'Output-Calculation-sheet'!B47</f>
        <v>13669.348075055495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504.43409247265879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488.06772347681823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464.58885705364827</v>
      </c>
      <c r="Q56" s="2">
        <f>Q12/'Output-Calculation-sheet'!Q11*'Output-Calculation-sheet'!Q47</f>
        <v>0</v>
      </c>
      <c r="R56" s="2">
        <f>R12/'Output-Calculation-sheet'!R11*'Output-Calculation-sheet'!R47</f>
        <v>1061.1712223263946</v>
      </c>
      <c r="S56" s="2">
        <f>S12/'Output-Calculation-sheet'!S11*'Output-Calculation-sheet'!S47</f>
        <v>0</v>
      </c>
      <c r="T56" s="2">
        <f>T12/'Output-Calculation-sheet'!T11*'Output-Calculation-sheet'!T47</f>
        <v>503.44672208631238</v>
      </c>
      <c r="U56" s="2">
        <f>U12/'Output-Calculation-sheet'!U11*'Output-Calculation-sheet'!U47</f>
        <v>192.80009827884874</v>
      </c>
      <c r="V56" s="2">
        <f>V12/'Output-Calculation-sheet'!V11*'Output-Calculation-sheet'!V47</f>
        <v>687.58192320574267</v>
      </c>
      <c r="W56" s="2">
        <f>W12/'Output-Calculation-sheet'!W11*'Output-Calculation-sheet'!W47</f>
        <v>26.819560267292456</v>
      </c>
      <c r="X56" s="2">
        <f>X12/'Output-Calculation-sheet'!X11*'Output-Calculation-sheet'!X47</f>
        <v>105.85007621734626</v>
      </c>
      <c r="Y56" s="2">
        <f>Y12/'Output-Calculation-sheet'!Y11*'Output-Calculation-sheet'!Y47</f>
        <v>0</v>
      </c>
      <c r="AA56" s="2">
        <f t="shared" si="3"/>
        <v>17.704108350440556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 t="shared" ref="AA60:AA67" si="4"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si="4"/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6.695857465573404</v>
      </c>
      <c r="C63" s="2">
        <f>C8*'Output-Calculation-sheet'!C52/10^9</f>
        <v>3.3939746352724049</v>
      </c>
      <c r="D63" s="2">
        <f>D8*'Output-Calculation-sheet'!D52/10^9</f>
        <v>1.1856665409647897</v>
      </c>
      <c r="E63" s="2">
        <f>E8*'Output-Calculation-sheet'!E52/10^9</f>
        <v>1.5266508011710131</v>
      </c>
      <c r="F63" s="2">
        <f>F8*'Output-Calculation-sheet'!F52/10^9</f>
        <v>0.63501394467129879</v>
      </c>
      <c r="G63" s="2">
        <f>G8*'Output-Calculation-sheet'!G52/10^9</f>
        <v>0.45563761218532478</v>
      </c>
      <c r="H63" s="2">
        <f>H8*'Output-Calculation-sheet'!H52/10^9</f>
        <v>0.88015801579502695</v>
      </c>
      <c r="I63" s="2">
        <f>I8*'Output-Calculation-sheet'!I52/10^9</f>
        <v>0.40844996253675214</v>
      </c>
      <c r="J63" s="2">
        <f>J8*'Output-Calculation-sheet'!J52/10^9</f>
        <v>0.43909967281841789</v>
      </c>
      <c r="K63" s="2">
        <f>K8*'Output-Calculation-sheet'!K52/10^9</f>
        <v>0.44839722707039381</v>
      </c>
      <c r="L63" s="2">
        <f>L8*'Output-Calculation-sheet'!L52/10^9</f>
        <v>0.46633796321858184</v>
      </c>
      <c r="M63" s="2">
        <f>M8*'Output-Calculation-sheet'!M52/10^9</f>
        <v>0.66554131904675995</v>
      </c>
      <c r="N63" s="2">
        <f>N8*'Output-Calculation-sheet'!N52/10^9</f>
        <v>0.56230555496329382</v>
      </c>
      <c r="O63" s="2">
        <f>O8*'Output-Calculation-sheet'!O52/10^9</f>
        <v>0.5825134072211311</v>
      </c>
      <c r="P63" s="2">
        <f>P8*'Output-Calculation-sheet'!P52/10^9</f>
        <v>0.48277156169014857</v>
      </c>
      <c r="Q63" s="2">
        <f>Q8*'Output-Calculation-sheet'!Q52/10^9</f>
        <v>0.45669807103233701</v>
      </c>
      <c r="R63" s="2">
        <f>R8*'Output-Calculation-sheet'!R52/10^9</f>
        <v>0.3847414198939042</v>
      </c>
      <c r="S63" s="2">
        <f>S8*'Output-Calculation-sheet'!S52/10^9</f>
        <v>0.3537457912473303</v>
      </c>
      <c r="T63" s="2">
        <f>T8*'Output-Calculation-sheet'!T52/10^9</f>
        <v>0.12598593376044756</v>
      </c>
      <c r="U63" s="2">
        <f>U8*'Output-Calculation-sheet'!U52/10^9</f>
        <v>0.12358340963476008</v>
      </c>
      <c r="V63" s="2">
        <f>V8*'Output-Calculation-sheet'!V52/10^9</f>
        <v>0.11076363987971341</v>
      </c>
      <c r="W63" s="2">
        <f>W8*'Output-Calculation-sheet'!W52/10^9</f>
        <v>5.7820459130778226E-2</v>
      </c>
      <c r="X63" s="2">
        <f>X8*'Output-Calculation-sheet'!X52/10^9</f>
        <v>9.3439105791441851E-2</v>
      </c>
      <c r="Y63" s="2">
        <f>Y8*'Output-Calculation-sheet'!Y52/10^9</f>
        <v>4.8194018954550687E-2</v>
      </c>
      <c r="AA63" s="2">
        <f t="shared" si="4"/>
        <v>20.583347533524009</v>
      </c>
    </row>
    <row r="64" spans="1:27" x14ac:dyDescent="0.25">
      <c r="A64" s="2">
        <v>2032</v>
      </c>
      <c r="B64" s="2">
        <f>B9*'Output-Calculation-sheet'!B53/10^9</f>
        <v>6.9150157890002877</v>
      </c>
      <c r="C64" s="2">
        <f>C9*'Output-Calculation-sheet'!C53/10^9</f>
        <v>3.5019251078602354</v>
      </c>
      <c r="D64" s="2">
        <f>D9*'Output-Calculation-sheet'!D53/10^9</f>
        <v>1.2266748864413264</v>
      </c>
      <c r="E64" s="2">
        <f>E9*'Output-Calculation-sheet'!E53/10^9</f>
        <v>1.5796580075267863</v>
      </c>
      <c r="F64" s="2">
        <f>F9*'Output-Calculation-sheet'!F53/10^9</f>
        <v>0.65649207950630728</v>
      </c>
      <c r="G64" s="2">
        <f>G9*'Output-Calculation-sheet'!G53/10^9</f>
        <v>0.47129567008859519</v>
      </c>
      <c r="H64" s="2">
        <f>H9*'Output-Calculation-sheet'!H53/10^9</f>
        <v>0.90703498683202466</v>
      </c>
      <c r="I64" s="2">
        <f>I9*'Output-Calculation-sheet'!I53/10^9</f>
        <v>0.42253551551025276</v>
      </c>
      <c r="J64" s="2">
        <f>J9*'Output-Calculation-sheet'!J53/10^9</f>
        <v>0.45410137734903733</v>
      </c>
      <c r="K64" s="2">
        <f>K9*'Output-Calculation-sheet'!K53/10^9</f>
        <v>0.46399347332973684</v>
      </c>
      <c r="L64" s="2">
        <f>L9*'Output-Calculation-sheet'!L53/10^9</f>
        <v>0.48240946083391284</v>
      </c>
      <c r="M64" s="2">
        <f>M9*'Output-Calculation-sheet'!M53/10^9</f>
        <v>0.68603118900995741</v>
      </c>
      <c r="N64" s="2">
        <f>N9*'Output-Calculation-sheet'!N53/10^9</f>
        <v>0.58025577910982451</v>
      </c>
      <c r="O64" s="2">
        <f>O9*'Output-Calculation-sheet'!O53/10^9</f>
        <v>0.60122996907697446</v>
      </c>
      <c r="P64" s="2">
        <f>P9*'Output-Calculation-sheet'!P53/10^9</f>
        <v>0.49985555480172211</v>
      </c>
      <c r="Q64" s="2">
        <f>Q9*'Output-Calculation-sheet'!Q53/10^9</f>
        <v>0.47278773005135083</v>
      </c>
      <c r="R64" s="2">
        <f>R9*'Output-Calculation-sheet'!R53/10^9</f>
        <v>0.39765443057545347</v>
      </c>
      <c r="S64" s="2">
        <f>S9*'Output-Calculation-sheet'!S53/10^9</f>
        <v>0.36536630551033844</v>
      </c>
      <c r="T64" s="2">
        <f>T9*'Output-Calculation-sheet'!T53/10^9</f>
        <v>0.12992887452338289</v>
      </c>
      <c r="U64" s="2">
        <f>U9*'Output-Calculation-sheet'!U53/10^9</f>
        <v>0.12790887995135466</v>
      </c>
      <c r="V64" s="2">
        <f>V9*'Output-Calculation-sheet'!V53/10^9</f>
        <v>0.11385227791558346</v>
      </c>
      <c r="W64" s="2">
        <f>W9*'Output-Calculation-sheet'!W53/10^9</f>
        <v>5.9784005822631575E-2</v>
      </c>
      <c r="X64" s="2">
        <f>X9*'Output-Calculation-sheet'!X53/10^9</f>
        <v>9.6384182223878512E-2</v>
      </c>
      <c r="Y64" s="2">
        <f>Y9*'Output-Calculation-sheet'!Y53/10^9</f>
        <v>4.9882720273679244E-2</v>
      </c>
      <c r="AA64" s="2">
        <f t="shared" si="4"/>
        <v>21.262058253124639</v>
      </c>
    </row>
    <row r="65" spans="1:27" x14ac:dyDescent="0.25">
      <c r="A65" s="2">
        <v>2033</v>
      </c>
      <c r="B65" s="2">
        <f>B10*'Output-Calculation-sheet'!B54/10^9</f>
        <v>6.6761415576406211</v>
      </c>
      <c r="C65" s="2">
        <f>C10*'Output-Calculation-sheet'!C54/10^9</f>
        <v>3.3798985857087795</v>
      </c>
      <c r="D65" s="2">
        <f>D10*'Output-Calculation-sheet'!D54/10^9</f>
        <v>1.1874266636557445</v>
      </c>
      <c r="E65" s="2">
        <f>E10*'Output-Calculation-sheet'!E54/10^9</f>
        <v>1.5293128258370812</v>
      </c>
      <c r="F65" s="2">
        <f>F10*'Output-Calculation-sheet'!F54/10^9</f>
        <v>0.63501294753129656</v>
      </c>
      <c r="G65" s="2">
        <f>G10*'Output-Calculation-sheet'!G54/10^9</f>
        <v>0.45601747925014974</v>
      </c>
      <c r="H65" s="2">
        <f>H10*'Output-Calculation-sheet'!H54/10^9</f>
        <v>0.87437397357802116</v>
      </c>
      <c r="I65" s="2">
        <f>I10*'Output-Calculation-sheet'!I54/10^9</f>
        <v>0.40897775841828782</v>
      </c>
      <c r="J65" s="2">
        <f>J10*'Output-Calculation-sheet'!J54/10^9</f>
        <v>0.43929431278222314</v>
      </c>
      <c r="K65" s="2">
        <f>K10*'Output-Calculation-sheet'!K54/10^9</f>
        <v>0.44923282773944045</v>
      </c>
      <c r="L65" s="2">
        <f>L10*'Output-Calculation-sheet'!L54/10^9</f>
        <v>0.4669161846852693</v>
      </c>
      <c r="M65" s="2">
        <f>M10*'Output-Calculation-sheet'!M54/10^9</f>
        <v>0.66148260280491267</v>
      </c>
      <c r="N65" s="2">
        <f>N10*'Output-Calculation-sheet'!N54/10^9</f>
        <v>0.55995076701566371</v>
      </c>
      <c r="O65" s="2">
        <f>O10*'Output-Calculation-sheet'!O54/10^9</f>
        <v>0.58039033629217729</v>
      </c>
      <c r="P65" s="2">
        <f>P10*'Output-Calculation-sheet'!P54/10^9</f>
        <v>0.48413566085710558</v>
      </c>
      <c r="Q65" s="2">
        <f>Q10*'Output-Calculation-sheet'!Q54/10^9</f>
        <v>0.45794190282614367</v>
      </c>
      <c r="R65" s="2">
        <f>R10*'Output-Calculation-sheet'!R54/10^9</f>
        <v>0.38443819327748818</v>
      </c>
      <c r="S65" s="2">
        <f>S10*'Output-Calculation-sheet'!S54/10^9</f>
        <v>0.35289613189664371</v>
      </c>
      <c r="T65" s="2">
        <f>T10*'Output-Calculation-sheet'!T54/10^9</f>
        <v>0.12533080351253095</v>
      </c>
      <c r="U65" s="2">
        <f>U10*'Output-Calculation-sheet'!U54/10^9</f>
        <v>0.12383477469231612</v>
      </c>
      <c r="V65" s="2">
        <f>V10*'Output-Calculation-sheet'!V54/10^9</f>
        <v>0.10948641540736448</v>
      </c>
      <c r="W65" s="2">
        <f>W10*'Output-Calculation-sheet'!W54/10^9</f>
        <v>5.7828771041893254E-2</v>
      </c>
      <c r="X65" s="2">
        <f>X10*'Output-Calculation-sheet'!X54/10^9</f>
        <v>9.3004178726770081E-2</v>
      </c>
      <c r="Y65" s="2">
        <f>Y10*'Output-Calculation-sheet'!Y54/10^9</f>
        <v>4.8308160766256041E-2</v>
      </c>
      <c r="AA65" s="2">
        <f t="shared" si="4"/>
        <v>20.541633815944181</v>
      </c>
    </row>
    <row r="66" spans="1:27" x14ac:dyDescent="0.25">
      <c r="A66" s="2">
        <v>2034</v>
      </c>
      <c r="B66" s="2">
        <f>B11*'Output-Calculation-sheet'!B55/10^9</f>
        <v>6.042254239932209</v>
      </c>
      <c r="C66" s="2">
        <f>C11*'Output-Calculation-sheet'!C55/10^9</f>
        <v>3.0607169369164438</v>
      </c>
      <c r="D66" s="2">
        <f>D11*'Output-Calculation-sheet'!D55/10^9</f>
        <v>1.0787561807440404</v>
      </c>
      <c r="E66" s="2">
        <f>E11*'Output-Calculation-sheet'!E55/10^9</f>
        <v>1.3895222190658438</v>
      </c>
      <c r="F66" s="2">
        <f>F11*'Output-Calculation-sheet'!F55/10^9</f>
        <v>0.57645924207266641</v>
      </c>
      <c r="G66" s="2">
        <f>G11*'Output-Calculation-sheet'!G55/10^9</f>
        <v>0.41403184639500745</v>
      </c>
      <c r="H66" s="2">
        <f>H11*'Output-Calculation-sheet'!H55/10^9</f>
        <v>0.79086364330437853</v>
      </c>
      <c r="I66" s="2">
        <f>I11*'Output-Calculation-sheet'!I55/10^9</f>
        <v>0.37151020112937611</v>
      </c>
      <c r="J66" s="2">
        <f>J11*'Output-Calculation-sheet'!J55/10^9</f>
        <v>0.39874790978053554</v>
      </c>
      <c r="K66" s="2">
        <f>K11*'Output-Calculation-sheet'!K55/10^9</f>
        <v>0.40819096307998792</v>
      </c>
      <c r="L66" s="2">
        <f>L11*'Output-Calculation-sheet'!L55/10^9</f>
        <v>0.42385150749497413</v>
      </c>
      <c r="M66" s="2">
        <f>M11*'Output-Calculation-sheet'!M55/10^9</f>
        <v>0.59843321000293537</v>
      </c>
      <c r="N66" s="2">
        <f>N11*'Output-Calculation-sheet'!N55/10^9</f>
        <v>0.50688494369577053</v>
      </c>
      <c r="O66" s="2">
        <f>O11*'Output-Calculation-sheet'!O55/10^9</f>
        <v>0.52564578923460914</v>
      </c>
      <c r="P66" s="2">
        <f>P11*'Output-Calculation-sheet'!P55/10^9</f>
        <v>0.43989648862525593</v>
      </c>
      <c r="Q66" s="2">
        <f>Q11*'Output-Calculation-sheet'!Q55/10^9</f>
        <v>0.41628206328862505</v>
      </c>
      <c r="R66" s="2">
        <f>R11*'Output-Calculation-sheet'!R55/10^9</f>
        <v>0.34866619286851813</v>
      </c>
      <c r="S66" s="2">
        <f>S11*'Output-Calculation-sheet'!S55/10^9</f>
        <v>0.31976189522220871</v>
      </c>
      <c r="T66" s="2">
        <f>T11*'Output-Calculation-sheet'!T55/10^9</f>
        <v>0.1134388651764244</v>
      </c>
      <c r="U66" s="2">
        <f>U11*'Output-Calculation-sheet'!U55/10^9</f>
        <v>0.11248921870796771</v>
      </c>
      <c r="V66" s="2">
        <f>V11*'Output-Calculation-sheet'!V55/10^9</f>
        <v>9.8813663507366312E-2</v>
      </c>
      <c r="W66" s="2">
        <f>W11*'Output-Calculation-sheet'!W55/10^9</f>
        <v>5.2491782795666644E-2</v>
      </c>
      <c r="X66" s="2">
        <f>X11*'Output-Calculation-sheet'!X55/10^9</f>
        <v>8.4161302679232067E-2</v>
      </c>
      <c r="Y66" s="2">
        <f>Y11*'Output-Calculation-sheet'!Y55/10^9</f>
        <v>4.3906478110106936E-2</v>
      </c>
      <c r="AA66" s="2">
        <f t="shared" si="4"/>
        <v>18.61577678383015</v>
      </c>
    </row>
    <row r="67" spans="1:27" x14ac:dyDescent="0.25">
      <c r="A67" s="2">
        <v>2035</v>
      </c>
      <c r="B67" s="2">
        <f>B12*'Output-Calculation-sheet'!B56/10^9</f>
        <v>5.1153571295218114</v>
      </c>
      <c r="C67" s="2">
        <f>C12*'Output-Calculation-sheet'!C56/10^9</f>
        <v>2.5965260325672497</v>
      </c>
      <c r="D67" s="2">
        <f>D12*'Output-Calculation-sheet'!D56/10^9</f>
        <v>0.9183506971750055</v>
      </c>
      <c r="E67" s="2">
        <f>E12*'Output-Calculation-sheet'!E56/10^9</f>
        <v>1.1830484471720812</v>
      </c>
      <c r="F67" s="2">
        <f>F12*'Output-Calculation-sheet'!F56/10^9</f>
        <v>0.49036432871640157</v>
      </c>
      <c r="G67" s="2">
        <f>G12*'Output-Calculation-sheet'!G56/10^9</f>
        <v>0.35217842184135201</v>
      </c>
      <c r="H67" s="2">
        <f>H12*'Output-Calculation-sheet'!H56/10^9</f>
        <v>0.67012546742202206</v>
      </c>
      <c r="I67" s="2">
        <f>I12*'Output-Calculation-sheet'!I56/10^9</f>
        <v>0.31623339829874175</v>
      </c>
      <c r="J67" s="2">
        <f>J12*'Output-Calculation-sheet'!J56/10^9</f>
        <v>0.3391107477495291</v>
      </c>
      <c r="K67" s="2">
        <f>K12*'Output-Calculation-sheet'!K56/10^9</f>
        <v>0.3475531456690516</v>
      </c>
      <c r="L67" s="2">
        <f>L12*'Output-Calculation-sheet'!L56/10^9</f>
        <v>0.36021526495738376</v>
      </c>
      <c r="M67" s="2">
        <f>M12*'Output-Calculation-sheet'!M56/10^9</f>
        <v>0.507170834325671</v>
      </c>
      <c r="N67" s="2">
        <f>N12*'Output-Calculation-sheet'!N56/10^9</f>
        <v>0.42981750524534545</v>
      </c>
      <c r="O67" s="2">
        <f>O12*'Output-Calculation-sheet'!O56/10^9</f>
        <v>0.44591259135138839</v>
      </c>
      <c r="P67" s="2">
        <f>P12*'Output-Calculation-sheet'!P56/10^9</f>
        <v>0.3744154999089509</v>
      </c>
      <c r="Q67" s="2">
        <f>Q12*'Output-Calculation-sheet'!Q56/10^9</f>
        <v>0.35456521897146626</v>
      </c>
      <c r="R67" s="2">
        <f>R12*'Output-Calculation-sheet'!R56/10^9</f>
        <v>0.2962162596433357</v>
      </c>
      <c r="S67" s="2">
        <f>S12*'Output-Calculation-sheet'!S56/10^9</f>
        <v>0.27142824513391528</v>
      </c>
      <c r="T67" s="2">
        <f>T12*'Output-Calculation-sheet'!T56/10^9</f>
        <v>9.6192196655781742E-2</v>
      </c>
      <c r="U67" s="2">
        <f>U12*'Output-Calculation-sheet'!U56/10^9</f>
        <v>9.571766200538942E-2</v>
      </c>
      <c r="V67" s="2">
        <f>V12*'Output-Calculation-sheet'!V56/10^9</f>
        <v>8.356209792093347E-2</v>
      </c>
      <c r="W67" s="2">
        <f>W12*'Output-Calculation-sheet'!W56/10^9</f>
        <v>4.4642297294510969E-2</v>
      </c>
      <c r="X67" s="2">
        <f>X12*'Output-Calculation-sheet'!X56/10^9</f>
        <v>7.1270372595677534E-2</v>
      </c>
      <c r="Y67" s="2">
        <f>Y12*'Output-Calculation-sheet'!Y56/10^9</f>
        <v>3.7394489190490245E-2</v>
      </c>
      <c r="AA67" s="2">
        <f t="shared" si="4"/>
        <v>15.797368351333485</v>
      </c>
    </row>
    <row r="68" spans="1:27" x14ac:dyDescent="0.25">
      <c r="B68" s="2">
        <f>SUM(B60:B67)</f>
        <v>46.036863271502767</v>
      </c>
      <c r="C68" s="2">
        <f t="shared" ref="C68:Y68" si="5">SUM(C60:C67)</f>
        <v>23.317530078618002</v>
      </c>
      <c r="D68" s="2">
        <f t="shared" si="5"/>
        <v>8.1776514959464528</v>
      </c>
      <c r="E68" s="2">
        <f t="shared" si="5"/>
        <v>10.529926704248393</v>
      </c>
      <c r="F68" s="2">
        <f t="shared" si="5"/>
        <v>4.3782401673016089</v>
      </c>
      <c r="G68" s="2">
        <f t="shared" si="5"/>
        <v>3.1406396480542083</v>
      </c>
      <c r="H68" s="2">
        <f t="shared" si="5"/>
        <v>6.0423627174734253</v>
      </c>
      <c r="I68" s="2">
        <f t="shared" si="5"/>
        <v>2.8169628775042037</v>
      </c>
      <c r="J68" s="2">
        <f t="shared" si="5"/>
        <v>3.0266569566140298</v>
      </c>
      <c r="K68" s="2">
        <f t="shared" si="5"/>
        <v>3.0928327515070815</v>
      </c>
      <c r="L68" s="2">
        <f t="shared" si="5"/>
        <v>3.2151131064971814</v>
      </c>
      <c r="M68" s="2">
        <f t="shared" si="5"/>
        <v>4.5696824708988908</v>
      </c>
      <c r="N68" s="2">
        <f t="shared" si="5"/>
        <v>3.8637341412416339</v>
      </c>
      <c r="O68" s="2">
        <f t="shared" si="5"/>
        <v>3.9992401500841854</v>
      </c>
      <c r="P68" s="2">
        <f t="shared" si="5"/>
        <v>3.3296116816287484</v>
      </c>
      <c r="Q68" s="2">
        <f t="shared" si="5"/>
        <v>3.1506194840417749</v>
      </c>
      <c r="R68" s="2">
        <f t="shared" si="5"/>
        <v>2.6497646068661598</v>
      </c>
      <c r="S68" s="2">
        <f t="shared" si="5"/>
        <v>2.4329755065392389</v>
      </c>
      <c r="T68" s="2">
        <f t="shared" si="5"/>
        <v>0.86752880187177683</v>
      </c>
      <c r="U68" s="2">
        <f t="shared" si="5"/>
        <v>0.85196452819300117</v>
      </c>
      <c r="V68" s="2">
        <f t="shared" si="5"/>
        <v>0.76328202065325079</v>
      </c>
      <c r="W68" s="2">
        <f t="shared" si="5"/>
        <v>0.39862851359515067</v>
      </c>
      <c r="X68" s="2">
        <f t="shared" si="5"/>
        <v>0.64172105112756439</v>
      </c>
      <c r="Y68" s="2">
        <f t="shared" si="5"/>
        <v>0.33246197658117638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50.80698149796951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45.225864613748151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179.44597756389365</v>
      </c>
      <c r="S74" s="2">
        <f>S8/'Output-Calculation-sheet'!S7*'Output-Calculation-sheet'!S61</f>
        <v>0</v>
      </c>
      <c r="T74" s="2">
        <f>T8/'Output-Calculation-sheet'!T7*'Output-Calculation-sheet'!T61</f>
        <v>132.19336587576106</v>
      </c>
      <c r="U74" s="2">
        <f>U8/'Output-Calculation-sheet'!U7*'Output-Calculation-sheet'!U61</f>
        <v>16.745815045528488</v>
      </c>
      <c r="V74" s="2">
        <f>V8/'Output-Calculation-sheet'!V7*'Output-Calculation-sheet'!V61</f>
        <v>151.73901531825331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0.57615701991515411</v>
      </c>
    </row>
    <row r="75" spans="1:27" x14ac:dyDescent="0.25">
      <c r="A75" s="2">
        <v>2032</v>
      </c>
      <c r="B75" s="2">
        <f>B9/'Output-Calculation-sheet'!B8*'Output-Calculation-sheet'!B62</f>
        <v>520.88043951173393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105.63905565739448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84.638902502482722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223.95232735566674</v>
      </c>
      <c r="S75" s="2">
        <f>S9/'Output-Calculation-sheet'!S8*'Output-Calculation-sheet'!S62</f>
        <v>0</v>
      </c>
      <c r="T75" s="2">
        <f>T9/'Output-Calculation-sheet'!T8*'Output-Calculation-sheet'!T62</f>
        <v>147.92581872324976</v>
      </c>
      <c r="U75" s="2">
        <f>U9/'Output-Calculation-sheet'!U8*'Output-Calculation-sheet'!U62</f>
        <v>30.237960908531488</v>
      </c>
      <c r="V75" s="2">
        <f>V9/'Output-Calculation-sheet'!V8*'Output-Calculation-sheet'!V62</f>
        <v>158.46063057326342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1.2717351352323223</v>
      </c>
    </row>
    <row r="76" spans="1:27" x14ac:dyDescent="0.25">
      <c r="A76" s="2">
        <v>2033</v>
      </c>
      <c r="B76" s="2">
        <f>B10/'Output-Calculation-sheet'!B9*'Output-Calculation-sheet'!B63</f>
        <v>1226.7011781068722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143.89985925599754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137.25985443922681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61.9231680168661</v>
      </c>
      <c r="Q76" s="2">
        <f>Q10/'Output-Calculation-sheet'!Q9*'Output-Calculation-sheet'!Q63</f>
        <v>0</v>
      </c>
      <c r="R76" s="2">
        <f>R10/'Output-Calculation-sheet'!R9*'Output-Calculation-sheet'!R63</f>
        <v>263.73980050808228</v>
      </c>
      <c r="S76" s="2">
        <f>S10/'Output-Calculation-sheet'!S9*'Output-Calculation-sheet'!S63</f>
        <v>0</v>
      </c>
      <c r="T76" s="2">
        <f>T10/'Output-Calculation-sheet'!T9*'Output-Calculation-sheet'!T63</f>
        <v>154.14767151783357</v>
      </c>
      <c r="U76" s="2">
        <f>U10/'Output-Calculation-sheet'!U9*'Output-Calculation-sheet'!U63</f>
        <v>44.835026234119944</v>
      </c>
      <c r="V76" s="2">
        <f>V10/'Output-Calculation-sheet'!V9*'Output-Calculation-sheet'!V63</f>
        <v>160.10691814448808</v>
      </c>
      <c r="W76" s="2">
        <f>W10/'Output-Calculation-sheet'!W9*'Output-Calculation-sheet'!W63</f>
        <v>5.027186942320232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2.197640663165807</v>
      </c>
    </row>
    <row r="77" spans="1:27" x14ac:dyDescent="0.25">
      <c r="A77" s="2">
        <v>2034</v>
      </c>
      <c r="B77" s="2">
        <f>B11/'Output-Calculation-sheet'!B10*'Output-Calculation-sheet'!B64</f>
        <v>1872.5059625288641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178.36412202246706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165.79699848521832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107.02161527872367</v>
      </c>
      <c r="Q77" s="2">
        <f>Q11/'Output-Calculation-sheet'!Q10*'Output-Calculation-sheet'!Q64</f>
        <v>0</v>
      </c>
      <c r="R77" s="2">
        <f>R11/'Output-Calculation-sheet'!R10*'Output-Calculation-sheet'!R64</f>
        <v>277.99868273277195</v>
      </c>
      <c r="S77" s="2">
        <f>S11/'Output-Calculation-sheet'!S10*'Output-Calculation-sheet'!S64</f>
        <v>0</v>
      </c>
      <c r="T77" s="2">
        <f>T11/'Output-Calculation-sheet'!T10*'Output-Calculation-sheet'!T64</f>
        <v>149.7384780488392</v>
      </c>
      <c r="U77" s="2">
        <f>U11/'Output-Calculation-sheet'!U10*'Output-Calculation-sheet'!U64</f>
        <v>50.763827309870145</v>
      </c>
      <c r="V77" s="2">
        <f>V11/'Output-Calculation-sheet'!V10*'Output-Calculation-sheet'!V64</f>
        <v>151.63045362915685</v>
      </c>
      <c r="W77" s="2">
        <f>W11/'Output-Calculation-sheet'!W10*'Output-Calculation-sheet'!W64</f>
        <v>8.0351009901235688</v>
      </c>
      <c r="X77" s="2">
        <f>X11/'Output-Calculation-sheet'!X10*'Output-Calculation-sheet'!X64</f>
        <v>14.416659388803634</v>
      </c>
      <c r="Y77" s="2">
        <f>Y11/'Output-Calculation-sheet'!Y10*'Output-Calculation-sheet'!Y64</f>
        <v>0</v>
      </c>
      <c r="AA77" s="2">
        <f t="shared" si="6"/>
        <v>2.9762719004148388</v>
      </c>
    </row>
    <row r="78" spans="1:27" x14ac:dyDescent="0.25">
      <c r="A78" s="2">
        <v>2035</v>
      </c>
      <c r="B78" s="2">
        <f>B12/'Output-Calculation-sheet'!B11*'Output-Calculation-sheet'!B65</f>
        <v>2820.3936799542694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182.38582230446221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161.08187145628906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130.85477008099613</v>
      </c>
      <c r="Q78" s="2">
        <f>Q12/'Output-Calculation-sheet'!Q11*'Output-Calculation-sheet'!Q65</f>
        <v>0</v>
      </c>
      <c r="R78" s="2">
        <f>R12/'Output-Calculation-sheet'!R11*'Output-Calculation-sheet'!R65</f>
        <v>287.25280770009431</v>
      </c>
      <c r="S78" s="2">
        <f>S12/'Output-Calculation-sheet'!S11*'Output-Calculation-sheet'!S65</f>
        <v>0</v>
      </c>
      <c r="T78" s="2">
        <f>T12/'Output-Calculation-sheet'!T11*'Output-Calculation-sheet'!T65</f>
        <v>139.03905206389231</v>
      </c>
      <c r="U78" s="2">
        <f>U12/'Output-Calculation-sheet'!U11*'Output-Calculation-sheet'!U65</f>
        <v>54.060344223646354</v>
      </c>
      <c r="V78" s="2">
        <f>V12/'Output-Calculation-sheet'!V11*'Output-Calculation-sheet'!V65</f>
        <v>131.17638375465233</v>
      </c>
      <c r="W78" s="2">
        <f>W12/'Output-Calculation-sheet'!W11*'Output-Calculation-sheet'!W65</f>
        <v>9.8240049259092252</v>
      </c>
      <c r="X78" s="2">
        <f>X12/'Output-Calculation-sheet'!X11*'Output-Calculation-sheet'!X65</f>
        <v>26.828182953996489</v>
      </c>
      <c r="Y78" s="2">
        <f>Y12/'Output-Calculation-sheet'!Y11*'Output-Calculation-sheet'!Y65</f>
        <v>0</v>
      </c>
      <c r="AA78" s="2">
        <f t="shared" si="6"/>
        <v>3.9428969194182089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 t="shared" ref="AA93:AA100" si="8"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si="8"/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14702649248.383715</v>
      </c>
      <c r="C96" s="2">
        <f>C8/'Output-Calculation-sheet'!C7*'Output-Calculation-sheet'!C79</f>
        <v>1809740436.4830778</v>
      </c>
      <c r="D96" s="2">
        <f>D8/'Output-Calculation-sheet'!D7*'Output-Calculation-sheet'!D79</f>
        <v>6408844999.1357002</v>
      </c>
      <c r="E96" s="2">
        <f>E8/'Output-Calculation-sheet'!E7*'Output-Calculation-sheet'!E79</f>
        <v>10957676706.233343</v>
      </c>
      <c r="F96" s="2">
        <f>F8/'Output-Calculation-sheet'!F7*'Output-Calculation-sheet'!F79</f>
        <v>4931320226.9228849</v>
      </c>
      <c r="G96" s="2">
        <f>G8/'Output-Calculation-sheet'!G7*'Output-Calculation-sheet'!G79</f>
        <v>3745561672.6856804</v>
      </c>
      <c r="H96" s="2">
        <f>H8/'Output-Calculation-sheet'!H7*'Output-Calculation-sheet'!H79</f>
        <v>1089711652.4011443</v>
      </c>
      <c r="I96" s="2">
        <f>I8/'Output-Calculation-sheet'!I7*'Output-Calculation-sheet'!I79</f>
        <v>2512421202.156652</v>
      </c>
      <c r="J96" s="2">
        <f>J8/'Output-Calculation-sheet'!J7*'Output-Calculation-sheet'!J79</f>
        <v>1861747650.2983377</v>
      </c>
      <c r="K96" s="2">
        <f>K8/'Output-Calculation-sheet'!K7*'Output-Calculation-sheet'!K79</f>
        <v>2152648321.9549394</v>
      </c>
      <c r="L96" s="2">
        <f>L8/'Output-Calculation-sheet'!L7*'Output-Calculation-sheet'!L79</f>
        <v>1712392186.7104907</v>
      </c>
      <c r="M96" s="2">
        <f>M8/'Output-Calculation-sheet'!M7*'Output-Calculation-sheet'!M79</f>
        <v>847153564.59886301</v>
      </c>
      <c r="N96" s="2">
        <f>N8/'Output-Calculation-sheet'!N7*'Output-Calculation-sheet'!N79</f>
        <v>860368497.86936569</v>
      </c>
      <c r="O96" s="2">
        <f>O8/'Output-Calculation-sheet'!O7*'Output-Calculation-sheet'!O79</f>
        <v>210016030.84737059</v>
      </c>
      <c r="P96" s="2">
        <f>P8/'Output-Calculation-sheet'!P7*'Output-Calculation-sheet'!P79</f>
        <v>2288284426.450974</v>
      </c>
      <c r="Q96" s="2">
        <f>Q8/'Output-Calculation-sheet'!Q7*'Output-Calculation-sheet'!Q79</f>
        <v>1014697794.466138</v>
      </c>
      <c r="R96" s="2">
        <f>R8/'Output-Calculation-sheet'!R7*'Output-Calculation-sheet'!R79</f>
        <v>1543846189.5665915</v>
      </c>
      <c r="S96" s="2">
        <f>S8/'Output-Calculation-sheet'!S7*'Output-Calculation-sheet'!S79</f>
        <v>603446055.90536046</v>
      </c>
      <c r="T96" s="2">
        <f>T8/'Output-Calculation-sheet'!T7*'Output-Calculation-sheet'!T79</f>
        <v>817258589.12838352</v>
      </c>
      <c r="U96" s="2">
        <f>U8/'Output-Calculation-sheet'!U7*'Output-Calculation-sheet'!U79</f>
        <v>405909566.68461436</v>
      </c>
      <c r="V96" s="2">
        <f>V8/'Output-Calculation-sheet'!V7*'Output-Calculation-sheet'!V79</f>
        <v>299102218.00939196</v>
      </c>
      <c r="W96" s="2">
        <f>W8/'Output-Calculation-sheet'!W7*'Output-Calculation-sheet'!W79</f>
        <v>796821421.56609356</v>
      </c>
      <c r="X96" s="2">
        <f>X8/'Output-Calculation-sheet'!X7*'Output-Calculation-sheet'!X79</f>
        <v>94421603.917231277</v>
      </c>
      <c r="Y96" s="2">
        <f>Y8/'Output-Calculation-sheet'!Y7*'Output-Calculation-sheet'!Y79</f>
        <v>357603666.1128028</v>
      </c>
      <c r="AA96" s="2">
        <f t="shared" si="8"/>
        <v>62.023643928489143</v>
      </c>
    </row>
    <row r="97" spans="1:27" x14ac:dyDescent="0.25">
      <c r="A97" s="2">
        <v>2032</v>
      </c>
      <c r="B97" s="2">
        <f>B9/'Output-Calculation-sheet'!B8*'Output-Calculation-sheet'!B80</f>
        <v>15492424149.826956</v>
      </c>
      <c r="C97" s="2">
        <f>C9/'Output-Calculation-sheet'!C8*'Output-Calculation-sheet'!C80</f>
        <v>1946363592.8886044</v>
      </c>
      <c r="D97" s="2">
        <f>D9/'Output-Calculation-sheet'!D8*'Output-Calculation-sheet'!D80</f>
        <v>6410339820.8325443</v>
      </c>
      <c r="E97" s="2">
        <f>E9/'Output-Calculation-sheet'!E8*'Output-Calculation-sheet'!E80</f>
        <v>11286079623.419312</v>
      </c>
      <c r="F97" s="2">
        <f>F9/'Output-Calculation-sheet'!F8*'Output-Calculation-sheet'!F80</f>
        <v>5067383276.2090244</v>
      </c>
      <c r="G97" s="2">
        <f>G9/'Output-Calculation-sheet'!G8*'Output-Calculation-sheet'!G80</f>
        <v>3750780569.3528037</v>
      </c>
      <c r="H97" s="2">
        <f>H9/'Output-Calculation-sheet'!H8*'Output-Calculation-sheet'!H80</f>
        <v>1136510754.8851764</v>
      </c>
      <c r="I97" s="2">
        <f>I9/'Output-Calculation-sheet'!I8*'Output-Calculation-sheet'!I80</f>
        <v>2605184764.3417001</v>
      </c>
      <c r="J97" s="2">
        <f>J9/'Output-Calculation-sheet'!J8*'Output-Calculation-sheet'!J80</f>
        <v>1879793057.6345532</v>
      </c>
      <c r="K97" s="2">
        <f>K9/'Output-Calculation-sheet'!K8*'Output-Calculation-sheet'!K80</f>
        <v>2188134463.1503239</v>
      </c>
      <c r="L97" s="2">
        <f>L9/'Output-Calculation-sheet'!L8*'Output-Calculation-sheet'!L80</f>
        <v>1794145611.8108549</v>
      </c>
      <c r="M97" s="2">
        <f>M9/'Output-Calculation-sheet'!M8*'Output-Calculation-sheet'!M80</f>
        <v>883389476.81601655</v>
      </c>
      <c r="N97" s="2">
        <f>N9/'Output-Calculation-sheet'!N8*'Output-Calculation-sheet'!N80</f>
        <v>875551161.24054098</v>
      </c>
      <c r="O97" s="2">
        <f>O9/'Output-Calculation-sheet'!O8*'Output-Calculation-sheet'!O80</f>
        <v>228502377.47751862</v>
      </c>
      <c r="P97" s="2">
        <f>P9/'Output-Calculation-sheet'!P8*'Output-Calculation-sheet'!P80</f>
        <v>2323749474.929266</v>
      </c>
      <c r="Q97" s="2">
        <f>Q9/'Output-Calculation-sheet'!Q8*'Output-Calculation-sheet'!Q80</f>
        <v>1033270860.9067216</v>
      </c>
      <c r="R97" s="2">
        <f>R9/'Output-Calculation-sheet'!R8*'Output-Calculation-sheet'!R80</f>
        <v>1607921566.3761888</v>
      </c>
      <c r="S97" s="2">
        <f>S9/'Output-Calculation-sheet'!S8*'Output-Calculation-sheet'!S80</f>
        <v>620124847.47938526</v>
      </c>
      <c r="T97" s="2">
        <f>T9/'Output-Calculation-sheet'!T8*'Output-Calculation-sheet'!T80</f>
        <v>829169886.55659199</v>
      </c>
      <c r="U97" s="2">
        <f>U9/'Output-Calculation-sheet'!U8*'Output-Calculation-sheet'!U80</f>
        <v>420821200.19874257</v>
      </c>
      <c r="V97" s="2">
        <f>V9/'Output-Calculation-sheet'!V8*'Output-Calculation-sheet'!V80</f>
        <v>309989362.00853676</v>
      </c>
      <c r="W97" s="2">
        <f>W9/'Output-Calculation-sheet'!W8*'Output-Calculation-sheet'!W80</f>
        <v>810670164.32578087</v>
      </c>
      <c r="X97" s="2">
        <f>X9/'Output-Calculation-sheet'!X8*'Output-Calculation-sheet'!X80</f>
        <v>99275231.295786202</v>
      </c>
      <c r="Y97" s="2">
        <f>Y9/'Output-Calculation-sheet'!Y8*'Output-Calculation-sheet'!Y80</f>
        <v>364027604.13526559</v>
      </c>
      <c r="AA97" s="2">
        <f t="shared" si="8"/>
        <v>63.963602898098195</v>
      </c>
    </row>
    <row r="98" spans="1:27" x14ac:dyDescent="0.25">
      <c r="A98" s="2">
        <v>2033</v>
      </c>
      <c r="B98" s="2">
        <f>B10/'Output-Calculation-sheet'!B9*'Output-Calculation-sheet'!B81</f>
        <v>15408925989.479851</v>
      </c>
      <c r="C98" s="2">
        <f>C10/'Output-Calculation-sheet'!C9*'Output-Calculation-sheet'!C81</f>
        <v>1943028785.3456879</v>
      </c>
      <c r="D98" s="2">
        <f>D10/'Output-Calculation-sheet'!D9*'Output-Calculation-sheet'!D81</f>
        <v>6005387234.8963156</v>
      </c>
      <c r="E98" s="2">
        <f>E10/'Output-Calculation-sheet'!E9*'Output-Calculation-sheet'!E81</f>
        <v>10882471913.498266</v>
      </c>
      <c r="F98" s="2">
        <f>F10/'Output-Calculation-sheet'!F9*'Output-Calculation-sheet'!F81</f>
        <v>4874832814.5996933</v>
      </c>
      <c r="G98" s="2">
        <f>G10/'Output-Calculation-sheet'!G9*'Output-Calculation-sheet'!G81</f>
        <v>3507598355.5979662</v>
      </c>
      <c r="H98" s="2">
        <f>H10/'Output-Calculation-sheet'!H9*'Output-Calculation-sheet'!H81</f>
        <v>1106387584.7870624</v>
      </c>
      <c r="I98" s="2">
        <f>I10/'Output-Calculation-sheet'!I9*'Output-Calculation-sheet'!I81</f>
        <v>2530926477.5252113</v>
      </c>
      <c r="J98" s="2">
        <f>J10/'Output-Calculation-sheet'!J9*'Output-Calculation-sheet'!J81</f>
        <v>1779505195.5345156</v>
      </c>
      <c r="K98" s="2">
        <f>K10/'Output-Calculation-sheet'!K9*'Output-Calculation-sheet'!K81</f>
        <v>2086912891.6613684</v>
      </c>
      <c r="L98" s="2">
        <f>L10/'Output-Calculation-sheet'!L9*'Output-Calculation-sheet'!L81</f>
        <v>1762187129.9438844</v>
      </c>
      <c r="M98" s="2">
        <f>M10/'Output-Calculation-sheet'!M9*'Output-Calculation-sheet'!M81</f>
        <v>864383989.28283489</v>
      </c>
      <c r="N98" s="2">
        <f>N10/'Output-Calculation-sheet'!N9*'Output-Calculation-sheet'!N81</f>
        <v>826916082.78899598</v>
      </c>
      <c r="O98" s="2">
        <f>O10/'Output-Calculation-sheet'!O9*'Output-Calculation-sheet'!O81</f>
        <v>228488834.18197682</v>
      </c>
      <c r="P98" s="2">
        <f>P10/'Output-Calculation-sheet'!P9*'Output-Calculation-sheet'!P81</f>
        <v>2243305179.9022903</v>
      </c>
      <c r="Q98" s="2">
        <f>Q10/'Output-Calculation-sheet'!Q9*'Output-Calculation-sheet'!Q81</f>
        <v>987814146.00246251</v>
      </c>
      <c r="R98" s="2">
        <f>R10/'Output-Calculation-sheet'!R9*'Output-Calculation-sheet'!R81</f>
        <v>1569194787.3379211</v>
      </c>
      <c r="S98" s="2">
        <f>S10/'Output-Calculation-sheet'!S9*'Output-Calculation-sheet'!S81</f>
        <v>598407619.31158543</v>
      </c>
      <c r="T98" s="2">
        <f>T10/'Output-Calculation-sheet'!T9*'Output-Calculation-sheet'!T81</f>
        <v>786424969.27744174</v>
      </c>
      <c r="U98" s="2">
        <f>U10/'Output-Calculation-sheet'!U9*'Output-Calculation-sheet'!U81</f>
        <v>408634621.10049921</v>
      </c>
      <c r="V98" s="2">
        <f>V10/'Output-Calculation-sheet'!V9*'Output-Calculation-sheet'!V81</f>
        <v>301252131.6846987</v>
      </c>
      <c r="W98" s="2">
        <f>W10/'Output-Calculation-sheet'!W9*'Output-Calculation-sheet'!W81</f>
        <v>772043457.40115643</v>
      </c>
      <c r="X98" s="2">
        <f>X10/'Output-Calculation-sheet'!X9*'Output-Calculation-sheet'!X81</f>
        <v>98043432.586211473</v>
      </c>
      <c r="Y98" s="2">
        <f>Y10/'Output-Calculation-sheet'!Y9*'Output-Calculation-sheet'!Y81</f>
        <v>346757914.01926321</v>
      </c>
      <c r="AA98" s="2">
        <f t="shared" si="8"/>
        <v>61.919831537747172</v>
      </c>
    </row>
    <row r="99" spans="1:27" x14ac:dyDescent="0.25">
      <c r="A99" s="2">
        <v>2034</v>
      </c>
      <c r="B99" s="2">
        <f>B11/'Output-Calculation-sheet'!B10*'Output-Calculation-sheet'!B82</f>
        <v>14372195222.480085</v>
      </c>
      <c r="C99" s="2">
        <f>C11/'Output-Calculation-sheet'!C10*'Output-Calculation-sheet'!C82</f>
        <v>1824734367.410203</v>
      </c>
      <c r="D99" s="2">
        <f>D11/'Output-Calculation-sheet'!D10*'Output-Calculation-sheet'!D82</f>
        <v>5281743672.9836807</v>
      </c>
      <c r="E99" s="2">
        <f>E11/'Output-Calculation-sheet'!E10*'Output-Calculation-sheet'!E82</f>
        <v>9847189157.3907604</v>
      </c>
      <c r="F99" s="2">
        <f>F11/'Output-Calculation-sheet'!F10*'Output-Calculation-sheet'!F82</f>
        <v>4403878700.8011694</v>
      </c>
      <c r="G99" s="2">
        <f>G11/'Output-Calculation-sheet'!G10*'Output-Calculation-sheet'!G82</f>
        <v>3075220418.81986</v>
      </c>
      <c r="H99" s="2">
        <f>H11/'Output-Calculation-sheet'!H10*'Output-Calculation-sheet'!H82</f>
        <v>1012539663.6973318</v>
      </c>
      <c r="I99" s="2">
        <f>I11/'Output-Calculation-sheet'!I10*'Output-Calculation-sheet'!I82</f>
        <v>2308335893.9569478</v>
      </c>
      <c r="J99" s="2">
        <f>J11/'Output-Calculation-sheet'!J10*'Output-Calculation-sheet'!J82</f>
        <v>1581369855.3511493</v>
      </c>
      <c r="K99" s="2">
        <f>K11/'Output-Calculation-sheet'!K10*'Output-Calculation-sheet'!K82</f>
        <v>1869327839.0714753</v>
      </c>
      <c r="L99" s="2">
        <f>L11/'Output-Calculation-sheet'!L10*'Output-Calculation-sheet'!L82</f>
        <v>1634417863.1575463</v>
      </c>
      <c r="M99" s="2">
        <f>M11/'Output-Calculation-sheet'!M10*'Output-Calculation-sheet'!M82</f>
        <v>793283907.24416602</v>
      </c>
      <c r="N99" s="2">
        <f>N11/'Output-Calculation-sheet'!N10*'Output-Calculation-sheet'!N82</f>
        <v>737129642.61207771</v>
      </c>
      <c r="O99" s="2">
        <f>O11/'Output-Calculation-sheet'!O10*'Output-Calculation-sheet'!O82</f>
        <v>215791082.05759686</v>
      </c>
      <c r="P99" s="2">
        <f>P11/'Output-Calculation-sheet'!P10*'Output-Calculation-sheet'!P82</f>
        <v>2033064808.8434722</v>
      </c>
      <c r="Q99" s="2">
        <f>Q11/'Output-Calculation-sheet'!Q10*'Output-Calculation-sheet'!Q82</f>
        <v>886299404.8234359</v>
      </c>
      <c r="R99" s="2">
        <f>R11/'Output-Calculation-sheet'!R10*'Output-Calculation-sheet'!R82</f>
        <v>1439818444.9290693</v>
      </c>
      <c r="S99" s="2">
        <f>S11/'Output-Calculation-sheet'!S10*'Output-Calculation-sheet'!S82</f>
        <v>541041960.58335328</v>
      </c>
      <c r="T99" s="2">
        <f>T11/'Output-Calculation-sheet'!T10*'Output-Calculation-sheet'!T82</f>
        <v>699380964.75908375</v>
      </c>
      <c r="U99" s="2">
        <f>U11/'Output-Calculation-sheet'!U10*'Output-Calculation-sheet'!U82</f>
        <v>372845621.24526024</v>
      </c>
      <c r="V99" s="2">
        <f>V11/'Output-Calculation-sheet'!V10*'Output-Calculation-sheet'!V82</f>
        <v>274363721.30135912</v>
      </c>
      <c r="W99" s="2">
        <f>W11/'Output-Calculation-sheet'!W10*'Output-Calculation-sheet'!W82</f>
        <v>688929997.62725818</v>
      </c>
      <c r="X99" s="2">
        <f>X11/'Output-Calculation-sheet'!X10*'Output-Calculation-sheet'!X82</f>
        <v>97231512.941368192</v>
      </c>
      <c r="Y99" s="2">
        <f>Y11/'Output-Calculation-sheet'!Y10*'Output-Calculation-sheet'!Y82</f>
        <v>309879236.00971508</v>
      </c>
      <c r="AA99" s="2">
        <f t="shared" si="8"/>
        <v>56.300012960097426</v>
      </c>
    </row>
    <row r="100" spans="1:27" x14ac:dyDescent="0.25">
      <c r="A100" s="2">
        <v>2035</v>
      </c>
      <c r="B100" s="2">
        <f>B12/'Output-Calculation-sheet'!B11*'Output-Calculation-sheet'!B83</f>
        <v>12812727840.026869</v>
      </c>
      <c r="C100" s="2">
        <f>C12/'Output-Calculation-sheet'!C11*'Output-Calculation-sheet'!C83</f>
        <v>1600157168.6166921</v>
      </c>
      <c r="D100" s="2">
        <f>D12/'Output-Calculation-sheet'!D11*'Output-Calculation-sheet'!D83</f>
        <v>4358911336.6621647</v>
      </c>
      <c r="E100" s="2">
        <f>E12/'Output-Calculation-sheet'!E11*'Output-Calculation-sheet'!E83</f>
        <v>8356950604.9294939</v>
      </c>
      <c r="F100" s="2">
        <f>F12/'Output-Calculation-sheet'!F11*'Output-Calculation-sheet'!F83</f>
        <v>3730604121.6185346</v>
      </c>
      <c r="G100" s="2">
        <f>G12/'Output-Calculation-sheet'!G11*'Output-Calculation-sheet'!G83</f>
        <v>2525887922.3056469</v>
      </c>
      <c r="H100" s="2">
        <f>H12/'Output-Calculation-sheet'!H11*'Output-Calculation-sheet'!H83</f>
        <v>869968189.67066514</v>
      </c>
      <c r="I100" s="2">
        <f>I12/'Output-Calculation-sheet'!I11*'Output-Calculation-sheet'!I83</f>
        <v>1974351334.8186917</v>
      </c>
      <c r="J100" s="2">
        <f>J12/'Output-Calculation-sheet'!J11*'Output-Calculation-sheet'!J83</f>
        <v>1317475761.1757975</v>
      </c>
      <c r="K100" s="2">
        <f>K12/'Output-Calculation-sheet'!K11*'Output-Calculation-sheet'!K83</f>
        <v>1570478021.4198329</v>
      </c>
      <c r="L100" s="2">
        <f>L12/'Output-Calculation-sheet'!L11*'Output-Calculation-sheet'!L83</f>
        <v>1420940817.9737446</v>
      </c>
      <c r="M100" s="2">
        <f>M12/'Output-Calculation-sheet'!M11*'Output-Calculation-sheet'!M83</f>
        <v>684817732.54323363</v>
      </c>
      <c r="N100" s="2">
        <f>N12/'Output-Calculation-sheet'!N11*'Output-Calculation-sheet'!N83</f>
        <v>614722662.64783466</v>
      </c>
      <c r="O100" s="2">
        <f>O12/'Output-Calculation-sheet'!O11*'Output-Calculation-sheet'!O83</f>
        <v>191580492.98569191</v>
      </c>
      <c r="P100" s="2">
        <f>P12/'Output-Calculation-sheet'!P11*'Output-Calculation-sheet'!P83</f>
        <v>1720185374.7301035</v>
      </c>
      <c r="Q100" s="2">
        <f>Q12/'Output-Calculation-sheet'!Q11*'Output-Calculation-sheet'!Q83</f>
        <v>747088738.09691489</v>
      </c>
      <c r="R100" s="2">
        <f>R12/'Output-Calculation-sheet'!R11*'Output-Calculation-sheet'!R83</f>
        <v>1239338000.4011266</v>
      </c>
      <c r="S100" s="2">
        <f>S12/'Output-Calculation-sheet'!S11*'Output-Calculation-sheet'!S83</f>
        <v>458406088.26037717</v>
      </c>
      <c r="T100" s="2">
        <f>T12/'Output-Calculation-sheet'!T11*'Output-Calculation-sheet'!T83</f>
        <v>584879922.2003634</v>
      </c>
      <c r="U100" s="2">
        <f>U12/'Output-Calculation-sheet'!U11*'Output-Calculation-sheet'!U83</f>
        <v>318769095.15755731</v>
      </c>
      <c r="V100" s="2">
        <f>V12/'Output-Calculation-sheet'!V11*'Output-Calculation-sheet'!V83</f>
        <v>234317295.97808197</v>
      </c>
      <c r="W100" s="2">
        <f>W12/'Output-Calculation-sheet'!W11*'Output-Calculation-sheet'!W83</f>
        <v>575518530.0154047</v>
      </c>
      <c r="X100" s="2">
        <f>X12/'Output-Calculation-sheet'!X11*'Output-Calculation-sheet'!X83</f>
        <v>91225909.87660937</v>
      </c>
      <c r="Y100" s="2">
        <f>Y12/'Output-Calculation-sheet'!Y11*'Output-Calculation-sheet'!Y83</f>
        <v>259123987.08507401</v>
      </c>
      <c r="AA100" s="2">
        <f t="shared" si="8"/>
        <v>48.258426949196505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4246-DF73-449B-B346-25B90C56EDBD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94498368606.833923</v>
      </c>
      <c r="C8" s="2">
        <v>44532386515.304863</v>
      </c>
      <c r="D8" s="2">
        <v>39690395240.78627</v>
      </c>
      <c r="E8" s="2">
        <v>31490300969.32497</v>
      </c>
      <c r="F8" s="2">
        <v>20271436752.465412</v>
      </c>
      <c r="G8" s="2">
        <v>14243267796.847744</v>
      </c>
      <c r="H8" s="2">
        <v>13893760982.590773</v>
      </c>
      <c r="I8" s="2">
        <v>12976738153.104694</v>
      </c>
      <c r="J8" s="2">
        <v>12630660658.183683</v>
      </c>
      <c r="K8" s="2">
        <v>12509575579.592945</v>
      </c>
      <c r="L8" s="2">
        <v>10035344171.734314</v>
      </c>
      <c r="M8" s="2">
        <v>9585483915.7600212</v>
      </c>
      <c r="N8" s="2">
        <v>9408124779.6104031</v>
      </c>
      <c r="O8" s="2">
        <v>8652681372.6797581</v>
      </c>
      <c r="P8" s="2">
        <v>8564647181.0491056</v>
      </c>
      <c r="Q8" s="2">
        <v>8426228640.7493219</v>
      </c>
      <c r="R8" s="2">
        <v>8106419524.3136864</v>
      </c>
      <c r="S8" s="2">
        <v>5387941681.1690569</v>
      </c>
      <c r="T8" s="2">
        <v>2979850112.3291917</v>
      </c>
      <c r="U8" s="2">
        <v>2595347630.6209431</v>
      </c>
      <c r="V8" s="2">
        <v>1998469582.5307398</v>
      </c>
      <c r="W8" s="2">
        <v>1730231753.7472937</v>
      </c>
      <c r="X8" s="2">
        <v>1038139052.2483771</v>
      </c>
      <c r="Y8" s="2">
        <v>1009579846.9210224</v>
      </c>
    </row>
    <row r="9" spans="1:27" x14ac:dyDescent="0.25">
      <c r="A9" s="2">
        <v>2032</v>
      </c>
      <c r="B9" s="2">
        <v>100095429294.80331</v>
      </c>
      <c r="C9" s="2">
        <v>47170003159.70739</v>
      </c>
      <c r="D9" s="2">
        <v>42041224722.472229</v>
      </c>
      <c r="E9" s="2">
        <v>33355445608.39323</v>
      </c>
      <c r="F9" s="2">
        <v>21472097286.701096</v>
      </c>
      <c r="G9" s="2">
        <v>15086884839.440704</v>
      </c>
      <c r="H9" s="2">
        <v>14716677023.895615</v>
      </c>
      <c r="I9" s="2">
        <v>13745339686.07933</v>
      </c>
      <c r="J9" s="2">
        <v>13378764305.635315</v>
      </c>
      <c r="K9" s="2">
        <v>13250507457.380495</v>
      </c>
      <c r="L9" s="2">
        <v>10629729357.234699</v>
      </c>
      <c r="M9" s="2">
        <v>10153224248.117285</v>
      </c>
      <c r="N9" s="2">
        <v>9965360276.135788</v>
      </c>
      <c r="O9" s="2">
        <v>9165172577.2427177</v>
      </c>
      <c r="P9" s="2">
        <v>9071924192.8123646</v>
      </c>
      <c r="Q9" s="2">
        <v>8925307236.1608524</v>
      </c>
      <c r="R9" s="2">
        <v>8586556088.6653643</v>
      </c>
      <c r="S9" s="2">
        <v>5707065037.6601238</v>
      </c>
      <c r="T9" s="2">
        <v>3156344184.8263621</v>
      </c>
      <c r="U9" s="2">
        <v>2749067937.2158699</v>
      </c>
      <c r="V9" s="2">
        <v>2116837293.0149655</v>
      </c>
      <c r="W9" s="2">
        <v>1832711958.1439121</v>
      </c>
      <c r="X9" s="2">
        <v>1099627174.886348</v>
      </c>
      <c r="Y9" s="2">
        <v>1069376431.3052227</v>
      </c>
    </row>
    <row r="10" spans="1:27" x14ac:dyDescent="0.25">
      <c r="A10" s="2">
        <v>2033</v>
      </c>
      <c r="B10" s="2">
        <v>101562886816.75562</v>
      </c>
      <c r="C10" s="2">
        <v>47861542987.598618</v>
      </c>
      <c r="D10" s="2">
        <v>42657573659.538849</v>
      </c>
      <c r="E10" s="2">
        <v>33844455944.838722</v>
      </c>
      <c r="F10" s="2">
        <v>21786890788.237106</v>
      </c>
      <c r="G10" s="2">
        <v>15308067392.894371</v>
      </c>
      <c r="H10" s="2">
        <v>14932432114.302919</v>
      </c>
      <c r="I10" s="2">
        <v>13946854403.147173</v>
      </c>
      <c r="J10" s="2">
        <v>13574904813.279362</v>
      </c>
      <c r="K10" s="2">
        <v>13444767644.633898</v>
      </c>
      <c r="L10" s="2">
        <v>10785567405.1005</v>
      </c>
      <c r="M10" s="2">
        <v>10302076452.458065</v>
      </c>
      <c r="N10" s="2">
        <v>10111458284.798203</v>
      </c>
      <c r="O10" s="2">
        <v>9299539366.3480816</v>
      </c>
      <c r="P10" s="2">
        <v>9204923906.0771408</v>
      </c>
      <c r="Q10" s="2">
        <v>9056157459.110239</v>
      </c>
      <c r="R10" s="2">
        <v>8712440021.7155571</v>
      </c>
      <c r="S10" s="2">
        <v>5790733948.1866922</v>
      </c>
      <c r="T10" s="2">
        <v>3202618036.1752796</v>
      </c>
      <c r="U10" s="2">
        <v>2789370880.6294384</v>
      </c>
      <c r="V10" s="2">
        <v>2147871365.5022817</v>
      </c>
      <c r="W10" s="2">
        <v>1859580587.0862911</v>
      </c>
      <c r="X10" s="2">
        <v>1115748352.2517753</v>
      </c>
      <c r="Y10" s="2">
        <v>1085054115.0813274</v>
      </c>
    </row>
    <row r="11" spans="1:27" x14ac:dyDescent="0.25">
      <c r="A11" s="2">
        <v>2034</v>
      </c>
      <c r="B11" s="2">
        <v>99492697554.035187</v>
      </c>
      <c r="C11" s="2">
        <v>46885965633.550705</v>
      </c>
      <c r="D11" s="2">
        <v>41788070500.15136</v>
      </c>
      <c r="E11" s="2">
        <v>33154593422.261627</v>
      </c>
      <c r="F11" s="2">
        <v>21342801526.977257</v>
      </c>
      <c r="G11" s="2">
        <v>14996038090.232386</v>
      </c>
      <c r="H11" s="2">
        <v>14628059507.357374</v>
      </c>
      <c r="I11" s="2">
        <v>13662571146.348719</v>
      </c>
      <c r="J11" s="2">
        <v>13298203125.608681</v>
      </c>
      <c r="K11" s="2">
        <v>13170718585.080187</v>
      </c>
      <c r="L11" s="2">
        <v>10565721686.509693</v>
      </c>
      <c r="M11" s="2">
        <v>10092085886.769606</v>
      </c>
      <c r="N11" s="2">
        <v>9905353151.045927</v>
      </c>
      <c r="O11" s="2">
        <v>9109983839.2469807</v>
      </c>
      <c r="P11" s="2">
        <v>9017296956.5901604</v>
      </c>
      <c r="Q11" s="2">
        <v>8871562864.362442</v>
      </c>
      <c r="R11" s="2">
        <v>8534851530.9749069</v>
      </c>
      <c r="S11" s="2">
        <v>5672699539.963975</v>
      </c>
      <c r="T11" s="2">
        <v>3137338034.0122166</v>
      </c>
      <c r="U11" s="2">
        <v>2732514229.2697477</v>
      </c>
      <c r="V11" s="2">
        <v>2104090606.8222926</v>
      </c>
      <c r="W11" s="2">
        <v>1821676152.8464971</v>
      </c>
      <c r="X11" s="2">
        <v>1093005691.7078989</v>
      </c>
      <c r="Y11" s="2">
        <v>1062937105.1290128</v>
      </c>
    </row>
    <row r="12" spans="1:27" x14ac:dyDescent="0.25">
      <c r="A12" s="2">
        <v>2035</v>
      </c>
      <c r="B12" s="2">
        <v>94422210588.068222</v>
      </c>
      <c r="C12" s="2">
        <v>44496497024.53466</v>
      </c>
      <c r="D12" s="2">
        <v>39658408002.169037</v>
      </c>
      <c r="E12" s="2">
        <v>31464922341.444763</v>
      </c>
      <c r="F12" s="2">
        <v>20255099618.995678</v>
      </c>
      <c r="G12" s="2">
        <v>14231788878.511383</v>
      </c>
      <c r="H12" s="2">
        <v>13882563738.392403</v>
      </c>
      <c r="I12" s="2">
        <v>12966279954.911945</v>
      </c>
      <c r="J12" s="2">
        <v>12620481370.375748</v>
      </c>
      <c r="K12" s="2">
        <v>12499493876.535135</v>
      </c>
      <c r="L12" s="2">
        <v>10027256498.465254</v>
      </c>
      <c r="M12" s="2">
        <v>9577758793.3616428</v>
      </c>
      <c r="N12" s="2">
        <v>9400542594.2872181</v>
      </c>
      <c r="O12" s="2">
        <v>8645708013.4560032</v>
      </c>
      <c r="P12" s="2">
        <v>8557744770.241889</v>
      </c>
      <c r="Q12" s="2">
        <v>8419437784.0561647</v>
      </c>
      <c r="R12" s="2">
        <v>8099886407.82335</v>
      </c>
      <c r="S12" s="2">
        <v>5383599437.2794275</v>
      </c>
      <c r="T12" s="2">
        <v>2977448594.8837643</v>
      </c>
      <c r="U12" s="2">
        <v>2593255990.9823928</v>
      </c>
      <c r="V12" s="2">
        <v>1996858978.1762636</v>
      </c>
      <c r="W12" s="2">
        <v>1728837327.321594</v>
      </c>
      <c r="X12" s="2">
        <v>1037302396.3929571</v>
      </c>
      <c r="Y12" s="2">
        <v>1008766207.4681852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 t="shared" ref="AA16:AA23" si="0"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si="0"/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4950.544176393988</v>
      </c>
      <c r="C19" s="2">
        <f>C8/'Output-Calculation-sheet'!C7*'Output-Calculation-sheet'!C25</f>
        <v>6600.8612930565614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2405.1331102491285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1760.4448798221144</v>
      </c>
      <c r="N19" s="2">
        <f>N8/'Output-Calculation-sheet'!N7*'Output-Calculation-sheet'!N25</f>
        <v>917.13365184137911</v>
      </c>
      <c r="O19" s="2">
        <f>O8/'Output-Calculation-sheet'!O7*'Output-Calculation-sheet'!O25</f>
        <v>1000.1582634217616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399.81572632479634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203.49587606765735</v>
      </c>
      <c r="Y19" s="2">
        <f>Y8/'Output-Calculation-sheet'!Y7*'Output-Calculation-sheet'!Y25</f>
        <v>0</v>
      </c>
      <c r="AA19" s="2">
        <f t="shared" si="0"/>
        <v>18.237586977177386</v>
      </c>
    </row>
    <row r="20" spans="1:27" x14ac:dyDescent="0.25">
      <c r="A20" s="2">
        <v>2032</v>
      </c>
      <c r="B20" s="2">
        <f>B9/'Output-Calculation-sheet'!B8*'Output-Calculation-sheet'!B26</f>
        <v>6293.3337480750779</v>
      </c>
      <c r="C20" s="2">
        <f>C9/'Output-Calculation-sheet'!C8*'Output-Calculation-sheet'!C26</f>
        <v>7253.5603697329652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2611.3125348420444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1906.8546924101361</v>
      </c>
      <c r="N20" s="2">
        <f>N9/'Output-Calculation-sheet'!N8*'Output-Calculation-sheet'!N26</f>
        <v>1084.6417886578215</v>
      </c>
      <c r="O20" s="2">
        <f>O9/'Output-Calculation-sheet'!O8*'Output-Calculation-sheet'!O26</f>
        <v>1122.0651053744712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490.30492941089528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220.2664716050279</v>
      </c>
      <c r="Y20" s="2">
        <f>Y9/'Output-Calculation-sheet'!Y8*'Output-Calculation-sheet'!Y26</f>
        <v>0</v>
      </c>
      <c r="AA20" s="2">
        <f t="shared" si="0"/>
        <v>20.982339640108435</v>
      </c>
    </row>
    <row r="21" spans="1:27" x14ac:dyDescent="0.25">
      <c r="A21" s="2">
        <v>2033</v>
      </c>
      <c r="B21" s="2">
        <f>B10/'Output-Calculation-sheet'!B9*'Output-Calculation-sheet'!B27</f>
        <v>8036.077913734166</v>
      </c>
      <c r="C21" s="2">
        <f>C10/'Output-Calculation-sheet'!C9*'Output-Calculation-sheet'!C27</f>
        <v>7561.5751802338518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2705.9702844332146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23.479810039762771</v>
      </c>
      <c r="M21" s="2">
        <f>M10/'Output-Calculation-sheet'!M9*'Output-Calculation-sheet'!M27</f>
        <v>1986.099853295178</v>
      </c>
      <c r="N21" s="2">
        <f>N10/'Output-Calculation-sheet'!N9*'Output-Calculation-sheet'!N27</f>
        <v>1214.0378984043318</v>
      </c>
      <c r="O21" s="2">
        <f>O10/'Output-Calculation-sheet'!O9*'Output-Calculation-sheet'!O27</f>
        <v>1182.6129789081056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564.14669302567734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229.92047314159765</v>
      </c>
      <c r="Y21" s="2">
        <f>Y10/'Output-Calculation-sheet'!Y9*'Output-Calculation-sheet'!Y27</f>
        <v>0</v>
      </c>
      <c r="AA21" s="2">
        <f t="shared" si="0"/>
        <v>23.503921085215886</v>
      </c>
    </row>
    <row r="22" spans="1:27" x14ac:dyDescent="0.25">
      <c r="A22" s="2">
        <v>2034</v>
      </c>
      <c r="B22" s="2">
        <f>B11/'Output-Calculation-sheet'!B10*'Output-Calculation-sheet'!B28</f>
        <v>9704.3296848975951</v>
      </c>
      <c r="C22" s="2">
        <f>C11/'Output-Calculation-sheet'!C10*'Output-Calculation-sheet'!C28</f>
        <v>7644.0961884496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2712.7930694905212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155.38689054735417</v>
      </c>
      <c r="M22" s="2">
        <f>M11/'Output-Calculation-sheet'!M10*'Output-Calculation-sheet'!M28</f>
        <v>1994.2008078211504</v>
      </c>
      <c r="N22" s="2">
        <f>N11/'Output-Calculation-sheet'!N10*'Output-Calculation-sheet'!N28</f>
        <v>1270.5521402763625</v>
      </c>
      <c r="O22" s="2">
        <f>O11/'Output-Calculation-sheet'!O10*'Output-Calculation-sheet'!O28</f>
        <v>1212.7746502574919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588.97506302975455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246.16758969540382</v>
      </c>
      <c r="Y22" s="2">
        <f>Y11/'Output-Calculation-sheet'!Y10*'Output-Calculation-sheet'!Y28</f>
        <v>0</v>
      </c>
      <c r="AA22" s="2">
        <f t="shared" si="0"/>
        <v>25.529276084465234</v>
      </c>
    </row>
    <row r="23" spans="1:27" x14ac:dyDescent="0.25">
      <c r="A23" s="2">
        <v>2035</v>
      </c>
      <c r="B23" s="2">
        <f>B12/'Output-Calculation-sheet'!B11*'Output-Calculation-sheet'!B29</f>
        <v>11905.907117018913</v>
      </c>
      <c r="C23" s="2">
        <f>C12/'Output-Calculation-sheet'!C11*'Output-Calculation-sheet'!C29</f>
        <v>7456.3697250683708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2641.4673682531807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273.20440937585062</v>
      </c>
      <c r="M23" s="2">
        <f>M12/'Output-Calculation-sheet'!M11*'Output-Calculation-sheet'!M29</f>
        <v>1951.0944010279629</v>
      </c>
      <c r="N23" s="2">
        <f>N12/'Output-Calculation-sheet'!N11*'Output-Calculation-sheet'!N29</f>
        <v>1260.9896003603465</v>
      </c>
      <c r="O23" s="2">
        <f>O12/'Output-Calculation-sheet'!O11*'Output-Calculation-sheet'!O29</f>
        <v>1210.1858746193709</v>
      </c>
      <c r="P23" s="2">
        <f>P12/'Output-Calculation-sheet'!P11*'Output-Calculation-sheet'!P29</f>
        <v>0</v>
      </c>
      <c r="Q23" s="2">
        <f>Q12/'Output-Calculation-sheet'!Q11*'Output-Calculation-sheet'!Q29</f>
        <v>71.078752215867155</v>
      </c>
      <c r="R23" s="2">
        <f>R12/'Output-Calculation-sheet'!R11*'Output-Calculation-sheet'!R29</f>
        <v>0</v>
      </c>
      <c r="S23" s="2">
        <f>S12/'Output-Calculation-sheet'!S11*'Output-Calculation-sheet'!S29</f>
        <v>587.77604392381409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257.85175100988067</v>
      </c>
      <c r="Y23" s="2">
        <f>Y12/'Output-Calculation-sheet'!Y11*'Output-Calculation-sheet'!Y29</f>
        <v>0</v>
      </c>
      <c r="AA23" s="2">
        <f t="shared" si="0"/>
        <v>27.615925042873556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 t="shared" ref="AA27:AA34" si="1"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si="1"/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24346.109889767053</v>
      </c>
      <c r="C30" s="2">
        <f>C8/'Output-Calculation-sheet'!C7*'Output-Calculation-sheet'!C16</f>
        <v>0</v>
      </c>
      <c r="D30" s="2">
        <f>D8/'Output-Calculation-sheet'!D7*'Output-Calculation-sheet'!D16</f>
        <v>5484.9438465318417</v>
      </c>
      <c r="E30" s="2">
        <f>E8/'Output-Calculation-sheet'!E7*'Output-Calculation-sheet'!E16</f>
        <v>6873.5108367315206</v>
      </c>
      <c r="F30" s="2">
        <f>F8/'Output-Calculation-sheet'!F7*'Output-Calculation-sheet'!F16</f>
        <v>3357.0220562986451</v>
      </c>
      <c r="G30" s="2">
        <f>G8/'Output-Calculation-sheet'!G7*'Output-Calculation-sheet'!G16</f>
        <v>2045.7256494185913</v>
      </c>
      <c r="H30" s="2">
        <f>H8/'Output-Calculation-sheet'!H7*'Output-Calculation-sheet'!H16</f>
        <v>0</v>
      </c>
      <c r="I30" s="2">
        <f>I8/'Output-Calculation-sheet'!I7*'Output-Calculation-sheet'!I16</f>
        <v>1925.7982127344476</v>
      </c>
      <c r="J30" s="2">
        <f>J8/'Output-Calculation-sheet'!J7*'Output-Calculation-sheet'!J16</f>
        <v>2064.3724240987663</v>
      </c>
      <c r="K30" s="2">
        <f>K8/'Output-Calculation-sheet'!K7*'Output-Calculation-sheet'!K16</f>
        <v>1998.0804581217546</v>
      </c>
      <c r="L30" s="2">
        <f>L8/'Output-Calculation-sheet'!L7*'Output-Calculation-sheet'!L16</f>
        <v>2208.5602004300963</v>
      </c>
      <c r="M30" s="2">
        <f>M8/'Output-Calculation-sheet'!M7*'Output-Calculation-sheet'!M16</f>
        <v>0</v>
      </c>
      <c r="N30" s="2">
        <f>N8/'Output-Calculation-sheet'!N7*'Output-Calculation-sheet'!N16</f>
        <v>990.37747067383771</v>
      </c>
      <c r="O30" s="2">
        <f>O8/'Output-Calculation-sheet'!O7*'Output-Calculation-sheet'!O16</f>
        <v>0</v>
      </c>
      <c r="P30" s="2">
        <f>P8/'Output-Calculation-sheet'!P7*'Output-Calculation-sheet'!P16</f>
        <v>1890.6370973447401</v>
      </c>
      <c r="Q30" s="2">
        <f>Q8/'Output-Calculation-sheet'!Q7*'Output-Calculation-sheet'!Q16</f>
        <v>1854.8086577774702</v>
      </c>
      <c r="R30" s="2">
        <f>R8/'Output-Calculation-sheet'!R7*'Output-Calculation-sheet'!R16</f>
        <v>1646.000521367245</v>
      </c>
      <c r="S30" s="2">
        <f>S8/'Output-Calculation-sheet'!S7*'Output-Calculation-sheet'!S16</f>
        <v>871.77425162890358</v>
      </c>
      <c r="T30" s="2">
        <f>T8/'Output-Calculation-sheet'!T7*'Output-Calculation-sheet'!T16</f>
        <v>621.71890397106256</v>
      </c>
      <c r="U30" s="2">
        <f>U8/'Output-Calculation-sheet'!U7*'Output-Calculation-sheet'!U16</f>
        <v>479.71995417848041</v>
      </c>
      <c r="V30" s="2">
        <f>V8/'Output-Calculation-sheet'!V7*'Output-Calculation-sheet'!V16</f>
        <v>621.14141135227271</v>
      </c>
      <c r="W30" s="2">
        <f>W8/'Output-Calculation-sheet'!W7*'Output-Calculation-sheet'!W16</f>
        <v>299.06689404841757</v>
      </c>
      <c r="X30" s="2">
        <f>X8/'Output-Calculation-sheet'!X7*'Output-Calculation-sheet'!X16</f>
        <v>0</v>
      </c>
      <c r="Y30" s="2">
        <f>Y8/'Output-Calculation-sheet'!Y7*'Output-Calculation-sheet'!Y16</f>
        <v>203.97014178272053</v>
      </c>
      <c r="AA30" s="2">
        <f t="shared" si="1"/>
        <v>59.783338878257887</v>
      </c>
    </row>
    <row r="31" spans="1:27" x14ac:dyDescent="0.25">
      <c r="A31" s="2">
        <v>2032</v>
      </c>
      <c r="B31" s="2">
        <f>B9/'Output-Calculation-sheet'!B8*'Output-Calculation-sheet'!B17</f>
        <v>25499.677714215712</v>
      </c>
      <c r="C31" s="2">
        <f>C9/'Output-Calculation-sheet'!C8*'Output-Calculation-sheet'!C17</f>
        <v>0</v>
      </c>
      <c r="D31" s="2">
        <f>D9/'Output-Calculation-sheet'!D8*'Output-Calculation-sheet'!D17</f>
        <v>5836.3500146183396</v>
      </c>
      <c r="E31" s="2">
        <f>E9/'Output-Calculation-sheet'!E8*'Output-Calculation-sheet'!E17</f>
        <v>7331.2266464402528</v>
      </c>
      <c r="F31" s="2">
        <f>F9/'Output-Calculation-sheet'!F8*'Output-Calculation-sheet'!F17</f>
        <v>3577.0457203409551</v>
      </c>
      <c r="G31" s="2">
        <f>G9/'Output-Calculation-sheet'!G8*'Output-Calculation-sheet'!G17</f>
        <v>2177.4433831712549</v>
      </c>
      <c r="H31" s="2">
        <f>H9/'Output-Calculation-sheet'!H8*'Output-Calculation-sheet'!H17</f>
        <v>0</v>
      </c>
      <c r="I31" s="2">
        <f>I9/'Output-Calculation-sheet'!I8*'Output-Calculation-sheet'!I17</f>
        <v>2048.768540249449</v>
      </c>
      <c r="J31" s="2">
        <f>J9/'Output-Calculation-sheet'!J8*'Output-Calculation-sheet'!J17</f>
        <v>2197.9769349609928</v>
      </c>
      <c r="K31" s="2">
        <f>K9/'Output-Calculation-sheet'!K8*'Output-Calculation-sheet'!K17</f>
        <v>2125.7523673214041</v>
      </c>
      <c r="L31" s="2">
        <f>L9/'Output-Calculation-sheet'!L8*'Output-Calculation-sheet'!L17</f>
        <v>2348.8803716484376</v>
      </c>
      <c r="M31" s="2">
        <f>M9/'Output-Calculation-sheet'!M8*'Output-Calculation-sheet'!M17</f>
        <v>0</v>
      </c>
      <c r="N31" s="2">
        <f>N9/'Output-Calculation-sheet'!N8*'Output-Calculation-sheet'!N17</f>
        <v>990.37716067641588</v>
      </c>
      <c r="O31" s="2">
        <f>O9/'Output-Calculation-sheet'!O8*'Output-Calculation-sheet'!O17</f>
        <v>0</v>
      </c>
      <c r="P31" s="2">
        <f>P9/'Output-Calculation-sheet'!P8*'Output-Calculation-sheet'!P17</f>
        <v>2023.2918441548304</v>
      </c>
      <c r="Q31" s="2">
        <f>Q9/'Output-Calculation-sheet'!Q8*'Output-Calculation-sheet'!Q17</f>
        <v>1978.6918467425742</v>
      </c>
      <c r="R31" s="2">
        <f>R9/'Output-Calculation-sheet'!R8*'Output-Calculation-sheet'!R17</f>
        <v>1770.8711966069945</v>
      </c>
      <c r="S31" s="2">
        <f>S9/'Output-Calculation-sheet'!S8*'Output-Calculation-sheet'!S17</f>
        <v>886.46263480334551</v>
      </c>
      <c r="T31" s="2">
        <f>T9/'Output-Calculation-sheet'!T8*'Output-Calculation-sheet'!T17</f>
        <v>663.40889867136798</v>
      </c>
      <c r="U31" s="2">
        <f>U9/'Output-Calculation-sheet'!U8*'Output-Calculation-sheet'!U17</f>
        <v>513.67134635976004</v>
      </c>
      <c r="V31" s="2">
        <f>V9/'Output-Calculation-sheet'!V8*'Output-Calculation-sheet'!V17</f>
        <v>653.21548547683858</v>
      </c>
      <c r="W31" s="2">
        <f>W9/'Output-Calculation-sheet'!W8*'Output-Calculation-sheet'!W17</f>
        <v>318.37336440118833</v>
      </c>
      <c r="X31" s="2">
        <f>X9/'Output-Calculation-sheet'!X8*'Output-Calculation-sheet'!X17</f>
        <v>0</v>
      </c>
      <c r="Y31" s="2">
        <f>Y9/'Output-Calculation-sheet'!Y8*'Output-Calculation-sheet'!Y17</f>
        <v>217.03902795821068</v>
      </c>
      <c r="AA31" s="2">
        <f t="shared" si="1"/>
        <v>63.158524498818323</v>
      </c>
    </row>
    <row r="32" spans="1:27" x14ac:dyDescent="0.25">
      <c r="A32" s="2">
        <v>2033</v>
      </c>
      <c r="B32" s="2">
        <f>B10/'Output-Calculation-sheet'!B9*'Output-Calculation-sheet'!B18</f>
        <v>25458.320210511283</v>
      </c>
      <c r="C32" s="2">
        <f>C10/'Output-Calculation-sheet'!C9*'Output-Calculation-sheet'!C18</f>
        <v>0</v>
      </c>
      <c r="D32" s="2">
        <f>D10/'Output-Calculation-sheet'!D9*'Output-Calculation-sheet'!D18</f>
        <v>5956.0101130369021</v>
      </c>
      <c r="E32" s="2">
        <f>E10/'Output-Calculation-sheet'!E9*'Output-Calculation-sheet'!E18</f>
        <v>7490.979532654218</v>
      </c>
      <c r="F32" s="2">
        <f>F10/'Output-Calculation-sheet'!F9*'Output-Calculation-sheet'!F18</f>
        <v>3648.5295580608254</v>
      </c>
      <c r="G32" s="2">
        <f>G10/'Output-Calculation-sheet'!G9*'Output-Calculation-sheet'!G18</f>
        <v>2219.7128940949656</v>
      </c>
      <c r="H32" s="2">
        <f>H10/'Output-Calculation-sheet'!H9*'Output-Calculation-sheet'!H18</f>
        <v>0</v>
      </c>
      <c r="I32" s="2">
        <f>I10/'Output-Calculation-sheet'!I9*'Output-Calculation-sheet'!I18</f>
        <v>2091.688448707202</v>
      </c>
      <c r="J32" s="2">
        <f>J10/'Output-Calculation-sheet'!J9*'Output-Calculation-sheet'!J18</f>
        <v>2241.5936683632781</v>
      </c>
      <c r="K32" s="2">
        <f>K10/'Output-Calculation-sheet'!K9*'Output-Calculation-sheet'!K18</f>
        <v>2174.1796676478962</v>
      </c>
      <c r="L32" s="2">
        <f>L10/'Output-Calculation-sheet'!L9*'Output-Calculation-sheet'!L18</f>
        <v>2388.3822527644816</v>
      </c>
      <c r="M32" s="2">
        <f>M10/'Output-Calculation-sheet'!M9*'Output-Calculation-sheet'!M18</f>
        <v>0</v>
      </c>
      <c r="N32" s="2">
        <f>N10/'Output-Calculation-sheet'!N9*'Output-Calculation-sheet'!N18</f>
        <v>929.54705129652768</v>
      </c>
      <c r="O32" s="2">
        <f>O10/'Output-Calculation-sheet'!O9*'Output-Calculation-sheet'!O18</f>
        <v>0</v>
      </c>
      <c r="P32" s="2">
        <f>P10/'Output-Calculation-sheet'!P9*'Output-Calculation-sheet'!P18</f>
        <v>2094.5283162304481</v>
      </c>
      <c r="Q32" s="2">
        <f>Q10/'Output-Calculation-sheet'!Q9*'Output-Calculation-sheet'!Q18</f>
        <v>2028.882560435047</v>
      </c>
      <c r="R32" s="2">
        <f>R10/'Output-Calculation-sheet'!R9*'Output-Calculation-sheet'!R18</f>
        <v>1823.6437337432894</v>
      </c>
      <c r="S32" s="2">
        <f>S10/'Output-Calculation-sheet'!S9*'Output-Calculation-sheet'!S18</f>
        <v>869.15853854325292</v>
      </c>
      <c r="T32" s="2">
        <f>T10/'Output-Calculation-sheet'!T9*'Output-Calculation-sheet'!T18</f>
        <v>674.7911689254654</v>
      </c>
      <c r="U32" s="2">
        <f>U10/'Output-Calculation-sheet'!U9*'Output-Calculation-sheet'!U18</f>
        <v>526.08734538435579</v>
      </c>
      <c r="V32" s="2">
        <f>V10/'Output-Calculation-sheet'!V9*'Output-Calculation-sheet'!V18</f>
        <v>663.75064664197407</v>
      </c>
      <c r="W32" s="2">
        <f>W10/'Output-Calculation-sheet'!W9*'Output-Calculation-sheet'!W18</f>
        <v>323.85638690769923</v>
      </c>
      <c r="X32" s="2">
        <f>X10/'Output-Calculation-sheet'!X9*'Output-Calculation-sheet'!X18</f>
        <v>0</v>
      </c>
      <c r="Y32" s="2">
        <f>Y10/'Output-Calculation-sheet'!Y9*'Output-Calculation-sheet'!Y18</f>
        <v>221.62639711737947</v>
      </c>
      <c r="AA32" s="2">
        <f t="shared" si="1"/>
        <v>63.825268491066488</v>
      </c>
    </row>
    <row r="33" spans="1:27" x14ac:dyDescent="0.25">
      <c r="A33" s="2">
        <v>2034</v>
      </c>
      <c r="B33" s="2">
        <f>B11/'Output-Calculation-sheet'!B10*'Output-Calculation-sheet'!B19</f>
        <v>24334.343332872755</v>
      </c>
      <c r="C33" s="2">
        <f>C11/'Output-Calculation-sheet'!C10*'Output-Calculation-sheet'!C19</f>
        <v>0</v>
      </c>
      <c r="D33" s="2">
        <f>D11/'Output-Calculation-sheet'!D10*'Output-Calculation-sheet'!D19</f>
        <v>5860.4128310789602</v>
      </c>
      <c r="E33" s="2">
        <f>E11/'Output-Calculation-sheet'!E10*'Output-Calculation-sheet'!E19</f>
        <v>7376.6452833403573</v>
      </c>
      <c r="F33" s="2">
        <f>F11/'Output-Calculation-sheet'!F10*'Output-Calculation-sheet'!F19</f>
        <v>3590.8552141333171</v>
      </c>
      <c r="G33" s="2">
        <f>G11/'Output-Calculation-sheet'!G10*'Output-Calculation-sheet'!G19</f>
        <v>2179.7994263261012</v>
      </c>
      <c r="H33" s="2">
        <f>H11/'Output-Calculation-sheet'!H10*'Output-Calculation-sheet'!H19</f>
        <v>0</v>
      </c>
      <c r="I33" s="2">
        <f>I11/'Output-Calculation-sheet'!I10*'Output-Calculation-sheet'!I19</f>
        <v>2060.0140501905898</v>
      </c>
      <c r="J33" s="2">
        <f>J11/'Output-Calculation-sheet'!J10*'Output-Calculation-sheet'!J19</f>
        <v>2199.6315221708242</v>
      </c>
      <c r="K33" s="2">
        <f>K11/'Output-Calculation-sheet'!K10*'Output-Calculation-sheet'!K19</f>
        <v>2145.76334009114</v>
      </c>
      <c r="L33" s="2">
        <f>L11/'Output-Calculation-sheet'!L10*'Output-Calculation-sheet'!L19</f>
        <v>2306.7519550617158</v>
      </c>
      <c r="M33" s="2">
        <f>M11/'Output-Calculation-sheet'!M10*'Output-Calculation-sheet'!M19</f>
        <v>0</v>
      </c>
      <c r="N33" s="2">
        <f>N11/'Output-Calculation-sheet'!N10*'Output-Calculation-sheet'!N19</f>
        <v>868.35745059446265</v>
      </c>
      <c r="O33" s="2">
        <f>O11/'Output-Calculation-sheet'!O10*'Output-Calculation-sheet'!O19</f>
        <v>0</v>
      </c>
      <c r="P33" s="2">
        <f>P11/'Output-Calculation-sheet'!P10*'Output-Calculation-sheet'!P19</f>
        <v>2101.1781924958968</v>
      </c>
      <c r="Q33" s="2">
        <f>Q11/'Output-Calculation-sheet'!Q10*'Output-Calculation-sheet'!Q19</f>
        <v>2005.0319972691648</v>
      </c>
      <c r="R33" s="2">
        <f>R11/'Output-Calculation-sheet'!R10*'Output-Calculation-sheet'!R19</f>
        <v>1817.0715056411957</v>
      </c>
      <c r="S33" s="2">
        <f>S11/'Output-Calculation-sheet'!S10*'Output-Calculation-sheet'!S19</f>
        <v>837.52507001524475</v>
      </c>
      <c r="T33" s="2">
        <f>T11/'Output-Calculation-sheet'!T10*'Output-Calculation-sheet'!T19</f>
        <v>662.9306811951983</v>
      </c>
      <c r="U33" s="2">
        <f>U11/'Output-Calculation-sheet'!U10*'Output-Calculation-sheet'!U19</f>
        <v>521.17437532702127</v>
      </c>
      <c r="V33" s="2">
        <f>V11/'Output-Calculation-sheet'!V10*'Output-Calculation-sheet'!V19</f>
        <v>648.6532773934216</v>
      </c>
      <c r="W33" s="2">
        <f>W11/'Output-Calculation-sheet'!W10*'Output-Calculation-sheet'!W19</f>
        <v>318.19727108252584</v>
      </c>
      <c r="X33" s="2">
        <f>X11/'Output-Calculation-sheet'!X10*'Output-Calculation-sheet'!X19</f>
        <v>0</v>
      </c>
      <c r="Y33" s="2">
        <f>Y11/'Output-Calculation-sheet'!Y10*'Output-Calculation-sheet'!Y19</f>
        <v>218.62629115317921</v>
      </c>
      <c r="AA33" s="2">
        <f t="shared" si="1"/>
        <v>62.052963067433076</v>
      </c>
    </row>
    <row r="34" spans="1:27" x14ac:dyDescent="0.25">
      <c r="A34" s="2">
        <v>2035</v>
      </c>
      <c r="B34" s="2">
        <f>B12/'Output-Calculation-sheet'!B11*'Output-Calculation-sheet'!B20</f>
        <v>22211.198142609592</v>
      </c>
      <c r="C34" s="2">
        <f>C12/'Output-Calculation-sheet'!C11*'Output-Calculation-sheet'!C20</f>
        <v>0</v>
      </c>
      <c r="D34" s="2">
        <f>D12/'Output-Calculation-sheet'!D11*'Output-Calculation-sheet'!D20</f>
        <v>5595.459878415204</v>
      </c>
      <c r="E34" s="2">
        <f>E12/'Output-Calculation-sheet'!E11*'Output-Calculation-sheet'!E20</f>
        <v>7043.2677146783026</v>
      </c>
      <c r="F34" s="2">
        <f>F12/'Output-Calculation-sheet'!F11*'Output-Calculation-sheet'!F20</f>
        <v>3422.8447423088223</v>
      </c>
      <c r="G34" s="2">
        <f>G12/'Output-Calculation-sheet'!G11*'Output-Calculation-sheet'!G20</f>
        <v>2084.8623052444741</v>
      </c>
      <c r="H34" s="2">
        <f>H12/'Output-Calculation-sheet'!H11*'Output-Calculation-sheet'!H20</f>
        <v>0</v>
      </c>
      <c r="I34" s="2">
        <f>I12/'Output-Calculation-sheet'!I11*'Output-Calculation-sheet'!I20</f>
        <v>1966.4315052110694</v>
      </c>
      <c r="J34" s="2">
        <f>J12/'Output-Calculation-sheet'!J11*'Output-Calculation-sheet'!J20</f>
        <v>2093.1238173765255</v>
      </c>
      <c r="K34" s="2">
        <f>K12/'Output-Calculation-sheet'!K11*'Output-Calculation-sheet'!K20</f>
        <v>2051.2279078559973</v>
      </c>
      <c r="L34" s="2">
        <f>L12/'Output-Calculation-sheet'!L11*'Output-Calculation-sheet'!L20</f>
        <v>2164.3730148207583</v>
      </c>
      <c r="M34" s="2">
        <f>M12/'Output-Calculation-sheet'!M11*'Output-Calculation-sheet'!M20</f>
        <v>0</v>
      </c>
      <c r="N34" s="2">
        <f>N12/'Output-Calculation-sheet'!N11*'Output-Calculation-sheet'!N20</f>
        <v>793.90379614488347</v>
      </c>
      <c r="O34" s="2">
        <f>O12/'Output-Calculation-sheet'!O11*'Output-Calculation-sheet'!O20</f>
        <v>0</v>
      </c>
      <c r="P34" s="2">
        <f>P12/'Output-Calculation-sheet'!P11*'Output-Calculation-sheet'!P20</f>
        <v>2036.1280116918956</v>
      </c>
      <c r="Q34" s="2">
        <f>Q12/'Output-Calculation-sheet'!Q11*'Output-Calculation-sheet'!Q20</f>
        <v>1880.092042221765</v>
      </c>
      <c r="R34" s="2">
        <f>R12/'Output-Calculation-sheet'!R11*'Output-Calculation-sheet'!R20</f>
        <v>1749.1554996501361</v>
      </c>
      <c r="S34" s="2">
        <f>S12/'Output-Calculation-sheet'!S11*'Output-Calculation-sheet'!S20</f>
        <v>784.64108181676227</v>
      </c>
      <c r="T34" s="2">
        <f>T12/'Output-Calculation-sheet'!T11*'Output-Calculation-sheet'!T20</f>
        <v>631.83290406318429</v>
      </c>
      <c r="U34" s="2">
        <f>U12/'Output-Calculation-sheet'!U11*'Output-Calculation-sheet'!U20</f>
        <v>497.65330219832276</v>
      </c>
      <c r="V34" s="2">
        <f>V12/'Output-Calculation-sheet'!V11*'Output-Calculation-sheet'!V20</f>
        <v>617.42921615210139</v>
      </c>
      <c r="W34" s="2">
        <f>W12/'Output-Calculation-sheet'!W11*'Output-Calculation-sheet'!W20</f>
        <v>303.09597703393058</v>
      </c>
      <c r="X34" s="2">
        <f>X12/'Output-Calculation-sheet'!X11*'Output-Calculation-sheet'!X20</f>
        <v>0</v>
      </c>
      <c r="Y34" s="2">
        <f>Y12/'Output-Calculation-sheet'!Y11*'Output-Calculation-sheet'!Y20</f>
        <v>208.5300512522625</v>
      </c>
      <c r="AA34" s="2">
        <f t="shared" si="1"/>
        <v>58.135250910745995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139.12147555313246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123.83906370195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538.50908092920145</v>
      </c>
      <c r="S52" s="2">
        <f>S8/'Output-Calculation-sheet'!S7*'Output-Calculation-sheet'!S43</f>
        <v>0</v>
      </c>
      <c r="T52" s="2">
        <f>T8/'Output-Calculation-sheet'!T7*'Output-Calculation-sheet'!T43</f>
        <v>433.61701486186399</v>
      </c>
      <c r="U52" s="2">
        <f>U8/'Output-Calculation-sheet'!U7*'Output-Calculation-sheet'!U43</f>
        <v>45.862328315342296</v>
      </c>
      <c r="V52" s="2">
        <f>V8/'Output-Calculation-sheet'!V7*'Output-Calculation-sheet'!V43</f>
        <v>781.93765646770748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2.0628866198291975</v>
      </c>
    </row>
    <row r="53" spans="1:27" x14ac:dyDescent="0.25">
      <c r="A53" s="2">
        <v>2032</v>
      </c>
      <c r="B53" s="2">
        <f>B9/'Output-Calculation-sheet'!B8*'Output-Calculation-sheet'!B44</f>
        <v>1563.3184283372341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294.72305236410648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236.11310935234641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738.17056965693814</v>
      </c>
      <c r="S53" s="2">
        <f>S9/'Output-Calculation-sheet'!S8*'Output-Calculation-sheet'!S44</f>
        <v>0</v>
      </c>
      <c r="T53" s="2">
        <f>T9/'Output-Calculation-sheet'!T8*'Output-Calculation-sheet'!T44</f>
        <v>508.95382599103874</v>
      </c>
      <c r="U53" s="2">
        <f>U9/'Output-Calculation-sheet'!U8*'Output-Calculation-sheet'!U44</f>
        <v>86.362162345335108</v>
      </c>
      <c r="V53" s="2">
        <f>V9/'Output-Calculation-sheet'!V8*'Output-Calculation-sheet'!V44</f>
        <v>853.22357846858392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4.280864726515583</v>
      </c>
    </row>
    <row r="54" spans="1:27" x14ac:dyDescent="0.25">
      <c r="A54" s="2">
        <v>2033</v>
      </c>
      <c r="B54" s="2">
        <f>B10/'Output-Calculation-sheet'!B9*'Output-Calculation-sheet'!B45</f>
        <v>4758.7127718330075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418.66141050196717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399.29110932856543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235.2894198401022</v>
      </c>
      <c r="Q54" s="2">
        <f>Q10/'Output-Calculation-sheet'!Q9*'Output-Calculation-sheet'!Q45</f>
        <v>0</v>
      </c>
      <c r="R54" s="2">
        <f>R10/'Output-Calculation-sheet'!R9*'Output-Calculation-sheet'!R45</f>
        <v>953.26328597347378</v>
      </c>
      <c r="S54" s="2">
        <f>S10/'Output-Calculation-sheet'!S9*'Output-Calculation-sheet'!S45</f>
        <v>0</v>
      </c>
      <c r="T54" s="2">
        <f>T10/'Output-Calculation-sheet'!T9*'Output-Calculation-sheet'!T45</f>
        <v>573.09512424139837</v>
      </c>
      <c r="U54" s="2">
        <f>U10/'Output-Calculation-sheet'!U9*'Output-Calculation-sheet'!U45</f>
        <v>136.91919084937115</v>
      </c>
      <c r="V54" s="2">
        <f>V10/'Output-Calculation-sheet'!V9*'Output-Calculation-sheet'!V45</f>
        <v>899.51701152075736</v>
      </c>
      <c r="W54" s="2">
        <f>W10/'Output-Calculation-sheet'!W9*'Output-Calculation-sheet'!W45</f>
        <v>14.627494581483914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8.3893768186701276</v>
      </c>
    </row>
    <row r="55" spans="1:27" x14ac:dyDescent="0.25">
      <c r="A55" s="2">
        <v>2034</v>
      </c>
      <c r="B55" s="2">
        <f>B11/'Output-Calculation-sheet'!B10*'Output-Calculation-sheet'!B46</f>
        <v>8352.2382748663276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556.60187746369274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547.61312079840798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443.25661400409615</v>
      </c>
      <c r="Q55" s="2">
        <f>Q11/'Output-Calculation-sheet'!Q10*'Output-Calculation-sheet'!Q46</f>
        <v>0</v>
      </c>
      <c r="R55" s="2">
        <f>R11/'Output-Calculation-sheet'!R10*'Output-Calculation-sheet'!R46</f>
        <v>1150.6151817011041</v>
      </c>
      <c r="S55" s="2">
        <f>S11/'Output-Calculation-sheet'!S10*'Output-Calculation-sheet'!S46</f>
        <v>0</v>
      </c>
      <c r="T55" s="2">
        <f>T11/'Output-Calculation-sheet'!T10*'Output-Calculation-sheet'!T46</f>
        <v>598.429817839414</v>
      </c>
      <c r="U55" s="2">
        <f>U11/'Output-Calculation-sheet'!U10*'Output-Calculation-sheet'!U46</f>
        <v>187.77965160381035</v>
      </c>
      <c r="V55" s="2">
        <f>V11/'Output-Calculation-sheet'!V10*'Output-Calculation-sheet'!V46</f>
        <v>901.8668848211712</v>
      </c>
      <c r="W55" s="2">
        <f>W11/'Output-Calculation-sheet'!W10*'Output-Calculation-sheet'!W46</f>
        <v>25.076340826552297</v>
      </c>
      <c r="X55" s="2">
        <f>X11/'Output-Calculation-sheet'!X10*'Output-Calculation-sheet'!X46</f>
        <v>59.981834183001986</v>
      </c>
      <c r="Y55" s="2">
        <f>Y11/'Output-Calculation-sheet'!Y10*'Output-Calculation-sheet'!Y46</f>
        <v>0</v>
      </c>
      <c r="AA55" s="2">
        <f t="shared" si="3"/>
        <v>12.823459598107576</v>
      </c>
    </row>
    <row r="56" spans="1:27" x14ac:dyDescent="0.25">
      <c r="A56" s="2">
        <v>2035</v>
      </c>
      <c r="B56" s="2">
        <f>B12/'Output-Calculation-sheet'!B11*'Output-Calculation-sheet'!B47</f>
        <v>17327.872002102245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639.44303267932935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618.69629731624229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588.93344469874501</v>
      </c>
      <c r="Q56" s="2">
        <f>Q12/'Output-Calculation-sheet'!Q11*'Output-Calculation-sheet'!Q47</f>
        <v>0</v>
      </c>
      <c r="R56" s="2">
        <f>R12/'Output-Calculation-sheet'!R11*'Output-Calculation-sheet'!R47</f>
        <v>1345.1877157434592</v>
      </c>
      <c r="S56" s="2">
        <f>S12/'Output-Calculation-sheet'!S11*'Output-Calculation-sheet'!S47</f>
        <v>0</v>
      </c>
      <c r="T56" s="2">
        <f>T12/'Output-Calculation-sheet'!T11*'Output-Calculation-sheet'!T47</f>
        <v>638.19139817713267</v>
      </c>
      <c r="U56" s="2">
        <f>U12/'Output-Calculation-sheet'!U11*'Output-Calculation-sheet'!U47</f>
        <v>244.4019573299995</v>
      </c>
      <c r="V56" s="2">
        <f>V12/'Output-Calculation-sheet'!V11*'Output-Calculation-sheet'!V47</f>
        <v>871.6093474867514</v>
      </c>
      <c r="W56" s="2">
        <f>W12/'Output-Calculation-sheet'!W11*'Output-Calculation-sheet'!W47</f>
        <v>33.997664329900687</v>
      </c>
      <c r="X56" s="2">
        <f>X12/'Output-Calculation-sheet'!X11*'Output-Calculation-sheet'!X47</f>
        <v>134.18025219900593</v>
      </c>
      <c r="Y56" s="2">
        <f>Y12/'Output-Calculation-sheet'!Y11*'Output-Calculation-sheet'!Y47</f>
        <v>0</v>
      </c>
      <c r="AA56" s="2">
        <f t="shared" si="3"/>
        <v>22.442513112062809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 t="shared" ref="AA60:AA67" si="4"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si="4"/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6.7178831696505537</v>
      </c>
      <c r="C63" s="2">
        <f>C8*'Output-Calculation-sheet'!C52/10^9</f>
        <v>3.405138953113132</v>
      </c>
      <c r="D63" s="2">
        <f>D8*'Output-Calculation-sheet'!D52/10^9</f>
        <v>1.1895667345545933</v>
      </c>
      <c r="E63" s="2">
        <f>E8*'Output-Calculation-sheet'!E52/10^9</f>
        <v>1.5316726462369548</v>
      </c>
      <c r="F63" s="2">
        <f>F8*'Output-Calculation-sheet'!F52/10^9</f>
        <v>0.63710279278404702</v>
      </c>
      <c r="G63" s="2">
        <f>G8*'Output-Calculation-sheet'!G52/10^9</f>
        <v>0.45713641039959563</v>
      </c>
      <c r="H63" s="2">
        <f>H8*'Output-Calculation-sheet'!H52/10^9</f>
        <v>0.88305325364868581</v>
      </c>
      <c r="I63" s="2">
        <f>I8*'Output-Calculation-sheet'!I52/10^9</f>
        <v>0.40979353922598316</v>
      </c>
      <c r="J63" s="2">
        <f>J8*'Output-Calculation-sheet'!J52/10^9</f>
        <v>0.44054407026916981</v>
      </c>
      <c r="K63" s="2">
        <f>K8*'Output-Calculation-sheet'!K52/10^9</f>
        <v>0.44987220838283143</v>
      </c>
      <c r="L63" s="2">
        <f>L8*'Output-Calculation-sheet'!L52/10^9</f>
        <v>0.46787195972770768</v>
      </c>
      <c r="M63" s="2">
        <f>M8*'Output-Calculation-sheet'!M52/10^9</f>
        <v>0.66773058550289488</v>
      </c>
      <c r="N63" s="2">
        <f>N8*'Output-Calculation-sheet'!N52/10^9</f>
        <v>0.5641552322926332</v>
      </c>
      <c r="O63" s="2">
        <f>O8*'Output-Calculation-sheet'!O52/10^9</f>
        <v>0.58442955731757373</v>
      </c>
      <c r="P63" s="2">
        <f>P8*'Output-Calculation-sheet'!P52/10^9</f>
        <v>0.48435961573838993</v>
      </c>
      <c r="Q63" s="2">
        <f>Q8*'Output-Calculation-sheet'!Q52/10^9</f>
        <v>0.45820035757545452</v>
      </c>
      <c r="R63" s="2">
        <f>R8*'Output-Calculation-sheet'!R52/10^9</f>
        <v>0.38600700846181735</v>
      </c>
      <c r="S63" s="2">
        <f>S8*'Output-Calculation-sheet'!S52/10^9</f>
        <v>0.35490942117174423</v>
      </c>
      <c r="T63" s="2">
        <f>T8*'Output-Calculation-sheet'!T52/10^9</f>
        <v>0.12640035848635583</v>
      </c>
      <c r="U63" s="2">
        <f>U8*'Output-Calculation-sheet'!U52/10^9</f>
        <v>0.12398993137203657</v>
      </c>
      <c r="V63" s="2">
        <f>V8*'Output-Calculation-sheet'!V52/10^9</f>
        <v>0.11112799159523933</v>
      </c>
      <c r="W63" s="2">
        <f>W8*'Output-Calculation-sheet'!W52/10^9</f>
        <v>5.8010656775959193E-2</v>
      </c>
      <c r="X63" s="2">
        <f>X8*'Output-Calculation-sheet'!X52/10^9</f>
        <v>9.3746469277593919E-2</v>
      </c>
      <c r="Y63" s="2">
        <f>Y8*'Output-Calculation-sheet'!Y52/10^9</f>
        <v>4.8352550883469306E-2</v>
      </c>
      <c r="AA63" s="2">
        <f t="shared" si="4"/>
        <v>20.651055474444419</v>
      </c>
    </row>
    <row r="64" spans="1:27" x14ac:dyDescent="0.25">
      <c r="A64" s="2">
        <v>2032</v>
      </c>
      <c r="B64" s="2">
        <f>B9*'Output-Calculation-sheet'!B53/10^9</f>
        <v>7.0667494030331763</v>
      </c>
      <c r="C64" s="2">
        <f>C9*'Output-Calculation-sheet'!C53/10^9</f>
        <v>3.5787665452338668</v>
      </c>
      <c r="D64" s="2">
        <f>D9*'Output-Calculation-sheet'!D53/10^9</f>
        <v>1.2535913562575189</v>
      </c>
      <c r="E64" s="2">
        <f>E9*'Output-Calculation-sheet'!E53/10^9</f>
        <v>1.6143198544020019</v>
      </c>
      <c r="F64" s="2">
        <f>F9*'Output-Calculation-sheet'!F53/10^9</f>
        <v>0.67089724051344612</v>
      </c>
      <c r="G64" s="2">
        <f>G9*'Output-Calculation-sheet'!G53/10^9</f>
        <v>0.48163713531190622</v>
      </c>
      <c r="H64" s="2">
        <f>H9*'Output-Calculation-sheet'!H53/10^9</f>
        <v>0.92693771747006859</v>
      </c>
      <c r="I64" s="2">
        <f>I9*'Output-Calculation-sheet'!I53/10^9</f>
        <v>0.43180705483596249</v>
      </c>
      <c r="J64" s="2">
        <f>J9*'Output-Calculation-sheet'!J53/10^9</f>
        <v>0.46406555461557142</v>
      </c>
      <c r="K64" s="2">
        <f>K9*'Output-Calculation-sheet'!K53/10^9</f>
        <v>0.47417470917130689</v>
      </c>
      <c r="L64" s="2">
        <f>L9*'Output-Calculation-sheet'!L53/10^9</f>
        <v>0.49299479182511918</v>
      </c>
      <c r="M64" s="2">
        <f>M9*'Output-Calculation-sheet'!M53/10^9</f>
        <v>0.7010845156868597</v>
      </c>
      <c r="N64" s="2">
        <f>N9*'Output-Calculation-sheet'!N53/10^9</f>
        <v>0.59298811539282381</v>
      </c>
      <c r="O64" s="2">
        <f>O9*'Output-Calculation-sheet'!O53/10^9</f>
        <v>0.61442253419273962</v>
      </c>
      <c r="P64" s="2">
        <f>P9*'Output-Calculation-sheet'!P53/10^9</f>
        <v>0.51082369893020341</v>
      </c>
      <c r="Q64" s="2">
        <f>Q9*'Output-Calculation-sheet'!Q53/10^9</f>
        <v>0.48316193499029098</v>
      </c>
      <c r="R64" s="2">
        <f>R9*'Output-Calculation-sheet'!R53/10^9</f>
        <v>0.40638001352833431</v>
      </c>
      <c r="S64" s="2">
        <f>S9*'Output-Calculation-sheet'!S53/10^9</f>
        <v>0.37338340216962779</v>
      </c>
      <c r="T64" s="2">
        <f>T9*'Output-Calculation-sheet'!T53/10^9</f>
        <v>0.13277985538882334</v>
      </c>
      <c r="U64" s="2">
        <f>U9*'Output-Calculation-sheet'!U53/10^9</f>
        <v>0.13071553682881112</v>
      </c>
      <c r="V64" s="2">
        <f>V9*'Output-Calculation-sheet'!V53/10^9</f>
        <v>0.11635049601386861</v>
      </c>
      <c r="W64" s="2">
        <f>W9*'Output-Calculation-sheet'!W53/10^9</f>
        <v>6.109582397918021E-2</v>
      </c>
      <c r="X64" s="2">
        <f>X9*'Output-Calculation-sheet'!X53/10^9</f>
        <v>9.8499104409261962E-2</v>
      </c>
      <c r="Y64" s="2">
        <f>Y9*'Output-Calculation-sheet'!Y53/10^9</f>
        <v>5.097727821192094E-2</v>
      </c>
      <c r="AA64" s="2">
        <f t="shared" si="4"/>
        <v>21.728603672392691</v>
      </c>
    </row>
    <row r="65" spans="1:27" x14ac:dyDescent="0.25">
      <c r="A65" s="2">
        <v>2033</v>
      </c>
      <c r="B65" s="2">
        <f>B10*'Output-Calculation-sheet'!B54/10^9</f>
        <v>7.1145605621389354</v>
      </c>
      <c r="C65" s="2">
        <f>C10*'Output-Calculation-sheet'!C54/10^9</f>
        <v>3.6018548999148221</v>
      </c>
      <c r="D65" s="2">
        <f>D10*'Output-Calculation-sheet'!D54/10^9</f>
        <v>1.2654044014403647</v>
      </c>
      <c r="E65" s="2">
        <f>E10*'Output-Calculation-sheet'!E54/10^9</f>
        <v>1.6297420634260675</v>
      </c>
      <c r="F65" s="2">
        <f>F10*'Output-Calculation-sheet'!F54/10^9</f>
        <v>0.67671394231945969</v>
      </c>
      <c r="G65" s="2">
        <f>G10*'Output-Calculation-sheet'!G54/10^9</f>
        <v>0.48596392774297292</v>
      </c>
      <c r="H65" s="2">
        <f>H10*'Output-Calculation-sheet'!H54/10^9</f>
        <v>0.93179369180083016</v>
      </c>
      <c r="I65" s="2">
        <f>I10*'Output-Calculation-sheet'!I54/10^9</f>
        <v>0.43583513107278027</v>
      </c>
      <c r="J65" s="2">
        <f>J10*'Output-Calculation-sheet'!J54/10^9</f>
        <v>0.46814255897786211</v>
      </c>
      <c r="K65" s="2">
        <f>K10*'Output-Calculation-sheet'!K54/10^9</f>
        <v>0.47873373143134651</v>
      </c>
      <c r="L65" s="2">
        <f>L10*'Output-Calculation-sheet'!L54/10^9</f>
        <v>0.49757834592113892</v>
      </c>
      <c r="M65" s="2">
        <f>M10*'Output-Calculation-sheet'!M54/10^9</f>
        <v>0.70492184712153161</v>
      </c>
      <c r="N65" s="2">
        <f>N10*'Output-Calculation-sheet'!N54/10^9</f>
        <v>0.59672246451841005</v>
      </c>
      <c r="O65" s="2">
        <f>O10*'Output-Calculation-sheet'!O54/10^9</f>
        <v>0.61850429047675326</v>
      </c>
      <c r="P65" s="2">
        <f>P10*'Output-Calculation-sheet'!P54/10^9</f>
        <v>0.51592861680966273</v>
      </c>
      <c r="Q65" s="2">
        <f>Q10*'Output-Calculation-sheet'!Q54/10^9</f>
        <v>0.48801472728944861</v>
      </c>
      <c r="R65" s="2">
        <f>R10*'Output-Calculation-sheet'!R54/10^9</f>
        <v>0.40968406449406725</v>
      </c>
      <c r="S65" s="2">
        <f>S10*'Output-Calculation-sheet'!S54/10^9</f>
        <v>0.37607065111581217</v>
      </c>
      <c r="T65" s="2">
        <f>T10*'Output-Calculation-sheet'!T54/10^9</f>
        <v>0.13356121708817659</v>
      </c>
      <c r="U65" s="2">
        <f>U10*'Output-Calculation-sheet'!U54/10^9</f>
        <v>0.13196694477501056</v>
      </c>
      <c r="V65" s="2">
        <f>V10*'Output-Calculation-sheet'!V54/10^9</f>
        <v>0.11667633563816757</v>
      </c>
      <c r="W65" s="2">
        <f>W10*'Output-Calculation-sheet'!W54/10^9</f>
        <v>6.1626358617389146E-2</v>
      </c>
      <c r="X65" s="2">
        <f>X10*'Output-Calculation-sheet'!X54/10^9</f>
        <v>9.9111718403622553E-2</v>
      </c>
      <c r="Y65" s="2">
        <f>Y10*'Output-Calculation-sheet'!Y54/10^9</f>
        <v>5.1480534444888974E-2</v>
      </c>
      <c r="AA65" s="2">
        <f t="shared" si="4"/>
        <v>21.890593026979523</v>
      </c>
    </row>
    <row r="66" spans="1:27" x14ac:dyDescent="0.25">
      <c r="A66" s="2">
        <v>2034</v>
      </c>
      <c r="B66" s="2">
        <f>B11*'Output-Calculation-sheet'!B55/10^9</f>
        <v>6.9070372835418015</v>
      </c>
      <c r="C66" s="2">
        <f>C11*'Output-Calculation-sheet'!C55/10^9</f>
        <v>3.4987746556468844</v>
      </c>
      <c r="D66" s="2">
        <f>D11*'Output-Calculation-sheet'!D55/10^9</f>
        <v>1.233150553481815</v>
      </c>
      <c r="E66" s="2">
        <f>E11*'Output-Calculation-sheet'!E55/10^9</f>
        <v>1.5883942304131187</v>
      </c>
      <c r="F66" s="2">
        <f>F11*'Output-Calculation-sheet'!F55/10^9</f>
        <v>0.65896357871277322</v>
      </c>
      <c r="G66" s="2">
        <f>G11*'Output-Calculation-sheet'!G55/10^9</f>
        <v>0.47328915435641356</v>
      </c>
      <c r="H66" s="2">
        <f>H11*'Output-Calculation-sheet'!H55/10^9</f>
        <v>0.90405409199768039</v>
      </c>
      <c r="I66" s="2">
        <f>I11*'Output-Calculation-sheet'!I55/10^9</f>
        <v>0.42468170131906013</v>
      </c>
      <c r="J66" s="2">
        <f>J11*'Output-Calculation-sheet'!J55/10^9</f>
        <v>0.45581774123086588</v>
      </c>
      <c r="K66" s="2">
        <f>K11*'Output-Calculation-sheet'!K55/10^9</f>
        <v>0.46661230872502052</v>
      </c>
      <c r="L66" s="2">
        <f>L11*'Output-Calculation-sheet'!L55/10^9</f>
        <v>0.48451423073287125</v>
      </c>
      <c r="M66" s="2">
        <f>M11*'Output-Calculation-sheet'!M55/10^9</f>
        <v>0.68408251772706774</v>
      </c>
      <c r="N66" s="2">
        <f>N11*'Output-Calculation-sheet'!N55/10^9</f>
        <v>0.57943162693067274</v>
      </c>
      <c r="O66" s="2">
        <f>O11*'Output-Calculation-sheet'!O55/10^9</f>
        <v>0.60087757317224966</v>
      </c>
      <c r="P66" s="2">
        <f>P11*'Output-Calculation-sheet'!P55/10^9</f>
        <v>0.50285561103232468</v>
      </c>
      <c r="Q66" s="2">
        <f>Q11*'Output-Calculation-sheet'!Q55/10^9</f>
        <v>0.47586142810774895</v>
      </c>
      <c r="R66" s="2">
        <f>R11*'Output-Calculation-sheet'!R55/10^9</f>
        <v>0.39856819955335926</v>
      </c>
      <c r="S66" s="2">
        <f>S11*'Output-Calculation-sheet'!S55/10^9</f>
        <v>0.36552704412195713</v>
      </c>
      <c r="T66" s="2">
        <f>T11*'Output-Calculation-sheet'!T55/10^9</f>
        <v>0.12967452875419327</v>
      </c>
      <c r="U66" s="2">
        <f>U11*'Output-Calculation-sheet'!U55/10^9</f>
        <v>0.12858896642871789</v>
      </c>
      <c r="V66" s="2">
        <f>V11*'Output-Calculation-sheet'!V55/10^9</f>
        <v>0.11295613042201129</v>
      </c>
      <c r="W66" s="2">
        <f>W11*'Output-Calculation-sheet'!W55/10^9</f>
        <v>6.0004542419472152E-2</v>
      </c>
      <c r="X66" s="2">
        <f>X11*'Output-Calculation-sheet'!X55/10^9</f>
        <v>9.6206685841710701E-2</v>
      </c>
      <c r="Y66" s="2">
        <f>Y11*'Output-Calculation-sheet'!Y55/10^9</f>
        <v>5.01904867377648E-2</v>
      </c>
      <c r="AA66" s="2">
        <f t="shared" si="4"/>
        <v>21.280114871407552</v>
      </c>
    </row>
    <row r="67" spans="1:27" x14ac:dyDescent="0.25">
      <c r="A67" s="2">
        <v>2035</v>
      </c>
      <c r="B67" s="2">
        <f>B12*'Output-Calculation-sheet'!B56/10^9</f>
        <v>6.4844536183218997</v>
      </c>
      <c r="C67" s="2">
        <f>C12*'Output-Calculation-sheet'!C56/10^9</f>
        <v>3.2914715826540251</v>
      </c>
      <c r="D67" s="2">
        <f>D12*'Output-Calculation-sheet'!D56/10^9</f>
        <v>1.1641420824398203</v>
      </c>
      <c r="E67" s="2">
        <f>E12*'Output-Calculation-sheet'!E56/10^9</f>
        <v>1.4996846925196481</v>
      </c>
      <c r="F67" s="2">
        <f>F12*'Output-Calculation-sheet'!F56/10^9</f>
        <v>0.62160757599700678</v>
      </c>
      <c r="G67" s="2">
        <f>G12*'Output-Calculation-sheet'!G56/10^9</f>
        <v>0.44643699041547324</v>
      </c>
      <c r="H67" s="2">
        <f>H12*'Output-Calculation-sheet'!H56/10^9</f>
        <v>0.84948076975431008</v>
      </c>
      <c r="I67" s="2">
        <f>I12*'Output-Calculation-sheet'!I56/10^9</f>
        <v>0.40087148402563222</v>
      </c>
      <c r="J67" s="2">
        <f>J12*'Output-Calculation-sheet'!J56/10^9</f>
        <v>0.42987182704520943</v>
      </c>
      <c r="K67" s="2">
        <f>K12*'Output-Calculation-sheet'!K56/10^9</f>
        <v>0.44057378515887063</v>
      </c>
      <c r="L67" s="2">
        <f>L12*'Output-Calculation-sheet'!L56/10^9</f>
        <v>0.45662484926952535</v>
      </c>
      <c r="M67" s="2">
        <f>M12*'Output-Calculation-sheet'!M56/10^9</f>
        <v>0.64291224805605462</v>
      </c>
      <c r="N67" s="2">
        <f>N12*'Output-Calculation-sheet'!N56/10^9</f>
        <v>0.54485573666423881</v>
      </c>
      <c r="O67" s="2">
        <f>O12*'Output-Calculation-sheet'!O56/10^9</f>
        <v>0.56525858180191324</v>
      </c>
      <c r="P67" s="2">
        <f>P12*'Output-Calculation-sheet'!P56/10^9</f>
        <v>0.47462569702681928</v>
      </c>
      <c r="Q67" s="2">
        <f>Q12*'Output-Calculation-sheet'!Q56/10^9</f>
        <v>0.44946260033765217</v>
      </c>
      <c r="R67" s="2">
        <f>R12*'Output-Calculation-sheet'!R56/10^9</f>
        <v>0.3754968710912987</v>
      </c>
      <c r="S67" s="2">
        <f>S12*'Output-Calculation-sheet'!S56/10^9</f>
        <v>0.34407448428491505</v>
      </c>
      <c r="T67" s="2">
        <f>T12*'Output-Calculation-sheet'!T56/10^9</f>
        <v>0.12193749563624796</v>
      </c>
      <c r="U67" s="2">
        <f>U12*'Output-Calculation-sheet'!U56/10^9</f>
        <v>0.12133595446271052</v>
      </c>
      <c r="V67" s="2">
        <f>V12*'Output-Calculation-sheet'!V56/10^9</f>
        <v>0.10592702219964434</v>
      </c>
      <c r="W67" s="2">
        <f>W12*'Output-Calculation-sheet'!W56/10^9</f>
        <v>5.6590556415101086E-2</v>
      </c>
      <c r="X67" s="2">
        <f>X12*'Output-Calculation-sheet'!X56/10^9</f>
        <v>9.0345485907529069E-2</v>
      </c>
      <c r="Y67" s="2">
        <f>Y12*'Output-Calculation-sheet'!Y56/10^9</f>
        <v>4.7402913344437636E-2</v>
      </c>
      <c r="AA67" s="2">
        <f t="shared" si="4"/>
        <v>20.025444904829985</v>
      </c>
    </row>
    <row r="68" spans="1:27" x14ac:dyDescent="0.25">
      <c r="B68" s="2">
        <f>SUM(B60:B67)</f>
        <v>48.882921126520806</v>
      </c>
      <c r="C68" s="2">
        <f t="shared" ref="C68:Y68" si="5">SUM(C60:C67)</f>
        <v>24.760495416855619</v>
      </c>
      <c r="D68" s="2">
        <f t="shared" si="5"/>
        <v>8.6866316551396601</v>
      </c>
      <c r="E68" s="2">
        <f t="shared" si="5"/>
        <v>11.185547890473376</v>
      </c>
      <c r="F68" s="2">
        <f t="shared" si="5"/>
        <v>4.6501827551303707</v>
      </c>
      <c r="G68" s="2">
        <f t="shared" si="5"/>
        <v>3.3359422365201405</v>
      </c>
      <c r="H68" s="2">
        <f t="shared" si="5"/>
        <v>6.4151261552135264</v>
      </c>
      <c r="I68" s="2">
        <f t="shared" si="5"/>
        <v>2.9922449520902115</v>
      </c>
      <c r="J68" s="2">
        <f t="shared" si="5"/>
        <v>3.2147446882729653</v>
      </c>
      <c r="K68" s="2">
        <f t="shared" si="5"/>
        <v>3.2854318574878469</v>
      </c>
      <c r="L68" s="2">
        <f t="shared" si="5"/>
        <v>3.4149669027834224</v>
      </c>
      <c r="M68" s="2">
        <f t="shared" si="5"/>
        <v>4.8517550298030638</v>
      </c>
      <c r="N68" s="2">
        <f t="shared" si="5"/>
        <v>4.1026727670105148</v>
      </c>
      <c r="O68" s="2">
        <f t="shared" si="5"/>
        <v>4.2470405938691353</v>
      </c>
      <c r="P68" s="2">
        <f t="shared" si="5"/>
        <v>3.537130155282965</v>
      </c>
      <c r="Q68" s="2">
        <f t="shared" si="5"/>
        <v>3.3470455461724469</v>
      </c>
      <c r="R68" s="2">
        <f t="shared" si="5"/>
        <v>2.8141842677363371</v>
      </c>
      <c r="S68" s="2">
        <f t="shared" si="5"/>
        <v>2.5837421403928591</v>
      </c>
      <c r="T68" s="2">
        <f t="shared" si="5"/>
        <v>0.92100558359700624</v>
      </c>
      <c r="U68" s="2">
        <f t="shared" si="5"/>
        <v>0.90502791706849983</v>
      </c>
      <c r="V68" s="2">
        <f t="shared" si="5"/>
        <v>0.80984190189122074</v>
      </c>
      <c r="W68" s="2">
        <f t="shared" si="5"/>
        <v>0.42338913571677184</v>
      </c>
      <c r="X68" s="2">
        <f t="shared" si="5"/>
        <v>0.68137137295028249</v>
      </c>
      <c r="Y68" s="2">
        <f t="shared" si="5"/>
        <v>0.35317987290857483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50.97410864266773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45.374632940394477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180.03625655653624</v>
      </c>
      <c r="S74" s="2">
        <f>S8/'Output-Calculation-sheet'!S7*'Output-Calculation-sheet'!S61</f>
        <v>0</v>
      </c>
      <c r="T74" s="2">
        <f>T8/'Output-Calculation-sheet'!T7*'Output-Calculation-sheet'!T61</f>
        <v>132.62820965383014</v>
      </c>
      <c r="U74" s="2">
        <f>U8/'Output-Calculation-sheet'!U7*'Output-Calculation-sheet'!U61</f>
        <v>16.800899606187059</v>
      </c>
      <c r="V74" s="2">
        <f>V8/'Output-Calculation-sheet'!V7*'Output-Calculation-sheet'!V61</f>
        <v>152.23815357881838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0.57805226097843398</v>
      </c>
    </row>
    <row r="75" spans="1:27" x14ac:dyDescent="0.25">
      <c r="A75" s="2">
        <v>2032</v>
      </c>
      <c r="B75" s="2">
        <f>B9/'Output-Calculation-sheet'!B8*'Output-Calculation-sheet'!B62</f>
        <v>532.30992484882825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107.9570540809722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86.496102392742912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228.8664298013625</v>
      </c>
      <c r="S75" s="2">
        <f>S9/'Output-Calculation-sheet'!S8*'Output-Calculation-sheet'!S62</f>
        <v>0</v>
      </c>
      <c r="T75" s="2">
        <f>T9/'Output-Calculation-sheet'!T8*'Output-Calculation-sheet'!T62</f>
        <v>151.1716998272895</v>
      </c>
      <c r="U75" s="2">
        <f>U9/'Output-Calculation-sheet'!U8*'Output-Calculation-sheet'!U62</f>
        <v>30.901461214190217</v>
      </c>
      <c r="V75" s="2">
        <f>V9/'Output-Calculation-sheet'!V8*'Output-Calculation-sheet'!V62</f>
        <v>161.93767312710079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1.2996403452924865</v>
      </c>
    </row>
    <row r="76" spans="1:27" x14ac:dyDescent="0.25">
      <c r="A76" s="2">
        <v>2033</v>
      </c>
      <c r="B76" s="2">
        <f>B10/'Output-Calculation-sheet'!B9*'Output-Calculation-sheet'!B63</f>
        <v>1307.2580543622926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153.34969378957771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146.27364305069781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65.989632672077889</v>
      </c>
      <c r="Q76" s="2">
        <f>Q10/'Output-Calculation-sheet'!Q9*'Output-Calculation-sheet'!Q63</f>
        <v>0</v>
      </c>
      <c r="R76" s="2">
        <f>R10/'Output-Calculation-sheet'!R9*'Output-Calculation-sheet'!R63</f>
        <v>281.05946633407189</v>
      </c>
      <c r="S76" s="2">
        <f>S10/'Output-Calculation-sheet'!S9*'Output-Calculation-sheet'!S63</f>
        <v>0</v>
      </c>
      <c r="T76" s="2">
        <f>T10/'Output-Calculation-sheet'!T9*'Output-Calculation-sheet'!T63</f>
        <v>164.2704749528861</v>
      </c>
      <c r="U76" s="2">
        <f>U10/'Output-Calculation-sheet'!U9*'Output-Calculation-sheet'!U63</f>
        <v>47.779320838796558</v>
      </c>
      <c r="V76" s="2">
        <f>V10/'Output-Calculation-sheet'!V9*'Output-Calculation-sheet'!V63</f>
        <v>170.62106243878705</v>
      </c>
      <c r="W76" s="2">
        <f>W10/'Output-Calculation-sheet'!W9*'Output-Calculation-sheet'!W63</f>
        <v>5.3573198904684833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2.341958668329656</v>
      </c>
    </row>
    <row r="77" spans="1:27" x14ac:dyDescent="0.25">
      <c r="A77" s="2">
        <v>2034</v>
      </c>
      <c r="B77" s="2">
        <f>B11/'Output-Calculation-sheet'!B10*'Output-Calculation-sheet'!B64</f>
        <v>2140.5038555587657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203.89205616564746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189.52629342680137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122.33882546513054</v>
      </c>
      <c r="Q77" s="2">
        <f>Q11/'Output-Calculation-sheet'!Q10*'Output-Calculation-sheet'!Q64</f>
        <v>0</v>
      </c>
      <c r="R77" s="2">
        <f>R11/'Output-Calculation-sheet'!R10*'Output-Calculation-sheet'!R64</f>
        <v>317.78657271997014</v>
      </c>
      <c r="S77" s="2">
        <f>S11/'Output-Calculation-sheet'!S10*'Output-Calculation-sheet'!S64</f>
        <v>0</v>
      </c>
      <c r="T77" s="2">
        <f>T11/'Output-Calculation-sheet'!T10*'Output-Calculation-sheet'!T64</f>
        <v>171.16943604076849</v>
      </c>
      <c r="U77" s="2">
        <f>U11/'Output-Calculation-sheet'!U10*'Output-Calculation-sheet'!U64</f>
        <v>58.029277478480374</v>
      </c>
      <c r="V77" s="2">
        <f>V11/'Output-Calculation-sheet'!V10*'Output-Calculation-sheet'!V64</f>
        <v>173.33219605613502</v>
      </c>
      <c r="W77" s="2">
        <f>W11/'Output-Calculation-sheet'!W10*'Output-Calculation-sheet'!W64</f>
        <v>9.1851054113257273</v>
      </c>
      <c r="X77" s="2">
        <f>X11/'Output-Calculation-sheet'!X10*'Output-Calculation-sheet'!X64</f>
        <v>16.480008941779797</v>
      </c>
      <c r="Y77" s="2">
        <f>Y11/'Output-Calculation-sheet'!Y10*'Output-Calculation-sheet'!Y64</f>
        <v>0</v>
      </c>
      <c r="AA77" s="2">
        <f t="shared" si="6"/>
        <v>3.4022436272648049</v>
      </c>
    </row>
    <row r="78" spans="1:27" x14ac:dyDescent="0.25">
      <c r="A78" s="2">
        <v>2035</v>
      </c>
      <c r="B78" s="2">
        <f>B12/'Output-Calculation-sheet'!B11*'Output-Calculation-sheet'!B65</f>
        <v>3575.2561434124791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231.20035912005667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204.1945259662526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165.87731136686369</v>
      </c>
      <c r="Q78" s="2">
        <f>Q12/'Output-Calculation-sheet'!Q11*'Output-Calculation-sheet'!Q65</f>
        <v>0</v>
      </c>
      <c r="R78" s="2">
        <f>R12/'Output-Calculation-sheet'!R11*'Output-Calculation-sheet'!R65</f>
        <v>364.13440178283827</v>
      </c>
      <c r="S78" s="2">
        <f>S12/'Output-Calculation-sheet'!S11*'Output-Calculation-sheet'!S65</f>
        <v>0</v>
      </c>
      <c r="T78" s="2">
        <f>T12/'Output-Calculation-sheet'!T11*'Output-Calculation-sheet'!T65</f>
        <v>176.25207026904792</v>
      </c>
      <c r="U78" s="2">
        <f>U12/'Output-Calculation-sheet'!U11*'Output-Calculation-sheet'!U65</f>
        <v>68.529290493842979</v>
      </c>
      <c r="V78" s="2">
        <f>V12/'Output-Calculation-sheet'!V11*'Output-Calculation-sheet'!V65</f>
        <v>166.28500312660535</v>
      </c>
      <c r="W78" s="2">
        <f>W12/'Output-Calculation-sheet'!W11*'Output-Calculation-sheet'!W65</f>
        <v>12.453344444042619</v>
      </c>
      <c r="X78" s="2">
        <f>X12/'Output-Calculation-sheet'!X11*'Output-Calculation-sheet'!X65</f>
        <v>34.008594830075332</v>
      </c>
      <c r="Y78" s="2">
        <f>Y12/'Output-Calculation-sheet'!Y11*'Output-Calculation-sheet'!Y65</f>
        <v>0</v>
      </c>
      <c r="AA78" s="2">
        <f t="shared" si="6"/>
        <v>4.9981910448121054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 t="shared" ref="AA93:AA100" si="8"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si="8"/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14751012912.50889</v>
      </c>
      <c r="C96" s="2">
        <f>C8/'Output-Calculation-sheet'!C7*'Output-Calculation-sheet'!C79</f>
        <v>1815693491.4152315</v>
      </c>
      <c r="D96" s="2">
        <f>D8/'Output-Calculation-sheet'!D7*'Output-Calculation-sheet'!D79</f>
        <v>6429926589.3805723</v>
      </c>
      <c r="E96" s="2">
        <f>E8/'Output-Calculation-sheet'!E7*'Output-Calculation-sheet'!E79</f>
        <v>10993721461.628075</v>
      </c>
      <c r="F96" s="2">
        <f>F8/'Output-Calculation-sheet'!F7*'Output-Calculation-sheet'!F79</f>
        <v>4947541569.833231</v>
      </c>
      <c r="G96" s="2">
        <f>G8/'Output-Calculation-sheet'!G7*'Output-Calculation-sheet'!G79</f>
        <v>3757882519.3329482</v>
      </c>
      <c r="H96" s="2">
        <f>H8/'Output-Calculation-sheet'!H7*'Output-Calculation-sheet'!H79</f>
        <v>1093296206.9572432</v>
      </c>
      <c r="I96" s="2">
        <f>I8/'Output-Calculation-sheet'!I7*'Output-Calculation-sheet'!I79</f>
        <v>2520685691.9849343</v>
      </c>
      <c r="J96" s="2">
        <f>J8/'Output-Calculation-sheet'!J7*'Output-Calculation-sheet'!J79</f>
        <v>1867871780.4822066</v>
      </c>
      <c r="K96" s="2">
        <f>K8/'Output-Calculation-sheet'!K7*'Output-Calculation-sheet'!K79</f>
        <v>2159729356.0368814</v>
      </c>
      <c r="L96" s="2">
        <f>L8/'Output-Calculation-sheet'!L7*'Output-Calculation-sheet'!L79</f>
        <v>1718025019.2136362</v>
      </c>
      <c r="M96" s="2">
        <f>M8/'Output-Calculation-sheet'!M7*'Output-Calculation-sheet'!M79</f>
        <v>849940235.88296568</v>
      </c>
      <c r="N96" s="2">
        <f>N8/'Output-Calculation-sheet'!N7*'Output-Calculation-sheet'!N79</f>
        <v>863198639.04677343</v>
      </c>
      <c r="O96" s="2">
        <f>O8/'Output-Calculation-sheet'!O7*'Output-Calculation-sheet'!O79</f>
        <v>210706868.57363415</v>
      </c>
      <c r="P96" s="2">
        <f>P8/'Output-Calculation-sheet'!P7*'Output-Calculation-sheet'!P79</f>
        <v>2295811629.0356317</v>
      </c>
      <c r="Q96" s="2">
        <f>Q8/'Output-Calculation-sheet'!Q7*'Output-Calculation-sheet'!Q79</f>
        <v>1018035594.5109503</v>
      </c>
      <c r="R96" s="2">
        <f>R8/'Output-Calculation-sheet'!R7*'Output-Calculation-sheet'!R79</f>
        <v>1548924598.0433044</v>
      </c>
      <c r="S96" s="2">
        <f>S8/'Output-Calculation-sheet'!S7*'Output-Calculation-sheet'!S79</f>
        <v>605431062.95221472</v>
      </c>
      <c r="T96" s="2">
        <f>T8/'Output-Calculation-sheet'!T7*'Output-Calculation-sheet'!T79</f>
        <v>819946922.31516373</v>
      </c>
      <c r="U96" s="2">
        <f>U8/'Output-Calculation-sheet'!U7*'Output-Calculation-sheet'!U79</f>
        <v>407244786.86273897</v>
      </c>
      <c r="V96" s="2">
        <f>V8/'Output-Calculation-sheet'!V7*'Output-Calculation-sheet'!V79</f>
        <v>300086100.50339156</v>
      </c>
      <c r="W96" s="2">
        <f>W8/'Output-Calculation-sheet'!W7*'Output-Calculation-sheet'!W79</f>
        <v>799442527.66400325</v>
      </c>
      <c r="X96" s="2">
        <f>X8/'Output-Calculation-sheet'!X7*'Output-Calculation-sheet'!X79</f>
        <v>94732199.284152344</v>
      </c>
      <c r="Y96" s="2">
        <f>Y8/'Output-Calculation-sheet'!Y7*'Output-Calculation-sheet'!Y79</f>
        <v>358779986.33275992</v>
      </c>
      <c r="AA96" s="2">
        <f t="shared" si="8"/>
        <v>62.227667749781531</v>
      </c>
    </row>
    <row r="97" spans="1:27" x14ac:dyDescent="0.25">
      <c r="A97" s="2">
        <v>2032</v>
      </c>
      <c r="B97" s="2">
        <f>B9/'Output-Calculation-sheet'!B8*'Output-Calculation-sheet'!B80</f>
        <v>15832368638.474823</v>
      </c>
      <c r="C97" s="2">
        <f>C9/'Output-Calculation-sheet'!C8*'Output-Calculation-sheet'!C80</f>
        <v>1989071923.7417023</v>
      </c>
      <c r="D97" s="2">
        <f>D9/'Output-Calculation-sheet'!D8*'Output-Calculation-sheet'!D80</f>
        <v>6550999518.2031651</v>
      </c>
      <c r="E97" s="2">
        <f>E9/'Output-Calculation-sheet'!E8*'Output-Calculation-sheet'!E80</f>
        <v>11533725861.949722</v>
      </c>
      <c r="F97" s="2">
        <f>F9/'Output-Calculation-sheet'!F8*'Output-Calculation-sheet'!F80</f>
        <v>5178574978.6794767</v>
      </c>
      <c r="G97" s="2">
        <f>G9/'Output-Calculation-sheet'!G8*'Output-Calculation-sheet'!G80</f>
        <v>3833082549.3623834</v>
      </c>
      <c r="H97" s="2">
        <f>H9/'Output-Calculation-sheet'!H8*'Output-Calculation-sheet'!H80</f>
        <v>1161448786.7693958</v>
      </c>
      <c r="I97" s="2">
        <f>I9/'Output-Calculation-sheet'!I8*'Output-Calculation-sheet'!I80</f>
        <v>2662349362.5984063</v>
      </c>
      <c r="J97" s="2">
        <f>J9/'Output-Calculation-sheet'!J8*'Output-Calculation-sheet'!J80</f>
        <v>1921040656.0453236</v>
      </c>
      <c r="K97" s="2">
        <f>K9/'Output-Calculation-sheet'!K8*'Output-Calculation-sheet'!K80</f>
        <v>2236147882.0946221</v>
      </c>
      <c r="L97" s="2">
        <f>L9/'Output-Calculation-sheet'!L8*'Output-Calculation-sheet'!L80</f>
        <v>1833513880.2411811</v>
      </c>
      <c r="M97" s="2">
        <f>M9/'Output-Calculation-sheet'!M8*'Output-Calculation-sheet'!M80</f>
        <v>902773362.84114063</v>
      </c>
      <c r="N97" s="2">
        <f>N9/'Output-Calculation-sheet'!N8*'Output-Calculation-sheet'!N80</f>
        <v>894763054.02855778</v>
      </c>
      <c r="O97" s="2">
        <f>O9/'Output-Calculation-sheet'!O8*'Output-Calculation-sheet'!O80</f>
        <v>233516319.97710371</v>
      </c>
      <c r="P97" s="2">
        <f>P9/'Output-Calculation-sheet'!P8*'Output-Calculation-sheet'!P80</f>
        <v>2374738643.5294166</v>
      </c>
      <c r="Q97" s="2">
        <f>Q9/'Output-Calculation-sheet'!Q8*'Output-Calculation-sheet'!Q80</f>
        <v>1055943538.2778481</v>
      </c>
      <c r="R97" s="2">
        <f>R9/'Output-Calculation-sheet'!R8*'Output-Calculation-sheet'!R80</f>
        <v>1643203589.988596</v>
      </c>
      <c r="S97" s="2">
        <f>S9/'Output-Calculation-sheet'!S8*'Output-Calculation-sheet'!S80</f>
        <v>633732015.86926997</v>
      </c>
      <c r="T97" s="2">
        <f>T9/'Output-Calculation-sheet'!T8*'Output-Calculation-sheet'!T80</f>
        <v>847364052.3218534</v>
      </c>
      <c r="U97" s="2">
        <f>U9/'Output-Calculation-sheet'!U8*'Output-Calculation-sheet'!U80</f>
        <v>430055122.94254637</v>
      </c>
      <c r="V97" s="2">
        <f>V9/'Output-Calculation-sheet'!V8*'Output-Calculation-sheet'!V80</f>
        <v>316791343.03714466</v>
      </c>
      <c r="W97" s="2">
        <f>W9/'Output-Calculation-sheet'!W8*'Output-Calculation-sheet'!W80</f>
        <v>828458397.58150971</v>
      </c>
      <c r="X97" s="2">
        <f>X9/'Output-Calculation-sheet'!X8*'Output-Calculation-sheet'!X80</f>
        <v>101453590.69337745</v>
      </c>
      <c r="Y97" s="2">
        <f>Y9/'Output-Calculation-sheet'!Y8*'Output-Calculation-sheet'!Y80</f>
        <v>372015326.16925424</v>
      </c>
      <c r="AA97" s="2">
        <f t="shared" si="8"/>
        <v>65.367132395417812</v>
      </c>
    </row>
    <row r="98" spans="1:27" x14ac:dyDescent="0.25">
      <c r="A98" s="2">
        <v>2033</v>
      </c>
      <c r="B98" s="2">
        <f>B10/'Output-Calculation-sheet'!B9*'Output-Calculation-sheet'!B81</f>
        <v>16420822746.666559</v>
      </c>
      <c r="C98" s="2">
        <f>C10/'Output-Calculation-sheet'!C9*'Output-Calculation-sheet'!C81</f>
        <v>2070626550.9754322</v>
      </c>
      <c r="D98" s="2">
        <f>D10/'Output-Calculation-sheet'!D9*'Output-Calculation-sheet'!D81</f>
        <v>6399758125.6897984</v>
      </c>
      <c r="E98" s="2">
        <f>E10/'Output-Calculation-sheet'!E9*'Output-Calculation-sheet'!E81</f>
        <v>11597118608.989079</v>
      </c>
      <c r="F98" s="2">
        <f>F10/'Output-Calculation-sheet'!F9*'Output-Calculation-sheet'!F81</f>
        <v>5194960740.4712667</v>
      </c>
      <c r="G98" s="2">
        <f>G10/'Output-Calculation-sheet'!G9*'Output-Calculation-sheet'!G81</f>
        <v>3737940652.2620068</v>
      </c>
      <c r="H98" s="2">
        <f>H10/'Output-Calculation-sheet'!H9*'Output-Calculation-sheet'!H81</f>
        <v>1179043525.2466381</v>
      </c>
      <c r="I98" s="2">
        <f>I10/'Output-Calculation-sheet'!I9*'Output-Calculation-sheet'!I81</f>
        <v>2697131201.7892013</v>
      </c>
      <c r="J98" s="2">
        <f>J10/'Output-Calculation-sheet'!J9*'Output-Calculation-sheet'!J81</f>
        <v>1896364445.6852171</v>
      </c>
      <c r="K98" s="2">
        <f>K10/'Output-Calculation-sheet'!K9*'Output-Calculation-sheet'!K81</f>
        <v>2223959457.3366804</v>
      </c>
      <c r="L98" s="2">
        <f>L10/'Output-Calculation-sheet'!L9*'Output-Calculation-sheet'!L81</f>
        <v>1877909111.058193</v>
      </c>
      <c r="M98" s="2">
        <f>M10/'Output-Calculation-sheet'!M9*'Output-Calculation-sheet'!M81</f>
        <v>921147670.04271209</v>
      </c>
      <c r="N98" s="2">
        <f>N10/'Output-Calculation-sheet'!N9*'Output-Calculation-sheet'!N81</f>
        <v>881219264.15355015</v>
      </c>
      <c r="O98" s="2">
        <f>O10/'Output-Calculation-sheet'!O9*'Output-Calculation-sheet'!O81</f>
        <v>243493586.00698823</v>
      </c>
      <c r="P98" s="2">
        <f>P10/'Output-Calculation-sheet'!P9*'Output-Calculation-sheet'!P81</f>
        <v>2390621951.9130754</v>
      </c>
      <c r="Q98" s="2">
        <f>Q10/'Output-Calculation-sheet'!Q9*'Output-Calculation-sheet'!Q81</f>
        <v>1052683425.7774111</v>
      </c>
      <c r="R98" s="2">
        <f>R10/'Output-Calculation-sheet'!R9*'Output-Calculation-sheet'!R81</f>
        <v>1672243054.1532469</v>
      </c>
      <c r="S98" s="2">
        <f>S10/'Output-Calculation-sheet'!S9*'Output-Calculation-sheet'!S81</f>
        <v>637704759.80473995</v>
      </c>
      <c r="T98" s="2">
        <f>T10/'Output-Calculation-sheet'!T9*'Output-Calculation-sheet'!T81</f>
        <v>838069118.69614887</v>
      </c>
      <c r="U98" s="2">
        <f>U10/'Output-Calculation-sheet'!U9*'Output-Calculation-sheet'!U81</f>
        <v>435469460.09240037</v>
      </c>
      <c r="V98" s="2">
        <f>V10/'Output-Calculation-sheet'!V9*'Output-Calculation-sheet'!V81</f>
        <v>321035214.25355846</v>
      </c>
      <c r="W98" s="2">
        <f>W10/'Output-Calculation-sheet'!W9*'Output-Calculation-sheet'!W81</f>
        <v>822743179.85324776</v>
      </c>
      <c r="X98" s="2">
        <f>X10/'Output-Calculation-sheet'!X9*'Output-Calculation-sheet'!X81</f>
        <v>104481897.63985467</v>
      </c>
      <c r="Y98" s="2">
        <f>Y10/'Output-Calculation-sheet'!Y9*'Output-Calculation-sheet'!Y81</f>
        <v>369529339.42324525</v>
      </c>
      <c r="AA98" s="2">
        <f t="shared" si="8"/>
        <v>65.986077087980235</v>
      </c>
    </row>
    <row r="99" spans="1:27" x14ac:dyDescent="0.25">
      <c r="A99" s="2">
        <v>2034</v>
      </c>
      <c r="B99" s="2">
        <f>B11/'Output-Calculation-sheet'!B10*'Output-Calculation-sheet'!B82</f>
        <v>16429180949.050079</v>
      </c>
      <c r="C99" s="2">
        <f>C11/'Output-Calculation-sheet'!C10*'Output-Calculation-sheet'!C82</f>
        <v>2085895066.2764137</v>
      </c>
      <c r="D99" s="2">
        <f>D11/'Output-Calculation-sheet'!D10*'Output-Calculation-sheet'!D82</f>
        <v>6037680478.6384821</v>
      </c>
      <c r="E99" s="2">
        <f>E11/'Output-Calculation-sheet'!E10*'Output-Calculation-sheet'!E82</f>
        <v>11256544320.609335</v>
      </c>
      <c r="F99" s="2">
        <f>F11/'Output-Calculation-sheet'!F10*'Output-Calculation-sheet'!F82</f>
        <v>5034173202.7102823</v>
      </c>
      <c r="G99" s="2">
        <f>G11/'Output-Calculation-sheet'!G10*'Output-Calculation-sheet'!G82</f>
        <v>3515353913.3659692</v>
      </c>
      <c r="H99" s="2">
        <f>H11/'Output-Calculation-sheet'!H10*'Output-Calculation-sheet'!H82</f>
        <v>1157456957.3723886</v>
      </c>
      <c r="I99" s="2">
        <f>I11/'Output-Calculation-sheet'!I10*'Output-Calculation-sheet'!I82</f>
        <v>2638710893.2174492</v>
      </c>
      <c r="J99" s="2">
        <f>J11/'Output-Calculation-sheet'!J10*'Output-Calculation-sheet'!J82</f>
        <v>1807699596.2523484</v>
      </c>
      <c r="K99" s="2">
        <f>K11/'Output-Calculation-sheet'!K10*'Output-Calculation-sheet'!K82</f>
        <v>2136870870.8579879</v>
      </c>
      <c r="L99" s="2">
        <f>L11/'Output-Calculation-sheet'!L10*'Output-Calculation-sheet'!L82</f>
        <v>1868339972.043704</v>
      </c>
      <c r="M99" s="2">
        <f>M11/'Output-Calculation-sheet'!M10*'Output-Calculation-sheet'!M82</f>
        <v>906820750.36793637</v>
      </c>
      <c r="N99" s="2">
        <f>N11/'Output-Calculation-sheet'!N10*'Output-Calculation-sheet'!N82</f>
        <v>842629542.24557567</v>
      </c>
      <c r="O99" s="2">
        <f>O11/'Output-Calculation-sheet'!O10*'Output-Calculation-sheet'!O82</f>
        <v>246675659.45460322</v>
      </c>
      <c r="P99" s="2">
        <f>P11/'Output-Calculation-sheet'!P10*'Output-Calculation-sheet'!P82</f>
        <v>2324042298.9377885</v>
      </c>
      <c r="Q99" s="2">
        <f>Q11/'Output-Calculation-sheet'!Q10*'Output-Calculation-sheet'!Q82</f>
        <v>1013148866.3683016</v>
      </c>
      <c r="R99" s="2">
        <f>R11/'Output-Calculation-sheet'!R10*'Output-Calculation-sheet'!R82</f>
        <v>1645888982.1173491</v>
      </c>
      <c r="S99" s="2">
        <f>S11/'Output-Calculation-sheet'!S10*'Output-Calculation-sheet'!S82</f>
        <v>618477284.35732007</v>
      </c>
      <c r="T99" s="2">
        <f>T11/'Output-Calculation-sheet'!T10*'Output-Calculation-sheet'!T82</f>
        <v>799478176.0531522</v>
      </c>
      <c r="U99" s="2">
        <f>U11/'Output-Calculation-sheet'!U10*'Output-Calculation-sheet'!U82</f>
        <v>426208250.21345204</v>
      </c>
      <c r="V99" s="2">
        <f>V11/'Output-Calculation-sheet'!V10*'Output-Calculation-sheet'!V82</f>
        <v>313631366.21358407</v>
      </c>
      <c r="W99" s="2">
        <f>W11/'Output-Calculation-sheet'!W10*'Output-Calculation-sheet'!W82</f>
        <v>787531439.49388433</v>
      </c>
      <c r="X99" s="2">
        <f>X11/'Output-Calculation-sheet'!X10*'Output-Calculation-sheet'!X82</f>
        <v>111147538.37778634</v>
      </c>
      <c r="Y99" s="2">
        <f>Y11/'Output-Calculation-sheet'!Y10*'Output-Calculation-sheet'!Y82</f>
        <v>354229953.18028277</v>
      </c>
      <c r="AA99" s="2">
        <f t="shared" si="8"/>
        <v>64.357816327775453</v>
      </c>
    </row>
    <row r="100" spans="1:27" x14ac:dyDescent="0.25">
      <c r="A100" s="2">
        <v>2035</v>
      </c>
      <c r="B100" s="2">
        <f>B12/'Output-Calculation-sheet'!B11*'Output-Calculation-sheet'!B83</f>
        <v>16241982191.8871</v>
      </c>
      <c r="C100" s="2">
        <f>C12/'Output-Calculation-sheet'!C11*'Output-Calculation-sheet'!C83</f>
        <v>2028430211.067239</v>
      </c>
      <c r="D100" s="2">
        <f>D12/'Output-Calculation-sheet'!D11*'Output-Calculation-sheet'!D83</f>
        <v>5525549374.8108206</v>
      </c>
      <c r="E100" s="2">
        <f>E12/'Output-Calculation-sheet'!E11*'Output-Calculation-sheet'!E83</f>
        <v>10593641307.17853</v>
      </c>
      <c r="F100" s="2">
        <f>F12/'Output-Calculation-sheet'!F11*'Output-Calculation-sheet'!F83</f>
        <v>4729079276.8592663</v>
      </c>
      <c r="G100" s="2">
        <f>G12/'Output-Calculation-sheet'!G11*'Output-Calculation-sheet'!G83</f>
        <v>3201927580.5287838</v>
      </c>
      <c r="H100" s="2">
        <f>H12/'Output-Calculation-sheet'!H11*'Output-Calculation-sheet'!H83</f>
        <v>1102810269.644311</v>
      </c>
      <c r="I100" s="2">
        <f>I12/'Output-Calculation-sheet'!I11*'Output-Calculation-sheet'!I83</f>
        <v>2502775335.6686039</v>
      </c>
      <c r="J100" s="2">
        <f>J12/'Output-Calculation-sheet'!J11*'Output-Calculation-sheet'!J83</f>
        <v>1670090719.0435829</v>
      </c>
      <c r="K100" s="2">
        <f>K12/'Output-Calculation-sheet'!K11*'Output-Calculation-sheet'!K83</f>
        <v>1990807607.4920764</v>
      </c>
      <c r="L100" s="2">
        <f>L12/'Output-Calculation-sheet'!L11*'Output-Calculation-sheet'!L83</f>
        <v>1801247614.8253727</v>
      </c>
      <c r="M100" s="2">
        <f>M12/'Output-Calculation-sheet'!M11*'Output-Calculation-sheet'!M83</f>
        <v>868105336.78145909</v>
      </c>
      <c r="N100" s="2">
        <f>N12/'Output-Calculation-sheet'!N11*'Output-Calculation-sheet'!N83</f>
        <v>779249716.71408057</v>
      </c>
      <c r="O100" s="2">
        <f>O12/'Output-Calculation-sheet'!O11*'Output-Calculation-sheet'!O83</f>
        <v>242855931.55782151</v>
      </c>
      <c r="P100" s="2">
        <f>P12/'Output-Calculation-sheet'!P11*'Output-Calculation-sheet'!P83</f>
        <v>2180583289.6745887</v>
      </c>
      <c r="Q100" s="2">
        <f>Q12/'Output-Calculation-sheet'!Q11*'Output-Calculation-sheet'!Q83</f>
        <v>947042825.80812657</v>
      </c>
      <c r="R100" s="2">
        <f>R12/'Output-Calculation-sheet'!R11*'Output-Calculation-sheet'!R83</f>
        <v>1571039827.2380581</v>
      </c>
      <c r="S100" s="2">
        <f>S12/'Output-Calculation-sheet'!S11*'Output-Calculation-sheet'!S83</f>
        <v>581095892.7043016</v>
      </c>
      <c r="T100" s="2">
        <f>T12/'Output-Calculation-sheet'!T11*'Output-Calculation-sheet'!T83</f>
        <v>741419735.07732713</v>
      </c>
      <c r="U100" s="2">
        <f>U12/'Output-Calculation-sheet'!U11*'Output-Calculation-sheet'!U83</f>
        <v>404085845.84921241</v>
      </c>
      <c r="V100" s="2">
        <f>V12/'Output-Calculation-sheet'!V11*'Output-Calculation-sheet'!V83</f>
        <v>297030998.86644942</v>
      </c>
      <c r="W100" s="2">
        <f>W12/'Output-Calculation-sheet'!W11*'Output-Calculation-sheet'!W83</f>
        <v>729552819.06554902</v>
      </c>
      <c r="X100" s="2">
        <f>X12/'Output-Calculation-sheet'!X11*'Output-Calculation-sheet'!X83</f>
        <v>115642010.2068975</v>
      </c>
      <c r="Y100" s="2">
        <f>Y12/'Output-Calculation-sheet'!Y11*'Output-Calculation-sheet'!Y83</f>
        <v>328477060.95642233</v>
      </c>
      <c r="AA100" s="2">
        <f t="shared" si="8"/>
        <v>61.174522779505963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3B3-E116-4C65-8CA6-757AE240AB3A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114460110589.66147</v>
      </c>
      <c r="C8" s="2">
        <v>53939363827.226181</v>
      </c>
      <c r="D8" s="2">
        <v>48074555101.676453</v>
      </c>
      <c r="E8" s="2">
        <v>38142281021.240814</v>
      </c>
      <c r="F8" s="2">
        <v>24553555015.876984</v>
      </c>
      <c r="G8" s="2">
        <v>17252001608.284458</v>
      </c>
      <c r="H8" s="2">
        <v>16828665320.034506</v>
      </c>
      <c r="I8" s="2">
        <v>15717931494.428228</v>
      </c>
      <c r="J8" s="2">
        <v>15298748931.541239</v>
      </c>
      <c r="K8" s="2">
        <v>15152085960.628836</v>
      </c>
      <c r="L8" s="2">
        <v>12155200355.691183</v>
      </c>
      <c r="M8" s="2">
        <v>11610312063.884342</v>
      </c>
      <c r="N8" s="2">
        <v>11395487759.115295</v>
      </c>
      <c r="O8" s="2">
        <v>10480465233.580828</v>
      </c>
      <c r="P8" s="2">
        <v>10373834786.322638</v>
      </c>
      <c r="Q8" s="2">
        <v>10206176850.382072</v>
      </c>
      <c r="R8" s="2">
        <v>9818811572.288187</v>
      </c>
      <c r="S8" s="2">
        <v>6526085156.4865847</v>
      </c>
      <c r="T8" s="2">
        <v>3609310704.7897615</v>
      </c>
      <c r="U8" s="2">
        <v>3143586298.8856506</v>
      </c>
      <c r="V8" s="2">
        <v>2420624321.8679304</v>
      </c>
      <c r="W8" s="2">
        <v>2095724199.2570984</v>
      </c>
      <c r="X8" s="2">
        <v>1257434519.55426</v>
      </c>
      <c r="Y8" s="2">
        <v>1222842495.9213202</v>
      </c>
    </row>
    <row r="9" spans="1:27" x14ac:dyDescent="0.25">
      <c r="A9" s="2">
        <v>2032</v>
      </c>
      <c r="B9" s="2">
        <v>126378241512.33607</v>
      </c>
      <c r="C9" s="2">
        <v>59555786847.148773</v>
      </c>
      <c r="D9" s="2">
        <v>53080306352.478287</v>
      </c>
      <c r="E9" s="2">
        <v>42113836671.141212</v>
      </c>
      <c r="F9" s="2">
        <v>27110187905.612698</v>
      </c>
      <c r="G9" s="2">
        <v>19048362041.508598</v>
      </c>
      <c r="H9" s="2">
        <v>18580945966.145996</v>
      </c>
      <c r="I9" s="2">
        <v>17354557253.561005</v>
      </c>
      <c r="J9" s="2">
        <v>16891727409.195318</v>
      </c>
      <c r="K9" s="2">
        <v>16729793192.432833</v>
      </c>
      <c r="L9" s="2">
        <v>13420857609.420534</v>
      </c>
      <c r="M9" s="2">
        <v>12819232957.963755</v>
      </c>
      <c r="N9" s="2">
        <v>12582040125.185955</v>
      </c>
      <c r="O9" s="2">
        <v>11571741103.758417</v>
      </c>
      <c r="P9" s="2">
        <v>11454007787.350271</v>
      </c>
      <c r="Q9" s="2">
        <v>11268892509.978954</v>
      </c>
      <c r="R9" s="2">
        <v>10841192917.376394</v>
      </c>
      <c r="S9" s="2">
        <v>7205612171.6785116</v>
      </c>
      <c r="T9" s="2">
        <v>3985129296.0761895</v>
      </c>
      <c r="U9" s="2">
        <v>3470911450.7122059</v>
      </c>
      <c r="V9" s="2">
        <v>2672671235.2774148</v>
      </c>
      <c r="W9" s="2">
        <v>2313940967.141469</v>
      </c>
      <c r="X9" s="2">
        <v>1388364580.2848823</v>
      </c>
      <c r="Y9" s="2">
        <v>1350170670.6812429</v>
      </c>
    </row>
    <row r="10" spans="1:27" x14ac:dyDescent="0.25">
      <c r="A10" s="2">
        <v>2033</v>
      </c>
      <c r="B10" s="2">
        <v>131668192161.80971</v>
      </c>
      <c r="C10" s="2">
        <v>62048677787.407936</v>
      </c>
      <c r="D10" s="2">
        <v>55302146106.722237</v>
      </c>
      <c r="E10" s="2">
        <v>43876641050.948822</v>
      </c>
      <c r="F10" s="2">
        <v>28244968342.517647</v>
      </c>
      <c r="G10" s="2">
        <v>19845689919.686512</v>
      </c>
      <c r="H10" s="2">
        <v>19358708704.456089</v>
      </c>
      <c r="I10" s="2">
        <v>18080985714.000065</v>
      </c>
      <c r="J10" s="2">
        <v>17598782700.594372</v>
      </c>
      <c r="K10" s="2">
        <v>17430070228.296093</v>
      </c>
      <c r="L10" s="2">
        <v>13982628952.160076</v>
      </c>
      <c r="M10" s="2">
        <v>13355821447.408075</v>
      </c>
      <c r="N10" s="2">
        <v>13108700177.861507</v>
      </c>
      <c r="O10" s="2">
        <v>12056111978.323816</v>
      </c>
      <c r="P10" s="2">
        <v>11933450571.240053</v>
      </c>
      <c r="Q10" s="2">
        <v>11740586723.624054</v>
      </c>
      <c r="R10" s="2">
        <v>11294984446.899664</v>
      </c>
      <c r="S10" s="2">
        <v>7507225268.4528103</v>
      </c>
      <c r="T10" s="2">
        <v>4151939160.3039393</v>
      </c>
      <c r="U10" s="2">
        <v>3616197142.8000188</v>
      </c>
      <c r="V10" s="2">
        <v>2784544123.8988719</v>
      </c>
      <c r="W10" s="2">
        <v>2410798095.2000103</v>
      </c>
      <c r="X10" s="2">
        <v>1446478857.1200073</v>
      </c>
      <c r="Y10" s="2">
        <v>1406686223.7606335</v>
      </c>
    </row>
    <row r="11" spans="1:27" x14ac:dyDescent="0.25">
      <c r="A11" s="2">
        <v>2034</v>
      </c>
      <c r="B11" s="2">
        <v>130062025121.87215</v>
      </c>
      <c r="C11" s="2">
        <v>61291771054.676582</v>
      </c>
      <c r="D11" s="2">
        <v>54627537586.197632</v>
      </c>
      <c r="E11" s="2">
        <v>43341407647.025429</v>
      </c>
      <c r="F11" s="2">
        <v>27900419393.747391</v>
      </c>
      <c r="G11" s="2">
        <v>19603600372.389858</v>
      </c>
      <c r="H11" s="2">
        <v>19122559644.107189</v>
      </c>
      <c r="I11" s="2">
        <v>17860423079.80122</v>
      </c>
      <c r="J11" s="2">
        <v>17384102265.991146</v>
      </c>
      <c r="K11" s="2">
        <v>17217447848.928406</v>
      </c>
      <c r="L11" s="2">
        <v>13812060515.046299</v>
      </c>
      <c r="M11" s="2">
        <v>13192899181.613194</v>
      </c>
      <c r="N11" s="2">
        <v>12948792444.51745</v>
      </c>
      <c r="O11" s="2">
        <v>11909044342.842173</v>
      </c>
      <c r="P11" s="2">
        <v>11787879232.668812</v>
      </c>
      <c r="Q11" s="2">
        <v>11597368053.150936</v>
      </c>
      <c r="R11" s="2">
        <v>11157201498.433849</v>
      </c>
      <c r="S11" s="2">
        <v>7415647662.733448</v>
      </c>
      <c r="T11" s="2">
        <v>4101291333.2045074</v>
      </c>
      <c r="U11" s="2">
        <v>3572084615.9602489</v>
      </c>
      <c r="V11" s="2">
        <v>2750576595.9817128</v>
      </c>
      <c r="W11" s="2">
        <v>2381389743.9734974</v>
      </c>
      <c r="X11" s="2">
        <v>1428833846.3840995</v>
      </c>
      <c r="Y11" s="2">
        <v>1389526627.2700706</v>
      </c>
    </row>
    <row r="12" spans="1:27" x14ac:dyDescent="0.25">
      <c r="A12" s="2">
        <v>2035</v>
      </c>
      <c r="B12" s="2">
        <v>121795169130.6086</v>
      </c>
      <c r="C12" s="2">
        <v>57396012517.288574</v>
      </c>
      <c r="D12" s="2">
        <v>51155363552.621948</v>
      </c>
      <c r="E12" s="2">
        <v>40586589896.487762</v>
      </c>
      <c r="F12" s="2">
        <v>26127044352.048317</v>
      </c>
      <c r="G12" s="2">
        <v>18357578399.127705</v>
      </c>
      <c r="H12" s="2">
        <v>17907113039.965408</v>
      </c>
      <c r="I12" s="2">
        <v>16725198978.797068</v>
      </c>
      <c r="J12" s="2">
        <v>16279153532.218281</v>
      </c>
      <c r="K12" s="2">
        <v>16123091815.5604</v>
      </c>
      <c r="L12" s="2">
        <v>12934153876.936422</v>
      </c>
      <c r="M12" s="2">
        <v>12354346979.004793</v>
      </c>
      <c r="N12" s="2">
        <v>12125755879.468719</v>
      </c>
      <c r="O12" s="2">
        <v>11152095075.878222</v>
      </c>
      <c r="P12" s="2">
        <v>11038631326.006075</v>
      </c>
      <c r="Q12" s="2">
        <v>10860229203.565573</v>
      </c>
      <c r="R12" s="2">
        <v>10448040019.772915</v>
      </c>
      <c r="S12" s="2">
        <v>6944302615.9965258</v>
      </c>
      <c r="T12" s="2">
        <v>3840609671.52771</v>
      </c>
      <c r="U12" s="2">
        <v>3345039795.7594185</v>
      </c>
      <c r="V12" s="2">
        <v>2575747543.5306692</v>
      </c>
      <c r="W12" s="2">
        <v>2230026530.5062771</v>
      </c>
      <c r="X12" s="2">
        <v>1338015918.3037674</v>
      </c>
      <c r="Y12" s="2">
        <v>1301207100.3912284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 t="shared" ref="AA16:AA23" si="0"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si="0"/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5996.2922351241759</v>
      </c>
      <c r="C19" s="2">
        <f>C8/'Output-Calculation-sheet'!C7*'Output-Calculation-sheet'!C25</f>
        <v>7995.2207083459753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2913.1910512375043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2132.3195162214724</v>
      </c>
      <c r="N19" s="2">
        <f>N8/'Output-Calculation-sheet'!N7*'Output-Calculation-sheet'!N25</f>
        <v>1110.8680579663755</v>
      </c>
      <c r="O19" s="2">
        <f>O8/'Output-Calculation-sheet'!O7*'Output-Calculation-sheet'!O25</f>
        <v>1211.4307064359182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484.27240517792956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246.48214379395816</v>
      </c>
      <c r="Y19" s="2">
        <f>Y8/'Output-Calculation-sheet'!Y7*'Output-Calculation-sheet'!Y25</f>
        <v>0</v>
      </c>
      <c r="AA19" s="2">
        <f t="shared" si="0"/>
        <v>22.090076824303306</v>
      </c>
    </row>
    <row r="20" spans="1:27" x14ac:dyDescent="0.25">
      <c r="A20" s="2">
        <v>2032</v>
      </c>
      <c r="B20" s="2">
        <f>B9/'Output-Calculation-sheet'!B8*'Output-Calculation-sheet'!B26</f>
        <v>7945.8218815317996</v>
      </c>
      <c r="C20" s="2">
        <f>C9/'Output-Calculation-sheet'!C8*'Output-Calculation-sheet'!C26</f>
        <v>9158.1824533721738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3296.9845727969901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2407.5519186454085</v>
      </c>
      <c r="N20" s="2">
        <f>N9/'Output-Calculation-sheet'!N8*'Output-Calculation-sheet'!N26</f>
        <v>1369.4443681104926</v>
      </c>
      <c r="O20" s="2">
        <f>O9/'Output-Calculation-sheet'!O8*'Output-Calculation-sheet'!O26</f>
        <v>1416.6942075040572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619.04799470195212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278.10350124564127</v>
      </c>
      <c r="Y20" s="2">
        <f>Y9/'Output-Calculation-sheet'!Y8*'Output-Calculation-sheet'!Y26</f>
        <v>0</v>
      </c>
      <c r="AA20" s="2">
        <f t="shared" si="0"/>
        <v>26.491830897908518</v>
      </c>
    </row>
    <row r="21" spans="1:27" x14ac:dyDescent="0.25">
      <c r="A21" s="2">
        <v>2033</v>
      </c>
      <c r="B21" s="2">
        <f>B10/'Output-Calculation-sheet'!B9*'Output-Calculation-sheet'!B27</f>
        <v>10418.134853550291</v>
      </c>
      <c r="C21" s="2">
        <f>C10/'Output-Calculation-sheet'!C9*'Output-Calculation-sheet'!C27</f>
        <v>9802.9798589059665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3508.0749136023915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30.439703292563735</v>
      </c>
      <c r="M21" s="2">
        <f>M10/'Output-Calculation-sheet'!M9*'Output-Calculation-sheet'!M27</f>
        <v>2574.8202451948114</v>
      </c>
      <c r="N21" s="2">
        <f>N10/'Output-Calculation-sheet'!N9*'Output-Calculation-sheet'!N27</f>
        <v>1573.9034238681118</v>
      </c>
      <c r="O21" s="2">
        <f>O10/'Output-Calculation-sheet'!O9*'Output-Calculation-sheet'!O27</f>
        <v>1533.1635190802156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731.3712470459219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298.07357774461855</v>
      </c>
      <c r="Y21" s="2">
        <f>Y10/'Output-Calculation-sheet'!Y9*'Output-Calculation-sheet'!Y27</f>
        <v>0</v>
      </c>
      <c r="AA21" s="2">
        <f t="shared" si="0"/>
        <v>30.470961342284888</v>
      </c>
    </row>
    <row r="22" spans="1:27" x14ac:dyDescent="0.25">
      <c r="A22" s="2">
        <v>2034</v>
      </c>
      <c r="B22" s="2">
        <f>B11/'Output-Calculation-sheet'!B10*'Output-Calculation-sheet'!B28</f>
        <v>12686.004121886333</v>
      </c>
      <c r="C22" s="2">
        <f>C11/'Output-Calculation-sheet'!C10*'Output-Calculation-sheet'!C28</f>
        <v>9992.7598199473723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3546.304090939856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203.12981916088279</v>
      </c>
      <c r="M22" s="2">
        <f>M11/'Output-Calculation-sheet'!M10*'Output-Calculation-sheet'!M28</f>
        <v>2606.9229394853487</v>
      </c>
      <c r="N22" s="2">
        <f>N11/'Output-Calculation-sheet'!N10*'Output-Calculation-sheet'!N28</f>
        <v>1660.931791476695</v>
      </c>
      <c r="O22" s="2">
        <f>O11/'Output-Calculation-sheet'!O10*'Output-Calculation-sheet'!O28</f>
        <v>1585.4020536863236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769.93881286944054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321.80306718255014</v>
      </c>
      <c r="Y22" s="2">
        <f>Y11/'Output-Calculation-sheet'!Y10*'Output-Calculation-sheet'!Y28</f>
        <v>0</v>
      </c>
      <c r="AA22" s="2">
        <f t="shared" si="0"/>
        <v>33.373196516634799</v>
      </c>
    </row>
    <row r="23" spans="1:27" x14ac:dyDescent="0.25">
      <c r="A23" s="2">
        <v>2035</v>
      </c>
      <c r="B23" s="2">
        <f>B12/'Output-Calculation-sheet'!B11*'Output-Calculation-sheet'!B29</f>
        <v>15357.424507850661</v>
      </c>
      <c r="C23" s="2">
        <f>C12/'Output-Calculation-sheet'!C11*'Output-Calculation-sheet'!C29</f>
        <v>9617.9681253915824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3407.2276307205411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352.40625102844803</v>
      </c>
      <c r="M23" s="2">
        <f>M12/'Output-Calculation-sheet'!M11*'Output-Calculation-sheet'!M29</f>
        <v>2516.7158350030531</v>
      </c>
      <c r="N23" s="2">
        <f>N12/'Output-Calculation-sheet'!N11*'Output-Calculation-sheet'!N29</f>
        <v>1626.5499472137394</v>
      </c>
      <c r="O23" s="2">
        <f>O12/'Output-Calculation-sheet'!O11*'Output-Calculation-sheet'!O29</f>
        <v>1561.0182430675425</v>
      </c>
      <c r="P23" s="2">
        <f>P12/'Output-Calculation-sheet'!P11*'Output-Calculation-sheet'!P29</f>
        <v>0</v>
      </c>
      <c r="Q23" s="2">
        <f>Q12/'Output-Calculation-sheet'!Q11*'Output-Calculation-sheet'!Q29</f>
        <v>91.684452141158815</v>
      </c>
      <c r="R23" s="2">
        <f>R12/'Output-Calculation-sheet'!R11*'Output-Calculation-sheet'!R29</f>
        <v>0</v>
      </c>
      <c r="S23" s="2">
        <f>S12/'Output-Calculation-sheet'!S11*'Output-Calculation-sheet'!S29</f>
        <v>758.17206814756889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332.6028635559241</v>
      </c>
      <c r="Y23" s="2">
        <f>Y12/'Output-Calculation-sheet'!Y11*'Output-Calculation-sheet'!Y29</f>
        <v>0</v>
      </c>
      <c r="AA23" s="2">
        <f t="shared" si="0"/>
        <v>35.621769924120223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 t="shared" ref="AA27:AA34" si="1"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si="1"/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29488.958079317174</v>
      </c>
      <c r="C30" s="2">
        <f>C8/'Output-Calculation-sheet'!C7*'Output-Calculation-sheet'!C16</f>
        <v>0</v>
      </c>
      <c r="D30" s="2">
        <f>D8/'Output-Calculation-sheet'!D7*'Output-Calculation-sheet'!D16</f>
        <v>6643.5779633841858</v>
      </c>
      <c r="E30" s="2">
        <f>E8/'Output-Calculation-sheet'!E7*'Output-Calculation-sheet'!E16</f>
        <v>8325.4644721414898</v>
      </c>
      <c r="F30" s="2">
        <f>F8/'Output-Calculation-sheet'!F7*'Output-Calculation-sheet'!F16</f>
        <v>4066.1560774085988</v>
      </c>
      <c r="G30" s="2">
        <f>G8/'Output-Calculation-sheet'!G7*'Output-Calculation-sheet'!G16</f>
        <v>2477.8627136175282</v>
      </c>
      <c r="H30" s="2">
        <f>H8/'Output-Calculation-sheet'!H7*'Output-Calculation-sheet'!H16</f>
        <v>0</v>
      </c>
      <c r="I30" s="2">
        <f>I8/'Output-Calculation-sheet'!I7*'Output-Calculation-sheet'!I16</f>
        <v>2332.6019237438609</v>
      </c>
      <c r="J30" s="2">
        <f>J8/'Output-Calculation-sheet'!J7*'Output-Calculation-sheet'!J16</f>
        <v>2500.4484145507718</v>
      </c>
      <c r="K30" s="2">
        <f>K8/'Output-Calculation-sheet'!K7*'Output-Calculation-sheet'!K16</f>
        <v>2420.1529992033993</v>
      </c>
      <c r="L30" s="2">
        <f>L8/'Output-Calculation-sheet'!L7*'Output-Calculation-sheet'!L16</f>
        <v>2675.0942742399079</v>
      </c>
      <c r="M30" s="2">
        <f>M8/'Output-Calculation-sheet'!M7*'Output-Calculation-sheet'!M16</f>
        <v>0</v>
      </c>
      <c r="N30" s="2">
        <f>N8/'Output-Calculation-sheet'!N7*'Output-Calculation-sheet'!N16</f>
        <v>1199.5838286952057</v>
      </c>
      <c r="O30" s="2">
        <f>O8/'Output-Calculation-sheet'!O7*'Output-Calculation-sheet'!O16</f>
        <v>0</v>
      </c>
      <c r="P30" s="2">
        <f>P8/'Output-Calculation-sheet'!P7*'Output-Calculation-sheet'!P16</f>
        <v>2290.0134090922888</v>
      </c>
      <c r="Q30" s="2">
        <f>Q8/'Output-Calculation-sheet'!Q7*'Output-Calculation-sheet'!Q16</f>
        <v>2246.6166053634665</v>
      </c>
      <c r="R30" s="2">
        <f>R8/'Output-Calculation-sheet'!R7*'Output-Calculation-sheet'!R16</f>
        <v>1993.7000446027862</v>
      </c>
      <c r="S30" s="2">
        <f>S8/'Output-Calculation-sheet'!S7*'Output-Calculation-sheet'!S16</f>
        <v>1055.9269828860045</v>
      </c>
      <c r="T30" s="2">
        <f>T8/'Output-Calculation-sheet'!T7*'Output-Calculation-sheet'!T16</f>
        <v>753.05019074228403</v>
      </c>
      <c r="U30" s="2">
        <f>U8/'Output-Calculation-sheet'!U7*'Output-Calculation-sheet'!U16</f>
        <v>581.05552314651607</v>
      </c>
      <c r="V30" s="2">
        <f>V8/'Output-Calculation-sheet'!V7*'Output-Calculation-sheet'!V16</f>
        <v>752.35070915349161</v>
      </c>
      <c r="W30" s="2">
        <f>W8/'Output-Calculation-sheet'!W7*'Output-Calculation-sheet'!W16</f>
        <v>362.24148915109328</v>
      </c>
      <c r="X30" s="2">
        <f>X8/'Output-Calculation-sheet'!X7*'Output-Calculation-sheet'!X16</f>
        <v>0</v>
      </c>
      <c r="Y30" s="2">
        <f>Y8/'Output-Calculation-sheet'!Y7*'Output-Calculation-sheet'!Y16</f>
        <v>247.05659292990964</v>
      </c>
      <c r="AA30" s="2">
        <f t="shared" si="1"/>
        <v>72.411912293369937</v>
      </c>
    </row>
    <row r="31" spans="1:27" x14ac:dyDescent="0.25">
      <c r="A31" s="2">
        <v>2032</v>
      </c>
      <c r="B31" s="2">
        <f>B9/'Output-Calculation-sheet'!B8*'Output-Calculation-sheet'!B17</f>
        <v>32195.320519207722</v>
      </c>
      <c r="C31" s="2">
        <f>C9/'Output-Calculation-sheet'!C8*'Output-Calculation-sheet'!C17</f>
        <v>0</v>
      </c>
      <c r="D31" s="2">
        <f>D9/'Output-Calculation-sheet'!D8*'Output-Calculation-sheet'!D17</f>
        <v>7368.844480656584</v>
      </c>
      <c r="E31" s="2">
        <f>E9/'Output-Calculation-sheet'!E8*'Output-Calculation-sheet'!E17</f>
        <v>9256.2421504455451</v>
      </c>
      <c r="F31" s="2">
        <f>F9/'Output-Calculation-sheet'!F8*'Output-Calculation-sheet'!F17</f>
        <v>4516.2976085001646</v>
      </c>
      <c r="G31" s="2">
        <f>G9/'Output-Calculation-sheet'!G8*'Output-Calculation-sheet'!G17</f>
        <v>2749.1911238762395</v>
      </c>
      <c r="H31" s="2">
        <f>H9/'Output-Calculation-sheet'!H8*'Output-Calculation-sheet'!H17</f>
        <v>0</v>
      </c>
      <c r="I31" s="2">
        <f>I9/'Output-Calculation-sheet'!I8*'Output-Calculation-sheet'!I17</f>
        <v>2586.7291564327561</v>
      </c>
      <c r="J31" s="2">
        <f>J9/'Output-Calculation-sheet'!J8*'Output-Calculation-sheet'!J17</f>
        <v>2775.11632531123</v>
      </c>
      <c r="K31" s="2">
        <f>K9/'Output-Calculation-sheet'!K8*'Output-Calculation-sheet'!K17</f>
        <v>2683.9272079200932</v>
      </c>
      <c r="L31" s="2">
        <f>L9/'Output-Calculation-sheet'!L8*'Output-Calculation-sheet'!L17</f>
        <v>2965.6436161284691</v>
      </c>
      <c r="M31" s="2">
        <f>M9/'Output-Calculation-sheet'!M8*'Output-Calculation-sheet'!M17</f>
        <v>0</v>
      </c>
      <c r="N31" s="2">
        <f>N9/'Output-Calculation-sheet'!N8*'Output-Calculation-sheet'!N17</f>
        <v>1250.4279654132408</v>
      </c>
      <c r="O31" s="2">
        <f>O9/'Output-Calculation-sheet'!O8*'Output-Calculation-sheet'!O17</f>
        <v>0</v>
      </c>
      <c r="P31" s="2">
        <f>P9/'Output-Calculation-sheet'!P8*'Output-Calculation-sheet'!P17</f>
        <v>2554.5628519904285</v>
      </c>
      <c r="Q31" s="2">
        <f>Q9/'Output-Calculation-sheet'!Q8*'Output-Calculation-sheet'!Q17</f>
        <v>2498.2518966938082</v>
      </c>
      <c r="R31" s="2">
        <f>R9/'Output-Calculation-sheet'!R8*'Output-Calculation-sheet'!R17</f>
        <v>2235.8622101804349</v>
      </c>
      <c r="S31" s="2">
        <f>S9/'Output-Calculation-sheet'!S8*'Output-Calculation-sheet'!S17</f>
        <v>1119.2278183141302</v>
      </c>
      <c r="T31" s="2">
        <f>T9/'Output-Calculation-sheet'!T8*'Output-Calculation-sheet'!T17</f>
        <v>837.60517946123446</v>
      </c>
      <c r="U31" s="2">
        <f>U9/'Output-Calculation-sheet'!U8*'Output-Calculation-sheet'!U17</f>
        <v>648.54990807847912</v>
      </c>
      <c r="V31" s="2">
        <f>V9/'Output-Calculation-sheet'!V8*'Output-Calculation-sheet'!V17</f>
        <v>824.7352048419225</v>
      </c>
      <c r="W31" s="2">
        <f>W9/'Output-Calculation-sheet'!W8*'Output-Calculation-sheet'!W17</f>
        <v>401.97106122484342</v>
      </c>
      <c r="X31" s="2">
        <f>X9/'Output-Calculation-sheet'!X8*'Output-Calculation-sheet'!X17</f>
        <v>0</v>
      </c>
      <c r="Y31" s="2">
        <f>Y9/'Output-Calculation-sheet'!Y8*'Output-Calculation-sheet'!Y17</f>
        <v>274.0286033653033</v>
      </c>
      <c r="AA31" s="2">
        <f t="shared" si="1"/>
        <v>79.742534888042641</v>
      </c>
    </row>
    <row r="32" spans="1:27" x14ac:dyDescent="0.25">
      <c r="A32" s="2">
        <v>2033</v>
      </c>
      <c r="B32" s="2">
        <f>B10/'Output-Calculation-sheet'!B9*'Output-Calculation-sheet'!B18</f>
        <v>33004.684118938116</v>
      </c>
      <c r="C32" s="2">
        <f>C10/'Output-Calculation-sheet'!C9*'Output-Calculation-sheet'!C18</f>
        <v>0</v>
      </c>
      <c r="D32" s="2">
        <f>D10/'Output-Calculation-sheet'!D9*'Output-Calculation-sheet'!D18</f>
        <v>7721.4926501246946</v>
      </c>
      <c r="E32" s="2">
        <f>E10/'Output-Calculation-sheet'!E9*'Output-Calculation-sheet'!E18</f>
        <v>9711.4582255353707</v>
      </c>
      <c r="F32" s="2">
        <f>F10/'Output-Calculation-sheet'!F9*'Output-Calculation-sheet'!F18</f>
        <v>4730.0279266928137</v>
      </c>
      <c r="G32" s="2">
        <f>G10/'Output-Calculation-sheet'!G9*'Output-Calculation-sheet'!G18</f>
        <v>2877.6809427548224</v>
      </c>
      <c r="H32" s="2">
        <f>H10/'Output-Calculation-sheet'!H9*'Output-Calculation-sheet'!H18</f>
        <v>0</v>
      </c>
      <c r="I32" s="2">
        <f>I10/'Output-Calculation-sheet'!I9*'Output-Calculation-sheet'!I18</f>
        <v>2711.7074478586132</v>
      </c>
      <c r="J32" s="2">
        <f>J10/'Output-Calculation-sheet'!J9*'Output-Calculation-sheet'!J18</f>
        <v>2906.0476235504116</v>
      </c>
      <c r="K32" s="2">
        <f>K10/'Output-Calculation-sheet'!K9*'Output-Calculation-sheet'!K18</f>
        <v>2818.6507418863025</v>
      </c>
      <c r="L32" s="2">
        <f>L10/'Output-Calculation-sheet'!L9*'Output-Calculation-sheet'!L18</f>
        <v>3096.3473299083944</v>
      </c>
      <c r="M32" s="2">
        <f>M10/'Output-Calculation-sheet'!M9*'Output-Calculation-sheet'!M18</f>
        <v>0</v>
      </c>
      <c r="N32" s="2">
        <f>N10/'Output-Calculation-sheet'!N9*'Output-Calculation-sheet'!N18</f>
        <v>1205.0837034041735</v>
      </c>
      <c r="O32" s="2">
        <f>O10/'Output-Calculation-sheet'!O9*'Output-Calculation-sheet'!O18</f>
        <v>0</v>
      </c>
      <c r="P32" s="2">
        <f>P10/'Output-Calculation-sheet'!P9*'Output-Calculation-sheet'!P18</f>
        <v>2715.3891098759555</v>
      </c>
      <c r="Q32" s="2">
        <f>Q10/'Output-Calculation-sheet'!Q9*'Output-Calculation-sheet'!Q18</f>
        <v>2630.2846168905303</v>
      </c>
      <c r="R32" s="2">
        <f>R10/'Output-Calculation-sheet'!R9*'Output-Calculation-sheet'!R18</f>
        <v>2364.2088276047093</v>
      </c>
      <c r="S32" s="2">
        <f>S10/'Output-Calculation-sheet'!S9*'Output-Calculation-sheet'!S18</f>
        <v>1126.7948072258871</v>
      </c>
      <c r="T32" s="2">
        <f>T10/'Output-Calculation-sheet'!T9*'Output-Calculation-sheet'!T18</f>
        <v>874.81299600586328</v>
      </c>
      <c r="U32" s="2">
        <f>U10/'Output-Calculation-sheet'!U9*'Output-Calculation-sheet'!U18</f>
        <v>682.03033467276236</v>
      </c>
      <c r="V32" s="2">
        <f>V10/'Output-Calculation-sheet'!V9*'Output-Calculation-sheet'!V18</f>
        <v>860.4998383638175</v>
      </c>
      <c r="W32" s="2">
        <f>W10/'Output-Calculation-sheet'!W9*'Output-Calculation-sheet'!W18</f>
        <v>419.85400691817892</v>
      </c>
      <c r="X32" s="2">
        <f>X10/'Output-Calculation-sheet'!X9*'Output-Calculation-sheet'!X18</f>
        <v>0</v>
      </c>
      <c r="Y32" s="2">
        <f>Y10/'Output-Calculation-sheet'!Y9*'Output-Calculation-sheet'!Y18</f>
        <v>287.3209688932003</v>
      </c>
      <c r="AA32" s="2">
        <f t="shared" si="1"/>
        <v>82.744376217104602</v>
      </c>
    </row>
    <row r="33" spans="1:27" x14ac:dyDescent="0.25">
      <c r="A33" s="2">
        <v>2034</v>
      </c>
      <c r="B33" s="2">
        <f>B11/'Output-Calculation-sheet'!B10*'Output-Calculation-sheet'!B19</f>
        <v>31811.118320170568</v>
      </c>
      <c r="C33" s="2">
        <f>C11/'Output-Calculation-sheet'!C10*'Output-Calculation-sheet'!C19</f>
        <v>0</v>
      </c>
      <c r="D33" s="2">
        <f>D11/'Output-Calculation-sheet'!D10*'Output-Calculation-sheet'!D19</f>
        <v>7661.0362327985731</v>
      </c>
      <c r="E33" s="2">
        <f>E11/'Output-Calculation-sheet'!E10*'Output-Calculation-sheet'!E19</f>
        <v>9643.1340967098076</v>
      </c>
      <c r="F33" s="2">
        <f>F11/'Output-Calculation-sheet'!F10*'Output-Calculation-sheet'!F19</f>
        <v>4694.1525614577258</v>
      </c>
      <c r="G33" s="2">
        <f>G11/'Output-Calculation-sheet'!G10*'Output-Calculation-sheet'!G19</f>
        <v>2849.5470996099184</v>
      </c>
      <c r="H33" s="2">
        <f>H11/'Output-Calculation-sheet'!H10*'Output-Calculation-sheet'!H19</f>
        <v>0</v>
      </c>
      <c r="I33" s="2">
        <f>I11/'Output-Calculation-sheet'!I10*'Output-Calculation-sheet'!I19</f>
        <v>2692.9574303861209</v>
      </c>
      <c r="J33" s="2">
        <f>J11/'Output-Calculation-sheet'!J10*'Output-Calculation-sheet'!J19</f>
        <v>2875.4726460207485</v>
      </c>
      <c r="K33" s="2">
        <f>K11/'Output-Calculation-sheet'!K10*'Output-Calculation-sheet'!K19</f>
        <v>2805.0533587447917</v>
      </c>
      <c r="L33" s="2">
        <f>L11/'Output-Calculation-sheet'!L10*'Output-Calculation-sheet'!L19</f>
        <v>3015.5060432070518</v>
      </c>
      <c r="M33" s="2">
        <f>M11/'Output-Calculation-sheet'!M10*'Output-Calculation-sheet'!M19</f>
        <v>0</v>
      </c>
      <c r="N33" s="2">
        <f>N11/'Output-Calculation-sheet'!N10*'Output-Calculation-sheet'!N19</f>
        <v>1135.1619900811629</v>
      </c>
      <c r="O33" s="2">
        <f>O11/'Output-Calculation-sheet'!O10*'Output-Calculation-sheet'!O19</f>
        <v>0</v>
      </c>
      <c r="P33" s="2">
        <f>P11/'Output-Calculation-sheet'!P10*'Output-Calculation-sheet'!P19</f>
        <v>2746.7693366089406</v>
      </c>
      <c r="Q33" s="2">
        <f>Q11/'Output-Calculation-sheet'!Q10*'Output-Calculation-sheet'!Q19</f>
        <v>2621.0820332552444</v>
      </c>
      <c r="R33" s="2">
        <f>R11/'Output-Calculation-sheet'!R10*'Output-Calculation-sheet'!R19</f>
        <v>2375.3703098319315</v>
      </c>
      <c r="S33" s="2">
        <f>S11/'Output-Calculation-sheet'!S10*'Output-Calculation-sheet'!S19</f>
        <v>1094.8562997536546</v>
      </c>
      <c r="T33" s="2">
        <f>T11/'Output-Calculation-sheet'!T10*'Output-Calculation-sheet'!T19</f>
        <v>866.61744058996737</v>
      </c>
      <c r="U33" s="2">
        <f>U11/'Output-Calculation-sheet'!U10*'Output-Calculation-sheet'!U19</f>
        <v>681.30623013658408</v>
      </c>
      <c r="V33" s="2">
        <f>V11/'Output-Calculation-sheet'!V10*'Output-Calculation-sheet'!V19</f>
        <v>847.95327630863142</v>
      </c>
      <c r="W33" s="2">
        <f>W11/'Output-Calculation-sheet'!W10*'Output-Calculation-sheet'!W19</f>
        <v>415.96401025080195</v>
      </c>
      <c r="X33" s="2">
        <f>X11/'Output-Calculation-sheet'!X10*'Output-Calculation-sheet'!X19</f>
        <v>0</v>
      </c>
      <c r="Y33" s="2">
        <f>Y11/'Output-Calculation-sheet'!Y10*'Output-Calculation-sheet'!Y19</f>
        <v>285.7996503393959</v>
      </c>
      <c r="AA33" s="2">
        <f t="shared" si="1"/>
        <v>81.11885836626162</v>
      </c>
    </row>
    <row r="34" spans="1:27" x14ac:dyDescent="0.25">
      <c r="A34" s="2">
        <v>2035</v>
      </c>
      <c r="B34" s="2">
        <f>B12/'Output-Calculation-sheet'!B11*'Output-Calculation-sheet'!B20</f>
        <v>28650.215002638826</v>
      </c>
      <c r="C34" s="2">
        <f>C12/'Output-Calculation-sheet'!C11*'Output-Calculation-sheet'!C20</f>
        <v>0</v>
      </c>
      <c r="D34" s="2">
        <f>D12/'Output-Calculation-sheet'!D11*'Output-Calculation-sheet'!D20</f>
        <v>7217.5813085786094</v>
      </c>
      <c r="E34" s="2">
        <f>E12/'Output-Calculation-sheet'!E11*'Output-Calculation-sheet'!E20</f>
        <v>9085.1080185343635</v>
      </c>
      <c r="F34" s="2">
        <f>F12/'Output-Calculation-sheet'!F11*'Output-Calculation-sheet'!F20</f>
        <v>4415.125971960646</v>
      </c>
      <c r="G34" s="2">
        <f>G12/'Output-Calculation-sheet'!G11*'Output-Calculation-sheet'!G20</f>
        <v>2689.2629975491063</v>
      </c>
      <c r="H34" s="2">
        <f>H12/'Output-Calculation-sheet'!H11*'Output-Calculation-sheet'!H20</f>
        <v>0</v>
      </c>
      <c r="I34" s="2">
        <f>I12/'Output-Calculation-sheet'!I11*'Output-Calculation-sheet'!I20</f>
        <v>2536.4991591417411</v>
      </c>
      <c r="J34" s="2">
        <f>J12/'Output-Calculation-sheet'!J11*'Output-Calculation-sheet'!J20</f>
        <v>2699.9195185215658</v>
      </c>
      <c r="K34" s="2">
        <f>K12/'Output-Calculation-sheet'!K11*'Output-Calculation-sheet'!K20</f>
        <v>2645.8780027155562</v>
      </c>
      <c r="L34" s="2">
        <f>L12/'Output-Calculation-sheet'!L11*'Output-Calculation-sheet'!L20</f>
        <v>2791.823827890034</v>
      </c>
      <c r="M34" s="2">
        <f>M12/'Output-Calculation-sheet'!M11*'Output-Calculation-sheet'!M20</f>
        <v>0</v>
      </c>
      <c r="N34" s="2">
        <f>N12/'Output-Calculation-sheet'!N11*'Output-Calculation-sheet'!N20</f>
        <v>1024.0561677457392</v>
      </c>
      <c r="O34" s="2">
        <f>O12/'Output-Calculation-sheet'!O11*'Output-Calculation-sheet'!O20</f>
        <v>0</v>
      </c>
      <c r="P34" s="2">
        <f>P12/'Output-Calculation-sheet'!P11*'Output-Calculation-sheet'!P20</f>
        <v>2626.4006530993238</v>
      </c>
      <c r="Q34" s="2">
        <f>Q12/'Output-Calculation-sheet'!Q11*'Output-Calculation-sheet'!Q20</f>
        <v>2425.1299226884157</v>
      </c>
      <c r="R34" s="2">
        <f>R12/'Output-Calculation-sheet'!R11*'Output-Calculation-sheet'!R20</f>
        <v>2256.2349323194453</v>
      </c>
      <c r="S34" s="2">
        <f>S12/'Output-Calculation-sheet'!S11*'Output-Calculation-sheet'!S20</f>
        <v>1012.1081964879618</v>
      </c>
      <c r="T34" s="2">
        <f>T12/'Output-Calculation-sheet'!T11*'Output-Calculation-sheet'!T20</f>
        <v>815.00099323435586</v>
      </c>
      <c r="U34" s="2">
        <f>U12/'Output-Calculation-sheet'!U11*'Output-Calculation-sheet'!U20</f>
        <v>641.92278206744152</v>
      </c>
      <c r="V34" s="2">
        <f>V12/'Output-Calculation-sheet'!V11*'Output-Calculation-sheet'!V20</f>
        <v>796.42168234649455</v>
      </c>
      <c r="W34" s="2">
        <f>W12/'Output-Calculation-sheet'!W11*'Output-Calculation-sheet'!W20</f>
        <v>390.96337139049695</v>
      </c>
      <c r="X34" s="2">
        <f>X12/'Output-Calculation-sheet'!X11*'Output-Calculation-sheet'!X20</f>
        <v>0</v>
      </c>
      <c r="Y34" s="2">
        <f>Y12/'Output-Calculation-sheet'!Y11*'Output-Calculation-sheet'!Y20</f>
        <v>268.98282409301299</v>
      </c>
      <c r="AA34" s="2">
        <f t="shared" si="1"/>
        <v>74.988635333003117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168.50935854205682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149.99870511648439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652.26320692520233</v>
      </c>
      <c r="S52" s="2">
        <f>S8/'Output-Calculation-sheet'!S7*'Output-Calculation-sheet'!S43</f>
        <v>0</v>
      </c>
      <c r="T52" s="2">
        <f>T8/'Output-Calculation-sheet'!T7*'Output-Calculation-sheet'!T43</f>
        <v>525.21384449655534</v>
      </c>
      <c r="U52" s="2">
        <f>U8/'Output-Calculation-sheet'!U7*'Output-Calculation-sheet'!U43</f>
        <v>55.550241218596177</v>
      </c>
      <c r="V52" s="2">
        <f>V8/'Output-Calculation-sheet'!V7*'Output-Calculation-sheet'!V43</f>
        <v>947.11339415696568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2.4986487504558608</v>
      </c>
    </row>
    <row r="53" spans="1:27" x14ac:dyDescent="0.25">
      <c r="A53" s="2">
        <v>2032</v>
      </c>
      <c r="B53" s="2">
        <f>B9/'Output-Calculation-sheet'!B8*'Output-Calculation-sheet'!B44</f>
        <v>1973.8107452958982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372.11070828443576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298.11111024935326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931.99758656958522</v>
      </c>
      <c r="S53" s="2">
        <f>S9/'Output-Calculation-sheet'!S8*'Output-Calculation-sheet'!S44</f>
        <v>0</v>
      </c>
      <c r="T53" s="2">
        <f>T9/'Output-Calculation-sheet'!T8*'Output-Calculation-sheet'!T44</f>
        <v>642.5936727868384</v>
      </c>
      <c r="U53" s="2">
        <f>U9/'Output-Calculation-sheet'!U8*'Output-Calculation-sheet'!U44</f>
        <v>109.03892702494238</v>
      </c>
      <c r="V53" s="2">
        <f>V9/'Output-Calculation-sheet'!V8*'Output-Calculation-sheet'!V44</f>
        <v>1077.2609321265036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5.4049236823375564</v>
      </c>
    </row>
    <row r="54" spans="1:27" x14ac:dyDescent="0.25">
      <c r="A54" s="2">
        <v>2033</v>
      </c>
      <c r="B54" s="2">
        <f>B10/'Output-Calculation-sheet'!B9*'Output-Calculation-sheet'!B45</f>
        <v>6169.2920250982497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542.76116774984189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517.64911533513248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305.03398944383167</v>
      </c>
      <c r="Q54" s="2">
        <f>Q10/'Output-Calculation-sheet'!Q9*'Output-Calculation-sheet'!Q45</f>
        <v>0</v>
      </c>
      <c r="R54" s="2">
        <f>R10/'Output-Calculation-sheet'!R9*'Output-Calculation-sheet'!R45</f>
        <v>1235.8299124050343</v>
      </c>
      <c r="S54" s="2">
        <f>S10/'Output-Calculation-sheet'!S9*'Output-Calculation-sheet'!S45</f>
        <v>0</v>
      </c>
      <c r="T54" s="2">
        <f>T10/'Output-Calculation-sheet'!T9*'Output-Calculation-sheet'!T45</f>
        <v>742.97217527656665</v>
      </c>
      <c r="U54" s="2">
        <f>U10/'Output-Calculation-sheet'!U9*'Output-Calculation-sheet'!U45</f>
        <v>177.50482382330529</v>
      </c>
      <c r="V54" s="2">
        <f>V10/'Output-Calculation-sheet'!V9*'Output-Calculation-sheet'!V45</f>
        <v>1166.1521490564041</v>
      </c>
      <c r="W54" s="2">
        <f>W10/'Output-Calculation-sheet'!W9*'Output-Calculation-sheet'!W45</f>
        <v>18.963381484769997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10.876158739673135</v>
      </c>
    </row>
    <row r="55" spans="1:27" x14ac:dyDescent="0.25">
      <c r="A55" s="2">
        <v>2034</v>
      </c>
      <c r="B55" s="2">
        <f>B11/'Output-Calculation-sheet'!B10*'Output-Calculation-sheet'!B46</f>
        <v>10918.479959190416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727.61890218372025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715.86833230315483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579.44808295831103</v>
      </c>
      <c r="Q55" s="2">
        <f>Q11/'Output-Calculation-sheet'!Q10*'Output-Calculation-sheet'!Q46</f>
        <v>0</v>
      </c>
      <c r="R55" s="2">
        <f>R11/'Output-Calculation-sheet'!R10*'Output-Calculation-sheet'!R46</f>
        <v>1504.1439658095487</v>
      </c>
      <c r="S55" s="2">
        <f>S11/'Output-Calculation-sheet'!S10*'Output-Calculation-sheet'!S46</f>
        <v>0</v>
      </c>
      <c r="T55" s="2">
        <f>T11/'Output-Calculation-sheet'!T10*'Output-Calculation-sheet'!T46</f>
        <v>782.29855974339796</v>
      </c>
      <c r="U55" s="2">
        <f>U11/'Output-Calculation-sheet'!U10*'Output-Calculation-sheet'!U46</f>
        <v>245.47531994503288</v>
      </c>
      <c r="V55" s="2">
        <f>V11/'Output-Calculation-sheet'!V10*'Output-Calculation-sheet'!V46</f>
        <v>1178.9672640697074</v>
      </c>
      <c r="W55" s="2">
        <f>W11/'Output-Calculation-sheet'!W10*'Output-Calculation-sheet'!W46</f>
        <v>32.781096007336011</v>
      </c>
      <c r="X55" s="2">
        <f>X11/'Output-Calculation-sheet'!X10*'Output-Calculation-sheet'!X46</f>
        <v>78.411371046891162</v>
      </c>
      <c r="Y55" s="2">
        <f>Y11/'Output-Calculation-sheet'!Y10*'Output-Calculation-sheet'!Y46</f>
        <v>0</v>
      </c>
      <c r="AA55" s="2">
        <f t="shared" si="3"/>
        <v>16.763492853257517</v>
      </c>
    </row>
    <row r="56" spans="1:27" x14ac:dyDescent="0.25">
      <c r="A56" s="2">
        <v>2035</v>
      </c>
      <c r="B56" s="2">
        <f>B12/'Output-Calculation-sheet'!B11*'Output-Calculation-sheet'!B47</f>
        <v>22351.214698592008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824.817294887711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798.05608979922852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759.66499891308149</v>
      </c>
      <c r="Q56" s="2">
        <f>Q12/'Output-Calculation-sheet'!Q11*'Output-Calculation-sheet'!Q47</f>
        <v>0</v>
      </c>
      <c r="R56" s="2">
        <f>R12/'Output-Calculation-sheet'!R11*'Output-Calculation-sheet'!R47</f>
        <v>1735.1570603039361</v>
      </c>
      <c r="S56" s="2">
        <f>S12/'Output-Calculation-sheet'!S11*'Output-Calculation-sheet'!S47</f>
        <v>0</v>
      </c>
      <c r="T56" s="2">
        <f>T12/'Output-Calculation-sheet'!T11*'Output-Calculation-sheet'!T47</f>
        <v>823.20281207762469</v>
      </c>
      <c r="U56" s="2">
        <f>U12/'Output-Calculation-sheet'!U11*'Output-Calculation-sheet'!U47</f>
        <v>315.25398042969158</v>
      </c>
      <c r="V56" s="2">
        <f>V12/'Output-Calculation-sheet'!V11*'Output-Calculation-sheet'!V47</f>
        <v>1124.2885252506792</v>
      </c>
      <c r="W56" s="2">
        <f>W12/'Output-Calculation-sheet'!W11*'Output-Calculation-sheet'!W47</f>
        <v>43.85357270622049</v>
      </c>
      <c r="X56" s="2">
        <f>X12/'Output-Calculation-sheet'!X11*'Output-Calculation-sheet'!X47</f>
        <v>173.07905003264969</v>
      </c>
      <c r="Y56" s="2">
        <f>Y12/'Output-Calculation-sheet'!Y11*'Output-Calculation-sheet'!Y47</f>
        <v>0</v>
      </c>
      <c r="AA56" s="2">
        <f t="shared" si="3"/>
        <v>28.948588082992828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 t="shared" ref="AA60:AA67" si="4"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si="4"/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8.1369621704878892</v>
      </c>
      <c r="C63" s="2">
        <f>C8*'Output-Calculation-sheet'!C52/10^9</f>
        <v>4.1244371399476956</v>
      </c>
      <c r="D63" s="2">
        <f>D8*'Output-Calculation-sheet'!D52/10^9</f>
        <v>1.4408496358005336</v>
      </c>
      <c r="E63" s="2">
        <f>E8*'Output-Calculation-sheet'!E52/10^9</f>
        <v>1.8552216621310311</v>
      </c>
      <c r="F63" s="2">
        <f>F8*'Output-Calculation-sheet'!F52/10^9</f>
        <v>0.77168375702277003</v>
      </c>
      <c r="G63" s="2">
        <f>G8*'Output-Calculation-sheet'!G52/10^9</f>
        <v>0.55370145390123293</v>
      </c>
      <c r="H63" s="2">
        <f>H8*'Output-Calculation-sheet'!H52/10^9</f>
        <v>1.0695885501443407</v>
      </c>
      <c r="I63" s="2">
        <f>I8*'Output-Calculation-sheet'!I52/10^9</f>
        <v>0.49635792141434637</v>
      </c>
      <c r="J63" s="2">
        <f>J8*'Output-Calculation-sheet'!J52/10^9</f>
        <v>0.53360416424143597</v>
      </c>
      <c r="K63" s="2">
        <f>K8*'Output-Calculation-sheet'!K52/10^9</f>
        <v>0.54490276903034596</v>
      </c>
      <c r="L63" s="2">
        <f>L8*'Output-Calculation-sheet'!L52/10^9</f>
        <v>0.56670477005845621</v>
      </c>
      <c r="M63" s="2">
        <f>M8*'Output-Calculation-sheet'!M52/10^9</f>
        <v>0.80878133440320155</v>
      </c>
      <c r="N63" s="2">
        <f>N8*'Output-Calculation-sheet'!N52/10^9</f>
        <v>0.68332682595412697</v>
      </c>
      <c r="O63" s="2">
        <f>O8*'Output-Calculation-sheet'!O52/10^9</f>
        <v>0.7078838793583021</v>
      </c>
      <c r="P63" s="2">
        <f>P8*'Output-Calculation-sheet'!P52/10^9</f>
        <v>0.58667526222852417</v>
      </c>
      <c r="Q63" s="2">
        <f>Q8*'Output-Calculation-sheet'!Q52/10^9</f>
        <v>0.55499014822692083</v>
      </c>
      <c r="R63" s="2">
        <f>R8*'Output-Calculation-sheet'!R52/10^9</f>
        <v>0.4675467474020375</v>
      </c>
      <c r="S63" s="2">
        <f>S8*'Output-Calculation-sheet'!S52/10^9</f>
        <v>0.42988013650949747</v>
      </c>
      <c r="T63" s="2">
        <f>T8*'Output-Calculation-sheet'!T52/10^9</f>
        <v>0.1531010452795781</v>
      </c>
      <c r="U63" s="2">
        <f>U8*'Output-Calculation-sheet'!U52/10^9</f>
        <v>0.15018144192408325</v>
      </c>
      <c r="V63" s="2">
        <f>V8*'Output-Calculation-sheet'!V52/10^9</f>
        <v>0.13460255870150759</v>
      </c>
      <c r="W63" s="2">
        <f>W8*'Output-Calculation-sheet'!W52/10^9</f>
        <v>7.02647705758912E-2</v>
      </c>
      <c r="X63" s="2">
        <f>X8*'Output-Calculation-sheet'!X52/10^9</f>
        <v>0.11354938078928606</v>
      </c>
      <c r="Y63" s="2">
        <f>Y8*'Output-Calculation-sheet'!Y52/10^9</f>
        <v>5.8566495940691729E-2</v>
      </c>
      <c r="AA63" s="2">
        <f t="shared" si="4"/>
        <v>25.013364021473731</v>
      </c>
    </row>
    <row r="64" spans="1:27" x14ac:dyDescent="0.25">
      <c r="A64" s="2">
        <v>2032</v>
      </c>
      <c r="B64" s="2">
        <f>B9*'Output-Calculation-sheet'!B53/10^9</f>
        <v>8.9223191214191644</v>
      </c>
      <c r="C64" s="2">
        <f>C9*'Output-Calculation-sheet'!C53/10^9</f>
        <v>4.5184702833710242</v>
      </c>
      <c r="D64" s="2">
        <f>D9*'Output-Calculation-sheet'!D53/10^9</f>
        <v>1.5827562986146739</v>
      </c>
      <c r="E64" s="2">
        <f>E9*'Output-Calculation-sheet'!E53/10^9</f>
        <v>2.0382040006732591</v>
      </c>
      <c r="F64" s="2">
        <f>F9*'Output-Calculation-sheet'!F53/10^9</f>
        <v>0.847059791729871</v>
      </c>
      <c r="G64" s="2">
        <f>G9*'Output-Calculation-sheet'!G53/10^9</f>
        <v>0.60810423249683698</v>
      </c>
      <c r="H64" s="2">
        <f>H9*'Output-Calculation-sheet'!H53/10^9</f>
        <v>1.170330748872743</v>
      </c>
      <c r="I64" s="2">
        <f>I9*'Output-Calculation-sheet'!I53/10^9</f>
        <v>0.54518989175885368</v>
      </c>
      <c r="J64" s="2">
        <f>J9*'Output-Calculation-sheet'!J53/10^9</f>
        <v>0.58591874925709231</v>
      </c>
      <c r="K64" s="2">
        <f>K9*'Output-Calculation-sheet'!K53/10^9</f>
        <v>0.59868234081098359</v>
      </c>
      <c r="L64" s="2">
        <f>L9*'Output-Calculation-sheet'!L53/10^9</f>
        <v>0.62244415458871927</v>
      </c>
      <c r="M64" s="2">
        <f>M9*'Output-Calculation-sheet'!M53/10^9</f>
        <v>0.88517356754703602</v>
      </c>
      <c r="N64" s="2">
        <f>N9*'Output-Calculation-sheet'!N53/10^9</f>
        <v>0.74869347970267452</v>
      </c>
      <c r="O64" s="2">
        <f>O9*'Output-Calculation-sheet'!O53/10^9</f>
        <v>0.77575609559689429</v>
      </c>
      <c r="P64" s="2">
        <f>P9*'Output-Calculation-sheet'!P53/10^9</f>
        <v>0.6449545323742143</v>
      </c>
      <c r="Q64" s="2">
        <f>Q9*'Output-Calculation-sheet'!Q53/10^9</f>
        <v>0.61002941033333224</v>
      </c>
      <c r="R64" s="2">
        <f>R9*'Output-Calculation-sheet'!R53/10^9</f>
        <v>0.51308628033564552</v>
      </c>
      <c r="S64" s="2">
        <f>S9*'Output-Calculation-sheet'!S53/10^9</f>
        <v>0.47142549973099301</v>
      </c>
      <c r="T64" s="2">
        <f>T9*'Output-Calculation-sheet'!T53/10^9</f>
        <v>0.1676448640115176</v>
      </c>
      <c r="U64" s="2">
        <f>U9*'Output-Calculation-sheet'!U53/10^9</f>
        <v>0.16503850174928827</v>
      </c>
      <c r="V64" s="2">
        <f>V9*'Output-Calculation-sheet'!V53/10^9</f>
        <v>0.14690152376502358</v>
      </c>
      <c r="W64" s="2">
        <f>W9*'Output-Calculation-sheet'!W53/10^9</f>
        <v>7.7138215527258594E-2</v>
      </c>
      <c r="X64" s="2">
        <f>X9*'Output-Calculation-sheet'!X53/10^9</f>
        <v>0.12436275755529219</v>
      </c>
      <c r="Y64" s="2">
        <f>Y9*'Output-Calculation-sheet'!Y53/10^9</f>
        <v>6.4362766840565078E-2</v>
      </c>
      <c r="AA64" s="2">
        <f t="shared" si="4"/>
        <v>27.434047108662959</v>
      </c>
    </row>
    <row r="65" spans="1:27" x14ac:dyDescent="0.25">
      <c r="A65" s="2">
        <v>2033</v>
      </c>
      <c r="B65" s="2">
        <f>B10*'Output-Calculation-sheet'!B54/10^9</f>
        <v>9.223461016155337</v>
      </c>
      <c r="C65" s="2">
        <f>C10*'Output-Calculation-sheet'!C54/10^9</f>
        <v>4.6695179505541589</v>
      </c>
      <c r="D65" s="2">
        <f>D10*'Output-Calculation-sheet'!D54/10^9</f>
        <v>1.6404960031498652</v>
      </c>
      <c r="E65" s="2">
        <f>E10*'Output-Calculation-sheet'!E54/10^9</f>
        <v>2.1128307584298205</v>
      </c>
      <c r="F65" s="2">
        <f>F10*'Output-Calculation-sheet'!F54/10^9</f>
        <v>0.87730571854122041</v>
      </c>
      <c r="G65" s="2">
        <f>G10*'Output-Calculation-sheet'!G54/10^9</f>
        <v>0.63001351997030164</v>
      </c>
      <c r="H65" s="2">
        <f>H10*'Output-Calculation-sheet'!H54/10^9</f>
        <v>1.2079962938484838</v>
      </c>
      <c r="I65" s="2">
        <f>I10*'Output-Calculation-sheet'!I54/10^9</f>
        <v>0.56502552839499443</v>
      </c>
      <c r="J65" s="2">
        <f>J10*'Output-Calculation-sheet'!J54/10^9</f>
        <v>0.6069095350335133</v>
      </c>
      <c r="K65" s="2">
        <f>K10*'Output-Calculation-sheet'!K54/10^9</f>
        <v>0.62064014641658971</v>
      </c>
      <c r="L65" s="2">
        <f>L10*'Output-Calculation-sheet'!L54/10^9</f>
        <v>0.64507068792270084</v>
      </c>
      <c r="M65" s="2">
        <f>M10*'Output-Calculation-sheet'!M54/10^9</f>
        <v>0.91387502004859444</v>
      </c>
      <c r="N65" s="2">
        <f>N10*'Output-Calculation-sheet'!N54/10^9</f>
        <v>0.77360313976932449</v>
      </c>
      <c r="O65" s="2">
        <f>O10*'Output-Calculation-sheet'!O54/10^9</f>
        <v>0.801841541963354</v>
      </c>
      <c r="P65" s="2">
        <f>P10*'Output-Calculation-sheet'!P54/10^9</f>
        <v>0.66886035232964847</v>
      </c>
      <c r="Q65" s="2">
        <f>Q10*'Output-Calculation-sheet'!Q54/10^9</f>
        <v>0.63267221821366615</v>
      </c>
      <c r="R65" s="2">
        <f>R10*'Output-Calculation-sheet'!R54/10^9</f>
        <v>0.53112275379451701</v>
      </c>
      <c r="S65" s="2">
        <f>S10*'Output-Calculation-sheet'!S54/10^9</f>
        <v>0.48754564102607351</v>
      </c>
      <c r="T65" s="2">
        <f>T10*'Output-Calculation-sheet'!T54/10^9</f>
        <v>0.17315147834129857</v>
      </c>
      <c r="U65" s="2">
        <f>U10*'Output-Calculation-sheet'!U54/10^9</f>
        <v>0.17108463128852688</v>
      </c>
      <c r="V65" s="2">
        <f>V10*'Output-Calculation-sheet'!V54/10^9</f>
        <v>0.15126157460706971</v>
      </c>
      <c r="W65" s="2">
        <f>W10*'Output-Calculation-sheet'!W54/10^9</f>
        <v>7.9893664733132835E-2</v>
      </c>
      <c r="X65" s="2">
        <f>X10*'Output-Calculation-sheet'!X54/10^9</f>
        <v>0.1284904475765887</v>
      </c>
      <c r="Y65" s="2">
        <f>Y10*'Output-Calculation-sheet'!Y54/10^9</f>
        <v>6.6740411919485015E-2</v>
      </c>
      <c r="AA65" s="2">
        <f t="shared" si="4"/>
        <v>28.379410034028268</v>
      </c>
    </row>
    <row r="66" spans="1:27" x14ac:dyDescent="0.25">
      <c r="A66" s="2">
        <v>2034</v>
      </c>
      <c r="B66" s="2">
        <f>B11*'Output-Calculation-sheet'!B55/10^9</f>
        <v>9.0292381126949017</v>
      </c>
      <c r="C66" s="2">
        <f>C11*'Output-Calculation-sheet'!C55/10^9</f>
        <v>4.5737800697520496</v>
      </c>
      <c r="D66" s="2">
        <f>D11*'Output-Calculation-sheet'!D55/10^9</f>
        <v>1.6120384933667677</v>
      </c>
      <c r="E66" s="2">
        <f>E11*'Output-Calculation-sheet'!E55/10^9</f>
        <v>2.0764314907355632</v>
      </c>
      <c r="F66" s="2">
        <f>F11*'Output-Calculation-sheet'!F55/10^9</f>
        <v>0.86143143804490652</v>
      </c>
      <c r="G66" s="2">
        <f>G11*'Output-Calculation-sheet'!G55/10^9</f>
        <v>0.61870818057155863</v>
      </c>
      <c r="H66" s="2">
        <f>H11*'Output-Calculation-sheet'!H55/10^9</f>
        <v>1.1818264949653556</v>
      </c>
      <c r="I66" s="2">
        <f>I11*'Output-Calculation-sheet'!I55/10^9</f>
        <v>0.55516599171271341</v>
      </c>
      <c r="J66" s="2">
        <f>J11*'Output-Calculation-sheet'!J55/10^9</f>
        <v>0.59586864130169981</v>
      </c>
      <c r="K66" s="2">
        <f>K11*'Output-Calculation-sheet'!K55/10^9</f>
        <v>0.60997986095017687</v>
      </c>
      <c r="L66" s="2">
        <f>L11*'Output-Calculation-sheet'!L55/10^9</f>
        <v>0.63338218380558353</v>
      </c>
      <c r="M66" s="2">
        <f>M11*'Output-Calculation-sheet'!M55/10^9</f>
        <v>0.89426822061719147</v>
      </c>
      <c r="N66" s="2">
        <f>N11*'Output-Calculation-sheet'!N55/10^9</f>
        <v>0.7574631372049665</v>
      </c>
      <c r="O66" s="2">
        <f>O11*'Output-Calculation-sheet'!O55/10^9</f>
        <v>0.78549839273032229</v>
      </c>
      <c r="P66" s="2">
        <f>P11*'Output-Calculation-sheet'!P55/10^9</f>
        <v>0.65735898937949744</v>
      </c>
      <c r="Q66" s="2">
        <f>Q11*'Output-Calculation-sheet'!Q55/10^9</f>
        <v>0.62207079050667302</v>
      </c>
      <c r="R66" s="2">
        <f>R11*'Output-Calculation-sheet'!R55/10^9</f>
        <v>0.52102906502192747</v>
      </c>
      <c r="S66" s="2">
        <f>S11*'Output-Calculation-sheet'!S55/10^9</f>
        <v>0.47783594941220375</v>
      </c>
      <c r="T66" s="2">
        <f>T11*'Output-Calculation-sheet'!T55/10^9</f>
        <v>0.16951728349042819</v>
      </c>
      <c r="U66" s="2">
        <f>U11*'Output-Calculation-sheet'!U55/10^9</f>
        <v>0.16809817999923321</v>
      </c>
      <c r="V66" s="2">
        <f>V11*'Output-Calculation-sheet'!V55/10^9</f>
        <v>0.14766212429448047</v>
      </c>
      <c r="W66" s="2">
        <f>W11*'Output-Calculation-sheet'!W55/10^9</f>
        <v>7.8441056433807624E-2</v>
      </c>
      <c r="X66" s="2">
        <f>X11*'Output-Calculation-sheet'!X55/10^9</f>
        <v>0.12576637982944253</v>
      </c>
      <c r="Y66" s="2">
        <f>Y11*'Output-Calculation-sheet'!Y55/10^9</f>
        <v>6.5611612786162718E-2</v>
      </c>
      <c r="AA66" s="2">
        <f t="shared" si="4"/>
        <v>27.818472139607611</v>
      </c>
    </row>
    <row r="67" spans="1:27" x14ac:dyDescent="0.25">
      <c r="A67" s="2">
        <v>2035</v>
      </c>
      <c r="B67" s="2">
        <f>B12*'Output-Calculation-sheet'!B56/10^9</f>
        <v>8.3642939541907264</v>
      </c>
      <c r="C67" s="2">
        <f>C12*'Output-Calculation-sheet'!C56/10^9</f>
        <v>4.2456677894024795</v>
      </c>
      <c r="D67" s="2">
        <f>D12*'Output-Calculation-sheet'!D56/10^9</f>
        <v>1.5016263751903081</v>
      </c>
      <c r="E67" s="2">
        <f>E12*'Output-Calculation-sheet'!E56/10^9</f>
        <v>1.9344426446958933</v>
      </c>
      <c r="F67" s="2">
        <f>F12*'Output-Calculation-sheet'!F56/10^9</f>
        <v>0.80181134692678036</v>
      </c>
      <c r="G67" s="2">
        <f>G12*'Output-Calculation-sheet'!G56/10^9</f>
        <v>0.57585888336195634</v>
      </c>
      <c r="H67" s="2">
        <f>H12*'Output-Calculation-sheet'!H56/10^9</f>
        <v>1.0957448822798472</v>
      </c>
      <c r="I67" s="2">
        <f>I12*'Output-Calculation-sheet'!I56/10^9</f>
        <v>0.51708395612069757</v>
      </c>
      <c r="J67" s="2">
        <f>J12*'Output-Calculation-sheet'!J56/10^9</f>
        <v>0.55449148620198774</v>
      </c>
      <c r="K67" s="2">
        <f>K12*'Output-Calculation-sheet'!K56/10^9</f>
        <v>0.56829593740434881</v>
      </c>
      <c r="L67" s="2">
        <f>L12*'Output-Calculation-sheet'!L56/10^9</f>
        <v>0.58900019814880633</v>
      </c>
      <c r="M67" s="2">
        <f>M12*'Output-Calculation-sheet'!M56/10^9</f>
        <v>0.82929223432121046</v>
      </c>
      <c r="N67" s="2">
        <f>N12*'Output-Calculation-sheet'!N56/10^9</f>
        <v>0.70280918213525767</v>
      </c>
      <c r="O67" s="2">
        <f>O12*'Output-Calculation-sheet'!O56/10^9</f>
        <v>0.72912680336878033</v>
      </c>
      <c r="P67" s="2">
        <f>P12*'Output-Calculation-sheet'!P56/10^9</f>
        <v>0.61221948398674042</v>
      </c>
      <c r="Q67" s="2">
        <f>Q12*'Output-Calculation-sheet'!Q56/10^9</f>
        <v>0.57976161630900291</v>
      </c>
      <c r="R67" s="2">
        <f>R12*'Output-Calculation-sheet'!R56/10^9</f>
        <v>0.48435325372861221</v>
      </c>
      <c r="S67" s="2">
        <f>S12*'Output-Calculation-sheet'!S56/10^9</f>
        <v>0.44382153040064209</v>
      </c>
      <c r="T67" s="2">
        <f>T12*'Output-Calculation-sheet'!T56/10^9</f>
        <v>0.15728712356853444</v>
      </c>
      <c r="U67" s="2">
        <f>U12*'Output-Calculation-sheet'!U56/10^9</f>
        <v>0.1565111958655743</v>
      </c>
      <c r="V67" s="2">
        <f>V12*'Output-Calculation-sheet'!V56/10^9</f>
        <v>0.13663522071720818</v>
      </c>
      <c r="W67" s="2">
        <f>W12*'Output-Calculation-sheet'!W56/10^9</f>
        <v>7.2996134562469742E-2</v>
      </c>
      <c r="X67" s="2">
        <f>X12*'Output-Calculation-sheet'!X56/10^9</f>
        <v>0.11653660370545285</v>
      </c>
      <c r="Y67" s="2">
        <f>Y12*'Output-Calculation-sheet'!Y56/10^9</f>
        <v>6.1144997687640798E-2</v>
      </c>
      <c r="AA67" s="2">
        <f t="shared" si="4"/>
        <v>25.830812834280959</v>
      </c>
    </row>
    <row r="68" spans="1:27" x14ac:dyDescent="0.25">
      <c r="B68" s="2">
        <f>SUM(B60:B67)</f>
        <v>60.130077862698357</v>
      </c>
      <c r="C68" s="2">
        <f t="shared" ref="C68:Y68" si="5">SUM(C60:C67)</f>
        <v>30.459110238707975</v>
      </c>
      <c r="D68" s="2">
        <f t="shared" si="5"/>
        <v>10.687764860375857</v>
      </c>
      <c r="E68" s="2">
        <f t="shared" si="5"/>
        <v>13.762637263318368</v>
      </c>
      <c r="F68" s="2">
        <f t="shared" si="5"/>
        <v>5.7207963678735361</v>
      </c>
      <c r="G68" s="2">
        <f t="shared" si="5"/>
        <v>4.1043540179673856</v>
      </c>
      <c r="H68" s="2">
        <f t="shared" si="5"/>
        <v>7.8903069348852304</v>
      </c>
      <c r="I68" s="2">
        <f t="shared" si="5"/>
        <v>3.6815145926772952</v>
      </c>
      <c r="J68" s="2">
        <f t="shared" si="5"/>
        <v>3.955081494687354</v>
      </c>
      <c r="K68" s="2">
        <f t="shared" si="5"/>
        <v>4.0424159032587523</v>
      </c>
      <c r="L68" s="2">
        <f t="shared" si="5"/>
        <v>4.2015064885248785</v>
      </c>
      <c r="M68" s="2">
        <f t="shared" si="5"/>
        <v>5.9676093830240848</v>
      </c>
      <c r="N68" s="2">
        <f t="shared" si="5"/>
        <v>5.046691773753067</v>
      </c>
      <c r="O68" s="2">
        <f t="shared" si="5"/>
        <v>5.2251188624924358</v>
      </c>
      <c r="P68" s="2">
        <f t="shared" si="5"/>
        <v>4.3524164157848659</v>
      </c>
      <c r="Q68" s="2">
        <f t="shared" si="5"/>
        <v>4.1184986863785493</v>
      </c>
      <c r="R68" s="2">
        <f t="shared" si="5"/>
        <v>3.4620972911043126</v>
      </c>
      <c r="S68" s="2">
        <f t="shared" si="5"/>
        <v>3.1785264300383691</v>
      </c>
      <c r="T68" s="2">
        <f t="shared" si="5"/>
        <v>1.1325920404839775</v>
      </c>
      <c r="U68" s="2">
        <f t="shared" si="5"/>
        <v>1.113601867680744</v>
      </c>
      <c r="V68" s="2">
        <f t="shared" si="5"/>
        <v>0.99520411314445134</v>
      </c>
      <c r="W68" s="2">
        <f t="shared" si="5"/>
        <v>0.52087162215850358</v>
      </c>
      <c r="X68" s="2">
        <f t="shared" si="5"/>
        <v>0.83813966513554961</v>
      </c>
      <c r="Y68" s="2">
        <f t="shared" si="5"/>
        <v>0.43457120909209851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61.741828969809617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54.959525554679885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218.06693744466986</v>
      </c>
      <c r="S74" s="2">
        <f>S8/'Output-Calculation-sheet'!S7*'Output-Calculation-sheet'!S61</f>
        <v>0</v>
      </c>
      <c r="T74" s="2">
        <f>T8/'Output-Calculation-sheet'!T7*'Output-Calculation-sheet'!T61</f>
        <v>160.64446157209505</v>
      </c>
      <c r="U74" s="2">
        <f>U8/'Output-Calculation-sheet'!U7*'Output-Calculation-sheet'!U61</f>
        <v>20.349905033079068</v>
      </c>
      <c r="V74" s="2">
        <f>V8/'Output-Calculation-sheet'!V7*'Output-Calculation-sheet'!V61</f>
        <v>184.39679066943455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0.70015944924376794</v>
      </c>
    </row>
    <row r="75" spans="1:27" x14ac:dyDescent="0.25">
      <c r="A75" s="2">
        <v>2032</v>
      </c>
      <c r="B75" s="2">
        <f>B9/'Output-Calculation-sheet'!B8*'Output-Calculation-sheet'!B62</f>
        <v>672.08255877325337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136.30415244458879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109.20803672134642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288.96161536323365</v>
      </c>
      <c r="S75" s="2">
        <f>S9/'Output-Calculation-sheet'!S8*'Output-Calculation-sheet'!S62</f>
        <v>0</v>
      </c>
      <c r="T75" s="2">
        <f>T9/'Output-Calculation-sheet'!T8*'Output-Calculation-sheet'!T62</f>
        <v>190.86599383410046</v>
      </c>
      <c r="U75" s="2">
        <f>U9/'Output-Calculation-sheet'!U8*'Output-Calculation-sheet'!U62</f>
        <v>39.015491076112191</v>
      </c>
      <c r="V75" s="2">
        <f>V9/'Output-Calculation-sheet'!V8*'Output-Calculation-sheet'!V62</f>
        <v>204.45886998623416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1.6408967181988687</v>
      </c>
    </row>
    <row r="76" spans="1:27" x14ac:dyDescent="0.25">
      <c r="A76" s="2">
        <v>2033</v>
      </c>
      <c r="B76" s="2">
        <f>B10/'Output-Calculation-sheet'!B9*'Output-Calculation-sheet'!B63</f>
        <v>1694.7559300613652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198.80566201579921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189.63212591777022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85.550301962477718</v>
      </c>
      <c r="Q76" s="2">
        <f>Q10/'Output-Calculation-sheet'!Q9*'Output-Calculation-sheet'!Q63</f>
        <v>0</v>
      </c>
      <c r="R76" s="2">
        <f>R10/'Output-Calculation-sheet'!R9*'Output-Calculation-sheet'!R63</f>
        <v>364.37120863784855</v>
      </c>
      <c r="S76" s="2">
        <f>S10/'Output-Calculation-sheet'!S9*'Output-Calculation-sheet'!S63</f>
        <v>0</v>
      </c>
      <c r="T76" s="2">
        <f>T10/'Output-Calculation-sheet'!T9*'Output-Calculation-sheet'!T63</f>
        <v>212.96358483421938</v>
      </c>
      <c r="U76" s="2">
        <f>U10/'Output-Calculation-sheet'!U9*'Output-Calculation-sheet'!U63</f>
        <v>61.942083321380615</v>
      </c>
      <c r="V76" s="2">
        <f>V10/'Output-Calculation-sheet'!V9*'Output-Calculation-sheet'!V63</f>
        <v>221.19661561585369</v>
      </c>
      <c r="W76" s="2">
        <f>W10/'Output-Calculation-sheet'!W9*'Output-Calculation-sheet'!W63</f>
        <v>6.9453384687970114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3.0361628508355119</v>
      </c>
    </row>
    <row r="77" spans="1:27" x14ac:dyDescent="0.25">
      <c r="A77" s="2">
        <v>2034</v>
      </c>
      <c r="B77" s="2">
        <f>B11/'Output-Calculation-sheet'!B10*'Output-Calculation-sheet'!B64</f>
        <v>2798.1778872157761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266.53829258940488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247.7586209133014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159.92767089649385</v>
      </c>
      <c r="Q77" s="2">
        <f>Q11/'Output-Calculation-sheet'!Q10*'Output-Calculation-sheet'!Q64</f>
        <v>0</v>
      </c>
      <c r="R77" s="2">
        <f>R11/'Output-Calculation-sheet'!R10*'Output-Calculation-sheet'!R64</f>
        <v>415.42712400626908</v>
      </c>
      <c r="S77" s="2">
        <f>S11/'Output-Calculation-sheet'!S10*'Output-Calculation-sheet'!S64</f>
        <v>0</v>
      </c>
      <c r="T77" s="2">
        <f>T11/'Output-Calculation-sheet'!T10*'Output-Calculation-sheet'!T64</f>
        <v>223.76158288742863</v>
      </c>
      <c r="U77" s="2">
        <f>U11/'Output-Calculation-sheet'!U10*'Output-Calculation-sheet'!U64</f>
        <v>75.858887443585033</v>
      </c>
      <c r="V77" s="2">
        <f>V11/'Output-Calculation-sheet'!V10*'Output-Calculation-sheet'!V64</f>
        <v>226.58885518345232</v>
      </c>
      <c r="W77" s="2">
        <f>W11/'Output-Calculation-sheet'!W10*'Output-Calculation-sheet'!W64</f>
        <v>12.007247166115647</v>
      </c>
      <c r="X77" s="2">
        <f>X11/'Output-Calculation-sheet'!X10*'Output-Calculation-sheet'!X64</f>
        <v>21.543524195133344</v>
      </c>
      <c r="Y77" s="2">
        <f>Y11/'Output-Calculation-sheet'!Y10*'Output-Calculation-sheet'!Y64</f>
        <v>0</v>
      </c>
      <c r="AA77" s="2">
        <f t="shared" si="6"/>
        <v>4.4475896924969609</v>
      </c>
    </row>
    <row r="78" spans="1:27" x14ac:dyDescent="0.25">
      <c r="A78" s="2">
        <v>2035</v>
      </c>
      <c r="B78" s="2">
        <f>B12/'Output-Calculation-sheet'!B11*'Output-Calculation-sheet'!B65</f>
        <v>4611.7213731828933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298.22524453418282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263.39043187733733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213.96507312243307</v>
      </c>
      <c r="Q78" s="2">
        <f>Q12/'Output-Calculation-sheet'!Q11*'Output-Calculation-sheet'!Q65</f>
        <v>0</v>
      </c>
      <c r="R78" s="2">
        <f>R12/'Output-Calculation-sheet'!R11*'Output-Calculation-sheet'!R65</f>
        <v>469.69680941803847</v>
      </c>
      <c r="S78" s="2">
        <f>S12/'Output-Calculation-sheet'!S11*'Output-Calculation-sheet'!S65</f>
        <v>0</v>
      </c>
      <c r="T78" s="2">
        <f>T12/'Output-Calculation-sheet'!T11*'Output-Calculation-sheet'!T65</f>
        <v>227.34747020158474</v>
      </c>
      <c r="U78" s="2">
        <f>U12/'Output-Calculation-sheet'!U11*'Output-Calculation-sheet'!U65</f>
        <v>88.395902554233729</v>
      </c>
      <c r="V78" s="2">
        <f>V12/'Output-Calculation-sheet'!V11*'Output-Calculation-sheet'!V65</f>
        <v>214.49095454928835</v>
      </c>
      <c r="W78" s="2">
        <f>W12/'Output-Calculation-sheet'!W11*'Output-Calculation-sheet'!W65</f>
        <v>16.063563682288564</v>
      </c>
      <c r="X78" s="2">
        <f>X12/'Output-Calculation-sheet'!X11*'Output-Calculation-sheet'!X65</f>
        <v>43.867671953729761</v>
      </c>
      <c r="Y78" s="2">
        <f>Y12/'Output-Calculation-sheet'!Y11*'Output-Calculation-sheet'!Y65</f>
        <v>0</v>
      </c>
      <c r="AA78" s="2">
        <f t="shared" si="6"/>
        <v>6.4471644950760103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 t="shared" ref="AA93:AA100" si="8"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si="8"/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17867002300.325321</v>
      </c>
      <c r="C96" s="2">
        <f>C8/'Output-Calculation-sheet'!C7*'Output-Calculation-sheet'!C79</f>
        <v>2199238789.9200888</v>
      </c>
      <c r="D96" s="2">
        <f>D8/'Output-Calculation-sheet'!D7*'Output-Calculation-sheet'!D79</f>
        <v>7788177926.8164148</v>
      </c>
      <c r="E96" s="2">
        <f>E8/'Output-Calculation-sheet'!E7*'Output-Calculation-sheet'!E79</f>
        <v>13316024317.047138</v>
      </c>
      <c r="F96" s="2">
        <f>F8/'Output-Calculation-sheet'!F7*'Output-Calculation-sheet'!F79</f>
        <v>5992655360.9212856</v>
      </c>
      <c r="G96" s="2">
        <f>G8/'Output-Calculation-sheet'!G7*'Output-Calculation-sheet'!G79</f>
        <v>4551693908.4459381</v>
      </c>
      <c r="H96" s="2">
        <f>H8/'Output-Calculation-sheet'!H7*'Output-Calculation-sheet'!H79</f>
        <v>1324243017.1067915</v>
      </c>
      <c r="I96" s="2">
        <f>I8/'Output-Calculation-sheet'!I7*'Output-Calculation-sheet'!I79</f>
        <v>3053152846.1276307</v>
      </c>
      <c r="J96" s="2">
        <f>J8/'Output-Calculation-sheet'!J7*'Output-Calculation-sheet'!J79</f>
        <v>2262439169.1968307</v>
      </c>
      <c r="K96" s="2">
        <f>K8/'Output-Calculation-sheet'!K7*'Output-Calculation-sheet'!K79</f>
        <v>2615948450.5412149</v>
      </c>
      <c r="L96" s="2">
        <f>L8/'Output-Calculation-sheet'!L7*'Output-Calculation-sheet'!L79</f>
        <v>2080938926.1856217</v>
      </c>
      <c r="M96" s="2">
        <f>M8/'Output-Calculation-sheet'!M7*'Output-Calculation-sheet'!M79</f>
        <v>1029480771.2345185</v>
      </c>
      <c r="N96" s="2">
        <f>N8/'Output-Calculation-sheet'!N7*'Output-Calculation-sheet'!N79</f>
        <v>1045539866.3781145</v>
      </c>
      <c r="O96" s="2">
        <f>O8/'Output-Calculation-sheet'!O7*'Output-Calculation-sheet'!O79</f>
        <v>255216379.22959131</v>
      </c>
      <c r="P96" s="2">
        <f>P8/'Output-Calculation-sheet'!P7*'Output-Calculation-sheet'!P79</f>
        <v>2780776608.3852329</v>
      </c>
      <c r="Q96" s="2">
        <f>Q8/'Output-Calculation-sheet'!Q7*'Output-Calculation-sheet'!Q79</f>
        <v>1233084427.2745292</v>
      </c>
      <c r="R96" s="2">
        <f>R8/'Output-Calculation-sheet'!R7*'Output-Calculation-sheet'!R79</f>
        <v>1876117899.1852176</v>
      </c>
      <c r="S96" s="2">
        <f>S8/'Output-Calculation-sheet'!S7*'Output-Calculation-sheet'!S79</f>
        <v>733321722.28542924</v>
      </c>
      <c r="T96" s="2">
        <f>T8/'Output-Calculation-sheet'!T7*'Output-Calculation-sheet'!T79</f>
        <v>993151699.75388432</v>
      </c>
      <c r="U96" s="2">
        <f>U8/'Output-Calculation-sheet'!U7*'Output-Calculation-sheet'!U79</f>
        <v>493270773.12106359</v>
      </c>
      <c r="V96" s="2">
        <f>V8/'Output-Calculation-sheet'!V7*'Output-Calculation-sheet'!V79</f>
        <v>363475991.7702378</v>
      </c>
      <c r="W96" s="2">
        <f>W8/'Output-Calculation-sheet'!W7*'Output-Calculation-sheet'!W79</f>
        <v>968315977.04304624</v>
      </c>
      <c r="X96" s="2">
        <f>X8/'Output-Calculation-sheet'!X7*'Output-Calculation-sheet'!X79</f>
        <v>114743335.42813963</v>
      </c>
      <c r="Y96" s="2">
        <f>Y8/'Output-Calculation-sheet'!Y7*'Output-Calculation-sheet'!Y79</f>
        <v>434568316.02948034</v>
      </c>
      <c r="AA96" s="2">
        <f t="shared" si="8"/>
        <v>75.372578779752757</v>
      </c>
    </row>
    <row r="97" spans="1:27" x14ac:dyDescent="0.25">
      <c r="A97" s="2">
        <v>2032</v>
      </c>
      <c r="B97" s="2">
        <f>B9/'Output-Calculation-sheet'!B8*'Output-Calculation-sheet'!B80</f>
        <v>19989593147.280563</v>
      </c>
      <c r="C97" s="2">
        <f>C9/'Output-Calculation-sheet'!C8*'Output-Calculation-sheet'!C80</f>
        <v>2511357548.8415093</v>
      </c>
      <c r="D97" s="2">
        <f>D9/'Output-Calculation-sheet'!D8*'Output-Calculation-sheet'!D80</f>
        <v>8271144897.3390779</v>
      </c>
      <c r="E97" s="2">
        <f>E9/'Output-Calculation-sheet'!E8*'Output-Calculation-sheet'!E80</f>
        <v>14562223298.184446</v>
      </c>
      <c r="F97" s="2">
        <f>F9/'Output-Calculation-sheet'!F8*'Output-Calculation-sheet'!F80</f>
        <v>6538352489.7802048</v>
      </c>
      <c r="G97" s="2">
        <f>G9/'Output-Calculation-sheet'!G8*'Output-Calculation-sheet'!G80</f>
        <v>4839563959.8419685</v>
      </c>
      <c r="H97" s="2">
        <f>H9/'Output-Calculation-sheet'!H8*'Output-Calculation-sheet'!H80</f>
        <v>1466419159.322922</v>
      </c>
      <c r="I97" s="2">
        <f>I9/'Output-Calculation-sheet'!I8*'Output-Calculation-sheet'!I80</f>
        <v>3361422525.5552573</v>
      </c>
      <c r="J97" s="2">
        <f>J9/'Output-Calculation-sheet'!J8*'Output-Calculation-sheet'!J80</f>
        <v>2425462797.8034639</v>
      </c>
      <c r="K97" s="2">
        <f>K9/'Output-Calculation-sheet'!K8*'Output-Calculation-sheet'!K80</f>
        <v>2823310106.0821848</v>
      </c>
      <c r="L97" s="2">
        <f>L9/'Output-Calculation-sheet'!L8*'Output-Calculation-sheet'!L80</f>
        <v>2314953455.9753423</v>
      </c>
      <c r="M97" s="2">
        <f>M9/'Output-Calculation-sheet'!M8*'Output-Calculation-sheet'!M80</f>
        <v>1139821377.2980421</v>
      </c>
      <c r="N97" s="2">
        <f>N9/'Output-Calculation-sheet'!N8*'Output-Calculation-sheet'!N80</f>
        <v>1129707741.2525494</v>
      </c>
      <c r="O97" s="2">
        <f>O9/'Output-Calculation-sheet'!O8*'Output-Calculation-sheet'!O80</f>
        <v>294832462.29176736</v>
      </c>
      <c r="P97" s="2">
        <f>P9/'Output-Calculation-sheet'!P8*'Output-Calculation-sheet'!P80</f>
        <v>2998291689.5908575</v>
      </c>
      <c r="Q97" s="2">
        <f>Q9/'Output-Calculation-sheet'!Q8*'Output-Calculation-sheet'!Q80</f>
        <v>1333210601.5633709</v>
      </c>
      <c r="R97" s="2">
        <f>R9/'Output-Calculation-sheet'!R8*'Output-Calculation-sheet'!R80</f>
        <v>2074671956.6774254</v>
      </c>
      <c r="S97" s="2">
        <f>S9/'Output-Calculation-sheet'!S8*'Output-Calculation-sheet'!S80</f>
        <v>800135813.59188271</v>
      </c>
      <c r="T97" s="2">
        <f>T9/'Output-Calculation-sheet'!T8*'Output-Calculation-sheet'!T80</f>
        <v>1069862825.9818325</v>
      </c>
      <c r="U97" s="2">
        <f>U9/'Output-Calculation-sheet'!U8*'Output-Calculation-sheet'!U80</f>
        <v>542977941.88762426</v>
      </c>
      <c r="V97" s="2">
        <f>V9/'Output-Calculation-sheet'!V8*'Output-Calculation-sheet'!V80</f>
        <v>399973636.5728752</v>
      </c>
      <c r="W97" s="2">
        <f>W9/'Output-Calculation-sheet'!W8*'Output-Calculation-sheet'!W80</f>
        <v>1045992970.8090547</v>
      </c>
      <c r="X97" s="2">
        <f>X9/'Output-Calculation-sheet'!X8*'Output-Calculation-sheet'!X80</f>
        <v>128093025.5983927</v>
      </c>
      <c r="Y97" s="2">
        <f>Y9/'Output-Calculation-sheet'!Y8*'Output-Calculation-sheet'!Y80</f>
        <v>469698197.69132429</v>
      </c>
      <c r="AA97" s="2">
        <f t="shared" si="8"/>
        <v>82.531073626813935</v>
      </c>
    </row>
    <row r="98" spans="1:27" x14ac:dyDescent="0.25">
      <c r="A98" s="2">
        <v>2033</v>
      </c>
      <c r="B98" s="2">
        <f>B10/'Output-Calculation-sheet'!B9*'Output-Calculation-sheet'!B81</f>
        <v>21288288592.702843</v>
      </c>
      <c r="C98" s="2">
        <f>C10/'Output-Calculation-sheet'!C9*'Output-Calculation-sheet'!C81</f>
        <v>2684402375.2601686</v>
      </c>
      <c r="D98" s="2">
        <f>D10/'Output-Calculation-sheet'!D9*'Output-Calculation-sheet'!D81</f>
        <v>8296776599.1406403</v>
      </c>
      <c r="E98" s="2">
        <f>E10/'Output-Calculation-sheet'!E9*'Output-Calculation-sheet'!E81</f>
        <v>15034740439.061224</v>
      </c>
      <c r="F98" s="2">
        <f>F10/'Output-Calculation-sheet'!F9*'Output-Calculation-sheet'!F81</f>
        <v>6734852764.5098543</v>
      </c>
      <c r="G98" s="2">
        <f>G10/'Output-Calculation-sheet'!G9*'Output-Calculation-sheet'!G81</f>
        <v>4845942287.7518806</v>
      </c>
      <c r="H98" s="2">
        <f>H10/'Output-Calculation-sheet'!H9*'Output-Calculation-sheet'!H81</f>
        <v>1528536006.754195</v>
      </c>
      <c r="I98" s="2">
        <f>I10/'Output-Calculation-sheet'!I9*'Output-Calculation-sheet'!I81</f>
        <v>3496615747.0841546</v>
      </c>
      <c r="J98" s="2">
        <f>J10/'Output-Calculation-sheet'!J9*'Output-Calculation-sheet'!J81</f>
        <v>2458485437.6363745</v>
      </c>
      <c r="K98" s="2">
        <f>K10/'Output-Calculation-sheet'!K9*'Output-Calculation-sheet'!K81</f>
        <v>2883186273.7124419</v>
      </c>
      <c r="L98" s="2">
        <f>L10/'Output-Calculation-sheet'!L9*'Output-Calculation-sheet'!L81</f>
        <v>2434559566.4619379</v>
      </c>
      <c r="M98" s="2">
        <f>M10/'Output-Calculation-sheet'!M9*'Output-Calculation-sheet'!M81</f>
        <v>1194194574.7112975</v>
      </c>
      <c r="N98" s="2">
        <f>N10/'Output-Calculation-sheet'!N9*'Output-Calculation-sheet'!N81</f>
        <v>1142430577.2107697</v>
      </c>
      <c r="O98" s="2">
        <f>O10/'Output-Calculation-sheet'!O9*'Output-Calculation-sheet'!O81</f>
        <v>315670037.32752329</v>
      </c>
      <c r="P98" s="2">
        <f>P10/'Output-Calculation-sheet'!P9*'Output-Calculation-sheet'!P81</f>
        <v>3099250921.4379835</v>
      </c>
      <c r="Q98" s="2">
        <f>Q10/'Output-Calculation-sheet'!Q9*'Output-Calculation-sheet'!Q81</f>
        <v>1364720203.7579894</v>
      </c>
      <c r="R98" s="2">
        <f>R10/'Output-Calculation-sheet'!R9*'Output-Calculation-sheet'!R81</f>
        <v>2167929907.2382832</v>
      </c>
      <c r="S98" s="2">
        <f>S10/'Output-Calculation-sheet'!S9*'Output-Calculation-sheet'!S81</f>
        <v>826733420.91944945</v>
      </c>
      <c r="T98" s="2">
        <f>T10/'Output-Calculation-sheet'!T9*'Output-Calculation-sheet'!T81</f>
        <v>1086489851.0068564</v>
      </c>
      <c r="U98" s="2">
        <f>U10/'Output-Calculation-sheet'!U9*'Output-Calculation-sheet'!U81</f>
        <v>564551465.09862983</v>
      </c>
      <c r="V98" s="2">
        <f>V10/'Output-Calculation-sheet'!V9*'Output-Calculation-sheet'!V81</f>
        <v>416196581.30938101</v>
      </c>
      <c r="W98" s="2">
        <f>W10/'Output-Calculation-sheet'!W9*'Output-Calculation-sheet'!W81</f>
        <v>1066620992.1758929</v>
      </c>
      <c r="X98" s="2">
        <f>X10/'Output-Calculation-sheet'!X9*'Output-Calculation-sheet'!X81</f>
        <v>135452457.16278058</v>
      </c>
      <c r="Y98" s="2">
        <f>Y10/'Output-Calculation-sheet'!Y9*'Output-Calculation-sheet'!Y81</f>
        <v>479065351.50376815</v>
      </c>
      <c r="AA98" s="2">
        <f t="shared" si="8"/>
        <v>85.545692430936356</v>
      </c>
    </row>
    <row r="99" spans="1:27" x14ac:dyDescent="0.25">
      <c r="A99" s="2">
        <v>2034</v>
      </c>
      <c r="B99" s="2">
        <f>B11/'Output-Calculation-sheet'!B10*'Output-Calculation-sheet'!B82</f>
        <v>21477079201.381756</v>
      </c>
      <c r="C99" s="2">
        <f>C11/'Output-Calculation-sheet'!C10*'Output-Calculation-sheet'!C82</f>
        <v>2726790439.7133207</v>
      </c>
      <c r="D99" s="2">
        <f>D11/'Output-Calculation-sheet'!D10*'Output-Calculation-sheet'!D82</f>
        <v>7892769714.7223101</v>
      </c>
      <c r="E99" s="2">
        <f>E11/'Output-Calculation-sheet'!E10*'Output-Calculation-sheet'!E82</f>
        <v>14715139766.086082</v>
      </c>
      <c r="F99" s="2">
        <f>F11/'Output-Calculation-sheet'!F10*'Output-Calculation-sheet'!F82</f>
        <v>6580932848.8973608</v>
      </c>
      <c r="G99" s="2">
        <f>G11/'Output-Calculation-sheet'!G10*'Output-Calculation-sheet'!G82</f>
        <v>4595453337.1070776</v>
      </c>
      <c r="H99" s="2">
        <f>H11/'Output-Calculation-sheet'!H10*'Output-Calculation-sheet'!H82</f>
        <v>1513087890.550895</v>
      </c>
      <c r="I99" s="2">
        <f>I11/'Output-Calculation-sheet'!I10*'Output-Calculation-sheet'!I82</f>
        <v>3449460019.8835025</v>
      </c>
      <c r="J99" s="2">
        <f>J11/'Output-Calculation-sheet'!J10*'Output-Calculation-sheet'!J82</f>
        <v>2363118862.7977395</v>
      </c>
      <c r="K99" s="2">
        <f>K11/'Output-Calculation-sheet'!K10*'Output-Calculation-sheet'!K82</f>
        <v>2793428660.7998037</v>
      </c>
      <c r="L99" s="2">
        <f>L11/'Output-Calculation-sheet'!L10*'Output-Calculation-sheet'!L82</f>
        <v>2442391113.6610913</v>
      </c>
      <c r="M99" s="2">
        <f>M11/'Output-Calculation-sheet'!M10*'Output-Calculation-sheet'!M82</f>
        <v>1185443214.5769677</v>
      </c>
      <c r="N99" s="2">
        <f>N11/'Output-Calculation-sheet'!N10*'Output-Calculation-sheet'!N82</f>
        <v>1101529131.1450706</v>
      </c>
      <c r="O99" s="2">
        <f>O11/'Output-Calculation-sheet'!O10*'Output-Calculation-sheet'!O82</f>
        <v>322467242.3774057</v>
      </c>
      <c r="P99" s="2">
        <f>P11/'Output-Calculation-sheet'!P10*'Output-Calculation-sheet'!P82</f>
        <v>3038108879.3433838</v>
      </c>
      <c r="Q99" s="2">
        <f>Q11/'Output-Calculation-sheet'!Q10*'Output-Calculation-sheet'!Q82</f>
        <v>1324440853.9453254</v>
      </c>
      <c r="R99" s="2">
        <f>R11/'Output-Calculation-sheet'!R10*'Output-Calculation-sheet'!R82</f>
        <v>2151591618.3064346</v>
      </c>
      <c r="S99" s="2">
        <f>S11/'Output-Calculation-sheet'!S10*'Output-Calculation-sheet'!S82</f>
        <v>808505649.89155364</v>
      </c>
      <c r="T99" s="2">
        <f>T11/'Output-Calculation-sheet'!T10*'Output-Calculation-sheet'!T82</f>
        <v>1045119422.5761179</v>
      </c>
      <c r="U99" s="2">
        <f>U11/'Output-Calculation-sheet'!U10*'Output-Calculation-sheet'!U82</f>
        <v>557161575.7659483</v>
      </c>
      <c r="V99" s="2">
        <f>V11/'Output-Calculation-sheet'!V10*'Output-Calculation-sheet'!V82</f>
        <v>409995222.10485929</v>
      </c>
      <c r="W99" s="2">
        <f>W11/'Output-Calculation-sheet'!W10*'Output-Calculation-sheet'!W82</f>
        <v>1029502027.6446757</v>
      </c>
      <c r="X99" s="2">
        <f>X11/'Output-Calculation-sheet'!X10*'Output-Calculation-sheet'!X82</f>
        <v>145297838.77731025</v>
      </c>
      <c r="Y99" s="2">
        <f>Y11/'Output-Calculation-sheet'!Y10*'Output-Calculation-sheet'!Y82</f>
        <v>463067804.99575436</v>
      </c>
      <c r="AA99" s="2">
        <f t="shared" si="8"/>
        <v>84.131882337051749</v>
      </c>
    </row>
    <row r="100" spans="1:27" x14ac:dyDescent="0.25">
      <c r="A100" s="2">
        <v>2035</v>
      </c>
      <c r="B100" s="2">
        <f>B12/'Output-Calculation-sheet'!B11*'Output-Calculation-sheet'!B83</f>
        <v>20950525895.939987</v>
      </c>
      <c r="C100" s="2">
        <f>C12/'Output-Calculation-sheet'!C11*'Output-Calculation-sheet'!C83</f>
        <v>2616471263.3596148</v>
      </c>
      <c r="D100" s="2">
        <f>D12/'Output-Calculation-sheet'!D11*'Output-Calculation-sheet'!D83</f>
        <v>7127403779.8227024</v>
      </c>
      <c r="E100" s="2">
        <f>E12/'Output-Calculation-sheet'!E11*'Output-Calculation-sheet'!E83</f>
        <v>13664733399.9174</v>
      </c>
      <c r="F100" s="2">
        <f>F12/'Output-Calculation-sheet'!F11*'Output-Calculation-sheet'!F83</f>
        <v>6100037340.4720402</v>
      </c>
      <c r="G100" s="2">
        <f>G12/'Output-Calculation-sheet'!G11*'Output-Calculation-sheet'!G83</f>
        <v>4130165019.2856622</v>
      </c>
      <c r="H100" s="2">
        <f>H12/'Output-Calculation-sheet'!H11*'Output-Calculation-sheet'!H83</f>
        <v>1422514496.0466964</v>
      </c>
      <c r="I100" s="2">
        <f>I12/'Output-Calculation-sheet'!I11*'Output-Calculation-sheet'!I83</f>
        <v>3228328837.0945325</v>
      </c>
      <c r="J100" s="2">
        <f>J12/'Output-Calculation-sheet'!J11*'Output-Calculation-sheet'!J83</f>
        <v>2154249305.566215</v>
      </c>
      <c r="K100" s="2">
        <f>K12/'Output-Calculation-sheet'!K11*'Output-Calculation-sheet'!K83</f>
        <v>2567941883.0683446</v>
      </c>
      <c r="L100" s="2">
        <f>L12/'Output-Calculation-sheet'!L11*'Output-Calculation-sheet'!L83</f>
        <v>2323428529.446908</v>
      </c>
      <c r="M100" s="2">
        <f>M12/'Output-Calculation-sheet'!M11*'Output-Calculation-sheet'!M83</f>
        <v>1119768703.3377144</v>
      </c>
      <c r="N100" s="2">
        <f>N12/'Output-Calculation-sheet'!N11*'Output-Calculation-sheet'!N83</f>
        <v>1005153876.9434779</v>
      </c>
      <c r="O100" s="2">
        <f>O12/'Output-Calculation-sheet'!O11*'Output-Calculation-sheet'!O83</f>
        <v>313259762.44612646</v>
      </c>
      <c r="P100" s="2">
        <f>P12/'Output-Calculation-sheet'!P11*'Output-Calculation-sheet'!P83</f>
        <v>2812733454.5041499</v>
      </c>
      <c r="Q100" s="2">
        <f>Q12/'Output-Calculation-sheet'!Q11*'Output-Calculation-sheet'!Q83</f>
        <v>1221590136.7363877</v>
      </c>
      <c r="R100" s="2">
        <f>R12/'Output-Calculation-sheet'!R11*'Output-Calculation-sheet'!R83</f>
        <v>2026483602.5091</v>
      </c>
      <c r="S100" s="2">
        <f>S12/'Output-Calculation-sheet'!S11*'Output-Calculation-sheet'!S83</f>
        <v>749555343.94114184</v>
      </c>
      <c r="T100" s="2">
        <f>T12/'Output-Calculation-sheet'!T11*'Output-Calculation-sheet'!T83</f>
        <v>956356999.77908695</v>
      </c>
      <c r="U100" s="2">
        <f>U12/'Output-Calculation-sheet'!U11*'Output-Calculation-sheet'!U83</f>
        <v>521230160.06478733</v>
      </c>
      <c r="V100" s="2">
        <f>V12/'Output-Calculation-sheet'!V11*'Output-Calculation-sheet'!V83</f>
        <v>383140158.64128006</v>
      </c>
      <c r="W100" s="2">
        <f>W12/'Output-Calculation-sheet'!W11*'Output-Calculation-sheet'!W83</f>
        <v>941049869.88124192</v>
      </c>
      <c r="X100" s="2">
        <f>X12/'Output-Calculation-sheet'!X11*'Output-Calculation-sheet'!X83</f>
        <v>149166579.60063127</v>
      </c>
      <c r="Y100" s="2">
        <f>Y12/'Output-Calculation-sheet'!Y11*'Output-Calculation-sheet'!Y83</f>
        <v>423702420.70744538</v>
      </c>
      <c r="AA100" s="2">
        <f t="shared" si="8"/>
        <v>78.908990819112674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BAF1-CFEC-442C-A69A-BEBE6130704C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116307350951.25566</v>
      </c>
      <c r="C8" s="2">
        <v>54809876440.109901</v>
      </c>
      <c r="D8" s="2">
        <v>48850417173.554634</v>
      </c>
      <c r="E8" s="2">
        <v>38757848843.277039</v>
      </c>
      <c r="F8" s="2">
        <v>24949818112.359158</v>
      </c>
      <c r="G8" s="2">
        <v>17530426935.019985</v>
      </c>
      <c r="H8" s="2">
        <v>17100258538.412331</v>
      </c>
      <c r="I8" s="2">
        <v>15971598883.946745</v>
      </c>
      <c r="J8" s="2">
        <v>15545651248.537527</v>
      </c>
      <c r="K8" s="2">
        <v>15396621324.124687</v>
      </c>
      <c r="L8" s="2">
        <v>12351369803.585505</v>
      </c>
      <c r="M8" s="2">
        <v>11797687708.94202</v>
      </c>
      <c r="N8" s="2">
        <v>11579396413.58231</v>
      </c>
      <c r="O8" s="2">
        <v>10649606590.233543</v>
      </c>
      <c r="P8" s="2">
        <v>10541255263.40486</v>
      </c>
      <c r="Q8" s="2">
        <v>10370891541.976097</v>
      </c>
      <c r="R8" s="2">
        <v>9977274681.8010044</v>
      </c>
      <c r="S8" s="2">
        <v>6631407856.6146736</v>
      </c>
      <c r="T8" s="2">
        <v>3667560381.2672176</v>
      </c>
      <c r="U8" s="2">
        <v>3194319776.7893538</v>
      </c>
      <c r="V8" s="2">
        <v>2459690114.5233397</v>
      </c>
      <c r="W8" s="2">
        <v>2129546517.8595676</v>
      </c>
      <c r="X8" s="2">
        <v>1277727910.7157416</v>
      </c>
      <c r="Y8" s="2">
        <v>1242577615.8919492</v>
      </c>
    </row>
    <row r="9" spans="1:27" x14ac:dyDescent="0.25">
      <c r="A9" s="2">
        <v>2032</v>
      </c>
      <c r="B9" s="2">
        <v>133389247359.76784</v>
      </c>
      <c r="C9" s="2">
        <v>62859725601.455635</v>
      </c>
      <c r="D9" s="2">
        <v>56025008967.16349</v>
      </c>
      <c r="E9" s="2">
        <v>44450159376.900146</v>
      </c>
      <c r="F9" s="2">
        <v>28614162669.438408</v>
      </c>
      <c r="G9" s="2">
        <v>20105095986.04586</v>
      </c>
      <c r="H9" s="2">
        <v>19611749364.425179</v>
      </c>
      <c r="I9" s="2">
        <v>18317325060.172939</v>
      </c>
      <c r="J9" s="2">
        <v>17828819096.988201</v>
      </c>
      <c r="K9" s="2">
        <v>17657901358.006744</v>
      </c>
      <c r="L9" s="2">
        <v>14165398046.533766</v>
      </c>
      <c r="M9" s="2">
        <v>13530397444.447771</v>
      </c>
      <c r="N9" s="2">
        <v>13280046014.765364</v>
      </c>
      <c r="O9" s="2">
        <v>12213699272.92235</v>
      </c>
      <c r="P9" s="2">
        <v>12089434539.714149</v>
      </c>
      <c r="Q9" s="2">
        <v>11894049739.072306</v>
      </c>
      <c r="R9" s="2">
        <v>11442622926.429354</v>
      </c>
      <c r="S9" s="2">
        <v>7605353364.9837866</v>
      </c>
      <c r="T9" s="2">
        <v>4206209795.8775296</v>
      </c>
      <c r="U9" s="2">
        <v>3663465012.0345931</v>
      </c>
      <c r="V9" s="2">
        <v>2820941328.5668793</v>
      </c>
      <c r="W9" s="2">
        <v>2442310008.0230603</v>
      </c>
      <c r="X9" s="2">
        <v>1465386004.8138373</v>
      </c>
      <c r="Y9" s="2">
        <v>1425073235.8214061</v>
      </c>
    </row>
    <row r="10" spans="1:27" x14ac:dyDescent="0.25">
      <c r="A10" s="2">
        <v>2033</v>
      </c>
      <c r="B10" s="2">
        <v>147747293433.3848</v>
      </c>
      <c r="C10" s="2">
        <v>69625959418.836334</v>
      </c>
      <c r="D10" s="2">
        <v>62055552477.584099</v>
      </c>
      <c r="E10" s="2">
        <v>49234783692.170441</v>
      </c>
      <c r="F10" s="2">
        <v>31694197035.759331</v>
      </c>
      <c r="G10" s="2">
        <v>22269212661.084579</v>
      </c>
      <c r="H10" s="2">
        <v>21722762107.447639</v>
      </c>
      <c r="I10" s="2">
        <v>20289005704.340866</v>
      </c>
      <c r="J10" s="2">
        <v>19747916858.611439</v>
      </c>
      <c r="K10" s="2">
        <v>19558601498.984627</v>
      </c>
      <c r="L10" s="2">
        <v>15690164411.356962</v>
      </c>
      <c r="M10" s="2">
        <v>14986812213.606482</v>
      </c>
      <c r="N10" s="2">
        <v>14709512904.442598</v>
      </c>
      <c r="O10" s="2">
        <v>13528384379.563215</v>
      </c>
      <c r="P10" s="2">
        <v>13390743764.864981</v>
      </c>
      <c r="Q10" s="2">
        <v>13174327704.018681</v>
      </c>
      <c r="R10" s="2">
        <v>12674309216.23634</v>
      </c>
      <c r="S10" s="2">
        <v>8423995168.4423065</v>
      </c>
      <c r="T10" s="2">
        <v>4658967085.0885639</v>
      </c>
      <c r="U10" s="2">
        <v>4057801140.8681788</v>
      </c>
      <c r="V10" s="2">
        <v>3124588034.4913173</v>
      </c>
      <c r="W10" s="2">
        <v>2705200760.578784</v>
      </c>
      <c r="X10" s="2">
        <v>1623120456.3472714</v>
      </c>
      <c r="Y10" s="2">
        <v>1578468412.5931554</v>
      </c>
    </row>
    <row r="11" spans="1:27" x14ac:dyDescent="0.25">
      <c r="A11" s="2">
        <v>2034</v>
      </c>
      <c r="B11" s="2">
        <v>160084677439.2041</v>
      </c>
      <c r="C11" s="2">
        <v>75439955588.661789</v>
      </c>
      <c r="D11" s="2">
        <v>67237394816.742867</v>
      </c>
      <c r="E11" s="2">
        <v>53346049751.522179</v>
      </c>
      <c r="F11" s="2">
        <v>34340766529.518383</v>
      </c>
      <c r="G11" s="2">
        <v>24128765020.538994</v>
      </c>
      <c r="H11" s="2">
        <v>23536684051.861984</v>
      </c>
      <c r="I11" s="2">
        <v>21983204282.560986</v>
      </c>
      <c r="J11" s="2">
        <v>21396932742.002438</v>
      </c>
      <c r="K11" s="2">
        <v>21191808928.388828</v>
      </c>
      <c r="L11" s="2">
        <v>17000344645.180527</v>
      </c>
      <c r="M11" s="2">
        <v>16238260230.05175</v>
      </c>
      <c r="N11" s="2">
        <v>15937805518.293327</v>
      </c>
      <c r="O11" s="2">
        <v>14658048884.343142</v>
      </c>
      <c r="P11" s="2">
        <v>14508914826.490263</v>
      </c>
      <c r="Q11" s="2">
        <v>14274427314.142948</v>
      </c>
      <c r="R11" s="2">
        <v>13732655641.240088</v>
      </c>
      <c r="S11" s="2">
        <v>9127426418.1193008</v>
      </c>
      <c r="T11" s="2">
        <v>5048006130.4983959</v>
      </c>
      <c r="U11" s="2">
        <v>4396640856.5122042</v>
      </c>
      <c r="V11" s="2">
        <v>3385501392.3315296</v>
      </c>
      <c r="W11" s="2">
        <v>2931093904.3414674</v>
      </c>
      <c r="X11" s="2">
        <v>1758656342.6048815</v>
      </c>
      <c r="Y11" s="2">
        <v>1710275706.6198184</v>
      </c>
    </row>
    <row r="12" spans="1:27" x14ac:dyDescent="0.25">
      <c r="A12" s="2">
        <v>2035</v>
      </c>
      <c r="B12" s="2">
        <v>170829808786.47113</v>
      </c>
      <c r="C12" s="2">
        <v>80503602182.446564</v>
      </c>
      <c r="D12" s="2">
        <v>71750472834.645798</v>
      </c>
      <c r="E12" s="2">
        <v>56926719186.019661</v>
      </c>
      <c r="F12" s="2">
        <v>36645771935.583183</v>
      </c>
      <c r="G12" s="2">
        <v>25748325078.00605</v>
      </c>
      <c r="H12" s="2">
        <v>25116502718.220158</v>
      </c>
      <c r="I12" s="2">
        <v>23458750982.148319</v>
      </c>
      <c r="J12" s="2">
        <v>22833127988.288696</v>
      </c>
      <c r="K12" s="2">
        <v>22614235946.791016</v>
      </c>
      <c r="L12" s="2">
        <v>18141434092.861401</v>
      </c>
      <c r="M12" s="2">
        <v>17328197392.146927</v>
      </c>
      <c r="N12" s="2">
        <v>17007575695.056786</v>
      </c>
      <c r="O12" s="2">
        <v>15641919814.880781</v>
      </c>
      <c r="P12" s="2">
        <v>15482775648.217903</v>
      </c>
      <c r="Q12" s="2">
        <v>15232548971.074989</v>
      </c>
      <c r="R12" s="2">
        <v>14654412744.87014</v>
      </c>
      <c r="S12" s="2">
        <v>9740073407.7879601</v>
      </c>
      <c r="T12" s="2">
        <v>5386836115.8641949</v>
      </c>
      <c r="U12" s="2">
        <v>4691750196.4296703</v>
      </c>
      <c r="V12" s="2">
        <v>3612741486.2547774</v>
      </c>
      <c r="W12" s="2">
        <v>3127833464.2864451</v>
      </c>
      <c r="X12" s="2">
        <v>1876700078.5718682</v>
      </c>
      <c r="Y12" s="2">
        <v>1825072059.4103532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 t="shared" ref="AA16:AA23" si="0"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si="0"/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6093.064752462943</v>
      </c>
      <c r="C19" s="2">
        <f>C8/'Output-Calculation-sheet'!C7*'Output-Calculation-sheet'!C25</f>
        <v>8124.2533845877224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2960.2062433700107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2166.7324366169478</v>
      </c>
      <c r="N19" s="2">
        <f>N8/'Output-Calculation-sheet'!N7*'Output-Calculation-sheet'!N25</f>
        <v>1128.796053164963</v>
      </c>
      <c r="O19" s="2">
        <f>O8/'Output-Calculation-sheet'!O7*'Output-Calculation-sheet'!O25</f>
        <v>1230.9816546629863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492.08794482962514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250.46005157408214</v>
      </c>
      <c r="Y19" s="2">
        <f>Y8/'Output-Calculation-sheet'!Y7*'Output-Calculation-sheet'!Y25</f>
        <v>0</v>
      </c>
      <c r="AA19" s="2">
        <f t="shared" si="0"/>
        <v>22.446582521269281</v>
      </c>
    </row>
    <row r="20" spans="1:27" x14ac:dyDescent="0.25">
      <c r="A20" s="2">
        <v>2032</v>
      </c>
      <c r="B20" s="2">
        <f>B9/'Output-Calculation-sheet'!B8*'Output-Calculation-sheet'!B26</f>
        <v>8386.627221180659</v>
      </c>
      <c r="C20" s="2">
        <f>C9/'Output-Calculation-sheet'!C8*'Output-Calculation-sheet'!C26</f>
        <v>9666.2451543884054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3479.8893026156561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2541.114155131907</v>
      </c>
      <c r="N20" s="2">
        <f>N9/'Output-Calculation-sheet'!N8*'Output-Calculation-sheet'!N26</f>
        <v>1445.4161679841118</v>
      </c>
      <c r="O20" s="2">
        <f>O9/'Output-Calculation-sheet'!O8*'Output-Calculation-sheet'!O26</f>
        <v>1495.2872568610867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653.39052913476928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293.53167345386208</v>
      </c>
      <c r="Y20" s="2">
        <f>Y9/'Output-Calculation-sheet'!Y8*'Output-Calculation-sheet'!Y26</f>
        <v>0</v>
      </c>
      <c r="AA20" s="2">
        <f t="shared" si="0"/>
        <v>27.961501460750455</v>
      </c>
    </row>
    <row r="21" spans="1:27" x14ac:dyDescent="0.25">
      <c r="A21" s="2">
        <v>2033</v>
      </c>
      <c r="B21" s="2">
        <f>B10/'Output-Calculation-sheet'!B9*'Output-Calculation-sheet'!B27</f>
        <v>11690.380204692499</v>
      </c>
      <c r="C21" s="2">
        <f>C10/'Output-Calculation-sheet'!C9*'Output-Calculation-sheet'!C27</f>
        <v>11000.103502259813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3936.4752043481285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34.156949378211685</v>
      </c>
      <c r="M21" s="2">
        <f>M10/'Output-Calculation-sheet'!M9*'Output-Calculation-sheet'!M27</f>
        <v>2889.2530235207332</v>
      </c>
      <c r="N21" s="2">
        <f>N10/'Output-Calculation-sheet'!N9*'Output-Calculation-sheet'!N27</f>
        <v>1766.1058998689514</v>
      </c>
      <c r="O21" s="2">
        <f>O10/'Output-Calculation-sheet'!O9*'Output-Calculation-sheet'!O27</f>
        <v>1720.3909054703927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820.68509084745051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334.47382874105142</v>
      </c>
      <c r="Y21" s="2">
        <f>Y10/'Output-Calculation-sheet'!Y9*'Output-Calculation-sheet'!Y27</f>
        <v>0</v>
      </c>
      <c r="AA21" s="2">
        <f t="shared" si="0"/>
        <v>34.192024609127238</v>
      </c>
    </row>
    <row r="22" spans="1:27" x14ac:dyDescent="0.25">
      <c r="A22" s="2">
        <v>2034</v>
      </c>
      <c r="B22" s="2">
        <f>B11/'Output-Calculation-sheet'!B10*'Output-Calculation-sheet'!B28</f>
        <v>15614.356888120357</v>
      </c>
      <c r="C22" s="2">
        <f>C11/'Output-Calculation-sheet'!C10*'Output-Calculation-sheet'!C28</f>
        <v>12299.421995042423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4364.9093266653035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250.01895478855909</v>
      </c>
      <c r="M22" s="2">
        <f>M11/'Output-Calculation-sheet'!M10*'Output-Calculation-sheet'!M28</f>
        <v>3208.6876817835509</v>
      </c>
      <c r="N22" s="2">
        <f>N11/'Output-Calculation-sheet'!N10*'Output-Calculation-sheet'!N28</f>
        <v>2044.3302327325691</v>
      </c>
      <c r="O22" s="2">
        <f>O11/'Output-Calculation-sheet'!O10*'Output-Calculation-sheet'!O28</f>
        <v>1951.3657129205062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947.66636449520161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396.08594561397319</v>
      </c>
      <c r="Y22" s="2">
        <f>Y11/'Output-Calculation-sheet'!Y10*'Output-Calculation-sheet'!Y28</f>
        <v>0</v>
      </c>
      <c r="AA22" s="2">
        <f t="shared" si="0"/>
        <v>41.076843102162449</v>
      </c>
    </row>
    <row r="23" spans="1:27" x14ac:dyDescent="0.25">
      <c r="A23" s="2">
        <v>2035</v>
      </c>
      <c r="B23" s="2">
        <f>B12/'Output-Calculation-sheet'!B11*'Output-Calculation-sheet'!B29</f>
        <v>21540.311580958059</v>
      </c>
      <c r="C23" s="2">
        <f>C12/'Output-Calculation-sheet'!C11*'Output-Calculation-sheet'!C29</f>
        <v>13490.15455623768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4778.9748050170692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494.28473155441077</v>
      </c>
      <c r="M23" s="2">
        <f>M12/'Output-Calculation-sheet'!M11*'Output-Calculation-sheet'!M29</f>
        <v>3529.9436581299415</v>
      </c>
      <c r="N23" s="2">
        <f>N12/'Output-Calculation-sheet'!N11*'Output-Calculation-sheet'!N29</f>
        <v>2281.397681431828</v>
      </c>
      <c r="O23" s="2">
        <f>O12/'Output-Calculation-sheet'!O11*'Output-Calculation-sheet'!O29</f>
        <v>2189.4829645456307</v>
      </c>
      <c r="P23" s="2">
        <f>P12/'Output-Calculation-sheet'!P11*'Output-Calculation-sheet'!P29</f>
        <v>0</v>
      </c>
      <c r="Q23" s="2">
        <f>Q12/'Output-Calculation-sheet'!Q11*'Output-Calculation-sheet'!Q29</f>
        <v>128.59654073119032</v>
      </c>
      <c r="R23" s="2">
        <f>R12/'Output-Calculation-sheet'!R11*'Output-Calculation-sheet'!R29</f>
        <v>0</v>
      </c>
      <c r="S23" s="2">
        <f>S12/'Output-Calculation-sheet'!S11*'Output-Calculation-sheet'!S29</f>
        <v>1063.4115486961709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466.50851580296455</v>
      </c>
      <c r="Y23" s="2">
        <f>Y12/'Output-Calculation-sheet'!Y11*'Output-Calculation-sheet'!Y29</f>
        <v>0</v>
      </c>
      <c r="AA23" s="2">
        <f t="shared" si="0"/>
        <v>49.963066583104947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 t="shared" ref="AA27:AA34" si="1"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si="1"/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29964.872293490524</v>
      </c>
      <c r="C30" s="2">
        <f>C8/'Output-Calculation-sheet'!C7*'Output-Calculation-sheet'!C16</f>
        <v>0</v>
      </c>
      <c r="D30" s="2">
        <f>D8/'Output-Calculation-sheet'!D7*'Output-Calculation-sheet'!D16</f>
        <v>6750.7968477285931</v>
      </c>
      <c r="E30" s="2">
        <f>E8/'Output-Calculation-sheet'!E7*'Output-Calculation-sheet'!E16</f>
        <v>8459.826861997044</v>
      </c>
      <c r="F30" s="2">
        <f>F8/'Output-Calculation-sheet'!F7*'Output-Calculation-sheet'!F16</f>
        <v>4131.7786561745597</v>
      </c>
      <c r="G30" s="2">
        <f>G8/'Output-Calculation-sheet'!G7*'Output-Calculation-sheet'!G16</f>
        <v>2517.8522609934944</v>
      </c>
      <c r="H30" s="2">
        <f>H8/'Output-Calculation-sheet'!H7*'Output-Calculation-sheet'!H16</f>
        <v>0</v>
      </c>
      <c r="I30" s="2">
        <f>I8/'Output-Calculation-sheet'!I7*'Output-Calculation-sheet'!I16</f>
        <v>2370.2471470349619</v>
      </c>
      <c r="J30" s="2">
        <f>J8/'Output-Calculation-sheet'!J7*'Output-Calculation-sheet'!J16</f>
        <v>2540.8024663653919</v>
      </c>
      <c r="K30" s="2">
        <f>K8/'Output-Calculation-sheet'!K7*'Output-Calculation-sheet'!K16</f>
        <v>2459.2111853114734</v>
      </c>
      <c r="L30" s="2">
        <f>L8/'Output-Calculation-sheet'!L7*'Output-Calculation-sheet'!L16</f>
        <v>2718.2668877293436</v>
      </c>
      <c r="M30" s="2">
        <f>M8/'Output-Calculation-sheet'!M7*'Output-Calculation-sheet'!M16</f>
        <v>0</v>
      </c>
      <c r="N30" s="2">
        <f>N8/'Output-Calculation-sheet'!N7*'Output-Calculation-sheet'!N16</f>
        <v>1218.9435834085793</v>
      </c>
      <c r="O30" s="2">
        <f>O8/'Output-Calculation-sheet'!O7*'Output-Calculation-sheet'!O16</f>
        <v>0</v>
      </c>
      <c r="P30" s="2">
        <f>P8/'Output-Calculation-sheet'!P7*'Output-Calculation-sheet'!P16</f>
        <v>2326.9713080151059</v>
      </c>
      <c r="Q30" s="2">
        <f>Q8/'Output-Calculation-sheet'!Q7*'Output-Calculation-sheet'!Q16</f>
        <v>2282.874135162062</v>
      </c>
      <c r="R30" s="2">
        <f>R8/'Output-Calculation-sheet'!R7*'Output-Calculation-sheet'!R16</f>
        <v>2025.8758233289257</v>
      </c>
      <c r="S30" s="2">
        <f>S8/'Output-Calculation-sheet'!S7*'Output-Calculation-sheet'!S16</f>
        <v>1072.9682991282725</v>
      </c>
      <c r="T30" s="2">
        <f>T8/'Output-Calculation-sheet'!T7*'Output-Calculation-sheet'!T16</f>
        <v>765.20346142740766</v>
      </c>
      <c r="U30" s="2">
        <f>U8/'Output-Calculation-sheet'!U7*'Output-Calculation-sheet'!U16</f>
        <v>590.4330190195667</v>
      </c>
      <c r="V30" s="2">
        <f>V8/'Output-Calculation-sheet'!V7*'Output-Calculation-sheet'!V16</f>
        <v>764.49269109691852</v>
      </c>
      <c r="W30" s="2">
        <f>W8/'Output-Calculation-sheet'!W7*'Output-Calculation-sheet'!W16</f>
        <v>368.08760528672036</v>
      </c>
      <c r="X30" s="2">
        <f>X8/'Output-Calculation-sheet'!X7*'Output-Calculation-sheet'!X16</f>
        <v>0</v>
      </c>
      <c r="Y30" s="2">
        <f>Y8/'Output-Calculation-sheet'!Y7*'Output-Calculation-sheet'!Y16</f>
        <v>251.04377158723392</v>
      </c>
      <c r="AA30" s="2">
        <f t="shared" si="1"/>
        <v>73.580548304286182</v>
      </c>
    </row>
    <row r="31" spans="1:27" x14ac:dyDescent="0.25">
      <c r="A31" s="2">
        <v>2032</v>
      </c>
      <c r="B31" s="2">
        <f>B9/'Output-Calculation-sheet'!B8*'Output-Calculation-sheet'!B17</f>
        <v>33981.399971801409</v>
      </c>
      <c r="C31" s="2">
        <f>C9/'Output-Calculation-sheet'!C8*'Output-Calculation-sheet'!C17</f>
        <v>0</v>
      </c>
      <c r="D31" s="2">
        <f>D9/'Output-Calculation-sheet'!D8*'Output-Calculation-sheet'!D17</f>
        <v>7777.6412096224285</v>
      </c>
      <c r="E31" s="2">
        <f>E9/'Output-Calculation-sheet'!E8*'Output-Calculation-sheet'!E17</f>
        <v>9769.74484731353</v>
      </c>
      <c r="F31" s="2">
        <f>F9/'Output-Calculation-sheet'!F8*'Output-Calculation-sheet'!F17</f>
        <v>4766.8453971307408</v>
      </c>
      <c r="G31" s="2">
        <f>G9/'Output-Calculation-sheet'!G8*'Output-Calculation-sheet'!G17</f>
        <v>2901.7062626734696</v>
      </c>
      <c r="H31" s="2">
        <f>H9/'Output-Calculation-sheet'!H8*'Output-Calculation-sheet'!H17</f>
        <v>0</v>
      </c>
      <c r="I31" s="2">
        <f>I9/'Output-Calculation-sheet'!I8*'Output-Calculation-sheet'!I17</f>
        <v>2730.2314953199598</v>
      </c>
      <c r="J31" s="2">
        <f>J9/'Output-Calculation-sheet'!J8*'Output-Calculation-sheet'!J17</f>
        <v>2929.0697001266335</v>
      </c>
      <c r="K31" s="2">
        <f>K9/'Output-Calculation-sheet'!K8*'Output-Calculation-sheet'!K17</f>
        <v>2832.8217416913376</v>
      </c>
      <c r="L31" s="2">
        <f>L9/'Output-Calculation-sheet'!L8*'Output-Calculation-sheet'!L17</f>
        <v>3130.1667530645518</v>
      </c>
      <c r="M31" s="2">
        <f>M9/'Output-Calculation-sheet'!M8*'Output-Calculation-sheet'!M17</f>
        <v>0</v>
      </c>
      <c r="N31" s="2">
        <f>N9/'Output-Calculation-sheet'!N8*'Output-Calculation-sheet'!N17</f>
        <v>1319.797167519512</v>
      </c>
      <c r="O31" s="2">
        <f>O9/'Output-Calculation-sheet'!O8*'Output-Calculation-sheet'!O17</f>
        <v>0</v>
      </c>
      <c r="P31" s="2">
        <f>P9/'Output-Calculation-sheet'!P8*'Output-Calculation-sheet'!P17</f>
        <v>2696.2807211316017</v>
      </c>
      <c r="Q31" s="2">
        <f>Q9/'Output-Calculation-sheet'!Q8*'Output-Calculation-sheet'!Q17</f>
        <v>2636.8458385502317</v>
      </c>
      <c r="R31" s="2">
        <f>R9/'Output-Calculation-sheet'!R8*'Output-Calculation-sheet'!R17</f>
        <v>2359.8997251991614</v>
      </c>
      <c r="S31" s="2">
        <f>S9/'Output-Calculation-sheet'!S8*'Output-Calculation-sheet'!S17</f>
        <v>1181.3185127636389</v>
      </c>
      <c r="T31" s="2">
        <f>T9/'Output-Calculation-sheet'!T8*'Output-Calculation-sheet'!T17</f>
        <v>884.07247272918687</v>
      </c>
      <c r="U31" s="2">
        <f>U9/'Output-Calculation-sheet'!U8*'Output-Calculation-sheet'!U17</f>
        <v>684.52910151776814</v>
      </c>
      <c r="V31" s="2">
        <f>V9/'Output-Calculation-sheet'!V8*'Output-Calculation-sheet'!V17</f>
        <v>870.48851866030714</v>
      </c>
      <c r="W31" s="2">
        <f>W9/'Output-Calculation-sheet'!W8*'Output-Calculation-sheet'!W17</f>
        <v>424.27095578755279</v>
      </c>
      <c r="X31" s="2">
        <f>X9/'Output-Calculation-sheet'!X8*'Output-Calculation-sheet'!X17</f>
        <v>0</v>
      </c>
      <c r="Y31" s="2">
        <f>Y9/'Output-Calculation-sheet'!Y8*'Output-Calculation-sheet'!Y17</f>
        <v>289.23071503869733</v>
      </c>
      <c r="AA31" s="2">
        <f t="shared" si="1"/>
        <v>84.166361107641706</v>
      </c>
    </row>
    <row r="32" spans="1:27" x14ac:dyDescent="0.25">
      <c r="A32" s="2">
        <v>2033</v>
      </c>
      <c r="B32" s="2">
        <f>B10/'Output-Calculation-sheet'!B9*'Output-Calculation-sheet'!B18</f>
        <v>37035.161409403088</v>
      </c>
      <c r="C32" s="2">
        <f>C10/'Output-Calculation-sheet'!C9*'Output-Calculation-sheet'!C18</f>
        <v>0</v>
      </c>
      <c r="D32" s="2">
        <f>D10/'Output-Calculation-sheet'!D9*'Output-Calculation-sheet'!D18</f>
        <v>8664.4285274283156</v>
      </c>
      <c r="E32" s="2">
        <f>E10/'Output-Calculation-sheet'!E9*'Output-Calculation-sheet'!E18</f>
        <v>10897.405398799179</v>
      </c>
      <c r="F32" s="2">
        <f>F10/'Output-Calculation-sheet'!F9*'Output-Calculation-sheet'!F18</f>
        <v>5307.6510929409469</v>
      </c>
      <c r="G32" s="2">
        <f>G10/'Output-Calculation-sheet'!G9*'Output-Calculation-sheet'!G18</f>
        <v>3229.0985672101942</v>
      </c>
      <c r="H32" s="2">
        <f>H10/'Output-Calculation-sheet'!H9*'Output-Calculation-sheet'!H18</f>
        <v>0</v>
      </c>
      <c r="I32" s="2">
        <f>I10/'Output-Calculation-sheet'!I9*'Output-Calculation-sheet'!I18</f>
        <v>3042.8566643635381</v>
      </c>
      <c r="J32" s="2">
        <f>J10/'Output-Calculation-sheet'!J9*'Output-Calculation-sheet'!J18</f>
        <v>3260.9293400219481</v>
      </c>
      <c r="K32" s="2">
        <f>K10/'Output-Calculation-sheet'!K9*'Output-Calculation-sheet'!K18</f>
        <v>3162.8596961058133</v>
      </c>
      <c r="L32" s="2">
        <f>L10/'Output-Calculation-sheet'!L9*'Output-Calculation-sheet'!L18</f>
        <v>3474.4681309321109</v>
      </c>
      <c r="M32" s="2">
        <f>M10/'Output-Calculation-sheet'!M9*'Output-Calculation-sheet'!M18</f>
        <v>0</v>
      </c>
      <c r="N32" s="2">
        <f>N10/'Output-Calculation-sheet'!N9*'Output-Calculation-sheet'!N18</f>
        <v>1352.2465267833243</v>
      </c>
      <c r="O32" s="2">
        <f>O10/'Output-Calculation-sheet'!O9*'Output-Calculation-sheet'!O18</f>
        <v>0</v>
      </c>
      <c r="P32" s="2">
        <f>P10/'Output-Calculation-sheet'!P9*'Output-Calculation-sheet'!P18</f>
        <v>3046.9879248408611</v>
      </c>
      <c r="Q32" s="2">
        <f>Q10/'Output-Calculation-sheet'!Q9*'Output-Calculation-sheet'!Q18</f>
        <v>2951.4906123072114</v>
      </c>
      <c r="R32" s="2">
        <f>R10/'Output-Calculation-sheet'!R9*'Output-Calculation-sheet'!R18</f>
        <v>2652.9220888872169</v>
      </c>
      <c r="S32" s="2">
        <f>S10/'Output-Calculation-sheet'!S9*'Output-Calculation-sheet'!S18</f>
        <v>1264.3971204360855</v>
      </c>
      <c r="T32" s="2">
        <f>T10/'Output-Calculation-sheet'!T9*'Output-Calculation-sheet'!T18</f>
        <v>981.64370831018402</v>
      </c>
      <c r="U32" s="2">
        <f>U10/'Output-Calculation-sheet'!U9*'Output-Calculation-sheet'!U18</f>
        <v>765.31874808101156</v>
      </c>
      <c r="V32" s="2">
        <f>V10/'Output-Calculation-sheet'!V9*'Output-Calculation-sheet'!V18</f>
        <v>965.58265159347297</v>
      </c>
      <c r="W32" s="2">
        <f>W10/'Output-Calculation-sheet'!W9*'Output-Calculation-sheet'!W18</f>
        <v>471.1258819676799</v>
      </c>
      <c r="X32" s="2">
        <f>X10/'Output-Calculation-sheet'!X9*'Output-Calculation-sheet'!X18</f>
        <v>0</v>
      </c>
      <c r="Y32" s="2">
        <f>Y10/'Output-Calculation-sheet'!Y9*'Output-Calculation-sheet'!Y18</f>
        <v>322.40812912855466</v>
      </c>
      <c r="AA32" s="2">
        <f t="shared" si="1"/>
        <v>92.84898221954073</v>
      </c>
    </row>
    <row r="33" spans="1:27" x14ac:dyDescent="0.25">
      <c r="A33" s="2">
        <v>2034</v>
      </c>
      <c r="B33" s="2">
        <f>B11/'Output-Calculation-sheet'!B10*'Output-Calculation-sheet'!B19</f>
        <v>39154.185170445082</v>
      </c>
      <c r="C33" s="2">
        <f>C11/'Output-Calculation-sheet'!C10*'Output-Calculation-sheet'!C19</f>
        <v>0</v>
      </c>
      <c r="D33" s="2">
        <f>D11/'Output-Calculation-sheet'!D10*'Output-Calculation-sheet'!D19</f>
        <v>9429.4588526391672</v>
      </c>
      <c r="E33" s="2">
        <f>E11/'Output-Calculation-sheet'!E10*'Output-Calculation-sheet'!E19</f>
        <v>11869.09099660926</v>
      </c>
      <c r="F33" s="2">
        <f>F11/'Output-Calculation-sheet'!F10*'Output-Calculation-sheet'!F19</f>
        <v>5777.7194991945635</v>
      </c>
      <c r="G33" s="2">
        <f>G11/'Output-Calculation-sheet'!G10*'Output-Calculation-sheet'!G19</f>
        <v>3507.3175883693116</v>
      </c>
      <c r="H33" s="2">
        <f>H11/'Output-Calculation-sheet'!H10*'Output-Calculation-sheet'!H19</f>
        <v>0</v>
      </c>
      <c r="I33" s="2">
        <f>I11/'Output-Calculation-sheet'!I10*'Output-Calculation-sheet'!I19</f>
        <v>3314.5818020049655</v>
      </c>
      <c r="J33" s="2">
        <f>J11/'Output-Calculation-sheet'!J10*'Output-Calculation-sheet'!J19</f>
        <v>3539.2276153793005</v>
      </c>
      <c r="K33" s="2">
        <f>K11/'Output-Calculation-sheet'!K10*'Output-Calculation-sheet'!K19</f>
        <v>3452.55320846839</v>
      </c>
      <c r="L33" s="2">
        <f>L11/'Output-Calculation-sheet'!L10*'Output-Calculation-sheet'!L19</f>
        <v>3711.5853900508832</v>
      </c>
      <c r="M33" s="2">
        <f>M11/'Output-Calculation-sheet'!M10*'Output-Calculation-sheet'!M19</f>
        <v>0</v>
      </c>
      <c r="N33" s="2">
        <f>N11/'Output-Calculation-sheet'!N10*'Output-Calculation-sheet'!N19</f>
        <v>1397.1952293769746</v>
      </c>
      <c r="O33" s="2">
        <f>O11/'Output-Calculation-sheet'!O10*'Output-Calculation-sheet'!O19</f>
        <v>0</v>
      </c>
      <c r="P33" s="2">
        <f>P11/'Output-Calculation-sheet'!P10*'Output-Calculation-sheet'!P19</f>
        <v>3380.8152905424295</v>
      </c>
      <c r="Q33" s="2">
        <f>Q11/'Output-Calculation-sheet'!Q10*'Output-Calculation-sheet'!Q19</f>
        <v>3226.1151665306261</v>
      </c>
      <c r="R33" s="2">
        <f>R11/'Output-Calculation-sheet'!R10*'Output-Calculation-sheet'!R19</f>
        <v>2923.6849840819514</v>
      </c>
      <c r="S33" s="2">
        <f>S11/'Output-Calculation-sheet'!S10*'Output-Calculation-sheet'!S19</f>
        <v>1347.5856417283312</v>
      </c>
      <c r="T33" s="2">
        <f>T11/'Output-Calculation-sheet'!T10*'Output-Calculation-sheet'!T19</f>
        <v>1066.6616432431929</v>
      </c>
      <c r="U33" s="2">
        <f>U11/'Output-Calculation-sheet'!U10*'Output-Calculation-sheet'!U19</f>
        <v>838.57442621346513</v>
      </c>
      <c r="V33" s="2">
        <f>V11/'Output-Calculation-sheet'!V10*'Output-Calculation-sheet'!V19</f>
        <v>1043.6891674890264</v>
      </c>
      <c r="W33" s="2">
        <f>W11/'Output-Calculation-sheet'!W10*'Output-Calculation-sheet'!W19</f>
        <v>511.98237413973095</v>
      </c>
      <c r="X33" s="2">
        <f>X11/'Output-Calculation-sheet'!X10*'Output-Calculation-sheet'!X19</f>
        <v>0</v>
      </c>
      <c r="Y33" s="2">
        <f>Y11/'Output-Calculation-sheet'!Y10*'Output-Calculation-sheet'!Y19</f>
        <v>351.77173962921415</v>
      </c>
      <c r="AA33" s="2">
        <f t="shared" si="1"/>
        <v>99.843795786135871</v>
      </c>
    </row>
    <row r="34" spans="1:27" x14ac:dyDescent="0.25">
      <c r="A34" s="2">
        <v>2035</v>
      </c>
      <c r="B34" s="2">
        <f>B12/'Output-Calculation-sheet'!B11*'Output-Calculation-sheet'!B20</f>
        <v>40184.769112998241</v>
      </c>
      <c r="C34" s="2">
        <f>C12/'Output-Calculation-sheet'!C11*'Output-Calculation-sheet'!C20</f>
        <v>0</v>
      </c>
      <c r="D34" s="2">
        <f>D12/'Output-Calculation-sheet'!D11*'Output-Calculation-sheet'!D20</f>
        <v>10123.373887868182</v>
      </c>
      <c r="E34" s="2">
        <f>E12/'Output-Calculation-sheet'!E11*'Output-Calculation-sheet'!E20</f>
        <v>12742.765387897662</v>
      </c>
      <c r="F34" s="2">
        <f>F12/'Output-Calculation-sheet'!F11*'Output-Calculation-sheet'!F20</f>
        <v>6192.6522286726004</v>
      </c>
      <c r="G34" s="2">
        <f>G12/'Output-Calculation-sheet'!G11*'Output-Calculation-sheet'!G20</f>
        <v>3771.9581731127255</v>
      </c>
      <c r="H34" s="2">
        <f>H12/'Output-Calculation-sheet'!H11*'Output-Calculation-sheet'!H20</f>
        <v>0</v>
      </c>
      <c r="I34" s="2">
        <f>I12/'Output-Calculation-sheet'!I11*'Output-Calculation-sheet'!I20</f>
        <v>3557.6917330650713</v>
      </c>
      <c r="J34" s="2">
        <f>J12/'Output-Calculation-sheet'!J11*'Output-Calculation-sheet'!J20</f>
        <v>3786.905001078474</v>
      </c>
      <c r="K34" s="2">
        <f>K12/'Output-Calculation-sheet'!K11*'Output-Calculation-sheet'!K20</f>
        <v>3711.1064133547538</v>
      </c>
      <c r="L34" s="2">
        <f>L12/'Output-Calculation-sheet'!L11*'Output-Calculation-sheet'!L20</f>
        <v>3915.809913384413</v>
      </c>
      <c r="M34" s="2">
        <f>M12/'Output-Calculation-sheet'!M11*'Output-Calculation-sheet'!M20</f>
        <v>0</v>
      </c>
      <c r="N34" s="2">
        <f>N12/'Output-Calculation-sheet'!N11*'Output-Calculation-sheet'!N20</f>
        <v>1436.3403784514032</v>
      </c>
      <c r="O34" s="2">
        <f>O12/'Output-Calculation-sheet'!O11*'Output-Calculation-sheet'!O20</f>
        <v>0</v>
      </c>
      <c r="P34" s="2">
        <f>P12/'Output-Calculation-sheet'!P11*'Output-Calculation-sheet'!P20</f>
        <v>3683.7874980450665</v>
      </c>
      <c r="Q34" s="2">
        <f>Q12/'Output-Calculation-sheet'!Q11*'Output-Calculation-sheet'!Q20</f>
        <v>3401.4853292822172</v>
      </c>
      <c r="R34" s="2">
        <f>R12/'Output-Calculation-sheet'!R11*'Output-Calculation-sheet'!R20</f>
        <v>3164.593348133244</v>
      </c>
      <c r="S34" s="2">
        <f>S12/'Output-Calculation-sheet'!S11*'Output-Calculation-sheet'!S20</f>
        <v>1419.5821633274227</v>
      </c>
      <c r="T34" s="2">
        <f>T12/'Output-Calculation-sheet'!T11*'Output-Calculation-sheet'!T20</f>
        <v>1143.1197544929535</v>
      </c>
      <c r="U34" s="2">
        <f>U12/'Output-Calculation-sheet'!U11*'Output-Calculation-sheet'!U20</f>
        <v>900.36039113066784</v>
      </c>
      <c r="V34" s="2">
        <f>V12/'Output-Calculation-sheet'!V11*'Output-Calculation-sheet'!V20</f>
        <v>1117.0604275999947</v>
      </c>
      <c r="W34" s="2">
        <f>W12/'Output-Calculation-sheet'!W11*'Output-Calculation-sheet'!W20</f>
        <v>548.3649183616759</v>
      </c>
      <c r="X34" s="2">
        <f>X12/'Output-Calculation-sheet'!X11*'Output-Calculation-sheet'!X20</f>
        <v>0</v>
      </c>
      <c r="Y34" s="2">
        <f>Y12/'Output-Calculation-sheet'!Y11*'Output-Calculation-sheet'!Y20</f>
        <v>377.27509830360384</v>
      </c>
      <c r="AA34" s="2">
        <f t="shared" si="1"/>
        <v>105.1790011585604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171.22888490632147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152.41949311721748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662.78990409514131</v>
      </c>
      <c r="S52" s="2">
        <f>S8/'Output-Calculation-sheet'!S7*'Output-Calculation-sheet'!S43</f>
        <v>0</v>
      </c>
      <c r="T52" s="2">
        <f>T8/'Output-Calculation-sheet'!T7*'Output-Calculation-sheet'!T43</f>
        <v>533.69012681905133</v>
      </c>
      <c r="U52" s="2">
        <f>U8/'Output-Calculation-sheet'!U7*'Output-Calculation-sheet'!U43</f>
        <v>56.44675134030274</v>
      </c>
      <c r="V52" s="2">
        <f>V8/'Output-Calculation-sheet'!V7*'Output-Calculation-sheet'!V43</f>
        <v>962.39859770674457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2.5389737579847789</v>
      </c>
    </row>
    <row r="53" spans="1:27" x14ac:dyDescent="0.25">
      <c r="A53" s="2">
        <v>2032</v>
      </c>
      <c r="B53" s="2">
        <f>B9/'Output-Calculation-sheet'!B8*'Output-Calculation-sheet'!B44</f>
        <v>2083.310596784514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392.75405891548161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314.64923193969639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983.70142776121781</v>
      </c>
      <c r="S53" s="2">
        <f>S9/'Output-Calculation-sheet'!S8*'Output-Calculation-sheet'!S44</f>
        <v>0</v>
      </c>
      <c r="T53" s="2">
        <f>T9/'Output-Calculation-sheet'!T8*'Output-Calculation-sheet'!T44</f>
        <v>678.24243592452933</v>
      </c>
      <c r="U53" s="2">
        <f>U9/'Output-Calculation-sheet'!U8*'Output-Calculation-sheet'!U44</f>
        <v>115.08801067906911</v>
      </c>
      <c r="V53" s="2">
        <f>V9/'Output-Calculation-sheet'!V8*'Output-Calculation-sheet'!V44</f>
        <v>1137.0234561493705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5.7047692181538796</v>
      </c>
    </row>
    <row r="54" spans="1:27" x14ac:dyDescent="0.25">
      <c r="A54" s="2">
        <v>2033</v>
      </c>
      <c r="B54" s="2">
        <f>B10/'Output-Calculation-sheet'!B9*'Output-Calculation-sheet'!B45</f>
        <v>6922.6757362041981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609.04226145395501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580.86356684355849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342.28423437400039</v>
      </c>
      <c r="Q54" s="2">
        <f>Q10/'Output-Calculation-sheet'!Q9*'Output-Calculation-sheet'!Q45</f>
        <v>0</v>
      </c>
      <c r="R54" s="2">
        <f>R10/'Output-Calculation-sheet'!R9*'Output-Calculation-sheet'!R45</f>
        <v>1386.7474118386288</v>
      </c>
      <c r="S54" s="2">
        <f>S10/'Output-Calculation-sheet'!S9*'Output-Calculation-sheet'!S45</f>
        <v>0</v>
      </c>
      <c r="T54" s="2">
        <f>T10/'Output-Calculation-sheet'!T9*'Output-Calculation-sheet'!T45</f>
        <v>833.70270519493363</v>
      </c>
      <c r="U54" s="2">
        <f>U10/'Output-Calculation-sheet'!U9*'Output-Calculation-sheet'!U45</f>
        <v>199.18141853906272</v>
      </c>
      <c r="V54" s="2">
        <f>V10/'Output-Calculation-sheet'!V9*'Output-Calculation-sheet'!V45</f>
        <v>1308.5607155817177</v>
      </c>
      <c r="W54" s="2">
        <f>W10/'Output-Calculation-sheet'!W9*'Output-Calculation-sheet'!W45</f>
        <v>21.279158183294221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12.204337208213348</v>
      </c>
    </row>
    <row r="55" spans="1:27" x14ac:dyDescent="0.25">
      <c r="A55" s="2">
        <v>2034</v>
      </c>
      <c r="B55" s="2">
        <f>B11/'Output-Calculation-sheet'!B10*'Output-Calculation-sheet'!B46</f>
        <v>13438.82921056775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895.57760726547758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881.11461403363649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713.20402220576455</v>
      </c>
      <c r="Q55" s="2">
        <f>Q11/'Output-Calculation-sheet'!Q10*'Output-Calculation-sheet'!Q46</f>
        <v>0</v>
      </c>
      <c r="R55" s="2">
        <f>R11/'Output-Calculation-sheet'!R10*'Output-Calculation-sheet'!R46</f>
        <v>1851.3505488102219</v>
      </c>
      <c r="S55" s="2">
        <f>S11/'Output-Calculation-sheet'!S10*'Output-Calculation-sheet'!S46</f>
        <v>0</v>
      </c>
      <c r="T55" s="2">
        <f>T11/'Output-Calculation-sheet'!T10*'Output-Calculation-sheet'!T46</f>
        <v>962.87915308352058</v>
      </c>
      <c r="U55" s="2">
        <f>U11/'Output-Calculation-sheet'!U10*'Output-Calculation-sheet'!U46</f>
        <v>302.13920916473245</v>
      </c>
      <c r="V55" s="2">
        <f>V11/'Output-Calculation-sheet'!V10*'Output-Calculation-sheet'!V46</f>
        <v>1451.1122212892651</v>
      </c>
      <c r="W55" s="2">
        <f>W11/'Output-Calculation-sheet'!W10*'Output-Calculation-sheet'!W46</f>
        <v>40.348066051721567</v>
      </c>
      <c r="X55" s="2">
        <f>X11/'Output-Calculation-sheet'!X10*'Output-Calculation-sheet'!X46</f>
        <v>96.511330112269718</v>
      </c>
      <c r="Y55" s="2">
        <f>Y11/'Output-Calculation-sheet'!Y10*'Output-Calculation-sheet'!Y46</f>
        <v>0</v>
      </c>
      <c r="AA55" s="2">
        <f t="shared" si="3"/>
        <v>20.633065982584363</v>
      </c>
    </row>
    <row r="56" spans="1:27" x14ac:dyDescent="0.25">
      <c r="A56" s="2">
        <v>2035</v>
      </c>
      <c r="B56" s="2">
        <f>B12/'Output-Calculation-sheet'!B11*'Output-Calculation-sheet'!B47</f>
        <v>31349.796222305686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1156.8880915001025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1119.3528462125121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1065.5055322180499</v>
      </c>
      <c r="Q56" s="2">
        <f>Q12/'Output-Calculation-sheet'!Q11*'Output-Calculation-sheet'!Q47</f>
        <v>0</v>
      </c>
      <c r="R56" s="2">
        <f>R12/'Output-Calculation-sheet'!R11*'Output-Calculation-sheet'!R47</f>
        <v>2433.7299331498994</v>
      </c>
      <c r="S56" s="2">
        <f>S12/'Output-Calculation-sheet'!S11*'Output-Calculation-sheet'!S47</f>
        <v>0</v>
      </c>
      <c r="T56" s="2">
        <f>T12/'Output-Calculation-sheet'!T11*'Output-Calculation-sheet'!T47</f>
        <v>1154.6236191757505</v>
      </c>
      <c r="U56" s="2">
        <f>U12/'Output-Calculation-sheet'!U11*'Output-Calculation-sheet'!U47</f>
        <v>442.17498592432889</v>
      </c>
      <c r="V56" s="2">
        <f>V12/'Output-Calculation-sheet'!V11*'Output-Calculation-sheet'!V47</f>
        <v>1576.9262045478752</v>
      </c>
      <c r="W56" s="2">
        <f>W12/'Output-Calculation-sheet'!W11*'Output-Calculation-sheet'!W47</f>
        <v>61.508986715012099</v>
      </c>
      <c r="X56" s="2">
        <f>X12/'Output-Calculation-sheet'!X11*'Output-Calculation-sheet'!X47</f>
        <v>242.76053995470872</v>
      </c>
      <c r="Y56" s="2">
        <f>Y12/'Output-Calculation-sheet'!Y11*'Output-Calculation-sheet'!Y47</f>
        <v>0</v>
      </c>
      <c r="AA56" s="2">
        <f t="shared" si="3"/>
        <v>40.603266961703923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 t="shared" ref="AA60:AA67" si="4"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si="4"/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8.2682823733485691</v>
      </c>
      <c r="C63" s="2">
        <f>C8*'Output-Calculation-sheet'!C52/10^9</f>
        <v>4.191000300812382</v>
      </c>
      <c r="D63" s="2">
        <f>D8*'Output-Calculation-sheet'!D52/10^9</f>
        <v>1.4641031132655415</v>
      </c>
      <c r="E63" s="2">
        <f>E8*'Output-Calculation-sheet'!E52/10^9</f>
        <v>1.8851625761869171</v>
      </c>
      <c r="F63" s="2">
        <f>F8*'Output-Calculation-sheet'!F52/10^9</f>
        <v>0.78413774972831141</v>
      </c>
      <c r="G63" s="2">
        <f>G8*'Output-Calculation-sheet'!G52/10^9</f>
        <v>0.56263748994602203</v>
      </c>
      <c r="H63" s="2">
        <f>H8*'Output-Calculation-sheet'!H52/10^9</f>
        <v>1.0868503466771851</v>
      </c>
      <c r="I63" s="2">
        <f>I8*'Output-Calculation-sheet'!I52/10^9</f>
        <v>0.50436850590102944</v>
      </c>
      <c r="J63" s="2">
        <f>J8*'Output-Calculation-sheet'!J52/10^9</f>
        <v>0.54221585563526331</v>
      </c>
      <c r="K63" s="2">
        <f>K8*'Output-Calculation-sheet'!K52/10^9</f>
        <v>0.55369680551093103</v>
      </c>
      <c r="L63" s="2">
        <f>L8*'Output-Calculation-sheet'!L52/10^9</f>
        <v>0.57585066305966814</v>
      </c>
      <c r="M63" s="2">
        <f>M8*'Output-Calculation-sheet'!M52/10^9</f>
        <v>0.8218340347449794</v>
      </c>
      <c r="N63" s="2">
        <f>N8*'Output-Calculation-sheet'!N52/10^9</f>
        <v>0.69435485035983224</v>
      </c>
      <c r="O63" s="2">
        <f>O8*'Output-Calculation-sheet'!O52/10^9</f>
        <v>0.71930822332001976</v>
      </c>
      <c r="P63" s="2">
        <f>P8*'Output-Calculation-sheet'!P52/10^9</f>
        <v>0.59614345353075482</v>
      </c>
      <c r="Q63" s="2">
        <f>Q8*'Output-Calculation-sheet'!Q52/10^9</f>
        <v>0.563946982156317</v>
      </c>
      <c r="R63" s="2">
        <f>R8*'Output-Calculation-sheet'!R52/10^9</f>
        <v>0.47509235624588508</v>
      </c>
      <c r="S63" s="2">
        <f>S8*'Output-Calculation-sheet'!S52/10^9</f>
        <v>0.43681785424117764</v>
      </c>
      <c r="T63" s="2">
        <f>T8*'Output-Calculation-sheet'!T52/10^9</f>
        <v>0.15557190109813121</v>
      </c>
      <c r="U63" s="2">
        <f>U8*'Output-Calculation-sheet'!U52/10^9</f>
        <v>0.15260517906408244</v>
      </c>
      <c r="V63" s="2">
        <f>V8*'Output-Calculation-sheet'!V52/10^9</f>
        <v>0.13677487251394707</v>
      </c>
      <c r="W63" s="2">
        <f>W8*'Output-Calculation-sheet'!W52/10^9</f>
        <v>7.1398754454967281E-2</v>
      </c>
      <c r="X63" s="2">
        <f>X8*'Output-Calculation-sheet'!X52/10^9</f>
        <v>0.11538192313218107</v>
      </c>
      <c r="Y63" s="2">
        <f>Y8*'Output-Calculation-sheet'!Y52/10^9</f>
        <v>5.9511684570874301E-2</v>
      </c>
      <c r="AA63" s="2">
        <f t="shared" si="4"/>
        <v>25.417047849504975</v>
      </c>
    </row>
    <row r="64" spans="1:27" x14ac:dyDescent="0.25">
      <c r="A64" s="2">
        <v>2032</v>
      </c>
      <c r="B64" s="2">
        <f>B9*'Output-Calculation-sheet'!B53/10^9</f>
        <v>9.417296981407949</v>
      </c>
      <c r="C64" s="2">
        <f>C9*'Output-Calculation-sheet'!C53/10^9</f>
        <v>4.7691386041125234</v>
      </c>
      <c r="D64" s="2">
        <f>D9*'Output-Calculation-sheet'!D53/10^9</f>
        <v>1.6705618696675337</v>
      </c>
      <c r="E64" s="2">
        <f>E9*'Output-Calculation-sheet'!E53/10^9</f>
        <v>2.1512761561010914</v>
      </c>
      <c r="F64" s="2">
        <f>F9*'Output-Calculation-sheet'!F53/10^9</f>
        <v>0.89405159254839062</v>
      </c>
      <c r="G64" s="2">
        <f>G9*'Output-Calculation-sheet'!G53/10^9</f>
        <v>0.6418396467490376</v>
      </c>
      <c r="H64" s="2">
        <f>H9*'Output-Calculation-sheet'!H53/10^9</f>
        <v>1.2352564483095017</v>
      </c>
      <c r="I64" s="2">
        <f>I9*'Output-Calculation-sheet'!I53/10^9</f>
        <v>0.57543504688477698</v>
      </c>
      <c r="J64" s="2">
        <f>J9*'Output-Calculation-sheet'!J53/10^9</f>
        <v>0.61842339347435171</v>
      </c>
      <c r="K64" s="2">
        <f>K9*'Output-Calculation-sheet'!K53/10^9</f>
        <v>0.63189506273171259</v>
      </c>
      <c r="L64" s="2">
        <f>L9*'Output-Calculation-sheet'!L53/10^9</f>
        <v>0.6569750956375805</v>
      </c>
      <c r="M64" s="2">
        <f>M9*'Output-Calculation-sheet'!M53/10^9</f>
        <v>0.93427978222291053</v>
      </c>
      <c r="N64" s="2">
        <f>N9*'Output-Calculation-sheet'!N53/10^9</f>
        <v>0.79022827478539526</v>
      </c>
      <c r="O64" s="2">
        <f>O9*'Output-Calculation-sheet'!O53/10^9</f>
        <v>0.81879222632102489</v>
      </c>
      <c r="P64" s="2">
        <f>P9*'Output-Calculation-sheet'!P53/10^9</f>
        <v>0.68073426742743426</v>
      </c>
      <c r="Q64" s="2">
        <f>Q9*'Output-Calculation-sheet'!Q53/10^9</f>
        <v>0.64387162645987073</v>
      </c>
      <c r="R64" s="2">
        <f>R9*'Output-Calculation-sheet'!R53/10^9</f>
        <v>0.54155044369654393</v>
      </c>
      <c r="S64" s="2">
        <f>S9*'Output-Calculation-sheet'!S53/10^9</f>
        <v>0.49757847429125229</v>
      </c>
      <c r="T64" s="2">
        <f>T9*'Output-Calculation-sheet'!T53/10^9</f>
        <v>0.1769451921994353</v>
      </c>
      <c r="U64" s="2">
        <f>U9*'Output-Calculation-sheet'!U53/10^9</f>
        <v>0.17419423842491438</v>
      </c>
      <c r="V64" s="2">
        <f>V9*'Output-Calculation-sheet'!V53/10^9</f>
        <v>0.15505108677356313</v>
      </c>
      <c r="W64" s="2">
        <f>W9*'Output-Calculation-sheet'!W53/10^9</f>
        <v>8.1417563567318704E-2</v>
      </c>
      <c r="X64" s="2">
        <f>X9*'Output-Calculation-sheet'!X53/10^9</f>
        <v>0.1312619516728</v>
      </c>
      <c r="Y64" s="2">
        <f>Y9*'Output-Calculation-sheet'!Y53/10^9</f>
        <v>6.7933379386491674E-2</v>
      </c>
      <c r="AA64" s="2">
        <f t="shared" si="4"/>
        <v>28.955988404853411</v>
      </c>
    </row>
    <row r="65" spans="1:27" x14ac:dyDescent="0.25">
      <c r="A65" s="2">
        <v>2033</v>
      </c>
      <c r="B65" s="2">
        <f>B10*'Output-Calculation-sheet'!B54/10^9</f>
        <v>10.349814779491979</v>
      </c>
      <c r="C65" s="2">
        <f>C10*'Output-Calculation-sheet'!C54/10^9</f>
        <v>5.2397517388644657</v>
      </c>
      <c r="D65" s="2">
        <f>D10*'Output-Calculation-sheet'!D54/10^9</f>
        <v>1.8408306544971305</v>
      </c>
      <c r="E65" s="2">
        <f>E10*'Output-Calculation-sheet'!E54/10^9</f>
        <v>2.3708461467837707</v>
      </c>
      <c r="F65" s="2">
        <f>F10*'Output-Calculation-sheet'!F54/10^9</f>
        <v>0.98444083798769044</v>
      </c>
      <c r="G65" s="2">
        <f>G10*'Output-Calculation-sheet'!G54/10^9</f>
        <v>0.70694972623046637</v>
      </c>
      <c r="H65" s="2">
        <f>H10*'Output-Calculation-sheet'!H54/10^9</f>
        <v>1.3555147979425266</v>
      </c>
      <c r="I65" s="2">
        <f>I10*'Output-Calculation-sheet'!I54/10^9</f>
        <v>0.63402550889843656</v>
      </c>
      <c r="J65" s="2">
        <f>J10*'Output-Calculation-sheet'!J54/10^9</f>
        <v>0.68102432096826604</v>
      </c>
      <c r="K65" s="2">
        <f>K10*'Output-Calculation-sheet'!K54/10^9</f>
        <v>0.69643169184294251</v>
      </c>
      <c r="L65" s="2">
        <f>L10*'Output-Calculation-sheet'!L54/10^9</f>
        <v>0.72384565056278305</v>
      </c>
      <c r="M65" s="2">
        <f>M10*'Output-Calculation-sheet'!M54/10^9</f>
        <v>1.0254759219495333</v>
      </c>
      <c r="N65" s="2">
        <f>N10*'Output-Calculation-sheet'!N54/10^9</f>
        <v>0.86807427227392431</v>
      </c>
      <c r="O65" s="2">
        <f>O10*'Output-Calculation-sheet'!O54/10^9</f>
        <v>0.89976110131403109</v>
      </c>
      <c r="P65" s="2">
        <f>P10*'Output-Calculation-sheet'!P54/10^9</f>
        <v>0.75054046933492469</v>
      </c>
      <c r="Q65" s="2">
        <f>Q10*'Output-Calculation-sheet'!Q54/10^9</f>
        <v>0.70993310029419199</v>
      </c>
      <c r="R65" s="2">
        <f>R10*'Output-Calculation-sheet'!R54/10^9</f>
        <v>0.59598258368725932</v>
      </c>
      <c r="S65" s="2">
        <f>S10*'Output-Calculation-sheet'!S54/10^9</f>
        <v>0.54708390617472347</v>
      </c>
      <c r="T65" s="2">
        <f>T10*'Output-Calculation-sheet'!T54/10^9</f>
        <v>0.19429644972627225</v>
      </c>
      <c r="U65" s="2">
        <f>U10*'Output-Calculation-sheet'!U54/10^9</f>
        <v>0.19197720273902333</v>
      </c>
      <c r="V65" s="2">
        <f>V10*'Output-Calculation-sheet'!V54/10^9</f>
        <v>0.16973338724968626</v>
      </c>
      <c r="W65" s="2">
        <f>W10*'Output-Calculation-sheet'!W54/10^9</f>
        <v>8.9650146576694706E-2</v>
      </c>
      <c r="X65" s="2">
        <f>X10*'Output-Calculation-sheet'!X54/10^9</f>
        <v>0.14418148794930846</v>
      </c>
      <c r="Y65" s="2">
        <f>Y10*'Output-Calculation-sheet'!Y54/10^9</f>
        <v>7.4890640342468534E-2</v>
      </c>
      <c r="AA65" s="2">
        <f t="shared" si="4"/>
        <v>31.845056523682491</v>
      </c>
    </row>
    <row r="66" spans="1:27" x14ac:dyDescent="0.25">
      <c r="A66" s="2">
        <v>2034</v>
      </c>
      <c r="B66" s="2">
        <f>B11*'Output-Calculation-sheet'!B55/10^9</f>
        <v>11.113487349117522</v>
      </c>
      <c r="C66" s="2">
        <f>C11*'Output-Calculation-sheet'!C55/10^9</f>
        <v>5.6295610225815773</v>
      </c>
      <c r="D66" s="2">
        <f>D11*'Output-Calculation-sheet'!D55/10^9</f>
        <v>1.9841507310714781</v>
      </c>
      <c r="E66" s="2">
        <f>E11*'Output-Calculation-sheet'!E55/10^9</f>
        <v>2.5557411174209737</v>
      </c>
      <c r="F66" s="2">
        <f>F11*'Output-Calculation-sheet'!F55/10^9</f>
        <v>1.0602785383834381</v>
      </c>
      <c r="G66" s="2">
        <f>G11*'Output-Calculation-sheet'!G55/10^9</f>
        <v>0.7615266594763993</v>
      </c>
      <c r="H66" s="2">
        <f>H11*'Output-Calculation-sheet'!H55/10^9</f>
        <v>1.4546314580167043</v>
      </c>
      <c r="I66" s="2">
        <f>I11*'Output-Calculation-sheet'!I55/10^9</f>
        <v>0.68331681461416793</v>
      </c>
      <c r="J66" s="2">
        <f>J11*'Output-Calculation-sheet'!J55/10^9</f>
        <v>0.73341499295844848</v>
      </c>
      <c r="K66" s="2">
        <f>K11*'Output-Calculation-sheet'!K55/10^9</f>
        <v>0.7507835526405191</v>
      </c>
      <c r="L66" s="2">
        <f>L11*'Output-Calculation-sheet'!L55/10^9</f>
        <v>0.77958791196158517</v>
      </c>
      <c r="M66" s="2">
        <f>M11*'Output-Calculation-sheet'!M55/10^9</f>
        <v>1.1006951453161675</v>
      </c>
      <c r="N66" s="2">
        <f>N11*'Output-Calculation-sheet'!N55/10^9</f>
        <v>0.93231088688586805</v>
      </c>
      <c r="O66" s="2">
        <f>O11*'Output-Calculation-sheet'!O55/10^9</f>
        <v>0.96681761422228185</v>
      </c>
      <c r="P66" s="2">
        <f>P11*'Output-Calculation-sheet'!P55/10^9</f>
        <v>0.80909936376872016</v>
      </c>
      <c r="Q66" s="2">
        <f>Q11*'Output-Calculation-sheet'!Q55/10^9</f>
        <v>0.76566547191079148</v>
      </c>
      <c r="R66" s="2">
        <f>R11*'Output-Calculation-sheet'!R55/10^9</f>
        <v>0.64129994694707204</v>
      </c>
      <c r="S66" s="2">
        <f>S11*'Output-Calculation-sheet'!S55/10^9</f>
        <v>0.58813641997985999</v>
      </c>
      <c r="T66" s="2">
        <f>T11*'Output-Calculation-sheet'!T55/10^9</f>
        <v>0.20864752507510931</v>
      </c>
      <c r="U66" s="2">
        <f>U11*'Output-Calculation-sheet'!U55/10^9</f>
        <v>0.20690084517812998</v>
      </c>
      <c r="V66" s="2">
        <f>V11*'Output-Calculation-sheet'!V55/10^9</f>
        <v>0.18174746637628944</v>
      </c>
      <c r="W66" s="2">
        <f>W11*'Output-Calculation-sheet'!W55/10^9</f>
        <v>9.6547867876345964E-2</v>
      </c>
      <c r="X66" s="2">
        <f>X11*'Output-Calculation-sheet'!X55/10^9</f>
        <v>0.15479745397495723</v>
      </c>
      <c r="Y66" s="2">
        <f>Y11*'Output-Calculation-sheet'!Y55/10^9</f>
        <v>8.0756960836929889E-2</v>
      </c>
      <c r="AA66" s="2">
        <f t="shared" si="4"/>
        <v>34.239903116591336</v>
      </c>
    </row>
    <row r="67" spans="1:27" x14ac:dyDescent="0.25">
      <c r="A67" s="2">
        <v>2035</v>
      </c>
      <c r="B67" s="2">
        <f>B12*'Output-Calculation-sheet'!B56/10^9</f>
        <v>11.731752146063943</v>
      </c>
      <c r="C67" s="2">
        <f>C12*'Output-Calculation-sheet'!C56/10^9</f>
        <v>5.9549703146003665</v>
      </c>
      <c r="D67" s="2">
        <f>D12*'Output-Calculation-sheet'!D56/10^9</f>
        <v>2.1061799771992344</v>
      </c>
      <c r="E67" s="2">
        <f>E12*'Output-Calculation-sheet'!E56/10^9</f>
        <v>2.7132477376620865</v>
      </c>
      <c r="F67" s="2">
        <f>F12*'Output-Calculation-sheet'!F56/10^9</f>
        <v>1.1246199669170762</v>
      </c>
      <c r="G67" s="2">
        <f>G12*'Output-Calculation-sheet'!G56/10^9</f>
        <v>0.80769921857262894</v>
      </c>
      <c r="H67" s="2">
        <f>H12*'Output-Calculation-sheet'!H56/10^9</f>
        <v>1.5368909132831816</v>
      </c>
      <c r="I67" s="2">
        <f>I12*'Output-Calculation-sheet'!I56/10^9</f>
        <v>0.72526155167883055</v>
      </c>
      <c r="J67" s="2">
        <f>J12*'Output-Calculation-sheet'!J56/10^9</f>
        <v>0.777729324059098</v>
      </c>
      <c r="K67" s="2">
        <f>K12*'Output-Calculation-sheet'!K56/10^9</f>
        <v>0.79709143649865355</v>
      </c>
      <c r="L67" s="2">
        <f>L12*'Output-Calculation-sheet'!L56/10^9</f>
        <v>0.82613121639540854</v>
      </c>
      <c r="M67" s="2">
        <f>M12*'Output-Calculation-sheet'!M56/10^9</f>
        <v>1.1631646380430614</v>
      </c>
      <c r="N67" s="2">
        <f>N12*'Output-Calculation-sheet'!N56/10^9</f>
        <v>0.98575960815649066</v>
      </c>
      <c r="O67" s="2">
        <f>O12*'Output-Calculation-sheet'!O56/10^9</f>
        <v>1.0226726830766977</v>
      </c>
      <c r="P67" s="2">
        <f>P12*'Output-Calculation-sheet'!P56/10^9</f>
        <v>0.85869856851755311</v>
      </c>
      <c r="Q67" s="2">
        <f>Q12*'Output-Calculation-sheet'!Q56/10^9</f>
        <v>0.81317318874605748</v>
      </c>
      <c r="R67" s="2">
        <f>R12*'Output-Calculation-sheet'!R56/10^9</f>
        <v>0.67935349415077817</v>
      </c>
      <c r="S67" s="2">
        <f>S12*'Output-Calculation-sheet'!S56/10^9</f>
        <v>0.62250373077076926</v>
      </c>
      <c r="T67" s="2">
        <f>T12*'Output-Calculation-sheet'!T56/10^9</f>
        <v>0.22061079627036048</v>
      </c>
      <c r="U67" s="2">
        <f>U12*'Output-Calculation-sheet'!U56/10^9</f>
        <v>0.21952248068218913</v>
      </c>
      <c r="V67" s="2">
        <f>V12*'Output-Calculation-sheet'!V56/10^9</f>
        <v>0.19164445351348489</v>
      </c>
      <c r="W67" s="2">
        <f>W12*'Output-Calculation-sheet'!W56/10^9</f>
        <v>0.10238432113909174</v>
      </c>
      <c r="X67" s="2">
        <f>X12*'Output-Calculation-sheet'!X56/10^9</f>
        <v>0.16345414904164834</v>
      </c>
      <c r="Y67" s="2">
        <f>Y12*'Output-Calculation-sheet'!Y56/10^9</f>
        <v>8.5761925844757059E-2</v>
      </c>
      <c r="AA67" s="2">
        <f t="shared" si="4"/>
        <v>36.230277840883446</v>
      </c>
    </row>
    <row r="68" spans="1:27" x14ac:dyDescent="0.25">
      <c r="B68" s="2">
        <f>SUM(B60:B67)</f>
        <v>67.3344371171803</v>
      </c>
      <c r="C68" s="2">
        <f t="shared" ref="C68:Y68" si="5">SUM(C60:C67)</f>
        <v>34.111658986651889</v>
      </c>
      <c r="D68" s="2">
        <f t="shared" si="5"/>
        <v>11.975824399954627</v>
      </c>
      <c r="E68" s="2">
        <f t="shared" si="5"/>
        <v>15.421780440807639</v>
      </c>
      <c r="F68" s="2">
        <f t="shared" si="5"/>
        <v>6.4090330011728947</v>
      </c>
      <c r="G68" s="2">
        <f t="shared" si="5"/>
        <v>4.5986204886400541</v>
      </c>
      <c r="H68" s="2">
        <f t="shared" si="5"/>
        <v>8.8339639290035592</v>
      </c>
      <c r="I68" s="2">
        <f t="shared" si="5"/>
        <v>4.1250987312529315</v>
      </c>
      <c r="J68" s="2">
        <f t="shared" si="5"/>
        <v>4.4310968057470523</v>
      </c>
      <c r="K68" s="2">
        <f t="shared" si="5"/>
        <v>4.5298133978710657</v>
      </c>
      <c r="L68" s="2">
        <f t="shared" si="5"/>
        <v>4.7072950316176376</v>
      </c>
      <c r="M68" s="2">
        <f t="shared" si="5"/>
        <v>6.6816685283635033</v>
      </c>
      <c r="N68" s="2">
        <f t="shared" si="5"/>
        <v>5.6515239014482272</v>
      </c>
      <c r="O68" s="2">
        <f t="shared" si="5"/>
        <v>5.8523639977288378</v>
      </c>
      <c r="P68" s="2">
        <f t="shared" si="5"/>
        <v>4.8775639180656283</v>
      </c>
      <c r="Q68" s="2">
        <f t="shared" si="5"/>
        <v>4.6155648723561828</v>
      </c>
      <c r="R68" s="2">
        <f t="shared" si="5"/>
        <v>3.878238015549111</v>
      </c>
      <c r="S68" s="2">
        <f t="shared" si="5"/>
        <v>3.5601380584167419</v>
      </c>
      <c r="T68" s="2">
        <f t="shared" si="5"/>
        <v>1.2679621101619292</v>
      </c>
      <c r="U68" s="2">
        <f t="shared" si="5"/>
        <v>1.2478878629423773</v>
      </c>
      <c r="V68" s="2">
        <f t="shared" si="5"/>
        <v>1.1130923774861325</v>
      </c>
      <c r="W68" s="2">
        <f t="shared" si="5"/>
        <v>0.58353643394036192</v>
      </c>
      <c r="X68" s="2">
        <f t="shared" si="5"/>
        <v>0.93851106145038243</v>
      </c>
      <c r="Y68" s="2">
        <f t="shared" si="5"/>
        <v>0.48699951489907461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62.738263429676188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55.846502278148485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221.5862599955727</v>
      </c>
      <c r="S74" s="2">
        <f>S8/'Output-Calculation-sheet'!S7*'Output-Calculation-sheet'!S61</f>
        <v>0</v>
      </c>
      <c r="T74" s="2">
        <f>T8/'Output-Calculation-sheet'!T7*'Output-Calculation-sheet'!T61</f>
        <v>163.23705851922173</v>
      </c>
      <c r="U74" s="2">
        <f>U8/'Output-Calculation-sheet'!U7*'Output-Calculation-sheet'!U61</f>
        <v>20.678326574330903</v>
      </c>
      <c r="V74" s="2">
        <f>V8/'Output-Calculation-sheet'!V7*'Output-Calculation-sheet'!V61</f>
        <v>187.37271994748801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0.71145913074443801</v>
      </c>
    </row>
    <row r="75" spans="1:27" x14ac:dyDescent="0.25">
      <c r="A75" s="2">
        <v>2032</v>
      </c>
      <c r="B75" s="2">
        <f>B9/'Output-Calculation-sheet'!B8*'Output-Calculation-sheet'!B62</f>
        <v>709.36725820512709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143.8658117807409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115.26650196724211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304.99215630723938</v>
      </c>
      <c r="S75" s="2">
        <f>S9/'Output-Calculation-sheet'!S8*'Output-Calculation-sheet'!S62</f>
        <v>0</v>
      </c>
      <c r="T75" s="2">
        <f>T9/'Output-Calculation-sheet'!T8*'Output-Calculation-sheet'!T62</f>
        <v>201.45454596802242</v>
      </c>
      <c r="U75" s="2">
        <f>U9/'Output-Calculation-sheet'!U8*'Output-Calculation-sheet'!U62</f>
        <v>41.179928821104411</v>
      </c>
      <c r="V75" s="2">
        <f>V9/'Output-Calculation-sheet'!V8*'Output-Calculation-sheet'!V62</f>
        <v>215.80150552126688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1.7319277085707432</v>
      </c>
    </row>
    <row r="76" spans="1:27" x14ac:dyDescent="0.25">
      <c r="A76" s="2">
        <v>2033</v>
      </c>
      <c r="B76" s="2">
        <f>B10/'Output-Calculation-sheet'!B9*'Output-Calculation-sheet'!B63</f>
        <v>1901.7167136997616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223.08347976684865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212.78968665369027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95.997562963661963</v>
      </c>
      <c r="Q76" s="2">
        <f>Q10/'Output-Calculation-sheet'!Q9*'Output-Calculation-sheet'!Q63</f>
        <v>0</v>
      </c>
      <c r="R76" s="2">
        <f>R10/'Output-Calculation-sheet'!R9*'Output-Calculation-sheet'!R63</f>
        <v>408.86761637263567</v>
      </c>
      <c r="S76" s="2">
        <f>S10/'Output-Calculation-sheet'!S9*'Output-Calculation-sheet'!S63</f>
        <v>0</v>
      </c>
      <c r="T76" s="2">
        <f>T10/'Output-Calculation-sheet'!T9*'Output-Calculation-sheet'!T63</f>
        <v>238.97034464071041</v>
      </c>
      <c r="U76" s="2">
        <f>U10/'Output-Calculation-sheet'!U9*'Output-Calculation-sheet'!U63</f>
        <v>69.506347813391329</v>
      </c>
      <c r="V76" s="2">
        <f>V10/'Output-Calculation-sheet'!V9*'Output-Calculation-sheet'!V63</f>
        <v>248.20877948794629</v>
      </c>
      <c r="W76" s="2">
        <f>W10/'Output-Calculation-sheet'!W9*'Output-Calculation-sheet'!W63</f>
        <v>7.7934916846315092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3.4069340230832772</v>
      </c>
    </row>
    <row r="77" spans="1:27" x14ac:dyDescent="0.25">
      <c r="A77" s="2">
        <v>2034</v>
      </c>
      <c r="B77" s="2">
        <f>B11/'Output-Calculation-sheet'!B10*'Output-Calculation-sheet'!B64</f>
        <v>3444.0906488478281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328.06421824040649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304.94957213316525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196.84431012879102</v>
      </c>
      <c r="Q77" s="2">
        <f>Q11/'Output-Calculation-sheet'!Q10*'Output-Calculation-sheet'!Q64</f>
        <v>0</v>
      </c>
      <c r="R77" s="2">
        <f>R11/'Output-Calculation-sheet'!R10*'Output-Calculation-sheet'!R64</f>
        <v>511.32155664748404</v>
      </c>
      <c r="S77" s="2">
        <f>S11/'Output-Calculation-sheet'!S10*'Output-Calculation-sheet'!S64</f>
        <v>0</v>
      </c>
      <c r="T77" s="2">
        <f>T11/'Output-Calculation-sheet'!T10*'Output-Calculation-sheet'!T64</f>
        <v>275.41321754950803</v>
      </c>
      <c r="U77" s="2">
        <f>U11/'Output-Calculation-sheet'!U10*'Output-Calculation-sheet'!U64</f>
        <v>93.369648180735609</v>
      </c>
      <c r="V77" s="2">
        <f>V11/'Output-Calculation-sheet'!V10*'Output-Calculation-sheet'!V64</f>
        <v>278.89311856686987</v>
      </c>
      <c r="W77" s="2">
        <f>W11/'Output-Calculation-sheet'!W10*'Output-Calculation-sheet'!W64</f>
        <v>14.778920193802016</v>
      </c>
      <c r="X77" s="2">
        <f>X11/'Output-Calculation-sheet'!X10*'Output-Calculation-sheet'!X64</f>
        <v>26.516487948346104</v>
      </c>
      <c r="Y77" s="2">
        <f>Y11/'Output-Calculation-sheet'!Y10*'Output-Calculation-sheet'!Y64</f>
        <v>0</v>
      </c>
      <c r="AA77" s="2">
        <f t="shared" si="6"/>
        <v>5.4742416984369369</v>
      </c>
    </row>
    <row r="78" spans="1:27" x14ac:dyDescent="0.25">
      <c r="A78" s="2">
        <v>2035</v>
      </c>
      <c r="B78" s="2">
        <f>B12/'Output-Calculation-sheet'!B11*'Output-Calculation-sheet'!B65</f>
        <v>6468.3967843789233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418.29049430064583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369.43121336397746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300.10724390301527</v>
      </c>
      <c r="Q78" s="2">
        <f>Q12/'Output-Calculation-sheet'!Q11*'Output-Calculation-sheet'!Q65</f>
        <v>0</v>
      </c>
      <c r="R78" s="2">
        <f>R12/'Output-Calculation-sheet'!R11*'Output-Calculation-sheet'!R65</f>
        <v>658.79637684524744</v>
      </c>
      <c r="S78" s="2">
        <f>S12/'Output-Calculation-sheet'!S11*'Output-Calculation-sheet'!S65</f>
        <v>0</v>
      </c>
      <c r="T78" s="2">
        <f>T12/'Output-Calculation-sheet'!T11*'Output-Calculation-sheet'!T65</f>
        <v>318.87738356006986</v>
      </c>
      <c r="U78" s="2">
        <f>U12/'Output-Calculation-sheet'!U11*'Output-Calculation-sheet'!U65</f>
        <v>123.98402365740714</v>
      </c>
      <c r="V78" s="2">
        <f>V12/'Output-Calculation-sheet'!V11*'Output-Calculation-sheet'!V65</f>
        <v>300.84484478025297</v>
      </c>
      <c r="W78" s="2">
        <f>W12/'Output-Calculation-sheet'!W11*'Output-Calculation-sheet'!W65</f>
        <v>22.53074183370893</v>
      </c>
      <c r="X78" s="2">
        <f>X12/'Output-Calculation-sheet'!X11*'Output-Calculation-sheet'!X65</f>
        <v>61.528762308520726</v>
      </c>
      <c r="Y78" s="2">
        <f>Y12/'Output-Calculation-sheet'!Y11*'Output-Calculation-sheet'!Y65</f>
        <v>0</v>
      </c>
      <c r="AA78" s="2">
        <f t="shared" si="6"/>
        <v>9.0427878689317698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 t="shared" ref="AA93:AA100" si="8"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si="8"/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18155352954.713367</v>
      </c>
      <c r="C96" s="2">
        <f>C8/'Output-Calculation-sheet'!C7*'Output-Calculation-sheet'!C79</f>
        <v>2234731702.1372371</v>
      </c>
      <c r="D96" s="2">
        <f>D8/'Output-Calculation-sheet'!D7*'Output-Calculation-sheet'!D79</f>
        <v>7913869196.3388443</v>
      </c>
      <c r="E96" s="2">
        <f>E8/'Output-Calculation-sheet'!E7*'Output-Calculation-sheet'!E79</f>
        <v>13530927984.776432</v>
      </c>
      <c r="F96" s="2">
        <f>F8/'Output-Calculation-sheet'!F7*'Output-Calculation-sheet'!F79</f>
        <v>6089369183.7438316</v>
      </c>
      <c r="G96" s="2">
        <f>G8/'Output-Calculation-sheet'!G7*'Output-Calculation-sheet'!G79</f>
        <v>4625152449.2248001</v>
      </c>
      <c r="H96" s="2">
        <f>H8/'Output-Calculation-sheet'!H7*'Output-Calculation-sheet'!H79</f>
        <v>1345614612.3040783</v>
      </c>
      <c r="I96" s="2">
        <f>I8/'Output-Calculation-sheet'!I7*'Output-Calculation-sheet'!I79</f>
        <v>3102426843.3169408</v>
      </c>
      <c r="J96" s="2">
        <f>J8/'Output-Calculation-sheet'!J7*'Output-Calculation-sheet'!J79</f>
        <v>2298952055.017592</v>
      </c>
      <c r="K96" s="2">
        <f>K8/'Output-Calculation-sheet'!K7*'Output-Calculation-sheet'!K79</f>
        <v>2658166525.7885232</v>
      </c>
      <c r="L96" s="2">
        <f>L8/'Output-Calculation-sheet'!L7*'Output-Calculation-sheet'!L79</f>
        <v>2114522629.3173027</v>
      </c>
      <c r="M96" s="2">
        <f>M8/'Output-Calculation-sheet'!M7*'Output-Calculation-sheet'!M79</f>
        <v>1046095279.3134692</v>
      </c>
      <c r="N96" s="2">
        <f>N8/'Output-Calculation-sheet'!N7*'Output-Calculation-sheet'!N79</f>
        <v>1062413547.7932353</v>
      </c>
      <c r="O96" s="2">
        <f>O8/'Output-Calculation-sheet'!O7*'Output-Calculation-sheet'!O79</f>
        <v>259335246.44214326</v>
      </c>
      <c r="P96" s="2">
        <f>P8/'Output-Calculation-sheet'!P7*'Output-Calculation-sheet'!P79</f>
        <v>2825654800.1074257</v>
      </c>
      <c r="Q96" s="2">
        <f>Q8/'Output-Calculation-sheet'!Q7*'Output-Calculation-sheet'!Q79</f>
        <v>1252984838.9688764</v>
      </c>
      <c r="R96" s="2">
        <f>R8/'Output-Calculation-sheet'!R7*'Output-Calculation-sheet'!R79</f>
        <v>1906396051.885144</v>
      </c>
      <c r="S96" s="2">
        <f>S8/'Output-Calculation-sheet'!S7*'Output-Calculation-sheet'!S79</f>
        <v>745156600.62392497</v>
      </c>
      <c r="T96" s="2">
        <f>T8/'Output-Calculation-sheet'!T7*'Output-Calculation-sheet'!T79</f>
        <v>1009179902.902737</v>
      </c>
      <c r="U96" s="2">
        <f>U8/'Output-Calculation-sheet'!U7*'Output-Calculation-sheet'!U79</f>
        <v>501231534.96735084</v>
      </c>
      <c r="V96" s="2">
        <f>V8/'Output-Calculation-sheet'!V7*'Output-Calculation-sheet'!V79</f>
        <v>369342031.20536911</v>
      </c>
      <c r="W96" s="2">
        <f>W8/'Output-Calculation-sheet'!W7*'Output-Calculation-sheet'!W79</f>
        <v>983943363.26830459</v>
      </c>
      <c r="X96" s="2">
        <f>X8/'Output-Calculation-sheet'!X7*'Output-Calculation-sheet'!X79</f>
        <v>116595146.6777956</v>
      </c>
      <c r="Y96" s="2">
        <f>Y8/'Output-Calculation-sheet'!Y7*'Output-Calculation-sheet'!Y79</f>
        <v>441581695.00582552</v>
      </c>
      <c r="AA96" s="2">
        <f t="shared" si="8"/>
        <v>76.588996175840578</v>
      </c>
    </row>
    <row r="97" spans="1:27" x14ac:dyDescent="0.25">
      <c r="A97" s="2">
        <v>2032</v>
      </c>
      <c r="B97" s="2">
        <f>B9/'Output-Calculation-sheet'!B8*'Output-Calculation-sheet'!B80</f>
        <v>21098543175.119701</v>
      </c>
      <c r="C97" s="2">
        <f>C9/'Output-Calculation-sheet'!C8*'Output-Calculation-sheet'!C80</f>
        <v>2650678544.6808209</v>
      </c>
      <c r="D97" s="2">
        <f>D9/'Output-Calculation-sheet'!D8*'Output-Calculation-sheet'!D80</f>
        <v>8729997976.3680267</v>
      </c>
      <c r="E97" s="2">
        <f>E9/'Output-Calculation-sheet'!E8*'Output-Calculation-sheet'!E80</f>
        <v>15370082558.397467</v>
      </c>
      <c r="F97" s="2">
        <f>F9/'Output-Calculation-sheet'!F8*'Output-Calculation-sheet'!F80</f>
        <v>6901076539.3464775</v>
      </c>
      <c r="G97" s="2">
        <f>G9/'Output-Calculation-sheet'!G8*'Output-Calculation-sheet'!G80</f>
        <v>5108045391.5776682</v>
      </c>
      <c r="H97" s="2">
        <f>H9/'Output-Calculation-sheet'!H8*'Output-Calculation-sheet'!H80</f>
        <v>1547770768.4113853</v>
      </c>
      <c r="I97" s="2">
        <f>I9/'Output-Calculation-sheet'!I8*'Output-Calculation-sheet'!I80</f>
        <v>3547902038.9614964</v>
      </c>
      <c r="J97" s="2">
        <f>J9/'Output-Calculation-sheet'!J8*'Output-Calculation-sheet'!J80</f>
        <v>2560018664.8153367</v>
      </c>
      <c r="K97" s="2">
        <f>K9/'Output-Calculation-sheet'!K8*'Output-Calculation-sheet'!K80</f>
        <v>2979937096.8203273</v>
      </c>
      <c r="L97" s="2">
        <f>L9/'Output-Calculation-sheet'!L8*'Output-Calculation-sheet'!L80</f>
        <v>2443378666.0601912</v>
      </c>
      <c r="M97" s="2">
        <f>M9/'Output-Calculation-sheet'!M8*'Output-Calculation-sheet'!M80</f>
        <v>1203054527.6064692</v>
      </c>
      <c r="N97" s="2">
        <f>N9/'Output-Calculation-sheet'!N8*'Output-Calculation-sheet'!N80</f>
        <v>1192379823.7647705</v>
      </c>
      <c r="O97" s="2">
        <f>O9/'Output-Calculation-sheet'!O8*'Output-Calculation-sheet'!O80</f>
        <v>311188696.50110722</v>
      </c>
      <c r="P97" s="2">
        <f>P9/'Output-Calculation-sheet'!P8*'Output-Calculation-sheet'!P80</f>
        <v>3164626023.0684724</v>
      </c>
      <c r="Q97" s="2">
        <f>Q9/'Output-Calculation-sheet'!Q8*'Output-Calculation-sheet'!Q80</f>
        <v>1407172283.6659534</v>
      </c>
      <c r="R97" s="2">
        <f>R9/'Output-Calculation-sheet'!R8*'Output-Calculation-sheet'!R80</f>
        <v>2189767221.8568211</v>
      </c>
      <c r="S97" s="2">
        <f>S9/'Output-Calculation-sheet'!S8*'Output-Calculation-sheet'!S80</f>
        <v>844524442.52595973</v>
      </c>
      <c r="T97" s="2">
        <f>T9/'Output-Calculation-sheet'!T8*'Output-Calculation-sheet'!T80</f>
        <v>1129214929.9448893</v>
      </c>
      <c r="U97" s="2">
        <f>U9/'Output-Calculation-sheet'!U8*'Output-Calculation-sheet'!U80</f>
        <v>573100386.06824672</v>
      </c>
      <c r="V97" s="2">
        <f>V9/'Output-Calculation-sheet'!V8*'Output-Calculation-sheet'!V80</f>
        <v>422162721.27031678</v>
      </c>
      <c r="W97" s="2">
        <f>W9/'Output-Calculation-sheet'!W8*'Output-Calculation-sheet'!W80</f>
        <v>1104020861.8997765</v>
      </c>
      <c r="X97" s="2">
        <f>X9/'Output-Calculation-sheet'!X8*'Output-Calculation-sheet'!X80</f>
        <v>135199161.43901441</v>
      </c>
      <c r="Y97" s="2">
        <f>Y9/'Output-Calculation-sheet'!Y8*'Output-Calculation-sheet'!Y80</f>
        <v>495755347.80779099</v>
      </c>
      <c r="AA97" s="2">
        <f t="shared" si="8"/>
        <v>87.109597847978492</v>
      </c>
    </row>
    <row r="98" spans="1:27" x14ac:dyDescent="0.25">
      <c r="A98" s="2">
        <v>2033</v>
      </c>
      <c r="B98" s="2">
        <f>B10/'Output-Calculation-sheet'!B9*'Output-Calculation-sheet'!B81</f>
        <v>23887979091.680229</v>
      </c>
      <c r="C98" s="2">
        <f>C10/'Output-Calculation-sheet'!C9*'Output-Calculation-sheet'!C81</f>
        <v>3012217141.581418</v>
      </c>
      <c r="D98" s="2">
        <f>D10/'Output-Calculation-sheet'!D9*'Output-Calculation-sheet'!D81</f>
        <v>9309965198.2616272</v>
      </c>
      <c r="E98" s="2">
        <f>E10/'Output-Calculation-sheet'!E9*'Output-Calculation-sheet'!E81</f>
        <v>16870758008.243196</v>
      </c>
      <c r="F98" s="2">
        <f>F10/'Output-Calculation-sheet'!F9*'Output-Calculation-sheet'!F81</f>
        <v>7557301815.2010136</v>
      </c>
      <c r="G98" s="2">
        <f>G10/'Output-Calculation-sheet'!G9*'Output-Calculation-sheet'!G81</f>
        <v>5437720723.5430813</v>
      </c>
      <c r="H98" s="2">
        <f>H10/'Output-Calculation-sheet'!H9*'Output-Calculation-sheet'!H81</f>
        <v>1715198289.0132687</v>
      </c>
      <c r="I98" s="2">
        <f>I10/'Output-Calculation-sheet'!I9*'Output-Calculation-sheet'!I81</f>
        <v>3923616663.4182796</v>
      </c>
      <c r="J98" s="2">
        <f>J10/'Output-Calculation-sheet'!J9*'Output-Calculation-sheet'!J81</f>
        <v>2758711602.1899838</v>
      </c>
      <c r="K98" s="2">
        <f>K10/'Output-Calculation-sheet'!K9*'Output-Calculation-sheet'!K81</f>
        <v>3235276200.0544543</v>
      </c>
      <c r="L98" s="2">
        <f>L10/'Output-Calculation-sheet'!L9*'Output-Calculation-sheet'!L81</f>
        <v>2731863943.3057899</v>
      </c>
      <c r="M98" s="2">
        <f>M10/'Output-Calculation-sheet'!M9*'Output-Calculation-sheet'!M81</f>
        <v>1340027635.7527318</v>
      </c>
      <c r="N98" s="2">
        <f>N10/'Output-Calculation-sheet'!N9*'Output-Calculation-sheet'!N81</f>
        <v>1281942304.7215538</v>
      </c>
      <c r="O98" s="2">
        <f>O10/'Output-Calculation-sheet'!O9*'Output-Calculation-sheet'!O81</f>
        <v>354219138.78669363</v>
      </c>
      <c r="P98" s="2">
        <f>P10/'Output-Calculation-sheet'!P9*'Output-Calculation-sheet'!P81</f>
        <v>3477726304.2440505</v>
      </c>
      <c r="Q98" s="2">
        <f>Q10/'Output-Calculation-sheet'!Q9*'Output-Calculation-sheet'!Q81</f>
        <v>1531377571.8231826</v>
      </c>
      <c r="R98" s="2">
        <f>R10/'Output-Calculation-sheet'!R9*'Output-Calculation-sheet'!R81</f>
        <v>2432673912.2696776</v>
      </c>
      <c r="S98" s="2">
        <f>S10/'Output-Calculation-sheet'!S9*'Output-Calculation-sheet'!S81</f>
        <v>927692735.24817765</v>
      </c>
      <c r="T98" s="2">
        <f>T10/'Output-Calculation-sheet'!T9*'Output-Calculation-sheet'!T81</f>
        <v>1219170189.8043151</v>
      </c>
      <c r="U98" s="2">
        <f>U10/'Output-Calculation-sheet'!U9*'Output-Calculation-sheet'!U81</f>
        <v>633493553.7784946</v>
      </c>
      <c r="V98" s="2">
        <f>V10/'Output-Calculation-sheet'!V9*'Output-Calculation-sheet'!V81</f>
        <v>467021817.60891843</v>
      </c>
      <c r="W98" s="2">
        <f>W10/'Output-Calculation-sheet'!W9*'Output-Calculation-sheet'!W81</f>
        <v>1196874978.882931</v>
      </c>
      <c r="X98" s="2">
        <f>X10/'Output-Calculation-sheet'!X9*'Output-Calculation-sheet'!X81</f>
        <v>151993686.60054412</v>
      </c>
      <c r="Y98" s="2">
        <f>Y10/'Output-Calculation-sheet'!Y9*'Output-Calculation-sheet'!Y81</f>
        <v>537568017.75945354</v>
      </c>
      <c r="AA98" s="2">
        <f t="shared" si="8"/>
        <v>95.992390523773082</v>
      </c>
    </row>
    <row r="99" spans="1:27" x14ac:dyDescent="0.25">
      <c r="A99" s="2">
        <v>2034</v>
      </c>
      <c r="B99" s="2">
        <f>B11/'Output-Calculation-sheet'!B10*'Output-Calculation-sheet'!B82</f>
        <v>26434705234.427834</v>
      </c>
      <c r="C99" s="2">
        <f>C11/'Output-Calculation-sheet'!C10*'Output-Calculation-sheet'!C82</f>
        <v>3356224598.0468335</v>
      </c>
      <c r="D99" s="2">
        <f>D11/'Output-Calculation-sheet'!D10*'Output-Calculation-sheet'!D82</f>
        <v>9714684149.3455963</v>
      </c>
      <c r="E99" s="2">
        <f>E11/'Output-Calculation-sheet'!E10*'Output-Calculation-sheet'!E82</f>
        <v>18111884700.544689</v>
      </c>
      <c r="F99" s="2">
        <f>F11/'Output-Calculation-sheet'!F10*'Output-Calculation-sheet'!F82</f>
        <v>8100031591.678112</v>
      </c>
      <c r="G99" s="2">
        <f>G11/'Output-Calculation-sheet'!G10*'Output-Calculation-sheet'!G82</f>
        <v>5656237202.7374086</v>
      </c>
      <c r="H99" s="2">
        <f>H11/'Output-Calculation-sheet'!H10*'Output-Calculation-sheet'!H82</f>
        <v>1862359029.6171081</v>
      </c>
      <c r="I99" s="2">
        <f>I11/'Output-Calculation-sheet'!I10*'Output-Calculation-sheet'!I82</f>
        <v>4245710414.742867</v>
      </c>
      <c r="J99" s="2">
        <f>J11/'Output-Calculation-sheet'!J10*'Output-Calculation-sheet'!J82</f>
        <v>2908605494.5476742</v>
      </c>
      <c r="K99" s="2">
        <f>K11/'Output-Calculation-sheet'!K10*'Output-Calculation-sheet'!K82</f>
        <v>3438245142.6120586</v>
      </c>
      <c r="L99" s="2">
        <f>L11/'Output-Calculation-sheet'!L10*'Output-Calculation-sheet'!L82</f>
        <v>3006176424.2440877</v>
      </c>
      <c r="M99" s="2">
        <f>M11/'Output-Calculation-sheet'!M10*'Output-Calculation-sheet'!M82</f>
        <v>1459083037.1142194</v>
      </c>
      <c r="N99" s="2">
        <f>N11/'Output-Calculation-sheet'!N10*'Output-Calculation-sheet'!N82</f>
        <v>1355798785.1104984</v>
      </c>
      <c r="O99" s="2">
        <f>O11/'Output-Calculation-sheet'!O10*'Output-Calculation-sheet'!O82</f>
        <v>396903434.59072828</v>
      </c>
      <c r="P99" s="2">
        <f>P11/'Output-Calculation-sheet'!P10*'Output-Calculation-sheet'!P82</f>
        <v>3739405714.4592214</v>
      </c>
      <c r="Q99" s="2">
        <f>Q11/'Output-Calculation-sheet'!Q10*'Output-Calculation-sheet'!Q82</f>
        <v>1630165966.5261216</v>
      </c>
      <c r="R99" s="2">
        <f>R11/'Output-Calculation-sheet'!R10*'Output-Calculation-sheet'!R82</f>
        <v>2648250708.6502213</v>
      </c>
      <c r="S99" s="2">
        <f>S11/'Output-Calculation-sheet'!S10*'Output-Calculation-sheet'!S82</f>
        <v>995135713.51348829</v>
      </c>
      <c r="T99" s="2">
        <f>T11/'Output-Calculation-sheet'!T10*'Output-Calculation-sheet'!T82</f>
        <v>1286367834.821676</v>
      </c>
      <c r="U99" s="2">
        <f>U11/'Output-Calculation-sheet'!U10*'Output-Calculation-sheet'!U82</f>
        <v>685773046.00965488</v>
      </c>
      <c r="V99" s="2">
        <f>V11/'Output-Calculation-sheet'!V10*'Output-Calculation-sheet'!V82</f>
        <v>504635790.66041911</v>
      </c>
      <c r="W99" s="2">
        <f>W11/'Output-Calculation-sheet'!W10*'Output-Calculation-sheet'!W82</f>
        <v>1267145424.3779058</v>
      </c>
      <c r="X99" s="2">
        <f>X11/'Output-Calculation-sheet'!X10*'Output-Calculation-sheet'!X82</f>
        <v>178837424.92463803</v>
      </c>
      <c r="Y99" s="2">
        <f>Y11/'Output-Calculation-sheet'!Y10*'Output-Calculation-sheet'!Y82</f>
        <v>569959295.38820767</v>
      </c>
      <c r="AA99" s="2">
        <f t="shared" si="8"/>
        <v>103.5523261586913</v>
      </c>
    </row>
    <row r="100" spans="1:27" x14ac:dyDescent="0.25">
      <c r="A100" s="2">
        <v>2035</v>
      </c>
      <c r="B100" s="2">
        <f>B12/'Output-Calculation-sheet'!B11*'Output-Calculation-sheet'!B83</f>
        <v>29385191205.256104</v>
      </c>
      <c r="C100" s="2">
        <f>C12/'Output-Calculation-sheet'!C11*'Output-Calculation-sheet'!C83</f>
        <v>3669860543.7766113</v>
      </c>
      <c r="D100" s="2">
        <f>D12/'Output-Calculation-sheet'!D11*'Output-Calculation-sheet'!D83</f>
        <v>9996890956.696352</v>
      </c>
      <c r="E100" s="2">
        <f>E12/'Output-Calculation-sheet'!E11*'Output-Calculation-sheet'!E83</f>
        <v>19166144359.327847</v>
      </c>
      <c r="F100" s="2">
        <f>F12/'Output-Calculation-sheet'!F11*'Output-Calculation-sheet'!F83</f>
        <v>8555907593.8857422</v>
      </c>
      <c r="G100" s="2">
        <f>G12/'Output-Calculation-sheet'!G11*'Output-Calculation-sheet'!G83</f>
        <v>5792966219.7400465</v>
      </c>
      <c r="H100" s="2">
        <f>H12/'Output-Calculation-sheet'!H11*'Output-Calculation-sheet'!H83</f>
        <v>1995217717.5028012</v>
      </c>
      <c r="I100" s="2">
        <f>I12/'Output-Calculation-sheet'!I11*'Output-Calculation-sheet'!I83</f>
        <v>4528051497.2585421</v>
      </c>
      <c r="J100" s="2">
        <f>J12/'Output-Calculation-sheet'!J11*'Output-Calculation-sheet'!J83</f>
        <v>3021548387.9629459</v>
      </c>
      <c r="K100" s="2">
        <f>K12/'Output-Calculation-sheet'!K11*'Output-Calculation-sheet'!K83</f>
        <v>3601793273.0066714</v>
      </c>
      <c r="L100" s="2">
        <f>L12/'Output-Calculation-sheet'!L11*'Output-Calculation-sheet'!L83</f>
        <v>3258839034.8127418</v>
      </c>
      <c r="M100" s="2">
        <f>M12/'Output-Calculation-sheet'!M11*'Output-Calculation-sheet'!M83</f>
        <v>1570586705.8743873</v>
      </c>
      <c r="N100" s="2">
        <f>N12/'Output-Calculation-sheet'!N11*'Output-Calculation-sheet'!N83</f>
        <v>1409828040.1835873</v>
      </c>
      <c r="O100" s="2">
        <f>O12/'Output-Calculation-sheet'!O11*'Output-Calculation-sheet'!O83</f>
        <v>439377897.34320754</v>
      </c>
      <c r="P100" s="2">
        <f>P12/'Output-Calculation-sheet'!P11*'Output-Calculation-sheet'!P83</f>
        <v>3945137739.2890306</v>
      </c>
      <c r="Q100" s="2">
        <f>Q12/'Output-Calculation-sheet'!Q11*'Output-Calculation-sheet'!Q83</f>
        <v>1713401368.5742435</v>
      </c>
      <c r="R100" s="2">
        <f>R12/'Output-Calculation-sheet'!R11*'Output-Calculation-sheet'!R83</f>
        <v>2842344312.9695406</v>
      </c>
      <c r="S100" s="2">
        <f>S12/'Output-Calculation-sheet'!S11*'Output-Calculation-sheet'!S83</f>
        <v>1051325738.0761193</v>
      </c>
      <c r="T100" s="2">
        <f>T12/'Output-Calculation-sheet'!T11*'Output-Calculation-sheet'!T83</f>
        <v>1341385578.5090141</v>
      </c>
      <c r="U100" s="2">
        <f>U12/'Output-Calculation-sheet'!U11*'Output-Calculation-sheet'!U83</f>
        <v>731077014.08193302</v>
      </c>
      <c r="V100" s="2">
        <f>V12/'Output-Calculation-sheet'!V11*'Output-Calculation-sheet'!V83</f>
        <v>537392086.2897284</v>
      </c>
      <c r="W100" s="2">
        <f>W12/'Output-Calculation-sheet'!W11*'Output-Calculation-sheet'!W83</f>
        <v>1319915810.1086402</v>
      </c>
      <c r="X100" s="2">
        <f>X12/'Output-Calculation-sheet'!X11*'Output-Calculation-sheet'!X83</f>
        <v>209220927.66406611</v>
      </c>
      <c r="Y100" s="2">
        <f>Y12/'Output-Calculation-sheet'!Y11*'Output-Calculation-sheet'!Y83</f>
        <v>594284683.28000069</v>
      </c>
      <c r="AA100" s="2">
        <f t="shared" si="8"/>
        <v>110.67768869146995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73B8-E72D-44CE-8432-B4FD9EA7376C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116441124096.64398</v>
      </c>
      <c r="C8" s="2">
        <v>54872917077.780441</v>
      </c>
      <c r="D8" s="2">
        <v>48906603424.083</v>
      </c>
      <c r="E8" s="2">
        <v>38802426931.470482</v>
      </c>
      <c r="F8" s="2">
        <v>24978514627.398483</v>
      </c>
      <c r="G8" s="2">
        <v>17550589894.041214</v>
      </c>
      <c r="H8" s="2">
        <v>17119926730.9464</v>
      </c>
      <c r="I8" s="2">
        <v>15989968926.786785</v>
      </c>
      <c r="J8" s="2">
        <v>15563531379.480396</v>
      </c>
      <c r="K8" s="2">
        <v>15414330045.422487</v>
      </c>
      <c r="L8" s="2">
        <v>12365575970.04847</v>
      </c>
      <c r="M8" s="2">
        <v>11811257047.253197</v>
      </c>
      <c r="N8" s="2">
        <v>11592714679.945307</v>
      </c>
      <c r="O8" s="2">
        <v>10661855440.878597</v>
      </c>
      <c r="P8" s="2">
        <v>10553379491.679287</v>
      </c>
      <c r="Q8" s="2">
        <v>10382819823.126896</v>
      </c>
      <c r="R8" s="2">
        <v>9988750236.9200191</v>
      </c>
      <c r="S8" s="2">
        <v>6639035098.4018583</v>
      </c>
      <c r="T8" s="2">
        <v>3671778696.6539154</v>
      </c>
      <c r="U8" s="2">
        <v>3197993785.3573623</v>
      </c>
      <c r="V8" s="2">
        <v>2462519174.6008778</v>
      </c>
      <c r="W8" s="2">
        <v>2131995856.9049065</v>
      </c>
      <c r="X8" s="2">
        <v>1279197514.1429446</v>
      </c>
      <c r="Y8" s="2">
        <v>1244006790.5288701</v>
      </c>
    </row>
    <row r="9" spans="1:27" x14ac:dyDescent="0.25">
      <c r="A9" s="2">
        <v>2032</v>
      </c>
      <c r="B9" s="2">
        <v>133582212058.12256</v>
      </c>
      <c r="C9" s="2">
        <v>62950660277.446655</v>
      </c>
      <c r="D9" s="2">
        <v>56106056346.691101</v>
      </c>
      <c r="E9" s="2">
        <v>44514462248.126701</v>
      </c>
      <c r="F9" s="2">
        <v>28655556735.133144</v>
      </c>
      <c r="G9" s="2">
        <v>20134180592.632454</v>
      </c>
      <c r="H9" s="2">
        <v>19640120281.685905</v>
      </c>
      <c r="I9" s="2">
        <v>18343823426.232151</v>
      </c>
      <c r="J9" s="2">
        <v>17854610776.356422</v>
      </c>
      <c r="K9" s="2">
        <v>17683445782.887821</v>
      </c>
      <c r="L9" s="2">
        <v>14185890116.286221</v>
      </c>
      <c r="M9" s="2">
        <v>13549970904.176842</v>
      </c>
      <c r="N9" s="2">
        <v>13299257308.9596</v>
      </c>
      <c r="O9" s="2">
        <v>12231367959.436773</v>
      </c>
      <c r="P9" s="2">
        <v>12106923461.313229</v>
      </c>
      <c r="Q9" s="2">
        <v>11911256011.43342</v>
      </c>
      <c r="R9" s="2">
        <v>11459176151.858614</v>
      </c>
      <c r="S9" s="2">
        <v>7616355486.5715714</v>
      </c>
      <c r="T9" s="2">
        <v>4212294619.2088218</v>
      </c>
      <c r="U9" s="2">
        <v>3668764685.2464356</v>
      </c>
      <c r="V9" s="2">
        <v>2825022182.9334621</v>
      </c>
      <c r="W9" s="2">
        <v>2445843123.497622</v>
      </c>
      <c r="X9" s="2">
        <v>1467505874.0985739</v>
      </c>
      <c r="Y9" s="2">
        <v>1427134787.5021198</v>
      </c>
    </row>
    <row r="10" spans="1:27" x14ac:dyDescent="0.25">
      <c r="A10" s="2">
        <v>2033</v>
      </c>
      <c r="B10" s="2">
        <v>147859582724.52219</v>
      </c>
      <c r="C10" s="2">
        <v>69678875783.300415</v>
      </c>
      <c r="D10" s="2">
        <v>62102715263.696251</v>
      </c>
      <c r="E10" s="2">
        <v>49272202577.021896</v>
      </c>
      <c r="F10" s="2">
        <v>31718284914.701893</v>
      </c>
      <c r="G10" s="2">
        <v>22286137465.903622</v>
      </c>
      <c r="H10" s="2">
        <v>21739271604.859798</v>
      </c>
      <c r="I10" s="2">
        <v>20304425533.804276</v>
      </c>
      <c r="J10" s="2">
        <v>19762925455.614902</v>
      </c>
      <c r="K10" s="2">
        <v>19573466214.587353</v>
      </c>
      <c r="L10" s="2">
        <v>15702089079.475334</v>
      </c>
      <c r="M10" s="2">
        <v>14998202327.636787</v>
      </c>
      <c r="N10" s="2">
        <v>14720692268.467709</v>
      </c>
      <c r="O10" s="2">
        <v>13538666075.132147</v>
      </c>
      <c r="P10" s="2">
        <v>13400920852.310833</v>
      </c>
      <c r="Q10" s="2">
        <v>13184340313.283588</v>
      </c>
      <c r="R10" s="2">
        <v>12683941806.888088</v>
      </c>
      <c r="S10" s="2">
        <v>8430397481.6355143</v>
      </c>
      <c r="T10" s="2">
        <v>4662507942.5842247</v>
      </c>
      <c r="U10" s="2">
        <v>4060885106.7608614</v>
      </c>
      <c r="V10" s="2">
        <v>3126962749.9080005</v>
      </c>
      <c r="W10" s="2">
        <v>2707256737.8405719</v>
      </c>
      <c r="X10" s="2">
        <v>1624354042.7043443</v>
      </c>
      <c r="Y10" s="2">
        <v>1579668062.9895451</v>
      </c>
    </row>
    <row r="11" spans="1:27" x14ac:dyDescent="0.25">
      <c r="A11" s="2">
        <v>2034</v>
      </c>
      <c r="B11" s="2">
        <v>160177678988.78998</v>
      </c>
      <c r="C11" s="2">
        <v>75483782598.733368</v>
      </c>
      <c r="D11" s="2">
        <v>67276456530.881302</v>
      </c>
      <c r="E11" s="2">
        <v>53377041257.833344</v>
      </c>
      <c r="F11" s="2">
        <v>34360716874.250313</v>
      </c>
      <c r="G11" s="2">
        <v>24142782680.270081</v>
      </c>
      <c r="H11" s="2">
        <v>23550357740.836796</v>
      </c>
      <c r="I11" s="2">
        <v>21995975474.00695</v>
      </c>
      <c r="J11" s="2">
        <v>21409363337.692314</v>
      </c>
      <c r="K11" s="2">
        <v>21204120356.942734</v>
      </c>
      <c r="L11" s="2">
        <v>17010221033.232071</v>
      </c>
      <c r="M11" s="2">
        <v>16247693883.466499</v>
      </c>
      <c r="N11" s="2">
        <v>15947064621.874697</v>
      </c>
      <c r="O11" s="2">
        <v>14666564510.460245</v>
      </c>
      <c r="P11" s="2">
        <v>14517343812.844597</v>
      </c>
      <c r="Q11" s="2">
        <v>14282720074.455193</v>
      </c>
      <c r="R11" s="2">
        <v>13740633658.093386</v>
      </c>
      <c r="S11" s="2">
        <v>9132729016.8076649</v>
      </c>
      <c r="T11" s="2">
        <v>5050938780.8929577</v>
      </c>
      <c r="U11" s="2">
        <v>4399195094.8013964</v>
      </c>
      <c r="V11" s="2">
        <v>3387468206.8989735</v>
      </c>
      <c r="W11" s="2">
        <v>2932796729.8675952</v>
      </c>
      <c r="X11" s="2">
        <v>1759678037.9205582</v>
      </c>
      <c r="Y11" s="2">
        <v>1711269295.0973608</v>
      </c>
    </row>
    <row r="12" spans="1:27" x14ac:dyDescent="0.25">
      <c r="A12" s="2">
        <v>2035</v>
      </c>
      <c r="B12" s="2">
        <v>171253575334.35495</v>
      </c>
      <c r="C12" s="2">
        <v>80703302304.055389</v>
      </c>
      <c r="D12" s="2">
        <v>71928459629.796844</v>
      </c>
      <c r="E12" s="2">
        <v>57067933646.441887</v>
      </c>
      <c r="F12" s="2">
        <v>36736676751.188828</v>
      </c>
      <c r="G12" s="2">
        <v>25812197296.265903</v>
      </c>
      <c r="H12" s="2">
        <v>25178807615.283642</v>
      </c>
      <c r="I12" s="2">
        <v>23516943600.825298</v>
      </c>
      <c r="J12" s="2">
        <v>22889768664.138672</v>
      </c>
      <c r="K12" s="2">
        <v>22670333631.195625</v>
      </c>
      <c r="L12" s="2">
        <v>18186436384.638264</v>
      </c>
      <c r="M12" s="2">
        <v>17371182339.809654</v>
      </c>
      <c r="N12" s="2">
        <v>17049765297.043499</v>
      </c>
      <c r="O12" s="2">
        <v>15680721721.93269</v>
      </c>
      <c r="P12" s="2">
        <v>15521182776.544706</v>
      </c>
      <c r="Q12" s="2">
        <v>15270335378.135906</v>
      </c>
      <c r="R12" s="2">
        <v>14690765006.482286</v>
      </c>
      <c r="S12" s="2">
        <v>9764234983.0626411</v>
      </c>
      <c r="T12" s="2">
        <v>5400198894.6500053</v>
      </c>
      <c r="U12" s="2">
        <v>4703388720.1650667</v>
      </c>
      <c r="V12" s="2">
        <v>3621703382.301507</v>
      </c>
      <c r="W12" s="2">
        <v>3135592480.1100421</v>
      </c>
      <c r="X12" s="2">
        <v>1881355488.0660264</v>
      </c>
      <c r="Y12" s="2">
        <v>1829599398.5893271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 t="shared" ref="AA16:AA23" si="0"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si="0"/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6100.0728085344226</v>
      </c>
      <c r="C19" s="2">
        <f>C8/'Output-Calculation-sheet'!C7*'Output-Calculation-sheet'!C25</f>
        <v>8133.5976514831427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2963.610981737233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2169.22454576474</v>
      </c>
      <c r="N19" s="2">
        <f>N8/'Output-Calculation-sheet'!N7*'Output-Calculation-sheet'!N25</f>
        <v>1130.0943597405906</v>
      </c>
      <c r="O19" s="2">
        <f>O8/'Output-Calculation-sheet'!O7*'Output-Calculation-sheet'!O25</f>
        <v>1232.3974919812019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492.65392928072936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250.74812303834599</v>
      </c>
      <c r="Y19" s="2">
        <f>Y8/'Output-Calculation-sheet'!Y7*'Output-Calculation-sheet'!Y25</f>
        <v>0</v>
      </c>
      <c r="AA19" s="2">
        <f t="shared" si="0"/>
        <v>22.472399891560407</v>
      </c>
    </row>
    <row r="20" spans="1:27" x14ac:dyDescent="0.25">
      <c r="A20" s="2">
        <v>2032</v>
      </c>
      <c r="B20" s="2">
        <f>B9/'Output-Calculation-sheet'!B8*'Output-Calculation-sheet'!B26</f>
        <v>8398.7595558626563</v>
      </c>
      <c r="C20" s="2">
        <f>C9/'Output-Calculation-sheet'!C8*'Output-Calculation-sheet'!C26</f>
        <v>9680.2286209523081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3484.9234099584764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2544.7902035101351</v>
      </c>
      <c r="N20" s="2">
        <f>N9/'Output-Calculation-sheet'!N8*'Output-Calculation-sheet'!N26</f>
        <v>1447.5071483320244</v>
      </c>
      <c r="O20" s="2">
        <f>O9/'Output-Calculation-sheet'!O8*'Output-Calculation-sheet'!O26</f>
        <v>1497.4503821518053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654.33574255232668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293.95630476370673</v>
      </c>
      <c r="Y20" s="2">
        <f>Y9/'Output-Calculation-sheet'!Y8*'Output-Calculation-sheet'!Y26</f>
        <v>0</v>
      </c>
      <c r="AA20" s="2">
        <f t="shared" si="0"/>
        <v>28.001951368083439</v>
      </c>
    </row>
    <row r="21" spans="1:27" x14ac:dyDescent="0.25">
      <c r="A21" s="2">
        <v>2033</v>
      </c>
      <c r="B21" s="2">
        <f>B10/'Output-Calculation-sheet'!B9*'Output-Calculation-sheet'!B27</f>
        <v>11699.265000317559</v>
      </c>
      <c r="C21" s="2">
        <f>C10/'Output-Calculation-sheet'!C9*'Output-Calculation-sheet'!C27</f>
        <v>11008.46368129256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3939.4669614220111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34.182908971406029</v>
      </c>
      <c r="M21" s="2">
        <f>M10/'Output-Calculation-sheet'!M9*'Output-Calculation-sheet'!M27</f>
        <v>2891.4488821817522</v>
      </c>
      <c r="N21" s="2">
        <f>N10/'Output-Calculation-sheet'!N9*'Output-Calculation-sheet'!N27</f>
        <v>1767.448156467779</v>
      </c>
      <c r="O21" s="2">
        <f>O10/'Output-Calculation-sheet'!O9*'Output-Calculation-sheet'!O27</f>
        <v>1721.6984182563485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821.3088190048793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334.72803190281888</v>
      </c>
      <c r="Y21" s="2">
        <f>Y10/'Output-Calculation-sheet'!Y9*'Output-Calculation-sheet'!Y27</f>
        <v>0</v>
      </c>
      <c r="AA21" s="2">
        <f t="shared" si="0"/>
        <v>34.218010859817113</v>
      </c>
    </row>
    <row r="22" spans="1:27" x14ac:dyDescent="0.25">
      <c r="A22" s="2">
        <v>2034</v>
      </c>
      <c r="B22" s="2">
        <f>B11/'Output-Calculation-sheet'!B10*'Output-Calculation-sheet'!B28</f>
        <v>15623.428083500276</v>
      </c>
      <c r="C22" s="2">
        <f>C11/'Output-Calculation-sheet'!C10*'Output-Calculation-sheet'!C28</f>
        <v>12306.567371619663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4367.4451304516215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250.16420385669684</v>
      </c>
      <c r="M22" s="2">
        <f>M11/'Output-Calculation-sheet'!M10*'Output-Calculation-sheet'!M28</f>
        <v>3210.5517760323983</v>
      </c>
      <c r="N22" s="2">
        <f>N11/'Output-Calculation-sheet'!N10*'Output-Calculation-sheet'!N28</f>
        <v>2045.51789093041</v>
      </c>
      <c r="O22" s="2">
        <f>O11/'Output-Calculation-sheet'!O10*'Output-Calculation-sheet'!O28</f>
        <v>1952.4993631736934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948.2169133784447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396.31605262546572</v>
      </c>
      <c r="Y22" s="2">
        <f>Y11/'Output-Calculation-sheet'!Y10*'Output-Calculation-sheet'!Y28</f>
        <v>0</v>
      </c>
      <c r="AA22" s="2">
        <f t="shared" si="0"/>
        <v>41.100706785568676</v>
      </c>
    </row>
    <row r="23" spans="1:27" x14ac:dyDescent="0.25">
      <c r="A23" s="2">
        <v>2035</v>
      </c>
      <c r="B23" s="2">
        <f>B12/'Output-Calculation-sheet'!B11*'Output-Calculation-sheet'!B29</f>
        <v>21593.745250080843</v>
      </c>
      <c r="C23" s="2">
        <f>C12/'Output-Calculation-sheet'!C11*'Output-Calculation-sheet'!C29</f>
        <v>13523.618717248724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4790.8297012435078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495.51087197949505</v>
      </c>
      <c r="M23" s="2">
        <f>M12/'Output-Calculation-sheet'!M11*'Output-Calculation-sheet'!M29</f>
        <v>3538.7001629159417</v>
      </c>
      <c r="N23" s="2">
        <f>N12/'Output-Calculation-sheet'!N11*'Output-Calculation-sheet'!N29</f>
        <v>2287.0569983079536</v>
      </c>
      <c r="O23" s="2">
        <f>O12/'Output-Calculation-sheet'!O11*'Output-Calculation-sheet'!O29</f>
        <v>2194.9142744799274</v>
      </c>
      <c r="P23" s="2">
        <f>P12/'Output-Calculation-sheet'!P11*'Output-Calculation-sheet'!P29</f>
        <v>0</v>
      </c>
      <c r="Q23" s="2">
        <f>Q12/'Output-Calculation-sheet'!Q11*'Output-Calculation-sheet'!Q29</f>
        <v>128.9155419202836</v>
      </c>
      <c r="R23" s="2">
        <f>R12/'Output-Calculation-sheet'!R11*'Output-Calculation-sheet'!R29</f>
        <v>0</v>
      </c>
      <c r="S23" s="2">
        <f>S12/'Output-Calculation-sheet'!S11*'Output-Calculation-sheet'!S29</f>
        <v>1066.0494855069185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467.66575355148507</v>
      </c>
      <c r="Y23" s="2">
        <f>Y12/'Output-Calculation-sheet'!Y11*'Output-Calculation-sheet'!Y29</f>
        <v>0</v>
      </c>
      <c r="AA23" s="2">
        <f t="shared" si="0"/>
        <v>50.087006757235081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 t="shared" ref="AA27:AA34" si="1"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si="1"/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29999.336969928212</v>
      </c>
      <c r="C30" s="2">
        <f>C8/'Output-Calculation-sheet'!C7*'Output-Calculation-sheet'!C16</f>
        <v>0</v>
      </c>
      <c r="D30" s="2">
        <f>D8/'Output-Calculation-sheet'!D7*'Output-Calculation-sheet'!D16</f>
        <v>6758.5614070690999</v>
      </c>
      <c r="E30" s="2">
        <f>E8/'Output-Calculation-sheet'!E7*'Output-Calculation-sheet'!E16</f>
        <v>8469.5570952068483</v>
      </c>
      <c r="F30" s="2">
        <f>F8/'Output-Calculation-sheet'!F7*'Output-Calculation-sheet'!F16</f>
        <v>4136.5309011733852</v>
      </c>
      <c r="G30" s="2">
        <f>G8/'Output-Calculation-sheet'!G7*'Output-Calculation-sheet'!G16</f>
        <v>2520.7482173868048</v>
      </c>
      <c r="H30" s="2">
        <f>H8/'Output-Calculation-sheet'!H7*'Output-Calculation-sheet'!H16</f>
        <v>0</v>
      </c>
      <c r="I30" s="2">
        <f>I8/'Output-Calculation-sheet'!I7*'Output-Calculation-sheet'!I16</f>
        <v>2372.9733325564553</v>
      </c>
      <c r="J30" s="2">
        <f>J8/'Output-Calculation-sheet'!J7*'Output-Calculation-sheet'!J16</f>
        <v>2543.7248193805385</v>
      </c>
      <c r="K30" s="2">
        <f>K8/'Output-Calculation-sheet'!K7*'Output-Calculation-sheet'!K16</f>
        <v>2462.0396945393309</v>
      </c>
      <c r="L30" s="2">
        <f>L8/'Output-Calculation-sheet'!L7*'Output-Calculation-sheet'!L16</f>
        <v>2721.3933548752498</v>
      </c>
      <c r="M30" s="2">
        <f>M8/'Output-Calculation-sheet'!M7*'Output-Calculation-sheet'!M16</f>
        <v>0</v>
      </c>
      <c r="N30" s="2">
        <f>N8/'Output-Calculation-sheet'!N7*'Output-Calculation-sheet'!N16</f>
        <v>1220.3455749067077</v>
      </c>
      <c r="O30" s="2">
        <f>O8/'Output-Calculation-sheet'!O7*'Output-Calculation-sheet'!O16</f>
        <v>0</v>
      </c>
      <c r="P30" s="2">
        <f>P8/'Output-Calculation-sheet'!P7*'Output-Calculation-sheet'!P16</f>
        <v>2329.64771899477</v>
      </c>
      <c r="Q30" s="2">
        <f>Q8/'Output-Calculation-sheet'!Q7*'Output-Calculation-sheet'!Q16</f>
        <v>2285.499826926929</v>
      </c>
      <c r="R30" s="2">
        <f>R8/'Output-Calculation-sheet'!R7*'Output-Calculation-sheet'!R16</f>
        <v>2028.2059235232496</v>
      </c>
      <c r="S30" s="2">
        <f>S8/'Output-Calculation-sheet'!S7*'Output-Calculation-sheet'!S16</f>
        <v>1074.202394334658</v>
      </c>
      <c r="T30" s="2">
        <f>T8/'Output-Calculation-sheet'!T7*'Output-Calculation-sheet'!T16</f>
        <v>766.08357496331041</v>
      </c>
      <c r="U30" s="2">
        <f>U8/'Output-Calculation-sheet'!U7*'Output-Calculation-sheet'!U16</f>
        <v>591.112116956622</v>
      </c>
      <c r="V30" s="2">
        <f>V8/'Output-Calculation-sheet'!V7*'Output-Calculation-sheet'!V16</f>
        <v>765.37198712660188</v>
      </c>
      <c r="W30" s="2">
        <f>W8/'Output-Calculation-sheet'!W7*'Output-Calculation-sheet'!W16</f>
        <v>368.51096835306947</v>
      </c>
      <c r="X30" s="2">
        <f>X8/'Output-Calculation-sheet'!X7*'Output-Calculation-sheet'!X16</f>
        <v>0</v>
      </c>
      <c r="Y30" s="2">
        <f>Y8/'Output-Calculation-sheet'!Y7*'Output-Calculation-sheet'!Y16</f>
        <v>251.3325144283416</v>
      </c>
      <c r="AA30" s="2">
        <f t="shared" si="1"/>
        <v>73.665178392630182</v>
      </c>
    </row>
    <row r="31" spans="1:27" x14ac:dyDescent="0.25">
      <c r="A31" s="2">
        <v>2032</v>
      </c>
      <c r="B31" s="2">
        <f>B9/'Output-Calculation-sheet'!B8*'Output-Calculation-sheet'!B17</f>
        <v>34030.558436407955</v>
      </c>
      <c r="C31" s="2">
        <f>C9/'Output-Calculation-sheet'!C8*'Output-Calculation-sheet'!C17</f>
        <v>0</v>
      </c>
      <c r="D31" s="2">
        <f>D9/'Output-Calculation-sheet'!D8*'Output-Calculation-sheet'!D17</f>
        <v>7788.8925677313637</v>
      </c>
      <c r="E31" s="2">
        <f>E9/'Output-Calculation-sheet'!E8*'Output-Calculation-sheet'!E17</f>
        <v>9783.8780394919031</v>
      </c>
      <c r="F31" s="2">
        <f>F9/'Output-Calculation-sheet'!F8*'Output-Calculation-sheet'!F17</f>
        <v>4773.7412519493837</v>
      </c>
      <c r="G31" s="2">
        <f>G9/'Output-Calculation-sheet'!G8*'Output-Calculation-sheet'!G17</f>
        <v>2905.9039539025134</v>
      </c>
      <c r="H31" s="2">
        <f>H9/'Output-Calculation-sheet'!H8*'Output-Calculation-sheet'!H17</f>
        <v>0</v>
      </c>
      <c r="I31" s="2">
        <f>I9/'Output-Calculation-sheet'!I8*'Output-Calculation-sheet'!I17</f>
        <v>2734.1811262486963</v>
      </c>
      <c r="J31" s="2">
        <f>J9/'Output-Calculation-sheet'!J8*'Output-Calculation-sheet'!J17</f>
        <v>2933.3069760865205</v>
      </c>
      <c r="K31" s="2">
        <f>K9/'Output-Calculation-sheet'!K8*'Output-Calculation-sheet'!K17</f>
        <v>2836.919782603165</v>
      </c>
      <c r="L31" s="2">
        <f>L9/'Output-Calculation-sheet'!L8*'Output-Calculation-sheet'!L17</f>
        <v>3134.6949417698675</v>
      </c>
      <c r="M31" s="2">
        <f>M9/'Output-Calculation-sheet'!M8*'Output-Calculation-sheet'!M17</f>
        <v>0</v>
      </c>
      <c r="N31" s="2">
        <f>N9/'Output-Calculation-sheet'!N8*'Output-Calculation-sheet'!N17</f>
        <v>1321.7064238303519</v>
      </c>
      <c r="O31" s="2">
        <f>O9/'Output-Calculation-sheet'!O8*'Output-Calculation-sheet'!O17</f>
        <v>0</v>
      </c>
      <c r="P31" s="2">
        <f>P9/'Output-Calculation-sheet'!P8*'Output-Calculation-sheet'!P17</f>
        <v>2700.1812378998652</v>
      </c>
      <c r="Q31" s="2">
        <f>Q9/'Output-Calculation-sheet'!Q8*'Output-Calculation-sheet'!Q17</f>
        <v>2640.6603751183211</v>
      </c>
      <c r="R31" s="2">
        <f>R9/'Output-Calculation-sheet'!R8*'Output-Calculation-sheet'!R17</f>
        <v>2363.3136236027735</v>
      </c>
      <c r="S31" s="2">
        <f>S9/'Output-Calculation-sheet'!S8*'Output-Calculation-sheet'!S17</f>
        <v>1183.0274418938968</v>
      </c>
      <c r="T31" s="2">
        <f>T9/'Output-Calculation-sheet'!T8*'Output-Calculation-sheet'!T17</f>
        <v>885.35139724072405</v>
      </c>
      <c r="U31" s="2">
        <f>U9/'Output-Calculation-sheet'!U8*'Output-Calculation-sheet'!U17</f>
        <v>685.5193608842759</v>
      </c>
      <c r="V31" s="2">
        <f>V9/'Output-Calculation-sheet'!V8*'Output-Calculation-sheet'!V17</f>
        <v>871.74779223557141</v>
      </c>
      <c r="W31" s="2">
        <f>W9/'Output-Calculation-sheet'!W8*'Output-Calculation-sheet'!W17</f>
        <v>424.88471828059249</v>
      </c>
      <c r="X31" s="2">
        <f>X9/'Output-Calculation-sheet'!X8*'Output-Calculation-sheet'!X17</f>
        <v>0</v>
      </c>
      <c r="Y31" s="2">
        <f>Y9/'Output-Calculation-sheet'!Y8*'Output-Calculation-sheet'!Y17</f>
        <v>289.64912445914956</v>
      </c>
      <c r="AA31" s="2">
        <f t="shared" si="1"/>
        <v>84.288118571636872</v>
      </c>
    </row>
    <row r="32" spans="1:27" x14ac:dyDescent="0.25">
      <c r="A32" s="2">
        <v>2033</v>
      </c>
      <c r="B32" s="2">
        <f>B10/'Output-Calculation-sheet'!B9*'Output-Calculation-sheet'!B18</f>
        <v>37063.308470003525</v>
      </c>
      <c r="C32" s="2">
        <f>C10/'Output-Calculation-sheet'!C9*'Output-Calculation-sheet'!C18</f>
        <v>0</v>
      </c>
      <c r="D32" s="2">
        <f>D10/'Output-Calculation-sheet'!D9*'Output-Calculation-sheet'!D18</f>
        <v>8671.0135721682</v>
      </c>
      <c r="E32" s="2">
        <f>E10/'Output-Calculation-sheet'!E9*'Output-Calculation-sheet'!E18</f>
        <v>10905.687526336224</v>
      </c>
      <c r="F32" s="2">
        <f>F10/'Output-Calculation-sheet'!F9*'Output-Calculation-sheet'!F18</f>
        <v>5311.6849562015259</v>
      </c>
      <c r="G32" s="2">
        <f>G10/'Output-Calculation-sheet'!G9*'Output-Calculation-sheet'!G18</f>
        <v>3231.5527115853556</v>
      </c>
      <c r="H32" s="2">
        <f>H10/'Output-Calculation-sheet'!H9*'Output-Calculation-sheet'!H18</f>
        <v>0</v>
      </c>
      <c r="I32" s="2">
        <f>I10/'Output-Calculation-sheet'!I9*'Output-Calculation-sheet'!I18</f>
        <v>3045.169263193161</v>
      </c>
      <c r="J32" s="2">
        <f>J10/'Output-Calculation-sheet'!J9*'Output-Calculation-sheet'!J18</f>
        <v>3263.4076760748881</v>
      </c>
      <c r="K32" s="2">
        <f>K10/'Output-Calculation-sheet'!K9*'Output-Calculation-sheet'!K18</f>
        <v>3165.2634983345347</v>
      </c>
      <c r="L32" s="2">
        <f>L10/'Output-Calculation-sheet'!L9*'Output-Calculation-sheet'!L18</f>
        <v>3477.1087584145889</v>
      </c>
      <c r="M32" s="2">
        <f>M10/'Output-Calculation-sheet'!M9*'Output-Calculation-sheet'!M18</f>
        <v>0</v>
      </c>
      <c r="N32" s="2">
        <f>N10/'Output-Calculation-sheet'!N9*'Output-Calculation-sheet'!N18</f>
        <v>1353.274246482325</v>
      </c>
      <c r="O32" s="2">
        <f>O10/'Output-Calculation-sheet'!O9*'Output-Calculation-sheet'!O18</f>
        <v>0</v>
      </c>
      <c r="P32" s="2">
        <f>P10/'Output-Calculation-sheet'!P9*'Output-Calculation-sheet'!P18</f>
        <v>3049.3036634661435</v>
      </c>
      <c r="Q32" s="2">
        <f>Q10/'Output-Calculation-sheet'!Q9*'Output-Calculation-sheet'!Q18</f>
        <v>2953.7337721035979</v>
      </c>
      <c r="R32" s="2">
        <f>R10/'Output-Calculation-sheet'!R9*'Output-Calculation-sheet'!R18</f>
        <v>2654.9383338814996</v>
      </c>
      <c r="S32" s="2">
        <f>S10/'Output-Calculation-sheet'!S9*'Output-Calculation-sheet'!S18</f>
        <v>1265.3580737846758</v>
      </c>
      <c r="T32" s="2">
        <f>T10/'Output-Calculation-sheet'!T9*'Output-Calculation-sheet'!T18</f>
        <v>982.38976648556013</v>
      </c>
      <c r="U32" s="2">
        <f>U10/'Output-Calculation-sheet'!U9*'Output-Calculation-sheet'!U18</f>
        <v>765.90039731274476</v>
      </c>
      <c r="V32" s="2">
        <f>V10/'Output-Calculation-sheet'!V9*'Output-Calculation-sheet'!V18</f>
        <v>966.31650321919426</v>
      </c>
      <c r="W32" s="2">
        <f>W10/'Output-Calculation-sheet'!W9*'Output-Calculation-sheet'!W18</f>
        <v>471.48394193678854</v>
      </c>
      <c r="X32" s="2">
        <f>X10/'Output-Calculation-sheet'!X9*'Output-Calculation-sheet'!X18</f>
        <v>0</v>
      </c>
      <c r="Y32" s="2">
        <f>Y10/'Output-Calculation-sheet'!Y9*'Output-Calculation-sheet'!Y18</f>
        <v>322.65316224852251</v>
      </c>
      <c r="AA32" s="2">
        <f t="shared" si="1"/>
        <v>92.919548293233049</v>
      </c>
    </row>
    <row r="33" spans="1:27" x14ac:dyDescent="0.25">
      <c r="A33" s="2">
        <v>2034</v>
      </c>
      <c r="B33" s="2">
        <f>B11/'Output-Calculation-sheet'!B10*'Output-Calculation-sheet'!B19</f>
        <v>39176.93188144749</v>
      </c>
      <c r="C33" s="2">
        <f>C11/'Output-Calculation-sheet'!C10*'Output-Calculation-sheet'!C19</f>
        <v>0</v>
      </c>
      <c r="D33" s="2">
        <f>D11/'Output-Calculation-sheet'!D10*'Output-Calculation-sheet'!D19</f>
        <v>9434.9369177424596</v>
      </c>
      <c r="E33" s="2">
        <f>E11/'Output-Calculation-sheet'!E10*'Output-Calculation-sheet'!E19</f>
        <v>11875.986371435374</v>
      </c>
      <c r="F33" s="2">
        <f>F11/'Output-Calculation-sheet'!F10*'Output-Calculation-sheet'!F19</f>
        <v>5781.0760781944591</v>
      </c>
      <c r="G33" s="2">
        <f>G11/'Output-Calculation-sheet'!G10*'Output-Calculation-sheet'!G19</f>
        <v>3509.3551723269147</v>
      </c>
      <c r="H33" s="2">
        <f>H11/'Output-Calculation-sheet'!H10*'Output-Calculation-sheet'!H19</f>
        <v>0</v>
      </c>
      <c r="I33" s="2">
        <f>I11/'Output-Calculation-sheet'!I10*'Output-Calculation-sheet'!I19</f>
        <v>3316.5074156785959</v>
      </c>
      <c r="J33" s="2">
        <f>J11/'Output-Calculation-sheet'!J10*'Output-Calculation-sheet'!J19</f>
        <v>3541.2837375381023</v>
      </c>
      <c r="K33" s="2">
        <f>K11/'Output-Calculation-sheet'!K10*'Output-Calculation-sheet'!K19</f>
        <v>3454.5589769376252</v>
      </c>
      <c r="L33" s="2">
        <f>L11/'Output-Calculation-sheet'!L10*'Output-Calculation-sheet'!L19</f>
        <v>3713.7416438424189</v>
      </c>
      <c r="M33" s="2">
        <f>M11/'Output-Calculation-sheet'!M10*'Output-Calculation-sheet'!M19</f>
        <v>0</v>
      </c>
      <c r="N33" s="2">
        <f>N11/'Output-Calculation-sheet'!N10*'Output-Calculation-sheet'!N19</f>
        <v>1398.0069330545823</v>
      </c>
      <c r="O33" s="2">
        <f>O11/'Output-Calculation-sheet'!O10*'Output-Calculation-sheet'!O19</f>
        <v>0</v>
      </c>
      <c r="P33" s="2">
        <f>P11/'Output-Calculation-sheet'!P10*'Output-Calculation-sheet'!P19</f>
        <v>3382.7793827086111</v>
      </c>
      <c r="Q33" s="2">
        <f>Q11/'Output-Calculation-sheet'!Q10*'Output-Calculation-sheet'!Q19</f>
        <v>3227.9893853155177</v>
      </c>
      <c r="R33" s="2">
        <f>R11/'Output-Calculation-sheet'!R10*'Output-Calculation-sheet'!R19</f>
        <v>2925.3835053793687</v>
      </c>
      <c r="S33" s="2">
        <f>S11/'Output-Calculation-sheet'!S10*'Output-Calculation-sheet'!S19</f>
        <v>1348.3685246056011</v>
      </c>
      <c r="T33" s="2">
        <f>T11/'Output-Calculation-sheet'!T10*'Output-Calculation-sheet'!T19</f>
        <v>1067.2813226984181</v>
      </c>
      <c r="U33" s="2">
        <f>U11/'Output-Calculation-sheet'!U10*'Output-Calculation-sheet'!U19</f>
        <v>839.06159789240712</v>
      </c>
      <c r="V33" s="2">
        <f>V11/'Output-Calculation-sheet'!V10*'Output-Calculation-sheet'!V19</f>
        <v>1044.2955010333428</v>
      </c>
      <c r="W33" s="2">
        <f>W11/'Output-Calculation-sheet'!W10*'Output-Calculation-sheet'!W19</f>
        <v>512.27981143927343</v>
      </c>
      <c r="X33" s="2">
        <f>X11/'Output-Calculation-sheet'!X10*'Output-Calculation-sheet'!X19</f>
        <v>0</v>
      </c>
      <c r="Y33" s="2">
        <f>Y11/'Output-Calculation-sheet'!Y10*'Output-Calculation-sheet'!Y19</f>
        <v>351.97610220412992</v>
      </c>
      <c r="AA33" s="2">
        <f t="shared" si="1"/>
        <v>99.901800261474705</v>
      </c>
    </row>
    <row r="34" spans="1:27" x14ac:dyDescent="0.25">
      <c r="A34" s="2">
        <v>2035</v>
      </c>
      <c r="B34" s="2">
        <f>B12/'Output-Calculation-sheet'!B11*'Output-Calculation-sheet'!B20</f>
        <v>40284.452891874382</v>
      </c>
      <c r="C34" s="2">
        <f>C12/'Output-Calculation-sheet'!C11*'Output-Calculation-sheet'!C20</f>
        <v>0</v>
      </c>
      <c r="D34" s="2">
        <f>D12/'Output-Calculation-sheet'!D11*'Output-Calculation-sheet'!D20</f>
        <v>10148.48629205498</v>
      </c>
      <c r="E34" s="2">
        <f>E12/'Output-Calculation-sheet'!E11*'Output-Calculation-sheet'!E20</f>
        <v>12774.375548543998</v>
      </c>
      <c r="F34" s="2">
        <f>F12/'Output-Calculation-sheet'!F11*'Output-Calculation-sheet'!F20</f>
        <v>6208.0139437961589</v>
      </c>
      <c r="G34" s="2">
        <f>G12/'Output-Calculation-sheet'!G11*'Output-Calculation-sheet'!G20</f>
        <v>3781.3150277807554</v>
      </c>
      <c r="H34" s="2">
        <f>H12/'Output-Calculation-sheet'!H11*'Output-Calculation-sheet'!H20</f>
        <v>0</v>
      </c>
      <c r="I34" s="2">
        <f>I12/'Output-Calculation-sheet'!I11*'Output-Calculation-sheet'!I20</f>
        <v>3566.5170707205179</v>
      </c>
      <c r="J34" s="2">
        <f>J12/'Output-Calculation-sheet'!J11*'Output-Calculation-sheet'!J20</f>
        <v>3796.2989333837954</v>
      </c>
      <c r="K34" s="2">
        <f>K12/'Output-Calculation-sheet'!K11*'Output-Calculation-sheet'!K20</f>
        <v>3720.3123169660075</v>
      </c>
      <c r="L34" s="2">
        <f>L12/'Output-Calculation-sheet'!L11*'Output-Calculation-sheet'!L20</f>
        <v>3925.5236118364114</v>
      </c>
      <c r="M34" s="2">
        <f>M12/'Output-Calculation-sheet'!M11*'Output-Calculation-sheet'!M20</f>
        <v>0</v>
      </c>
      <c r="N34" s="2">
        <f>N12/'Output-Calculation-sheet'!N11*'Output-Calculation-sheet'!N20</f>
        <v>1439.9034158866516</v>
      </c>
      <c r="O34" s="2">
        <f>O12/'Output-Calculation-sheet'!O11*'Output-Calculation-sheet'!O20</f>
        <v>0</v>
      </c>
      <c r="P34" s="2">
        <f>P12/'Output-Calculation-sheet'!P11*'Output-Calculation-sheet'!P20</f>
        <v>3692.9256333756248</v>
      </c>
      <c r="Q34" s="2">
        <f>Q12/'Output-Calculation-sheet'!Q11*'Output-Calculation-sheet'!Q20</f>
        <v>3409.9231757324769</v>
      </c>
      <c r="R34" s="2">
        <f>R12/'Output-Calculation-sheet'!R11*'Output-Calculation-sheet'!R20</f>
        <v>3172.4435518425444</v>
      </c>
      <c r="S34" s="2">
        <f>S12/'Output-Calculation-sheet'!S11*'Output-Calculation-sheet'!S20</f>
        <v>1423.1036297334563</v>
      </c>
      <c r="T34" s="2">
        <f>T12/'Output-Calculation-sheet'!T11*'Output-Calculation-sheet'!T20</f>
        <v>1145.955418336521</v>
      </c>
      <c r="U34" s="2">
        <f>U12/'Output-Calculation-sheet'!U11*'Output-Calculation-sheet'!U20</f>
        <v>902.59385739461334</v>
      </c>
      <c r="V34" s="2">
        <f>V12/'Output-Calculation-sheet'!V11*'Output-Calculation-sheet'!V20</f>
        <v>1119.8314477430506</v>
      </c>
      <c r="W34" s="2">
        <f>W12/'Output-Calculation-sheet'!W11*'Output-Calculation-sheet'!W20</f>
        <v>549.7252120369161</v>
      </c>
      <c r="X34" s="2">
        <f>X12/'Output-Calculation-sheet'!X11*'Output-Calculation-sheet'!X20</f>
        <v>0</v>
      </c>
      <c r="Y34" s="2">
        <f>Y12/'Output-Calculation-sheet'!Y11*'Output-Calculation-sheet'!Y20</f>
        <v>378.21098043767859</v>
      </c>
      <c r="AA34" s="2">
        <f t="shared" si="1"/>
        <v>105.43991195947656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171.42582711442711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152.59480134018034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663.55222470065132</v>
      </c>
      <c r="S52" s="2">
        <f>S8/'Output-Calculation-sheet'!S7*'Output-Calculation-sheet'!S43</f>
        <v>0</v>
      </c>
      <c r="T52" s="2">
        <f>T8/'Output-Calculation-sheet'!T7*'Output-Calculation-sheet'!T43</f>
        <v>534.30396082303628</v>
      </c>
      <c r="U52" s="2">
        <f>U8/'Output-Calculation-sheet'!U7*'Output-Calculation-sheet'!U43</f>
        <v>56.511674661244932</v>
      </c>
      <c r="V52" s="2">
        <f>V8/'Output-Calculation-sheet'!V7*'Output-Calculation-sheet'!V43</f>
        <v>963.50551903613268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2.5418940076756726</v>
      </c>
    </row>
    <row r="53" spans="1:27" x14ac:dyDescent="0.25">
      <c r="A53" s="2">
        <v>2032</v>
      </c>
      <c r="B53" s="2">
        <f>B9/'Output-Calculation-sheet'!B8*'Output-Calculation-sheet'!B44</f>
        <v>2086.3243734482612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393.32222816455021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315.10441251332259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985.12447836714205</v>
      </c>
      <c r="S53" s="2">
        <f>S9/'Output-Calculation-sheet'!S8*'Output-Calculation-sheet'!S44</f>
        <v>0</v>
      </c>
      <c r="T53" s="2">
        <f>T9/'Output-Calculation-sheet'!T8*'Output-Calculation-sheet'!T44</f>
        <v>679.22360082087641</v>
      </c>
      <c r="U53" s="2">
        <f>U9/'Output-Calculation-sheet'!U8*'Output-Calculation-sheet'!U44</f>
        <v>115.2545002852743</v>
      </c>
      <c r="V53" s="2">
        <f>V9/'Output-Calculation-sheet'!V8*'Output-Calculation-sheet'!V44</f>
        <v>1138.6683067844924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5.7130219003839189</v>
      </c>
    </row>
    <row r="54" spans="1:27" x14ac:dyDescent="0.25">
      <c r="A54" s="2">
        <v>2033</v>
      </c>
      <c r="B54" s="2">
        <f>B10/'Output-Calculation-sheet'!B9*'Output-Calculation-sheet'!B45</f>
        <v>6927.9370329300345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609.50513912989845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581.30502845448018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342.54437351531533</v>
      </c>
      <c r="Q54" s="2">
        <f>Q10/'Output-Calculation-sheet'!Q9*'Output-Calculation-sheet'!Q45</f>
        <v>0</v>
      </c>
      <c r="R54" s="2">
        <f>R10/'Output-Calculation-sheet'!R9*'Output-Calculation-sheet'!R45</f>
        <v>1387.8013525250767</v>
      </c>
      <c r="S54" s="2">
        <f>S10/'Output-Calculation-sheet'!S9*'Output-Calculation-sheet'!S45</f>
        <v>0</v>
      </c>
      <c r="T54" s="2">
        <f>T10/'Output-Calculation-sheet'!T9*'Output-Calculation-sheet'!T45</f>
        <v>834.3363268580465</v>
      </c>
      <c r="U54" s="2">
        <f>U10/'Output-Calculation-sheet'!U9*'Output-Calculation-sheet'!U45</f>
        <v>199.33279823459387</v>
      </c>
      <c r="V54" s="2">
        <f>V10/'Output-Calculation-sheet'!V9*'Output-Calculation-sheet'!V45</f>
        <v>1309.5552336655917</v>
      </c>
      <c r="W54" s="2">
        <f>W10/'Output-Calculation-sheet'!W9*'Output-Calculation-sheet'!W45</f>
        <v>21.295330537676335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12.213612615850714</v>
      </c>
    </row>
    <row r="55" spans="1:27" x14ac:dyDescent="0.25">
      <c r="A55" s="2">
        <v>2034</v>
      </c>
      <c r="B55" s="2">
        <f>B11/'Output-Calculation-sheet'!B10*'Output-Calculation-sheet'!B46</f>
        <v>13446.636528302313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896.09789506929769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881.62649952935499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713.61835966951844</v>
      </c>
      <c r="Q55" s="2">
        <f>Q11/'Output-Calculation-sheet'!Q10*'Output-Calculation-sheet'!Q46</f>
        <v>0</v>
      </c>
      <c r="R55" s="2">
        <f>R11/'Output-Calculation-sheet'!R10*'Output-Calculation-sheet'!R46</f>
        <v>1852.4260950312614</v>
      </c>
      <c r="S55" s="2">
        <f>S11/'Output-Calculation-sheet'!S10*'Output-Calculation-sheet'!S46</f>
        <v>0</v>
      </c>
      <c r="T55" s="2">
        <f>T11/'Output-Calculation-sheet'!T10*'Output-Calculation-sheet'!T46</f>
        <v>963.43853987014609</v>
      </c>
      <c r="U55" s="2">
        <f>U11/'Output-Calculation-sheet'!U10*'Output-Calculation-sheet'!U46</f>
        <v>302.3147376106304</v>
      </c>
      <c r="V55" s="2">
        <f>V11/'Output-Calculation-sheet'!V10*'Output-Calculation-sheet'!V46</f>
        <v>1451.9552481633027</v>
      </c>
      <c r="W55" s="2">
        <f>W11/'Output-Calculation-sheet'!W10*'Output-Calculation-sheet'!W46</f>
        <v>40.371506350478633</v>
      </c>
      <c r="X55" s="2">
        <f>X11/'Output-Calculation-sheet'!X10*'Output-Calculation-sheet'!X46</f>
        <v>96.567398584259749</v>
      </c>
      <c r="Y55" s="2">
        <f>Y11/'Output-Calculation-sheet'!Y10*'Output-Calculation-sheet'!Y46</f>
        <v>0</v>
      </c>
      <c r="AA55" s="2">
        <f t="shared" si="3"/>
        <v>20.645052808180566</v>
      </c>
    </row>
    <row r="56" spans="1:27" x14ac:dyDescent="0.25">
      <c r="A56" s="2">
        <v>2035</v>
      </c>
      <c r="B56" s="2">
        <f>B12/'Output-Calculation-sheet'!B11*'Output-Calculation-sheet'!B47</f>
        <v>31427.563650697495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1159.7579095740416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1122.1295530113609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1068.1486634393905</v>
      </c>
      <c r="Q56" s="2">
        <f>Q12/'Output-Calculation-sheet'!Q11*'Output-Calculation-sheet'!Q47</f>
        <v>0</v>
      </c>
      <c r="R56" s="2">
        <f>R12/'Output-Calculation-sheet'!R11*'Output-Calculation-sheet'!R47</f>
        <v>2439.7671308707118</v>
      </c>
      <c r="S56" s="2">
        <f>S12/'Output-Calculation-sheet'!S11*'Output-Calculation-sheet'!S47</f>
        <v>0</v>
      </c>
      <c r="T56" s="2">
        <f>T12/'Output-Calculation-sheet'!T11*'Output-Calculation-sheet'!T47</f>
        <v>1157.4878199184609</v>
      </c>
      <c r="U56" s="2">
        <f>U12/'Output-Calculation-sheet'!U11*'Output-Calculation-sheet'!U47</f>
        <v>443.27186104628129</v>
      </c>
      <c r="V56" s="2">
        <f>V12/'Output-Calculation-sheet'!V11*'Output-Calculation-sheet'!V47</f>
        <v>1580.8379842233071</v>
      </c>
      <c r="W56" s="2">
        <f>W12/'Output-Calculation-sheet'!W11*'Output-Calculation-sheet'!W47</f>
        <v>61.661568112539946</v>
      </c>
      <c r="X56" s="2">
        <f>X12/'Output-Calculation-sheet'!X11*'Output-Calculation-sheet'!X47</f>
        <v>243.36274045302815</v>
      </c>
      <c r="Y56" s="2">
        <f>Y12/'Output-Calculation-sheet'!Y11*'Output-Calculation-sheet'!Y47</f>
        <v>0</v>
      </c>
      <c r="AA56" s="2">
        <f t="shared" si="3"/>
        <v>40.703988881346618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 t="shared" ref="AA60:AA67" si="4"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si="4"/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8.2777922979663625</v>
      </c>
      <c r="C63" s="2">
        <f>C8*'Output-Calculation-sheet'!C52/10^9</f>
        <v>4.1958206607292539</v>
      </c>
      <c r="D63" s="2">
        <f>D8*'Output-Calculation-sheet'!D52/10^9</f>
        <v>1.465787079730537</v>
      </c>
      <c r="E63" s="2">
        <f>E8*'Output-Calculation-sheet'!E52/10^9</f>
        <v>1.8873308323231144</v>
      </c>
      <c r="F63" s="2">
        <f>F8*'Output-Calculation-sheet'!F52/10^9</f>
        <v>0.78503964090149136</v>
      </c>
      <c r="G63" s="2">
        <f>G8*'Output-Calculation-sheet'!G52/10^9</f>
        <v>0.5632846183186303</v>
      </c>
      <c r="H63" s="2">
        <f>H8*'Output-Calculation-sheet'!H52/10^9</f>
        <v>1.088100408588597</v>
      </c>
      <c r="I63" s="2">
        <f>I8*'Output-Calculation-sheet'!I52/10^9</f>
        <v>0.50494861507656619</v>
      </c>
      <c r="J63" s="2">
        <f>J8*'Output-Calculation-sheet'!J52/10^9</f>
        <v>0.54283949567086298</v>
      </c>
      <c r="K63" s="2">
        <f>K8*'Output-Calculation-sheet'!K52/10^9</f>
        <v>0.55433365058270745</v>
      </c>
      <c r="L63" s="2">
        <f>L8*'Output-Calculation-sheet'!L52/10^9</f>
        <v>0.57651298881845658</v>
      </c>
      <c r="M63" s="2">
        <f>M8*'Output-Calculation-sheet'!M52/10^9</f>
        <v>0.82277928302822056</v>
      </c>
      <c r="N63" s="2">
        <f>N8*'Output-Calculation-sheet'!N52/10^9</f>
        <v>0.69515347599775279</v>
      </c>
      <c r="O63" s="2">
        <f>O8*'Output-Calculation-sheet'!O52/10^9</f>
        <v>0.72013554956165637</v>
      </c>
      <c r="P63" s="2">
        <f>P8*'Output-Calculation-sheet'!P52/10^9</f>
        <v>0.59682911943432171</v>
      </c>
      <c r="Q63" s="2">
        <f>Q8*'Output-Calculation-sheet'!Q52/10^9</f>
        <v>0.5645956166666749</v>
      </c>
      <c r="R63" s="2">
        <f>R8*'Output-Calculation-sheet'!R52/10^9</f>
        <v>0.47563879289262462</v>
      </c>
      <c r="S63" s="2">
        <f>S8*'Output-Calculation-sheet'!S52/10^9</f>
        <v>0.43732026873042268</v>
      </c>
      <c r="T63" s="2">
        <f>T8*'Output-Calculation-sheet'!T52/10^9</f>
        <v>0.15575083512400081</v>
      </c>
      <c r="U63" s="2">
        <f>U8*'Output-Calculation-sheet'!U52/10^9</f>
        <v>0.1527807008573224</v>
      </c>
      <c r="V63" s="2">
        <f>V8*'Output-Calculation-sheet'!V52/10^9</f>
        <v>0.13693218677445285</v>
      </c>
      <c r="W63" s="2">
        <f>W8*'Output-Calculation-sheet'!W52/10^9</f>
        <v>7.148087511098887E-2</v>
      </c>
      <c r="X63" s="2">
        <f>X8*'Output-Calculation-sheet'!X52/10^9</f>
        <v>0.11551463187889485</v>
      </c>
      <c r="Y63" s="2">
        <f>Y8*'Output-Calculation-sheet'!Y52/10^9</f>
        <v>5.9580133083950146E-2</v>
      </c>
      <c r="AA63" s="2">
        <f t="shared" si="4"/>
        <v>25.446281757847867</v>
      </c>
    </row>
    <row r="64" spans="1:27" x14ac:dyDescent="0.25">
      <c r="A64" s="2">
        <v>2032</v>
      </c>
      <c r="B64" s="2">
        <f>B9*'Output-Calculation-sheet'!B53/10^9</f>
        <v>9.4309203124282739</v>
      </c>
      <c r="C64" s="2">
        <f>C9*'Output-Calculation-sheet'!C53/10^9</f>
        <v>4.7760377763499404</v>
      </c>
      <c r="D64" s="2">
        <f>D9*'Output-Calculation-sheet'!D53/10^9</f>
        <v>1.672978552223616</v>
      </c>
      <c r="E64" s="2">
        <f>E9*'Output-Calculation-sheet'!E53/10^9</f>
        <v>2.1543882536858399</v>
      </c>
      <c r="F64" s="2">
        <f>F9*'Output-Calculation-sheet'!F53/10^9</f>
        <v>0.89534495313992579</v>
      </c>
      <c r="G64" s="2">
        <f>G9*'Output-Calculation-sheet'!G53/10^9</f>
        <v>0.64276815032993717</v>
      </c>
      <c r="H64" s="2">
        <f>H9*'Output-Calculation-sheet'!H53/10^9</f>
        <v>1.2370434055992139</v>
      </c>
      <c r="I64" s="2">
        <f>I9*'Output-Calculation-sheet'!I53/10^9</f>
        <v>0.57626748767324165</v>
      </c>
      <c r="J64" s="2">
        <f>J9*'Output-Calculation-sheet'!J53/10^9</f>
        <v>0.61931802243387679</v>
      </c>
      <c r="K64" s="2">
        <f>K9*'Output-Calculation-sheet'!K53/10^9</f>
        <v>0.63280918019309218</v>
      </c>
      <c r="L64" s="2">
        <f>L9*'Output-Calculation-sheet'!L53/10^9</f>
        <v>0.65792549459151073</v>
      </c>
      <c r="M64" s="2">
        <f>M9*'Output-Calculation-sheet'!M53/10^9</f>
        <v>0.93563133806360976</v>
      </c>
      <c r="N64" s="2">
        <f>N9*'Output-Calculation-sheet'!N53/10^9</f>
        <v>0.79137144159751527</v>
      </c>
      <c r="O64" s="2">
        <f>O9*'Output-Calculation-sheet'!O53/10^9</f>
        <v>0.81997671456197796</v>
      </c>
      <c r="P64" s="2">
        <f>P9*'Output-Calculation-sheet'!P53/10^9</f>
        <v>0.68171903707846593</v>
      </c>
      <c r="Q64" s="2">
        <f>Q9*'Output-Calculation-sheet'!Q53/10^9</f>
        <v>0.64480306956070699</v>
      </c>
      <c r="R64" s="2">
        <f>R9*'Output-Calculation-sheet'!R53/10^9</f>
        <v>0.54233386604939626</v>
      </c>
      <c r="S64" s="2">
        <f>S9*'Output-Calculation-sheet'!S53/10^9</f>
        <v>0.49829828553616062</v>
      </c>
      <c r="T64" s="2">
        <f>T9*'Output-Calculation-sheet'!T53/10^9</f>
        <v>0.17720116617270459</v>
      </c>
      <c r="U64" s="2">
        <f>U9*'Output-Calculation-sheet'!U53/10^9</f>
        <v>0.17444623278981353</v>
      </c>
      <c r="V64" s="2">
        <f>V9*'Output-Calculation-sheet'!V53/10^9</f>
        <v>0.15527538810804881</v>
      </c>
      <c r="W64" s="2">
        <f>W9*'Output-Calculation-sheet'!W53/10^9</f>
        <v>8.1535344542213714E-2</v>
      </c>
      <c r="X64" s="2">
        <f>X9*'Output-Calculation-sheet'!X53/10^9</f>
        <v>0.13145183896440213</v>
      </c>
      <c r="Y64" s="2">
        <f>Y9*'Output-Calculation-sheet'!Y53/10^9</f>
        <v>6.8031653755085825E-2</v>
      </c>
      <c r="AA64" s="2">
        <f t="shared" si="4"/>
        <v>28.997876965428567</v>
      </c>
    </row>
    <row r="65" spans="1:27" x14ac:dyDescent="0.25">
      <c r="A65" s="2">
        <v>2033</v>
      </c>
      <c r="B65" s="2">
        <f>B10*'Output-Calculation-sheet'!B54/10^9</f>
        <v>10.357680733161827</v>
      </c>
      <c r="C65" s="2">
        <f>C10*'Output-Calculation-sheet'!C54/10^9</f>
        <v>5.2437339979963955</v>
      </c>
      <c r="D65" s="2">
        <f>D10*'Output-Calculation-sheet'!D54/10^9</f>
        <v>1.8422297025913055</v>
      </c>
      <c r="E65" s="2">
        <f>E10*'Output-Calculation-sheet'!E54/10^9</f>
        <v>2.3726480114882382</v>
      </c>
      <c r="F65" s="2">
        <f>F10*'Output-Calculation-sheet'!F54/10^9</f>
        <v>0.98518902200714376</v>
      </c>
      <c r="G65" s="2">
        <f>G10*'Output-Calculation-sheet'!G54/10^9</f>
        <v>0.707487014473002</v>
      </c>
      <c r="H65" s="2">
        <f>H10*'Output-Calculation-sheet'!H54/10^9</f>
        <v>1.3565450015574299</v>
      </c>
      <c r="I65" s="2">
        <f>I10*'Output-Calculation-sheet'!I54/10^9</f>
        <v>0.63450737407039881</v>
      </c>
      <c r="J65" s="2">
        <f>J10*'Output-Calculation-sheet'!J54/10^9</f>
        <v>0.68154190566624451</v>
      </c>
      <c r="K65" s="2">
        <f>K10*'Output-Calculation-sheet'!K54/10^9</f>
        <v>0.69696098628337111</v>
      </c>
      <c r="L65" s="2">
        <f>L10*'Output-Calculation-sheet'!L54/10^9</f>
        <v>0.72439577986197889</v>
      </c>
      <c r="M65" s="2">
        <f>M10*'Output-Calculation-sheet'!M54/10^9</f>
        <v>1.0262552930072244</v>
      </c>
      <c r="N65" s="2">
        <f>N10*'Output-Calculation-sheet'!N54/10^9</f>
        <v>0.8687340166416424</v>
      </c>
      <c r="O65" s="2">
        <f>O10*'Output-Calculation-sheet'!O54/10^9</f>
        <v>0.90044492796094788</v>
      </c>
      <c r="P65" s="2">
        <f>P10*'Output-Calculation-sheet'!P54/10^9</f>
        <v>0.75111088693996575</v>
      </c>
      <c r="Q65" s="2">
        <f>Q10*'Output-Calculation-sheet'!Q54/10^9</f>
        <v>0.71047265592823794</v>
      </c>
      <c r="R65" s="2">
        <f>R10*'Output-Calculation-sheet'!R54/10^9</f>
        <v>0.5964355358889365</v>
      </c>
      <c r="S65" s="2">
        <f>S10*'Output-Calculation-sheet'!S54/10^9</f>
        <v>0.54749969493531236</v>
      </c>
      <c r="T65" s="2">
        <f>T10*'Output-Calculation-sheet'!T54/10^9</f>
        <v>0.19444411680093251</v>
      </c>
      <c r="U65" s="2">
        <f>U10*'Output-Calculation-sheet'!U54/10^9</f>
        <v>0.19212310716481124</v>
      </c>
      <c r="V65" s="2">
        <f>V10*'Output-Calculation-sheet'!V54/10^9</f>
        <v>0.16986238617273736</v>
      </c>
      <c r="W65" s="2">
        <f>W10*'Output-Calculation-sheet'!W54/10^9</f>
        <v>8.9718281506110525E-2</v>
      </c>
      <c r="X65" s="2">
        <f>X10*'Output-Calculation-sheet'!X54/10^9</f>
        <v>0.14429106719574158</v>
      </c>
      <c r="Y65" s="2">
        <f>Y10*'Output-Calculation-sheet'!Y54/10^9</f>
        <v>7.4947557912472429E-2</v>
      </c>
      <c r="AA65" s="2">
        <f t="shared" si="4"/>
        <v>31.86925905721241</v>
      </c>
    </row>
    <row r="66" spans="1:27" x14ac:dyDescent="0.25">
      <c r="A66" s="2">
        <v>2034</v>
      </c>
      <c r="B66" s="2">
        <f>B11*'Output-Calculation-sheet'!B55/10^9</f>
        <v>11.11994375432322</v>
      </c>
      <c r="C66" s="2">
        <f>C11*'Output-Calculation-sheet'!C55/10^9</f>
        <v>5.6328315285847959</v>
      </c>
      <c r="D66" s="2">
        <f>D11*'Output-Calculation-sheet'!D55/10^9</f>
        <v>1.9853034278539148</v>
      </c>
      <c r="E66" s="2">
        <f>E11*'Output-Calculation-sheet'!E55/10^9</f>
        <v>2.5572258809102895</v>
      </c>
      <c r="F66" s="2">
        <f>F11*'Output-Calculation-sheet'!F55/10^9</f>
        <v>1.0608945095596911</v>
      </c>
      <c r="G66" s="2">
        <f>G11*'Output-Calculation-sheet'!G55/10^9</f>
        <v>0.76196907008380521</v>
      </c>
      <c r="H66" s="2">
        <f>H11*'Output-Calculation-sheet'!H55/10^9</f>
        <v>1.4554765293991501</v>
      </c>
      <c r="I66" s="2">
        <f>I11*'Output-Calculation-sheet'!I55/10^9</f>
        <v>0.68371378903816526</v>
      </c>
      <c r="J66" s="2">
        <f>J11*'Output-Calculation-sheet'!J55/10^9</f>
        <v>0.73384107203063564</v>
      </c>
      <c r="K66" s="2">
        <f>K11*'Output-Calculation-sheet'!K55/10^9</f>
        <v>0.75121972201610265</v>
      </c>
      <c r="L66" s="2">
        <f>L11*'Output-Calculation-sheet'!L55/10^9</f>
        <v>0.78004081529381308</v>
      </c>
      <c r="M66" s="2">
        <f>M11*'Output-Calculation-sheet'!M55/10^9</f>
        <v>1.1013345966101551</v>
      </c>
      <c r="N66" s="2">
        <f>N11*'Output-Calculation-sheet'!N55/10^9</f>
        <v>0.93285251497022426</v>
      </c>
      <c r="O66" s="2">
        <f>O11*'Output-Calculation-sheet'!O55/10^9</f>
        <v>0.96737928906666992</v>
      </c>
      <c r="P66" s="2">
        <f>P11*'Output-Calculation-sheet'!P55/10^9</f>
        <v>0.80956941184454556</v>
      </c>
      <c r="Q66" s="2">
        <f>Q11*'Output-Calculation-sheet'!Q55/10^9</f>
        <v>0.76611028697049111</v>
      </c>
      <c r="R66" s="2">
        <f>R11*'Output-Calculation-sheet'!R55/10^9</f>
        <v>0.64167251157830019</v>
      </c>
      <c r="S66" s="2">
        <f>S11*'Output-Calculation-sheet'!S55/10^9</f>
        <v>0.58847809914179483</v>
      </c>
      <c r="T66" s="2">
        <f>T11*'Output-Calculation-sheet'!T55/10^9</f>
        <v>0.20876873931909348</v>
      </c>
      <c r="U66" s="2">
        <f>U11*'Output-Calculation-sheet'!U55/10^9</f>
        <v>0.20702104468454119</v>
      </c>
      <c r="V66" s="2">
        <f>V11*'Output-Calculation-sheet'!V55/10^9</f>
        <v>0.18185305297131329</v>
      </c>
      <c r="W66" s="2">
        <f>W11*'Output-Calculation-sheet'!W55/10^9</f>
        <v>9.6603957575031346E-2</v>
      </c>
      <c r="X66" s="2">
        <f>X11*'Output-Calculation-sheet'!X55/10^9</f>
        <v>0.15488738390030615</v>
      </c>
      <c r="Y66" s="2">
        <f>Y11*'Output-Calculation-sheet'!Y55/10^9</f>
        <v>8.0803876773032079E-2</v>
      </c>
      <c r="AA66" s="2">
        <f t="shared" si="4"/>
        <v>34.259794864499078</v>
      </c>
    </row>
    <row r="67" spans="1:27" x14ac:dyDescent="0.25">
      <c r="A67" s="2">
        <v>2035</v>
      </c>
      <c r="B67" s="2">
        <f>B12*'Output-Calculation-sheet'!B56/10^9</f>
        <v>11.760854351017999</v>
      </c>
      <c r="C67" s="2">
        <f>C12*'Output-Calculation-sheet'!C56/10^9</f>
        <v>5.9697424274470379</v>
      </c>
      <c r="D67" s="2">
        <f>D12*'Output-Calculation-sheet'!D56/10^9</f>
        <v>2.1114046427567272</v>
      </c>
      <c r="E67" s="2">
        <f>E12*'Output-Calculation-sheet'!E56/10^9</f>
        <v>2.7199783172694194</v>
      </c>
      <c r="F67" s="2">
        <f>F12*'Output-Calculation-sheet'!F56/10^9</f>
        <v>1.1274097395243696</v>
      </c>
      <c r="G67" s="2">
        <f>G12*'Output-Calculation-sheet'!G56/10^9</f>
        <v>0.80970282621004586</v>
      </c>
      <c r="H67" s="2">
        <f>H12*'Output-Calculation-sheet'!H56/10^9</f>
        <v>1.5407033799798469</v>
      </c>
      <c r="I67" s="2">
        <f>I12*'Output-Calculation-sheet'!I56/10^9</f>
        <v>0.72706066148437964</v>
      </c>
      <c r="J67" s="2">
        <f>J12*'Output-Calculation-sheet'!J56/10^9</f>
        <v>0.77965858730177096</v>
      </c>
      <c r="K67" s="2">
        <f>K12*'Output-Calculation-sheet'!K56/10^9</f>
        <v>0.7990687300915712</v>
      </c>
      <c r="L67" s="2">
        <f>L12*'Output-Calculation-sheet'!L56/10^9</f>
        <v>0.82818054710740718</v>
      </c>
      <c r="M67" s="2">
        <f>M12*'Output-Calculation-sheet'!M56/10^9</f>
        <v>1.1660500259433675</v>
      </c>
      <c r="N67" s="2">
        <f>N12*'Output-Calculation-sheet'!N56/10^9</f>
        <v>0.98820491877973182</v>
      </c>
      <c r="O67" s="2">
        <f>O12*'Output-Calculation-sheet'!O56/10^9</f>
        <v>1.0252095615969108</v>
      </c>
      <c r="P67" s="2">
        <f>P12*'Output-Calculation-sheet'!P56/10^9</f>
        <v>0.86082868697075776</v>
      </c>
      <c r="Q67" s="2">
        <f>Q12*'Output-Calculation-sheet'!Q56/10^9</f>
        <v>0.81519037531012706</v>
      </c>
      <c r="R67" s="2">
        <f>R12*'Output-Calculation-sheet'!R56/10^9</f>
        <v>0.68103872278303024</v>
      </c>
      <c r="S67" s="2">
        <f>S12*'Output-Calculation-sheet'!S56/10^9</f>
        <v>0.62404793584193041</v>
      </c>
      <c r="T67" s="2">
        <f>T12*'Output-Calculation-sheet'!T56/10^9</f>
        <v>0.22115805132043348</v>
      </c>
      <c r="U67" s="2">
        <f>U12*'Output-Calculation-sheet'!U56/10^9</f>
        <v>0.22006703601759831</v>
      </c>
      <c r="V67" s="2">
        <f>V12*'Output-Calculation-sheet'!V56/10^9</f>
        <v>0.1921198536152787</v>
      </c>
      <c r="W67" s="2">
        <f>W12*'Output-Calculation-sheet'!W56/10^9</f>
        <v>0.102638299356563</v>
      </c>
      <c r="X67" s="2">
        <f>X12*'Output-Calculation-sheet'!X56/10^9</f>
        <v>0.16385961926355355</v>
      </c>
      <c r="Y67" s="2">
        <f>Y12*'Output-Calculation-sheet'!Y56/10^9</f>
        <v>8.5974669952552277E-2</v>
      </c>
      <c r="AA67" s="2">
        <f t="shared" si="4"/>
        <v>36.320151966942404</v>
      </c>
    </row>
    <row r="68" spans="1:27" x14ac:dyDescent="0.25">
      <c r="B68" s="2">
        <f>SUM(B60:B67)</f>
        <v>67.400994936648019</v>
      </c>
      <c r="C68" s="2">
        <f t="shared" ref="C68:Y68" si="5">SUM(C60:C67)</f>
        <v>34.145403396787991</v>
      </c>
      <c r="D68" s="2">
        <f t="shared" si="5"/>
        <v>11.987701459409809</v>
      </c>
      <c r="E68" s="2">
        <f t="shared" si="5"/>
        <v>15.437078002329699</v>
      </c>
      <c r="F68" s="2">
        <f t="shared" si="5"/>
        <v>6.4153821807406102</v>
      </c>
      <c r="G68" s="2">
        <f t="shared" si="5"/>
        <v>4.6031794270809208</v>
      </c>
      <c r="H68" s="2">
        <f t="shared" si="5"/>
        <v>8.8426886898986972</v>
      </c>
      <c r="I68" s="2">
        <f t="shared" si="5"/>
        <v>4.1291892306184419</v>
      </c>
      <c r="J68" s="2">
        <f t="shared" si="5"/>
        <v>4.435488001755016</v>
      </c>
      <c r="K68" s="2">
        <f t="shared" si="5"/>
        <v>4.5343071178131522</v>
      </c>
      <c r="L68" s="2">
        <f t="shared" si="5"/>
        <v>4.7119601196737788</v>
      </c>
      <c r="M68" s="2">
        <f t="shared" si="5"/>
        <v>6.6882695427394294</v>
      </c>
      <c r="N68" s="2">
        <f t="shared" si="5"/>
        <v>5.6571123769735836</v>
      </c>
      <c r="O68" s="2">
        <f t="shared" si="5"/>
        <v>5.8581581922229455</v>
      </c>
      <c r="P68" s="2">
        <f t="shared" si="5"/>
        <v>4.8824049377542966</v>
      </c>
      <c r="Q68" s="2">
        <f t="shared" si="5"/>
        <v>4.6201465072251926</v>
      </c>
      <c r="R68" s="2">
        <f t="shared" si="5"/>
        <v>3.8820786200138611</v>
      </c>
      <c r="S68" s="2">
        <f t="shared" si="5"/>
        <v>3.5636619571445793</v>
      </c>
      <c r="T68" s="2">
        <f t="shared" si="5"/>
        <v>1.2692131545297856</v>
      </c>
      <c r="U68" s="2">
        <f t="shared" si="5"/>
        <v>1.2491260383681249</v>
      </c>
      <c r="V68" s="2">
        <f t="shared" si="5"/>
        <v>1.1141839787009928</v>
      </c>
      <c r="W68" s="2">
        <f t="shared" si="5"/>
        <v>0.58411453841685113</v>
      </c>
      <c r="X68" s="2">
        <f t="shared" si="5"/>
        <v>0.93943863688238571</v>
      </c>
      <c r="Y68" s="2">
        <f t="shared" si="5"/>
        <v>0.48748281539464589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62.810423054726094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55.910735211042081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221.84112171095009</v>
      </c>
      <c r="S74" s="2">
        <f>S8/'Output-Calculation-sheet'!S7*'Output-Calculation-sheet'!S61</f>
        <v>0</v>
      </c>
      <c r="T74" s="2">
        <f>T8/'Output-Calculation-sheet'!T7*'Output-Calculation-sheet'!T61</f>
        <v>163.42480877390003</v>
      </c>
      <c r="U74" s="2">
        <f>U8/'Output-Calculation-sheet'!U7*'Output-Calculation-sheet'!U61</f>
        <v>20.70211015090273</v>
      </c>
      <c r="V74" s="2">
        <f>V8/'Output-Calculation-sheet'!V7*'Output-Calculation-sheet'!V61</f>
        <v>187.58823029917548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0.71227742920069659</v>
      </c>
    </row>
    <row r="75" spans="1:27" x14ac:dyDescent="0.25">
      <c r="A75" s="2">
        <v>2032</v>
      </c>
      <c r="B75" s="2">
        <f>B9/'Output-Calculation-sheet'!B8*'Output-Calculation-sheet'!B62</f>
        <v>710.39344915913296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144.07393217667473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115.43324978404719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305.43336667919431</v>
      </c>
      <c r="S75" s="2">
        <f>S9/'Output-Calculation-sheet'!S8*'Output-Calculation-sheet'!S62</f>
        <v>0</v>
      </c>
      <c r="T75" s="2">
        <f>T9/'Output-Calculation-sheet'!T8*'Output-Calculation-sheet'!T62</f>
        <v>201.74597587308861</v>
      </c>
      <c r="U75" s="2">
        <f>U9/'Output-Calculation-sheet'!U8*'Output-Calculation-sheet'!U62</f>
        <v>41.239500883324709</v>
      </c>
      <c r="V75" s="2">
        <f>V9/'Output-Calculation-sheet'!V8*'Output-Calculation-sheet'!V62</f>
        <v>216.11369014815136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1.734433164703614</v>
      </c>
    </row>
    <row r="76" spans="1:27" x14ac:dyDescent="0.25">
      <c r="A76" s="2">
        <v>2033</v>
      </c>
      <c r="B76" s="2">
        <f>B10/'Output-Calculation-sheet'!B9*'Output-Calculation-sheet'!B63</f>
        <v>1903.1620357544884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223.25302524700854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212.95140875715791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96.070521987449212</v>
      </c>
      <c r="Q76" s="2">
        <f>Q10/'Output-Calculation-sheet'!Q9*'Output-Calculation-sheet'!Q63</f>
        <v>0</v>
      </c>
      <c r="R76" s="2">
        <f>R10/'Output-Calculation-sheet'!R9*'Output-Calculation-sheet'!R63</f>
        <v>409.17835949181324</v>
      </c>
      <c r="S76" s="2">
        <f>S10/'Output-Calculation-sheet'!S9*'Output-Calculation-sheet'!S63</f>
        <v>0</v>
      </c>
      <c r="T76" s="2">
        <f>T10/'Output-Calculation-sheet'!T9*'Output-Calculation-sheet'!T63</f>
        <v>239.15196428313502</v>
      </c>
      <c r="U76" s="2">
        <f>U10/'Output-Calculation-sheet'!U9*'Output-Calculation-sheet'!U63</f>
        <v>69.559173271943877</v>
      </c>
      <c r="V76" s="2">
        <f>V10/'Output-Calculation-sheet'!V9*'Output-Calculation-sheet'!V63</f>
        <v>248.39742042515135</v>
      </c>
      <c r="W76" s="2">
        <f>W10/'Output-Calculation-sheet'!W9*'Output-Calculation-sheet'!W63</f>
        <v>7.7994148094239586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3.409523324027572</v>
      </c>
    </row>
    <row r="77" spans="1:27" x14ac:dyDescent="0.25">
      <c r="A77" s="2">
        <v>2034</v>
      </c>
      <c r="B77" s="2">
        <f>B11/'Output-Calculation-sheet'!B10*'Output-Calculation-sheet'!B64</f>
        <v>3446.0915009742203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328.25480787801644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305.12673326568341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196.95866726878708</v>
      </c>
      <c r="Q77" s="2">
        <f>Q11/'Output-Calculation-sheet'!Q10*'Output-Calculation-sheet'!Q64</f>
        <v>0</v>
      </c>
      <c r="R77" s="2">
        <f>R11/'Output-Calculation-sheet'!R10*'Output-Calculation-sheet'!R64</f>
        <v>511.61861004363402</v>
      </c>
      <c r="S77" s="2">
        <f>S11/'Output-Calculation-sheet'!S10*'Output-Calculation-sheet'!S64</f>
        <v>0</v>
      </c>
      <c r="T77" s="2">
        <f>T11/'Output-Calculation-sheet'!T10*'Output-Calculation-sheet'!T64</f>
        <v>275.57321947110523</v>
      </c>
      <c r="U77" s="2">
        <f>U11/'Output-Calculation-sheet'!U10*'Output-Calculation-sheet'!U64</f>
        <v>93.423891485616522</v>
      </c>
      <c r="V77" s="2">
        <f>V11/'Output-Calculation-sheet'!V10*'Output-Calculation-sheet'!V64</f>
        <v>279.05514214470674</v>
      </c>
      <c r="W77" s="2">
        <f>W11/'Output-Calculation-sheet'!W10*'Output-Calculation-sheet'!W64</f>
        <v>14.787506040375316</v>
      </c>
      <c r="X77" s="2">
        <f>X11/'Output-Calculation-sheet'!X10*'Output-Calculation-sheet'!X64</f>
        <v>26.531892761025365</v>
      </c>
      <c r="Y77" s="2">
        <f>Y11/'Output-Calculation-sheet'!Y10*'Output-Calculation-sheet'!Y64</f>
        <v>0</v>
      </c>
      <c r="AA77" s="2">
        <f t="shared" si="6"/>
        <v>5.4774219713331709</v>
      </c>
    </row>
    <row r="78" spans="1:27" x14ac:dyDescent="0.25">
      <c r="A78" s="2">
        <v>2035</v>
      </c>
      <c r="B78" s="2">
        <f>B12/'Output-Calculation-sheet'!B11*'Output-Calculation-sheet'!B65</f>
        <v>6484.442521332744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419.32812069642307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370.34763767586952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300.85170069101457</v>
      </c>
      <c r="Q78" s="2">
        <f>Q12/'Output-Calculation-sheet'!Q11*'Output-Calculation-sheet'!Q65</f>
        <v>0</v>
      </c>
      <c r="R78" s="2">
        <f>R12/'Output-Calculation-sheet'!R11*'Output-Calculation-sheet'!R65</f>
        <v>660.43061075534365</v>
      </c>
      <c r="S78" s="2">
        <f>S12/'Output-Calculation-sheet'!S11*'Output-Calculation-sheet'!S65</f>
        <v>0</v>
      </c>
      <c r="T78" s="2">
        <f>T12/'Output-Calculation-sheet'!T11*'Output-Calculation-sheet'!T65</f>
        <v>319.6684022294076</v>
      </c>
      <c r="U78" s="2">
        <f>U12/'Output-Calculation-sheet'!U11*'Output-Calculation-sheet'!U65</f>
        <v>124.29158287128958</v>
      </c>
      <c r="V78" s="2">
        <f>V12/'Output-Calculation-sheet'!V11*'Output-Calculation-sheet'!V65</f>
        <v>301.59113128743121</v>
      </c>
      <c r="W78" s="2">
        <f>W12/'Output-Calculation-sheet'!W11*'Output-Calculation-sheet'!W65</f>
        <v>22.58663239962338</v>
      </c>
      <c r="X78" s="2">
        <f>X12/'Output-Calculation-sheet'!X11*'Output-Calculation-sheet'!X65</f>
        <v>61.681392762094774</v>
      </c>
      <c r="Y78" s="2">
        <f>Y12/'Output-Calculation-sheet'!Y11*'Output-Calculation-sheet'!Y65</f>
        <v>0</v>
      </c>
      <c r="AA78" s="2">
        <f t="shared" si="6"/>
        <v>9.0652197327012409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 t="shared" ref="AA93:AA100" si="8"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si="8"/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18176234684.462376</v>
      </c>
      <c r="C96" s="2">
        <f>C8/'Output-Calculation-sheet'!C7*'Output-Calculation-sheet'!C79</f>
        <v>2237302021.9532146</v>
      </c>
      <c r="D96" s="2">
        <f>D8/'Output-Calculation-sheet'!D7*'Output-Calculation-sheet'!D79</f>
        <v>7922971485.7979994</v>
      </c>
      <c r="E96" s="2">
        <f>E8/'Output-Calculation-sheet'!E7*'Output-Calculation-sheet'!E79</f>
        <v>13546490842.856703</v>
      </c>
      <c r="F96" s="2">
        <f>F8/'Output-Calculation-sheet'!F7*'Output-Calculation-sheet'!F79</f>
        <v>6096372989.285594</v>
      </c>
      <c r="G96" s="2">
        <f>G8/'Output-Calculation-sheet'!G7*'Output-Calculation-sheet'!G79</f>
        <v>4630472157.6178904</v>
      </c>
      <c r="H96" s="2">
        <f>H8/'Output-Calculation-sheet'!H7*'Output-Calculation-sheet'!H79</f>
        <v>1347162296.9318869</v>
      </c>
      <c r="I96" s="2">
        <f>I8/'Output-Calculation-sheet'!I7*'Output-Calculation-sheet'!I79</f>
        <v>3105995159.4532237</v>
      </c>
      <c r="J96" s="2">
        <f>J8/'Output-Calculation-sheet'!J7*'Output-Calculation-sheet'!J79</f>
        <v>2301596239.1124177</v>
      </c>
      <c r="K96" s="2">
        <f>K8/'Output-Calculation-sheet'!K7*'Output-Calculation-sheet'!K79</f>
        <v>2661223867.34271</v>
      </c>
      <c r="L96" s="2">
        <f>L8/'Output-Calculation-sheet'!L7*'Output-Calculation-sheet'!L79</f>
        <v>2116954688.3471496</v>
      </c>
      <c r="M96" s="2">
        <f>M8/'Output-Calculation-sheet'!M7*'Output-Calculation-sheet'!M79</f>
        <v>1047298465.9972435</v>
      </c>
      <c r="N96" s="2">
        <f>N8/'Output-Calculation-sheet'!N7*'Output-Calculation-sheet'!N79</f>
        <v>1063635503.2485794</v>
      </c>
      <c r="O96" s="2">
        <f>O8/'Output-Calculation-sheet'!O7*'Output-Calculation-sheet'!O79</f>
        <v>259633525.88314921</v>
      </c>
      <c r="P96" s="2">
        <f>P8/'Output-Calculation-sheet'!P7*'Output-Calculation-sheet'!P79</f>
        <v>2828904781.5342269</v>
      </c>
      <c r="Q96" s="2">
        <f>Q8/'Output-Calculation-sheet'!Q7*'Output-Calculation-sheet'!Q79</f>
        <v>1254425983.6743641</v>
      </c>
      <c r="R96" s="2">
        <f>R8/'Output-Calculation-sheet'!R7*'Output-Calculation-sheet'!R79</f>
        <v>1908588730.1133962</v>
      </c>
      <c r="S96" s="2">
        <f>S8/'Output-Calculation-sheet'!S7*'Output-Calculation-sheet'!S79</f>
        <v>746013656.87580454</v>
      </c>
      <c r="T96" s="2">
        <f>T8/'Output-Calculation-sheet'!T7*'Output-Calculation-sheet'!T79</f>
        <v>1010340630.6535615</v>
      </c>
      <c r="U96" s="2">
        <f>U8/'Output-Calculation-sheet'!U7*'Output-Calculation-sheet'!U79</f>
        <v>501808036.09519875</v>
      </c>
      <c r="V96" s="2">
        <f>V8/'Output-Calculation-sheet'!V7*'Output-Calculation-sheet'!V79</f>
        <v>369766837.0739094</v>
      </c>
      <c r="W96" s="2">
        <f>W8/'Output-Calculation-sheet'!W7*'Output-Calculation-sheet'!W79</f>
        <v>985075064.72579503</v>
      </c>
      <c r="X96" s="2">
        <f>X8/'Output-Calculation-sheet'!X7*'Output-Calculation-sheet'!X79</f>
        <v>116729250.8369956</v>
      </c>
      <c r="Y96" s="2">
        <f>Y8/'Output-Calculation-sheet'!Y7*'Output-Calculation-sheet'!Y79</f>
        <v>442089588.71850747</v>
      </c>
      <c r="AA96" s="2">
        <f t="shared" si="8"/>
        <v>76.677086488591925</v>
      </c>
    </row>
    <row r="97" spans="1:27" x14ac:dyDescent="0.25">
      <c r="A97" s="2">
        <v>2032</v>
      </c>
      <c r="B97" s="2">
        <f>B9/'Output-Calculation-sheet'!B8*'Output-Calculation-sheet'!B80</f>
        <v>21129064930.80912</v>
      </c>
      <c r="C97" s="2">
        <f>C9/'Output-Calculation-sheet'!C8*'Output-Calculation-sheet'!C80</f>
        <v>2654513092.0370269</v>
      </c>
      <c r="D97" s="2">
        <f>D9/'Output-Calculation-sheet'!D8*'Output-Calculation-sheet'!D80</f>
        <v>8742627041.0002289</v>
      </c>
      <c r="E97" s="2">
        <f>E9/'Output-Calculation-sheet'!E8*'Output-Calculation-sheet'!E80</f>
        <v>15392317359.202427</v>
      </c>
      <c r="F97" s="2">
        <f>F9/'Output-Calculation-sheet'!F8*'Output-Calculation-sheet'!F80</f>
        <v>6911059833.9455261</v>
      </c>
      <c r="G97" s="2">
        <f>G9/'Output-Calculation-sheet'!G8*'Output-Calculation-sheet'!G80</f>
        <v>5115434836.0619726</v>
      </c>
      <c r="H97" s="2">
        <f>H9/'Output-Calculation-sheet'!H8*'Output-Calculation-sheet'!H80</f>
        <v>1550009817.8502297</v>
      </c>
      <c r="I97" s="2">
        <f>I9/'Output-Calculation-sheet'!I8*'Output-Calculation-sheet'!I80</f>
        <v>3553034535.4729571</v>
      </c>
      <c r="J97" s="2">
        <f>J9/'Output-Calculation-sheet'!J8*'Output-Calculation-sheet'!J80</f>
        <v>2563722060.9976859</v>
      </c>
      <c r="K97" s="2">
        <f>K9/'Output-Calculation-sheet'!K8*'Output-Calculation-sheet'!K80</f>
        <v>2984247959.0103889</v>
      </c>
      <c r="L97" s="2">
        <f>L9/'Output-Calculation-sheet'!L8*'Output-Calculation-sheet'!L80</f>
        <v>2446913327.4860177</v>
      </c>
      <c r="M97" s="2">
        <f>M9/'Output-Calculation-sheet'!M8*'Output-Calculation-sheet'!M80</f>
        <v>1204794900.6771543</v>
      </c>
      <c r="N97" s="2">
        <f>N9/'Output-Calculation-sheet'!N8*'Output-Calculation-sheet'!N80</f>
        <v>1194104754.5037262</v>
      </c>
      <c r="O97" s="2">
        <f>O9/'Output-Calculation-sheet'!O8*'Output-Calculation-sheet'!O80</f>
        <v>311638870.96524352</v>
      </c>
      <c r="P97" s="2">
        <f>P9/'Output-Calculation-sheet'!P8*'Output-Calculation-sheet'!P80</f>
        <v>3169204061.5388441</v>
      </c>
      <c r="Q97" s="2">
        <f>Q9/'Output-Calculation-sheet'!Q8*'Output-Calculation-sheet'!Q80</f>
        <v>1409207939.3175547</v>
      </c>
      <c r="R97" s="2">
        <f>R9/'Output-Calculation-sheet'!R8*'Output-Calculation-sheet'!R80</f>
        <v>2192935001.7176151</v>
      </c>
      <c r="S97" s="2">
        <f>S9/'Output-Calculation-sheet'!S8*'Output-Calculation-sheet'!S80</f>
        <v>845746155.72646749</v>
      </c>
      <c r="T97" s="2">
        <f>T9/'Output-Calculation-sheet'!T8*'Output-Calculation-sheet'!T80</f>
        <v>1130848484.5427856</v>
      </c>
      <c r="U97" s="2">
        <f>U9/'Output-Calculation-sheet'!U8*'Output-Calculation-sheet'!U80</f>
        <v>573929449.46963453</v>
      </c>
      <c r="V97" s="2">
        <f>V9/'Output-Calculation-sheet'!V8*'Output-Calculation-sheet'!V80</f>
        <v>422773433.93103695</v>
      </c>
      <c r="W97" s="2">
        <f>W9/'Output-Calculation-sheet'!W8*'Output-Calculation-sheet'!W80</f>
        <v>1105617970.03863</v>
      </c>
      <c r="X97" s="2">
        <f>X9/'Output-Calculation-sheet'!X8*'Output-Calculation-sheet'!X80</f>
        <v>135394744.41081515</v>
      </c>
      <c r="Y97" s="2">
        <f>Y9/'Output-Calculation-sheet'!Y8*'Output-Calculation-sheet'!Y80</f>
        <v>496472521.6658116</v>
      </c>
      <c r="AA97" s="2">
        <f t="shared" si="8"/>
        <v>87.235613082378904</v>
      </c>
    </row>
    <row r="98" spans="1:27" x14ac:dyDescent="0.25">
      <c r="A98" s="2">
        <v>2033</v>
      </c>
      <c r="B98" s="2">
        <f>B10/'Output-Calculation-sheet'!B9*'Output-Calculation-sheet'!B81</f>
        <v>23906134173.757038</v>
      </c>
      <c r="C98" s="2">
        <f>C10/'Output-Calculation-sheet'!C9*'Output-Calculation-sheet'!C81</f>
        <v>3014506454.0941558</v>
      </c>
      <c r="D98" s="2">
        <f>D10/'Output-Calculation-sheet'!D9*'Output-Calculation-sheet'!D81</f>
        <v>9317040856.7615776</v>
      </c>
      <c r="E98" s="2">
        <f>E10/'Output-Calculation-sheet'!E9*'Output-Calculation-sheet'!E81</f>
        <v>16883579938.267591</v>
      </c>
      <c r="F98" s="2">
        <f>F10/'Output-Calculation-sheet'!F9*'Output-Calculation-sheet'!F81</f>
        <v>7563045433.5375681</v>
      </c>
      <c r="G98" s="2">
        <f>G10/'Output-Calculation-sheet'!G9*'Output-Calculation-sheet'!G81</f>
        <v>5441853440.9097462</v>
      </c>
      <c r="H98" s="2">
        <f>H10/'Output-Calculation-sheet'!H9*'Output-Calculation-sheet'!H81</f>
        <v>1716501855.363337</v>
      </c>
      <c r="I98" s="2">
        <f>I10/'Output-Calculation-sheet'!I9*'Output-Calculation-sheet'!I81</f>
        <v>3926598647.8837256</v>
      </c>
      <c r="J98" s="2">
        <f>J10/'Output-Calculation-sheet'!J9*'Output-Calculation-sheet'!J81</f>
        <v>2760808248.1796594</v>
      </c>
      <c r="K98" s="2">
        <f>K10/'Output-Calculation-sheet'!K9*'Output-Calculation-sheet'!K81</f>
        <v>3237735039.4869452</v>
      </c>
      <c r="L98" s="2">
        <f>L10/'Output-Calculation-sheet'!L9*'Output-Calculation-sheet'!L81</f>
        <v>2733940184.8297405</v>
      </c>
      <c r="M98" s="2">
        <f>M10/'Output-Calculation-sheet'!M9*'Output-Calculation-sheet'!M81</f>
        <v>1341046068.9830573</v>
      </c>
      <c r="N98" s="2">
        <f>N10/'Output-Calculation-sheet'!N9*'Output-Calculation-sheet'!N81</f>
        <v>1282916592.5702929</v>
      </c>
      <c r="O98" s="2">
        <f>O10/'Output-Calculation-sheet'!O9*'Output-Calculation-sheet'!O81</f>
        <v>354488348.56426287</v>
      </c>
      <c r="P98" s="2">
        <f>P10/'Output-Calculation-sheet'!P9*'Output-Calculation-sheet'!P81</f>
        <v>3480369407.9679747</v>
      </c>
      <c r="Q98" s="2">
        <f>Q10/'Output-Calculation-sheet'!Q9*'Output-Calculation-sheet'!Q81</f>
        <v>1532541432.7509043</v>
      </c>
      <c r="R98" s="2">
        <f>R10/'Output-Calculation-sheet'!R9*'Output-Calculation-sheet'!R81</f>
        <v>2434522766.6400652</v>
      </c>
      <c r="S98" s="2">
        <f>S10/'Output-Calculation-sheet'!S9*'Output-Calculation-sheet'!S81</f>
        <v>928397790.1917479</v>
      </c>
      <c r="T98" s="2">
        <f>T10/'Output-Calculation-sheet'!T9*'Output-Calculation-sheet'!T81</f>
        <v>1220096770.2729497</v>
      </c>
      <c r="U98" s="2">
        <f>U10/'Output-Calculation-sheet'!U9*'Output-Calculation-sheet'!U81</f>
        <v>633975014.65971196</v>
      </c>
      <c r="V98" s="2">
        <f>V10/'Output-Calculation-sheet'!V9*'Output-Calculation-sheet'!V81</f>
        <v>467376758.45166665</v>
      </c>
      <c r="W98" s="2">
        <f>W10/'Output-Calculation-sheet'!W9*'Output-Calculation-sheet'!W81</f>
        <v>1197784614.7878313</v>
      </c>
      <c r="X98" s="2">
        <f>X10/'Output-Calculation-sheet'!X9*'Output-Calculation-sheet'!X81</f>
        <v>152109203.189235</v>
      </c>
      <c r="Y98" s="2">
        <f>Y10/'Output-Calculation-sheet'!Y9*'Output-Calculation-sheet'!Y81</f>
        <v>537976574.35801876</v>
      </c>
      <c r="AA98" s="2">
        <f t="shared" si="8"/>
        <v>96.065345616458785</v>
      </c>
    </row>
    <row r="99" spans="1:27" x14ac:dyDescent="0.25">
      <c r="A99" s="2">
        <v>2034</v>
      </c>
      <c r="B99" s="2">
        <f>B11/'Output-Calculation-sheet'!B10*'Output-Calculation-sheet'!B82</f>
        <v>26450062535.257458</v>
      </c>
      <c r="C99" s="2">
        <f>C11/'Output-Calculation-sheet'!C10*'Output-Calculation-sheet'!C82</f>
        <v>3358174404.1954894</v>
      </c>
      <c r="D99" s="2">
        <f>D11/'Output-Calculation-sheet'!D10*'Output-Calculation-sheet'!D82</f>
        <v>9720327916.7197056</v>
      </c>
      <c r="E99" s="2">
        <f>E11/'Output-Calculation-sheet'!E10*'Output-Calculation-sheet'!E82</f>
        <v>18122406840.264851</v>
      </c>
      <c r="F99" s="2">
        <f>F11/'Output-Calculation-sheet'!F10*'Output-Calculation-sheet'!F82</f>
        <v>8104737323.0558481</v>
      </c>
      <c r="G99" s="2">
        <f>G11/'Output-Calculation-sheet'!G10*'Output-Calculation-sheet'!G82</f>
        <v>5659523206.3268509</v>
      </c>
      <c r="H99" s="2">
        <f>H11/'Output-Calculation-sheet'!H10*'Output-Calculation-sheet'!H82</f>
        <v>1863440971.2395689</v>
      </c>
      <c r="I99" s="2">
        <f>I11/'Output-Calculation-sheet'!I10*'Output-Calculation-sheet'!I82</f>
        <v>4248176969.6560569</v>
      </c>
      <c r="J99" s="2">
        <f>J11/'Output-Calculation-sheet'!J10*'Output-Calculation-sheet'!J82</f>
        <v>2910295255.3820901</v>
      </c>
      <c r="K99" s="2">
        <f>K11/'Output-Calculation-sheet'!K10*'Output-Calculation-sheet'!K82</f>
        <v>3440242598.7785954</v>
      </c>
      <c r="L99" s="2">
        <f>L11/'Output-Calculation-sheet'!L10*'Output-Calculation-sheet'!L82</f>
        <v>3007922869.1272302</v>
      </c>
      <c r="M99" s="2">
        <f>M11/'Output-Calculation-sheet'!M10*'Output-Calculation-sheet'!M82</f>
        <v>1459930694.6514475</v>
      </c>
      <c r="N99" s="2">
        <f>N11/'Output-Calculation-sheet'!N10*'Output-Calculation-sheet'!N82</f>
        <v>1356586439.4316924</v>
      </c>
      <c r="O99" s="2">
        <f>O11/'Output-Calculation-sheet'!O10*'Output-Calculation-sheet'!O82</f>
        <v>397134016.524261</v>
      </c>
      <c r="P99" s="2">
        <f>P11/'Output-Calculation-sheet'!P10*'Output-Calculation-sheet'!P82</f>
        <v>3741578130.5301294</v>
      </c>
      <c r="Q99" s="2">
        <f>Q11/'Output-Calculation-sheet'!Q10*'Output-Calculation-sheet'!Q82</f>
        <v>1631113015.0718932</v>
      </c>
      <c r="R99" s="2">
        <f>R11/'Output-Calculation-sheet'!R10*'Output-Calculation-sheet'!R82</f>
        <v>2649789215.792418</v>
      </c>
      <c r="S99" s="2">
        <f>S11/'Output-Calculation-sheet'!S10*'Output-Calculation-sheet'!S82</f>
        <v>995713839.82067454</v>
      </c>
      <c r="T99" s="2">
        <f>T11/'Output-Calculation-sheet'!T10*'Output-Calculation-sheet'!T82</f>
        <v>1287115153.0777988</v>
      </c>
      <c r="U99" s="2">
        <f>U11/'Output-Calculation-sheet'!U10*'Output-Calculation-sheet'!U82</f>
        <v>686171447.386747</v>
      </c>
      <c r="V99" s="2">
        <f>V11/'Output-Calculation-sheet'!V10*'Output-Calculation-sheet'!V82</f>
        <v>504928959.94594139</v>
      </c>
      <c r="W99" s="2">
        <f>W11/'Output-Calculation-sheet'!W10*'Output-Calculation-sheet'!W82</f>
        <v>1267881575.3319066</v>
      </c>
      <c r="X99" s="2">
        <f>X11/'Output-Calculation-sheet'!X10*'Output-Calculation-sheet'!X82</f>
        <v>178941320.92460501</v>
      </c>
      <c r="Y99" s="2">
        <f>Y11/'Output-Calculation-sheet'!Y10*'Output-Calculation-sheet'!Y82</f>
        <v>570290414.50916219</v>
      </c>
      <c r="AA99" s="2">
        <f t="shared" si="8"/>
        <v>103.61248511300241</v>
      </c>
    </row>
    <row r="100" spans="1:27" x14ac:dyDescent="0.25">
      <c r="A100" s="2">
        <v>2035</v>
      </c>
      <c r="B100" s="2">
        <f>B12/'Output-Calculation-sheet'!B11*'Output-Calculation-sheet'!B83</f>
        <v>29458085164.011997</v>
      </c>
      <c r="C100" s="2">
        <f>C12/'Output-Calculation-sheet'!C11*'Output-Calculation-sheet'!C83</f>
        <v>3678964131.4051337</v>
      </c>
      <c r="D100" s="2">
        <f>D12/'Output-Calculation-sheet'!D11*'Output-Calculation-sheet'!D83</f>
        <v>10021689602.789701</v>
      </c>
      <c r="E100" s="2">
        <f>E12/'Output-Calculation-sheet'!E11*'Output-Calculation-sheet'!E83</f>
        <v>19213688584.127327</v>
      </c>
      <c r="F100" s="2">
        <f>F12/'Output-Calculation-sheet'!F11*'Output-Calculation-sheet'!F83</f>
        <v>8577131684.9903936</v>
      </c>
      <c r="G100" s="2">
        <f>G12/'Output-Calculation-sheet'!G11*'Output-Calculation-sheet'!G83</f>
        <v>5807336459.4211998</v>
      </c>
      <c r="H100" s="2">
        <f>H12/'Output-Calculation-sheet'!H11*'Output-Calculation-sheet'!H83</f>
        <v>2000167126.1009207</v>
      </c>
      <c r="I100" s="2">
        <f>I12/'Output-Calculation-sheet'!I11*'Output-Calculation-sheet'!I83</f>
        <v>4539283944.1322145</v>
      </c>
      <c r="J100" s="2">
        <f>J12/'Output-Calculation-sheet'!J11*'Output-Calculation-sheet'!J83</f>
        <v>3029043749.21592</v>
      </c>
      <c r="K100" s="2">
        <f>K12/'Output-Calculation-sheet'!K11*'Output-Calculation-sheet'!K83</f>
        <v>3610728010.5231276</v>
      </c>
      <c r="L100" s="2">
        <f>L12/'Output-Calculation-sheet'!L11*'Output-Calculation-sheet'!L83</f>
        <v>3266923027.7511048</v>
      </c>
      <c r="M100" s="2">
        <f>M12/'Output-Calculation-sheet'!M11*'Output-Calculation-sheet'!M83</f>
        <v>1574482759.5621402</v>
      </c>
      <c r="N100" s="2">
        <f>N12/'Output-Calculation-sheet'!N11*'Output-Calculation-sheet'!N83</f>
        <v>1413325310.1620674</v>
      </c>
      <c r="O100" s="2">
        <f>O12/'Output-Calculation-sheet'!O11*'Output-Calculation-sheet'!O83</f>
        <v>440467833.90695047</v>
      </c>
      <c r="P100" s="2">
        <f>P12/'Output-Calculation-sheet'!P11*'Output-Calculation-sheet'!P83</f>
        <v>3954924189.3973627</v>
      </c>
      <c r="Q100" s="2">
        <f>Q12/'Output-Calculation-sheet'!Q11*'Output-Calculation-sheet'!Q83</f>
        <v>1717651693.4341617</v>
      </c>
      <c r="R100" s="2">
        <f>R12/'Output-Calculation-sheet'!R11*'Output-Calculation-sheet'!R83</f>
        <v>2849395134.169662</v>
      </c>
      <c r="S100" s="2">
        <f>S12/'Output-Calculation-sheet'!S11*'Output-Calculation-sheet'!S83</f>
        <v>1053933694.3917692</v>
      </c>
      <c r="T100" s="2">
        <f>T12/'Output-Calculation-sheet'!T11*'Output-Calculation-sheet'!T83</f>
        <v>1344713067.6634188</v>
      </c>
      <c r="U100" s="2">
        <f>U12/'Output-Calculation-sheet'!U11*'Output-Calculation-sheet'!U83</f>
        <v>732890549.93200243</v>
      </c>
      <c r="V100" s="2">
        <f>V12/'Output-Calculation-sheet'!V11*'Output-Calculation-sheet'!V83</f>
        <v>538725160.36435759</v>
      </c>
      <c r="W100" s="2">
        <f>W12/'Output-Calculation-sheet'!W11*'Output-Calculation-sheet'!W83</f>
        <v>1323190040.5858645</v>
      </c>
      <c r="X100" s="2">
        <f>X12/'Output-Calculation-sheet'!X11*'Output-Calculation-sheet'!X83</f>
        <v>209739928.59775025</v>
      </c>
      <c r="Y100" s="2">
        <f>Y12/'Output-Calculation-sheet'!Y11*'Output-Calculation-sheet'!Y83</f>
        <v>595758887.17031002</v>
      </c>
      <c r="AA100" s="2">
        <f t="shared" si="8"/>
        <v>110.95223973380686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34FB-F9BA-4C4B-8367-590C5B500664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113232851912.61148</v>
      </c>
      <c r="C8" s="2">
        <v>53361017782.036362</v>
      </c>
      <c r="D8" s="2">
        <v>47559092425.728462</v>
      </c>
      <c r="E8" s="2">
        <v>37733313695.378159</v>
      </c>
      <c r="F8" s="2">
        <v>24290288072.568779</v>
      </c>
      <c r="G8" s="2">
        <v>17067023028.749872</v>
      </c>
      <c r="H8" s="2">
        <v>16648225816.431158</v>
      </c>
      <c r="I8" s="2">
        <v>15549401447.47616</v>
      </c>
      <c r="J8" s="2">
        <v>15134713423.646673</v>
      </c>
      <c r="K8" s="2">
        <v>14989622995.367044</v>
      </c>
      <c r="L8" s="2">
        <v>12024870452.714918</v>
      </c>
      <c r="M8" s="2">
        <v>11485824535.869081</v>
      </c>
      <c r="N8" s="2">
        <v>11273303609.899086</v>
      </c>
      <c r="O8" s="2">
        <v>10368092094.753942</v>
      </c>
      <c r="P8" s="2">
        <v>10262604955.334274</v>
      </c>
      <c r="Q8" s="2">
        <v>10096744673.227861</v>
      </c>
      <c r="R8" s="2">
        <v>9713532784.4351025</v>
      </c>
      <c r="S8" s="2">
        <v>6456111480.9920874</v>
      </c>
      <c r="T8" s="2">
        <v>3570611127.6374855</v>
      </c>
      <c r="U8" s="2">
        <v>3109880289.4952369</v>
      </c>
      <c r="V8" s="2">
        <v>2394670020.5171242</v>
      </c>
      <c r="W8" s="2">
        <v>2073253526.3301561</v>
      </c>
      <c r="X8" s="2">
        <v>1243952115.7980945</v>
      </c>
      <c r="Y8" s="2">
        <v>1209730993.0924871</v>
      </c>
    </row>
    <row r="9" spans="1:27" x14ac:dyDescent="0.25">
      <c r="A9" s="2">
        <v>2032</v>
      </c>
      <c r="B9" s="2">
        <v>120757734320.87694</v>
      </c>
      <c r="C9" s="2">
        <v>56907121030.45649</v>
      </c>
      <c r="D9" s="2">
        <v>50719629071.256294</v>
      </c>
      <c r="E9" s="2">
        <v>40240878802.464272</v>
      </c>
      <c r="F9" s="2">
        <v>25904497715.102879</v>
      </c>
      <c r="G9" s="2">
        <v>18201211024.38224</v>
      </c>
      <c r="H9" s="2">
        <v>17754582668.341736</v>
      </c>
      <c r="I9" s="2">
        <v>16582735991.601858</v>
      </c>
      <c r="J9" s="2">
        <v>16140489899.926113</v>
      </c>
      <c r="K9" s="2">
        <v>15985757495.904217</v>
      </c>
      <c r="L9" s="2">
        <v>12823982500.172125</v>
      </c>
      <c r="M9" s="2">
        <v>12249114319.12993</v>
      </c>
      <c r="N9" s="2">
        <v>12022470327.722582</v>
      </c>
      <c r="O9" s="2">
        <v>11057103035.42425</v>
      </c>
      <c r="P9" s="2">
        <v>10944605754.457233</v>
      </c>
      <c r="Q9" s="2">
        <v>10767723237.213482</v>
      </c>
      <c r="R9" s="2">
        <v>10359045025.247652</v>
      </c>
      <c r="S9" s="2">
        <v>6885151983.7130747</v>
      </c>
      <c r="T9" s="2">
        <v>3807895876.7830086</v>
      </c>
      <c r="U9" s="2">
        <v>3316547198.3203764</v>
      </c>
      <c r="V9" s="2">
        <v>2553807673.6506577</v>
      </c>
      <c r="W9" s="2">
        <v>2211031465.546916</v>
      </c>
      <c r="X9" s="2">
        <v>1326618879.3281503</v>
      </c>
      <c r="Y9" s="2">
        <v>1290123593.9578309</v>
      </c>
    </row>
    <row r="10" spans="1:27" x14ac:dyDescent="0.25">
      <c r="A10" s="2">
        <v>2033</v>
      </c>
      <c r="B10" s="2">
        <v>118244473119.52695</v>
      </c>
      <c r="C10" s="2">
        <v>55722745883.218826</v>
      </c>
      <c r="D10" s="2">
        <v>49664030631.880684</v>
      </c>
      <c r="E10" s="2">
        <v>39403368559.569817</v>
      </c>
      <c r="F10" s="2">
        <v>25365362317.987595</v>
      </c>
      <c r="G10" s="2">
        <v>17822399698.197433</v>
      </c>
      <c r="H10" s="2">
        <v>17385066760.996746</v>
      </c>
      <c r="I10" s="2">
        <v>16237609054.480135</v>
      </c>
      <c r="J10" s="2">
        <v>15804567176.098949</v>
      </c>
      <c r="K10" s="2">
        <v>15653055128.518875</v>
      </c>
      <c r="L10" s="2">
        <v>12557084335.464659</v>
      </c>
      <c r="M10" s="2">
        <v>11994180554.909351</v>
      </c>
      <c r="N10" s="2">
        <v>11772253574.410883</v>
      </c>
      <c r="O10" s="2">
        <v>10826977915.782478</v>
      </c>
      <c r="P10" s="2">
        <v>10716821975.956898</v>
      </c>
      <c r="Q10" s="2">
        <v>10543620812.70911</v>
      </c>
      <c r="R10" s="2">
        <v>10143448185.083256</v>
      </c>
      <c r="S10" s="2">
        <v>6741855279.4201365</v>
      </c>
      <c r="T10" s="2">
        <v>3728644332.1948223</v>
      </c>
      <c r="U10" s="2">
        <v>3247521810.8960314</v>
      </c>
      <c r="V10" s="2">
        <v>2500656744.8261642</v>
      </c>
      <c r="W10" s="2">
        <v>2165014540.597353</v>
      </c>
      <c r="X10" s="2">
        <v>1299008724.3584125</v>
      </c>
      <c r="Y10" s="2">
        <v>1263272994.3513105</v>
      </c>
    </row>
    <row r="11" spans="1:27" x14ac:dyDescent="0.25">
      <c r="A11" s="2">
        <v>2034</v>
      </c>
      <c r="B11" s="2">
        <v>106657695292.00003</v>
      </c>
      <c r="C11" s="2">
        <v>50262473115.662521</v>
      </c>
      <c r="D11" s="2">
        <v>44797451469.492226</v>
      </c>
      <c r="E11" s="2">
        <v>35542231839.087463</v>
      </c>
      <c r="F11" s="2">
        <v>22879810055.4632</v>
      </c>
      <c r="G11" s="2">
        <v>16075982464.407129</v>
      </c>
      <c r="H11" s="2">
        <v>15681503788.774183</v>
      </c>
      <c r="I11" s="2">
        <v>14646485481.420458</v>
      </c>
      <c r="J11" s="2">
        <v>14255877383.684105</v>
      </c>
      <c r="K11" s="2">
        <v>14119212004.089344</v>
      </c>
      <c r="L11" s="2">
        <v>11326615438.965172</v>
      </c>
      <c r="M11" s="2">
        <v>10818870608.9426</v>
      </c>
      <c r="N11" s="2">
        <v>10618690256.841471</v>
      </c>
      <c r="O11" s="2">
        <v>9766042175.2434559</v>
      </c>
      <c r="P11" s="2">
        <v>9666680417.7375088</v>
      </c>
      <c r="Q11" s="2">
        <v>9510451239.2690239</v>
      </c>
      <c r="R11" s="2">
        <v>9149491533.8765144</v>
      </c>
      <c r="S11" s="2">
        <v>6081220771.8857594</v>
      </c>
      <c r="T11" s="2">
        <v>3363274413.9633179</v>
      </c>
      <c r="U11" s="2">
        <v>2929297096.2840958</v>
      </c>
      <c r="V11" s="2">
        <v>2255617350.0806808</v>
      </c>
      <c r="W11" s="2">
        <v>1952864730.8560622</v>
      </c>
      <c r="X11" s="2">
        <v>1171718838.513638</v>
      </c>
      <c r="Y11" s="2">
        <v>1139484853.2661262</v>
      </c>
    </row>
    <row r="12" spans="1:27" x14ac:dyDescent="0.25">
      <c r="A12" s="2">
        <v>2035</v>
      </c>
      <c r="B12" s="2">
        <v>88497345426.730377</v>
      </c>
      <c r="C12" s="2">
        <v>41704402416.917488</v>
      </c>
      <c r="D12" s="2">
        <v>37169896893.78936</v>
      </c>
      <c r="E12" s="2">
        <v>29490541303.085716</v>
      </c>
      <c r="F12" s="2">
        <v>18984119694.626278</v>
      </c>
      <c r="G12" s="2">
        <v>13338763502.546896</v>
      </c>
      <c r="H12" s="2">
        <v>13011451764.510622</v>
      </c>
      <c r="I12" s="2">
        <v>12152663540.950134</v>
      </c>
      <c r="J12" s="2">
        <v>11828563346.798979</v>
      </c>
      <c r="K12" s="2">
        <v>11715167653.47595</v>
      </c>
      <c r="L12" s="2">
        <v>9398059805.0014534</v>
      </c>
      <c r="M12" s="2">
        <v>8976767468.915184</v>
      </c>
      <c r="N12" s="2">
        <v>8810671345.0580368</v>
      </c>
      <c r="O12" s="2">
        <v>8103201606.4888916</v>
      </c>
      <c r="P12" s="2">
        <v>8020757937.0270958</v>
      </c>
      <c r="Q12" s="2">
        <v>7891129525.9236279</v>
      </c>
      <c r="R12" s="2">
        <v>7591629563.4896193</v>
      </c>
      <c r="S12" s="2">
        <v>5045785902.2024841</v>
      </c>
      <c r="T12" s="2">
        <v>2790617749.2635245</v>
      </c>
      <c r="U12" s="2">
        <v>2430532708.1900306</v>
      </c>
      <c r="V12" s="2">
        <v>1871558795.9604888</v>
      </c>
      <c r="W12" s="2">
        <v>1620355138.7933526</v>
      </c>
      <c r="X12" s="2">
        <v>972213083.27601206</v>
      </c>
      <c r="Y12" s="2">
        <v>945467501.35508752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 t="shared" ref="AA16:AA23" si="0"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si="0"/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5931.9990797377932</v>
      </c>
      <c r="C19" s="2">
        <f>C8/'Output-Calculation-sheet'!C7*'Output-Calculation-sheet'!C25</f>
        <v>7909.4947384976313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2881.9553746588504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2109.456462752064</v>
      </c>
      <c r="N19" s="2">
        <f>N8/'Output-Calculation-sheet'!N7*'Output-Calculation-sheet'!N25</f>
        <v>1098.957162055359</v>
      </c>
      <c r="O19" s="2">
        <f>O8/'Output-Calculation-sheet'!O7*'Output-Calculation-sheet'!O25</f>
        <v>1198.4415625458844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479.07996295287228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243.83932484025758</v>
      </c>
      <c r="Y19" s="2">
        <f>Y8/'Output-Calculation-sheet'!Y7*'Output-Calculation-sheet'!Y25</f>
        <v>0</v>
      </c>
      <c r="AA19" s="2">
        <f t="shared" si="0"/>
        <v>21.853223668040712</v>
      </c>
    </row>
    <row r="20" spans="1:27" x14ac:dyDescent="0.25">
      <c r="A20" s="2">
        <v>2032</v>
      </c>
      <c r="B20" s="2">
        <f>B9/'Output-Calculation-sheet'!B8*'Output-Calculation-sheet'!B26</f>
        <v>7592.4418337263123</v>
      </c>
      <c r="C20" s="2">
        <f>C9/'Output-Calculation-sheet'!C8*'Output-Calculation-sheet'!C26</f>
        <v>8750.8842529549074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3150.3554910833745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2300.4791922755221</v>
      </c>
      <c r="N20" s="2">
        <f>N9/'Output-Calculation-sheet'!N8*'Output-Calculation-sheet'!N26</f>
        <v>1308.5401188729611</v>
      </c>
      <c r="O20" s="2">
        <f>O9/'Output-Calculation-sheet'!O8*'Output-Calculation-sheet'!O26</f>
        <v>1353.6885833864135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591.51664385829395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265.735211340543</v>
      </c>
      <c r="Y20" s="2">
        <f>Y9/'Output-Calculation-sheet'!Y8*'Output-Calculation-sheet'!Y26</f>
        <v>0</v>
      </c>
      <c r="AA20" s="2">
        <f t="shared" si="0"/>
        <v>25.313641327498324</v>
      </c>
    </row>
    <row r="21" spans="1:27" x14ac:dyDescent="0.25">
      <c r="A21" s="2">
        <v>2033</v>
      </c>
      <c r="B21" s="2">
        <f>B10/'Output-Calculation-sheet'!B9*'Output-Calculation-sheet'!B27</f>
        <v>9355.9943857385351</v>
      </c>
      <c r="C21" s="2">
        <f>C10/'Output-Calculation-sheet'!C9*'Output-Calculation-sheet'!C27</f>
        <v>8803.5551288892166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3150.4227635553452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27.336341592057728</v>
      </c>
      <c r="M21" s="2">
        <f>M10/'Output-Calculation-sheet'!M9*'Output-Calculation-sheet'!M27</f>
        <v>2312.3144494639737</v>
      </c>
      <c r="N21" s="2">
        <f>N10/'Output-Calculation-sheet'!N9*'Output-Calculation-sheet'!N27</f>
        <v>1413.4422144081368</v>
      </c>
      <c r="O21" s="2">
        <f>O10/'Output-Calculation-sheet'!O9*'Output-Calculation-sheet'!O27</f>
        <v>1376.8557883511551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656.80713270095362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267.68464404790183</v>
      </c>
      <c r="Y21" s="2">
        <f>Y10/'Output-Calculation-sheet'!Y9*'Output-Calculation-sheet'!Y27</f>
        <v>0</v>
      </c>
      <c r="AA21" s="2">
        <f t="shared" si="0"/>
        <v>27.364412848747282</v>
      </c>
    </row>
    <row r="22" spans="1:27" x14ac:dyDescent="0.25">
      <c r="A22" s="2">
        <v>2034</v>
      </c>
      <c r="B22" s="2">
        <f>B11/'Output-Calculation-sheet'!B10*'Output-Calculation-sheet'!B28</f>
        <v>10403.190022893692</v>
      </c>
      <c r="C22" s="2">
        <f>C11/'Output-Calculation-sheet'!C10*'Output-Calculation-sheet'!C28</f>
        <v>8194.5881667104277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2908.1557110141348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166.57712607872585</v>
      </c>
      <c r="M22" s="2">
        <f>M11/'Output-Calculation-sheet'!M10*'Output-Calculation-sheet'!M28</f>
        <v>2137.8138028284079</v>
      </c>
      <c r="N22" s="2">
        <f>N11/'Output-Calculation-sheet'!N10*'Output-Calculation-sheet'!N28</f>
        <v>1362.0513501163846</v>
      </c>
      <c r="O22" s="2">
        <f>O11/'Output-Calculation-sheet'!O10*'Output-Calculation-sheet'!O28</f>
        <v>1300.1129960796734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631.39028643882898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263.89542567421921</v>
      </c>
      <c r="Y22" s="2">
        <f>Y11/'Output-Calculation-sheet'!Y10*'Output-Calculation-sheet'!Y28</f>
        <v>0</v>
      </c>
      <c r="AA22" s="2">
        <f t="shared" si="0"/>
        <v>27.367774887834496</v>
      </c>
    </row>
    <row r="23" spans="1:27" x14ac:dyDescent="0.25">
      <c r="A23" s="2">
        <v>2035</v>
      </c>
      <c r="B23" s="2">
        <f>B12/'Output-Calculation-sheet'!B11*'Output-Calculation-sheet'!B29</f>
        <v>11158.827654968449</v>
      </c>
      <c r="C23" s="2">
        <f>C12/'Output-Calculation-sheet'!C11*'Output-Calculation-sheet'!C29</f>
        <v>6988.4926764484735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2475.7188871754493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256.06120464728639</v>
      </c>
      <c r="M23" s="2">
        <f>M12/'Output-Calculation-sheet'!M11*'Output-Calculation-sheet'!M29</f>
        <v>1828.6658837211176</v>
      </c>
      <c r="N23" s="2">
        <f>N12/'Output-Calculation-sheet'!N11*'Output-Calculation-sheet'!N29</f>
        <v>1181.8642197379993</v>
      </c>
      <c r="O23" s="2">
        <f>O12/'Output-Calculation-sheet'!O11*'Output-Calculation-sheet'!O29</f>
        <v>1134.2483586194908</v>
      </c>
      <c r="P23" s="2">
        <f>P12/'Output-Calculation-sheet'!P11*'Output-Calculation-sheet'!P29</f>
        <v>0</v>
      </c>
      <c r="Q23" s="2">
        <f>Q12/'Output-Calculation-sheet'!Q11*'Output-Calculation-sheet'!Q29</f>
        <v>66.618657285952722</v>
      </c>
      <c r="R23" s="2">
        <f>R12/'Output-Calculation-sheet'!R11*'Output-Calculation-sheet'!R29</f>
        <v>0</v>
      </c>
      <c r="S23" s="2">
        <f>S12/'Output-Calculation-sheet'!S11*'Output-Calculation-sheet'!S29</f>
        <v>550.89389740739625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241.67190469158805</v>
      </c>
      <c r="Y23" s="2">
        <f>Y12/'Output-Calculation-sheet'!Y11*'Output-Calculation-sheet'!Y29</f>
        <v>0</v>
      </c>
      <c r="AA23" s="2">
        <f t="shared" si="0"/>
        <v>25.883063344703203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 t="shared" ref="AA27:AA34" si="1"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si="1"/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29172.77299532972</v>
      </c>
      <c r="C30" s="2">
        <f>C8/'Output-Calculation-sheet'!C7*'Output-Calculation-sheet'!C16</f>
        <v>0</v>
      </c>
      <c r="D30" s="2">
        <f>D8/'Output-Calculation-sheet'!D7*'Output-Calculation-sheet'!D16</f>
        <v>6572.3445121825607</v>
      </c>
      <c r="E30" s="2">
        <f>E8/'Output-Calculation-sheet'!E7*'Output-Calculation-sheet'!E16</f>
        <v>8236.1975785375089</v>
      </c>
      <c r="F30" s="2">
        <f>F8/'Output-Calculation-sheet'!F7*'Output-Calculation-sheet'!F16</f>
        <v>4022.5581348368923</v>
      </c>
      <c r="G30" s="2">
        <f>G8/'Output-Calculation-sheet'!G7*'Output-Calculation-sheet'!G16</f>
        <v>2451.2946935434643</v>
      </c>
      <c r="H30" s="2">
        <f>H8/'Output-Calculation-sheet'!H7*'Output-Calculation-sheet'!H16</f>
        <v>0</v>
      </c>
      <c r="I30" s="2">
        <f>I8/'Output-Calculation-sheet'!I7*'Output-Calculation-sheet'!I16</f>
        <v>2307.591411904667</v>
      </c>
      <c r="J30" s="2">
        <f>J8/'Output-Calculation-sheet'!J7*'Output-Calculation-sheet'!J16</f>
        <v>2473.6382271635289</v>
      </c>
      <c r="K30" s="2">
        <f>K8/'Output-Calculation-sheet'!K7*'Output-Calculation-sheet'!K16</f>
        <v>2394.2037514457338</v>
      </c>
      <c r="L30" s="2">
        <f>L8/'Output-Calculation-sheet'!L7*'Output-Calculation-sheet'!L16</f>
        <v>2646.4115074395395</v>
      </c>
      <c r="M30" s="2">
        <f>M8/'Output-Calculation-sheet'!M7*'Output-Calculation-sheet'!M16</f>
        <v>0</v>
      </c>
      <c r="N30" s="2">
        <f>N8/'Output-Calculation-sheet'!N7*'Output-Calculation-sheet'!N16</f>
        <v>1186.7217088262773</v>
      </c>
      <c r="O30" s="2">
        <f>O8/'Output-Calculation-sheet'!O7*'Output-Calculation-sheet'!O16</f>
        <v>0</v>
      </c>
      <c r="P30" s="2">
        <f>P8/'Output-Calculation-sheet'!P7*'Output-Calculation-sheet'!P16</f>
        <v>2265.4595377707351</v>
      </c>
      <c r="Q30" s="2">
        <f>Q8/'Output-Calculation-sheet'!Q7*'Output-Calculation-sheet'!Q16</f>
        <v>2222.528041157711</v>
      </c>
      <c r="R30" s="2">
        <f>R8/'Output-Calculation-sheet'!R7*'Output-Calculation-sheet'!R16</f>
        <v>1972.323290145983</v>
      </c>
      <c r="S30" s="2">
        <f>S8/'Output-Calculation-sheet'!S7*'Output-Calculation-sheet'!S16</f>
        <v>1044.6051735202609</v>
      </c>
      <c r="T30" s="2">
        <f>T8/'Output-Calculation-sheet'!T7*'Output-Calculation-sheet'!T16</f>
        <v>744.97587230871352</v>
      </c>
      <c r="U30" s="2">
        <f>U8/'Output-Calculation-sheet'!U7*'Output-Calculation-sheet'!U16</f>
        <v>574.82535764208217</v>
      </c>
      <c r="V30" s="2">
        <f>V8/'Output-Calculation-sheet'!V7*'Output-Calculation-sheet'!V16</f>
        <v>744.28389066767454</v>
      </c>
      <c r="W30" s="2">
        <f>W8/'Output-Calculation-sheet'!W7*'Output-Calculation-sheet'!W16</f>
        <v>358.35748092798445</v>
      </c>
      <c r="X30" s="2">
        <f>X8/'Output-Calculation-sheet'!X7*'Output-Calculation-sheet'!X16</f>
        <v>0</v>
      </c>
      <c r="Y30" s="2">
        <f>Y8/'Output-Calculation-sheet'!Y7*'Output-Calculation-sheet'!Y16</f>
        <v>244.40761464539082</v>
      </c>
      <c r="AA30" s="2">
        <f t="shared" si="1"/>
        <v>71.635500779996434</v>
      </c>
    </row>
    <row r="31" spans="1:27" x14ac:dyDescent="0.25">
      <c r="A31" s="2">
        <v>2032</v>
      </c>
      <c r="B31" s="2">
        <f>B9/'Output-Calculation-sheet'!B8*'Output-Calculation-sheet'!B17</f>
        <v>30763.475698896029</v>
      </c>
      <c r="C31" s="2">
        <f>C9/'Output-Calculation-sheet'!C8*'Output-Calculation-sheet'!C17</f>
        <v>0</v>
      </c>
      <c r="D31" s="2">
        <f>D9/'Output-Calculation-sheet'!D8*'Output-Calculation-sheet'!D17</f>
        <v>7041.1247489950902</v>
      </c>
      <c r="E31" s="2">
        <f>E9/'Output-Calculation-sheet'!E8*'Output-Calculation-sheet'!E17</f>
        <v>8844.582873105559</v>
      </c>
      <c r="F31" s="2">
        <f>F9/'Output-Calculation-sheet'!F8*'Output-Calculation-sheet'!F17</f>
        <v>4315.4411724271322</v>
      </c>
      <c r="G31" s="2">
        <f>G9/'Output-Calculation-sheet'!G8*'Output-Calculation-sheet'!G17</f>
        <v>2626.9244401691899</v>
      </c>
      <c r="H31" s="2">
        <f>H9/'Output-Calculation-sheet'!H8*'Output-Calculation-sheet'!H17</f>
        <v>0</v>
      </c>
      <c r="I31" s="2">
        <f>I9/'Output-Calculation-sheet'!I8*'Output-Calculation-sheet'!I17</f>
        <v>2471.6877564883816</v>
      </c>
      <c r="J31" s="2">
        <f>J9/'Output-Calculation-sheet'!J8*'Output-Calculation-sheet'!J17</f>
        <v>2651.6966521388913</v>
      </c>
      <c r="K31" s="2">
        <f>K9/'Output-Calculation-sheet'!K8*'Output-Calculation-sheet'!K17</f>
        <v>2564.5630516147912</v>
      </c>
      <c r="L31" s="2">
        <f>L9/'Output-Calculation-sheet'!L8*'Output-Calculation-sheet'!L17</f>
        <v>2833.7504906007816</v>
      </c>
      <c r="M31" s="2">
        <f>M9/'Output-Calculation-sheet'!M8*'Output-Calculation-sheet'!M17</f>
        <v>0</v>
      </c>
      <c r="N31" s="2">
        <f>N9/'Output-Calculation-sheet'!N8*'Output-Calculation-sheet'!N17</f>
        <v>1194.8168152033311</v>
      </c>
      <c r="O31" s="2">
        <f>O9/'Output-Calculation-sheet'!O8*'Output-Calculation-sheet'!O17</f>
        <v>0</v>
      </c>
      <c r="P31" s="2">
        <f>P9/'Output-Calculation-sheet'!P8*'Output-Calculation-sheet'!P17</f>
        <v>2440.9520064142534</v>
      </c>
      <c r="Q31" s="2">
        <f>Q9/'Output-Calculation-sheet'!Q8*'Output-Calculation-sheet'!Q17</f>
        <v>2387.1454072901447</v>
      </c>
      <c r="R31" s="2">
        <f>R9/'Output-Calculation-sheet'!R8*'Output-Calculation-sheet'!R17</f>
        <v>2136.4251593000881</v>
      </c>
      <c r="S31" s="2">
        <f>S9/'Output-Calculation-sheet'!S8*'Output-Calculation-sheet'!S17</f>
        <v>1069.4516232473422</v>
      </c>
      <c r="T31" s="2">
        <f>T9/'Output-Calculation-sheet'!T8*'Output-Calculation-sheet'!T17</f>
        <v>800.35378334724635</v>
      </c>
      <c r="U31" s="2">
        <f>U9/'Output-Calculation-sheet'!U8*'Output-Calculation-sheet'!U17</f>
        <v>619.70649817852859</v>
      </c>
      <c r="V31" s="2">
        <f>V9/'Output-Calculation-sheet'!V8*'Output-Calculation-sheet'!V17</f>
        <v>788.05618403586777</v>
      </c>
      <c r="W31" s="2">
        <f>W9/'Output-Calculation-sheet'!W8*'Output-Calculation-sheet'!W17</f>
        <v>384.09392340953235</v>
      </c>
      <c r="X31" s="2">
        <f>X9/'Output-Calculation-sheet'!X8*'Output-Calculation-sheet'!X17</f>
        <v>0</v>
      </c>
      <c r="Y31" s="2">
        <f>Y9/'Output-Calculation-sheet'!Y8*'Output-Calculation-sheet'!Y17</f>
        <v>261.84153922001008</v>
      </c>
      <c r="AA31" s="2">
        <f t="shared" si="1"/>
        <v>76.196089824082193</v>
      </c>
    </row>
    <row r="32" spans="1:27" x14ac:dyDescent="0.25">
      <c r="A32" s="2">
        <v>2033</v>
      </c>
      <c r="B32" s="2">
        <f>B10/'Output-Calculation-sheet'!B9*'Output-Calculation-sheet'!B18</f>
        <v>29639.81976242406</v>
      </c>
      <c r="C32" s="2">
        <f>C10/'Output-Calculation-sheet'!C9*'Output-Calculation-sheet'!C18</f>
        <v>0</v>
      </c>
      <c r="D32" s="2">
        <f>D10/'Output-Calculation-sheet'!D9*'Output-Calculation-sheet'!D18</f>
        <v>6934.2778625551491</v>
      </c>
      <c r="E32" s="2">
        <f>E10/'Output-Calculation-sheet'!E9*'Output-Calculation-sheet'!E18</f>
        <v>8721.3642281161156</v>
      </c>
      <c r="F32" s="2">
        <f>F10/'Output-Calculation-sheet'!F9*'Output-Calculation-sheet'!F18</f>
        <v>4247.7963040998202</v>
      </c>
      <c r="G32" s="2">
        <f>G10/'Output-Calculation-sheet'!G9*'Output-Calculation-sheet'!G18</f>
        <v>2584.298161122947</v>
      </c>
      <c r="H32" s="2">
        <f>H10/'Output-Calculation-sheet'!H9*'Output-Calculation-sheet'!H18</f>
        <v>0</v>
      </c>
      <c r="I32" s="2">
        <f>I10/'Output-Calculation-sheet'!I9*'Output-Calculation-sheet'!I18</f>
        <v>2435.2458491439788</v>
      </c>
      <c r="J32" s="2">
        <f>J10/'Output-Calculation-sheet'!J9*'Output-Calculation-sheet'!J18</f>
        <v>2609.7728271736669</v>
      </c>
      <c r="K32" s="2">
        <f>K10/'Output-Calculation-sheet'!K9*'Output-Calculation-sheet'!K18</f>
        <v>2531.286155070185</v>
      </c>
      <c r="L32" s="2">
        <f>L10/'Output-Calculation-sheet'!L9*'Output-Calculation-sheet'!L18</f>
        <v>2780.671266224515</v>
      </c>
      <c r="M32" s="2">
        <f>M10/'Output-Calculation-sheet'!M9*'Output-Calculation-sheet'!M18</f>
        <v>0</v>
      </c>
      <c r="N32" s="2">
        <f>N10/'Output-Calculation-sheet'!N9*'Output-Calculation-sheet'!N18</f>
        <v>1082.2240757953177</v>
      </c>
      <c r="O32" s="2">
        <f>O10/'Output-Calculation-sheet'!O9*'Output-Calculation-sheet'!O18</f>
        <v>0</v>
      </c>
      <c r="P32" s="2">
        <f>P10/'Output-Calculation-sheet'!P9*'Output-Calculation-sheet'!P18</f>
        <v>2438.5521616124433</v>
      </c>
      <c r="Q32" s="2">
        <f>Q10/'Output-Calculation-sheet'!Q9*'Output-Calculation-sheet'!Q18</f>
        <v>2362.1241666051201</v>
      </c>
      <c r="R32" s="2">
        <f>R10/'Output-Calculation-sheet'!R9*'Output-Calculation-sheet'!R18</f>
        <v>2123.1751007950579</v>
      </c>
      <c r="S32" s="2">
        <f>S10/'Output-Calculation-sheet'!S9*'Output-Calculation-sheet'!S18</f>
        <v>1011.9168198991142</v>
      </c>
      <c r="T32" s="2">
        <f>T10/'Output-Calculation-sheet'!T9*'Output-Calculation-sheet'!T18</f>
        <v>785.62483537182948</v>
      </c>
      <c r="U32" s="2">
        <f>U10/'Output-Calculation-sheet'!U9*'Output-Calculation-sheet'!U18</f>
        <v>612.49658137485119</v>
      </c>
      <c r="V32" s="2">
        <f>V10/'Output-Calculation-sheet'!V9*'Output-Calculation-sheet'!V18</f>
        <v>772.77092011505613</v>
      </c>
      <c r="W32" s="2">
        <f>W10/'Output-Calculation-sheet'!W9*'Output-Calculation-sheet'!W18</f>
        <v>377.04942264379264</v>
      </c>
      <c r="X32" s="2">
        <f>X10/'Output-Calculation-sheet'!X9*'Output-Calculation-sheet'!X18</f>
        <v>0</v>
      </c>
      <c r="Y32" s="2">
        <f>Y10/'Output-Calculation-sheet'!Y9*'Output-Calculation-sheet'!Y18</f>
        <v>258.02827566142156</v>
      </c>
      <c r="AA32" s="2">
        <f t="shared" si="1"/>
        <v>74.308494775804434</v>
      </c>
    </row>
    <row r="33" spans="1:27" x14ac:dyDescent="0.25">
      <c r="A33" s="2">
        <v>2034</v>
      </c>
      <c r="B33" s="2">
        <f>B11/'Output-Calculation-sheet'!B10*'Output-Calculation-sheet'!B19</f>
        <v>26086.788680333553</v>
      </c>
      <c r="C33" s="2">
        <f>C11/'Output-Calculation-sheet'!C10*'Output-Calculation-sheet'!C19</f>
        <v>0</v>
      </c>
      <c r="D33" s="2">
        <f>D11/'Output-Calculation-sheet'!D10*'Output-Calculation-sheet'!D19</f>
        <v>6282.4522943814391</v>
      </c>
      <c r="E33" s="2">
        <f>E11/'Output-Calculation-sheet'!E10*'Output-Calculation-sheet'!E19</f>
        <v>7907.8767010049296</v>
      </c>
      <c r="F33" s="2">
        <f>F11/'Output-Calculation-sheet'!F10*'Output-Calculation-sheet'!F19</f>
        <v>3849.4517756814766</v>
      </c>
      <c r="G33" s="2">
        <f>G11/'Output-Calculation-sheet'!G10*'Output-Calculation-sheet'!G19</f>
        <v>2336.7783639045215</v>
      </c>
      <c r="H33" s="2">
        <f>H11/'Output-Calculation-sheet'!H10*'Output-Calculation-sheet'!H19</f>
        <v>0</v>
      </c>
      <c r="I33" s="2">
        <f>I11/'Output-Calculation-sheet'!I10*'Output-Calculation-sheet'!I19</f>
        <v>2208.3666064349827</v>
      </c>
      <c r="J33" s="2">
        <f>J11/'Output-Calculation-sheet'!J10*'Output-Calculation-sheet'!J19</f>
        <v>2358.0386743354402</v>
      </c>
      <c r="K33" s="2">
        <f>K11/'Output-Calculation-sheet'!K10*'Output-Calculation-sheet'!K19</f>
        <v>2300.2911582720762</v>
      </c>
      <c r="L33" s="2">
        <f>L11/'Output-Calculation-sheet'!L10*'Output-Calculation-sheet'!L19</f>
        <v>2472.8734187107111</v>
      </c>
      <c r="M33" s="2">
        <f>M11/'Output-Calculation-sheet'!M10*'Output-Calculation-sheet'!M19</f>
        <v>0</v>
      </c>
      <c r="N33" s="2">
        <f>N11/'Output-Calculation-sheet'!N10*'Output-Calculation-sheet'!N19</f>
        <v>930.89248404126556</v>
      </c>
      <c r="O33" s="2">
        <f>O11/'Output-Calculation-sheet'!O10*'Output-Calculation-sheet'!O19</f>
        <v>0</v>
      </c>
      <c r="P33" s="2">
        <f>P11/'Output-Calculation-sheet'!P10*'Output-Calculation-sheet'!P19</f>
        <v>2252.4951973254997</v>
      </c>
      <c r="Q33" s="2">
        <f>Q11/'Output-Calculation-sheet'!Q10*'Output-Calculation-sheet'!Q19</f>
        <v>2149.4250037727666</v>
      </c>
      <c r="R33" s="2">
        <f>R11/'Output-Calculation-sheet'!R10*'Output-Calculation-sheet'!R19</f>
        <v>1947.9284785418317</v>
      </c>
      <c r="S33" s="2">
        <f>S11/'Output-Calculation-sheet'!S10*'Output-Calculation-sheet'!S19</f>
        <v>897.8396999295552</v>
      </c>
      <c r="T33" s="2">
        <f>T11/'Output-Calculation-sheet'!T10*'Output-Calculation-sheet'!T19</f>
        <v>710.67184158148052</v>
      </c>
      <c r="U33" s="2">
        <f>U11/'Output-Calculation-sheet'!U10*'Output-Calculation-sheet'!U19</f>
        <v>558.70691100156421</v>
      </c>
      <c r="V33" s="2">
        <f>V11/'Output-Calculation-sheet'!V10*'Output-Calculation-sheet'!V19</f>
        <v>695.36624607861779</v>
      </c>
      <c r="W33" s="2">
        <f>W11/'Output-Calculation-sheet'!W10*'Output-Calculation-sheet'!W19</f>
        <v>341.11234709898076</v>
      </c>
      <c r="X33" s="2">
        <f>X11/'Output-Calculation-sheet'!X10*'Output-Calculation-sheet'!X19</f>
        <v>0</v>
      </c>
      <c r="Y33" s="2">
        <f>Y11/'Output-Calculation-sheet'!Y10*'Output-Calculation-sheet'!Y19</f>
        <v>234.3707319019228</v>
      </c>
      <c r="AA33" s="2">
        <f t="shared" si="1"/>
        <v>66.521726614332621</v>
      </c>
    </row>
    <row r="34" spans="1:27" x14ac:dyDescent="0.25">
      <c r="A34" s="2">
        <v>2035</v>
      </c>
      <c r="B34" s="2">
        <f>B12/'Output-Calculation-sheet'!B11*'Output-Calculation-sheet'!B20</f>
        <v>20817.475699054041</v>
      </c>
      <c r="C34" s="2">
        <f>C12/'Output-Calculation-sheet'!C11*'Output-Calculation-sheet'!C20</f>
        <v>0</v>
      </c>
      <c r="D34" s="2">
        <f>D12/'Output-Calculation-sheet'!D11*'Output-Calculation-sheet'!D20</f>
        <v>5244.3523890987535</v>
      </c>
      <c r="E34" s="2">
        <f>E12/'Output-Calculation-sheet'!E11*'Output-Calculation-sheet'!E20</f>
        <v>6601.3122547841404</v>
      </c>
      <c r="F34" s="2">
        <f>F12/'Output-Calculation-sheet'!F11*'Output-Calculation-sheet'!F20</f>
        <v>3208.0658948314199</v>
      </c>
      <c r="G34" s="2">
        <f>G12/'Output-Calculation-sheet'!G11*'Output-Calculation-sheet'!G20</f>
        <v>1954.0400340691112</v>
      </c>
      <c r="H34" s="2">
        <f>H12/'Output-Calculation-sheet'!H11*'Output-Calculation-sheet'!H20</f>
        <v>0</v>
      </c>
      <c r="I34" s="2">
        <f>I12/'Output-Calculation-sheet'!I11*'Output-Calculation-sheet'!I20</f>
        <v>1843.0406054977507</v>
      </c>
      <c r="J34" s="2">
        <f>J12/'Output-Calculation-sheet'!J11*'Output-Calculation-sheet'!J20</f>
        <v>1961.7831475626826</v>
      </c>
      <c r="K34" s="2">
        <f>K12/'Output-Calculation-sheet'!K11*'Output-Calculation-sheet'!K20</f>
        <v>1922.5161493245182</v>
      </c>
      <c r="L34" s="2">
        <f>L12/'Output-Calculation-sheet'!L11*'Output-Calculation-sheet'!L20</f>
        <v>2028.561554870977</v>
      </c>
      <c r="M34" s="2">
        <f>M12/'Output-Calculation-sheet'!M11*'Output-Calculation-sheet'!M20</f>
        <v>0</v>
      </c>
      <c r="N34" s="2">
        <f>N12/'Output-Calculation-sheet'!N11*'Output-Calculation-sheet'!N20</f>
        <v>744.08741381346772</v>
      </c>
      <c r="O34" s="2">
        <f>O12/'Output-Calculation-sheet'!O11*'Output-Calculation-sheet'!O20</f>
        <v>0</v>
      </c>
      <c r="P34" s="2">
        <f>P12/'Output-Calculation-sheet'!P11*'Output-Calculation-sheet'!P20</f>
        <v>1908.3637510866497</v>
      </c>
      <c r="Q34" s="2">
        <f>Q12/'Output-Calculation-sheet'!Q11*'Output-Calculation-sheet'!Q20</f>
        <v>1762.1188262623848</v>
      </c>
      <c r="R34" s="2">
        <f>R12/'Output-Calculation-sheet'!R11*'Output-Calculation-sheet'!R20</f>
        <v>1639.3983734708727</v>
      </c>
      <c r="S34" s="2">
        <f>S12/'Output-Calculation-sheet'!S11*'Output-Calculation-sheet'!S20</f>
        <v>735.40592219852272</v>
      </c>
      <c r="T34" s="2">
        <f>T12/'Output-Calculation-sheet'!T11*'Output-Calculation-sheet'!T20</f>
        <v>592.18624955514065</v>
      </c>
      <c r="U34" s="2">
        <f>U12/'Output-Calculation-sheet'!U11*'Output-Calculation-sheet'!U20</f>
        <v>466.42623502571661</v>
      </c>
      <c r="V34" s="2">
        <f>V12/'Output-Calculation-sheet'!V11*'Output-Calculation-sheet'!V20</f>
        <v>578.68637345028083</v>
      </c>
      <c r="W34" s="2">
        <f>W12/'Output-Calculation-sheet'!W11*'Output-Calculation-sheet'!W20</f>
        <v>284.07711713131226</v>
      </c>
      <c r="X34" s="2">
        <f>X12/'Output-Calculation-sheet'!X11*'Output-Calculation-sheet'!X20</f>
        <v>0</v>
      </c>
      <c r="Y34" s="2">
        <f>Y12/'Output-Calculation-sheet'!Y11*'Output-Calculation-sheet'!Y20</f>
        <v>195.44507444371644</v>
      </c>
      <c r="AA34" s="2">
        <f t="shared" si="1"/>
        <v>54.487343065531462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166.70257562555011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148.39039623531949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645.26954182829206</v>
      </c>
      <c r="S52" s="2">
        <f>S8/'Output-Calculation-sheet'!S7*'Output-Calculation-sheet'!S43</f>
        <v>0</v>
      </c>
      <c r="T52" s="2">
        <f>T8/'Output-Calculation-sheet'!T7*'Output-Calculation-sheet'!T43</f>
        <v>519.58242194554998</v>
      </c>
      <c r="U52" s="2">
        <f>U8/'Output-Calculation-sheet'!U7*'Output-Calculation-sheet'!U43</f>
        <v>54.954623101537493</v>
      </c>
      <c r="V52" s="2">
        <f>V8/'Output-Calculation-sheet'!V7*'Output-Calculation-sheet'!V43</f>
        <v>936.95830060392484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2.4718578593401741</v>
      </c>
    </row>
    <row r="53" spans="1:27" x14ac:dyDescent="0.25">
      <c r="A53" s="2">
        <v>2032</v>
      </c>
      <c r="B53" s="2">
        <f>B9/'Output-Calculation-sheet'!B8*'Output-Calculation-sheet'!B44</f>
        <v>1886.0280909737774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355.56157065675745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284.85300807163935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890.54821146314646</v>
      </c>
      <c r="S53" s="2">
        <f>S9/'Output-Calculation-sheet'!S8*'Output-Calculation-sheet'!S44</f>
        <v>0</v>
      </c>
      <c r="T53" s="2">
        <f>T9/'Output-Calculation-sheet'!T8*'Output-Calculation-sheet'!T44</f>
        <v>614.01515867029229</v>
      </c>
      <c r="U53" s="2">
        <f>U9/'Output-Calculation-sheet'!U8*'Output-Calculation-sheet'!U44</f>
        <v>104.18956319333016</v>
      </c>
      <c r="V53" s="2">
        <f>V9/'Output-Calculation-sheet'!V8*'Output-Calculation-sheet'!V44</f>
        <v>1029.3511594976133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5.1645467625265562</v>
      </c>
    </row>
    <row r="54" spans="1:27" x14ac:dyDescent="0.25">
      <c r="A54" s="2">
        <v>2033</v>
      </c>
      <c r="B54" s="2">
        <f>B10/'Output-Calculation-sheet'!B9*'Output-Calculation-sheet'!B45</f>
        <v>5540.3258224413339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487.42606134858283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464.8742106853781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273.93543401133519</v>
      </c>
      <c r="Q54" s="2">
        <f>Q10/'Output-Calculation-sheet'!Q9*'Output-Calculation-sheet'!Q45</f>
        <v>0</v>
      </c>
      <c r="R54" s="2">
        <f>R10/'Output-Calculation-sheet'!R9*'Output-Calculation-sheet'!R45</f>
        <v>1109.8356744968612</v>
      </c>
      <c r="S54" s="2">
        <f>S10/'Output-Calculation-sheet'!S9*'Output-Calculation-sheet'!S45</f>
        <v>0</v>
      </c>
      <c r="T54" s="2">
        <f>T10/'Output-Calculation-sheet'!T9*'Output-Calculation-sheet'!T45</f>
        <v>667.22533335980586</v>
      </c>
      <c r="U54" s="2">
        <f>U10/'Output-Calculation-sheet'!U9*'Output-Calculation-sheet'!U45</f>
        <v>159.40800906089319</v>
      </c>
      <c r="V54" s="2">
        <f>V10/'Output-Calculation-sheet'!V9*'Output-Calculation-sheet'!V45</f>
        <v>1047.2616368342133</v>
      </c>
      <c r="W54" s="2">
        <f>W10/'Output-Calculation-sheet'!W9*'Output-Calculation-sheet'!W45</f>
        <v>17.03004359227166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9.7673222258306733</v>
      </c>
    </row>
    <row r="55" spans="1:27" x14ac:dyDescent="0.25">
      <c r="A55" s="2">
        <v>2034</v>
      </c>
      <c r="B55" s="2">
        <f>B11/'Output-Calculation-sheet'!B10*'Output-Calculation-sheet'!B46</f>
        <v>8953.7273270036385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596.68573578714813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587.04965099872254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475.17787772249545</v>
      </c>
      <c r="Q55" s="2">
        <f>Q11/'Output-Calculation-sheet'!Q10*'Output-Calculation-sheet'!Q46</f>
        <v>0</v>
      </c>
      <c r="R55" s="2">
        <f>R11/'Output-Calculation-sheet'!R10*'Output-Calculation-sheet'!R46</f>
        <v>1233.4770939502816</v>
      </c>
      <c r="S55" s="2">
        <f>S11/'Output-Calculation-sheet'!S10*'Output-Calculation-sheet'!S46</f>
        <v>0</v>
      </c>
      <c r="T55" s="2">
        <f>T11/'Output-Calculation-sheet'!T10*'Output-Calculation-sheet'!T46</f>
        <v>641.52592837377142</v>
      </c>
      <c r="U55" s="2">
        <f>U11/'Output-Calculation-sheet'!U10*'Output-Calculation-sheet'!U46</f>
        <v>201.30266195586566</v>
      </c>
      <c r="V55" s="2">
        <f>V11/'Output-Calculation-sheet'!V10*'Output-Calculation-sheet'!V46</f>
        <v>966.81511065633458</v>
      </c>
      <c r="W55" s="2">
        <f>W11/'Output-Calculation-sheet'!W10*'Output-Calculation-sheet'!W46</f>
        <v>26.88222135563435</v>
      </c>
      <c r="X55" s="2">
        <f>X11/'Output-Calculation-sheet'!X10*'Output-Calculation-sheet'!X46</f>
        <v>64.301444735392323</v>
      </c>
      <c r="Y55" s="2">
        <f>Y11/'Output-Calculation-sheet'!Y10*'Output-Calculation-sheet'!Y46</f>
        <v>0</v>
      </c>
      <c r="AA55" s="2">
        <f t="shared" si="3"/>
        <v>13.746945052539285</v>
      </c>
    </row>
    <row r="56" spans="1:27" x14ac:dyDescent="0.25">
      <c r="A56" s="2">
        <v>2035</v>
      </c>
      <c r="B56" s="2">
        <f>B12/'Output-Calculation-sheet'!B11*'Output-Calculation-sheet'!B47</f>
        <v>16240.571625358572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599.31885296158896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579.87394699646563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551.97867285946768</v>
      </c>
      <c r="Q56" s="2">
        <f>Q12/'Output-Calculation-sheet'!Q11*'Output-Calculation-sheet'!Q47</f>
        <v>0</v>
      </c>
      <c r="R56" s="2">
        <f>R12/'Output-Calculation-sheet'!R11*'Output-Calculation-sheet'!R47</f>
        <v>1260.7790180140798</v>
      </c>
      <c r="S56" s="2">
        <f>S12/'Output-Calculation-sheet'!S11*'Output-Calculation-sheet'!S47</f>
        <v>0</v>
      </c>
      <c r="T56" s="2">
        <f>T12/'Output-Calculation-sheet'!T11*'Output-Calculation-sheet'!T47</f>
        <v>598.14575682034149</v>
      </c>
      <c r="U56" s="2">
        <f>U12/'Output-Calculation-sheet'!U11*'Output-Calculation-sheet'!U47</f>
        <v>229.06606725362087</v>
      </c>
      <c r="V56" s="2">
        <f>V12/'Output-Calculation-sheet'!V11*'Output-Calculation-sheet'!V47</f>
        <v>816.91704760245671</v>
      </c>
      <c r="W56" s="2">
        <f>W12/'Output-Calculation-sheet'!W11*'Output-Calculation-sheet'!W47</f>
        <v>31.864357180019773</v>
      </c>
      <c r="X56" s="2">
        <f>X12/'Output-Calculation-sheet'!X11*'Output-Calculation-sheet'!X47</f>
        <v>125.7606240559864</v>
      </c>
      <c r="Y56" s="2">
        <f>Y12/'Output-Calculation-sheet'!Y11*'Output-Calculation-sheet'!Y47</f>
        <v>0</v>
      </c>
      <c r="AA56" s="2">
        <f t="shared" si="3"/>
        <v>21.034275969102598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 t="shared" ref="AA60:AA67" si="4"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si="4"/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8.0497164271707344</v>
      </c>
      <c r="C63" s="2">
        <f>C8*'Output-Calculation-sheet'!C52/10^9</f>
        <v>4.0802142989782819</v>
      </c>
      <c r="D63" s="2">
        <f>D8*'Output-Calculation-sheet'!D52/10^9</f>
        <v>1.4254006273315496</v>
      </c>
      <c r="E63" s="2">
        <f>E8*'Output-Calculation-sheet'!E52/10^9</f>
        <v>1.8353296939075867</v>
      </c>
      <c r="F63" s="2">
        <f>F8*'Output-Calculation-sheet'!F52/10^9</f>
        <v>0.76340964666357325</v>
      </c>
      <c r="G63" s="2">
        <f>G8*'Output-Calculation-sheet'!G52/10^9</f>
        <v>0.54776458287870178</v>
      </c>
      <c r="H63" s="2">
        <f>H8*'Output-Calculation-sheet'!H52/10^9</f>
        <v>1.0581202593810732</v>
      </c>
      <c r="I63" s="2">
        <f>I8*'Output-Calculation-sheet'!I52/10^9</f>
        <v>0.49103589645001544</v>
      </c>
      <c r="J63" s="2">
        <f>J8*'Output-Calculation-sheet'!J52/10^9</f>
        <v>0.5278827794087495</v>
      </c>
      <c r="K63" s="2">
        <f>K8*'Output-Calculation-sheet'!K52/10^9</f>
        <v>0.53906023884235343</v>
      </c>
      <c r="L63" s="2">
        <f>L8*'Output-Calculation-sheet'!L52/10^9</f>
        <v>0.56062847550660833</v>
      </c>
      <c r="M63" s="2">
        <f>M8*'Output-Calculation-sheet'!M52/10^9</f>
        <v>0.80010945818913071</v>
      </c>
      <c r="N63" s="2">
        <f>N8*'Output-Calculation-sheet'!N52/10^9</f>
        <v>0.67600009201954558</v>
      </c>
      <c r="O63" s="2">
        <f>O8*'Output-Calculation-sheet'!O52/10^9</f>
        <v>0.70029384097016212</v>
      </c>
      <c r="P63" s="2">
        <f>P8*'Output-Calculation-sheet'!P52/10^9</f>
        <v>0.58038484102876031</v>
      </c>
      <c r="Q63" s="2">
        <f>Q8*'Output-Calculation-sheet'!Q52/10^9</f>
        <v>0.54903945962824774</v>
      </c>
      <c r="R63" s="2">
        <f>R8*'Output-Calculation-sheet'!R52/10^9</f>
        <v>0.46253364021806209</v>
      </c>
      <c r="S63" s="2">
        <f>S8*'Output-Calculation-sheet'!S52/10^9</f>
        <v>0.42527089644407362</v>
      </c>
      <c r="T63" s="2">
        <f>T8*'Output-Calculation-sheet'!T52/10^9</f>
        <v>0.15145947263635057</v>
      </c>
      <c r="U63" s="2">
        <f>U8*'Output-Calculation-sheet'!U52/10^9</f>
        <v>0.14857117371113379</v>
      </c>
      <c r="V63" s="2">
        <f>V8*'Output-Calculation-sheet'!V52/10^9</f>
        <v>0.13315932963883642</v>
      </c>
      <c r="W63" s="2">
        <f>W8*'Output-Calculation-sheet'!W52/10^9</f>
        <v>6.9511381041878456E-2</v>
      </c>
      <c r="X63" s="2">
        <f>X8*'Output-Calculation-sheet'!X52/10^9</f>
        <v>0.11233188709537473</v>
      </c>
      <c r="Y63" s="2">
        <f>Y8*'Output-Calculation-sheet'!Y52/10^9</f>
        <v>5.7938537082733763E-2</v>
      </c>
      <c r="AA63" s="2">
        <f t="shared" si="4"/>
        <v>24.745166936223512</v>
      </c>
    </row>
    <row r="64" spans="1:27" x14ac:dyDescent="0.25">
      <c r="A64" s="2">
        <v>2032</v>
      </c>
      <c r="B64" s="2">
        <f>B9*'Output-Calculation-sheet'!B53/10^9</f>
        <v>8.5255106345600176</v>
      </c>
      <c r="C64" s="2">
        <f>C9*'Output-Calculation-sheet'!C53/10^9</f>
        <v>4.3175172204214798</v>
      </c>
      <c r="D64" s="2">
        <f>D9*'Output-Calculation-sheet'!D53/10^9</f>
        <v>1.5123652799374385</v>
      </c>
      <c r="E64" s="2">
        <f>E9*'Output-Calculation-sheet'!E53/10^9</f>
        <v>1.9475575404412055</v>
      </c>
      <c r="F64" s="2">
        <f>F9*'Output-Calculation-sheet'!F53/10^9</f>
        <v>0.80938791408668598</v>
      </c>
      <c r="G64" s="2">
        <f>G9*'Output-Calculation-sheet'!G53/10^9</f>
        <v>0.58105959118038397</v>
      </c>
      <c r="H64" s="2">
        <f>H9*'Output-Calculation-sheet'!H53/10^9</f>
        <v>1.118281817729933</v>
      </c>
      <c r="I64" s="2">
        <f>I9*'Output-Calculation-sheet'!I53/10^9</f>
        <v>0.52094328355579245</v>
      </c>
      <c r="J64" s="2">
        <f>J9*'Output-Calculation-sheet'!J53/10^9</f>
        <v>0.55986077832474024</v>
      </c>
      <c r="K64" s="2">
        <f>K9*'Output-Calculation-sheet'!K53/10^9</f>
        <v>0.57205672581855416</v>
      </c>
      <c r="L64" s="2">
        <f>L9*'Output-Calculation-sheet'!L53/10^9</f>
        <v>0.59476176397082081</v>
      </c>
      <c r="M64" s="2">
        <f>M9*'Output-Calculation-sheet'!M53/10^9</f>
        <v>0.84580662951599828</v>
      </c>
      <c r="N64" s="2">
        <f>N9*'Output-Calculation-sheet'!N53/10^9</f>
        <v>0.71539631528171921</v>
      </c>
      <c r="O64" s="2">
        <f>O9*'Output-Calculation-sheet'!O53/10^9</f>
        <v>0.74125535668848808</v>
      </c>
      <c r="P64" s="2">
        <f>P9*'Output-Calculation-sheet'!P53/10^9</f>
        <v>0.61627102211173279</v>
      </c>
      <c r="Q64" s="2">
        <f>Q9*'Output-Calculation-sheet'!Q53/10^9</f>
        <v>0.5828991492476423</v>
      </c>
      <c r="R64" s="2">
        <f>R9*'Output-Calculation-sheet'!R53/10^9</f>
        <v>0.49026743831065961</v>
      </c>
      <c r="S64" s="2">
        <f>S9*'Output-Calculation-sheet'!S53/10^9</f>
        <v>0.45045946649799679</v>
      </c>
      <c r="T64" s="2">
        <f>T9*'Output-Calculation-sheet'!T53/10^9</f>
        <v>0.16018907769488375</v>
      </c>
      <c r="U64" s="2">
        <f>U9*'Output-Calculation-sheet'!U53/10^9</f>
        <v>0.15769862998933051</v>
      </c>
      <c r="V64" s="2">
        <f>V9*'Output-Calculation-sheet'!V53/10^9</f>
        <v>0.14036827040687308</v>
      </c>
      <c r="W64" s="2">
        <f>W9*'Output-Calculation-sheet'!W53/10^9</f>
        <v>7.3707594164601292E-2</v>
      </c>
      <c r="X64" s="2">
        <f>X9*'Output-Calculation-sheet'!X53/10^9</f>
        <v>0.118831886379806</v>
      </c>
      <c r="Y64" s="2">
        <f>Y9*'Output-Calculation-sheet'!Y53/10^9</f>
        <v>6.1500316868476394E-2</v>
      </c>
      <c r="AA64" s="2">
        <f t="shared" si="4"/>
        <v>26.213953703185254</v>
      </c>
    </row>
    <row r="65" spans="1:27" x14ac:dyDescent="0.25">
      <c r="A65" s="2">
        <v>2033</v>
      </c>
      <c r="B65" s="2">
        <f>B10*'Output-Calculation-sheet'!B54/10^9</f>
        <v>8.2831188785025276</v>
      </c>
      <c r="C65" s="2">
        <f>C10*'Output-Calculation-sheet'!C54/10^9</f>
        <v>4.1934553875161287</v>
      </c>
      <c r="D65" s="2">
        <f>D10*'Output-Calculation-sheet'!D54/10^9</f>
        <v>1.4732456059604753</v>
      </c>
      <c r="E65" s="2">
        <f>E10*'Output-Calculation-sheet'!E54/10^9</f>
        <v>1.8974253061380439</v>
      </c>
      <c r="F65" s="2">
        <f>F10*'Output-Calculation-sheet'!F54/10^9</f>
        <v>0.78786342206453841</v>
      </c>
      <c r="G65" s="2">
        <f>G10*'Output-Calculation-sheet'!G54/10^9</f>
        <v>0.56578293894639131</v>
      </c>
      <c r="H65" s="2">
        <f>H10*'Output-Calculation-sheet'!H54/10^9</f>
        <v>1.0848397243953771</v>
      </c>
      <c r="I65" s="2">
        <f>I10*'Output-Calculation-sheet'!I54/10^9</f>
        <v>0.50742054559420746</v>
      </c>
      <c r="J65" s="2">
        <f>J10*'Output-Calculation-sheet'!J54/10^9</f>
        <v>0.54503443104210769</v>
      </c>
      <c r="K65" s="2">
        <f>K10*'Output-Calculation-sheet'!K54/10^9</f>
        <v>0.55736519128073558</v>
      </c>
      <c r="L65" s="2">
        <f>L10*'Output-Calculation-sheet'!L54/10^9</f>
        <v>0.5793050118325721</v>
      </c>
      <c r="M65" s="2">
        <f>M10*'Output-Calculation-sheet'!M54/10^9</f>
        <v>0.82070444249697949</v>
      </c>
      <c r="N65" s="2">
        <f>N10*'Output-Calculation-sheet'!N54/10^9</f>
        <v>0.69473343685938171</v>
      </c>
      <c r="O65" s="2">
        <f>O10*'Output-Calculation-sheet'!O54/10^9</f>
        <v>0.72009290245504265</v>
      </c>
      <c r="P65" s="2">
        <f>P10*'Output-Calculation-sheet'!P54/10^9</f>
        <v>0.6006692934202843</v>
      </c>
      <c r="Q65" s="2">
        <f>Q10*'Output-Calculation-sheet'!Q54/10^9</f>
        <v>0.56817057993856124</v>
      </c>
      <c r="R65" s="2">
        <f>R10*'Output-Calculation-sheet'!R54/10^9</f>
        <v>0.47697419667648988</v>
      </c>
      <c r="S65" s="2">
        <f>S10*'Output-Calculation-sheet'!S54/10^9</f>
        <v>0.43783981915695597</v>
      </c>
      <c r="T65" s="2">
        <f>T10*'Output-Calculation-sheet'!T54/10^9</f>
        <v>0.15549849200612453</v>
      </c>
      <c r="U65" s="2">
        <f>U10*'Output-Calculation-sheet'!U54/10^9</f>
        <v>0.15364236231556644</v>
      </c>
      <c r="V65" s="2">
        <f>V10*'Output-Calculation-sheet'!V54/10^9</f>
        <v>0.13584028837171772</v>
      </c>
      <c r="W65" s="2">
        <f>W10*'Output-Calculation-sheet'!W54/10^9</f>
        <v>7.1748416507062207E-2</v>
      </c>
      <c r="X65" s="2">
        <f>X10*'Output-Calculation-sheet'!X54/10^9</f>
        <v>0.11539070313895243</v>
      </c>
      <c r="Y65" s="2">
        <f>Y10*'Output-Calculation-sheet'!Y54/10^9</f>
        <v>5.9936152487773585E-2</v>
      </c>
      <c r="AA65" s="2">
        <f t="shared" si="4"/>
        <v>25.486097529103994</v>
      </c>
    </row>
    <row r="66" spans="1:27" x14ac:dyDescent="0.25">
      <c r="A66" s="2">
        <v>2034</v>
      </c>
      <c r="B66" s="2">
        <f>B11*'Output-Calculation-sheet'!B55/10^9</f>
        <v>7.4044497341966657</v>
      </c>
      <c r="C66" s="2">
        <f>C11*'Output-Calculation-sheet'!C55/10^9</f>
        <v>3.7507400069707204</v>
      </c>
      <c r="D66" s="2">
        <f>D11*'Output-Calculation-sheet'!D55/10^9</f>
        <v>1.3219562763487487</v>
      </c>
      <c r="E66" s="2">
        <f>E11*'Output-Calculation-sheet'!E55/10^9</f>
        <v>1.7027829378026771</v>
      </c>
      <c r="F66" s="2">
        <f>F11*'Output-Calculation-sheet'!F55/10^9</f>
        <v>0.70641904697278268</v>
      </c>
      <c r="G66" s="2">
        <f>G11*'Output-Calculation-sheet'!G55/10^9</f>
        <v>0.50737322086315639</v>
      </c>
      <c r="H66" s="2">
        <f>H11*'Output-Calculation-sheet'!H55/10^9</f>
        <v>0.9691598302418688</v>
      </c>
      <c r="I66" s="2">
        <f>I11*'Output-Calculation-sheet'!I55/10^9</f>
        <v>0.4552652868897854</v>
      </c>
      <c r="J66" s="2">
        <f>J11*'Output-Calculation-sheet'!J55/10^9</f>
        <v>0.48864359845591143</v>
      </c>
      <c r="K66" s="2">
        <f>K11*'Output-Calculation-sheet'!K55/10^9</f>
        <v>0.50021554010494729</v>
      </c>
      <c r="L66" s="2">
        <f>L11*'Output-Calculation-sheet'!L55/10^9</f>
        <v>0.5194066746263275</v>
      </c>
      <c r="M66" s="2">
        <f>M11*'Output-Calculation-sheet'!M55/10^9</f>
        <v>0.73334693423797537</v>
      </c>
      <c r="N66" s="2">
        <f>N11*'Output-Calculation-sheet'!N55/10^9</f>
        <v>0.62115957680366485</v>
      </c>
      <c r="O66" s="2">
        <f>O11*'Output-Calculation-sheet'!O55/10^9</f>
        <v>0.64414995957261589</v>
      </c>
      <c r="P66" s="2">
        <f>P11*'Output-Calculation-sheet'!P55/10^9</f>
        <v>0.53906891516565303</v>
      </c>
      <c r="Q66" s="2">
        <f>Q11*'Output-Calculation-sheet'!Q55/10^9</f>
        <v>0.5101307377133607</v>
      </c>
      <c r="R66" s="2">
        <f>R11*'Output-Calculation-sheet'!R55/10^9</f>
        <v>0.42727121312552185</v>
      </c>
      <c r="S66" s="2">
        <f>S11*'Output-Calculation-sheet'!S55/10^9</f>
        <v>0.39185058854969157</v>
      </c>
      <c r="T66" s="2">
        <f>T11*'Output-Calculation-sheet'!T55/10^9</f>
        <v>0.13901308050761049</v>
      </c>
      <c r="U66" s="2">
        <f>U11*'Output-Calculation-sheet'!U55/10^9</f>
        <v>0.13784934107167712</v>
      </c>
      <c r="V66" s="2">
        <f>V11*'Output-Calculation-sheet'!V55/10^9</f>
        <v>0.1210907014896358</v>
      </c>
      <c r="W66" s="2">
        <f>W11*'Output-Calculation-sheet'!W55/10^9</f>
        <v>6.4325788312615539E-2</v>
      </c>
      <c r="X66" s="2">
        <f>X11*'Output-Calculation-sheet'!X55/10^9</f>
        <v>0.10313504041827221</v>
      </c>
      <c r="Y66" s="2">
        <f>Y11*'Output-Calculation-sheet'!Y55/10^9</f>
        <v>5.380497034092703E-2</v>
      </c>
      <c r="AA66" s="2">
        <f t="shared" si="4"/>
        <v>22.812609000782814</v>
      </c>
    </row>
    <row r="67" spans="1:27" x14ac:dyDescent="0.25">
      <c r="A67" s="2">
        <v>2035</v>
      </c>
      <c r="B67" s="2">
        <f>B12*'Output-Calculation-sheet'!B56/10^9</f>
        <v>6.0775629821651407</v>
      </c>
      <c r="C67" s="2">
        <f>C12*'Output-Calculation-sheet'!C56/10^9</f>
        <v>3.0849362220842669</v>
      </c>
      <c r="D67" s="2">
        <f>D12*'Output-Calculation-sheet'!D56/10^9</f>
        <v>1.0910937517119379</v>
      </c>
      <c r="E67" s="2">
        <f>E12*'Output-Calculation-sheet'!E56/10^9</f>
        <v>1.405581519840654</v>
      </c>
      <c r="F67" s="2">
        <f>F12*'Output-Calculation-sheet'!F56/10^9</f>
        <v>0.58260254690363245</v>
      </c>
      <c r="G67" s="2">
        <f>G12*'Output-Calculation-sheet'!G56/10^9</f>
        <v>0.4184236770777382</v>
      </c>
      <c r="H67" s="2">
        <f>H12*'Output-Calculation-sheet'!H56/10^9</f>
        <v>0.79617700799531799</v>
      </c>
      <c r="I67" s="2">
        <f>I12*'Output-Calculation-sheet'!I56/10^9</f>
        <v>0.37571734417776254</v>
      </c>
      <c r="J67" s="2">
        <f>J12*'Output-Calculation-sheet'!J56/10^9</f>
        <v>0.40289795515597565</v>
      </c>
      <c r="K67" s="2">
        <f>K12*'Output-Calculation-sheet'!K56/10^9</f>
        <v>0.41292837996840598</v>
      </c>
      <c r="L67" s="2">
        <f>L12*'Output-Calculation-sheet'!L56/10^9</f>
        <v>0.42797226165916891</v>
      </c>
      <c r="M67" s="2">
        <f>M12*'Output-Calculation-sheet'!M56/10^9</f>
        <v>0.60257037979665951</v>
      </c>
      <c r="N67" s="2">
        <f>N12*'Output-Calculation-sheet'!N56/10^9</f>
        <v>0.51066678099362306</v>
      </c>
      <c r="O67" s="2">
        <f>O12*'Output-Calculation-sheet'!O56/10^9</f>
        <v>0.52978937537678217</v>
      </c>
      <c r="P67" s="2">
        <f>P12*'Output-Calculation-sheet'!P56/10^9</f>
        <v>0.44484358072731767</v>
      </c>
      <c r="Q67" s="2">
        <f>Q12*'Output-Calculation-sheet'!Q56/10^9</f>
        <v>0.42125943409657929</v>
      </c>
      <c r="R67" s="2">
        <f>R12*'Output-Calculation-sheet'!R56/10^9</f>
        <v>0.35193495365826905</v>
      </c>
      <c r="S67" s="2">
        <f>S12*'Output-Calculation-sheet'!S56/10^9</f>
        <v>0.3224842788433302</v>
      </c>
      <c r="T67" s="2">
        <f>T12*'Output-Calculation-sheet'!T56/10^9</f>
        <v>0.1142860837993884</v>
      </c>
      <c r="U67" s="2">
        <f>U12*'Output-Calculation-sheet'!U56/10^9</f>
        <v>0.11372228851550982</v>
      </c>
      <c r="V67" s="2">
        <f>V12*'Output-Calculation-sheet'!V56/10^9</f>
        <v>9.9280245773142844E-2</v>
      </c>
      <c r="W67" s="2">
        <f>W12*'Output-Calculation-sheet'!W56/10^9</f>
        <v>5.3039576046432141E-2</v>
      </c>
      <c r="X67" s="2">
        <f>X12*'Output-Calculation-sheet'!X56/10^9</f>
        <v>8.4676429669554257E-2</v>
      </c>
      <c r="Y67" s="2">
        <f>Y12*'Output-Calculation-sheet'!Y56/10^9</f>
        <v>4.442844506974692E-2</v>
      </c>
      <c r="AA67" s="2">
        <f t="shared" si="4"/>
        <v>18.768875501106344</v>
      </c>
    </row>
    <row r="68" spans="1:27" x14ac:dyDescent="0.25">
      <c r="B68" s="2">
        <f>SUM(B60:B67)</f>
        <v>54.794162144345428</v>
      </c>
      <c r="C68" s="2">
        <f t="shared" ref="C68:Y68" si="5">SUM(C60:C67)</f>
        <v>27.754100141651445</v>
      </c>
      <c r="D68" s="2">
        <f t="shared" si="5"/>
        <v>9.734059595543858</v>
      </c>
      <c r="E68" s="2">
        <f t="shared" si="5"/>
        <v>12.534183704782967</v>
      </c>
      <c r="F68" s="2">
        <f t="shared" si="5"/>
        <v>5.2111868922992004</v>
      </c>
      <c r="G68" s="2">
        <f t="shared" si="5"/>
        <v>3.7383717586118714</v>
      </c>
      <c r="H68" s="2">
        <f t="shared" si="5"/>
        <v>7.1913986045180298</v>
      </c>
      <c r="I68" s="2">
        <f t="shared" si="5"/>
        <v>3.3530736599432531</v>
      </c>
      <c r="J68" s="2">
        <f t="shared" si="5"/>
        <v>3.6026084610391096</v>
      </c>
      <c r="K68" s="2">
        <f t="shared" si="5"/>
        <v>3.6815409246613036</v>
      </c>
      <c r="L68" s="2">
        <f t="shared" si="5"/>
        <v>3.8269786815961102</v>
      </c>
      <c r="M68" s="2">
        <f t="shared" si="5"/>
        <v>5.4387568503235943</v>
      </c>
      <c r="N68" s="2">
        <f t="shared" si="5"/>
        <v>4.5987522109446521</v>
      </c>
      <c r="O68" s="2">
        <f t="shared" si="5"/>
        <v>4.7605935845378733</v>
      </c>
      <c r="P68" s="2">
        <f t="shared" si="5"/>
        <v>3.9635854479399892</v>
      </c>
      <c r="Q68" s="2">
        <f t="shared" si="5"/>
        <v>3.7504738634133457</v>
      </c>
      <c r="R68" s="2">
        <f t="shared" si="5"/>
        <v>3.1539406328105755</v>
      </c>
      <c r="S68" s="2">
        <f t="shared" si="5"/>
        <v>2.8959227224510071</v>
      </c>
      <c r="T68" s="2">
        <f t="shared" si="5"/>
        <v>1.0323364524369785</v>
      </c>
      <c r="U68" s="2">
        <f t="shared" si="5"/>
        <v>1.014171712457256</v>
      </c>
      <c r="V68" s="2">
        <f t="shared" si="5"/>
        <v>0.90787994673936778</v>
      </c>
      <c r="W68" s="2">
        <f t="shared" si="5"/>
        <v>0.4744705363985332</v>
      </c>
      <c r="X68" s="2">
        <f t="shared" si="5"/>
        <v>0.76380004238144694</v>
      </c>
      <c r="Y68" s="2">
        <f t="shared" si="5"/>
        <v>0.39575334576721077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61.079823709201563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54.370241180621065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215.72879064594693</v>
      </c>
      <c r="S74" s="2">
        <f>S8/'Output-Calculation-sheet'!S7*'Output-Calculation-sheet'!S61</f>
        <v>0</v>
      </c>
      <c r="T74" s="2">
        <f>T8/'Output-Calculation-sheet'!T7*'Output-Calculation-sheet'!T61</f>
        <v>158.92200727453485</v>
      </c>
      <c r="U74" s="2">
        <f>U8/'Output-Calculation-sheet'!U7*'Output-Calculation-sheet'!U61</f>
        <v>20.131710262863237</v>
      </c>
      <c r="V74" s="2">
        <f>V8/'Output-Calculation-sheet'!V7*'Output-Calculation-sheet'!V61</f>
        <v>182.41966029446465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0.69265223336763238</v>
      </c>
    </row>
    <row r="75" spans="1:27" x14ac:dyDescent="0.25">
      <c r="A75" s="2">
        <v>2032</v>
      </c>
      <c r="B75" s="2">
        <f>B9/'Output-Calculation-sheet'!B8*'Output-Calculation-sheet'!B62</f>
        <v>642.19256497657125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130.24220333157027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104.35115195691057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276.11042501773278</v>
      </c>
      <c r="S75" s="2">
        <f>S9/'Output-Calculation-sheet'!S8*'Output-Calculation-sheet'!S62</f>
        <v>0</v>
      </c>
      <c r="T75" s="2">
        <f>T9/'Output-Calculation-sheet'!T8*'Output-Calculation-sheet'!T62</f>
        <v>182.37747810455659</v>
      </c>
      <c r="U75" s="2">
        <f>U9/'Output-Calculation-sheet'!U8*'Output-Calculation-sheet'!U62</f>
        <v>37.280328080113442</v>
      </c>
      <c r="V75" s="2">
        <f>V9/'Output-Calculation-sheet'!V8*'Output-Calculation-sheet'!V62</f>
        <v>195.36582884747872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1.5679199803149335</v>
      </c>
    </row>
    <row r="76" spans="1:27" x14ac:dyDescent="0.25">
      <c r="A76" s="2">
        <v>2033</v>
      </c>
      <c r="B76" s="2">
        <f>B10/'Output-Calculation-sheet'!B9*'Output-Calculation-sheet'!B63</f>
        <v>1521.9736728064881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178.53720304253807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170.29891918107683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76.828353261948308</v>
      </c>
      <c r="Q76" s="2">
        <f>Q10/'Output-Calculation-sheet'!Q9*'Output-Calculation-sheet'!Q63</f>
        <v>0</v>
      </c>
      <c r="R76" s="2">
        <f>R10/'Output-Calculation-sheet'!R9*'Output-Calculation-sheet'!R63</f>
        <v>327.22315752888704</v>
      </c>
      <c r="S76" s="2">
        <f>S10/'Output-Calculation-sheet'!S9*'Output-Calculation-sheet'!S63</f>
        <v>0</v>
      </c>
      <c r="T76" s="2">
        <f>T10/'Output-Calculation-sheet'!T9*'Output-Calculation-sheet'!T63</f>
        <v>191.25170983908984</v>
      </c>
      <c r="U76" s="2">
        <f>U10/'Output-Calculation-sheet'!U9*'Output-Calculation-sheet'!U63</f>
        <v>55.627018841889289</v>
      </c>
      <c r="V76" s="2">
        <f>V10/'Output-Calculation-sheet'!V9*'Output-Calculation-sheet'!V63</f>
        <v>198.64537395012152</v>
      </c>
      <c r="W76" s="2">
        <f>W10/'Output-Calculation-sheet'!W9*'Output-Calculation-sheet'!W63</f>
        <v>6.2372534656694958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2.726622661917709</v>
      </c>
    </row>
    <row r="77" spans="1:27" x14ac:dyDescent="0.25">
      <c r="A77" s="2">
        <v>2034</v>
      </c>
      <c r="B77" s="2">
        <f>B11/'Output-Calculation-sheet'!B10*'Output-Calculation-sheet'!B64</f>
        <v>2294.6529103158159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218.57540637255534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203.17508873612928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131.14909425140874</v>
      </c>
      <c r="Q77" s="2">
        <f>Q11/'Output-Calculation-sheet'!Q10*'Output-Calculation-sheet'!Q64</f>
        <v>0</v>
      </c>
      <c r="R77" s="2">
        <f>R11/'Output-Calculation-sheet'!R10*'Output-Calculation-sheet'!R64</f>
        <v>340.6720721653698</v>
      </c>
      <c r="S77" s="2">
        <f>S11/'Output-Calculation-sheet'!S10*'Output-Calculation-sheet'!S64</f>
        <v>0</v>
      </c>
      <c r="T77" s="2">
        <f>T11/'Output-Calculation-sheet'!T10*'Output-Calculation-sheet'!T64</f>
        <v>183.4962565229927</v>
      </c>
      <c r="U77" s="2">
        <f>U11/'Output-Calculation-sheet'!U10*'Output-Calculation-sheet'!U64</f>
        <v>62.208274048989807</v>
      </c>
      <c r="V77" s="2">
        <f>V11/'Output-Calculation-sheet'!V10*'Output-Calculation-sheet'!V64</f>
        <v>185.8147683774271</v>
      </c>
      <c r="W77" s="2">
        <f>W11/'Output-Calculation-sheet'!W10*'Output-Calculation-sheet'!W64</f>
        <v>9.8465736508352109</v>
      </c>
      <c r="X77" s="2">
        <f>X11/'Output-Calculation-sheet'!X10*'Output-Calculation-sheet'!X64</f>
        <v>17.66682194104904</v>
      </c>
      <c r="Y77" s="2">
        <f>Y11/'Output-Calculation-sheet'!Y10*'Output-Calculation-sheet'!Y64</f>
        <v>0</v>
      </c>
      <c r="AA77" s="2">
        <f t="shared" si="6"/>
        <v>3.6472572663825726</v>
      </c>
    </row>
    <row r="78" spans="1:27" x14ac:dyDescent="0.25">
      <c r="A78" s="2">
        <v>2035</v>
      </c>
      <c r="B78" s="2">
        <f>B12/'Output-Calculation-sheet'!B11*'Output-Calculation-sheet'!B65</f>
        <v>3350.9136880194628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216.69285135776411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191.38159746671349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155.46873591567521</v>
      </c>
      <c r="Q78" s="2">
        <f>Q12/'Output-Calculation-sheet'!Q11*'Output-Calculation-sheet'!Q65</f>
        <v>0</v>
      </c>
      <c r="R78" s="2">
        <f>R12/'Output-Calculation-sheet'!R11*'Output-Calculation-sheet'!R65</f>
        <v>341.28546382924662</v>
      </c>
      <c r="S78" s="2">
        <f>S12/'Output-Calculation-sheet'!S11*'Output-Calculation-sheet'!S65</f>
        <v>0</v>
      </c>
      <c r="T78" s="2">
        <f>T12/'Output-Calculation-sheet'!T11*'Output-Calculation-sheet'!T65</f>
        <v>165.19249282167652</v>
      </c>
      <c r="U78" s="2">
        <f>U12/'Output-Calculation-sheet'!U11*'Output-Calculation-sheet'!U65</f>
        <v>64.229170815968402</v>
      </c>
      <c r="V78" s="2">
        <f>V12/'Output-Calculation-sheet'!V11*'Output-Calculation-sheet'!V65</f>
        <v>155.8508455725534</v>
      </c>
      <c r="W78" s="2">
        <f>W12/'Output-Calculation-sheet'!W11*'Output-Calculation-sheet'!W65</f>
        <v>11.671914035041242</v>
      </c>
      <c r="X78" s="2">
        <f>X12/'Output-Calculation-sheet'!X11*'Output-Calculation-sheet'!X65</f>
        <v>31.874601806190011</v>
      </c>
      <c r="Y78" s="2">
        <f>Y12/'Output-Calculation-sheet'!Y11*'Output-Calculation-sheet'!Y65</f>
        <v>0</v>
      </c>
      <c r="AA78" s="2">
        <f t="shared" si="6"/>
        <v>4.6845613616402924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 t="shared" ref="AA93:AA100" si="8"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si="8"/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17675429590.033646</v>
      </c>
      <c r="C96" s="2">
        <f>C8/'Output-Calculation-sheet'!C7*'Output-Calculation-sheet'!C79</f>
        <v>2175658217.8419228</v>
      </c>
      <c r="D96" s="2">
        <f>D8/'Output-Calculation-sheet'!D7*'Output-Calculation-sheet'!D79</f>
        <v>7704671901.0939655</v>
      </c>
      <c r="E96" s="2">
        <f>E8/'Output-Calculation-sheet'!E7*'Output-Calculation-sheet'!E79</f>
        <v>13173247883.382036</v>
      </c>
      <c r="F96" s="2">
        <f>F8/'Output-Calculation-sheet'!F7*'Output-Calculation-sheet'!F79</f>
        <v>5928401200.6520653</v>
      </c>
      <c r="G96" s="2">
        <f>G8/'Output-Calculation-sheet'!G7*'Output-Calculation-sheet'!G79</f>
        <v>4502889955.56106</v>
      </c>
      <c r="H96" s="2">
        <f>H8/'Output-Calculation-sheet'!H7*'Output-Calculation-sheet'!H79</f>
        <v>1310044282.5005193</v>
      </c>
      <c r="I96" s="2">
        <f>I8/'Output-Calculation-sheet'!I7*'Output-Calculation-sheet'!I79</f>
        <v>3020416477.942534</v>
      </c>
      <c r="J96" s="2">
        <f>J8/'Output-Calculation-sheet'!J7*'Output-Calculation-sheet'!J79</f>
        <v>2238180953.0603056</v>
      </c>
      <c r="K96" s="2">
        <f>K8/'Output-Calculation-sheet'!K7*'Output-Calculation-sheet'!K79</f>
        <v>2587899854.2389488</v>
      </c>
      <c r="L96" s="2">
        <f>L8/'Output-Calculation-sheet'!L7*'Output-Calculation-sheet'!L79</f>
        <v>2058626783.2004735</v>
      </c>
      <c r="M96" s="2">
        <f>M8/'Output-Calculation-sheet'!M7*'Output-Calculation-sheet'!M79</f>
        <v>1018442522.1637737</v>
      </c>
      <c r="N96" s="2">
        <f>N8/'Output-Calculation-sheet'!N7*'Output-Calculation-sheet'!N79</f>
        <v>1034329429.2519939</v>
      </c>
      <c r="O96" s="2">
        <f>O8/'Output-Calculation-sheet'!O7*'Output-Calculation-sheet'!O79</f>
        <v>252479910.47797814</v>
      </c>
      <c r="P96" s="2">
        <f>P8/'Output-Calculation-sheet'!P7*'Output-Calculation-sheet'!P79</f>
        <v>2750960699.5590305</v>
      </c>
      <c r="Q96" s="2">
        <f>Q8/'Output-Calculation-sheet'!Q7*'Output-Calculation-sheet'!Q79</f>
        <v>1219863108.9033358</v>
      </c>
      <c r="R96" s="2">
        <f>R8/'Output-Calculation-sheet'!R7*'Output-Calculation-sheet'!R79</f>
        <v>1856001878.3367124</v>
      </c>
      <c r="S96" s="2">
        <f>S8/'Output-Calculation-sheet'!S7*'Output-Calculation-sheet'!S79</f>
        <v>725458935.48479056</v>
      </c>
      <c r="T96" s="2">
        <f>T8/'Output-Calculation-sheet'!T7*'Output-Calculation-sheet'!T79</f>
        <v>982502976.50112176</v>
      </c>
      <c r="U96" s="2">
        <f>U8/'Output-Calculation-sheet'!U7*'Output-Calculation-sheet'!U79</f>
        <v>487981849.02926153</v>
      </c>
      <c r="V96" s="2">
        <f>V8/'Output-Calculation-sheet'!V7*'Output-Calculation-sheet'!V79</f>
        <v>359578747.02268928</v>
      </c>
      <c r="W96" s="2">
        <f>W8/'Output-Calculation-sheet'!W7*'Output-Calculation-sheet'!W79</f>
        <v>957933546.17844117</v>
      </c>
      <c r="X96" s="2">
        <f>X8/'Output-Calculation-sheet'!X7*'Output-Calculation-sheet'!X79</f>
        <v>113513039.97138718</v>
      </c>
      <c r="Y96" s="2">
        <f>Y8/'Output-Calculation-sheet'!Y7*'Output-Calculation-sheet'!Y79</f>
        <v>429908808.59173065</v>
      </c>
      <c r="AA96" s="2">
        <f t="shared" si="8"/>
        <v>74.564422550979728</v>
      </c>
    </row>
    <row r="97" spans="1:27" x14ac:dyDescent="0.25">
      <c r="A97" s="2">
        <v>2032</v>
      </c>
      <c r="B97" s="2">
        <f>B9/'Output-Calculation-sheet'!B8*'Output-Calculation-sheet'!B80</f>
        <v>19100582106.343857</v>
      </c>
      <c r="C97" s="2">
        <f>C9/'Output-Calculation-sheet'!C8*'Output-Calculation-sheet'!C80</f>
        <v>2399668202.6797252</v>
      </c>
      <c r="D97" s="2">
        <f>D9/'Output-Calculation-sheet'!D8*'Output-Calculation-sheet'!D80</f>
        <v>7903296533.4056635</v>
      </c>
      <c r="E97" s="2">
        <f>E9/'Output-Calculation-sheet'!E8*'Output-Calculation-sheet'!E80</f>
        <v>13914587441.001783</v>
      </c>
      <c r="F97" s="2">
        <f>F9/'Output-Calculation-sheet'!F8*'Output-Calculation-sheet'!F80</f>
        <v>6247567804.4630156</v>
      </c>
      <c r="G97" s="2">
        <f>G9/'Output-Calculation-sheet'!G8*'Output-Calculation-sheet'!G80</f>
        <v>4624330675.1062975</v>
      </c>
      <c r="H97" s="2">
        <f>H9/'Output-Calculation-sheet'!H8*'Output-Calculation-sheet'!H80</f>
        <v>1401202082.9335229</v>
      </c>
      <c r="I97" s="2">
        <f>I9/'Output-Calculation-sheet'!I8*'Output-Calculation-sheet'!I80</f>
        <v>3211927650.0740857</v>
      </c>
      <c r="J97" s="2">
        <f>J9/'Output-Calculation-sheet'!J8*'Output-Calculation-sheet'!J80</f>
        <v>2317593508.4816918</v>
      </c>
      <c r="K97" s="2">
        <f>K9/'Output-Calculation-sheet'!K8*'Output-Calculation-sheet'!K80</f>
        <v>2697747077.4701333</v>
      </c>
      <c r="L97" s="2">
        <f>L9/'Output-Calculation-sheet'!L8*'Output-Calculation-sheet'!L80</f>
        <v>2211998925.2626123</v>
      </c>
      <c r="M97" s="2">
        <f>M9/'Output-Calculation-sheet'!M8*'Output-Calculation-sheet'!M80</f>
        <v>1089129310.5987506</v>
      </c>
      <c r="N97" s="2">
        <f>N9/'Output-Calculation-sheet'!N8*'Output-Calculation-sheet'!N80</f>
        <v>1079465465.3039858</v>
      </c>
      <c r="O97" s="2">
        <f>O9/'Output-Calculation-sheet'!O8*'Output-Calculation-sheet'!O80</f>
        <v>281720173.69876039</v>
      </c>
      <c r="P97" s="2">
        <f>P9/'Output-Calculation-sheet'!P8*'Output-Calculation-sheet'!P80</f>
        <v>2864946583.6471839</v>
      </c>
      <c r="Q97" s="2">
        <f>Q9/'Output-Calculation-sheet'!Q8*'Output-Calculation-sheet'!Q80</f>
        <v>1273917801.7574403</v>
      </c>
      <c r="R97" s="2">
        <f>R9/'Output-Calculation-sheet'!R8*'Output-Calculation-sheet'!R80</f>
        <v>1982403631.7436125</v>
      </c>
      <c r="S97" s="2">
        <f>S9/'Output-Calculation-sheet'!S8*'Output-Calculation-sheet'!S80</f>
        <v>764550818.57517159</v>
      </c>
      <c r="T97" s="2">
        <f>T9/'Output-Calculation-sheet'!T8*'Output-Calculation-sheet'!T80</f>
        <v>1022282074.4588835</v>
      </c>
      <c r="U97" s="2">
        <f>U9/'Output-Calculation-sheet'!U8*'Output-Calculation-sheet'!U80</f>
        <v>518829707.26540738</v>
      </c>
      <c r="V97" s="2">
        <f>V9/'Output-Calculation-sheet'!V8*'Output-Calculation-sheet'!V80</f>
        <v>382185331.60953635</v>
      </c>
      <c r="W97" s="2">
        <f>W9/'Output-Calculation-sheet'!W8*'Output-Calculation-sheet'!W80</f>
        <v>999473799.91147459</v>
      </c>
      <c r="X97" s="2">
        <f>X9/'Output-Calculation-sheet'!X8*'Output-Calculation-sheet'!X80</f>
        <v>122396255.62489016</v>
      </c>
      <c r="Y97" s="2">
        <f>Y9/'Output-Calculation-sheet'!Y8*'Output-Calculation-sheet'!Y80</f>
        <v>448808983.96000493</v>
      </c>
      <c r="AA97" s="2">
        <f t="shared" si="8"/>
        <v>78.860611945377485</v>
      </c>
    </row>
    <row r="98" spans="1:27" x14ac:dyDescent="0.25">
      <c r="A98" s="2">
        <v>2033</v>
      </c>
      <c r="B98" s="2">
        <f>B10/'Output-Calculation-sheet'!B9*'Output-Calculation-sheet'!B81</f>
        <v>19117923827.54916</v>
      </c>
      <c r="C98" s="2">
        <f>C10/'Output-Calculation-sheet'!C9*'Output-Calculation-sheet'!C81</f>
        <v>2410724559.1506772</v>
      </c>
      <c r="D98" s="2">
        <f>D10/'Output-Calculation-sheet'!D9*'Output-Calculation-sheet'!D81</f>
        <v>7450910971.3466406</v>
      </c>
      <c r="E98" s="2">
        <f>E10/'Output-Calculation-sheet'!E9*'Output-Calculation-sheet'!E81</f>
        <v>13501931882.841497</v>
      </c>
      <c r="F98" s="2">
        <f>F10/'Output-Calculation-sheet'!F9*'Output-Calculation-sheet'!F81</f>
        <v>6048227013.6920795</v>
      </c>
      <c r="G98" s="2">
        <f>G10/'Output-Calculation-sheet'!G9*'Output-Calculation-sheet'!G81</f>
        <v>4351893066.7679996</v>
      </c>
      <c r="H98" s="2">
        <f>H10/'Output-Calculation-sheet'!H9*'Output-Calculation-sheet'!H81</f>
        <v>1372700056.0679018</v>
      </c>
      <c r="I98" s="2">
        <f>I10/'Output-Calculation-sheet'!I9*'Output-Calculation-sheet'!I81</f>
        <v>3140131871.8442125</v>
      </c>
      <c r="J98" s="2">
        <f>J10/'Output-Calculation-sheet'!J9*'Output-Calculation-sheet'!J81</f>
        <v>2207840105.2859654</v>
      </c>
      <c r="K98" s="2">
        <f>K10/'Output-Calculation-sheet'!K9*'Output-Calculation-sheet'!K81</f>
        <v>2589242217.4492631</v>
      </c>
      <c r="L98" s="2">
        <f>L10/'Output-Calculation-sheet'!L9*'Output-Calculation-sheet'!L81</f>
        <v>2186353503.3626232</v>
      </c>
      <c r="M98" s="2">
        <f>M10/'Output-Calculation-sheet'!M9*'Output-Calculation-sheet'!M81</f>
        <v>1072445105.9174787</v>
      </c>
      <c r="N98" s="2">
        <f>N10/'Output-Calculation-sheet'!N9*'Output-Calculation-sheet'!N81</f>
        <v>1025958505.6952441</v>
      </c>
      <c r="O98" s="2">
        <f>O10/'Output-Calculation-sheet'!O9*'Output-Calculation-sheet'!O81</f>
        <v>283487124.95075065</v>
      </c>
      <c r="P98" s="2">
        <f>P10/'Output-Calculation-sheet'!P9*'Output-Calculation-sheet'!P81</f>
        <v>2783278833.3592463</v>
      </c>
      <c r="Q98" s="2">
        <f>Q10/'Output-Calculation-sheet'!Q9*'Output-Calculation-sheet'!Q81</f>
        <v>1225585456.8932281</v>
      </c>
      <c r="R98" s="2">
        <f>R10/'Output-Calculation-sheet'!R9*'Output-Calculation-sheet'!R81</f>
        <v>1946907035.2726288</v>
      </c>
      <c r="S98" s="2">
        <f>S10/'Output-Calculation-sheet'!S9*'Output-Calculation-sheet'!S81</f>
        <v>742447026.58930159</v>
      </c>
      <c r="T98" s="2">
        <f>T10/'Output-Calculation-sheet'!T9*'Output-Calculation-sheet'!T81</f>
        <v>975720998.91929841</v>
      </c>
      <c r="U98" s="2">
        <f>U10/'Output-Calculation-sheet'!U9*'Output-Calculation-sheet'!U81</f>
        <v>506994813.57963669</v>
      </c>
      <c r="V98" s="2">
        <f>V10/'Output-Calculation-sheet'!V9*'Output-Calculation-sheet'!V81</f>
        <v>373764875.6549899</v>
      </c>
      <c r="W98" s="2">
        <f>W10/'Output-Calculation-sheet'!W9*'Output-Calculation-sheet'!W81</f>
        <v>957877792.40616906</v>
      </c>
      <c r="X98" s="2">
        <f>X10/'Output-Calculation-sheet'!X9*'Output-Calculation-sheet'!X81</f>
        <v>121642928.08300485</v>
      </c>
      <c r="Y98" s="2">
        <f>Y10/'Output-Calculation-sheet'!Y9*'Output-Calculation-sheet'!Y81</f>
        <v>430224104.60963577</v>
      </c>
      <c r="AA98" s="2">
        <f t="shared" si="8"/>
        <v>76.82421367728864</v>
      </c>
    </row>
    <row r="99" spans="1:27" x14ac:dyDescent="0.25">
      <c r="A99" s="2">
        <v>2034</v>
      </c>
      <c r="B99" s="2">
        <f>B11/'Output-Calculation-sheet'!B10*'Output-Calculation-sheet'!B82</f>
        <v>17612333554.522728</v>
      </c>
      <c r="C99" s="2">
        <f>C11/'Output-Calculation-sheet'!C10*'Output-Calculation-sheet'!C82</f>
        <v>2236111451.9904056</v>
      </c>
      <c r="D99" s="2">
        <f>D11/'Output-Calculation-sheet'!D10*'Output-Calculation-sheet'!D82</f>
        <v>6472485927.033371</v>
      </c>
      <c r="E99" s="2">
        <f>E11/'Output-Calculation-sheet'!E10*'Output-Calculation-sheet'!E82</f>
        <v>12067187881.164759</v>
      </c>
      <c r="F99" s="2">
        <f>F11/'Output-Calculation-sheet'!F10*'Output-Calculation-sheet'!F82</f>
        <v>5396710760.7089748</v>
      </c>
      <c r="G99" s="2">
        <f>G11/'Output-Calculation-sheet'!G10*'Output-Calculation-sheet'!G82</f>
        <v>3768513225.1208196</v>
      </c>
      <c r="H99" s="2">
        <f>H11/'Output-Calculation-sheet'!H10*'Output-Calculation-sheet'!H82</f>
        <v>1240811582.2367988</v>
      </c>
      <c r="I99" s="2">
        <f>I11/'Output-Calculation-sheet'!I10*'Output-Calculation-sheet'!I82</f>
        <v>2828738483.6421432</v>
      </c>
      <c r="J99" s="2">
        <f>J11/'Output-Calculation-sheet'!J10*'Output-Calculation-sheet'!J82</f>
        <v>1937881648.1665971</v>
      </c>
      <c r="K99" s="2">
        <f>K11/'Output-Calculation-sheet'!K10*'Output-Calculation-sheet'!K82</f>
        <v>2290758295.0853295</v>
      </c>
      <c r="L99" s="2">
        <f>L11/'Output-Calculation-sheet'!L10*'Output-Calculation-sheet'!L82</f>
        <v>2002889059.5902753</v>
      </c>
      <c r="M99" s="2">
        <f>M11/'Output-Calculation-sheet'!M10*'Output-Calculation-sheet'!M82</f>
        <v>972125730.38013363</v>
      </c>
      <c r="N99" s="2">
        <f>N11/'Output-Calculation-sheet'!N10*'Output-Calculation-sheet'!N82</f>
        <v>903311772.32435012</v>
      </c>
      <c r="O99" s="2">
        <f>O11/'Output-Calculation-sheet'!O10*'Output-Calculation-sheet'!O82</f>
        <v>264440084.23606333</v>
      </c>
      <c r="P99" s="2">
        <f>P11/'Output-Calculation-sheet'!P10*'Output-Calculation-sheet'!P82</f>
        <v>2491408932.1098375</v>
      </c>
      <c r="Q99" s="2">
        <f>Q11/'Output-Calculation-sheet'!Q10*'Output-Calculation-sheet'!Q82</f>
        <v>1086111098.9161525</v>
      </c>
      <c r="R99" s="2">
        <f>R11/'Output-Calculation-sheet'!R10*'Output-Calculation-sheet'!R82</f>
        <v>1764418192.0365732</v>
      </c>
      <c r="S99" s="2">
        <f>S11/'Output-Calculation-sheet'!S10*'Output-Calculation-sheet'!S82</f>
        <v>663017119.46427464</v>
      </c>
      <c r="T99" s="2">
        <f>T11/'Output-Calculation-sheet'!T10*'Output-Calculation-sheet'!T82</f>
        <v>857052846.99683642</v>
      </c>
      <c r="U99" s="2">
        <f>U11/'Output-Calculation-sheet'!U10*'Output-Calculation-sheet'!U82</f>
        <v>456901770.68034661</v>
      </c>
      <c r="V99" s="2">
        <f>V11/'Output-Calculation-sheet'!V10*'Output-Calculation-sheet'!V82</f>
        <v>336217627.1625818</v>
      </c>
      <c r="W99" s="2">
        <f>W11/'Output-Calculation-sheet'!W10*'Output-Calculation-sheet'!W82</f>
        <v>844245762.46703804</v>
      </c>
      <c r="X99" s="2">
        <f>X11/'Output-Calculation-sheet'!X10*'Output-Calculation-sheet'!X82</f>
        <v>119151863.12357667</v>
      </c>
      <c r="Y99" s="2">
        <f>Y11/'Output-Calculation-sheet'!Y10*'Output-Calculation-sheet'!Y82</f>
        <v>379739934.06986201</v>
      </c>
      <c r="AA99" s="2">
        <f t="shared" si="8"/>
        <v>68.992564603229823</v>
      </c>
    </row>
    <row r="100" spans="1:27" x14ac:dyDescent="0.25">
      <c r="A100" s="2">
        <v>2035</v>
      </c>
      <c r="B100" s="2">
        <f>B12/'Output-Calculation-sheet'!B11*'Output-Calculation-sheet'!B83</f>
        <v>15222819922.327377</v>
      </c>
      <c r="C100" s="2">
        <f>C12/'Output-Calculation-sheet'!C11*'Output-Calculation-sheet'!C83</f>
        <v>1901148976.9708607</v>
      </c>
      <c r="D100" s="2">
        <f>D12/'Output-Calculation-sheet'!D11*'Output-Calculation-sheet'!D83</f>
        <v>5178828674.4144497</v>
      </c>
      <c r="E100" s="2">
        <f>E12/'Output-Calculation-sheet'!E11*'Output-Calculation-sheet'!E83</f>
        <v>9928904738.0842323</v>
      </c>
      <c r="F100" s="2">
        <f>F12/'Output-Calculation-sheet'!F11*'Output-Calculation-sheet'!F83</f>
        <v>4432335990.7387352</v>
      </c>
      <c r="G100" s="2">
        <f>G12/'Output-Calculation-sheet'!G11*'Output-Calculation-sheet'!G83</f>
        <v>3001010984.1808577</v>
      </c>
      <c r="H100" s="2">
        <f>H12/'Output-Calculation-sheet'!H11*'Output-Calculation-sheet'!H83</f>
        <v>1033610426.667887</v>
      </c>
      <c r="I100" s="2">
        <f>I12/'Output-Calculation-sheet'!I11*'Output-Calculation-sheet'!I83</f>
        <v>2345729590.81043</v>
      </c>
      <c r="J100" s="2">
        <f>J12/'Output-Calculation-sheet'!J11*'Output-Calculation-sheet'!J83</f>
        <v>1565294800.203007</v>
      </c>
      <c r="K100" s="2">
        <f>K12/'Output-Calculation-sheet'!K11*'Output-Calculation-sheet'!K83</f>
        <v>1865887140.5479712</v>
      </c>
      <c r="L100" s="2">
        <f>L12/'Output-Calculation-sheet'!L11*'Output-Calculation-sheet'!L83</f>
        <v>1688221779.3407466</v>
      </c>
      <c r="M100" s="2">
        <f>M12/'Output-Calculation-sheet'!M11*'Output-Calculation-sheet'!M83</f>
        <v>813632908.79831386</v>
      </c>
      <c r="N100" s="2">
        <f>N12/'Output-Calculation-sheet'!N11*'Output-Calculation-sheet'!N83</f>
        <v>730352857.91584933</v>
      </c>
      <c r="O100" s="2">
        <f>O12/'Output-Calculation-sheet'!O11*'Output-Calculation-sheet'!O83</f>
        <v>227617052.49377838</v>
      </c>
      <c r="P100" s="2">
        <f>P12/'Output-Calculation-sheet'!P11*'Output-Calculation-sheet'!P83</f>
        <v>2043754657.0475423</v>
      </c>
      <c r="Q100" s="2">
        <f>Q12/'Output-Calculation-sheet'!Q11*'Output-Calculation-sheet'!Q83</f>
        <v>887617177.8596282</v>
      </c>
      <c r="R100" s="2">
        <f>R12/'Output-Calculation-sheet'!R11*'Output-Calculation-sheet'!R83</f>
        <v>1472459217.0034015</v>
      </c>
      <c r="S100" s="2">
        <f>S12/'Output-Calculation-sheet'!S11*'Output-Calculation-sheet'!S83</f>
        <v>544632916.5820787</v>
      </c>
      <c r="T100" s="2">
        <f>T12/'Output-Calculation-sheet'!T11*'Output-Calculation-sheet'!T83</f>
        <v>694896656.12239432</v>
      </c>
      <c r="U100" s="2">
        <f>U12/'Output-Calculation-sheet'!U11*'Output-Calculation-sheet'!U83</f>
        <v>378730009.17317224</v>
      </c>
      <c r="V100" s="2">
        <f>V12/'Output-Calculation-sheet'!V11*'Output-Calculation-sheet'!V83</f>
        <v>278392708.08655113</v>
      </c>
      <c r="W100" s="2">
        <f>W12/'Output-Calculation-sheet'!W11*'Output-Calculation-sheet'!W83</f>
        <v>683774372.93389809</v>
      </c>
      <c r="X100" s="2">
        <f>X12/'Output-Calculation-sheet'!X11*'Output-Calculation-sheet'!X83</f>
        <v>108385631.50961137</v>
      </c>
      <c r="Y100" s="2">
        <f>Y12/'Output-Calculation-sheet'!Y11*'Output-Calculation-sheet'!Y83</f>
        <v>307865572.5932672</v>
      </c>
      <c r="AA100" s="2">
        <f t="shared" si="8"/>
        <v>57.335904762406045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3F77-DE23-4E3E-BCE4-97F674DE8B83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115437324158.81642</v>
      </c>
      <c r="C8" s="2">
        <v>54399876035.121178</v>
      </c>
      <c r="D8" s="2">
        <v>48484995973.473839</v>
      </c>
      <c r="E8" s="2">
        <v>38467924202.786407</v>
      </c>
      <c r="F8" s="2">
        <v>24763183217.430328</v>
      </c>
      <c r="G8" s="2">
        <v>17399292135.786549</v>
      </c>
      <c r="H8" s="2">
        <v>16972341575.603231</v>
      </c>
      <c r="I8" s="2">
        <v>15852124759.280712</v>
      </c>
      <c r="J8" s="2">
        <v>15429363387.267155</v>
      </c>
      <c r="K8" s="2">
        <v>15281448267.946632</v>
      </c>
      <c r="L8" s="2">
        <v>12258976480.510439</v>
      </c>
      <c r="M8" s="2">
        <v>11709436155.522043</v>
      </c>
      <c r="N8" s="2">
        <v>11492777768.778736</v>
      </c>
      <c r="O8" s="2">
        <v>10569943155.492228</v>
      </c>
      <c r="P8" s="2">
        <v>10462402341.125278</v>
      </c>
      <c r="Q8" s="2">
        <v>10293313010.359619</v>
      </c>
      <c r="R8" s="2">
        <v>9902640566.0920982</v>
      </c>
      <c r="S8" s="2">
        <v>6581802200.0533371</v>
      </c>
      <c r="T8" s="2">
        <v>3640125522.0902729</v>
      </c>
      <c r="U8" s="2">
        <v>3170424951.8561473</v>
      </c>
      <c r="V8" s="2">
        <v>2441290621.4282722</v>
      </c>
      <c r="W8" s="2">
        <v>2113616634.5707633</v>
      </c>
      <c r="X8" s="2">
        <v>1268169980.7424588</v>
      </c>
      <c r="Y8" s="2">
        <v>1233282624.5722318</v>
      </c>
    </row>
    <row r="9" spans="1:27" x14ac:dyDescent="0.25">
      <c r="A9" s="2">
        <v>2032</v>
      </c>
      <c r="B9" s="2">
        <v>129652667705.26318</v>
      </c>
      <c r="C9" s="2">
        <v>61098861240.802628</v>
      </c>
      <c r="D9" s="2">
        <v>54455602790.925606</v>
      </c>
      <c r="E9" s="2">
        <v>43204994834.369637</v>
      </c>
      <c r="F9" s="2">
        <v>27812605571.114468</v>
      </c>
      <c r="G9" s="2">
        <v>19541899970.622654</v>
      </c>
      <c r="H9" s="2">
        <v>19062373270.663231</v>
      </c>
      <c r="I9" s="2">
        <v>17804209156.908356</v>
      </c>
      <c r="J9" s="2">
        <v>17329387515.955505</v>
      </c>
      <c r="K9" s="2">
        <v>17163257627.259682</v>
      </c>
      <c r="L9" s="2">
        <v>13768588414.675817</v>
      </c>
      <c r="M9" s="2">
        <v>13151375830.569664</v>
      </c>
      <c r="N9" s="2">
        <v>12908037395.391264</v>
      </c>
      <c r="O9" s="2">
        <v>11871561798.479977</v>
      </c>
      <c r="P9" s="2">
        <v>11750778043.559525</v>
      </c>
      <c r="Q9" s="2">
        <v>11560866479.219168</v>
      </c>
      <c r="R9" s="2">
        <v>11122085305.388994</v>
      </c>
      <c r="S9" s="2">
        <v>7392307641.9483328</v>
      </c>
      <c r="T9" s="2">
        <v>4088382922.5954294</v>
      </c>
      <c r="U9" s="2">
        <v>3560841831.3816762</v>
      </c>
      <c r="V9" s="2">
        <v>2741919427.0005207</v>
      </c>
      <c r="W9" s="2">
        <v>2373894554.2544489</v>
      </c>
      <c r="X9" s="2">
        <v>1424336732.5526702</v>
      </c>
      <c r="Y9" s="2">
        <v>1385153229.0401442</v>
      </c>
    </row>
    <row r="10" spans="1:27" x14ac:dyDescent="0.25">
      <c r="A10" s="2">
        <v>2033</v>
      </c>
      <c r="B10" s="2">
        <v>138706781470.43759</v>
      </c>
      <c r="C10" s="2">
        <v>65365615256.650574</v>
      </c>
      <c r="D10" s="2">
        <v>58258434090.479141</v>
      </c>
      <c r="E10" s="2">
        <v>46222155571.419983</v>
      </c>
      <c r="F10" s="2">
        <v>29754860207.318695</v>
      </c>
      <c r="G10" s="2">
        <v>20906581381.759506</v>
      </c>
      <c r="H10" s="2">
        <v>20393567601.497643</v>
      </c>
      <c r="I10" s="2">
        <v>19047541346.355194</v>
      </c>
      <c r="J10" s="2">
        <v>18539561196.353176</v>
      </c>
      <c r="K10" s="2">
        <v>18361829857.886433</v>
      </c>
      <c r="L10" s="2">
        <v>14730098641.181376</v>
      </c>
      <c r="M10" s="2">
        <v>14069783874.507729</v>
      </c>
      <c r="N10" s="2">
        <v>13809452238.074471</v>
      </c>
      <c r="O10" s="2">
        <v>12700595809.088097</v>
      </c>
      <c r="P10" s="2">
        <v>12571377288.594435</v>
      </c>
      <c r="Q10" s="2">
        <v>12368203514.233315</v>
      </c>
      <c r="R10" s="2">
        <v>11898780667.260662</v>
      </c>
      <c r="S10" s="2">
        <v>7908539167.0066576</v>
      </c>
      <c r="T10" s="2">
        <v>4373889459.0357323</v>
      </c>
      <c r="U10" s="2">
        <v>3809508269.2710443</v>
      </c>
      <c r="V10" s="2">
        <v>2933397557.5040913</v>
      </c>
      <c r="W10" s="2">
        <v>2539672179.5140276</v>
      </c>
      <c r="X10" s="2">
        <v>1523803307.7084174</v>
      </c>
      <c r="Y10" s="2">
        <v>1481883478.7133565</v>
      </c>
    </row>
    <row r="11" spans="1:27" x14ac:dyDescent="0.25">
      <c r="A11" s="2">
        <v>2034</v>
      </c>
      <c r="B11" s="2">
        <v>143023383650.79559</v>
      </c>
      <c r="C11" s="2">
        <v>67399815418.647972</v>
      </c>
      <c r="D11" s="2">
        <v>60071456359.132996</v>
      </c>
      <c r="E11" s="2">
        <v>47660604761.901436</v>
      </c>
      <c r="F11" s="2">
        <v>30680841569.48111</v>
      </c>
      <c r="G11" s="2">
        <v>21557201299.687378</v>
      </c>
      <c r="H11" s="2">
        <v>21028222356.230495</v>
      </c>
      <c r="I11" s="2">
        <v>19640307306.566448</v>
      </c>
      <c r="J11" s="2">
        <v>19116518641.653828</v>
      </c>
      <c r="K11" s="2">
        <v>18933256243.530087</v>
      </c>
      <c r="L11" s="2">
        <v>15188504317.078079</v>
      </c>
      <c r="M11" s="2">
        <v>14507640330.450443</v>
      </c>
      <c r="N11" s="2">
        <v>14239207085.014864</v>
      </c>
      <c r="O11" s="2">
        <v>13095842667.101599</v>
      </c>
      <c r="P11" s="2">
        <v>12962602822.333866</v>
      </c>
      <c r="Q11" s="2">
        <v>12753106211.063824</v>
      </c>
      <c r="R11" s="2">
        <v>12269074765.554955</v>
      </c>
      <c r="S11" s="2">
        <v>8154655593.6863689</v>
      </c>
      <c r="T11" s="2">
        <v>4510006385.5145044</v>
      </c>
      <c r="U11" s="2">
        <v>3928061461.3132954</v>
      </c>
      <c r="V11" s="2">
        <v>3024685886.4404659</v>
      </c>
      <c r="W11" s="2">
        <v>2618707640.8755283</v>
      </c>
      <c r="X11" s="2">
        <v>1571224584.5253179</v>
      </c>
      <c r="Y11" s="2">
        <v>1528000196.205024</v>
      </c>
    </row>
    <row r="12" spans="1:27" x14ac:dyDescent="0.25">
      <c r="A12" s="2">
        <v>2035</v>
      </c>
      <c r="B12" s="2">
        <v>143187215953.00287</v>
      </c>
      <c r="C12" s="2">
        <v>67477021443.610596</v>
      </c>
      <c r="D12" s="2">
        <v>60140267799.199944</v>
      </c>
      <c r="E12" s="2">
        <v>47715199656.829933</v>
      </c>
      <c r="F12" s="2">
        <v>30715986262.46542</v>
      </c>
      <c r="G12" s="2">
        <v>21581894925.498219</v>
      </c>
      <c r="H12" s="2">
        <v>21052310040.300106</v>
      </c>
      <c r="I12" s="2">
        <v>19662805143.493233</v>
      </c>
      <c r="J12" s="2">
        <v>19138416482.267757</v>
      </c>
      <c r="K12" s="2">
        <v>18954944158.327507</v>
      </c>
      <c r="L12" s="2">
        <v>15205902644.30146</v>
      </c>
      <c r="M12" s="2">
        <v>14524258732.660364</v>
      </c>
      <c r="N12" s="2">
        <v>14255517998.788513</v>
      </c>
      <c r="O12" s="2">
        <v>13110843864.798988</v>
      </c>
      <c r="P12" s="2">
        <v>12977451394.705544</v>
      </c>
      <c r="Q12" s="2">
        <v>12767714806.508284</v>
      </c>
      <c r="R12" s="2">
        <v>12283128906.30792</v>
      </c>
      <c r="S12" s="2">
        <v>8163996695.578371</v>
      </c>
      <c r="T12" s="2">
        <v>4515172566.8077145</v>
      </c>
      <c r="U12" s="2">
        <v>3932561028.6986527</v>
      </c>
      <c r="V12" s="2">
        <v>3028150643.3185387</v>
      </c>
      <c r="W12" s="2">
        <v>2621707352.465766</v>
      </c>
      <c r="X12" s="2">
        <v>1573024411.479461</v>
      </c>
      <c r="Y12" s="2">
        <v>1529750509.9196584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 t="shared" ref="AA16:AA23" si="0"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si="0"/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6047.4861236028328</v>
      </c>
      <c r="C19" s="2">
        <f>C8/'Output-Calculation-sheet'!C7*'Output-Calculation-sheet'!C25</f>
        <v>8063.480629853424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2938.0626838975127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2150.5243873708259</v>
      </c>
      <c r="N19" s="2">
        <f>N8/'Output-Calculation-sheet'!N7*'Output-Calculation-sheet'!N25</f>
        <v>1120.3521947035597</v>
      </c>
      <c r="O19" s="2">
        <f>O8/'Output-Calculation-sheet'!O7*'Output-Calculation-sheet'!O25</f>
        <v>1221.7734058997003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488.40692473298861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248.58650743845402</v>
      </c>
      <c r="Y19" s="2">
        <f>Y8/'Output-Calculation-sheet'!Y7*'Output-Calculation-sheet'!Y25</f>
        <v>0</v>
      </c>
      <c r="AA19" s="2">
        <f t="shared" si="0"/>
        <v>22.278672857499295</v>
      </c>
    </row>
    <row r="20" spans="1:27" x14ac:dyDescent="0.25">
      <c r="A20" s="2">
        <v>2032</v>
      </c>
      <c r="B20" s="2">
        <f>B9/'Output-Calculation-sheet'!B8*'Output-Calculation-sheet'!B26</f>
        <v>8151.6959859810331</v>
      </c>
      <c r="C20" s="2">
        <f>C9/'Output-Calculation-sheet'!C8*'Output-Calculation-sheet'!C26</f>
        <v>9395.4684936435933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3382.4085549133206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2469.9309402942804</v>
      </c>
      <c r="N20" s="2">
        <f>N9/'Output-Calculation-sheet'!N8*'Output-Calculation-sheet'!N26</f>
        <v>1404.9263027777019</v>
      </c>
      <c r="O20" s="2">
        <f>O9/'Output-Calculation-sheet'!O8*'Output-Calculation-sheet'!O26</f>
        <v>1453.4003727814604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635.08736148118692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285.3090880454431</v>
      </c>
      <c r="Y20" s="2">
        <f>Y9/'Output-Calculation-sheet'!Y8*'Output-Calculation-sheet'!Y26</f>
        <v>0</v>
      </c>
      <c r="AA20" s="2">
        <f t="shared" si="0"/>
        <v>27.178227099918018</v>
      </c>
    </row>
    <row r="21" spans="1:27" x14ac:dyDescent="0.25">
      <c r="A21" s="2">
        <v>2033</v>
      </c>
      <c r="B21" s="2">
        <f>B10/'Output-Calculation-sheet'!B9*'Output-Calculation-sheet'!B27</f>
        <v>10975.057306817722</v>
      </c>
      <c r="C21" s="2">
        <f>C10/'Output-Calculation-sheet'!C9*'Output-Calculation-sheet'!C27</f>
        <v>10327.017958728857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3695.6061478005727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32.066919149598853</v>
      </c>
      <c r="M21" s="2">
        <f>M10/'Output-Calculation-sheet'!M9*'Output-Calculation-sheet'!M27</f>
        <v>2712.4624650195888</v>
      </c>
      <c r="N21" s="2">
        <f>N10/'Output-Calculation-sheet'!N9*'Output-Calculation-sheet'!N27</f>
        <v>1658.039612192448</v>
      </c>
      <c r="O21" s="2">
        <f>O10/'Output-Calculation-sheet'!O9*'Output-Calculation-sheet'!O27</f>
        <v>1615.1218734602519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770.46817513140059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314.00770323879584</v>
      </c>
      <c r="Y21" s="2">
        <f>Y10/'Output-Calculation-sheet'!Y9*'Output-Calculation-sheet'!Y27</f>
        <v>0</v>
      </c>
      <c r="AA21" s="2">
        <f t="shared" si="0"/>
        <v>32.099848161539235</v>
      </c>
    </row>
    <row r="22" spans="1:27" x14ac:dyDescent="0.25">
      <c r="A22" s="2">
        <v>2034</v>
      </c>
      <c r="B22" s="2">
        <f>B11/'Output-Calculation-sheet'!B10*'Output-Calculation-sheet'!B28</f>
        <v>13950.230536699539</v>
      </c>
      <c r="C22" s="2">
        <f>C11/'Output-Calculation-sheet'!C10*'Output-Calculation-sheet'!C28</f>
        <v>10988.590406149568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3899.7117726377915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223.37276410651577</v>
      </c>
      <c r="M22" s="2">
        <f>M11/'Output-Calculation-sheet'!M10*'Output-Calculation-sheet'!M28</f>
        <v>2866.7163945256116</v>
      </c>
      <c r="N22" s="2">
        <f>N11/'Output-Calculation-sheet'!N10*'Output-Calculation-sheet'!N28</f>
        <v>1826.4522992593802</v>
      </c>
      <c r="O22" s="2">
        <f>O11/'Output-Calculation-sheet'!O10*'Output-Calculation-sheet'!O28</f>
        <v>1743.395629528811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846.66722755915089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353.87241967457777</v>
      </c>
      <c r="Y22" s="2">
        <f>Y11/'Output-Calculation-sheet'!Y10*'Output-Calculation-sheet'!Y28</f>
        <v>0</v>
      </c>
      <c r="AA22" s="2">
        <f t="shared" si="0"/>
        <v>36.699009450140935</v>
      </c>
    </row>
    <row r="23" spans="1:27" x14ac:dyDescent="0.25">
      <c r="A23" s="2">
        <v>2035</v>
      </c>
      <c r="B23" s="2">
        <f>B12/'Output-Calculation-sheet'!B11*'Output-Calculation-sheet'!B29</f>
        <v>18054.795401034666</v>
      </c>
      <c r="C23" s="2">
        <f>C12/'Output-Calculation-sheet'!C11*'Output-Calculation-sheet'!C29</f>
        <v>11307.263570714509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4005.6715060500087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414.30272094853808</v>
      </c>
      <c r="M23" s="2">
        <f>M12/'Output-Calculation-sheet'!M11*'Output-Calculation-sheet'!M29</f>
        <v>2958.7506329786015</v>
      </c>
      <c r="N23" s="2">
        <f>N12/'Output-Calculation-sheet'!N11*'Output-Calculation-sheet'!N29</f>
        <v>1912.2364229428888</v>
      </c>
      <c r="O23" s="2">
        <f>O12/'Output-Calculation-sheet'!O11*'Output-Calculation-sheet'!O29</f>
        <v>1835.1947607790348</v>
      </c>
      <c r="P23" s="2">
        <f>P12/'Output-Calculation-sheet'!P11*'Output-Calculation-sheet'!P29</f>
        <v>0</v>
      </c>
      <c r="Q23" s="2">
        <f>Q12/'Output-Calculation-sheet'!Q11*'Output-Calculation-sheet'!Q29</f>
        <v>107.78786664511171</v>
      </c>
      <c r="R23" s="2">
        <f>R12/'Output-Calculation-sheet'!R11*'Output-Calculation-sheet'!R29</f>
        <v>0</v>
      </c>
      <c r="S23" s="2">
        <f>S12/'Output-Calculation-sheet'!S11*'Output-Calculation-sheet'!S29</f>
        <v>891.3370573422701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391.02107571687463</v>
      </c>
      <c r="Y23" s="2">
        <f>Y12/'Output-Calculation-sheet'!Y11*'Output-Calculation-sheet'!Y29</f>
        <v>0</v>
      </c>
      <c r="AA23" s="2">
        <f t="shared" si="0"/>
        <v>41.878361015152507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 t="shared" ref="AA27:AA34" si="1"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si="1"/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29740.722731883856</v>
      </c>
      <c r="C30" s="2">
        <f>C8/'Output-Calculation-sheet'!C7*'Output-Calculation-sheet'!C16</f>
        <v>0</v>
      </c>
      <c r="D30" s="2">
        <f>D8/'Output-Calculation-sheet'!D7*'Output-Calculation-sheet'!D16</f>
        <v>6700.2981124397138</v>
      </c>
      <c r="E30" s="2">
        <f>E8/'Output-Calculation-sheet'!E7*'Output-Calculation-sheet'!E16</f>
        <v>8396.5438797165934</v>
      </c>
      <c r="F30" s="2">
        <f>F8/'Output-Calculation-sheet'!F7*'Output-Calculation-sheet'!F16</f>
        <v>4100.8712534876304</v>
      </c>
      <c r="G30" s="2">
        <f>G8/'Output-Calculation-sheet'!G7*'Output-Calculation-sheet'!G16</f>
        <v>2499.0176911356862</v>
      </c>
      <c r="H30" s="2">
        <f>H8/'Output-Calculation-sheet'!H7*'Output-Calculation-sheet'!H16</f>
        <v>0</v>
      </c>
      <c r="I30" s="2">
        <f>I8/'Output-Calculation-sheet'!I7*'Output-Calculation-sheet'!I16</f>
        <v>2352.5167241016138</v>
      </c>
      <c r="J30" s="2">
        <f>J8/'Output-Calculation-sheet'!J7*'Output-Calculation-sheet'!J16</f>
        <v>2521.79621953788</v>
      </c>
      <c r="K30" s="2">
        <f>K8/'Output-Calculation-sheet'!K7*'Output-Calculation-sheet'!K16</f>
        <v>2440.8152748037714</v>
      </c>
      <c r="L30" s="2">
        <f>L8/'Output-Calculation-sheet'!L7*'Output-Calculation-sheet'!L16</f>
        <v>2697.9331340845192</v>
      </c>
      <c r="M30" s="2">
        <f>M8/'Output-Calculation-sheet'!M7*'Output-Calculation-sheet'!M16</f>
        <v>0</v>
      </c>
      <c r="N30" s="2">
        <f>N8/'Output-Calculation-sheet'!N7*'Output-Calculation-sheet'!N16</f>
        <v>1209.8253843664413</v>
      </c>
      <c r="O30" s="2">
        <f>O8/'Output-Calculation-sheet'!O7*'Output-Calculation-sheet'!O16</f>
        <v>0</v>
      </c>
      <c r="P30" s="2">
        <f>P8/'Output-Calculation-sheet'!P7*'Output-Calculation-sheet'!P16</f>
        <v>2309.5646061458579</v>
      </c>
      <c r="Q30" s="2">
        <f>Q8/'Output-Calculation-sheet'!Q7*'Output-Calculation-sheet'!Q16</f>
        <v>2265.7972982715887</v>
      </c>
      <c r="R30" s="2">
        <f>R8/'Output-Calculation-sheet'!R7*'Output-Calculation-sheet'!R16</f>
        <v>2010.7214394483253</v>
      </c>
      <c r="S30" s="2">
        <f>S8/'Output-Calculation-sheet'!S7*'Output-Calculation-sheet'!S16</f>
        <v>1064.9420552146719</v>
      </c>
      <c r="T30" s="2">
        <f>T8/'Output-Calculation-sheet'!T7*'Output-Calculation-sheet'!T16</f>
        <v>759.47942500439513</v>
      </c>
      <c r="U30" s="2">
        <f>U8/'Output-Calculation-sheet'!U7*'Output-Calculation-sheet'!U16</f>
        <v>586.01633734393374</v>
      </c>
      <c r="V30" s="2">
        <f>V8/'Output-Calculation-sheet'!V7*'Output-Calculation-sheet'!V16</f>
        <v>758.77397152813535</v>
      </c>
      <c r="W30" s="2">
        <f>W8/'Output-Calculation-sheet'!W7*'Output-Calculation-sheet'!W16</f>
        <v>365.33415869933782</v>
      </c>
      <c r="X30" s="2">
        <f>X8/'Output-Calculation-sheet'!X7*'Output-Calculation-sheet'!X16</f>
        <v>0</v>
      </c>
      <c r="Y30" s="2">
        <f>Y8/'Output-Calculation-sheet'!Y7*'Output-Calculation-sheet'!Y16</f>
        <v>249.16586098597344</v>
      </c>
      <c r="AA30" s="2">
        <f t="shared" si="1"/>
        <v>73.03013555819993</v>
      </c>
    </row>
    <row r="31" spans="1:27" x14ac:dyDescent="0.25">
      <c r="A31" s="2">
        <v>2032</v>
      </c>
      <c r="B31" s="2">
        <f>B9/'Output-Calculation-sheet'!B8*'Output-Calculation-sheet'!B17</f>
        <v>33029.492600859034</v>
      </c>
      <c r="C31" s="2">
        <f>C9/'Output-Calculation-sheet'!C8*'Output-Calculation-sheet'!C17</f>
        <v>0</v>
      </c>
      <c r="D31" s="2">
        <f>D9/'Output-Calculation-sheet'!D8*'Output-Calculation-sheet'!D17</f>
        <v>7559.7692560793612</v>
      </c>
      <c r="E31" s="2">
        <f>E9/'Output-Calculation-sheet'!E8*'Output-Calculation-sheet'!E17</f>
        <v>9496.0688910521258</v>
      </c>
      <c r="F31" s="2">
        <f>F9/'Output-Calculation-sheet'!F8*'Output-Calculation-sheet'!F17</f>
        <v>4633.313662904462</v>
      </c>
      <c r="G31" s="2">
        <f>G9/'Output-Calculation-sheet'!G8*'Output-Calculation-sheet'!G17</f>
        <v>2820.4219252994767</v>
      </c>
      <c r="H31" s="2">
        <f>H9/'Output-Calculation-sheet'!H8*'Output-Calculation-sheet'!H17</f>
        <v>0</v>
      </c>
      <c r="I31" s="2">
        <f>I9/'Output-Calculation-sheet'!I8*'Output-Calculation-sheet'!I17</f>
        <v>2653.7506120446765</v>
      </c>
      <c r="J31" s="2">
        <f>J9/'Output-Calculation-sheet'!J8*'Output-Calculation-sheet'!J17</f>
        <v>2847.0188417197342</v>
      </c>
      <c r="K31" s="2">
        <f>K9/'Output-Calculation-sheet'!K8*'Output-Calculation-sheet'!K17</f>
        <v>2753.467038862158</v>
      </c>
      <c r="L31" s="2">
        <f>L9/'Output-Calculation-sheet'!L8*'Output-Calculation-sheet'!L17</f>
        <v>3042.4826433164694</v>
      </c>
      <c r="M31" s="2">
        <f>M9/'Output-Calculation-sheet'!M8*'Output-Calculation-sheet'!M17</f>
        <v>0</v>
      </c>
      <c r="N31" s="2">
        <f>N9/'Output-Calculation-sheet'!N8*'Output-Calculation-sheet'!N17</f>
        <v>1282.826217148038</v>
      </c>
      <c r="O31" s="2">
        <f>O9/'Output-Calculation-sheet'!O8*'Output-Calculation-sheet'!O17</f>
        <v>0</v>
      </c>
      <c r="P31" s="2">
        <f>P9/'Output-Calculation-sheet'!P8*'Output-Calculation-sheet'!P17</f>
        <v>2620.7508873194338</v>
      </c>
      <c r="Q31" s="2">
        <f>Q9/'Output-Calculation-sheet'!Q8*'Output-Calculation-sheet'!Q17</f>
        <v>2562.9809303405177</v>
      </c>
      <c r="R31" s="2">
        <f>R9/'Output-Calculation-sheet'!R8*'Output-Calculation-sheet'!R17</f>
        <v>2293.7927977339582</v>
      </c>
      <c r="S31" s="2">
        <f>S9/'Output-Calculation-sheet'!S8*'Output-Calculation-sheet'!S17</f>
        <v>1148.226709581206</v>
      </c>
      <c r="T31" s="2">
        <f>T9/'Output-Calculation-sheet'!T8*'Output-Calculation-sheet'!T17</f>
        <v>859.30730402111431</v>
      </c>
      <c r="U31" s="2">
        <f>U9/'Output-Calculation-sheet'!U8*'Output-Calculation-sheet'!U17</f>
        <v>665.35366148586729</v>
      </c>
      <c r="V31" s="2">
        <f>V9/'Output-Calculation-sheet'!V8*'Output-Calculation-sheet'!V17</f>
        <v>846.10387182641989</v>
      </c>
      <c r="W31" s="2">
        <f>W9/'Output-Calculation-sheet'!W8*'Output-Calculation-sheet'!W17</f>
        <v>412.38602313539383</v>
      </c>
      <c r="X31" s="2">
        <f>X9/'Output-Calculation-sheet'!X8*'Output-Calculation-sheet'!X17</f>
        <v>0</v>
      </c>
      <c r="Y31" s="2">
        <f>Y9/'Output-Calculation-sheet'!Y8*'Output-Calculation-sheet'!Y17</f>
        <v>281.12861065875018</v>
      </c>
      <c r="AA31" s="2">
        <f t="shared" si="1"/>
        <v>81.808642485388177</v>
      </c>
    </row>
    <row r="32" spans="1:27" x14ac:dyDescent="0.25">
      <c r="A32" s="2">
        <v>2033</v>
      </c>
      <c r="B32" s="2">
        <f>B10/'Output-Calculation-sheet'!B9*'Output-Calculation-sheet'!B18</f>
        <v>34769.01620977986</v>
      </c>
      <c r="C32" s="2">
        <f>C10/'Output-Calculation-sheet'!C9*'Output-Calculation-sheet'!C18</f>
        <v>0</v>
      </c>
      <c r="D32" s="2">
        <f>D10/'Output-Calculation-sheet'!D9*'Output-Calculation-sheet'!D18</f>
        <v>8134.2606445923848</v>
      </c>
      <c r="E32" s="2">
        <f>E10/'Output-Calculation-sheet'!E9*'Output-Calculation-sheet'!E18</f>
        <v>10230.603851484551</v>
      </c>
      <c r="F32" s="2">
        <f>F10/'Output-Calculation-sheet'!F9*'Output-Calculation-sheet'!F18</f>
        <v>4982.8811287282542</v>
      </c>
      <c r="G32" s="2">
        <f>G10/'Output-Calculation-sheet'!G9*'Output-Calculation-sheet'!G18</f>
        <v>3031.5131932381041</v>
      </c>
      <c r="H32" s="2">
        <f>H10/'Output-Calculation-sheet'!H9*'Output-Calculation-sheet'!H18</f>
        <v>0</v>
      </c>
      <c r="I32" s="2">
        <f>I10/'Output-Calculation-sheet'!I9*'Output-Calculation-sheet'!I18</f>
        <v>2856.6672497458326</v>
      </c>
      <c r="J32" s="2">
        <f>J10/'Output-Calculation-sheet'!J9*'Output-Calculation-sheet'!J18</f>
        <v>3061.3962722836486</v>
      </c>
      <c r="K32" s="2">
        <f>K10/'Output-Calculation-sheet'!K9*'Output-Calculation-sheet'!K18</f>
        <v>2969.3274136842715</v>
      </c>
      <c r="L32" s="2">
        <f>L10/'Output-Calculation-sheet'!L9*'Output-Calculation-sheet'!L18</f>
        <v>3261.8688340337699</v>
      </c>
      <c r="M32" s="2">
        <f>M10/'Output-Calculation-sheet'!M9*'Output-Calculation-sheet'!M18</f>
        <v>0</v>
      </c>
      <c r="N32" s="2">
        <f>N10/'Output-Calculation-sheet'!N9*'Output-Calculation-sheet'!N18</f>
        <v>1269.5038881998948</v>
      </c>
      <c r="O32" s="2">
        <f>O10/'Output-Calculation-sheet'!O9*'Output-Calculation-sheet'!O18</f>
        <v>0</v>
      </c>
      <c r="P32" s="2">
        <f>P10/'Output-Calculation-sheet'!P9*'Output-Calculation-sheet'!P18</f>
        <v>2860.5457224468159</v>
      </c>
      <c r="Q32" s="2">
        <f>Q10/'Output-Calculation-sheet'!Q9*'Output-Calculation-sheet'!Q18</f>
        <v>2770.8917967957755</v>
      </c>
      <c r="R32" s="2">
        <f>R10/'Output-Calculation-sheet'!R9*'Output-Calculation-sheet'!R18</f>
        <v>2490.5923884642079</v>
      </c>
      <c r="S32" s="2">
        <f>S10/'Output-Calculation-sheet'!S9*'Output-Calculation-sheet'!S18</f>
        <v>1187.0299008573916</v>
      </c>
      <c r="T32" s="2">
        <f>T10/'Output-Calculation-sheet'!T9*'Output-Calculation-sheet'!T18</f>
        <v>921.57789267254327</v>
      </c>
      <c r="U32" s="2">
        <f>U10/'Output-Calculation-sheet'!U9*'Output-Calculation-sheet'!U18</f>
        <v>718.48964457114801</v>
      </c>
      <c r="V32" s="2">
        <f>V10/'Output-Calculation-sheet'!V9*'Output-Calculation-sheet'!V18</f>
        <v>906.49959626237194</v>
      </c>
      <c r="W32" s="2">
        <f>W10/'Output-Calculation-sheet'!W9*'Output-Calculation-sheet'!W18</f>
        <v>442.29815136763864</v>
      </c>
      <c r="X32" s="2">
        <f>X10/'Output-Calculation-sheet'!X9*'Output-Calculation-sheet'!X18</f>
        <v>0</v>
      </c>
      <c r="Y32" s="2">
        <f>Y10/'Output-Calculation-sheet'!Y9*'Output-Calculation-sheet'!Y18</f>
        <v>302.68029195059444</v>
      </c>
      <c r="AA32" s="2">
        <f t="shared" si="1"/>
        <v>87.16764407115906</v>
      </c>
    </row>
    <row r="33" spans="1:27" x14ac:dyDescent="0.25">
      <c r="A33" s="2">
        <v>2034</v>
      </c>
      <c r="B33" s="2">
        <f>B11/'Output-Calculation-sheet'!B10*'Output-Calculation-sheet'!B19</f>
        <v>34981.262021742063</v>
      </c>
      <c r="C33" s="2">
        <f>C11/'Output-Calculation-sheet'!C10*'Output-Calculation-sheet'!C19</f>
        <v>0</v>
      </c>
      <c r="D33" s="2">
        <f>D11/'Output-Calculation-sheet'!D10*'Output-Calculation-sheet'!D19</f>
        <v>8424.4984134260903</v>
      </c>
      <c r="E33" s="2">
        <f>E11/'Output-Calculation-sheet'!E10*'Output-Calculation-sheet'!E19</f>
        <v>10604.122657766153</v>
      </c>
      <c r="F33" s="2">
        <f>F11/'Output-Calculation-sheet'!F10*'Output-Calculation-sheet'!F19</f>
        <v>5161.9493244368241</v>
      </c>
      <c r="G33" s="2">
        <f>G11/'Output-Calculation-sheet'!G10*'Output-Calculation-sheet'!G19</f>
        <v>3133.5193164694506</v>
      </c>
      <c r="H33" s="2">
        <f>H11/'Output-Calculation-sheet'!H10*'Output-Calculation-sheet'!H19</f>
        <v>0</v>
      </c>
      <c r="I33" s="2">
        <f>I11/'Output-Calculation-sheet'!I10*'Output-Calculation-sheet'!I19</f>
        <v>2961.3246707520657</v>
      </c>
      <c r="J33" s="2">
        <f>J11/'Output-Calculation-sheet'!J10*'Output-Calculation-sheet'!J19</f>
        <v>3162.0284786726238</v>
      </c>
      <c r="K33" s="2">
        <f>K11/'Output-Calculation-sheet'!K10*'Output-Calculation-sheet'!K19</f>
        <v>3084.5915424796999</v>
      </c>
      <c r="L33" s="2">
        <f>L11/'Output-Calculation-sheet'!L10*'Output-Calculation-sheet'!L19</f>
        <v>3316.0169335727683</v>
      </c>
      <c r="M33" s="2">
        <f>M11/'Output-Calculation-sheet'!M10*'Output-Calculation-sheet'!M19</f>
        <v>0</v>
      </c>
      <c r="N33" s="2">
        <f>N11/'Output-Calculation-sheet'!N10*'Output-Calculation-sheet'!N19</f>
        <v>1248.2867974802596</v>
      </c>
      <c r="O33" s="2">
        <f>O11/'Output-Calculation-sheet'!O10*'Output-Calculation-sheet'!O19</f>
        <v>0</v>
      </c>
      <c r="P33" s="2">
        <f>P11/'Output-Calculation-sheet'!P10*'Output-Calculation-sheet'!P19</f>
        <v>3020.4992138323792</v>
      </c>
      <c r="Q33" s="2">
        <f>Q11/'Output-Calculation-sheet'!Q10*'Output-Calculation-sheet'!Q19</f>
        <v>2882.2865157697011</v>
      </c>
      <c r="R33" s="2">
        <f>R11/'Output-Calculation-sheet'!R10*'Output-Calculation-sheet'!R19</f>
        <v>2612.0883387557656</v>
      </c>
      <c r="S33" s="2">
        <f>S11/'Output-Calculation-sheet'!S10*'Output-Calculation-sheet'!S19</f>
        <v>1203.9644350872416</v>
      </c>
      <c r="T33" s="2">
        <f>T11/'Output-Calculation-sheet'!T10*'Output-Calculation-sheet'!T19</f>
        <v>952.98038430377903</v>
      </c>
      <c r="U33" s="2">
        <f>U11/'Output-Calculation-sheet'!U10*'Output-Calculation-sheet'!U19</f>
        <v>749.20194611144223</v>
      </c>
      <c r="V33" s="2">
        <f>V11/'Output-Calculation-sheet'!V10*'Output-Calculation-sheet'!V19</f>
        <v>932.45623879682068</v>
      </c>
      <c r="W33" s="2">
        <f>W11/'Output-Calculation-sheet'!W10*'Output-Calculation-sheet'!W19</f>
        <v>457.41699137221298</v>
      </c>
      <c r="X33" s="2">
        <f>X11/'Output-Calculation-sheet'!X10*'Output-Calculation-sheet'!X19</f>
        <v>0</v>
      </c>
      <c r="Y33" s="2">
        <f>Y11/'Output-Calculation-sheet'!Y10*'Output-Calculation-sheet'!Y19</f>
        <v>314.28107473686157</v>
      </c>
      <c r="AA33" s="2">
        <f t="shared" si="1"/>
        <v>89.202775295564194</v>
      </c>
    </row>
    <row r="34" spans="1:27" x14ac:dyDescent="0.25">
      <c r="A34" s="2">
        <v>2035</v>
      </c>
      <c r="B34" s="2">
        <f>B12/'Output-Calculation-sheet'!B11*'Output-Calculation-sheet'!B20</f>
        <v>33682.325431837176</v>
      </c>
      <c r="C34" s="2">
        <f>C12/'Output-Calculation-sheet'!C11*'Output-Calculation-sheet'!C20</f>
        <v>0</v>
      </c>
      <c r="D34" s="2">
        <f>D12/'Output-Calculation-sheet'!D11*'Output-Calculation-sheet'!D20</f>
        <v>8485.2739305411415</v>
      </c>
      <c r="E34" s="2">
        <f>E12/'Output-Calculation-sheet'!E11*'Output-Calculation-sheet'!E20</f>
        <v>10680.812162683005</v>
      </c>
      <c r="F34" s="2">
        <f>F12/'Output-Calculation-sheet'!F11*'Output-Calculation-sheet'!F20</f>
        <v>5190.5966428676993</v>
      </c>
      <c r="G34" s="2">
        <f>G12/'Output-Calculation-sheet'!G11*'Output-Calculation-sheet'!G20</f>
        <v>3161.6038988504624</v>
      </c>
      <c r="H34" s="2">
        <f>H12/'Output-Calculation-sheet'!H11*'Output-Calculation-sheet'!H20</f>
        <v>0</v>
      </c>
      <c r="I34" s="2">
        <f>I12/'Output-Calculation-sheet'!I11*'Output-Calculation-sheet'!I20</f>
        <v>2982.0086909618121</v>
      </c>
      <c r="J34" s="2">
        <f>J12/'Output-Calculation-sheet'!J11*'Output-Calculation-sheet'!J20</f>
        <v>3174.1321262069609</v>
      </c>
      <c r="K34" s="2">
        <f>K12/'Output-Calculation-sheet'!K11*'Output-Calculation-sheet'!K20</f>
        <v>3110.5987837158086</v>
      </c>
      <c r="L34" s="2">
        <f>L12/'Output-Calculation-sheet'!L11*'Output-Calculation-sheet'!L20</f>
        <v>3282.1784657004641</v>
      </c>
      <c r="M34" s="2">
        <f>M12/'Output-Calculation-sheet'!M11*'Output-Calculation-sheet'!M20</f>
        <v>0</v>
      </c>
      <c r="N34" s="2">
        <f>N12/'Output-Calculation-sheet'!N11*'Output-Calculation-sheet'!N20</f>
        <v>1203.920916450892</v>
      </c>
      <c r="O34" s="2">
        <f>O12/'Output-Calculation-sheet'!O11*'Output-Calculation-sheet'!O20</f>
        <v>0</v>
      </c>
      <c r="P34" s="2">
        <f>P12/'Output-Calculation-sheet'!P11*'Output-Calculation-sheet'!P20</f>
        <v>3087.7004414777771</v>
      </c>
      <c r="Q34" s="2">
        <f>Q12/'Output-Calculation-sheet'!Q11*'Output-Calculation-sheet'!Q20</f>
        <v>2851.0786136492816</v>
      </c>
      <c r="R34" s="2">
        <f>R12/'Output-Calculation-sheet'!R11*'Output-Calculation-sheet'!R20</f>
        <v>2652.5189857759578</v>
      </c>
      <c r="S34" s="2">
        <f>S12/'Output-Calculation-sheet'!S11*'Output-Calculation-sheet'!S20</f>
        <v>1189.8744090820073</v>
      </c>
      <c r="T34" s="2">
        <f>T12/'Output-Calculation-sheet'!T11*'Output-Calculation-sheet'!T20</f>
        <v>958.14738838300957</v>
      </c>
      <c r="U34" s="2">
        <f>U12/'Output-Calculation-sheet'!U11*'Output-Calculation-sheet'!U20</f>
        <v>754.66980075767049</v>
      </c>
      <c r="V34" s="2">
        <f>V12/'Output-Calculation-sheet'!V11*'Output-Calculation-sheet'!V20</f>
        <v>936.30481597765129</v>
      </c>
      <c r="W34" s="2">
        <f>W12/'Output-Calculation-sheet'!W11*'Output-Calculation-sheet'!W20</f>
        <v>459.63199598641921</v>
      </c>
      <c r="X34" s="2">
        <f>X12/'Output-Calculation-sheet'!X11*'Output-Calculation-sheet'!X20</f>
        <v>0</v>
      </c>
      <c r="Y34" s="2">
        <f>Y12/'Output-Calculation-sheet'!Y11*'Output-Calculation-sheet'!Y20</f>
        <v>316.22684213158652</v>
      </c>
      <c r="AA34" s="2">
        <f t="shared" si="1"/>
        <v>88.159604343036747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169.94802246478559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151.27933265773316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657.83196317735133</v>
      </c>
      <c r="S52" s="2">
        <f>S8/'Output-Calculation-sheet'!S7*'Output-Calculation-sheet'!S43</f>
        <v>0</v>
      </c>
      <c r="T52" s="2">
        <f>T8/'Output-Calculation-sheet'!T7*'Output-Calculation-sheet'!T43</f>
        <v>529.69790530084765</v>
      </c>
      <c r="U52" s="2">
        <f>U8/'Output-Calculation-sheet'!U7*'Output-Calculation-sheet'!U43</f>
        <v>56.024506438234589</v>
      </c>
      <c r="V52" s="2">
        <f>V8/'Output-Calculation-sheet'!V7*'Output-Calculation-sheet'!V43</f>
        <v>955.19946060868006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2.5199811906476324</v>
      </c>
    </row>
    <row r="53" spans="1:27" x14ac:dyDescent="0.25">
      <c r="A53" s="2">
        <v>2032</v>
      </c>
      <c r="B53" s="2">
        <f>B9/'Output-Calculation-sheet'!B8*'Output-Calculation-sheet'!B44</f>
        <v>2024.9516499875258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381.75199649429175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305.83508880865122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956.1453929695532</v>
      </c>
      <c r="S53" s="2">
        <f>S9/'Output-Calculation-sheet'!S8*'Output-Calculation-sheet'!S44</f>
        <v>0</v>
      </c>
      <c r="T53" s="2">
        <f>T9/'Output-Calculation-sheet'!T8*'Output-Calculation-sheet'!T44</f>
        <v>659.24310174235268</v>
      </c>
      <c r="U53" s="2">
        <f>U9/'Output-Calculation-sheet'!U8*'Output-Calculation-sheet'!U44</f>
        <v>111.86409625048732</v>
      </c>
      <c r="V53" s="2">
        <f>V9/'Output-Calculation-sheet'!V8*'Output-Calculation-sheet'!V44</f>
        <v>1105.172472677792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5.5449637989306533</v>
      </c>
    </row>
    <row r="54" spans="1:27" x14ac:dyDescent="0.25">
      <c r="A54" s="2">
        <v>2033</v>
      </c>
      <c r="B54" s="2">
        <f>B10/'Output-Calculation-sheet'!B9*'Output-Calculation-sheet'!B45</f>
        <v>6499.0839982142497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571.77556287245147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545.32109494537076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321.34019781212879</v>
      </c>
      <c r="Q54" s="2">
        <f>Q10/'Output-Calculation-sheet'!Q9*'Output-Calculation-sheet'!Q45</f>
        <v>0</v>
      </c>
      <c r="R54" s="2">
        <f>R10/'Output-Calculation-sheet'!R9*'Output-Calculation-sheet'!R45</f>
        <v>1301.8936979398645</v>
      </c>
      <c r="S54" s="2">
        <f>S10/'Output-Calculation-sheet'!S9*'Output-Calculation-sheet'!S45</f>
        <v>0</v>
      </c>
      <c r="T54" s="2">
        <f>T10/'Output-Calculation-sheet'!T9*'Output-Calculation-sheet'!T45</f>
        <v>782.68925442566763</v>
      </c>
      <c r="U54" s="2">
        <f>U10/'Output-Calculation-sheet'!U9*'Output-Calculation-sheet'!U45</f>
        <v>186.99370291156069</v>
      </c>
      <c r="V54" s="2">
        <f>V10/'Output-Calculation-sheet'!V9*'Output-Calculation-sheet'!V45</f>
        <v>1228.4911689352125</v>
      </c>
      <c r="W54" s="2">
        <f>W10/'Output-Calculation-sheet'!W9*'Output-Calculation-sheet'!W45</f>
        <v>19.977107366341329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11.457565785422849</v>
      </c>
    </row>
    <row r="55" spans="1:27" x14ac:dyDescent="0.25">
      <c r="A55" s="2">
        <v>2034</v>
      </c>
      <c r="B55" s="2">
        <f>B11/'Output-Calculation-sheet'!B10*'Output-Calculation-sheet'!B46</f>
        <v>12006.563380998783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800.12991725355209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787.2083418546697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637.19310380573017</v>
      </c>
      <c r="Q55" s="2">
        <f>Q11/'Output-Calculation-sheet'!Q10*'Output-Calculation-sheet'!Q46</f>
        <v>0</v>
      </c>
      <c r="R55" s="2">
        <f>R11/'Output-Calculation-sheet'!R10*'Output-Calculation-sheet'!R46</f>
        <v>1654.0397497765157</v>
      </c>
      <c r="S55" s="2">
        <f>S11/'Output-Calculation-sheet'!S10*'Output-Calculation-sheet'!S46</f>
        <v>0</v>
      </c>
      <c r="T55" s="2">
        <f>T11/'Output-Calculation-sheet'!T10*'Output-Calculation-sheet'!T46</f>
        <v>860.25868761310846</v>
      </c>
      <c r="U55" s="2">
        <f>U11/'Output-Calculation-sheet'!U10*'Output-Calculation-sheet'!U46</f>
        <v>269.93821469719768</v>
      </c>
      <c r="V55" s="2">
        <f>V11/'Output-Calculation-sheet'!V10*'Output-Calculation-sheet'!V46</f>
        <v>1296.4574952817211</v>
      </c>
      <c r="W55" s="2">
        <f>W11/'Output-Calculation-sheet'!W10*'Output-Calculation-sheet'!W46</f>
        <v>36.047903039780813</v>
      </c>
      <c r="X55" s="2">
        <f>X11/'Output-Calculation-sheet'!X10*'Output-Calculation-sheet'!X46</f>
        <v>86.225472756678343</v>
      </c>
      <c r="Y55" s="2">
        <f>Y11/'Output-Calculation-sheet'!Y10*'Output-Calculation-sheet'!Y46</f>
        <v>0</v>
      </c>
      <c r="AA55" s="2">
        <f t="shared" si="3"/>
        <v>18.434062267077739</v>
      </c>
    </row>
    <row r="56" spans="1:27" x14ac:dyDescent="0.25">
      <c r="A56" s="2">
        <v>2035</v>
      </c>
      <c r="B56" s="2">
        <f>B12/'Output-Calculation-sheet'!B11*'Output-Calculation-sheet'!B47</f>
        <v>26276.971645954425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969.68782069023382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938.22628999472693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893.09220577262442</v>
      </c>
      <c r="Q56" s="2">
        <f>Q12/'Output-Calculation-sheet'!Q11*'Output-Calculation-sheet'!Q47</f>
        <v>0</v>
      </c>
      <c r="R56" s="2">
        <f>R12/'Output-Calculation-sheet'!R11*'Output-Calculation-sheet'!R47</f>
        <v>2039.9192388302884</v>
      </c>
      <c r="S56" s="2">
        <f>S12/'Output-Calculation-sheet'!S11*'Output-Calculation-sheet'!S47</f>
        <v>0</v>
      </c>
      <c r="T56" s="2">
        <f>T12/'Output-Calculation-sheet'!T11*'Output-Calculation-sheet'!T47</f>
        <v>967.78977087076782</v>
      </c>
      <c r="U56" s="2">
        <f>U12/'Output-Calculation-sheet'!U11*'Output-Calculation-sheet'!U47</f>
        <v>370.62504283255419</v>
      </c>
      <c r="V56" s="2">
        <f>V12/'Output-Calculation-sheet'!V11*'Output-Calculation-sheet'!V47</f>
        <v>1321.758038579668</v>
      </c>
      <c r="W56" s="2">
        <f>W12/'Output-Calculation-sheet'!W11*'Output-Calculation-sheet'!W47</f>
        <v>51.555993806804025</v>
      </c>
      <c r="X56" s="2">
        <f>X12/'Output-Calculation-sheet'!X11*'Output-Calculation-sheet'!X47</f>
        <v>203.47857382906173</v>
      </c>
      <c r="Y56" s="2">
        <f>Y12/'Output-Calculation-sheet'!Y11*'Output-Calculation-sheet'!Y47</f>
        <v>0</v>
      </c>
      <c r="AA56" s="2">
        <f t="shared" si="3"/>
        <v>34.033104621161144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 t="shared" ref="AA60:AA67" si="4"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si="4"/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8.2064322225762325</v>
      </c>
      <c r="C63" s="2">
        <f>C8*'Output-Calculation-sheet'!C52/10^9</f>
        <v>4.1596498958809178</v>
      </c>
      <c r="D63" s="2">
        <f>D8*'Output-Calculation-sheet'!D52/10^9</f>
        <v>1.4531510201689619</v>
      </c>
      <c r="E63" s="2">
        <f>E8*'Output-Calculation-sheet'!E52/10^9</f>
        <v>1.8710607852341359</v>
      </c>
      <c r="F63" s="2">
        <f>F8*'Output-Calculation-sheet'!F52/10^9</f>
        <v>0.77827207704600132</v>
      </c>
      <c r="G63" s="2">
        <f>G8*'Output-Calculation-sheet'!G52/10^9</f>
        <v>0.55842873025301731</v>
      </c>
      <c r="H63" s="2">
        <f>H8*'Output-Calculation-sheet'!H52/10^9</f>
        <v>1.0787202593417997</v>
      </c>
      <c r="I63" s="2">
        <f>I8*'Output-Calculation-sheet'!I52/10^9</f>
        <v>0.50059562215973996</v>
      </c>
      <c r="J63" s="2">
        <f>J8*'Output-Calculation-sheet'!J52/10^9</f>
        <v>0.53815985816107303</v>
      </c>
      <c r="K63" s="2">
        <f>K8*'Output-Calculation-sheet'!K52/10^9</f>
        <v>0.54955492581250664</v>
      </c>
      <c r="L63" s="2">
        <f>L8*'Output-Calculation-sheet'!L52/10^9</f>
        <v>0.57154306340059091</v>
      </c>
      <c r="M63" s="2">
        <f>M8*'Output-Calculation-sheet'!M52/10^9</f>
        <v>0.81568637835594993</v>
      </c>
      <c r="N63" s="2">
        <f>N8*'Output-Calculation-sheet'!N52/10^9</f>
        <v>0.6891607906694317</v>
      </c>
      <c r="O63" s="2">
        <f>O8*'Output-Calculation-sheet'!O52/10^9</f>
        <v>0.7139275021429673</v>
      </c>
      <c r="P63" s="2">
        <f>P8*'Output-Calculation-sheet'!P52/10^9</f>
        <v>0.59168405545774416</v>
      </c>
      <c r="Q63" s="2">
        <f>Q8*'Output-Calculation-sheet'!Q52/10^9</f>
        <v>0.55972842692332148</v>
      </c>
      <c r="R63" s="2">
        <f>R8*'Output-Calculation-sheet'!R52/10^9</f>
        <v>0.47153847013777284</v>
      </c>
      <c r="S63" s="2">
        <f>S8*'Output-Calculation-sheet'!S52/10^9</f>
        <v>0.43355027714052713</v>
      </c>
      <c r="T63" s="2">
        <f>T8*'Output-Calculation-sheet'!T52/10^9</f>
        <v>0.15440815933117435</v>
      </c>
      <c r="U63" s="2">
        <f>U8*'Output-Calculation-sheet'!U52/10^9</f>
        <v>0.15146362959739068</v>
      </c>
      <c r="V63" s="2">
        <f>V8*'Output-Calculation-sheet'!V52/10^9</f>
        <v>0.1357517402471872</v>
      </c>
      <c r="W63" s="2">
        <f>W8*'Output-Calculation-sheet'!W52/10^9</f>
        <v>7.086466242368504E-2</v>
      </c>
      <c r="X63" s="2">
        <f>X8*'Output-Calculation-sheet'!X52/10^9</f>
        <v>0.1145188189202191</v>
      </c>
      <c r="Y63" s="2">
        <f>Y8*'Output-Calculation-sheet'!Y52/10^9</f>
        <v>5.90665127084221E-2</v>
      </c>
      <c r="AA63" s="2">
        <f t="shared" si="4"/>
        <v>25.226917884090774</v>
      </c>
    </row>
    <row r="64" spans="1:27" x14ac:dyDescent="0.25">
      <c r="A64" s="2">
        <v>2032</v>
      </c>
      <c r="B64" s="2">
        <f>B9*'Output-Calculation-sheet'!B53/10^9</f>
        <v>9.1534940062982013</v>
      </c>
      <c r="C64" s="2">
        <f>C9*'Output-Calculation-sheet'!C53/10^9</f>
        <v>4.6355426311959365</v>
      </c>
      <c r="D64" s="2">
        <f>D9*'Output-Calculation-sheet'!D53/10^9</f>
        <v>1.6237650879377818</v>
      </c>
      <c r="E64" s="2">
        <f>E9*'Output-Calculation-sheet'!E53/10^9</f>
        <v>2.0910133172650069</v>
      </c>
      <c r="F64" s="2">
        <f>F9*'Output-Calculation-sheet'!F53/10^9</f>
        <v>0.86900688274668136</v>
      </c>
      <c r="G64" s="2">
        <f>G9*'Output-Calculation-sheet'!G53/10^9</f>
        <v>0.6238600493454447</v>
      </c>
      <c r="H64" s="2">
        <f>H9*'Output-Calculation-sheet'!H53/10^9</f>
        <v>1.2006537033041265</v>
      </c>
      <c r="I64" s="2">
        <f>I9*'Output-Calculation-sheet'!I53/10^9</f>
        <v>0.55931561498724691</v>
      </c>
      <c r="J64" s="2">
        <f>J9*'Output-Calculation-sheet'!J53/10^9</f>
        <v>0.60109974621143936</v>
      </c>
      <c r="K64" s="2">
        <f>K9*'Output-Calculation-sheet'!K53/10^9</f>
        <v>0.61419403898414615</v>
      </c>
      <c r="L64" s="2">
        <f>L9*'Output-Calculation-sheet'!L53/10^9</f>
        <v>0.63857151495573872</v>
      </c>
      <c r="M64" s="2">
        <f>M9*'Output-Calculation-sheet'!M53/10^9</f>
        <v>0.90810817622791251</v>
      </c>
      <c r="N64" s="2">
        <f>N9*'Output-Calculation-sheet'!N53/10^9</f>
        <v>0.76809192607346766</v>
      </c>
      <c r="O64" s="2">
        <f>O9*'Output-Calculation-sheet'!O53/10^9</f>
        <v>0.79585572705518903</v>
      </c>
      <c r="P64" s="2">
        <f>P9*'Output-Calculation-sheet'!P53/10^9</f>
        <v>0.66166513056565246</v>
      </c>
      <c r="Q64" s="2">
        <f>Q9*'Output-Calculation-sheet'!Q53/10^9</f>
        <v>0.62583510802106568</v>
      </c>
      <c r="R64" s="2">
        <f>R9*'Output-Calculation-sheet'!R53/10^9</f>
        <v>0.52638020764035953</v>
      </c>
      <c r="S64" s="2">
        <f>S9*'Output-Calculation-sheet'!S53/10^9</f>
        <v>0.48364000743311392</v>
      </c>
      <c r="T64" s="2">
        <f>T9*'Output-Calculation-sheet'!T53/10^9</f>
        <v>0.17198849727670615</v>
      </c>
      <c r="U64" s="2">
        <f>U9*'Output-Calculation-sheet'!U53/10^9</f>
        <v>0.16931460487038258</v>
      </c>
      <c r="V64" s="2">
        <f>V9*'Output-Calculation-sheet'!V53/10^9</f>
        <v>0.15070770267241204</v>
      </c>
      <c r="W64" s="2">
        <f>W9*'Output-Calculation-sheet'!W53/10^9</f>
        <v>7.9136845911536038E-2</v>
      </c>
      <c r="X64" s="2">
        <f>X9*'Output-Calculation-sheet'!X53/10^9</f>
        <v>0.12758496310183748</v>
      </c>
      <c r="Y64" s="2">
        <f>Y9*'Output-Calculation-sheet'!Y53/10^9</f>
        <v>6.6030388790910347E-2</v>
      </c>
      <c r="AA64" s="2">
        <f t="shared" si="4"/>
        <v>28.144855878872299</v>
      </c>
    </row>
    <row r="65" spans="1:27" x14ac:dyDescent="0.25">
      <c r="A65" s="2">
        <v>2033</v>
      </c>
      <c r="B65" s="2">
        <f>B10*'Output-Calculation-sheet'!B54/10^9</f>
        <v>9.7165197650525297</v>
      </c>
      <c r="C65" s="2">
        <f>C10*'Output-Calculation-sheet'!C54/10^9</f>
        <v>4.9191364695266513</v>
      </c>
      <c r="D65" s="2">
        <f>D10*'Output-Calculation-sheet'!D54/10^9</f>
        <v>1.7281920323808837</v>
      </c>
      <c r="E65" s="2">
        <f>E10*'Output-Calculation-sheet'!E54/10^9</f>
        <v>2.2257763965756574</v>
      </c>
      <c r="F65" s="2">
        <f>F10*'Output-Calculation-sheet'!F54/10^9</f>
        <v>0.92420386872872939</v>
      </c>
      <c r="G65" s="2">
        <f>G10*'Output-Calculation-sheet'!G54/10^9</f>
        <v>0.66369216591468039</v>
      </c>
      <c r="H65" s="2">
        <f>H10*'Output-Calculation-sheet'!H54/10^9</f>
        <v>1.2725721770526446</v>
      </c>
      <c r="I65" s="2">
        <f>I10*'Output-Calculation-sheet'!I54/10^9</f>
        <v>0.59523010991135217</v>
      </c>
      <c r="J65" s="2">
        <f>J10*'Output-Calculation-sheet'!J54/10^9</f>
        <v>0.63935311077078416</v>
      </c>
      <c r="K65" s="2">
        <f>K10*'Output-Calculation-sheet'!K54/10^9</f>
        <v>0.65381771973440816</v>
      </c>
      <c r="L65" s="2">
        <f>L10*'Output-Calculation-sheet'!L54/10^9</f>
        <v>0.67955424520996266</v>
      </c>
      <c r="M65" s="2">
        <f>M10*'Output-Calculation-sheet'!M54/10^9</f>
        <v>0.96272805615340573</v>
      </c>
      <c r="N65" s="2">
        <f>N10*'Output-Calculation-sheet'!N54/10^9</f>
        <v>0.81495765902944906</v>
      </c>
      <c r="O65" s="2">
        <f>O10*'Output-Calculation-sheet'!O54/10^9</f>
        <v>0.844705602081542</v>
      </c>
      <c r="P65" s="2">
        <f>P10*'Output-Calculation-sheet'!P54/10^9</f>
        <v>0.70461563420582829</v>
      </c>
      <c r="Q65" s="2">
        <f>Q10*'Output-Calculation-sheet'!Q54/10^9</f>
        <v>0.6664929902457758</v>
      </c>
      <c r="R65" s="2">
        <f>R10*'Output-Calculation-sheet'!R54/10^9</f>
        <v>0.55951499397833415</v>
      </c>
      <c r="S65" s="2">
        <f>S10*'Output-Calculation-sheet'!S54/10^9</f>
        <v>0.51360837857909647</v>
      </c>
      <c r="T65" s="2">
        <f>T10*'Output-Calculation-sheet'!T54/10^9</f>
        <v>0.18240764054886077</v>
      </c>
      <c r="U65" s="2">
        <f>U10*'Output-Calculation-sheet'!U54/10^9</f>
        <v>0.18023030600986054</v>
      </c>
      <c r="V65" s="2">
        <f>V10*'Output-Calculation-sheet'!V54/10^9</f>
        <v>0.15934756777182088</v>
      </c>
      <c r="W65" s="2">
        <f>W10*'Output-Calculation-sheet'!W54/10^9</f>
        <v>8.4164542043627541E-2</v>
      </c>
      <c r="X65" s="2">
        <f>X10*'Output-Calculation-sheet'!X54/10^9</f>
        <v>0.13535916412630758</v>
      </c>
      <c r="Y65" s="2">
        <f>Y10*'Output-Calculation-sheet'!Y54/10^9</f>
        <v>7.0308155518581536E-2</v>
      </c>
      <c r="AA65" s="2">
        <f t="shared" si="4"/>
        <v>29.896488751150773</v>
      </c>
    </row>
    <row r="66" spans="1:27" x14ac:dyDescent="0.25">
      <c r="A66" s="2">
        <v>2034</v>
      </c>
      <c r="B66" s="2">
        <f>B11*'Output-Calculation-sheet'!B55/10^9</f>
        <v>9.9290487400628589</v>
      </c>
      <c r="C66" s="2">
        <f>C11*'Output-Calculation-sheet'!C55/10^9</f>
        <v>5.0295810866972444</v>
      </c>
      <c r="D66" s="2">
        <f>D11*'Output-Calculation-sheet'!D55/10^9</f>
        <v>1.772686529220229</v>
      </c>
      <c r="E66" s="2">
        <f>E11*'Output-Calculation-sheet'!E55/10^9</f>
        <v>2.2833587086298865</v>
      </c>
      <c r="F66" s="2">
        <f>F11*'Output-Calculation-sheet'!F55/10^9</f>
        <v>0.94727756958194731</v>
      </c>
      <c r="G66" s="2">
        <f>G11*'Output-Calculation-sheet'!G55/10^9</f>
        <v>0.68036567472214993</v>
      </c>
      <c r="H66" s="2">
        <f>H11*'Output-Calculation-sheet'!H55/10^9</f>
        <v>1.2996016634349639</v>
      </c>
      <c r="I66" s="2">
        <f>I11*'Output-Calculation-sheet'!I55/10^9</f>
        <v>0.61049117563869981</v>
      </c>
      <c r="J66" s="2">
        <f>J11*'Output-Calculation-sheet'!J55/10^9</f>
        <v>0.65525005635207201</v>
      </c>
      <c r="K66" s="2">
        <f>K11*'Output-Calculation-sheet'!K55/10^9</f>
        <v>0.67076753256908161</v>
      </c>
      <c r="L66" s="2">
        <f>L11*'Output-Calculation-sheet'!L55/10^9</f>
        <v>0.69650201884155294</v>
      </c>
      <c r="M66" s="2">
        <f>M11*'Output-Calculation-sheet'!M55/10^9</f>
        <v>0.98338670864304489</v>
      </c>
      <c r="N66" s="2">
        <f>N11*'Output-Calculation-sheet'!N55/10^9</f>
        <v>0.83294828580662184</v>
      </c>
      <c r="O66" s="2">
        <f>O11*'Output-Calculation-sheet'!O55/10^9</f>
        <v>0.86377740063082831</v>
      </c>
      <c r="P66" s="2">
        <f>P11*'Output-Calculation-sheet'!P55/10^9</f>
        <v>0.72286823802893785</v>
      </c>
      <c r="Q66" s="2">
        <f>Q11*'Output-Calculation-sheet'!Q55/10^9</f>
        <v>0.68406338625914298</v>
      </c>
      <c r="R66" s="2">
        <f>R11*'Output-Calculation-sheet'!R55/10^9</f>
        <v>0.57295232632291804</v>
      </c>
      <c r="S66" s="2">
        <f>S11*'Output-Calculation-sheet'!S55/10^9</f>
        <v>0.52545479167255382</v>
      </c>
      <c r="T66" s="2">
        <f>T11*'Output-Calculation-sheet'!T55/10^9</f>
        <v>0.18641056410873144</v>
      </c>
      <c r="U66" s="2">
        <f>U11*'Output-Calculation-sheet'!U55/10^9</f>
        <v>0.18485003955999271</v>
      </c>
      <c r="V66" s="2">
        <f>V11*'Output-Calculation-sheet'!V55/10^9</f>
        <v>0.16237742441632494</v>
      </c>
      <c r="W66" s="2">
        <f>W11*'Output-Calculation-sheet'!W55/10^9</f>
        <v>8.6258116447085295E-2</v>
      </c>
      <c r="X66" s="2">
        <f>X11*'Output-Calculation-sheet'!X55/10^9</f>
        <v>0.1382996549212821</v>
      </c>
      <c r="Y66" s="2">
        <f>Y11*'Output-Calculation-sheet'!Y55/10^9</f>
        <v>7.2150151888452488E-2</v>
      </c>
      <c r="AA66" s="2">
        <f t="shared" si="4"/>
        <v>30.590727844456598</v>
      </c>
    </row>
    <row r="67" spans="1:27" x14ac:dyDescent="0.25">
      <c r="A67" s="2">
        <v>2035</v>
      </c>
      <c r="B67" s="2">
        <f>B12*'Output-Calculation-sheet'!B56/10^9</f>
        <v>9.8333946515463033</v>
      </c>
      <c r="C67" s="2">
        <f>C12*'Output-Calculation-sheet'!C56/10^9</f>
        <v>4.991374903991181</v>
      </c>
      <c r="D67" s="2">
        <f>D12*'Output-Calculation-sheet'!D56/10^9</f>
        <v>1.7653713328689324</v>
      </c>
      <c r="E67" s="2">
        <f>E12*'Output-Calculation-sheet'!E56/10^9</f>
        <v>2.2742072505169553</v>
      </c>
      <c r="F67" s="2">
        <f>F12*'Output-Calculation-sheet'!F56/10^9</f>
        <v>0.94264111873645784</v>
      </c>
      <c r="G67" s="2">
        <f>G12*'Output-Calculation-sheet'!G56/10^9</f>
        <v>0.67700246962981903</v>
      </c>
      <c r="H67" s="2">
        <f>H12*'Output-Calculation-sheet'!H56/10^9</f>
        <v>1.2882010034417053</v>
      </c>
      <c r="I67" s="2">
        <f>I12*'Output-Calculation-sheet'!I56/10^9</f>
        <v>0.60790434152186978</v>
      </c>
      <c r="J67" s="2">
        <f>J12*'Output-Calculation-sheet'!J56/10^9</f>
        <v>0.6518821127771014</v>
      </c>
      <c r="K67" s="2">
        <f>K12*'Output-Calculation-sheet'!K56/10^9</f>
        <v>0.66811117136402709</v>
      </c>
      <c r="L67" s="2">
        <f>L12*'Output-Calculation-sheet'!L56/10^9</f>
        <v>0.69245191882983836</v>
      </c>
      <c r="M67" s="2">
        <f>M12*'Output-Calculation-sheet'!M56/10^9</f>
        <v>0.97494873640318813</v>
      </c>
      <c r="N67" s="2">
        <f>N12*'Output-Calculation-sheet'!N56/10^9</f>
        <v>0.82625025979675026</v>
      </c>
      <c r="O67" s="2">
        <f>O12*'Output-Calculation-sheet'!O56/10^9</f>
        <v>0.85719029577545713</v>
      </c>
      <c r="P67" s="2">
        <f>P12*'Output-Calculation-sheet'!P56/10^9</f>
        <v>0.71974942922604679</v>
      </c>
      <c r="Q67" s="2">
        <f>Q12*'Output-Calculation-sheet'!Q56/10^9</f>
        <v>0.68159067677534546</v>
      </c>
      <c r="R67" s="2">
        <f>R12*'Output-Calculation-sheet'!R56/10^9</f>
        <v>0.56942483379457032</v>
      </c>
      <c r="S67" s="2">
        <f>S12*'Output-Calculation-sheet'!S56/10^9</f>
        <v>0.5217741374448176</v>
      </c>
      <c r="T67" s="2">
        <f>T12*'Output-Calculation-sheet'!T56/10^9</f>
        <v>0.18491296075038222</v>
      </c>
      <c r="U67" s="2">
        <f>U12*'Output-Calculation-sheet'!U56/10^9</f>
        <v>0.1840007494667924</v>
      </c>
      <c r="V67" s="2">
        <f>V12*'Output-Calculation-sheet'!V56/10^9</f>
        <v>0.16063376729368431</v>
      </c>
      <c r="W67" s="2">
        <f>W12*'Output-Calculation-sheet'!W56/10^9</f>
        <v>8.5817141664480595E-2</v>
      </c>
      <c r="X67" s="2">
        <f>X12*'Output-Calculation-sheet'!X56/10^9</f>
        <v>0.13700503854391921</v>
      </c>
      <c r="Y67" s="2">
        <f>Y12*'Output-Calculation-sheet'!Y56/10^9</f>
        <v>7.1884476624498594E-2</v>
      </c>
      <c r="AA67" s="2">
        <f t="shared" si="4"/>
        <v>30.36772477878413</v>
      </c>
    </row>
    <row r="68" spans="1:27" x14ac:dyDescent="0.25">
      <c r="B68" s="2">
        <f>SUM(B60:B67)</f>
        <v>63.29269287328647</v>
      </c>
      <c r="C68" s="2">
        <f t="shared" ref="C68:Y68" si="5">SUM(C60:C67)</f>
        <v>32.062521992972499</v>
      </c>
      <c r="D68" s="2">
        <f t="shared" si="5"/>
        <v>11.253164056830498</v>
      </c>
      <c r="E68" s="2">
        <f t="shared" si="5"/>
        <v>14.490923164874442</v>
      </c>
      <c r="F68" s="2">
        <f t="shared" si="5"/>
        <v>6.0229058324478055</v>
      </c>
      <c r="G68" s="2">
        <f t="shared" si="5"/>
        <v>4.3213168375306115</v>
      </c>
      <c r="H68" s="2">
        <f t="shared" si="5"/>
        <v>8.3045687713497003</v>
      </c>
      <c r="I68" s="2">
        <f t="shared" si="5"/>
        <v>3.876228167494598</v>
      </c>
      <c r="J68" s="2">
        <f t="shared" si="5"/>
        <v>4.1640338029240951</v>
      </c>
      <c r="K68" s="2">
        <f t="shared" si="5"/>
        <v>4.2563602371104761</v>
      </c>
      <c r="L68" s="2">
        <f t="shared" si="5"/>
        <v>4.4235272552382963</v>
      </c>
      <c r="M68" s="2">
        <f t="shared" si="5"/>
        <v>6.2810770618703522</v>
      </c>
      <c r="N68" s="2">
        <f t="shared" si="5"/>
        <v>5.3122049303624372</v>
      </c>
      <c r="O68" s="2">
        <f t="shared" si="5"/>
        <v>5.5004686771607663</v>
      </c>
      <c r="P68" s="2">
        <f t="shared" si="5"/>
        <v>4.5829302829704499</v>
      </c>
      <c r="Q68" s="2">
        <f t="shared" si="5"/>
        <v>4.3366850910136057</v>
      </c>
      <c r="R68" s="2">
        <f t="shared" si="5"/>
        <v>3.644770022695528</v>
      </c>
      <c r="S68" s="2">
        <f t="shared" si="5"/>
        <v>3.3460452652290678</v>
      </c>
      <c r="T68" s="2">
        <f t="shared" si="5"/>
        <v>1.1920180678084757</v>
      </c>
      <c r="U68" s="2">
        <f t="shared" si="5"/>
        <v>1.172547246358457</v>
      </c>
      <c r="V68" s="2">
        <f t="shared" si="5"/>
        <v>1.0469593134605912</v>
      </c>
      <c r="W68" s="2">
        <f t="shared" si="5"/>
        <v>0.54837908881635811</v>
      </c>
      <c r="X68" s="2">
        <f t="shared" si="5"/>
        <v>0.8822017352930529</v>
      </c>
      <c r="Y68" s="2">
        <f t="shared" si="5"/>
        <v>0.45758460944841817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62.268955431097446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55.42874748579343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219.92870368932213</v>
      </c>
      <c r="S74" s="2">
        <f>S8/'Output-Calculation-sheet'!S7*'Output-Calculation-sheet'!S61</f>
        <v>0</v>
      </c>
      <c r="T74" s="2">
        <f>T8/'Output-Calculation-sheet'!T7*'Output-Calculation-sheet'!T61</f>
        <v>162.01597822404577</v>
      </c>
      <c r="U74" s="2">
        <f>U8/'Output-Calculation-sheet'!U7*'Output-Calculation-sheet'!U61</f>
        <v>20.52364419187327</v>
      </c>
      <c r="V74" s="2">
        <f>V8/'Output-Calculation-sheet'!V7*'Output-Calculation-sheet'!V61</f>
        <v>185.97109498403367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0.70613712400616568</v>
      </c>
    </row>
    <row r="75" spans="1:27" x14ac:dyDescent="0.25">
      <c r="A75" s="2">
        <v>2032</v>
      </c>
      <c r="B75" s="2">
        <f>B9/'Output-Calculation-sheet'!B8*'Output-Calculation-sheet'!B62</f>
        <v>689.49603682075258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139.83575631585907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112.03758753356924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296.44853297478738</v>
      </c>
      <c r="S75" s="2">
        <f>S9/'Output-Calculation-sheet'!S8*'Output-Calculation-sheet'!S62</f>
        <v>0</v>
      </c>
      <c r="T75" s="2">
        <f>T9/'Output-Calculation-sheet'!T8*'Output-Calculation-sheet'!T62</f>
        <v>195.81128031752127</v>
      </c>
      <c r="U75" s="2">
        <f>U9/'Output-Calculation-sheet'!U8*'Output-Calculation-sheet'!U62</f>
        <v>40.026371939627495</v>
      </c>
      <c r="V75" s="2">
        <f>V9/'Output-Calculation-sheet'!V8*'Output-Calculation-sheet'!V62</f>
        <v>209.75634422901237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1.6834119101311293</v>
      </c>
    </row>
    <row r="76" spans="1:27" x14ac:dyDescent="0.25">
      <c r="A76" s="2">
        <v>2033</v>
      </c>
      <c r="B76" s="2">
        <f>B10/'Output-Calculation-sheet'!B9*'Output-Calculation-sheet'!B63</f>
        <v>1785.3525333427726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209.43322045785223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199.76929444832081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90.123566247924742</v>
      </c>
      <c r="Q76" s="2">
        <f>Q10/'Output-Calculation-sheet'!Q9*'Output-Calculation-sheet'!Q63</f>
        <v>0</v>
      </c>
      <c r="R76" s="2">
        <f>R10/'Output-Calculation-sheet'!R9*'Output-Calculation-sheet'!R63</f>
        <v>383.84940797651967</v>
      </c>
      <c r="S76" s="2">
        <f>S10/'Output-Calculation-sheet'!S9*'Output-Calculation-sheet'!S63</f>
        <v>0</v>
      </c>
      <c r="T76" s="2">
        <f>T10/'Output-Calculation-sheet'!T9*'Output-Calculation-sheet'!T63</f>
        <v>224.3479836531771</v>
      </c>
      <c r="U76" s="2">
        <f>U10/'Output-Calculation-sheet'!U9*'Output-Calculation-sheet'!U63</f>
        <v>65.25332256801822</v>
      </c>
      <c r="V76" s="2">
        <f>V10/'Output-Calculation-sheet'!V9*'Output-Calculation-sheet'!V63</f>
        <v>233.02112773389888</v>
      </c>
      <c r="W76" s="2">
        <f>W10/'Output-Calculation-sheet'!W9*'Output-Calculation-sheet'!W63</f>
        <v>7.3166155729225117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3.198467072001407</v>
      </c>
    </row>
    <row r="77" spans="1:27" x14ac:dyDescent="0.25">
      <c r="A77" s="2">
        <v>2034</v>
      </c>
      <c r="B77" s="2">
        <f>B11/'Output-Calculation-sheet'!B10*'Output-Calculation-sheet'!B64</f>
        <v>3077.0308943861996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293.10022232024852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272.44905850474947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175.86529665038154</v>
      </c>
      <c r="Q77" s="2">
        <f>Q11/'Output-Calculation-sheet'!Q10*'Output-Calculation-sheet'!Q64</f>
        <v>0</v>
      </c>
      <c r="R77" s="2">
        <f>R11/'Output-Calculation-sheet'!R10*'Output-Calculation-sheet'!R64</f>
        <v>456.82660161581242</v>
      </c>
      <c r="S77" s="2">
        <f>S11/'Output-Calculation-sheet'!S10*'Output-Calculation-sheet'!S64</f>
        <v>0</v>
      </c>
      <c r="T77" s="2">
        <f>T11/'Output-Calculation-sheet'!T10*'Output-Calculation-sheet'!T64</f>
        <v>246.06059059614117</v>
      </c>
      <c r="U77" s="2">
        <f>U11/'Output-Calculation-sheet'!U10*'Output-Calculation-sheet'!U64</f>
        <v>83.418620861853995</v>
      </c>
      <c r="V77" s="2">
        <f>V11/'Output-Calculation-sheet'!V10*'Output-Calculation-sheet'!V64</f>
        <v>249.16961530877779</v>
      </c>
      <c r="W77" s="2">
        <f>W11/'Output-Calculation-sheet'!W10*'Output-Calculation-sheet'!W64</f>
        <v>13.203831913428285</v>
      </c>
      <c r="X77" s="2">
        <f>X11/'Output-Calculation-sheet'!X10*'Output-Calculation-sheet'!X64</f>
        <v>23.690448639897372</v>
      </c>
      <c r="Y77" s="2">
        <f>Y11/'Output-Calculation-sheet'!Y10*'Output-Calculation-sheet'!Y64</f>
        <v>0</v>
      </c>
      <c r="AA77" s="2">
        <f t="shared" si="6"/>
        <v>4.8908151807974889</v>
      </c>
    </row>
    <row r="78" spans="1:27" x14ac:dyDescent="0.25">
      <c r="A78" s="2">
        <v>2035</v>
      </c>
      <c r="B78" s="2">
        <f>B12/'Output-Calculation-sheet'!B11*'Output-Calculation-sheet'!B65</f>
        <v>5421.7219688647456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350.60538768956457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309.65220474985966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251.54579898590092</v>
      </c>
      <c r="Q78" s="2">
        <f>Q12/'Output-Calculation-sheet'!Q11*'Output-Calculation-sheet'!Q65</f>
        <v>0</v>
      </c>
      <c r="R78" s="2">
        <f>R12/'Output-Calculation-sheet'!R11*'Output-Calculation-sheet'!R65</f>
        <v>552.19413842642473</v>
      </c>
      <c r="S78" s="2">
        <f>S12/'Output-Calculation-sheet'!S11*'Output-Calculation-sheet'!S65</f>
        <v>0</v>
      </c>
      <c r="T78" s="2">
        <f>T12/'Output-Calculation-sheet'!T11*'Output-Calculation-sheet'!T65</f>
        <v>267.27867405984153</v>
      </c>
      <c r="U78" s="2">
        <f>U12/'Output-Calculation-sheet'!U11*'Output-Calculation-sheet'!U65</f>
        <v>103.9217177392364</v>
      </c>
      <c r="V78" s="2">
        <f>V12/'Output-Calculation-sheet'!V11*'Output-Calculation-sheet'!V65</f>
        <v>252.16404598182291</v>
      </c>
      <c r="W78" s="2">
        <f>W12/'Output-Calculation-sheet'!W11*'Output-Calculation-sheet'!W65</f>
        <v>18.884960531432313</v>
      </c>
      <c r="X78" s="2">
        <f>X12/'Output-Calculation-sheet'!X11*'Output-Calculation-sheet'!X65</f>
        <v>51.572569439584008</v>
      </c>
      <c r="Y78" s="2">
        <f>Y12/'Output-Calculation-sheet'!Y11*'Output-Calculation-sheet'!Y65</f>
        <v>0</v>
      </c>
      <c r="AA78" s="2">
        <f t="shared" si="6"/>
        <v>7.5795414664684122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 t="shared" ref="AA93:AA100" si="8"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si="8"/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18019543451.981152</v>
      </c>
      <c r="C96" s="2">
        <f>C8/'Output-Calculation-sheet'!C7*'Output-Calculation-sheet'!C79</f>
        <v>2218014990.4344006</v>
      </c>
      <c r="D96" s="2">
        <f>D8/'Output-Calculation-sheet'!D7*'Output-Calculation-sheet'!D79</f>
        <v>7854670201.8095989</v>
      </c>
      <c r="E96" s="2">
        <f>E8/'Output-Calculation-sheet'!E7*'Output-Calculation-sheet'!E79</f>
        <v>13429711081.656912</v>
      </c>
      <c r="F96" s="2">
        <f>F8/'Output-Calculation-sheet'!F7*'Output-Calculation-sheet'!F79</f>
        <v>6043818199.2567778</v>
      </c>
      <c r="G96" s="2">
        <f>G8/'Output-Calculation-sheet'!G7*'Output-Calculation-sheet'!G79</f>
        <v>4590554407.7680054</v>
      </c>
      <c r="H96" s="2">
        <f>H8/'Output-Calculation-sheet'!H7*'Output-Calculation-sheet'!H79</f>
        <v>1335548861.8985605</v>
      </c>
      <c r="I96" s="2">
        <f>I8/'Output-Calculation-sheet'!I7*'Output-Calculation-sheet'!I79</f>
        <v>3079219415.2980561</v>
      </c>
      <c r="J96" s="2">
        <f>J8/'Output-Calculation-sheet'!J7*'Output-Calculation-sheet'!J79</f>
        <v>2281754948.6778831</v>
      </c>
      <c r="K96" s="2">
        <f>K8/'Output-Calculation-sheet'!K7*'Output-Calculation-sheet'!K79</f>
        <v>2638282347.5548501</v>
      </c>
      <c r="L96" s="2">
        <f>L8/'Output-Calculation-sheet'!L7*'Output-Calculation-sheet'!L79</f>
        <v>2098705130.890259</v>
      </c>
      <c r="M96" s="2">
        <f>M8/'Output-Calculation-sheet'!M7*'Output-Calculation-sheet'!M79</f>
        <v>1038270056.6340499</v>
      </c>
      <c r="N96" s="2">
        <f>N8/'Output-Calculation-sheet'!N7*'Output-Calculation-sheet'!N79</f>
        <v>1054466257.7580774</v>
      </c>
      <c r="O96" s="2">
        <f>O8/'Output-Calculation-sheet'!O7*'Output-Calculation-sheet'!O79</f>
        <v>257395312.20081523</v>
      </c>
      <c r="P96" s="2">
        <f>P8/'Output-Calculation-sheet'!P7*'Output-Calculation-sheet'!P79</f>
        <v>2804517740.7369623</v>
      </c>
      <c r="Q96" s="2">
        <f>Q8/'Output-Calculation-sheet'!Q7*'Output-Calculation-sheet'!Q79</f>
        <v>1243611997.3427267</v>
      </c>
      <c r="R96" s="2">
        <f>R8/'Output-Calculation-sheet'!R7*'Output-Calculation-sheet'!R79</f>
        <v>1892135425.8062682</v>
      </c>
      <c r="S96" s="2">
        <f>S8/'Output-Calculation-sheet'!S7*'Output-Calculation-sheet'!S79</f>
        <v>739582522.95984459</v>
      </c>
      <c r="T96" s="2">
        <f>T8/'Output-Calculation-sheet'!T7*'Output-Calculation-sheet'!T79</f>
        <v>1001630822.4126776</v>
      </c>
      <c r="U96" s="2">
        <f>U8/'Output-Calculation-sheet'!U7*'Output-Calculation-sheet'!U79</f>
        <v>497482117.05807525</v>
      </c>
      <c r="V96" s="2">
        <f>V8/'Output-Calculation-sheet'!V7*'Output-Calculation-sheet'!V79</f>
        <v>366579200.99649209</v>
      </c>
      <c r="W96" s="2">
        <f>W8/'Output-Calculation-sheet'!W7*'Output-Calculation-sheet'!W79</f>
        <v>976583062.46801424</v>
      </c>
      <c r="X96" s="2">
        <f>X8/'Output-Calculation-sheet'!X7*'Output-Calculation-sheet'!X79</f>
        <v>115722967.05502541</v>
      </c>
      <c r="Y96" s="2">
        <f>Y8/'Output-Calculation-sheet'!Y7*'Output-Calculation-sheet'!Y79</f>
        <v>438278482.41811204</v>
      </c>
      <c r="AA96" s="2">
        <f t="shared" si="8"/>
        <v>76.016079003073571</v>
      </c>
    </row>
    <row r="97" spans="1:27" x14ac:dyDescent="0.25">
      <c r="A97" s="2">
        <v>2032</v>
      </c>
      <c r="B97" s="2">
        <f>B9/'Output-Calculation-sheet'!B8*'Output-Calculation-sheet'!B80</f>
        <v>20507518120.78973</v>
      </c>
      <c r="C97" s="2">
        <f>C9/'Output-Calculation-sheet'!C8*'Output-Calculation-sheet'!C80</f>
        <v>2576426146.4048738</v>
      </c>
      <c r="D97" s="2">
        <f>D9/'Output-Calculation-sheet'!D8*'Output-Calculation-sheet'!D80</f>
        <v>8485448033.4900808</v>
      </c>
      <c r="E97" s="2">
        <f>E9/'Output-Calculation-sheet'!E8*'Output-Calculation-sheet'!E80</f>
        <v>14939526580.966509</v>
      </c>
      <c r="F97" s="2">
        <f>F9/'Output-Calculation-sheet'!F8*'Output-Calculation-sheet'!F80</f>
        <v>6707759441.4431343</v>
      </c>
      <c r="G97" s="2">
        <f>G9/'Output-Calculation-sheet'!G8*'Output-Calculation-sheet'!G80</f>
        <v>4964955758.3257751</v>
      </c>
      <c r="H97" s="2">
        <f>H9/'Output-Calculation-sheet'!H8*'Output-Calculation-sheet'!H80</f>
        <v>1504413684.7066958</v>
      </c>
      <c r="I97" s="2">
        <f>I9/'Output-Calculation-sheet'!I8*'Output-Calculation-sheet'!I80</f>
        <v>3448516077.6688056</v>
      </c>
      <c r="J97" s="2">
        <f>J9/'Output-Calculation-sheet'!J8*'Output-Calculation-sheet'!J80</f>
        <v>2488305885.5063629</v>
      </c>
      <c r="K97" s="2">
        <f>K9/'Output-Calculation-sheet'!K8*'Output-Calculation-sheet'!K80</f>
        <v>2896461310.3676858</v>
      </c>
      <c r="L97" s="2">
        <f>L9/'Output-Calculation-sheet'!L8*'Output-Calculation-sheet'!L80</f>
        <v>2374933276.4012566</v>
      </c>
      <c r="M97" s="2">
        <f>M9/'Output-Calculation-sheet'!M8*'Output-Calculation-sheet'!M80</f>
        <v>1169353842.1307533</v>
      </c>
      <c r="N97" s="2">
        <f>N9/'Output-Calculation-sheet'!N8*'Output-Calculation-sheet'!N80</f>
        <v>1158978164.4998045</v>
      </c>
      <c r="O97" s="2">
        <f>O9/'Output-Calculation-sheet'!O8*'Output-Calculation-sheet'!O80</f>
        <v>302471491.96570945</v>
      </c>
      <c r="P97" s="2">
        <f>P9/'Output-Calculation-sheet'!P8*'Output-Calculation-sheet'!P80</f>
        <v>3075976619.5673013</v>
      </c>
      <c r="Q97" s="2">
        <f>Q9/'Output-Calculation-sheet'!Q8*'Output-Calculation-sheet'!Q80</f>
        <v>1367753729.1002505</v>
      </c>
      <c r="R97" s="2">
        <f>R9/'Output-Calculation-sheet'!R8*'Output-Calculation-sheet'!R80</f>
        <v>2128426148.1852472</v>
      </c>
      <c r="S97" s="2">
        <f>S9/'Output-Calculation-sheet'!S8*'Output-Calculation-sheet'!S80</f>
        <v>820867116.97584832</v>
      </c>
      <c r="T97" s="2">
        <f>T9/'Output-Calculation-sheet'!T8*'Output-Calculation-sheet'!T80</f>
        <v>1097582683.5958664</v>
      </c>
      <c r="U97" s="2">
        <f>U9/'Output-Calculation-sheet'!U8*'Output-Calculation-sheet'!U80</f>
        <v>557046354.09072435</v>
      </c>
      <c r="V97" s="2">
        <f>V9/'Output-Calculation-sheet'!V8*'Output-Calculation-sheet'!V80</f>
        <v>410336845.74877346</v>
      </c>
      <c r="W97" s="2">
        <f>W9/'Output-Calculation-sheet'!W8*'Output-Calculation-sheet'!W80</f>
        <v>1073094366.9057906</v>
      </c>
      <c r="X97" s="2">
        <f>X9/'Output-Calculation-sheet'!X8*'Output-Calculation-sheet'!X80</f>
        <v>131411881.38504893</v>
      </c>
      <c r="Y97" s="2">
        <f>Y9/'Output-Calculation-sheet'!Y8*'Output-Calculation-sheet'!Y80</f>
        <v>481867951.46291006</v>
      </c>
      <c r="AA97" s="2">
        <f t="shared" si="8"/>
        <v>84.669431511684948</v>
      </c>
    </row>
    <row r="98" spans="1:27" x14ac:dyDescent="0.25">
      <c r="A98" s="2">
        <v>2033</v>
      </c>
      <c r="B98" s="2">
        <f>B10/'Output-Calculation-sheet'!B9*'Output-Calculation-sheet'!B81</f>
        <v>22426297082.281269</v>
      </c>
      <c r="C98" s="2">
        <f>C10/'Output-Calculation-sheet'!C9*'Output-Calculation-sheet'!C81</f>
        <v>2827902529.3090816</v>
      </c>
      <c r="D98" s="2">
        <f>D10/'Output-Calculation-sheet'!D9*'Output-Calculation-sheet'!D81</f>
        <v>8740297559.730875</v>
      </c>
      <c r="E98" s="2">
        <f>E10/'Output-Calculation-sheet'!E9*'Output-Calculation-sheet'!E81</f>
        <v>15838452873.893799</v>
      </c>
      <c r="F98" s="2">
        <f>F10/'Output-Calculation-sheet'!F9*'Output-Calculation-sheet'!F81</f>
        <v>7094877929.9287462</v>
      </c>
      <c r="G98" s="2">
        <f>G10/'Output-Calculation-sheet'!G9*'Output-Calculation-sheet'!G81</f>
        <v>5104991926.2164354</v>
      </c>
      <c r="H98" s="2">
        <f>H10/'Output-Calculation-sheet'!H9*'Output-Calculation-sheet'!H81</f>
        <v>1610246988.1108098</v>
      </c>
      <c r="I98" s="2">
        <f>I10/'Output-Calculation-sheet'!I9*'Output-Calculation-sheet'!I81</f>
        <v>3683534408.3775458</v>
      </c>
      <c r="J98" s="2">
        <f>J10/'Output-Calculation-sheet'!J9*'Output-Calculation-sheet'!J81</f>
        <v>2589908745.2147079</v>
      </c>
      <c r="K98" s="2">
        <f>K10/'Output-Calculation-sheet'!K9*'Output-Calculation-sheet'!K81</f>
        <v>3037312822.7881351</v>
      </c>
      <c r="L98" s="2">
        <f>L10/'Output-Calculation-sheet'!L9*'Output-Calculation-sheet'!L81</f>
        <v>2564703868.2433286</v>
      </c>
      <c r="M98" s="2">
        <f>M10/'Output-Calculation-sheet'!M9*'Output-Calculation-sheet'!M81</f>
        <v>1258032659.1262085</v>
      </c>
      <c r="N98" s="2">
        <f>N10/'Output-Calculation-sheet'!N9*'Output-Calculation-sheet'!N81</f>
        <v>1203501512.5261376</v>
      </c>
      <c r="O98" s="2">
        <f>O10/'Output-Calculation-sheet'!O9*'Output-Calculation-sheet'!O81</f>
        <v>332544817.13050842</v>
      </c>
      <c r="P98" s="2">
        <f>P10/'Output-Calculation-sheet'!P9*'Output-Calculation-sheet'!P81</f>
        <v>3264927642.916625</v>
      </c>
      <c r="Q98" s="2">
        <f>Q10/'Output-Calculation-sheet'!Q9*'Output-Calculation-sheet'!Q81</f>
        <v>1437674080.2996736</v>
      </c>
      <c r="R98" s="2">
        <f>R10/'Output-Calculation-sheet'!R9*'Output-Calculation-sheet'!R81</f>
        <v>2283820981.7370486</v>
      </c>
      <c r="S98" s="2">
        <f>S10/'Output-Calculation-sheet'!S9*'Output-Calculation-sheet'!S81</f>
        <v>870928126.73281598</v>
      </c>
      <c r="T98" s="2">
        <f>T10/'Output-Calculation-sheet'!T9*'Output-Calculation-sheet'!T81</f>
        <v>1144570361.7488251</v>
      </c>
      <c r="U98" s="2">
        <f>U10/'Output-Calculation-sheet'!U9*'Output-Calculation-sheet'!U81</f>
        <v>594730704.60341573</v>
      </c>
      <c r="V98" s="2">
        <f>V10/'Output-Calculation-sheet'!V9*'Output-Calculation-sheet'!V81</f>
        <v>438445210.68139851</v>
      </c>
      <c r="W98" s="2">
        <f>W10/'Output-Calculation-sheet'!W9*'Output-Calculation-sheet'!W81</f>
        <v>1123639372.9148126</v>
      </c>
      <c r="X98" s="2">
        <f>X10/'Output-Calculation-sheet'!X9*'Output-Calculation-sheet'!X81</f>
        <v>142693342.004897</v>
      </c>
      <c r="Y98" s="2">
        <f>Y10/'Output-Calculation-sheet'!Y9*'Output-Calculation-sheet'!Y81</f>
        <v>504674758.04202026</v>
      </c>
      <c r="AA98" s="2">
        <f t="shared" si="8"/>
        <v>90.118710304559116</v>
      </c>
    </row>
    <row r="99" spans="1:27" x14ac:dyDescent="0.25">
      <c r="A99" s="2">
        <v>2034</v>
      </c>
      <c r="B99" s="2">
        <f>B11/'Output-Calculation-sheet'!B10*'Output-Calculation-sheet'!B82</f>
        <v>23617382056.28772</v>
      </c>
      <c r="C99" s="2">
        <f>C11/'Output-Calculation-sheet'!C10*'Output-Calculation-sheet'!C82</f>
        <v>2998529315.755331</v>
      </c>
      <c r="D99" s="2">
        <f>D11/'Output-Calculation-sheet'!D10*'Output-Calculation-sheet'!D82</f>
        <v>8679325344.3373775</v>
      </c>
      <c r="E99" s="2">
        <f>E11/'Output-Calculation-sheet'!E10*'Output-Calculation-sheet'!E82</f>
        <v>16181580121.237726</v>
      </c>
      <c r="F99" s="2">
        <f>F11/'Output-Calculation-sheet'!F10*'Output-Calculation-sheet'!F82</f>
        <v>7236757099.130291</v>
      </c>
      <c r="G99" s="2">
        <f>G11/'Output-Calculation-sheet'!G10*'Output-Calculation-sheet'!G82</f>
        <v>5053414208.0789852</v>
      </c>
      <c r="H99" s="2">
        <f>H11/'Output-Calculation-sheet'!H10*'Output-Calculation-sheet'!H82</f>
        <v>1663874983.2232251</v>
      </c>
      <c r="I99" s="2">
        <f>I11/'Output-Calculation-sheet'!I10*'Output-Calculation-sheet'!I82</f>
        <v>3793216685.2668319</v>
      </c>
      <c r="J99" s="2">
        <f>J11/'Output-Calculation-sheet'!J10*'Output-Calculation-sheet'!J82</f>
        <v>2598615971.1849332</v>
      </c>
      <c r="K99" s="2">
        <f>K11/'Output-Calculation-sheet'!K10*'Output-Calculation-sheet'!K82</f>
        <v>3071808382.8106675</v>
      </c>
      <c r="L99" s="2">
        <f>L11/'Output-Calculation-sheet'!L10*'Output-Calculation-sheet'!L82</f>
        <v>2685788114.9176435</v>
      </c>
      <c r="M99" s="2">
        <f>M11/'Output-Calculation-sheet'!M10*'Output-Calculation-sheet'!M82</f>
        <v>1303578808.0018294</v>
      </c>
      <c r="N99" s="2">
        <f>N11/'Output-Calculation-sheet'!N10*'Output-Calculation-sheet'!N82</f>
        <v>1211302248.8975165</v>
      </c>
      <c r="O99" s="2">
        <f>O11/'Output-Calculation-sheet'!O10*'Output-Calculation-sheet'!O82</f>
        <v>354602783.38847631</v>
      </c>
      <c r="P99" s="2">
        <f>P11/'Output-Calculation-sheet'!P10*'Output-Calculation-sheet'!P82</f>
        <v>3340872260.1086545</v>
      </c>
      <c r="Q99" s="2">
        <f>Q11/'Output-Calculation-sheet'!Q10*'Output-Calculation-sheet'!Q82</f>
        <v>1456428286.4203563</v>
      </c>
      <c r="R99" s="2">
        <f>R11/'Output-Calculation-sheet'!R10*'Output-Calculation-sheet'!R82</f>
        <v>2366008934.556623</v>
      </c>
      <c r="S99" s="2">
        <f>S11/'Output-Calculation-sheet'!S10*'Output-Calculation-sheet'!S82</f>
        <v>889077450.85409629</v>
      </c>
      <c r="T99" s="2">
        <f>T11/'Output-Calculation-sheet'!T10*'Output-Calculation-sheet'!T82</f>
        <v>1149271018.9306831</v>
      </c>
      <c r="U99" s="2">
        <f>U11/'Output-Calculation-sheet'!U10*'Output-Calculation-sheet'!U82</f>
        <v>612685630.04140329</v>
      </c>
      <c r="V99" s="2">
        <f>V11/'Output-Calculation-sheet'!V10*'Output-Calculation-sheet'!V82</f>
        <v>450853382.38544255</v>
      </c>
      <c r="W99" s="2">
        <f>W11/'Output-Calculation-sheet'!W10*'Output-Calculation-sheet'!W82</f>
        <v>1132097269.2154019</v>
      </c>
      <c r="X99" s="2">
        <f>X11/'Output-Calculation-sheet'!X10*'Output-Calculation-sheet'!X82</f>
        <v>159777525.52758011</v>
      </c>
      <c r="Y99" s="2">
        <f>Y11/'Output-Calculation-sheet'!Y10*'Output-Calculation-sheet'!Y82</f>
        <v>509214924.71134812</v>
      </c>
      <c r="AA99" s="2">
        <f t="shared" si="8"/>
        <v>92.516062805270138</v>
      </c>
    </row>
    <row r="100" spans="1:27" x14ac:dyDescent="0.25">
      <c r="A100" s="2">
        <v>2035</v>
      </c>
      <c r="B100" s="2">
        <f>B12/'Output-Calculation-sheet'!B11*'Output-Calculation-sheet'!B83</f>
        <v>24630266513.887867</v>
      </c>
      <c r="C100" s="2">
        <f>C12/'Output-Calculation-sheet'!C11*'Output-Calculation-sheet'!C83</f>
        <v>3076027058.3453426</v>
      </c>
      <c r="D100" s="2">
        <f>D12/'Output-Calculation-sheet'!D11*'Output-Calculation-sheet'!D83</f>
        <v>8379257662.6033421</v>
      </c>
      <c r="E100" s="2">
        <f>E12/'Output-Calculation-sheet'!E11*'Output-Calculation-sheet'!E83</f>
        <v>16064800814.685707</v>
      </c>
      <c r="F100" s="2">
        <f>F12/'Output-Calculation-sheet'!F11*'Output-Calculation-sheet'!F83</f>
        <v>7171445059.9834452</v>
      </c>
      <c r="G100" s="2">
        <f>G12/'Output-Calculation-sheet'!G11*'Output-Calculation-sheet'!G83</f>
        <v>4855585281.086256</v>
      </c>
      <c r="H100" s="2">
        <f>H12/'Output-Calculation-sheet'!H11*'Output-Calculation-sheet'!H83</f>
        <v>1672364280.0913575</v>
      </c>
      <c r="I100" s="2">
        <f>I12/'Output-Calculation-sheet'!I11*'Output-Calculation-sheet'!I83</f>
        <v>3795351011.5713701</v>
      </c>
      <c r="J100" s="2">
        <f>J12/'Output-Calculation-sheet'!J11*'Output-Calculation-sheet'!J83</f>
        <v>2532620651.0040979</v>
      </c>
      <c r="K100" s="2">
        <f>K12/'Output-Calculation-sheet'!K11*'Output-Calculation-sheet'!K83</f>
        <v>3018974000.2853808</v>
      </c>
      <c r="L100" s="2">
        <f>L12/'Output-Calculation-sheet'!L11*'Output-Calculation-sheet'!L83</f>
        <v>2731514435.0308599</v>
      </c>
      <c r="M100" s="2">
        <f>M12/'Output-Calculation-sheet'!M11*'Output-Calculation-sheet'!M83</f>
        <v>1316444357.2494435</v>
      </c>
      <c r="N100" s="2">
        <f>N12/'Output-Calculation-sheet'!N11*'Output-Calculation-sheet'!N83</f>
        <v>1181698636.0892842</v>
      </c>
      <c r="O100" s="2">
        <f>O12/'Output-Calculation-sheet'!O11*'Output-Calculation-sheet'!O83</f>
        <v>368280561.33046848</v>
      </c>
      <c r="P100" s="2">
        <f>P12/'Output-Calculation-sheet'!P11*'Output-Calculation-sheet'!P83</f>
        <v>3306760649.4017029</v>
      </c>
      <c r="Q100" s="2">
        <f>Q12/'Output-Calculation-sheet'!Q11*'Output-Calculation-sheet'!Q83</f>
        <v>1436149659.8223693</v>
      </c>
      <c r="R100" s="2">
        <f>R12/'Output-Calculation-sheet'!R11*'Output-Calculation-sheet'!R83</f>
        <v>2382414239.3244343</v>
      </c>
      <c r="S100" s="2">
        <f>S12/'Output-Calculation-sheet'!S11*'Output-Calculation-sheet'!S83</f>
        <v>881206895.7064662</v>
      </c>
      <c r="T100" s="2">
        <f>T12/'Output-Calculation-sheet'!T11*'Output-Calculation-sheet'!T83</f>
        <v>1124331098.1299002</v>
      </c>
      <c r="U100" s="2">
        <f>U12/'Output-Calculation-sheet'!U11*'Output-Calculation-sheet'!U83</f>
        <v>612778782.79704833</v>
      </c>
      <c r="V100" s="2">
        <f>V12/'Output-Calculation-sheet'!V11*'Output-Calculation-sheet'!V83</f>
        <v>450434717.79086834</v>
      </c>
      <c r="W100" s="2">
        <f>W12/'Output-Calculation-sheet'!W11*'Output-Calculation-sheet'!W83</f>
        <v>1106335431.060765</v>
      </c>
      <c r="X100" s="2">
        <f>X12/'Output-Calculation-sheet'!X11*'Output-Calculation-sheet'!X83</f>
        <v>175366128.21927327</v>
      </c>
      <c r="Y100" s="2">
        <f>Y12/'Output-Calculation-sheet'!Y11*'Output-Calculation-sheet'!Y83</f>
        <v>498121316.68858016</v>
      </c>
      <c r="AA100" s="2">
        <f t="shared" si="8"/>
        <v>92.768529242185622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7D6-1B68-45AD-A5B8-B3797AAB5507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115754880080.18588</v>
      </c>
      <c r="C8" s="2">
        <v>54549524364.919197</v>
      </c>
      <c r="D8" s="2">
        <v>48618373091.153465</v>
      </c>
      <c r="E8" s="2">
        <v>38573745410.9823</v>
      </c>
      <c r="F8" s="2">
        <v>24831304126.503319</v>
      </c>
      <c r="G8" s="2">
        <v>17447155756.029121</v>
      </c>
      <c r="H8" s="2">
        <v>17019030699.819447</v>
      </c>
      <c r="I8" s="2">
        <v>15895732285.011921</v>
      </c>
      <c r="J8" s="2">
        <v>15471807940.987467</v>
      </c>
      <c r="K8" s="2">
        <v>15323485922.751516</v>
      </c>
      <c r="L8" s="2">
        <v>12292699633.742573</v>
      </c>
      <c r="M8" s="2">
        <v>11741647581.195496</v>
      </c>
      <c r="N8" s="2">
        <v>11524393190.04784</v>
      </c>
      <c r="O8" s="2">
        <v>10599019955.929386</v>
      </c>
      <c r="P8" s="2">
        <v>10491183308.107874</v>
      </c>
      <c r="Q8" s="2">
        <v>10321628830.401081</v>
      </c>
      <c r="R8" s="2">
        <v>9929881687.383419</v>
      </c>
      <c r="S8" s="2">
        <v>6599908044.7369337</v>
      </c>
      <c r="T8" s="2">
        <v>3650139124.0382671</v>
      </c>
      <c r="U8" s="2">
        <v>3179146457.0023885</v>
      </c>
      <c r="V8" s="2">
        <v>2448006354.820981</v>
      </c>
      <c r="W8" s="2">
        <v>2119430971.334924</v>
      </c>
      <c r="X8" s="2">
        <v>1271658582.8009555</v>
      </c>
      <c r="Y8" s="2">
        <v>1236675255.1880991</v>
      </c>
    </row>
    <row r="9" spans="1:27" x14ac:dyDescent="0.25">
      <c r="A9" s="2">
        <v>2032</v>
      </c>
      <c r="B9" s="2">
        <v>130743735110.03711</v>
      </c>
      <c r="C9" s="2">
        <v>61613027105.250465</v>
      </c>
      <c r="D9" s="2">
        <v>54913863575.405266</v>
      </c>
      <c r="E9" s="2">
        <v>43568578264.016975</v>
      </c>
      <c r="F9" s="2">
        <v>28046657271.843529</v>
      </c>
      <c r="G9" s="2">
        <v>19706351118.930447</v>
      </c>
      <c r="H9" s="2">
        <v>19222789053.086891</v>
      </c>
      <c r="I9" s="2">
        <v>17954037098.150879</v>
      </c>
      <c r="J9" s="2">
        <v>17475219685.844505</v>
      </c>
      <c r="K9" s="2">
        <v>17307691762.617474</v>
      </c>
      <c r="L9" s="2">
        <v>13884455355.90337</v>
      </c>
      <c r="M9" s="2">
        <v>13262048736.500809</v>
      </c>
      <c r="N9" s="2">
        <v>13016662532.929737</v>
      </c>
      <c r="O9" s="2">
        <v>11971464672.45343</v>
      </c>
      <c r="P9" s="2">
        <v>11849664484.779589</v>
      </c>
      <c r="Q9" s="2">
        <v>11658154755.732645</v>
      </c>
      <c r="R9" s="2">
        <v>11215681102.256138</v>
      </c>
      <c r="S9" s="2">
        <v>7454516203.1522264</v>
      </c>
      <c r="T9" s="2">
        <v>4122787932.7200084</v>
      </c>
      <c r="U9" s="2">
        <v>3590807419.6301808</v>
      </c>
      <c r="V9" s="2">
        <v>2764993529.2636337</v>
      </c>
      <c r="W9" s="2">
        <v>2393871613.0867853</v>
      </c>
      <c r="X9" s="2">
        <v>1436322967.8520722</v>
      </c>
      <c r="Y9" s="2">
        <v>1396809723.0064592</v>
      </c>
    </row>
    <row r="10" spans="1:27" x14ac:dyDescent="0.25">
      <c r="A10" s="2">
        <v>2033</v>
      </c>
      <c r="B10" s="2">
        <v>141149328097.67581</v>
      </c>
      <c r="C10" s="2">
        <v>66516666138.15712</v>
      </c>
      <c r="D10" s="2">
        <v>59284331600.228561</v>
      </c>
      <c r="E10" s="2">
        <v>47036101140.611298</v>
      </c>
      <c r="F10" s="2">
        <v>30278826178.361145</v>
      </c>
      <c r="G10" s="2">
        <v>21274734252.871876</v>
      </c>
      <c r="H10" s="2">
        <v>20752686595.063286</v>
      </c>
      <c r="I10" s="2">
        <v>19382957591.902176</v>
      </c>
      <c r="J10" s="2">
        <v>18866032203.686588</v>
      </c>
      <c r="K10" s="2">
        <v>18685171118.593731</v>
      </c>
      <c r="L10" s="2">
        <v>14989487204.404377</v>
      </c>
      <c r="M10" s="2">
        <v>14317544674.551771</v>
      </c>
      <c r="N10" s="2">
        <v>14052628747.763037</v>
      </c>
      <c r="O10" s="2">
        <v>12924245994.958899</v>
      </c>
      <c r="P10" s="2">
        <v>12792752010.655447</v>
      </c>
      <c r="Q10" s="2">
        <v>12586000463.00849</v>
      </c>
      <c r="R10" s="2">
        <v>12108311349.747581</v>
      </c>
      <c r="S10" s="2">
        <v>8047803992.1577654</v>
      </c>
      <c r="T10" s="2">
        <v>4450911136.2228527</v>
      </c>
      <c r="U10" s="2">
        <v>3876591518.3804412</v>
      </c>
      <c r="V10" s="2">
        <v>2985053000.9833093</v>
      </c>
      <c r="W10" s="2">
        <v>2584394345.5869589</v>
      </c>
      <c r="X10" s="2">
        <v>1550636607.3521764</v>
      </c>
      <c r="Y10" s="2">
        <v>1507978594.2839155</v>
      </c>
    </row>
    <row r="11" spans="1:27" x14ac:dyDescent="0.25">
      <c r="A11" s="2">
        <v>2034</v>
      </c>
      <c r="B11" s="2">
        <v>147641388569.98682</v>
      </c>
      <c r="C11" s="2">
        <v>69576051717.992188</v>
      </c>
      <c r="D11" s="2">
        <v>62011071224.117432</v>
      </c>
      <c r="E11" s="2">
        <v>49199492331.359833</v>
      </c>
      <c r="F11" s="2">
        <v>31671478720.387321</v>
      </c>
      <c r="G11" s="2">
        <v>22253250149.216873</v>
      </c>
      <c r="H11" s="2">
        <v>21707191289.870171</v>
      </c>
      <c r="I11" s="2">
        <v>20274462599.505119</v>
      </c>
      <c r="J11" s="2">
        <v>19733761604.808102</v>
      </c>
      <c r="K11" s="2">
        <v>19544581945.92297</v>
      </c>
      <c r="L11" s="2">
        <v>15678917743.617321</v>
      </c>
      <c r="M11" s="2">
        <v>14976069706.83448</v>
      </c>
      <c r="N11" s="2">
        <v>14698969165.071169</v>
      </c>
      <c r="O11" s="2">
        <v>13518687269.94842</v>
      </c>
      <c r="P11" s="2">
        <v>13381145315.673389</v>
      </c>
      <c r="Q11" s="2">
        <v>13164884381.278669</v>
      </c>
      <c r="R11" s="2">
        <v>12665224305.406387</v>
      </c>
      <c r="S11" s="2">
        <v>8417956871.3145065</v>
      </c>
      <c r="T11" s="2">
        <v>4655627549.9860525</v>
      </c>
      <c r="U11" s="2">
        <v>4054892519.9010305</v>
      </c>
      <c r="V11" s="2">
        <v>3122348338.1741939</v>
      </c>
      <c r="W11" s="2">
        <v>2703261679.9340181</v>
      </c>
      <c r="X11" s="2">
        <v>1621957007.960412</v>
      </c>
      <c r="Y11" s="2">
        <v>1577336970.6714184</v>
      </c>
    </row>
    <row r="12" spans="1:27" x14ac:dyDescent="0.25">
      <c r="A12" s="2">
        <v>2035</v>
      </c>
      <c r="B12" s="2">
        <v>150921593283.44193</v>
      </c>
      <c r="C12" s="2">
        <v>71121849241.298264</v>
      </c>
      <c r="D12" s="2">
        <v>63388794707.253929</v>
      </c>
      <c r="E12" s="2">
        <v>50292576108.260399</v>
      </c>
      <c r="F12" s="2">
        <v>32375135972.509823</v>
      </c>
      <c r="G12" s="2">
        <v>22747659045.910191</v>
      </c>
      <c r="H12" s="2">
        <v>22189468189.827332</v>
      </c>
      <c r="I12" s="2">
        <v>20724908022.877316</v>
      </c>
      <c r="J12" s="2">
        <v>20172194069.154686</v>
      </c>
      <c r="K12" s="2">
        <v>19978811334.053764</v>
      </c>
      <c r="L12" s="2">
        <v>16027262204.358482</v>
      </c>
      <c r="M12" s="2">
        <v>15308798726.232073</v>
      </c>
      <c r="N12" s="2">
        <v>15025541736.65967</v>
      </c>
      <c r="O12" s="2">
        <v>13819037071.126223</v>
      </c>
      <c r="P12" s="2">
        <v>13678439295.099037</v>
      </c>
      <c r="Q12" s="2">
        <v>13457373609.521681</v>
      </c>
      <c r="R12" s="2">
        <v>12946612396.279472</v>
      </c>
      <c r="S12" s="2">
        <v>8604981811.0986404</v>
      </c>
      <c r="T12" s="2">
        <v>4759063392.614398</v>
      </c>
      <c r="U12" s="2">
        <v>4144981604.5754695</v>
      </c>
      <c r="V12" s="2">
        <v>3191718735.1552048</v>
      </c>
      <c r="W12" s="2">
        <v>2763321069.7169776</v>
      </c>
      <c r="X12" s="2">
        <v>1657992641.8301873</v>
      </c>
      <c r="Y12" s="2">
        <v>1612381264.2534363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 t="shared" ref="AA16:AA23" si="0"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si="0"/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6064.1221210321182</v>
      </c>
      <c r="C19" s="2">
        <f>C8/'Output-Calculation-sheet'!C7*'Output-Calculation-sheet'!C25</f>
        <v>8085.6624158530321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2946.1449849160535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2156.4402534759652</v>
      </c>
      <c r="N19" s="2">
        <f>N8/'Output-Calculation-sheet'!N7*'Output-Calculation-sheet'!N25</f>
        <v>1123.4341656002337</v>
      </c>
      <c r="O19" s="2">
        <f>O8/'Output-Calculation-sheet'!O7*'Output-Calculation-sheet'!O25</f>
        <v>1225.1343758671039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489.75048074588983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249.2703427402931</v>
      </c>
      <c r="Y19" s="2">
        <f>Y8/'Output-Calculation-sheet'!Y7*'Output-Calculation-sheet'!Y25</f>
        <v>0</v>
      </c>
      <c r="AA19" s="2">
        <f t="shared" si="0"/>
        <v>22.339959140230686</v>
      </c>
    </row>
    <row r="20" spans="1:27" x14ac:dyDescent="0.25">
      <c r="A20" s="2">
        <v>2032</v>
      </c>
      <c r="B20" s="2">
        <f>B9/'Output-Calculation-sheet'!B8*'Output-Calculation-sheet'!B26</f>
        <v>8220.2950355906341</v>
      </c>
      <c r="C20" s="2">
        <f>C9/'Output-Calculation-sheet'!C8*'Output-Calculation-sheet'!C26</f>
        <v>9474.5342746061451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3410.8725718071637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2490.7161750965752</v>
      </c>
      <c r="N20" s="2">
        <f>N9/'Output-Calculation-sheet'!N8*'Output-Calculation-sheet'!N26</f>
        <v>1416.7491932912617</v>
      </c>
      <c r="O20" s="2">
        <f>O9/'Output-Calculation-sheet'!O8*'Output-Calculation-sheet'!O26</f>
        <v>1465.6311876261884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640.43181857227592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287.71005249732633</v>
      </c>
      <c r="Y20" s="2">
        <f>Y9/'Output-Calculation-sheet'!Y8*'Output-Calculation-sheet'!Y26</f>
        <v>0</v>
      </c>
      <c r="AA20" s="2">
        <f t="shared" si="0"/>
        <v>27.40694030908757</v>
      </c>
    </row>
    <row r="21" spans="1:27" x14ac:dyDescent="0.25">
      <c r="A21" s="2">
        <v>2033</v>
      </c>
      <c r="B21" s="2">
        <f>B10/'Output-Calculation-sheet'!B9*'Output-Calculation-sheet'!B27</f>
        <v>11168.321752321615</v>
      </c>
      <c r="C21" s="2">
        <f>C10/'Output-Calculation-sheet'!C9*'Output-Calculation-sheet'!C27</f>
        <v>10508.870804113334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3760.6836460758459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32.631599148546606</v>
      </c>
      <c r="M21" s="2">
        <f>M10/'Output-Calculation-sheet'!M9*'Output-Calculation-sheet'!M27</f>
        <v>2760.2273686184508</v>
      </c>
      <c r="N21" s="2">
        <f>N10/'Output-Calculation-sheet'!N9*'Output-Calculation-sheet'!N27</f>
        <v>1687.236735935465</v>
      </c>
      <c r="O21" s="2">
        <f>O10/'Output-Calculation-sheet'!O9*'Output-Calculation-sheet'!O27</f>
        <v>1643.5632405136703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784.03567646487124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319.53719825224772</v>
      </c>
      <c r="Y21" s="2">
        <f>Y10/'Output-Calculation-sheet'!Y9*'Output-Calculation-sheet'!Y27</f>
        <v>0</v>
      </c>
      <c r="AA21" s="2">
        <f t="shared" si="0"/>
        <v>32.665108021444048</v>
      </c>
    </row>
    <row r="22" spans="1:27" x14ac:dyDescent="0.25">
      <c r="A22" s="2">
        <v>2034</v>
      </c>
      <c r="B22" s="2">
        <f>B11/'Output-Calculation-sheet'!B10*'Output-Calculation-sheet'!B28</f>
        <v>14400.662008797994</v>
      </c>
      <c r="C22" s="2">
        <f>C11/'Output-Calculation-sheet'!C10*'Output-Calculation-sheet'!C28</f>
        <v>11343.395076933159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4025.6274634135002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230.58512684837211</v>
      </c>
      <c r="M22" s="2">
        <f>M11/'Output-Calculation-sheet'!M10*'Output-Calculation-sheet'!M28</f>
        <v>2959.2782545090699</v>
      </c>
      <c r="N22" s="2">
        <f>N11/'Output-Calculation-sheet'!N10*'Output-Calculation-sheet'!N28</f>
        <v>1885.4256327615551</v>
      </c>
      <c r="O22" s="2">
        <f>O11/'Output-Calculation-sheet'!O10*'Output-Calculation-sheet'!O28</f>
        <v>1799.6871910046443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874.00480916281754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365.29841543211984</v>
      </c>
      <c r="Y22" s="2">
        <f>Y11/'Output-Calculation-sheet'!Y10*'Output-Calculation-sheet'!Y28</f>
        <v>0</v>
      </c>
      <c r="AA22" s="2">
        <f t="shared" si="0"/>
        <v>37.883963978863235</v>
      </c>
    </row>
    <row r="23" spans="1:27" x14ac:dyDescent="0.25">
      <c r="A23" s="2">
        <v>2035</v>
      </c>
      <c r="B23" s="2">
        <f>B12/'Output-Calculation-sheet'!B11*'Output-Calculation-sheet'!B29</f>
        <v>19030.040288129276</v>
      </c>
      <c r="C23" s="2">
        <f>C12/'Output-Calculation-sheet'!C11*'Output-Calculation-sheet'!C29</f>
        <v>11918.03487769584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4222.0412055610859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436.68162922967491</v>
      </c>
      <c r="M23" s="2">
        <f>M12/'Output-Calculation-sheet'!M11*'Output-Calculation-sheet'!M29</f>
        <v>3118.5700251626281</v>
      </c>
      <c r="N23" s="2">
        <f>N12/'Output-Calculation-sheet'!N11*'Output-Calculation-sheet'!N29</f>
        <v>2015.527474044153</v>
      </c>
      <c r="O23" s="2">
        <f>O12/'Output-Calculation-sheet'!O11*'Output-Calculation-sheet'!O29</f>
        <v>1934.3243420076321</v>
      </c>
      <c r="P23" s="2">
        <f>P12/'Output-Calculation-sheet'!P11*'Output-Calculation-sheet'!P29</f>
        <v>0</v>
      </c>
      <c r="Q23" s="2">
        <f>Q12/'Output-Calculation-sheet'!Q11*'Output-Calculation-sheet'!Q29</f>
        <v>113.61011849020637</v>
      </c>
      <c r="R23" s="2">
        <f>R12/'Output-Calculation-sheet'!R11*'Output-Calculation-sheet'!R29</f>
        <v>0</v>
      </c>
      <c r="S23" s="2">
        <f>S12/'Output-Calculation-sheet'!S11*'Output-Calculation-sheet'!S29</f>
        <v>939.48337462489019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412.14240644196622</v>
      </c>
      <c r="Y23" s="2">
        <f>Y12/'Output-Calculation-sheet'!Y11*'Output-Calculation-sheet'!Y29</f>
        <v>0</v>
      </c>
      <c r="AA23" s="2">
        <f t="shared" si="0"/>
        <v>44.140455741387356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 t="shared" ref="AA27:AA34" si="1"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si="1"/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29822.536327946807</v>
      </c>
      <c r="C30" s="2">
        <f>C8/'Output-Calculation-sheet'!C7*'Output-Calculation-sheet'!C16</f>
        <v>0</v>
      </c>
      <c r="D30" s="2">
        <f>D8/'Output-Calculation-sheet'!D7*'Output-Calculation-sheet'!D16</f>
        <v>6718.7299268987763</v>
      </c>
      <c r="E30" s="2">
        <f>E8/'Output-Calculation-sheet'!E7*'Output-Calculation-sheet'!E16</f>
        <v>8419.6418876397001</v>
      </c>
      <c r="F30" s="2">
        <f>F8/'Output-Calculation-sheet'!F7*'Output-Calculation-sheet'!F16</f>
        <v>4112.1523184188245</v>
      </c>
      <c r="G30" s="2">
        <f>G8/'Output-Calculation-sheet'!G7*'Output-Calculation-sheet'!G16</f>
        <v>2505.8922256175788</v>
      </c>
      <c r="H30" s="2">
        <f>H8/'Output-Calculation-sheet'!H7*'Output-Calculation-sheet'!H16</f>
        <v>0</v>
      </c>
      <c r="I30" s="2">
        <f>I8/'Output-Calculation-sheet'!I7*'Output-Calculation-sheet'!I16</f>
        <v>2358.9882498520847</v>
      </c>
      <c r="J30" s="2">
        <f>J8/'Output-Calculation-sheet'!J7*'Output-Calculation-sheet'!J16</f>
        <v>2528.7334153524648</v>
      </c>
      <c r="K30" s="2">
        <f>K8/'Output-Calculation-sheet'!K7*'Output-Calculation-sheet'!K16</f>
        <v>2447.5297005679777</v>
      </c>
      <c r="L30" s="2">
        <f>L8/'Output-Calculation-sheet'!L7*'Output-Calculation-sheet'!L16</f>
        <v>2705.3548640009953</v>
      </c>
      <c r="M30" s="2">
        <f>M8/'Output-Calculation-sheet'!M7*'Output-Calculation-sheet'!M16</f>
        <v>0</v>
      </c>
      <c r="N30" s="2">
        <f>N8/'Output-Calculation-sheet'!N7*'Output-Calculation-sheet'!N16</f>
        <v>1213.1534865849239</v>
      </c>
      <c r="O30" s="2">
        <f>O8/'Output-Calculation-sheet'!O7*'Output-Calculation-sheet'!O16</f>
        <v>0</v>
      </c>
      <c r="P30" s="2">
        <f>P8/'Output-Calculation-sheet'!P7*'Output-Calculation-sheet'!P16</f>
        <v>2315.9179751433749</v>
      </c>
      <c r="Q30" s="2">
        <f>Q8/'Output-Calculation-sheet'!Q7*'Output-Calculation-sheet'!Q16</f>
        <v>2272.0302680145396</v>
      </c>
      <c r="R30" s="2">
        <f>R8/'Output-Calculation-sheet'!R7*'Output-Calculation-sheet'!R16</f>
        <v>2016.2527223672091</v>
      </c>
      <c r="S30" s="2">
        <f>S8/'Output-Calculation-sheet'!S7*'Output-Calculation-sheet'!S16</f>
        <v>1067.8715986531831</v>
      </c>
      <c r="T30" s="2">
        <f>T8/'Output-Calculation-sheet'!T7*'Output-Calculation-sheet'!T16</f>
        <v>761.56867291728531</v>
      </c>
      <c r="U30" s="2">
        <f>U8/'Output-Calculation-sheet'!U7*'Output-Calculation-sheet'!U16</f>
        <v>587.62840657109984</v>
      </c>
      <c r="V30" s="2">
        <f>V8/'Output-Calculation-sheet'!V7*'Output-Calculation-sheet'!V16</f>
        <v>760.86127881280777</v>
      </c>
      <c r="W30" s="2">
        <f>W8/'Output-Calculation-sheet'!W7*'Output-Calculation-sheet'!W16</f>
        <v>366.33915449440576</v>
      </c>
      <c r="X30" s="2">
        <f>X8/'Output-Calculation-sheet'!X7*'Output-Calculation-sheet'!X16</f>
        <v>0</v>
      </c>
      <c r="Y30" s="2">
        <f>Y8/'Output-Calculation-sheet'!Y7*'Output-Calculation-sheet'!Y16</f>
        <v>249.85129002840659</v>
      </c>
      <c r="AA30" s="2">
        <f t="shared" si="1"/>
        <v>73.231033769882444</v>
      </c>
    </row>
    <row r="31" spans="1:27" x14ac:dyDescent="0.25">
      <c r="A31" s="2">
        <v>2032</v>
      </c>
      <c r="B31" s="2">
        <f>B9/'Output-Calculation-sheet'!B8*'Output-Calculation-sheet'!B17</f>
        <v>33307.446023729914</v>
      </c>
      <c r="C31" s="2">
        <f>C9/'Output-Calculation-sheet'!C8*'Output-Calculation-sheet'!C17</f>
        <v>0</v>
      </c>
      <c r="D31" s="2">
        <f>D9/'Output-Calculation-sheet'!D8*'Output-Calculation-sheet'!D17</f>
        <v>7623.3870586969733</v>
      </c>
      <c r="E31" s="2">
        <f>E9/'Output-Calculation-sheet'!E8*'Output-Calculation-sheet'!E17</f>
        <v>9575.9812555556291</v>
      </c>
      <c r="F31" s="2">
        <f>F9/'Output-Calculation-sheet'!F8*'Output-Calculation-sheet'!F17</f>
        <v>4672.3044341948826</v>
      </c>
      <c r="G31" s="2">
        <f>G9/'Output-Calculation-sheet'!G8*'Output-Calculation-sheet'!G17</f>
        <v>2844.1566504298498</v>
      </c>
      <c r="H31" s="2">
        <f>H9/'Output-Calculation-sheet'!H8*'Output-Calculation-sheet'!H17</f>
        <v>0</v>
      </c>
      <c r="I31" s="2">
        <f>I9/'Output-Calculation-sheet'!I8*'Output-Calculation-sheet'!I17</f>
        <v>2676.0827463882824</v>
      </c>
      <c r="J31" s="2">
        <f>J9/'Output-Calculation-sheet'!J8*'Output-Calculation-sheet'!J17</f>
        <v>2870.9773881496403</v>
      </c>
      <c r="K31" s="2">
        <f>K9/'Output-Calculation-sheet'!K8*'Output-Calculation-sheet'!K17</f>
        <v>2776.6383178600677</v>
      </c>
      <c r="L31" s="2">
        <f>L9/'Output-Calculation-sheet'!L8*'Output-Calculation-sheet'!L17</f>
        <v>3068.086078251255</v>
      </c>
      <c r="M31" s="2">
        <f>M9/'Output-Calculation-sheet'!M8*'Output-Calculation-sheet'!M17</f>
        <v>0</v>
      </c>
      <c r="N31" s="2">
        <f>N9/'Output-Calculation-sheet'!N8*'Output-Calculation-sheet'!N17</f>
        <v>1293.621597577089</v>
      </c>
      <c r="O31" s="2">
        <f>O9/'Output-Calculation-sheet'!O8*'Output-Calculation-sheet'!O17</f>
        <v>0</v>
      </c>
      <c r="P31" s="2">
        <f>P9/'Output-Calculation-sheet'!P8*'Output-Calculation-sheet'!P17</f>
        <v>2642.8053187460732</v>
      </c>
      <c r="Q31" s="2">
        <f>Q9/'Output-Calculation-sheet'!Q8*'Output-Calculation-sheet'!Q17</f>
        <v>2584.5492096643852</v>
      </c>
      <c r="R31" s="2">
        <f>R9/'Output-Calculation-sheet'!R8*'Output-Calculation-sheet'!R17</f>
        <v>2313.0957754451615</v>
      </c>
      <c r="S31" s="2">
        <f>S9/'Output-Calculation-sheet'!S8*'Output-Calculation-sheet'!S17</f>
        <v>1157.8893934140046</v>
      </c>
      <c r="T31" s="2">
        <f>T9/'Output-Calculation-sheet'!T8*'Output-Calculation-sheet'!T17</f>
        <v>866.53864146056378</v>
      </c>
      <c r="U31" s="2">
        <f>U9/'Output-Calculation-sheet'!U8*'Output-Calculation-sheet'!U17</f>
        <v>670.95281887724843</v>
      </c>
      <c r="V31" s="2">
        <f>V9/'Output-Calculation-sheet'!V8*'Output-Calculation-sheet'!V17</f>
        <v>853.22409828949128</v>
      </c>
      <c r="W31" s="2">
        <f>W9/'Output-Calculation-sheet'!W8*'Output-Calculation-sheet'!W17</f>
        <v>415.85637940334374</v>
      </c>
      <c r="X31" s="2">
        <f>X9/'Output-Calculation-sheet'!X8*'Output-Calculation-sheet'!X17</f>
        <v>0</v>
      </c>
      <c r="Y31" s="2">
        <f>Y9/'Output-Calculation-sheet'!Y8*'Output-Calculation-sheet'!Y17</f>
        <v>283.49439509703433</v>
      </c>
      <c r="AA31" s="2">
        <f t="shared" si="1"/>
        <v>82.4970875812309</v>
      </c>
    </row>
    <row r="32" spans="1:27" x14ac:dyDescent="0.25">
      <c r="A32" s="2">
        <v>2033</v>
      </c>
      <c r="B32" s="2">
        <f>B10/'Output-Calculation-sheet'!B9*'Output-Calculation-sheet'!B18</f>
        <v>35381.278583510226</v>
      </c>
      <c r="C32" s="2">
        <f>C10/'Output-Calculation-sheet'!C9*'Output-Calculation-sheet'!C18</f>
        <v>0</v>
      </c>
      <c r="D32" s="2">
        <f>D10/'Output-Calculation-sheet'!D9*'Output-Calculation-sheet'!D18</f>
        <v>8277.500295111995</v>
      </c>
      <c r="E32" s="2">
        <f>E10/'Output-Calculation-sheet'!E9*'Output-Calculation-sheet'!E18</f>
        <v>10410.758899905017</v>
      </c>
      <c r="F32" s="2">
        <f>F10/'Output-Calculation-sheet'!F9*'Output-Calculation-sheet'!F18</f>
        <v>5070.6267988813615</v>
      </c>
      <c r="G32" s="2">
        <f>G10/'Output-Calculation-sheet'!G9*'Output-Calculation-sheet'!G18</f>
        <v>3084.8963966191877</v>
      </c>
      <c r="H32" s="2">
        <f>H10/'Output-Calculation-sheet'!H9*'Output-Calculation-sheet'!H18</f>
        <v>0</v>
      </c>
      <c r="I32" s="2">
        <f>I10/'Output-Calculation-sheet'!I9*'Output-Calculation-sheet'!I18</f>
        <v>2906.9715166464066</v>
      </c>
      <c r="J32" s="2">
        <f>J10/'Output-Calculation-sheet'!J9*'Output-Calculation-sheet'!J18</f>
        <v>3115.3056994957556</v>
      </c>
      <c r="K32" s="2">
        <f>K10/'Output-Calculation-sheet'!K9*'Output-Calculation-sheet'!K18</f>
        <v>3021.615561261297</v>
      </c>
      <c r="L32" s="2">
        <f>L10/'Output-Calculation-sheet'!L9*'Output-Calculation-sheet'!L18</f>
        <v>3319.3084677315687</v>
      </c>
      <c r="M32" s="2">
        <f>M10/'Output-Calculation-sheet'!M9*'Output-Calculation-sheet'!M18</f>
        <v>0</v>
      </c>
      <c r="N32" s="2">
        <f>N10/'Output-Calculation-sheet'!N9*'Output-Calculation-sheet'!N18</f>
        <v>1291.8591213580467</v>
      </c>
      <c r="O32" s="2">
        <f>O10/'Output-Calculation-sheet'!O9*'Output-Calculation-sheet'!O18</f>
        <v>0</v>
      </c>
      <c r="P32" s="2">
        <f>P10/'Output-Calculation-sheet'!P9*'Output-Calculation-sheet'!P18</f>
        <v>2910.9182870204686</v>
      </c>
      <c r="Q32" s="2">
        <f>Q10/'Output-Calculation-sheet'!Q9*'Output-Calculation-sheet'!Q18</f>
        <v>2819.685607314319</v>
      </c>
      <c r="R32" s="2">
        <f>R10/'Output-Calculation-sheet'!R9*'Output-Calculation-sheet'!R18</f>
        <v>2534.4502876510978</v>
      </c>
      <c r="S32" s="2">
        <f>S10/'Output-Calculation-sheet'!S9*'Output-Calculation-sheet'!S18</f>
        <v>1207.9328145436129</v>
      </c>
      <c r="T32" s="2">
        <f>T10/'Output-Calculation-sheet'!T9*'Output-Calculation-sheet'!T18</f>
        <v>937.80634920236616</v>
      </c>
      <c r="U32" s="2">
        <f>U10/'Output-Calculation-sheet'!U9*'Output-Calculation-sheet'!U18</f>
        <v>731.14183388336892</v>
      </c>
      <c r="V32" s="2">
        <f>V10/'Output-Calculation-sheet'!V9*'Output-Calculation-sheet'!V18</f>
        <v>922.46253266656913</v>
      </c>
      <c r="W32" s="2">
        <f>W10/'Output-Calculation-sheet'!W9*'Output-Calculation-sheet'!W18</f>
        <v>450.08676737043277</v>
      </c>
      <c r="X32" s="2">
        <f>X10/'Output-Calculation-sheet'!X9*'Output-Calculation-sheet'!X18</f>
        <v>0</v>
      </c>
      <c r="Y32" s="2">
        <f>Y10/'Output-Calculation-sheet'!Y9*'Output-Calculation-sheet'!Y18</f>
        <v>308.01031776763045</v>
      </c>
      <c r="AA32" s="2">
        <f t="shared" si="1"/>
        <v>88.702616137940737</v>
      </c>
    </row>
    <row r="33" spans="1:27" x14ac:dyDescent="0.25">
      <c r="A33" s="2">
        <v>2034</v>
      </c>
      <c r="B33" s="2">
        <f>B11/'Output-Calculation-sheet'!B10*'Output-Calculation-sheet'!B19</f>
        <v>36110.753129925775</v>
      </c>
      <c r="C33" s="2">
        <f>C11/'Output-Calculation-sheet'!C10*'Output-Calculation-sheet'!C19</f>
        <v>0</v>
      </c>
      <c r="D33" s="2">
        <f>D11/'Output-Calculation-sheet'!D10*'Output-Calculation-sheet'!D19</f>
        <v>8696.5125003666471</v>
      </c>
      <c r="E33" s="2">
        <f>E11/'Output-Calculation-sheet'!E10*'Output-Calculation-sheet'!E19</f>
        <v>10946.513456719947</v>
      </c>
      <c r="F33" s="2">
        <f>F11/'Output-Calculation-sheet'!F10*'Output-Calculation-sheet'!F19</f>
        <v>5328.620722947906</v>
      </c>
      <c r="G33" s="2">
        <f>G11/'Output-Calculation-sheet'!G10*'Output-Calculation-sheet'!G19</f>
        <v>3234.6958321444536</v>
      </c>
      <c r="H33" s="2">
        <f>H11/'Output-Calculation-sheet'!H10*'Output-Calculation-sheet'!H19</f>
        <v>0</v>
      </c>
      <c r="I33" s="2">
        <f>I11/'Output-Calculation-sheet'!I10*'Output-Calculation-sheet'!I19</f>
        <v>3056.9412863556017</v>
      </c>
      <c r="J33" s="2">
        <f>J11/'Output-Calculation-sheet'!J10*'Output-Calculation-sheet'!J19</f>
        <v>3264.1255113144025</v>
      </c>
      <c r="K33" s="2">
        <f>K11/'Output-Calculation-sheet'!K10*'Output-Calculation-sheet'!K19</f>
        <v>3184.1882556412797</v>
      </c>
      <c r="L33" s="2">
        <f>L11/'Output-Calculation-sheet'!L10*'Output-Calculation-sheet'!L19</f>
        <v>3423.0860164071482</v>
      </c>
      <c r="M33" s="2">
        <f>M11/'Output-Calculation-sheet'!M10*'Output-Calculation-sheet'!M19</f>
        <v>0</v>
      </c>
      <c r="N33" s="2">
        <f>N11/'Output-Calculation-sheet'!N10*'Output-Calculation-sheet'!N19</f>
        <v>1288.5920568314159</v>
      </c>
      <c r="O33" s="2">
        <f>O11/'Output-Calculation-sheet'!O10*'Output-Calculation-sheet'!O19</f>
        <v>0</v>
      </c>
      <c r="P33" s="2">
        <f>P11/'Output-Calculation-sheet'!P10*'Output-Calculation-sheet'!P19</f>
        <v>3118.0264843516388</v>
      </c>
      <c r="Q33" s="2">
        <f>Q11/'Output-Calculation-sheet'!Q10*'Output-Calculation-sheet'!Q19</f>
        <v>2975.3511110028935</v>
      </c>
      <c r="R33" s="2">
        <f>R11/'Output-Calculation-sheet'!R10*'Output-Calculation-sheet'!R19</f>
        <v>2696.4286507371135</v>
      </c>
      <c r="S33" s="2">
        <f>S11/'Output-Calculation-sheet'!S10*'Output-Calculation-sheet'!S19</f>
        <v>1242.8385935768715</v>
      </c>
      <c r="T33" s="2">
        <f>T11/'Output-Calculation-sheet'!T10*'Output-Calculation-sheet'!T19</f>
        <v>983.75065410352522</v>
      </c>
      <c r="U33" s="2">
        <f>U11/'Output-Calculation-sheet'!U10*'Output-Calculation-sheet'!U19</f>
        <v>773.39252379388427</v>
      </c>
      <c r="V33" s="2">
        <f>V11/'Output-Calculation-sheet'!V10*'Output-Calculation-sheet'!V19</f>
        <v>962.56381552852451</v>
      </c>
      <c r="W33" s="2">
        <f>W11/'Output-Calculation-sheet'!W10*'Output-Calculation-sheet'!W19</f>
        <v>472.18628197602089</v>
      </c>
      <c r="X33" s="2">
        <f>X11/'Output-Calculation-sheet'!X10*'Output-Calculation-sheet'!X19</f>
        <v>0</v>
      </c>
      <c r="Y33" s="2">
        <f>Y11/'Output-Calculation-sheet'!Y10*'Output-Calculation-sheet'!Y19</f>
        <v>324.42872690461564</v>
      </c>
      <c r="AA33" s="2">
        <f t="shared" si="1"/>
        <v>92.082995610629681</v>
      </c>
    </row>
    <row r="34" spans="1:27" x14ac:dyDescent="0.25">
      <c r="A34" s="2">
        <v>2035</v>
      </c>
      <c r="B34" s="2">
        <f>B12/'Output-Calculation-sheet'!B11*'Output-Calculation-sheet'!B20</f>
        <v>35501.704435211177</v>
      </c>
      <c r="C34" s="2">
        <f>C12/'Output-Calculation-sheet'!C11*'Output-Calculation-sheet'!C20</f>
        <v>0</v>
      </c>
      <c r="D34" s="2">
        <f>D12/'Output-Calculation-sheet'!D11*'Output-Calculation-sheet'!D20</f>
        <v>8943.6131048462266</v>
      </c>
      <c r="E34" s="2">
        <f>E12/'Output-Calculation-sheet'!E11*'Output-Calculation-sheet'!E20</f>
        <v>11257.745172462644</v>
      </c>
      <c r="F34" s="2">
        <f>F12/'Output-Calculation-sheet'!F11*'Output-Calculation-sheet'!F20</f>
        <v>5470.971065534216</v>
      </c>
      <c r="G34" s="2">
        <f>G12/'Output-Calculation-sheet'!G11*'Output-Calculation-sheet'!G20</f>
        <v>3332.3805799972124</v>
      </c>
      <c r="H34" s="2">
        <f>H12/'Output-Calculation-sheet'!H11*'Output-Calculation-sheet'!H20</f>
        <v>0</v>
      </c>
      <c r="I34" s="2">
        <f>I12/'Output-Calculation-sheet'!I11*'Output-Calculation-sheet'!I20</f>
        <v>3143.0843866169148</v>
      </c>
      <c r="J34" s="2">
        <f>J12/'Output-Calculation-sheet'!J11*'Output-Calculation-sheet'!J20</f>
        <v>3345.5855300416388</v>
      </c>
      <c r="K34" s="2">
        <f>K12/'Output-Calculation-sheet'!K11*'Output-Calculation-sheet'!K20</f>
        <v>3278.6203808726341</v>
      </c>
      <c r="L34" s="2">
        <f>L12/'Output-Calculation-sheet'!L11*'Output-Calculation-sheet'!L20</f>
        <v>3459.4680830075076</v>
      </c>
      <c r="M34" s="2">
        <f>M12/'Output-Calculation-sheet'!M11*'Output-Calculation-sheet'!M20</f>
        <v>0</v>
      </c>
      <c r="N34" s="2">
        <f>N12/'Output-Calculation-sheet'!N11*'Output-Calculation-sheet'!N20</f>
        <v>1268.9517125444168</v>
      </c>
      <c r="O34" s="2">
        <f>O12/'Output-Calculation-sheet'!O11*'Output-Calculation-sheet'!O20</f>
        <v>0</v>
      </c>
      <c r="P34" s="2">
        <f>P12/'Output-Calculation-sheet'!P11*'Output-Calculation-sheet'!P20</f>
        <v>3254.4851655106177</v>
      </c>
      <c r="Q34" s="2">
        <f>Q12/'Output-Calculation-sheet'!Q11*'Output-Calculation-sheet'!Q20</f>
        <v>3005.0820115779511</v>
      </c>
      <c r="R34" s="2">
        <f>R12/'Output-Calculation-sheet'!R11*'Output-Calculation-sheet'!R20</f>
        <v>2795.7970191925615</v>
      </c>
      <c r="S34" s="2">
        <f>S12/'Output-Calculation-sheet'!S11*'Output-Calculation-sheet'!S20</f>
        <v>1254.1464713217958</v>
      </c>
      <c r="T34" s="2">
        <f>T12/'Output-Calculation-sheet'!T11*'Output-Calculation-sheet'!T20</f>
        <v>1009.9025216231255</v>
      </c>
      <c r="U34" s="2">
        <f>U12/'Output-Calculation-sheet'!U11*'Output-Calculation-sheet'!U20</f>
        <v>795.43392177293538</v>
      </c>
      <c r="V34" s="2">
        <f>V12/'Output-Calculation-sheet'!V11*'Output-Calculation-sheet'!V20</f>
        <v>986.88010438506979</v>
      </c>
      <c r="W34" s="2">
        <f>W12/'Output-Calculation-sheet'!W11*'Output-Calculation-sheet'!W20</f>
        <v>484.45940300345802</v>
      </c>
      <c r="X34" s="2">
        <f>X12/'Output-Calculation-sheet'!X11*'Output-Calculation-sheet'!X20</f>
        <v>0</v>
      </c>
      <c r="Y34" s="2">
        <f>Y12/'Output-Calculation-sheet'!Y11*'Output-Calculation-sheet'!Y20</f>
        <v>333.30809971998491</v>
      </c>
      <c r="AA34" s="2">
        <f t="shared" si="1"/>
        <v>92.921619169242064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170.41553157634883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151.69548616974797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659.64158962785405</v>
      </c>
      <c r="S52" s="2">
        <f>S8/'Output-Calculation-sheet'!S7*'Output-Calculation-sheet'!S43</f>
        <v>0</v>
      </c>
      <c r="T52" s="2">
        <f>T8/'Output-Calculation-sheet'!T7*'Output-Calculation-sheet'!T43</f>
        <v>531.15504845269231</v>
      </c>
      <c r="U52" s="2">
        <f>U8/'Output-Calculation-sheet'!U7*'Output-Calculation-sheet'!U43</f>
        <v>56.178623955172064</v>
      </c>
      <c r="V52" s="2">
        <f>V8/'Output-Calculation-sheet'!V7*'Output-Calculation-sheet'!V43</f>
        <v>957.82711372707615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2.5269133935088912</v>
      </c>
    </row>
    <row r="53" spans="1:27" x14ac:dyDescent="0.25">
      <c r="A53" s="2">
        <v>2032</v>
      </c>
      <c r="B53" s="2">
        <f>B9/'Output-Calculation-sheet'!B8*'Output-Calculation-sheet'!B44</f>
        <v>2041.9922460712644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384.96455792826976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308.40878592218712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964.19165295754954</v>
      </c>
      <c r="S53" s="2">
        <f>S9/'Output-Calculation-sheet'!S8*'Output-Calculation-sheet'!S44</f>
        <v>0</v>
      </c>
      <c r="T53" s="2">
        <f>T9/'Output-Calculation-sheet'!T8*'Output-Calculation-sheet'!T44</f>
        <v>664.79083687857258</v>
      </c>
      <c r="U53" s="2">
        <f>U9/'Output-Calculation-sheet'!U8*'Output-Calculation-sheet'!U44</f>
        <v>112.80546731013152</v>
      </c>
      <c r="V53" s="2">
        <f>V9/'Output-Calculation-sheet'!V8*'Output-Calculation-sheet'!V44</f>
        <v>1114.4728417556835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5.5916263888236593</v>
      </c>
    </row>
    <row r="54" spans="1:27" x14ac:dyDescent="0.25">
      <c r="A54" s="2">
        <v>2033</v>
      </c>
      <c r="B54" s="2">
        <f>B10/'Output-Calculation-sheet'!B9*'Output-Calculation-sheet'!B45</f>
        <v>6613.529128666356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581.84420160680918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554.92388571811011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326.99881383682089</v>
      </c>
      <c r="Q54" s="2">
        <f>Q10/'Output-Calculation-sheet'!Q9*'Output-Calculation-sheet'!Q45</f>
        <v>0</v>
      </c>
      <c r="R54" s="2">
        <f>R10/'Output-Calculation-sheet'!R9*'Output-Calculation-sheet'!R45</f>
        <v>1324.8192970145101</v>
      </c>
      <c r="S54" s="2">
        <f>S10/'Output-Calculation-sheet'!S9*'Output-Calculation-sheet'!S45</f>
        <v>0</v>
      </c>
      <c r="T54" s="2">
        <f>T10/'Output-Calculation-sheet'!T9*'Output-Calculation-sheet'!T45</f>
        <v>796.4719619350368</v>
      </c>
      <c r="U54" s="2">
        <f>U10/'Output-Calculation-sheet'!U9*'Output-Calculation-sheet'!U45</f>
        <v>190.2865544471488</v>
      </c>
      <c r="V54" s="2">
        <f>V10/'Output-Calculation-sheet'!V9*'Output-Calculation-sheet'!V45</f>
        <v>1250.1241917006796</v>
      </c>
      <c r="W54" s="2">
        <f>W10/'Output-Calculation-sheet'!W9*'Output-Calculation-sheet'!W45</f>
        <v>20.328892734744763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11.659326927660215</v>
      </c>
    </row>
    <row r="55" spans="1:27" x14ac:dyDescent="0.25">
      <c r="A55" s="2">
        <v>2034</v>
      </c>
      <c r="B55" s="2">
        <f>B11/'Output-Calculation-sheet'!B10*'Output-Calculation-sheet'!B46</f>
        <v>12394.236832295464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825.96488073680075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812.62608755693338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657.76708837201681</v>
      </c>
      <c r="Q55" s="2">
        <f>Q11/'Output-Calculation-sheet'!Q10*'Output-Calculation-sheet'!Q46</f>
        <v>0</v>
      </c>
      <c r="R55" s="2">
        <f>R11/'Output-Calculation-sheet'!R10*'Output-Calculation-sheet'!R46</f>
        <v>1707.4461474300317</v>
      </c>
      <c r="S55" s="2">
        <f>S11/'Output-Calculation-sheet'!S10*'Output-Calculation-sheet'!S46</f>
        <v>0</v>
      </c>
      <c r="T55" s="2">
        <f>T11/'Output-Calculation-sheet'!T10*'Output-Calculation-sheet'!T46</f>
        <v>888.03511654219858</v>
      </c>
      <c r="U55" s="2">
        <f>U11/'Output-Calculation-sheet'!U10*'Output-Calculation-sheet'!U46</f>
        <v>278.65410416596438</v>
      </c>
      <c r="V55" s="2">
        <f>V11/'Output-Calculation-sheet'!V10*'Output-Calculation-sheet'!V46</f>
        <v>1338.3181123214579</v>
      </c>
      <c r="W55" s="2">
        <f>W11/'Output-Calculation-sheet'!W10*'Output-Calculation-sheet'!W46</f>
        <v>37.211834344683261</v>
      </c>
      <c r="X55" s="2">
        <f>X11/'Output-Calculation-sheet'!X10*'Output-Calculation-sheet'!X46</f>
        <v>89.009560555371067</v>
      </c>
      <c r="Y55" s="2">
        <f>Y11/'Output-Calculation-sheet'!Y10*'Output-Calculation-sheet'!Y46</f>
        <v>0</v>
      </c>
      <c r="AA55" s="2">
        <f t="shared" si="3"/>
        <v>19.029269764320926</v>
      </c>
    </row>
    <row r="56" spans="1:27" x14ac:dyDescent="0.25">
      <c r="A56" s="2">
        <v>2035</v>
      </c>
      <c r="B56" s="2">
        <f>B12/'Output-Calculation-sheet'!B11*'Output-Calculation-sheet'!B47</f>
        <v>27696.344265628562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1022.0663200418174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988.90536842962661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941.33332886692915</v>
      </c>
      <c r="Q56" s="2">
        <f>Q12/'Output-Calculation-sheet'!Q11*'Output-Calculation-sheet'!Q47</f>
        <v>0</v>
      </c>
      <c r="R56" s="2">
        <f>R12/'Output-Calculation-sheet'!R11*'Output-Calculation-sheet'!R47</f>
        <v>2150.1071841138532</v>
      </c>
      <c r="S56" s="2">
        <f>S12/'Output-Calculation-sheet'!S11*'Output-Calculation-sheet'!S47</f>
        <v>0</v>
      </c>
      <c r="T56" s="2">
        <f>T12/'Output-Calculation-sheet'!T11*'Output-Calculation-sheet'!T47</f>
        <v>1020.0657454725122</v>
      </c>
      <c r="U56" s="2">
        <f>U12/'Output-Calculation-sheet'!U11*'Output-Calculation-sheet'!U47</f>
        <v>390.64466476806257</v>
      </c>
      <c r="V56" s="2">
        <f>V12/'Output-Calculation-sheet'!V11*'Output-Calculation-sheet'!V47</f>
        <v>1393.153905465379</v>
      </c>
      <c r="W56" s="2">
        <f>W12/'Output-Calculation-sheet'!W11*'Output-Calculation-sheet'!W47</f>
        <v>54.340833969339783</v>
      </c>
      <c r="X56" s="2">
        <f>X12/'Output-Calculation-sheet'!X11*'Output-Calculation-sheet'!X47</f>
        <v>214.46963932453241</v>
      </c>
      <c r="Y56" s="2">
        <f>Y12/'Output-Calculation-sheet'!Y11*'Output-Calculation-sheet'!Y47</f>
        <v>0</v>
      </c>
      <c r="AA56" s="2">
        <f t="shared" si="3"/>
        <v>35.871431256080619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 t="shared" ref="AA60:AA67" si="4"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si="4"/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8.2290072533523357</v>
      </c>
      <c r="C63" s="2">
        <f>C8*'Output-Calculation-sheet'!C52/10^9</f>
        <v>4.1710926546670075</v>
      </c>
      <c r="D63" s="2">
        <f>D8*'Output-Calculation-sheet'!D52/10^9</f>
        <v>1.4571484855854668</v>
      </c>
      <c r="E63" s="2">
        <f>E8*'Output-Calculation-sheet'!E52/10^9</f>
        <v>1.8762078764017713</v>
      </c>
      <c r="F63" s="2">
        <f>F8*'Output-Calculation-sheet'!F52/10^9</f>
        <v>0.78041302156549186</v>
      </c>
      <c r="G63" s="2">
        <f>G8*'Output-Calculation-sheet'!G52/10^9</f>
        <v>0.55996490887849126</v>
      </c>
      <c r="H63" s="2">
        <f>H8*'Output-Calculation-sheet'!H52/10^9</f>
        <v>1.0816877051688005</v>
      </c>
      <c r="I63" s="2">
        <f>I8*'Output-Calculation-sheet'!I52/10^9</f>
        <v>0.50197270799559812</v>
      </c>
      <c r="J63" s="2">
        <f>J8*'Output-Calculation-sheet'!J52/10^9</f>
        <v>0.53964027925405766</v>
      </c>
      <c r="K63" s="2">
        <f>K8*'Output-Calculation-sheet'!K52/10^9</f>
        <v>0.55106669353651794</v>
      </c>
      <c r="L63" s="2">
        <f>L8*'Output-Calculation-sheet'!L52/10^9</f>
        <v>0.57311531817540551</v>
      </c>
      <c r="M63" s="2">
        <f>M8*'Output-Calculation-sheet'!M52/10^9</f>
        <v>0.81793024567802153</v>
      </c>
      <c r="N63" s="2">
        <f>N8*'Output-Calculation-sheet'!N52/10^9</f>
        <v>0.69105659942494013</v>
      </c>
      <c r="O63" s="2">
        <f>O8*'Output-Calculation-sheet'!O52/10^9</f>
        <v>0.71589144151340989</v>
      </c>
      <c r="P63" s="2">
        <f>P8*'Output-Calculation-sheet'!P52/10^9</f>
        <v>0.59331171598054</v>
      </c>
      <c r="Q63" s="2">
        <f>Q8*'Output-Calculation-sheet'!Q52/10^9</f>
        <v>0.56126818087745667</v>
      </c>
      <c r="R63" s="2">
        <f>R8*'Output-Calculation-sheet'!R52/10^9</f>
        <v>0.47283562280859998</v>
      </c>
      <c r="S63" s="2">
        <f>S8*'Output-Calculation-sheet'!S52/10^9</f>
        <v>0.43474292829318156</v>
      </c>
      <c r="T63" s="2">
        <f>T8*'Output-Calculation-sheet'!T52/10^9</f>
        <v>0.15483291991585249</v>
      </c>
      <c r="U63" s="2">
        <f>U8*'Output-Calculation-sheet'!U52/10^9</f>
        <v>0.15188029009087708</v>
      </c>
      <c r="V63" s="2">
        <f>V8*'Output-Calculation-sheet'!V52/10^9</f>
        <v>0.13612517898778376</v>
      </c>
      <c r="W63" s="2">
        <f>W8*'Output-Calculation-sheet'!W52/10^9</f>
        <v>7.1059603646833377E-2</v>
      </c>
      <c r="X63" s="2">
        <f>X8*'Output-Calculation-sheet'!X52/10^9</f>
        <v>0.11483384813041048</v>
      </c>
      <c r="Y63" s="2">
        <f>Y8*'Output-Calculation-sheet'!Y52/10^9</f>
        <v>5.9228998464237084E-2</v>
      </c>
      <c r="AA63" s="2">
        <f t="shared" si="4"/>
        <v>25.296314478393082</v>
      </c>
    </row>
    <row r="64" spans="1:27" x14ac:dyDescent="0.25">
      <c r="A64" s="2">
        <v>2032</v>
      </c>
      <c r="B64" s="2">
        <f>B9*'Output-Calculation-sheet'!B53/10^9</f>
        <v>9.2305234969120669</v>
      </c>
      <c r="C64" s="2">
        <f>C9*'Output-Calculation-sheet'!C53/10^9</f>
        <v>4.6745521599457449</v>
      </c>
      <c r="D64" s="2">
        <f>D9*'Output-Calculation-sheet'!D53/10^9</f>
        <v>1.6374295746916234</v>
      </c>
      <c r="E64" s="2">
        <f>E9*'Output-Calculation-sheet'!E53/10^9</f>
        <v>2.1086098427649866</v>
      </c>
      <c r="F64" s="2">
        <f>F9*'Output-Calculation-sheet'!F53/10^9</f>
        <v>0.87631984514900163</v>
      </c>
      <c r="G64" s="2">
        <f>G9*'Output-Calculation-sheet'!G53/10^9</f>
        <v>0.62911002512325775</v>
      </c>
      <c r="H64" s="2">
        <f>H9*'Output-Calculation-sheet'!H53/10^9</f>
        <v>1.2107575765470144</v>
      </c>
      <c r="I64" s="2">
        <f>I9*'Output-Calculation-sheet'!I53/10^9</f>
        <v>0.56402242933433722</v>
      </c>
      <c r="J64" s="2">
        <f>J9*'Output-Calculation-sheet'!J53/10^9</f>
        <v>0.60615818698027968</v>
      </c>
      <c r="K64" s="2">
        <f>K9*'Output-Calculation-sheet'!K53/10^9</f>
        <v>0.6193626722872837</v>
      </c>
      <c r="L64" s="2">
        <f>L9*'Output-Calculation-sheet'!L53/10^9</f>
        <v>0.64394529227877206</v>
      </c>
      <c r="M64" s="2">
        <f>M9*'Output-Calculation-sheet'!M53/10^9</f>
        <v>0.91575018814041231</v>
      </c>
      <c r="N64" s="2">
        <f>N9*'Output-Calculation-sheet'!N53/10^9</f>
        <v>0.77455565782107716</v>
      </c>
      <c r="O64" s="2">
        <f>O9*'Output-Calculation-sheet'!O53/10^9</f>
        <v>0.80255309979777345</v>
      </c>
      <c r="P64" s="2">
        <f>P9*'Output-Calculation-sheet'!P53/10^9</f>
        <v>0.66723324782550564</v>
      </c>
      <c r="Q64" s="2">
        <f>Q9*'Output-Calculation-sheet'!Q53/10^9</f>
        <v>0.63110170453011105</v>
      </c>
      <c r="R64" s="2">
        <f>R9*'Output-Calculation-sheet'!R53/10^9</f>
        <v>0.5308098603211675</v>
      </c>
      <c r="S64" s="2">
        <f>S9*'Output-Calculation-sheet'!S53/10^9</f>
        <v>0.48770998807519728</v>
      </c>
      <c r="T64" s="2">
        <f>T9*'Output-Calculation-sheet'!T53/10^9</f>
        <v>0.17343583381590677</v>
      </c>
      <c r="U64" s="2">
        <f>U9*'Output-Calculation-sheet'!U53/10^9</f>
        <v>0.17073943977579467</v>
      </c>
      <c r="V64" s="2">
        <f>V9*'Output-Calculation-sheet'!V53/10^9</f>
        <v>0.15197595472572134</v>
      </c>
      <c r="W64" s="2">
        <f>W9*'Output-Calculation-sheet'!W53/10^9</f>
        <v>7.9802807010670385E-2</v>
      </c>
      <c r="X64" s="2">
        <f>X9*'Output-Calculation-sheet'!X53/10^9</f>
        <v>0.12865863013116657</v>
      </c>
      <c r="Y64" s="2">
        <f>Y9*'Output-Calculation-sheet'!Y53/10^9</f>
        <v>6.6586054988987245E-2</v>
      </c>
      <c r="AA64" s="2">
        <f t="shared" si="4"/>
        <v>28.381703568973858</v>
      </c>
    </row>
    <row r="65" spans="1:27" x14ac:dyDescent="0.25">
      <c r="A65" s="2">
        <v>2033</v>
      </c>
      <c r="B65" s="2">
        <f>B10*'Output-Calculation-sheet'!B54/10^9</f>
        <v>9.8876220884503265</v>
      </c>
      <c r="C65" s="2">
        <f>C10*'Output-Calculation-sheet'!C54/10^9</f>
        <v>5.0057596329018867</v>
      </c>
      <c r="D65" s="2">
        <f>D10*'Output-Calculation-sheet'!D54/10^9</f>
        <v>1.7586244998865299</v>
      </c>
      <c r="E65" s="2">
        <f>E10*'Output-Calculation-sheet'!E54/10^9</f>
        <v>2.2649710384872423</v>
      </c>
      <c r="F65" s="2">
        <f>F10*'Output-Calculation-sheet'!F54/10^9</f>
        <v>0.9404785671862449</v>
      </c>
      <c r="G65" s="2">
        <f>G10*'Output-Calculation-sheet'!G54/10^9</f>
        <v>0.67537940315134581</v>
      </c>
      <c r="H65" s="2">
        <f>H10*'Output-Calculation-sheet'!H54/10^9</f>
        <v>1.2949814410123857</v>
      </c>
      <c r="I65" s="2">
        <f>I10*'Output-Calculation-sheet'!I54/10^9</f>
        <v>0.60571176972626506</v>
      </c>
      <c r="J65" s="2">
        <f>J10*'Output-Calculation-sheet'!J54/10^9</f>
        <v>0.6506117512480003</v>
      </c>
      <c r="K65" s="2">
        <f>K10*'Output-Calculation-sheet'!K54/10^9</f>
        <v>0.66533107365435495</v>
      </c>
      <c r="L65" s="2">
        <f>L10*'Output-Calculation-sheet'!L54/10^9</f>
        <v>0.69152080453797038</v>
      </c>
      <c r="M65" s="2">
        <f>M10*'Output-Calculation-sheet'!M54/10^9</f>
        <v>0.9796811433894923</v>
      </c>
      <c r="N65" s="2">
        <f>N10*'Output-Calculation-sheet'!N54/10^9</f>
        <v>0.82930859458070449</v>
      </c>
      <c r="O65" s="2">
        <f>O10*'Output-Calculation-sheet'!O54/10^9</f>
        <v>0.85958038179671581</v>
      </c>
      <c r="P65" s="2">
        <f>P10*'Output-Calculation-sheet'!P54/10^9</f>
        <v>0.71702351017687871</v>
      </c>
      <c r="Q65" s="2">
        <f>Q10*'Output-Calculation-sheet'!Q54/10^9</f>
        <v>0.67822954838766947</v>
      </c>
      <c r="R65" s="2">
        <f>R10*'Output-Calculation-sheet'!R54/10^9</f>
        <v>0.56936773114765749</v>
      </c>
      <c r="S65" s="2">
        <f>S10*'Output-Calculation-sheet'!S54/10^9</f>
        <v>0.52265272666013851</v>
      </c>
      <c r="T65" s="2">
        <f>T10*'Output-Calculation-sheet'!T54/10^9</f>
        <v>0.18561973416448588</v>
      </c>
      <c r="U65" s="2">
        <f>U10*'Output-Calculation-sheet'!U54/10^9</f>
        <v>0.18340405801681861</v>
      </c>
      <c r="V65" s="2">
        <f>V10*'Output-Calculation-sheet'!V54/10^9</f>
        <v>0.16215358677171113</v>
      </c>
      <c r="W65" s="2">
        <f>W10*'Output-Calculation-sheet'!W54/10^9</f>
        <v>8.564663121131201E-2</v>
      </c>
      <c r="X65" s="2">
        <f>X10*'Output-Calculation-sheet'!X54/10^9</f>
        <v>0.13774276113791412</v>
      </c>
      <c r="Y65" s="2">
        <f>Y10*'Output-Calculation-sheet'!Y54/10^9</f>
        <v>7.1546241690783968E-2</v>
      </c>
      <c r="AA65" s="2">
        <f t="shared" si="4"/>
        <v>30.422948719374833</v>
      </c>
    </row>
    <row r="66" spans="1:27" x14ac:dyDescent="0.25">
      <c r="A66" s="2">
        <v>2034</v>
      </c>
      <c r="B66" s="2">
        <f>B11*'Output-Calculation-sheet'!B55/10^9</f>
        <v>10.24964244127505</v>
      </c>
      <c r="C66" s="2">
        <f>C11*'Output-Calculation-sheet'!C55/10^9</f>
        <v>5.1919785185504086</v>
      </c>
      <c r="D66" s="2">
        <f>D11*'Output-Calculation-sheet'!D55/10^9</f>
        <v>1.8299238487630982</v>
      </c>
      <c r="E66" s="2">
        <f>E11*'Output-Calculation-sheet'!E55/10^9</f>
        <v>2.3570848468289127</v>
      </c>
      <c r="F66" s="2">
        <f>F11*'Output-Calculation-sheet'!F55/10^9</f>
        <v>0.97786370427199043</v>
      </c>
      <c r="G66" s="2">
        <f>G11*'Output-Calculation-sheet'!G55/10^9</f>
        <v>0.70233363515292158</v>
      </c>
      <c r="H66" s="2">
        <f>H11*'Output-Calculation-sheet'!H55/10^9</f>
        <v>1.3415638008249247</v>
      </c>
      <c r="I66" s="2">
        <f>I11*'Output-Calculation-sheet'!I55/10^9</f>
        <v>0.63020299604357688</v>
      </c>
      <c r="J66" s="2">
        <f>J11*'Output-Calculation-sheet'!J55/10^9</f>
        <v>0.67640707212315954</v>
      </c>
      <c r="K66" s="2">
        <f>K11*'Output-Calculation-sheet'!K55/10^9</f>
        <v>0.69242558376300989</v>
      </c>
      <c r="L66" s="2">
        <f>L11*'Output-Calculation-sheet'!L55/10^9</f>
        <v>0.71899099698718361</v>
      </c>
      <c r="M66" s="2">
        <f>M11*'Output-Calculation-sheet'!M55/10^9</f>
        <v>1.0151387518548656</v>
      </c>
      <c r="N66" s="2">
        <f>N11*'Output-Calculation-sheet'!N55/10^9</f>
        <v>0.85984290389703533</v>
      </c>
      <c r="O66" s="2">
        <f>O11*'Output-Calculation-sheet'!O55/10^9</f>
        <v>0.89166744338732373</v>
      </c>
      <c r="P66" s="2">
        <f>P11*'Output-Calculation-sheet'!P55/10^9</f>
        <v>0.74620854080974197</v>
      </c>
      <c r="Q66" s="2">
        <f>Q11*'Output-Calculation-sheet'!Q55/10^9</f>
        <v>0.70615074010399614</v>
      </c>
      <c r="R66" s="2">
        <f>R11*'Output-Calculation-sheet'!R55/10^9</f>
        <v>0.59145207506247721</v>
      </c>
      <c r="S66" s="2">
        <f>S11*'Output-Calculation-sheet'!S55/10^9</f>
        <v>0.54242091812556159</v>
      </c>
      <c r="T66" s="2">
        <f>T11*'Output-Calculation-sheet'!T55/10^9</f>
        <v>0.19242947430418009</v>
      </c>
      <c r="U66" s="2">
        <f>U11*'Output-Calculation-sheet'!U55/10^9</f>
        <v>0.19081856281969245</v>
      </c>
      <c r="V66" s="2">
        <f>V11*'Output-Calculation-sheet'!V55/10^9</f>
        <v>0.16762034152246078</v>
      </c>
      <c r="W66" s="2">
        <f>W11*'Output-Calculation-sheet'!W55/10^9</f>
        <v>8.9043258260296687E-2</v>
      </c>
      <c r="X66" s="2">
        <f>X11*'Output-Calculation-sheet'!X55/10^9</f>
        <v>0.14276513791047143</v>
      </c>
      <c r="Y66" s="2">
        <f>Y11*'Output-Calculation-sheet'!Y55/10^9</f>
        <v>7.4479769240778426E-2</v>
      </c>
      <c r="AA66" s="2">
        <f t="shared" si="4"/>
        <v>31.578455361883123</v>
      </c>
    </row>
    <row r="67" spans="1:27" x14ac:dyDescent="0.25">
      <c r="A67" s="2">
        <v>2035</v>
      </c>
      <c r="B67" s="2">
        <f>B12*'Output-Calculation-sheet'!B56/10^9</f>
        <v>10.364553695096275</v>
      </c>
      <c r="C67" s="2">
        <f>C12*'Output-Calculation-sheet'!C56/10^9</f>
        <v>5.2609881976655473</v>
      </c>
      <c r="D67" s="2">
        <f>D12*'Output-Calculation-sheet'!D56/10^9</f>
        <v>1.8607293431903988</v>
      </c>
      <c r="E67" s="2">
        <f>E12*'Output-Calculation-sheet'!E56/10^9</f>
        <v>2.3970504588721742</v>
      </c>
      <c r="F67" s="2">
        <f>F12*'Output-Calculation-sheet'!F56/10^9</f>
        <v>0.99355866784145586</v>
      </c>
      <c r="G67" s="2">
        <f>G12*'Output-Calculation-sheet'!G56/10^9</f>
        <v>0.71357132473958507</v>
      </c>
      <c r="H67" s="2">
        <f>H12*'Output-Calculation-sheet'!H56/10^9</f>
        <v>1.3577842589841456</v>
      </c>
      <c r="I67" s="2">
        <f>I12*'Output-Calculation-sheet'!I56/10^9</f>
        <v>0.64074080340046002</v>
      </c>
      <c r="J67" s="2">
        <f>J12*'Output-Calculation-sheet'!J56/10^9</f>
        <v>0.68709407078344176</v>
      </c>
      <c r="K67" s="2">
        <f>K12*'Output-Calculation-sheet'!K56/10^9</f>
        <v>0.70419975555514014</v>
      </c>
      <c r="L67" s="2">
        <f>L12*'Output-Calculation-sheet'!L56/10^9</f>
        <v>0.72985528887073903</v>
      </c>
      <c r="M67" s="2">
        <f>M12*'Output-Calculation-sheet'!M56/10^9</f>
        <v>1.0276114085208721</v>
      </c>
      <c r="N67" s="2">
        <f>N12*'Output-Calculation-sheet'!N56/10^9</f>
        <v>0.87088085922637304</v>
      </c>
      <c r="O67" s="2">
        <f>O12*'Output-Calculation-sheet'!O56/10^9</f>
        <v>0.90349214714809711</v>
      </c>
      <c r="P67" s="2">
        <f>P12*'Output-Calculation-sheet'!P56/10^9</f>
        <v>0.75862729714150046</v>
      </c>
      <c r="Q67" s="2">
        <f>Q12*'Output-Calculation-sheet'!Q56/10^9</f>
        <v>0.71840736773482416</v>
      </c>
      <c r="R67" s="2">
        <f>R12*'Output-Calculation-sheet'!R56/10^9</f>
        <v>0.60018279285241871</v>
      </c>
      <c r="S67" s="2">
        <f>S12*'Output-Calculation-sheet'!S56/10^9</f>
        <v>0.54995820425136244</v>
      </c>
      <c r="T67" s="2">
        <f>T12*'Output-Calculation-sheet'!T56/10^9</f>
        <v>0.19490118911429938</v>
      </c>
      <c r="U67" s="2">
        <f>U12*'Output-Calculation-sheet'!U56/10^9</f>
        <v>0.19393970397462262</v>
      </c>
      <c r="V67" s="2">
        <f>V12*'Output-Calculation-sheet'!V56/10^9</f>
        <v>0.16931053469914231</v>
      </c>
      <c r="W67" s="2">
        <f>W12*'Output-Calculation-sheet'!W56/10^9</f>
        <v>9.0452626408249151E-2</v>
      </c>
      <c r="X67" s="2">
        <f>X12*'Output-Calculation-sheet'!X56/10^9</f>
        <v>0.14440548038656117</v>
      </c>
      <c r="Y67" s="2">
        <f>Y12*'Output-Calculation-sheet'!Y56/10^9</f>
        <v>7.5767376803223221E-2</v>
      </c>
      <c r="AA67" s="2">
        <f t="shared" si="4"/>
        <v>32.008062853260903</v>
      </c>
    </row>
    <row r="68" spans="1:27" x14ac:dyDescent="0.25">
      <c r="B68" s="2">
        <f>SUM(B60:B67)</f>
        <v>64.415152462836389</v>
      </c>
      <c r="C68" s="2">
        <f t="shared" ref="C68:Y68" si="5">SUM(C60:C67)</f>
        <v>32.631608169411159</v>
      </c>
      <c r="D68" s="2">
        <f t="shared" si="5"/>
        <v>11.453853806370823</v>
      </c>
      <c r="E68" s="2">
        <f t="shared" si="5"/>
        <v>14.749430770007887</v>
      </c>
      <c r="F68" s="2">
        <f t="shared" si="5"/>
        <v>6.1301381216221724</v>
      </c>
      <c r="G68" s="2">
        <f t="shared" si="5"/>
        <v>4.3983270447111016</v>
      </c>
      <c r="H68" s="2">
        <f t="shared" si="5"/>
        <v>8.4515947473117308</v>
      </c>
      <c r="I68" s="2">
        <f t="shared" si="5"/>
        <v>3.9453420097759277</v>
      </c>
      <c r="J68" s="2">
        <f t="shared" si="5"/>
        <v>4.238200279040564</v>
      </c>
      <c r="K68" s="2">
        <f t="shared" si="5"/>
        <v>4.3323006274426135</v>
      </c>
      <c r="L68" s="2">
        <f t="shared" si="5"/>
        <v>4.5023321948506831</v>
      </c>
      <c r="M68" s="2">
        <f t="shared" si="5"/>
        <v>6.3923307436705148</v>
      </c>
      <c r="N68" s="2">
        <f t="shared" si="5"/>
        <v>5.406440623936847</v>
      </c>
      <c r="O68" s="2">
        <f t="shared" si="5"/>
        <v>5.5981966631181033</v>
      </c>
      <c r="P68" s="2">
        <f t="shared" si="5"/>
        <v>4.6647521074204077</v>
      </c>
      <c r="Q68" s="2">
        <f t="shared" si="5"/>
        <v>4.4141320444230114</v>
      </c>
      <c r="R68" s="2">
        <f t="shared" si="5"/>
        <v>3.7096072730138934</v>
      </c>
      <c r="S68" s="2">
        <f t="shared" si="5"/>
        <v>3.405502438364401</v>
      </c>
      <c r="T68" s="2">
        <f t="shared" si="5"/>
        <v>1.2131093971073452</v>
      </c>
      <c r="U68" s="2">
        <f t="shared" si="5"/>
        <v>1.1934699715318435</v>
      </c>
      <c r="V68" s="2">
        <f t="shared" si="5"/>
        <v>1.0653267077659812</v>
      </c>
      <c r="W68" s="2">
        <f t="shared" si="5"/>
        <v>0.55814270686330525</v>
      </c>
      <c r="X68" s="2">
        <f t="shared" si="5"/>
        <v>0.89783995337601108</v>
      </c>
      <c r="Y68" s="2">
        <f t="shared" si="5"/>
        <v>0.46575336510556303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62.440250769574213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55.58122613259566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220.53370439117109</v>
      </c>
      <c r="S74" s="2">
        <f>S8/'Output-Calculation-sheet'!S7*'Output-Calculation-sheet'!S61</f>
        <v>0</v>
      </c>
      <c r="T74" s="2">
        <f>T8/'Output-Calculation-sheet'!T7*'Output-Calculation-sheet'!T61</f>
        <v>162.46166711727349</v>
      </c>
      <c r="U74" s="2">
        <f>U8/'Output-Calculation-sheet'!U7*'Output-Calculation-sheet'!U61</f>
        <v>20.580102575578035</v>
      </c>
      <c r="V74" s="2">
        <f>V8/'Output-Calculation-sheet'!V7*'Output-Calculation-sheet'!V61</f>
        <v>186.48268188061226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0.70807963286680475</v>
      </c>
    </row>
    <row r="75" spans="1:27" x14ac:dyDescent="0.25">
      <c r="A75" s="2">
        <v>2032</v>
      </c>
      <c r="B75" s="2">
        <f>B9/'Output-Calculation-sheet'!B8*'Output-Calculation-sheet'!B62</f>
        <v>695.29835978726555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141.01251756912521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112.98041857616123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298.94323931015663</v>
      </c>
      <c r="S75" s="2">
        <f>S9/'Output-Calculation-sheet'!S8*'Output-Calculation-sheet'!S62</f>
        <v>0</v>
      </c>
      <c r="T75" s="2">
        <f>T9/'Output-Calculation-sheet'!T8*'Output-Calculation-sheet'!T62</f>
        <v>197.45909296359164</v>
      </c>
      <c r="U75" s="2">
        <f>U9/'Output-Calculation-sheet'!U8*'Output-Calculation-sheet'!U62</f>
        <v>40.363206271906435</v>
      </c>
      <c r="V75" s="2">
        <f>V9/'Output-Calculation-sheet'!V8*'Output-Calculation-sheet'!V62</f>
        <v>211.52150891234211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1.6975783433905489</v>
      </c>
    </row>
    <row r="76" spans="1:27" x14ac:dyDescent="0.25">
      <c r="A76" s="2">
        <v>2033</v>
      </c>
      <c r="B76" s="2">
        <f>B10/'Output-Calculation-sheet'!B9*'Output-Calculation-sheet'!B63</f>
        <v>1816.7915643873869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213.12121898855125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203.287116801401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91.710590403772997</v>
      </c>
      <c r="Q76" s="2">
        <f>Q10/'Output-Calculation-sheet'!Q9*'Output-Calculation-sheet'!Q63</f>
        <v>0</v>
      </c>
      <c r="R76" s="2">
        <f>R10/'Output-Calculation-sheet'!R9*'Output-Calculation-sheet'!R63</f>
        <v>390.60877523226026</v>
      </c>
      <c r="S76" s="2">
        <f>S10/'Output-Calculation-sheet'!S9*'Output-Calculation-sheet'!S63</f>
        <v>0</v>
      </c>
      <c r="T76" s="2">
        <f>T10/'Output-Calculation-sheet'!T9*'Output-Calculation-sheet'!T63</f>
        <v>228.29862258366484</v>
      </c>
      <c r="U76" s="2">
        <f>U10/'Output-Calculation-sheet'!U9*'Output-Calculation-sheet'!U63</f>
        <v>66.402396039877047</v>
      </c>
      <c r="V76" s="2">
        <f>V10/'Output-Calculation-sheet'!V9*'Output-Calculation-sheet'!V63</f>
        <v>237.1244957422106</v>
      </c>
      <c r="W76" s="2">
        <f>W10/'Output-Calculation-sheet'!W9*'Output-Calculation-sheet'!W63</f>
        <v>7.4454569641002699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3.2547902371432249</v>
      </c>
    </row>
    <row r="77" spans="1:27" x14ac:dyDescent="0.25">
      <c r="A77" s="2">
        <v>2034</v>
      </c>
      <c r="B77" s="2">
        <f>B11/'Output-Calculation-sheet'!B10*'Output-Calculation-sheet'!B64</f>
        <v>3176.3834858580467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302.56397736463862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281.24601925541867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181.54371639067665</v>
      </c>
      <c r="Q77" s="2">
        <f>Q11/'Output-Calculation-sheet'!Q10*'Output-Calculation-sheet'!Q64</f>
        <v>0</v>
      </c>
      <c r="R77" s="2">
        <f>R11/'Output-Calculation-sheet'!R10*'Output-Calculation-sheet'!R64</f>
        <v>471.57682944310307</v>
      </c>
      <c r="S77" s="2">
        <f>S11/'Output-Calculation-sheet'!S10*'Output-Calculation-sheet'!S64</f>
        <v>0</v>
      </c>
      <c r="T77" s="2">
        <f>T11/'Output-Calculation-sheet'!T10*'Output-Calculation-sheet'!T64</f>
        <v>254.00550833467318</v>
      </c>
      <c r="U77" s="2">
        <f>U11/'Output-Calculation-sheet'!U10*'Output-Calculation-sheet'!U64</f>
        <v>86.112079733116317</v>
      </c>
      <c r="V77" s="2">
        <f>V11/'Output-Calculation-sheet'!V10*'Output-Calculation-sheet'!V64</f>
        <v>257.21491866992864</v>
      </c>
      <c r="W77" s="2">
        <f>W11/'Output-Calculation-sheet'!W10*'Output-Calculation-sheet'!W64</f>
        <v>13.630163322823984</v>
      </c>
      <c r="X77" s="2">
        <f>X11/'Output-Calculation-sheet'!X10*'Output-Calculation-sheet'!X64</f>
        <v>24.455376762588198</v>
      </c>
      <c r="Y77" s="2">
        <f>Y11/'Output-Calculation-sheet'!Y10*'Output-Calculation-sheet'!Y64</f>
        <v>0</v>
      </c>
      <c r="AA77" s="2">
        <f t="shared" si="6"/>
        <v>5.048732075135014</v>
      </c>
    </row>
    <row r="78" spans="1:27" x14ac:dyDescent="0.25">
      <c r="A78" s="2">
        <v>2035</v>
      </c>
      <c r="B78" s="2">
        <f>B12/'Output-Calculation-sheet'!B11*'Output-Calculation-sheet'!B65</f>
        <v>5714.5808194879355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369.54363119425017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326.37832779651393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265.13325588486248</v>
      </c>
      <c r="Q78" s="2">
        <f>Q12/'Output-Calculation-sheet'!Q11*'Output-Calculation-sheet'!Q65</f>
        <v>0</v>
      </c>
      <c r="R78" s="2">
        <f>R12/'Output-Calculation-sheet'!R11*'Output-Calculation-sheet'!R65</f>
        <v>582.02136705030171</v>
      </c>
      <c r="S78" s="2">
        <f>S12/'Output-Calculation-sheet'!S11*'Output-Calculation-sheet'!S65</f>
        <v>0</v>
      </c>
      <c r="T78" s="2">
        <f>T12/'Output-Calculation-sheet'!T11*'Output-Calculation-sheet'!T65</f>
        <v>281.71595537577099</v>
      </c>
      <c r="U78" s="2">
        <f>U12/'Output-Calculation-sheet'!U11*'Output-Calculation-sheet'!U65</f>
        <v>109.53513631486155</v>
      </c>
      <c r="V78" s="2">
        <f>V12/'Output-Calculation-sheet'!V11*'Output-Calculation-sheet'!V65</f>
        <v>265.78489800979821</v>
      </c>
      <c r="W78" s="2">
        <f>W12/'Output-Calculation-sheet'!W11*'Output-Calculation-sheet'!W65</f>
        <v>19.905047482969163</v>
      </c>
      <c r="X78" s="2">
        <f>X12/'Output-Calculation-sheet'!X11*'Output-Calculation-sheet'!X65</f>
        <v>54.358304948799677</v>
      </c>
      <c r="Y78" s="2">
        <f>Y12/'Output-Calculation-sheet'!Y11*'Output-Calculation-sheet'!Y65</f>
        <v>0</v>
      </c>
      <c r="AA78" s="2">
        <f t="shared" si="6"/>
        <v>7.9889567435460629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 t="shared" ref="AA93:AA100" si="8"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si="8"/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18069113318.272217</v>
      </c>
      <c r="C96" s="2">
        <f>C8/'Output-Calculation-sheet'!C7*'Output-Calculation-sheet'!C79</f>
        <v>2224116516.0807309</v>
      </c>
      <c r="D96" s="2">
        <f>D8/'Output-Calculation-sheet'!D7*'Output-Calculation-sheet'!D79</f>
        <v>7876277572.3127251</v>
      </c>
      <c r="E96" s="2">
        <f>E8/'Output-Calculation-sheet'!E7*'Output-Calculation-sheet'!E79</f>
        <v>13466654802.479773</v>
      </c>
      <c r="F96" s="2">
        <f>F8/'Output-Calculation-sheet'!F7*'Output-Calculation-sheet'!F79</f>
        <v>6060444106.6124802</v>
      </c>
      <c r="G96" s="2">
        <f>G8/'Output-Calculation-sheet'!G7*'Output-Calculation-sheet'!G79</f>
        <v>4603182539.485178</v>
      </c>
      <c r="H96" s="2">
        <f>H8/'Output-Calculation-sheet'!H7*'Output-Calculation-sheet'!H79</f>
        <v>1339222816.1630471</v>
      </c>
      <c r="I96" s="2">
        <f>I8/'Output-Calculation-sheet'!I7*'Output-Calculation-sheet'!I79</f>
        <v>3087690023.6186242</v>
      </c>
      <c r="J96" s="2">
        <f>J8/'Output-Calculation-sheet'!J7*'Output-Calculation-sheet'!J79</f>
        <v>2288031816.2365065</v>
      </c>
      <c r="K96" s="2">
        <f>K8/'Output-Calculation-sheet'!K7*'Output-Calculation-sheet'!K79</f>
        <v>2645539984.4397626</v>
      </c>
      <c r="L96" s="2">
        <f>L8/'Output-Calculation-sheet'!L7*'Output-Calculation-sheet'!L79</f>
        <v>2104478447.6782141</v>
      </c>
      <c r="M96" s="2">
        <f>M8/'Output-Calculation-sheet'!M7*'Output-Calculation-sheet'!M79</f>
        <v>1041126228.2134532</v>
      </c>
      <c r="N96" s="2">
        <f>N8/'Output-Calculation-sheet'!N7*'Output-Calculation-sheet'!N79</f>
        <v>1057366983.3810544</v>
      </c>
      <c r="O96" s="2">
        <f>O8/'Output-Calculation-sheet'!O7*'Output-Calculation-sheet'!O79</f>
        <v>258103379.59684795</v>
      </c>
      <c r="P96" s="2">
        <f>P8/'Output-Calculation-sheet'!P7*'Output-Calculation-sheet'!P79</f>
        <v>2812232673.6812801</v>
      </c>
      <c r="Q96" s="2">
        <f>Q8/'Output-Calculation-sheet'!Q7*'Output-Calculation-sheet'!Q79</f>
        <v>1247033042.9752381</v>
      </c>
      <c r="R96" s="2">
        <f>R8/'Output-Calculation-sheet'!R7*'Output-Calculation-sheet'!R79</f>
        <v>1897340491.0906212</v>
      </c>
      <c r="S96" s="2">
        <f>S8/'Output-Calculation-sheet'!S7*'Output-Calculation-sheet'!S79</f>
        <v>741617036.59067118</v>
      </c>
      <c r="T96" s="2">
        <f>T8/'Output-Calculation-sheet'!T7*'Output-Calculation-sheet'!T79</f>
        <v>1004386203.3174336</v>
      </c>
      <c r="U96" s="2">
        <f>U8/'Output-Calculation-sheet'!U7*'Output-Calculation-sheet'!U79</f>
        <v>498850637.96930033</v>
      </c>
      <c r="V96" s="2">
        <f>V8/'Output-Calculation-sheet'!V7*'Output-Calculation-sheet'!V79</f>
        <v>367587621.77179676</v>
      </c>
      <c r="W96" s="2">
        <f>W8/'Output-Calculation-sheet'!W7*'Output-Calculation-sheet'!W79</f>
        <v>979269539.62309086</v>
      </c>
      <c r="X96" s="2">
        <f>X8/'Output-Calculation-sheet'!X7*'Output-Calculation-sheet'!X79</f>
        <v>116041308.74991961</v>
      </c>
      <c r="Y96" s="2">
        <f>Y8/'Output-Calculation-sheet'!Y7*'Output-Calculation-sheet'!Y79</f>
        <v>439484140.36552972</v>
      </c>
      <c r="AA96" s="2">
        <f t="shared" si="8"/>
        <v>76.225191230705477</v>
      </c>
    </row>
    <row r="97" spans="1:27" x14ac:dyDescent="0.25">
      <c r="A97" s="2">
        <v>2032</v>
      </c>
      <c r="B97" s="2">
        <f>B9/'Output-Calculation-sheet'!B8*'Output-Calculation-sheet'!B80</f>
        <v>20680095245.274891</v>
      </c>
      <c r="C97" s="2">
        <f>C9/'Output-Calculation-sheet'!C8*'Output-Calculation-sheet'!C80</f>
        <v>2598107571.3913612</v>
      </c>
      <c r="D97" s="2">
        <f>D9/'Output-Calculation-sheet'!D8*'Output-Calculation-sheet'!D80</f>
        <v>8556855710.0778904</v>
      </c>
      <c r="E97" s="2">
        <f>E9/'Output-Calculation-sheet'!E8*'Output-Calculation-sheet'!E80</f>
        <v>15065247329.978018</v>
      </c>
      <c r="F97" s="2">
        <f>F9/'Output-Calculation-sheet'!F8*'Output-Calculation-sheet'!F80</f>
        <v>6764207317.2574644</v>
      </c>
      <c r="G97" s="2">
        <f>G9/'Output-Calculation-sheet'!G8*'Output-Calculation-sheet'!G80</f>
        <v>5006737400.6932774</v>
      </c>
      <c r="H97" s="2">
        <f>H9/'Output-Calculation-sheet'!H8*'Output-Calculation-sheet'!H80</f>
        <v>1517073792.3907948</v>
      </c>
      <c r="I97" s="2">
        <f>I9/'Output-Calculation-sheet'!I8*'Output-Calculation-sheet'!I80</f>
        <v>3477536409.8669577</v>
      </c>
      <c r="J97" s="2">
        <f>J9/'Output-Calculation-sheet'!J8*'Output-Calculation-sheet'!J80</f>
        <v>2509245751.1707931</v>
      </c>
      <c r="K97" s="2">
        <f>K9/'Output-Calculation-sheet'!K8*'Output-Calculation-sheet'!K80</f>
        <v>2920835930.5036564</v>
      </c>
      <c r="L97" s="2">
        <f>L9/'Output-Calculation-sheet'!L8*'Output-Calculation-sheet'!L80</f>
        <v>2394919076.4025722</v>
      </c>
      <c r="M97" s="2">
        <f>M9/'Output-Calculation-sheet'!M8*'Output-Calculation-sheet'!M80</f>
        <v>1179194317.3356013</v>
      </c>
      <c r="N97" s="2">
        <f>N9/'Output-Calculation-sheet'!N8*'Output-Calculation-sheet'!N80</f>
        <v>1168731325.1598308</v>
      </c>
      <c r="O97" s="2">
        <f>O9/'Output-Calculation-sheet'!O8*'Output-Calculation-sheet'!O80</f>
        <v>305016883.36874133</v>
      </c>
      <c r="P97" s="2">
        <f>P9/'Output-Calculation-sheet'!P8*'Output-Calculation-sheet'!P80</f>
        <v>3101861916.6989112</v>
      </c>
      <c r="Q97" s="2">
        <f>Q9/'Output-Calculation-sheet'!Q8*'Output-Calculation-sheet'!Q80</f>
        <v>1379263800.8788869</v>
      </c>
      <c r="R97" s="2">
        <f>R9/'Output-Calculation-sheet'!R8*'Output-Calculation-sheet'!R80</f>
        <v>2146337514.2593536</v>
      </c>
      <c r="S97" s="2">
        <f>S9/'Output-Calculation-sheet'!S8*'Output-Calculation-sheet'!S80</f>
        <v>827774968.32079005</v>
      </c>
      <c r="T97" s="2">
        <f>T9/'Output-Calculation-sheet'!T8*'Output-Calculation-sheet'!T80</f>
        <v>1106819182.2449961</v>
      </c>
      <c r="U97" s="2">
        <f>U9/'Output-Calculation-sheet'!U8*'Output-Calculation-sheet'!U80</f>
        <v>561734071.9036597</v>
      </c>
      <c r="V97" s="2">
        <f>V9/'Output-Calculation-sheet'!V8*'Output-Calculation-sheet'!V80</f>
        <v>413789957.55355322</v>
      </c>
      <c r="W97" s="2">
        <f>W9/'Output-Calculation-sheet'!W8*'Output-Calculation-sheet'!W80</f>
        <v>1082124788.7760067</v>
      </c>
      <c r="X97" s="2">
        <f>X9/'Output-Calculation-sheet'!X8*'Output-Calculation-sheet'!X80</f>
        <v>132517753.11848052</v>
      </c>
      <c r="Y97" s="2">
        <f>Y9/'Output-Calculation-sheet'!Y8*'Output-Calculation-sheet'!Y80</f>
        <v>485923019.7044794</v>
      </c>
      <c r="AA97" s="2">
        <f t="shared" si="8"/>
        <v>85.381951034330982</v>
      </c>
    </row>
    <row r="98" spans="1:27" x14ac:dyDescent="0.25">
      <c r="A98" s="2">
        <v>2033</v>
      </c>
      <c r="B98" s="2">
        <f>B10/'Output-Calculation-sheet'!B9*'Output-Calculation-sheet'!B81</f>
        <v>22821211272.626339</v>
      </c>
      <c r="C98" s="2">
        <f>C10/'Output-Calculation-sheet'!C9*'Output-Calculation-sheet'!C81</f>
        <v>2877700266.0303717</v>
      </c>
      <c r="D98" s="2">
        <f>D10/'Output-Calculation-sheet'!D9*'Output-Calculation-sheet'!D81</f>
        <v>8894209171.6885719</v>
      </c>
      <c r="E98" s="2">
        <f>E10/'Output-Calculation-sheet'!E9*'Output-Calculation-sheet'!E81</f>
        <v>16117358917.547083</v>
      </c>
      <c r="F98" s="2">
        <f>F10/'Output-Calculation-sheet'!F9*'Output-Calculation-sheet'!F81</f>
        <v>7219814648.7733669</v>
      </c>
      <c r="G98" s="2">
        <f>G10/'Output-Calculation-sheet'!G9*'Output-Calculation-sheet'!G81</f>
        <v>5194887897.2660971</v>
      </c>
      <c r="H98" s="2">
        <f>H10/'Output-Calculation-sheet'!H9*'Output-Calculation-sheet'!H81</f>
        <v>1638602511.2376213</v>
      </c>
      <c r="I98" s="2">
        <f>I10/'Output-Calculation-sheet'!I9*'Output-Calculation-sheet'!I81</f>
        <v>3748399330.2661409</v>
      </c>
      <c r="J98" s="2">
        <f>J10/'Output-Calculation-sheet'!J9*'Output-Calculation-sheet'!J81</f>
        <v>2635515548.3098202</v>
      </c>
      <c r="K98" s="2">
        <f>K10/'Output-Calculation-sheet'!K9*'Output-Calculation-sheet'!K81</f>
        <v>3090798154.3092165</v>
      </c>
      <c r="L98" s="2">
        <f>L10/'Output-Calculation-sheet'!L9*'Output-Calculation-sheet'!L81</f>
        <v>2609866827.9546938</v>
      </c>
      <c r="M98" s="2">
        <f>M10/'Output-Calculation-sheet'!M9*'Output-Calculation-sheet'!M81</f>
        <v>1280185890.5394771</v>
      </c>
      <c r="N98" s="2">
        <f>N10/'Output-Calculation-sheet'!N9*'Output-Calculation-sheet'!N81</f>
        <v>1224694481.8181496</v>
      </c>
      <c r="O98" s="2">
        <f>O10/'Output-Calculation-sheet'!O9*'Output-Calculation-sheet'!O81</f>
        <v>338400740.05566686</v>
      </c>
      <c r="P98" s="2">
        <f>P10/'Output-Calculation-sheet'!P9*'Output-Calculation-sheet'!P81</f>
        <v>3322421140.4791975</v>
      </c>
      <c r="Q98" s="2">
        <f>Q10/'Output-Calculation-sheet'!Q9*'Output-Calculation-sheet'!Q81</f>
        <v>1462990693.7967012</v>
      </c>
      <c r="R98" s="2">
        <f>R10/'Output-Calculation-sheet'!R9*'Output-Calculation-sheet'!R81</f>
        <v>2324037755.4017639</v>
      </c>
      <c r="S98" s="2">
        <f>S10/'Output-Calculation-sheet'!S9*'Output-Calculation-sheet'!S81</f>
        <v>886264670.02195227</v>
      </c>
      <c r="T98" s="2">
        <f>T10/'Output-Calculation-sheet'!T9*'Output-Calculation-sheet'!T81</f>
        <v>1164725587.3772292</v>
      </c>
      <c r="U98" s="2">
        <f>U10/'Output-Calculation-sheet'!U9*'Output-Calculation-sheet'!U81</f>
        <v>605203570.17815101</v>
      </c>
      <c r="V98" s="2">
        <f>V10/'Output-Calculation-sheet'!V9*'Output-Calculation-sheet'!V81</f>
        <v>446165978.61520606</v>
      </c>
      <c r="W98" s="2">
        <f>W10/'Output-Calculation-sheet'!W9*'Output-Calculation-sheet'!W81</f>
        <v>1143426015.8709111</v>
      </c>
      <c r="X98" s="2">
        <f>X10/'Output-Calculation-sheet'!X9*'Output-Calculation-sheet'!X81</f>
        <v>145206089.66978097</v>
      </c>
      <c r="Y98" s="2">
        <f>Y10/'Output-Calculation-sheet'!Y9*'Output-Calculation-sheet'!Y81</f>
        <v>513561790.20468724</v>
      </c>
      <c r="AA98" s="2">
        <f t="shared" si="8"/>
        <v>91.705648950038196</v>
      </c>
    </row>
    <row r="99" spans="1:27" x14ac:dyDescent="0.25">
      <c r="A99" s="2">
        <v>2034</v>
      </c>
      <c r="B99" s="2">
        <f>B11/'Output-Calculation-sheet'!B10*'Output-Calculation-sheet'!B82</f>
        <v>24379950971.456493</v>
      </c>
      <c r="C99" s="2">
        <f>C11/'Output-Calculation-sheet'!C10*'Output-Calculation-sheet'!C82</f>
        <v>3095347212.081336</v>
      </c>
      <c r="D99" s="2">
        <f>D11/'Output-Calculation-sheet'!D10*'Output-Calculation-sheet'!D82</f>
        <v>8959567400.652256</v>
      </c>
      <c r="E99" s="2">
        <f>E11/'Output-Calculation-sheet'!E10*'Output-Calculation-sheet'!E82</f>
        <v>16704058436.969748</v>
      </c>
      <c r="F99" s="2">
        <f>F11/'Output-Calculation-sheet'!F10*'Output-Calculation-sheet'!F82</f>
        <v>7470420847.1812534</v>
      </c>
      <c r="G99" s="2">
        <f>G11/'Output-Calculation-sheet'!G10*'Output-Calculation-sheet'!G82</f>
        <v>5216581174.7380753</v>
      </c>
      <c r="H99" s="2">
        <f>H11/'Output-Calculation-sheet'!H10*'Output-Calculation-sheet'!H82</f>
        <v>1717598945.4265292</v>
      </c>
      <c r="I99" s="2">
        <f>I11/'Output-Calculation-sheet'!I10*'Output-Calculation-sheet'!I82</f>
        <v>3915693813.5865607</v>
      </c>
      <c r="J99" s="2">
        <f>J11/'Output-Calculation-sheet'!J10*'Output-Calculation-sheet'!J82</f>
        <v>2682521281.1538329</v>
      </c>
      <c r="K99" s="2">
        <f>K11/'Output-Calculation-sheet'!K10*'Output-Calculation-sheet'!K82</f>
        <v>3170992347.4221325</v>
      </c>
      <c r="L99" s="2">
        <f>L11/'Output-Calculation-sheet'!L10*'Output-Calculation-sheet'!L82</f>
        <v>2772508079.233954</v>
      </c>
      <c r="M99" s="2">
        <f>M11/'Output-Calculation-sheet'!M10*'Output-Calculation-sheet'!M82</f>
        <v>1345669361.2683082</v>
      </c>
      <c r="N99" s="2">
        <f>N11/'Output-Calculation-sheet'!N10*'Output-Calculation-sheet'!N82</f>
        <v>1250413334.1008554</v>
      </c>
      <c r="O99" s="2">
        <f>O11/'Output-Calculation-sheet'!O10*'Output-Calculation-sheet'!O82</f>
        <v>366052361.466178</v>
      </c>
      <c r="P99" s="2">
        <f>P11/'Output-Calculation-sheet'!P10*'Output-Calculation-sheet'!P82</f>
        <v>3448743883.1800284</v>
      </c>
      <c r="Q99" s="2">
        <f>Q11/'Output-Calculation-sheet'!Q10*'Output-Calculation-sheet'!Q82</f>
        <v>1503454114.0819366</v>
      </c>
      <c r="R99" s="2">
        <f>R11/'Output-Calculation-sheet'!R10*'Output-Calculation-sheet'!R82</f>
        <v>2442403721.3371558</v>
      </c>
      <c r="S99" s="2">
        <f>S11/'Output-Calculation-sheet'!S10*'Output-Calculation-sheet'!S82</f>
        <v>917784393.29094136</v>
      </c>
      <c r="T99" s="2">
        <f>T11/'Output-Calculation-sheet'!T10*'Output-Calculation-sheet'!T82</f>
        <v>1186379211.1956916</v>
      </c>
      <c r="U99" s="2">
        <f>U11/'Output-Calculation-sheet'!U10*'Output-Calculation-sheet'!U82</f>
        <v>632468306.00128102</v>
      </c>
      <c r="V99" s="2">
        <f>V11/'Output-Calculation-sheet'!V10*'Output-Calculation-sheet'!V82</f>
        <v>465410744.15765077</v>
      </c>
      <c r="W99" s="2">
        <f>W11/'Output-Calculation-sheet'!W10*'Output-Calculation-sheet'!W82</f>
        <v>1168650947.5356152</v>
      </c>
      <c r="X99" s="2">
        <f>X11/'Output-Calculation-sheet'!X10*'Output-Calculation-sheet'!X82</f>
        <v>164936495.90031371</v>
      </c>
      <c r="Y99" s="2">
        <f>Y11/'Output-Calculation-sheet'!Y10*'Output-Calculation-sheet'!Y82</f>
        <v>525656690.85627526</v>
      </c>
      <c r="AA99" s="2">
        <f t="shared" si="8"/>
        <v>95.503264074274412</v>
      </c>
    </row>
    <row r="100" spans="1:27" x14ac:dyDescent="0.25">
      <c r="A100" s="2">
        <v>2035</v>
      </c>
      <c r="B100" s="2">
        <f>B12/'Output-Calculation-sheet'!B11*'Output-Calculation-sheet'!B83</f>
        <v>25960690977.411289</v>
      </c>
      <c r="C100" s="2">
        <f>C12/'Output-Calculation-sheet'!C11*'Output-Calculation-sheet'!C83</f>
        <v>3242181234.8166003</v>
      </c>
      <c r="D100" s="2">
        <f>D12/'Output-Calculation-sheet'!D11*'Output-Calculation-sheet'!D83</f>
        <v>8831870279.4504967</v>
      </c>
      <c r="E100" s="2">
        <f>E12/'Output-Calculation-sheet'!E11*'Output-Calculation-sheet'!E83</f>
        <v>16932554478.39201</v>
      </c>
      <c r="F100" s="2">
        <f>F12/'Output-Calculation-sheet'!F11*'Output-Calculation-sheet'!F83</f>
        <v>7558816668.0509596</v>
      </c>
      <c r="G100" s="2">
        <f>G12/'Output-Calculation-sheet'!G11*'Output-Calculation-sheet'!G83</f>
        <v>5117863784.6111345</v>
      </c>
      <c r="H100" s="2">
        <f>H12/'Output-Calculation-sheet'!H11*'Output-Calculation-sheet'!H83</f>
        <v>1762698436.6016715</v>
      </c>
      <c r="I100" s="2">
        <f>I12/'Output-Calculation-sheet'!I11*'Output-Calculation-sheet'!I83</f>
        <v>4000360073.5157785</v>
      </c>
      <c r="J100" s="2">
        <f>J12/'Output-Calculation-sheet'!J11*'Output-Calculation-sheet'!J83</f>
        <v>2669422275.5021758</v>
      </c>
      <c r="K100" s="2">
        <f>K12/'Output-Calculation-sheet'!K11*'Output-Calculation-sheet'!K83</f>
        <v>3182046408.066925</v>
      </c>
      <c r="L100" s="2">
        <f>L12/'Output-Calculation-sheet'!L11*'Output-Calculation-sheet'!L83</f>
        <v>2879059473.7653503</v>
      </c>
      <c r="M100" s="2">
        <f>M12/'Output-Calculation-sheet'!M11*'Output-Calculation-sheet'!M83</f>
        <v>1387553201.1900673</v>
      </c>
      <c r="N100" s="2">
        <f>N12/'Output-Calculation-sheet'!N11*'Output-Calculation-sheet'!N83</f>
        <v>1245529077.1070044</v>
      </c>
      <c r="O100" s="2">
        <f>O12/'Output-Calculation-sheet'!O11*'Output-Calculation-sheet'!O83</f>
        <v>388173544.13509727</v>
      </c>
      <c r="P100" s="2">
        <f>P12/'Output-Calculation-sheet'!P11*'Output-Calculation-sheet'!P83</f>
        <v>3485378093.9388947</v>
      </c>
      <c r="Q100" s="2">
        <f>Q12/'Output-Calculation-sheet'!Q11*'Output-Calculation-sheet'!Q83</f>
        <v>1513724485.8857079</v>
      </c>
      <c r="R100" s="2">
        <f>R12/'Output-Calculation-sheet'!R11*'Output-Calculation-sheet'!R83</f>
        <v>2511102338.7591915</v>
      </c>
      <c r="S100" s="2">
        <f>S12/'Output-Calculation-sheet'!S11*'Output-Calculation-sheet'!S83</f>
        <v>928806023.82846057</v>
      </c>
      <c r="T100" s="2">
        <f>T12/'Output-Calculation-sheet'!T11*'Output-Calculation-sheet'!T83</f>
        <v>1185062783.5628912</v>
      </c>
      <c r="U100" s="2">
        <f>U12/'Output-Calculation-sheet'!U11*'Output-Calculation-sheet'!U83</f>
        <v>645878541.70146847</v>
      </c>
      <c r="V100" s="2">
        <f>V12/'Output-Calculation-sheet'!V11*'Output-Calculation-sheet'!V83</f>
        <v>474765326.12721491</v>
      </c>
      <c r="W100" s="2">
        <f>W12/'Output-Calculation-sheet'!W11*'Output-Calculation-sheet'!W83</f>
        <v>1166095065.4730051</v>
      </c>
      <c r="X100" s="2">
        <f>X12/'Output-Calculation-sheet'!X11*'Output-Calculation-sheet'!X83</f>
        <v>184838676.4324545</v>
      </c>
      <c r="Y100" s="2">
        <f>Y12/'Output-Calculation-sheet'!Y11*'Output-Calculation-sheet'!Y83</f>
        <v>525027756.58241206</v>
      </c>
      <c r="AA100" s="2">
        <f t="shared" si="8"/>
        <v>97.77949900490826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4440-7B07-4798-B5FD-A51C8754CFF0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111996457403.11165</v>
      </c>
      <c r="C8" s="2">
        <v>52778366472.874344</v>
      </c>
      <c r="D8" s="2">
        <v>47039792595.699043</v>
      </c>
      <c r="E8" s="2">
        <v>37321301977.13401</v>
      </c>
      <c r="F8" s="2">
        <v>24025061344.637638</v>
      </c>
      <c r="G8" s="2">
        <v>16880667450.754374</v>
      </c>
      <c r="H8" s="2">
        <v>16466443103.687737</v>
      </c>
      <c r="I8" s="2">
        <v>15379616846.532742</v>
      </c>
      <c r="J8" s="2">
        <v>14969456819.544785</v>
      </c>
      <c r="K8" s="2">
        <v>14825950640.057587</v>
      </c>
      <c r="L8" s="2">
        <v>11893570361.318674</v>
      </c>
      <c r="M8" s="2">
        <v>11360410310.638874</v>
      </c>
      <c r="N8" s="2">
        <v>11150209910.042786</v>
      </c>
      <c r="O8" s="2">
        <v>10254882439.398483</v>
      </c>
      <c r="P8" s="2">
        <v>10150547118.711617</v>
      </c>
      <c r="Q8" s="2">
        <v>9986497872.3486023</v>
      </c>
      <c r="R8" s="2">
        <v>9607470291.0891724</v>
      </c>
      <c r="S8" s="2">
        <v>6385616914.6803789</v>
      </c>
      <c r="T8" s="2">
        <v>3531623467.0849013</v>
      </c>
      <c r="U8" s="2">
        <v>3075923369.3065529</v>
      </c>
      <c r="V8" s="2">
        <v>2368522512.8334332</v>
      </c>
      <c r="W8" s="2">
        <v>2050615579.5377002</v>
      </c>
      <c r="X8" s="2">
        <v>1230369347.722621</v>
      </c>
      <c r="Y8" s="2">
        <v>1196521886.9667697</v>
      </c>
    </row>
    <row r="9" spans="1:27" x14ac:dyDescent="0.25">
      <c r="A9" s="2">
        <v>2032</v>
      </c>
      <c r="B9" s="2">
        <v>115634237372.98776</v>
      </c>
      <c r="C9" s="2">
        <v>54492671450.457222</v>
      </c>
      <c r="D9" s="2">
        <v>48567701774.788895</v>
      </c>
      <c r="E9" s="2">
        <v>38533542863.409973</v>
      </c>
      <c r="F9" s="2">
        <v>24805424303.976559</v>
      </c>
      <c r="G9" s="2">
        <v>17428971882.469257</v>
      </c>
      <c r="H9" s="2">
        <v>17001293029.182215</v>
      </c>
      <c r="I9" s="2">
        <v>15879165344.815254</v>
      </c>
      <c r="J9" s="2">
        <v>15455682825.623369</v>
      </c>
      <c r="K9" s="2">
        <v>15307515392.40193</v>
      </c>
      <c r="L9" s="2">
        <v>12279887866.657152</v>
      </c>
      <c r="M9" s="2">
        <v>11729410134.703558</v>
      </c>
      <c r="N9" s="2">
        <v>11512382171.65881</v>
      </c>
      <c r="O9" s="2">
        <v>10587973385.27729</v>
      </c>
      <c r="P9" s="2">
        <v>10480249127.578075</v>
      </c>
      <c r="Q9" s="2">
        <v>10310871363.900047</v>
      </c>
      <c r="R9" s="2">
        <v>9919532509.8101444</v>
      </c>
      <c r="S9" s="2">
        <v>6593029451.1672783</v>
      </c>
      <c r="T9" s="2">
        <v>3646334855.3519812</v>
      </c>
      <c r="U9" s="2">
        <v>3175833068.9630556</v>
      </c>
      <c r="V9" s="2">
        <v>2445454979.7629337</v>
      </c>
      <c r="W9" s="2">
        <v>2117222045.9753687</v>
      </c>
      <c r="X9" s="2">
        <v>1270333227.5852222</v>
      </c>
      <c r="Y9" s="2">
        <v>1235386360.4943507</v>
      </c>
    </row>
    <row r="10" spans="1:27" x14ac:dyDescent="0.25">
      <c r="A10" s="2">
        <v>2033</v>
      </c>
      <c r="B10" s="2">
        <v>107567153601.76149</v>
      </c>
      <c r="C10" s="2">
        <v>50691055635.836571</v>
      </c>
      <c r="D10" s="2">
        <v>45179434357.679771</v>
      </c>
      <c r="E10" s="2">
        <v>35845296498.463715</v>
      </c>
      <c r="F10" s="2">
        <v>23074903652.073715</v>
      </c>
      <c r="G10" s="2">
        <v>16213060579.584919</v>
      </c>
      <c r="H10" s="2">
        <v>15815218228.14222</v>
      </c>
      <c r="I10" s="2">
        <v>14771374434.752993</v>
      </c>
      <c r="J10" s="2">
        <v>14377435665.194286</v>
      </c>
      <c r="K10" s="2">
        <v>14239604955.101908</v>
      </c>
      <c r="L10" s="2">
        <v>11423196229.542334</v>
      </c>
      <c r="M10" s="2">
        <v>10911121915.804232</v>
      </c>
      <c r="N10" s="2">
        <v>10709234648.096397</v>
      </c>
      <c r="O10" s="2">
        <v>9849316131.1023369</v>
      </c>
      <c r="P10" s="2">
        <v>9749107126.9369831</v>
      </c>
      <c r="Q10" s="2">
        <v>9591545799.6329517</v>
      </c>
      <c r="R10" s="2">
        <v>9227508230.9633503</v>
      </c>
      <c r="S10" s="2">
        <v>6133074665.3094282</v>
      </c>
      <c r="T10" s="2">
        <v>3391952680.9689293</v>
      </c>
      <c r="U10" s="2">
        <v>2954274886.950603</v>
      </c>
      <c r="V10" s="2">
        <v>2274850748.4497046</v>
      </c>
      <c r="W10" s="2">
        <v>1969516591.3004005</v>
      </c>
      <c r="X10" s="2">
        <v>1181709954.780241</v>
      </c>
      <c r="Y10" s="2">
        <v>1149201113.9242349</v>
      </c>
    </row>
    <row r="11" spans="1:27" x14ac:dyDescent="0.25">
      <c r="A11" s="2">
        <v>2034</v>
      </c>
      <c r="B11" s="2">
        <v>90605439880.145462</v>
      </c>
      <c r="C11" s="2">
        <v>42697842604.237946</v>
      </c>
      <c r="D11" s="2">
        <v>38055320666.649109</v>
      </c>
      <c r="E11" s="2">
        <v>30193035216.880169</v>
      </c>
      <c r="F11" s="2">
        <v>19436340235.685822</v>
      </c>
      <c r="G11" s="2">
        <v>13656506065.553101</v>
      </c>
      <c r="H11" s="2">
        <v>13321397437.608269</v>
      </c>
      <c r="I11" s="2">
        <v>12442152027.654037</v>
      </c>
      <c r="J11" s="2">
        <v>12110331445.751743</v>
      </c>
      <c r="K11" s="2">
        <v>11994234554.658512</v>
      </c>
      <c r="L11" s="2">
        <v>9621930901.3858051</v>
      </c>
      <c r="M11" s="2">
        <v>9190602964.4271336</v>
      </c>
      <c r="N11" s="2">
        <v>9020550266.3275776</v>
      </c>
      <c r="O11" s="2">
        <v>8296227897.6072664</v>
      </c>
      <c r="P11" s="2">
        <v>8211820338.2516718</v>
      </c>
      <c r="Q11" s="2">
        <v>8079104049.9566956</v>
      </c>
      <c r="R11" s="2">
        <v>7772469701.6655664</v>
      </c>
      <c r="S11" s="2">
        <v>5165981521.8819447</v>
      </c>
      <c r="T11" s="2">
        <v>2857093029.063807</v>
      </c>
      <c r="U11" s="2">
        <v>2488430405.5308113</v>
      </c>
      <c r="V11" s="2">
        <v>1916141180.8668365</v>
      </c>
      <c r="W11" s="2">
        <v>1658953603.687206</v>
      </c>
      <c r="X11" s="2">
        <v>995372162.21232438</v>
      </c>
      <c r="Y11" s="2">
        <v>967989474.02986169</v>
      </c>
    </row>
    <row r="12" spans="1:27" x14ac:dyDescent="0.25">
      <c r="A12" s="2">
        <v>2035</v>
      </c>
      <c r="B12" s="2">
        <v>68515589266.077843</v>
      </c>
      <c r="C12" s="2">
        <v>32287993417.27681</v>
      </c>
      <c r="D12" s="2">
        <v>28777330849.385063</v>
      </c>
      <c r="E12" s="2">
        <v>22831891797.584019</v>
      </c>
      <c r="F12" s="2">
        <v>14697708064.610462</v>
      </c>
      <c r="G12" s="2">
        <v>10327013053.905773</v>
      </c>
      <c r="H12" s="2">
        <v>10073604813.272989</v>
      </c>
      <c r="I12" s="2">
        <v>9408721805.6721497</v>
      </c>
      <c r="J12" s="2">
        <v>9157799976.5885677</v>
      </c>
      <c r="K12" s="2">
        <v>9070007820.6679668</v>
      </c>
      <c r="L12" s="2">
        <v>7276078196.3864746</v>
      </c>
      <c r="M12" s="2">
        <v>6949909173.7898407</v>
      </c>
      <c r="N12" s="2">
        <v>6821315782.1348791</v>
      </c>
      <c r="O12" s="2">
        <v>6273585160.4732962</v>
      </c>
      <c r="P12" s="2">
        <v>6209756391.7436228</v>
      </c>
      <c r="Q12" s="2">
        <v>6109396692.48312</v>
      </c>
      <c r="R12" s="2">
        <v>5877520625.3266916</v>
      </c>
      <c r="S12" s="2">
        <v>3906501293.7150669</v>
      </c>
      <c r="T12" s="2">
        <v>2160526042.7327414</v>
      </c>
      <c r="U12" s="2">
        <v>1881744361.1344326</v>
      </c>
      <c r="V12" s="2">
        <v>1448980792.9607368</v>
      </c>
      <c r="W12" s="2">
        <v>1254496240.7562873</v>
      </c>
      <c r="X12" s="2">
        <v>752697744.4537729</v>
      </c>
      <c r="Y12" s="2">
        <v>731991029.50384843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 t="shared" ref="AA16:AA23" si="0"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si="0"/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5867.227319876034</v>
      </c>
      <c r="C19" s="2">
        <f>C8/'Output-Calculation-sheet'!C7*'Output-Calculation-sheet'!C25</f>
        <v>7823.1306162273249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2850.4871766786241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2086.4232144983821</v>
      </c>
      <c r="N19" s="2">
        <f>N8/'Output-Calculation-sheet'!N7*'Output-Calculation-sheet'!N25</f>
        <v>1086.9576002816314</v>
      </c>
      <c r="O19" s="2">
        <f>O8/'Output-Calculation-sheet'!O7*'Output-Calculation-sheet'!O25</f>
        <v>1185.355726210757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473.84886768501258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241.17683248631329</v>
      </c>
      <c r="Y19" s="2">
        <f>Y8/'Output-Calculation-sheet'!Y7*'Output-Calculation-sheet'!Y25</f>
        <v>0</v>
      </c>
      <c r="AA19" s="2">
        <f t="shared" si="0"/>
        <v>21.614607353944084</v>
      </c>
    </row>
    <row r="20" spans="1:27" x14ac:dyDescent="0.25">
      <c r="A20" s="2">
        <v>2032</v>
      </c>
      <c r="B20" s="2">
        <f>B9/'Output-Calculation-sheet'!B8*'Output-Calculation-sheet'!B26</f>
        <v>7270.3104789034533</v>
      </c>
      <c r="C20" s="2">
        <f>C9/'Output-Calculation-sheet'!C8*'Output-Calculation-sheet'!C26</f>
        <v>8379.6026202421708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3016.6925266852331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2202.8746935939948</v>
      </c>
      <c r="N20" s="2">
        <f>N9/'Output-Calculation-sheet'!N8*'Output-Calculation-sheet'!N26</f>
        <v>1253.0215109515709</v>
      </c>
      <c r="O20" s="2">
        <f>O9/'Output-Calculation-sheet'!O8*'Output-Calculation-sheet'!O26</f>
        <v>1296.2544209753876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566.41983547183793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254.46062464920777</v>
      </c>
      <c r="Y20" s="2">
        <f>Y9/'Output-Calculation-sheet'!Y8*'Output-Calculation-sheet'!Y26</f>
        <v>0</v>
      </c>
      <c r="AA20" s="2">
        <f t="shared" si="0"/>
        <v>24.239636711472855</v>
      </c>
    </row>
    <row r="21" spans="1:27" x14ac:dyDescent="0.25">
      <c r="A21" s="2">
        <v>2033</v>
      </c>
      <c r="B21" s="2">
        <f>B10/'Output-Calculation-sheet'!B9*'Output-Calculation-sheet'!B27</f>
        <v>8511.1604681145818</v>
      </c>
      <c r="C21" s="2">
        <f>C10/'Output-Calculation-sheet'!C9*'Output-Calculation-sheet'!C27</f>
        <v>8008.6057454335078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2865.9437551494375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24.867906104758994</v>
      </c>
      <c r="M21" s="2">
        <f>M10/'Output-Calculation-sheet'!M9*'Output-Calculation-sheet'!M27</f>
        <v>2103.5155132336458</v>
      </c>
      <c r="N21" s="2">
        <f>N10/'Output-Calculation-sheet'!N9*'Output-Calculation-sheet'!N27</f>
        <v>1285.81025204252</v>
      </c>
      <c r="O21" s="2">
        <f>O10/'Output-Calculation-sheet'!O9*'Output-Calculation-sheet'!O27</f>
        <v>1252.5275318647016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597.49831739331171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243.51307476356322</v>
      </c>
      <c r="Y21" s="2">
        <f>Y10/'Output-Calculation-sheet'!Y9*'Output-Calculation-sheet'!Y27</f>
        <v>0</v>
      </c>
      <c r="AA21" s="2">
        <f t="shared" si="0"/>
        <v>24.893442564100024</v>
      </c>
    </row>
    <row r="22" spans="1:27" x14ac:dyDescent="0.25">
      <c r="A22" s="2">
        <v>2034</v>
      </c>
      <c r="B22" s="2">
        <f>B11/'Output-Calculation-sheet'!B10*'Output-Calculation-sheet'!B28</f>
        <v>8837.4833677071128</v>
      </c>
      <c r="C22" s="2">
        <f>C11/'Output-Calculation-sheet'!C10*'Output-Calculation-sheet'!C28</f>
        <v>6961.2817288873393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2470.4708527126459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141.50684337415507</v>
      </c>
      <c r="M22" s="2">
        <f>M11/'Output-Calculation-sheet'!M10*'Output-Calculation-sheet'!M28</f>
        <v>1816.0673681990099</v>
      </c>
      <c r="N22" s="2">
        <f>N11/'Output-Calculation-sheet'!N10*'Output-Calculation-sheet'!N28</f>
        <v>1157.0591449475799</v>
      </c>
      <c r="O22" s="2">
        <f>O11/'Output-Calculation-sheet'!O10*'Output-Calculation-sheet'!O28</f>
        <v>1104.4426713065131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536.36443654836842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224.17849045125848</v>
      </c>
      <c r="Y22" s="2">
        <f>Y11/'Output-Calculation-sheet'!Y10*'Output-Calculation-sheet'!Y28</f>
        <v>0</v>
      </c>
      <c r="AA22" s="2">
        <f t="shared" si="0"/>
        <v>23.248854904133978</v>
      </c>
    </row>
    <row r="23" spans="1:27" x14ac:dyDescent="0.25">
      <c r="A23" s="2">
        <v>2035</v>
      </c>
      <c r="B23" s="2">
        <f>B12/'Output-Calculation-sheet'!B11*'Output-Calculation-sheet'!B29</f>
        <v>8639.2834566067959</v>
      </c>
      <c r="C23" s="2">
        <f>C12/'Output-Calculation-sheet'!C11*'Output-Calculation-sheet'!C29</f>
        <v>5410.5656107500608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1916.7279831282883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198.24531730294595</v>
      </c>
      <c r="M23" s="2">
        <f>M12/'Output-Calculation-sheet'!M11*'Output-Calculation-sheet'!M29</f>
        <v>1415.772642555233</v>
      </c>
      <c r="N23" s="2">
        <f>N12/'Output-Calculation-sheet'!N11*'Output-Calculation-sheet'!N29</f>
        <v>915.0118916830661</v>
      </c>
      <c r="O23" s="2">
        <f>O12/'Output-Calculation-sheet'!O11*'Output-Calculation-sheet'!O29</f>
        <v>878.14718385239587</v>
      </c>
      <c r="P23" s="2">
        <f>P12/'Output-Calculation-sheet'!P11*'Output-Calculation-sheet'!P29</f>
        <v>0</v>
      </c>
      <c r="Q23" s="2">
        <f>Q12/'Output-Calculation-sheet'!Q11*'Output-Calculation-sheet'!Q29</f>
        <v>51.576875419850388</v>
      </c>
      <c r="R23" s="2">
        <f>R12/'Output-Calculation-sheet'!R11*'Output-Calculation-sheet'!R29</f>
        <v>0</v>
      </c>
      <c r="S23" s="2">
        <f>S12/'Output-Calculation-sheet'!S11*'Output-Calculation-sheet'!S29</f>
        <v>426.50793446910865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187.10496771576803</v>
      </c>
      <c r="Y23" s="2">
        <f>Y12/'Output-Calculation-sheet'!Y11*'Output-Calculation-sheet'!Y29</f>
        <v>0</v>
      </c>
      <c r="AA23" s="2">
        <f t="shared" si="0"/>
        <v>20.038943863483514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 t="shared" ref="AA27:AA34" si="1"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si="1"/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28854.234198955084</v>
      </c>
      <c r="C30" s="2">
        <f>C8/'Output-Calculation-sheet'!C7*'Output-Calculation-sheet'!C16</f>
        <v>0</v>
      </c>
      <c r="D30" s="2">
        <f>D8/'Output-Calculation-sheet'!D7*'Output-Calculation-sheet'!D16</f>
        <v>6500.5807922713529</v>
      </c>
      <c r="E30" s="2">
        <f>E8/'Output-Calculation-sheet'!E7*'Output-Calculation-sheet'!E16</f>
        <v>8146.2661735321963</v>
      </c>
      <c r="F30" s="2">
        <f>F8/'Output-Calculation-sheet'!F7*'Output-Calculation-sheet'!F16</f>
        <v>3978.6356449582963</v>
      </c>
      <c r="G30" s="2">
        <f>G8/'Output-Calculation-sheet'!G7*'Output-Calculation-sheet'!G16</f>
        <v>2424.5288985549023</v>
      </c>
      <c r="H30" s="2">
        <f>H8/'Output-Calculation-sheet'!H7*'Output-Calculation-sheet'!H16</f>
        <v>0</v>
      </c>
      <c r="I30" s="2">
        <f>I8/'Output-Calculation-sheet'!I7*'Output-Calculation-sheet'!I16</f>
        <v>2282.3947193931176</v>
      </c>
      <c r="J30" s="2">
        <f>J8/'Output-Calculation-sheet'!J7*'Output-Calculation-sheet'!J16</f>
        <v>2446.6284621448553</v>
      </c>
      <c r="K30" s="2">
        <f>K8/'Output-Calculation-sheet'!K7*'Output-Calculation-sheet'!K16</f>
        <v>2368.0613349746204</v>
      </c>
      <c r="L30" s="2">
        <f>L8/'Output-Calculation-sheet'!L7*'Output-Calculation-sheet'!L16</f>
        <v>2617.5152233452327</v>
      </c>
      <c r="M30" s="2">
        <f>M8/'Output-Calculation-sheet'!M7*'Output-Calculation-sheet'!M16</f>
        <v>0</v>
      </c>
      <c r="N30" s="2">
        <f>N8/'Output-Calculation-sheet'!N7*'Output-Calculation-sheet'!N16</f>
        <v>1173.7638420913704</v>
      </c>
      <c r="O30" s="2">
        <f>O8/'Output-Calculation-sheet'!O7*'Output-Calculation-sheet'!O16</f>
        <v>0</v>
      </c>
      <c r="P30" s="2">
        <f>P8/'Output-Calculation-sheet'!P7*'Output-Calculation-sheet'!P16</f>
        <v>2240.7228850530641</v>
      </c>
      <c r="Q30" s="2">
        <f>Q8/'Output-Calculation-sheet'!Q7*'Output-Calculation-sheet'!Q16</f>
        <v>2198.2601593470727</v>
      </c>
      <c r="R30" s="2">
        <f>R8/'Output-Calculation-sheet'!R7*'Output-Calculation-sheet'!R16</f>
        <v>1950.7874050587018</v>
      </c>
      <c r="S30" s="2">
        <f>S8/'Output-Calculation-sheet'!S7*'Output-Calculation-sheet'!S16</f>
        <v>1033.1990835091012</v>
      </c>
      <c r="T30" s="2">
        <f>T8/'Output-Calculation-sheet'!T7*'Output-Calculation-sheet'!T16</f>
        <v>736.84144786673983</v>
      </c>
      <c r="U30" s="2">
        <f>U8/'Output-Calculation-sheet'!U7*'Output-Calculation-sheet'!U16</f>
        <v>568.54881418225273</v>
      </c>
      <c r="V30" s="2">
        <f>V8/'Output-Calculation-sheet'!V7*'Output-Calculation-sheet'!V16</f>
        <v>736.15702200379167</v>
      </c>
      <c r="W30" s="2">
        <f>W8/'Output-Calculation-sheet'!W7*'Output-Calculation-sheet'!W16</f>
        <v>354.44455977150335</v>
      </c>
      <c r="X30" s="2">
        <f>X8/'Output-Calculation-sheet'!X7*'Output-Calculation-sheet'!X16</f>
        <v>0</v>
      </c>
      <c r="Y30" s="2">
        <f>Y8/'Output-Calculation-sheet'!Y7*'Output-Calculation-sheet'!Y16</f>
        <v>241.73891710997307</v>
      </c>
      <c r="AA30" s="2">
        <f t="shared" si="1"/>
        <v>70.853309584123252</v>
      </c>
    </row>
    <row r="31" spans="1:27" x14ac:dyDescent="0.25">
      <c r="A31" s="2">
        <v>2032</v>
      </c>
      <c r="B31" s="2">
        <f>B9/'Output-Calculation-sheet'!B8*'Output-Calculation-sheet'!B17</f>
        <v>29458.246060925689</v>
      </c>
      <c r="C31" s="2">
        <f>C9/'Output-Calculation-sheet'!C8*'Output-Calculation-sheet'!C17</f>
        <v>0</v>
      </c>
      <c r="D31" s="2">
        <f>D9/'Output-Calculation-sheet'!D8*'Output-Calculation-sheet'!D17</f>
        <v>6742.3846197266439</v>
      </c>
      <c r="E31" s="2">
        <f>E9/'Output-Calculation-sheet'!E8*'Output-Calculation-sheet'!E17</f>
        <v>8469.3258048063326</v>
      </c>
      <c r="F31" s="2">
        <f>F9/'Output-Calculation-sheet'!F8*'Output-Calculation-sheet'!F17</f>
        <v>4132.3460704854642</v>
      </c>
      <c r="G31" s="2">
        <f>G9/'Output-Calculation-sheet'!G8*'Output-Calculation-sheet'!G17</f>
        <v>2515.4695555008575</v>
      </c>
      <c r="H31" s="2">
        <f>H9/'Output-Calculation-sheet'!H8*'Output-Calculation-sheet'!H17</f>
        <v>0</v>
      </c>
      <c r="I31" s="2">
        <f>I9/'Output-Calculation-sheet'!I8*'Output-Calculation-sheet'!I17</f>
        <v>2366.8192381469112</v>
      </c>
      <c r="J31" s="2">
        <f>J9/'Output-Calculation-sheet'!J8*'Output-Calculation-sheet'!J17</f>
        <v>2539.1907345646096</v>
      </c>
      <c r="K31" s="2">
        <f>K9/'Output-Calculation-sheet'!K8*'Output-Calculation-sheet'!K17</f>
        <v>2455.7540296377524</v>
      </c>
      <c r="L31" s="2">
        <f>L9/'Output-Calculation-sheet'!L8*'Output-Calculation-sheet'!L17</f>
        <v>2713.5204111667513</v>
      </c>
      <c r="M31" s="2">
        <f>M9/'Output-Calculation-sheet'!M8*'Output-Calculation-sheet'!M17</f>
        <v>0</v>
      </c>
      <c r="N31" s="2">
        <f>N9/'Output-Calculation-sheet'!N8*'Output-Calculation-sheet'!N17</f>
        <v>1144.1232481170643</v>
      </c>
      <c r="O31" s="2">
        <f>O9/'Output-Calculation-sheet'!O8*'Output-Calculation-sheet'!O17</f>
        <v>0</v>
      </c>
      <c r="P31" s="2">
        <f>P9/'Output-Calculation-sheet'!P8*'Output-Calculation-sheet'!P17</f>
        <v>2337.3875413707478</v>
      </c>
      <c r="Q31" s="2">
        <f>Q9/'Output-Calculation-sheet'!Q8*'Output-Calculation-sheet'!Q17</f>
        <v>2285.8638431965369</v>
      </c>
      <c r="R31" s="2">
        <f>R9/'Output-Calculation-sheet'!R8*'Output-Calculation-sheet'!R17</f>
        <v>2045.7811285502064</v>
      </c>
      <c r="S31" s="2">
        <f>S9/'Output-Calculation-sheet'!S8*'Output-Calculation-sheet'!S17</f>
        <v>1024.0770378558739</v>
      </c>
      <c r="T31" s="2">
        <f>T9/'Output-Calculation-sheet'!T8*'Output-Calculation-sheet'!T17</f>
        <v>766.39645391180784</v>
      </c>
      <c r="U31" s="2">
        <f>U9/'Output-Calculation-sheet'!U8*'Output-Calculation-sheet'!U17</f>
        <v>593.41365350186368</v>
      </c>
      <c r="V31" s="2">
        <f>V9/'Output-Calculation-sheet'!V8*'Output-Calculation-sheet'!V17</f>
        <v>754.62061590120697</v>
      </c>
      <c r="W31" s="2">
        <f>W9/'Output-Calculation-sheet'!W8*'Output-Calculation-sheet'!W17</f>
        <v>367.79762524396381</v>
      </c>
      <c r="X31" s="2">
        <f>X9/'Output-Calculation-sheet'!X8*'Output-Calculation-sheet'!X17</f>
        <v>0</v>
      </c>
      <c r="Y31" s="2">
        <f>Y9/'Output-Calculation-sheet'!Y8*'Output-Calculation-sheet'!Y17</f>
        <v>250.73215285590709</v>
      </c>
      <c r="AA31" s="2">
        <f t="shared" si="1"/>
        <v>72.963249825466207</v>
      </c>
    </row>
    <row r="32" spans="1:27" x14ac:dyDescent="0.25">
      <c r="A32" s="2">
        <v>2033</v>
      </c>
      <c r="B32" s="2">
        <f>B10/'Output-Calculation-sheet'!B9*'Output-Calculation-sheet'!B18</f>
        <v>26963.383243209544</v>
      </c>
      <c r="C32" s="2">
        <f>C10/'Output-Calculation-sheet'!C9*'Output-Calculation-sheet'!C18</f>
        <v>0</v>
      </c>
      <c r="D32" s="2">
        <f>D10/'Output-Calculation-sheet'!D9*'Output-Calculation-sheet'!D18</f>
        <v>6308.1217437095229</v>
      </c>
      <c r="E32" s="2">
        <f>E10/'Output-Calculation-sheet'!E9*'Output-Calculation-sheet'!E18</f>
        <v>7933.8365742842543</v>
      </c>
      <c r="F32" s="2">
        <f>F10/'Output-Calculation-sheet'!F9*'Output-Calculation-sheet'!F18</f>
        <v>3864.2259165062292</v>
      </c>
      <c r="G32" s="2">
        <f>G10/'Output-Calculation-sheet'!G9*'Output-Calculation-sheet'!G18</f>
        <v>2350.9394554894857</v>
      </c>
      <c r="H32" s="2">
        <f>H10/'Output-Calculation-sheet'!H9*'Output-Calculation-sheet'!H18</f>
        <v>0</v>
      </c>
      <c r="I32" s="2">
        <f>I10/'Output-Calculation-sheet'!I9*'Output-Calculation-sheet'!I18</f>
        <v>2215.3463701269898</v>
      </c>
      <c r="J32" s="2">
        <f>J10/'Output-Calculation-sheet'!J9*'Output-Calculation-sheet'!J18</f>
        <v>2374.1137928918051</v>
      </c>
      <c r="K32" s="2">
        <f>K10/'Output-Calculation-sheet'!K9*'Output-Calculation-sheet'!K18</f>
        <v>2302.7143634629788</v>
      </c>
      <c r="L32" s="2">
        <f>L10/'Output-Calculation-sheet'!L9*'Output-Calculation-sheet'!L18</f>
        <v>2529.5803289480095</v>
      </c>
      <c r="M32" s="2">
        <f>M10/'Output-Calculation-sheet'!M9*'Output-Calculation-sheet'!M18</f>
        <v>0</v>
      </c>
      <c r="N32" s="2">
        <f>N10/'Output-Calculation-sheet'!N9*'Output-Calculation-sheet'!N18</f>
        <v>984.50067323590622</v>
      </c>
      <c r="O32" s="2">
        <f>O10/'Output-Calculation-sheet'!O9*'Output-Calculation-sheet'!O18</f>
        <v>0</v>
      </c>
      <c r="P32" s="2">
        <f>P10/'Output-Calculation-sheet'!P9*'Output-Calculation-sheet'!P18</f>
        <v>2218.3541269528946</v>
      </c>
      <c r="Q32" s="2">
        <f>Q10/'Output-Calculation-sheet'!Q9*'Output-Calculation-sheet'!Q18</f>
        <v>2148.8274788015078</v>
      </c>
      <c r="R32" s="2">
        <f>R10/'Output-Calculation-sheet'!R9*'Output-Calculation-sheet'!R18</f>
        <v>1931.4551975701772</v>
      </c>
      <c r="S32" s="2">
        <f>S10/'Output-Calculation-sheet'!S9*'Output-Calculation-sheet'!S18</f>
        <v>920.54206954996073</v>
      </c>
      <c r="T32" s="2">
        <f>T10/'Output-Calculation-sheet'!T9*'Output-Calculation-sheet'!T18</f>
        <v>714.68395190341096</v>
      </c>
      <c r="U32" s="2">
        <f>U10/'Output-Calculation-sheet'!U9*'Output-Calculation-sheet'!U18</f>
        <v>557.1889502412796</v>
      </c>
      <c r="V32" s="2">
        <f>V10/'Output-Calculation-sheet'!V9*'Output-Calculation-sheet'!V18</f>
        <v>702.99072819212836</v>
      </c>
      <c r="W32" s="2">
        <f>W10/'Output-Calculation-sheet'!W9*'Output-Calculation-sheet'!W18</f>
        <v>343.00235851177843</v>
      </c>
      <c r="X32" s="2">
        <f>X10/'Output-Calculation-sheet'!X9*'Output-Calculation-sheet'!X18</f>
        <v>0</v>
      </c>
      <c r="Y32" s="2">
        <f>Y10/'Output-Calculation-sheet'!Y9*'Output-Calculation-sheet'!Y18</f>
        <v>234.7286636696617</v>
      </c>
      <c r="AA32" s="2">
        <f t="shared" si="1"/>
        <v>67.59853598725752</v>
      </c>
    </row>
    <row r="33" spans="1:27" x14ac:dyDescent="0.25">
      <c r="A33" s="2">
        <v>2034</v>
      </c>
      <c r="B33" s="2">
        <f>B11/'Output-Calculation-sheet'!B10*'Output-Calculation-sheet'!B19</f>
        <v>22160.6603908992</v>
      </c>
      <c r="C33" s="2">
        <f>C11/'Output-Calculation-sheet'!C10*'Output-Calculation-sheet'!C19</f>
        <v>0</v>
      </c>
      <c r="D33" s="2">
        <f>D11/'Output-Calculation-sheet'!D10*'Output-Calculation-sheet'!D19</f>
        <v>5336.9271865482988</v>
      </c>
      <c r="E33" s="2">
        <f>E11/'Output-Calculation-sheet'!E10*'Output-Calculation-sheet'!E19</f>
        <v>6717.7210706731512</v>
      </c>
      <c r="F33" s="2">
        <f>F11/'Output-Calculation-sheet'!F10*'Output-Calculation-sheet'!F19</f>
        <v>3270.099456754227</v>
      </c>
      <c r="G33" s="2">
        <f>G11/'Output-Calculation-sheet'!G10*'Output-Calculation-sheet'!G19</f>
        <v>1985.0872549264286</v>
      </c>
      <c r="H33" s="2">
        <f>H11/'Output-Calculation-sheet'!H10*'Output-Calculation-sheet'!H19</f>
        <v>0</v>
      </c>
      <c r="I33" s="2">
        <f>I11/'Output-Calculation-sheet'!I10*'Output-Calculation-sheet'!I19</f>
        <v>1876.0017947591414</v>
      </c>
      <c r="J33" s="2">
        <f>J11/'Output-Calculation-sheet'!J10*'Output-Calculation-sheet'!J19</f>
        <v>2003.1478343652411</v>
      </c>
      <c r="K33" s="2">
        <f>K11/'Output-Calculation-sheet'!K10*'Output-Calculation-sheet'!K19</f>
        <v>1954.0914668843729</v>
      </c>
      <c r="L33" s="2">
        <f>L11/'Output-Calculation-sheet'!L10*'Output-Calculation-sheet'!L19</f>
        <v>2100.699656567665</v>
      </c>
      <c r="M33" s="2">
        <f>M11/'Output-Calculation-sheet'!M10*'Output-Calculation-sheet'!M19</f>
        <v>0</v>
      </c>
      <c r="N33" s="2">
        <f>N11/'Output-Calculation-sheet'!N10*'Output-Calculation-sheet'!N19</f>
        <v>790.79078885746821</v>
      </c>
      <c r="O33" s="2">
        <f>O11/'Output-Calculation-sheet'!O10*'Output-Calculation-sheet'!O19</f>
        <v>0</v>
      </c>
      <c r="P33" s="2">
        <f>P11/'Output-Calculation-sheet'!P10*'Output-Calculation-sheet'!P19</f>
        <v>1913.4889200713849</v>
      </c>
      <c r="Q33" s="2">
        <f>Q11/'Output-Calculation-sheet'!Q10*'Output-Calculation-sheet'!Q19</f>
        <v>1825.9310537607525</v>
      </c>
      <c r="R33" s="2">
        <f>R11/'Output-Calculation-sheet'!R10*'Output-Calculation-sheet'!R19</f>
        <v>1654.7602699472841</v>
      </c>
      <c r="S33" s="2">
        <f>S11/'Output-Calculation-sheet'!S10*'Output-Calculation-sheet'!S19</f>
        <v>762.71253313005775</v>
      </c>
      <c r="T33" s="2">
        <f>T11/'Output-Calculation-sheet'!T10*'Output-Calculation-sheet'!T19</f>
        <v>603.71391525607805</v>
      </c>
      <c r="U33" s="2">
        <f>U11/'Output-Calculation-sheet'!U10*'Output-Calculation-sheet'!U19</f>
        <v>474.62009465688277</v>
      </c>
      <c r="V33" s="2">
        <f>V11/'Output-Calculation-sheet'!V10*'Output-Calculation-sheet'!V19</f>
        <v>590.71185094775171</v>
      </c>
      <c r="W33" s="2">
        <f>W11/'Output-Calculation-sheet'!W10*'Output-Calculation-sheet'!W19</f>
        <v>289.77406808611403</v>
      </c>
      <c r="X33" s="2">
        <f>X11/'Output-Calculation-sheet'!X10*'Output-Calculation-sheet'!X19</f>
        <v>0</v>
      </c>
      <c r="Y33" s="2">
        <f>Y11/'Output-Calculation-sheet'!Y10*'Output-Calculation-sheet'!Y19</f>
        <v>199.09733846084828</v>
      </c>
      <c r="AA33" s="2">
        <f t="shared" si="1"/>
        <v>56.510036945552372</v>
      </c>
    </row>
    <row r="34" spans="1:27" x14ac:dyDescent="0.25">
      <c r="A34" s="2">
        <v>2035</v>
      </c>
      <c r="B34" s="2">
        <f>B12/'Output-Calculation-sheet'!B11*'Output-Calculation-sheet'!B20</f>
        <v>16117.111848669381</v>
      </c>
      <c r="C34" s="2">
        <f>C12/'Output-Calculation-sheet'!C11*'Output-Calculation-sheet'!C20</f>
        <v>0</v>
      </c>
      <c r="D34" s="2">
        <f>D12/'Output-Calculation-sheet'!D11*'Output-Calculation-sheet'!D20</f>
        <v>4060.2335869560743</v>
      </c>
      <c r="E34" s="2">
        <f>E12/'Output-Calculation-sheet'!E11*'Output-Calculation-sheet'!E20</f>
        <v>5110.8063963385575</v>
      </c>
      <c r="F34" s="2">
        <f>F12/'Output-Calculation-sheet'!F11*'Output-Calculation-sheet'!F20</f>
        <v>2483.7188520051504</v>
      </c>
      <c r="G34" s="2">
        <f>G12/'Output-Calculation-sheet'!G11*'Output-Calculation-sheet'!G20</f>
        <v>1512.8386477377121</v>
      </c>
      <c r="H34" s="2">
        <f>H12/'Output-Calculation-sheet'!H11*'Output-Calculation-sheet'!H20</f>
        <v>0</v>
      </c>
      <c r="I34" s="2">
        <f>I12/'Output-Calculation-sheet'!I11*'Output-Calculation-sheet'!I20</f>
        <v>1426.9017055606016</v>
      </c>
      <c r="J34" s="2">
        <f>J12/'Output-Calculation-sheet'!J11*'Output-Calculation-sheet'!J20</f>
        <v>1518.8334488383325</v>
      </c>
      <c r="K34" s="2">
        <f>K12/'Output-Calculation-sheet'!K11*'Output-Calculation-sheet'!K20</f>
        <v>1488.4325197480316</v>
      </c>
      <c r="L34" s="2">
        <f>L12/'Output-Calculation-sheet'!L11*'Output-Calculation-sheet'!L20</f>
        <v>1570.5340044303196</v>
      </c>
      <c r="M34" s="2">
        <f>M12/'Output-Calculation-sheet'!M11*'Output-Calculation-sheet'!M20</f>
        <v>0</v>
      </c>
      <c r="N34" s="2">
        <f>N12/'Output-Calculation-sheet'!N11*'Output-Calculation-sheet'!N20</f>
        <v>576.08041661668631</v>
      </c>
      <c r="O34" s="2">
        <f>O12/'Output-Calculation-sheet'!O11*'Output-Calculation-sheet'!O20</f>
        <v>0</v>
      </c>
      <c r="P34" s="2">
        <f>P12/'Output-Calculation-sheet'!P11*'Output-Calculation-sheet'!P20</f>
        <v>1477.4755819989941</v>
      </c>
      <c r="Q34" s="2">
        <f>Q12/'Output-Calculation-sheet'!Q11*'Output-Calculation-sheet'!Q20</f>
        <v>1364.251200485724</v>
      </c>
      <c r="R34" s="2">
        <f>R12/'Output-Calculation-sheet'!R11*'Output-Calculation-sheet'!R20</f>
        <v>1269.2397162715247</v>
      </c>
      <c r="S34" s="2">
        <f>S12/'Output-Calculation-sheet'!S11*'Output-Calculation-sheet'!S20</f>
        <v>569.35911316020099</v>
      </c>
      <c r="T34" s="2">
        <f>T12/'Output-Calculation-sheet'!T11*'Output-Calculation-sheet'!T20</f>
        <v>458.4769141706235</v>
      </c>
      <c r="U34" s="2">
        <f>U12/'Output-Calculation-sheet'!U11*'Output-Calculation-sheet'!U20</f>
        <v>361.1121688209692</v>
      </c>
      <c r="V34" s="2">
        <f>V12/'Output-Calculation-sheet'!V11*'Output-Calculation-sheet'!V20</f>
        <v>448.02516602062605</v>
      </c>
      <c r="W34" s="2">
        <f>W12/'Output-Calculation-sheet'!W11*'Output-Calculation-sheet'!W20</f>
        <v>219.93553573169115</v>
      </c>
      <c r="X34" s="2">
        <f>X12/'Output-Calculation-sheet'!X11*'Output-Calculation-sheet'!X20</f>
        <v>0</v>
      </c>
      <c r="Y34" s="2">
        <f>Y12/'Output-Calculation-sheet'!Y11*'Output-Calculation-sheet'!Y20</f>
        <v>151.31566240877271</v>
      </c>
      <c r="AA34" s="2">
        <f t="shared" si="1"/>
        <v>42.184682485969979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164.88234284202917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146.77011494708128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638.22381521107593</v>
      </c>
      <c r="S52" s="2">
        <f>S8/'Output-Calculation-sheet'!S7*'Output-Calculation-sheet'!S43</f>
        <v>0</v>
      </c>
      <c r="T52" s="2">
        <f>T8/'Output-Calculation-sheet'!T7*'Output-Calculation-sheet'!T43</f>
        <v>513.90907853968156</v>
      </c>
      <c r="U52" s="2">
        <f>U8/'Output-Calculation-sheet'!U7*'Output-Calculation-sheet'!U43</f>
        <v>54.354571145530855</v>
      </c>
      <c r="V52" s="2">
        <f>V8/'Output-Calculation-sheet'!V7*'Output-Calculation-sheet'!V43</f>
        <v>926.72761155097191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2.4448675342363702</v>
      </c>
    </row>
    <row r="53" spans="1:27" x14ac:dyDescent="0.25">
      <c r="A53" s="2">
        <v>2032</v>
      </c>
      <c r="B53" s="2">
        <f>B9/'Output-Calculation-sheet'!B8*'Output-Calculation-sheet'!B44</f>
        <v>1806.0078817335082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340.47584027028023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272.7672934326576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852.76412194673048</v>
      </c>
      <c r="S53" s="2">
        <f>S9/'Output-Calculation-sheet'!S8*'Output-Calculation-sheet'!S44</f>
        <v>0</v>
      </c>
      <c r="T53" s="2">
        <f>T9/'Output-Calculation-sheet'!T8*'Output-Calculation-sheet'!T44</f>
        <v>587.96378557111143</v>
      </c>
      <c r="U53" s="2">
        <f>U9/'Output-Calculation-sheet'!U8*'Output-Calculation-sheet'!U44</f>
        <v>99.769018935647381</v>
      </c>
      <c r="V53" s="2">
        <f>V9/'Output-Calculation-sheet'!V8*'Output-Calculation-sheet'!V44</f>
        <v>985.67795252953215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4.9454258944194667</v>
      </c>
    </row>
    <row r="54" spans="1:27" x14ac:dyDescent="0.25">
      <c r="A54" s="2">
        <v>2033</v>
      </c>
      <c r="B54" s="2">
        <f>B10/'Output-Calculation-sheet'!B9*'Output-Calculation-sheet'!B45</f>
        <v>5040.041729002688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443.4121327394721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422.8966843612568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249.19942666137507</v>
      </c>
      <c r="Q54" s="2">
        <f>Q10/'Output-Calculation-sheet'!Q9*'Output-Calculation-sheet'!Q45</f>
        <v>0</v>
      </c>
      <c r="R54" s="2">
        <f>R10/'Output-Calculation-sheet'!R9*'Output-Calculation-sheet'!R45</f>
        <v>1009.618981097254</v>
      </c>
      <c r="S54" s="2">
        <f>S10/'Output-Calculation-sheet'!S9*'Output-Calculation-sheet'!S45</f>
        <v>0</v>
      </c>
      <c r="T54" s="2">
        <f>T10/'Output-Calculation-sheet'!T9*'Output-Calculation-sheet'!T45</f>
        <v>606.9757683130847</v>
      </c>
      <c r="U54" s="2">
        <f>U10/'Output-Calculation-sheet'!U9*'Output-Calculation-sheet'!U45</f>
        <v>145.01367669566292</v>
      </c>
      <c r="V54" s="2">
        <f>V10/'Output-Calculation-sheet'!V9*'Output-Calculation-sheet'!V45</f>
        <v>952.69529626729536</v>
      </c>
      <c r="W54" s="2">
        <f>W10/'Output-Calculation-sheet'!W9*'Output-Calculation-sheet'!W45</f>
        <v>15.492253181954965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8.8853459483200439</v>
      </c>
    </row>
    <row r="55" spans="1:27" x14ac:dyDescent="0.25">
      <c r="A55" s="2">
        <v>2034</v>
      </c>
      <c r="B55" s="2">
        <f>B11/'Output-Calculation-sheet'!B10*'Output-Calculation-sheet'!B46</f>
        <v>7606.1685076640952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506.88300936179951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498.69717993254528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403.66239411503545</v>
      </c>
      <c r="Q55" s="2">
        <f>Q11/'Output-Calculation-sheet'!Q10*'Output-Calculation-sheet'!Q46</f>
        <v>0</v>
      </c>
      <c r="R55" s="2">
        <f>R11/'Output-Calculation-sheet'!R10*'Output-Calculation-sheet'!R46</f>
        <v>1047.8356425523798</v>
      </c>
      <c r="S55" s="2">
        <f>S11/'Output-Calculation-sheet'!S10*'Output-Calculation-sheet'!S46</f>
        <v>0</v>
      </c>
      <c r="T55" s="2">
        <f>T11/'Output-Calculation-sheet'!T10*'Output-Calculation-sheet'!T46</f>
        <v>544.97463849834423</v>
      </c>
      <c r="U55" s="2">
        <f>U11/'Output-Calculation-sheet'!U10*'Output-Calculation-sheet'!U46</f>
        <v>171.00609745618118</v>
      </c>
      <c r="V55" s="2">
        <f>V11/'Output-Calculation-sheet'!V10*'Output-Calculation-sheet'!V46</f>
        <v>821.30696846549199</v>
      </c>
      <c r="W55" s="2">
        <f>W11/'Output-Calculation-sheet'!W10*'Output-Calculation-sheet'!W46</f>
        <v>22.836378418026637</v>
      </c>
      <c r="X55" s="2">
        <f>X11/'Output-Calculation-sheet'!X10*'Output-Calculation-sheet'!X46</f>
        <v>54.623913157216663</v>
      </c>
      <c r="Y55" s="2">
        <f>Y11/'Output-Calculation-sheet'!Y10*'Output-Calculation-sheet'!Y46</f>
        <v>0</v>
      </c>
      <c r="AA55" s="2">
        <f t="shared" si="3"/>
        <v>11.677994729621117</v>
      </c>
    </row>
    <row r="56" spans="1:27" x14ac:dyDescent="0.25">
      <c r="A56" s="2">
        <v>2035</v>
      </c>
      <c r="B56" s="2">
        <f>B12/'Output-Calculation-sheet'!B11*'Output-Calculation-sheet'!B47</f>
        <v>12573.623870454407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463.99905184647798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448.9445981337737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427.34777920074043</v>
      </c>
      <c r="Q56" s="2">
        <f>Q12/'Output-Calculation-sheet'!Q11*'Output-Calculation-sheet'!Q47</f>
        <v>0</v>
      </c>
      <c r="R56" s="2">
        <f>R12/'Output-Calculation-sheet'!R11*'Output-Calculation-sheet'!R47</f>
        <v>976.10857068092218</v>
      </c>
      <c r="S56" s="2">
        <f>S12/'Output-Calculation-sheet'!S11*'Output-Calculation-sheet'!S47</f>
        <v>0</v>
      </c>
      <c r="T56" s="2">
        <f>T12/'Output-Calculation-sheet'!T11*'Output-Calculation-sheet'!T47</f>
        <v>463.09082829473437</v>
      </c>
      <c r="U56" s="2">
        <f>U12/'Output-Calculation-sheet'!U11*'Output-Calculation-sheet'!U47</f>
        <v>177.34539384278912</v>
      </c>
      <c r="V56" s="2">
        <f>V12/'Output-Calculation-sheet'!V11*'Output-Calculation-sheet'!V47</f>
        <v>632.46589632823975</v>
      </c>
      <c r="W56" s="2">
        <f>W12/'Output-Calculation-sheet'!W11*'Output-Calculation-sheet'!W47</f>
        <v>24.669725382682515</v>
      </c>
      <c r="X56" s="2">
        <f>X12/'Output-Calculation-sheet'!X11*'Output-Calculation-sheet'!X47</f>
        <v>97.365217251623719</v>
      </c>
      <c r="Y56" s="2">
        <f>Y12/'Output-Calculation-sheet'!Y11*'Output-Calculation-sheet'!Y47</f>
        <v>0</v>
      </c>
      <c r="AA56" s="2">
        <f t="shared" si="3"/>
        <v>16.284960931416389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 t="shared" ref="AA60:AA67" si="4"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si="4"/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7.9618212180907273</v>
      </c>
      <c r="C63" s="2">
        <f>C8*'Output-Calculation-sheet'!C52/10^9</f>
        <v>4.0356622588977862</v>
      </c>
      <c r="D63" s="2">
        <f>D8*'Output-Calculation-sheet'!D52/10^9</f>
        <v>1.4098366149473129</v>
      </c>
      <c r="E63" s="2">
        <f>E8*'Output-Calculation-sheet'!E52/10^9</f>
        <v>1.8152896479461851</v>
      </c>
      <c r="F63" s="2">
        <f>F8*'Output-Calculation-sheet'!F52/10^9</f>
        <v>0.75507394302552944</v>
      </c>
      <c r="G63" s="2">
        <f>G8*'Output-Calculation-sheet'!G52/10^9</f>
        <v>0.5417835172133032</v>
      </c>
      <c r="H63" s="2">
        <f>H8*'Output-Calculation-sheet'!H52/10^9</f>
        <v>1.0465665975506804</v>
      </c>
      <c r="I63" s="2">
        <f>I8*'Output-Calculation-sheet'!I52/10^9</f>
        <v>0.48567425381642121</v>
      </c>
      <c r="J63" s="2">
        <f>J8*'Output-Calculation-sheet'!J52/10^9</f>
        <v>0.52211880403326216</v>
      </c>
      <c r="K63" s="2">
        <f>K8*'Output-Calculation-sheet'!K52/10^9</f>
        <v>0.53317421629380257</v>
      </c>
      <c r="L63" s="2">
        <f>L8*'Output-Calculation-sheet'!L52/10^9</f>
        <v>0.55450694842963799</v>
      </c>
      <c r="M63" s="2">
        <f>M8*'Output-Calculation-sheet'!M52/10^9</f>
        <v>0.79137302768866613</v>
      </c>
      <c r="N63" s="2">
        <f>N8*'Output-Calculation-sheet'!N52/10^9</f>
        <v>0.66861881716797344</v>
      </c>
      <c r="O63" s="2">
        <f>O8*'Output-Calculation-sheet'!O52/10^9</f>
        <v>0.6926473016011786</v>
      </c>
      <c r="P63" s="2">
        <f>P8*'Output-Calculation-sheet'!P52/10^9</f>
        <v>0.57404759332436894</v>
      </c>
      <c r="Q63" s="2">
        <f>Q8*'Output-Calculation-sheet'!Q52/10^9</f>
        <v>0.54304447352733243</v>
      </c>
      <c r="R63" s="2">
        <f>R8*'Output-Calculation-sheet'!R52/10^9</f>
        <v>0.45748321497869848</v>
      </c>
      <c r="S63" s="2">
        <f>S8*'Output-Calculation-sheet'!S52/10^9</f>
        <v>0.42062734474920582</v>
      </c>
      <c r="T63" s="2">
        <f>T8*'Output-Calculation-sheet'!T52/10^9</f>
        <v>0.14980567996738342</v>
      </c>
      <c r="U63" s="2">
        <f>U8*'Output-Calculation-sheet'!U52/10^9</f>
        <v>0.14694891850565547</v>
      </c>
      <c r="V63" s="2">
        <f>V8*'Output-Calculation-sheet'!V52/10^9</f>
        <v>0.13170535703924846</v>
      </c>
      <c r="W63" s="2">
        <f>W8*'Output-Calculation-sheet'!W52/10^9</f>
        <v>6.8752383203210102E-2</v>
      </c>
      <c r="X63" s="2">
        <f>X8*'Output-Calculation-sheet'!X52/10^9</f>
        <v>0.11110533026049378</v>
      </c>
      <c r="Y63" s="2">
        <f>Y8*'Output-Calculation-sheet'!Y52/10^9</f>
        <v>5.7305903638220426E-2</v>
      </c>
      <c r="AA63" s="2">
        <f t="shared" si="4"/>
        <v>24.474973365896275</v>
      </c>
    </row>
    <row r="64" spans="1:27" x14ac:dyDescent="0.25">
      <c r="A64" s="2">
        <v>2032</v>
      </c>
      <c r="B64" s="2">
        <f>B9*'Output-Calculation-sheet'!B53/10^9</f>
        <v>8.1637911309520952</v>
      </c>
      <c r="C64" s="2">
        <f>C9*'Output-Calculation-sheet'!C53/10^9</f>
        <v>4.134334036125316</v>
      </c>
      <c r="D64" s="2">
        <f>D9*'Output-Calculation-sheet'!D53/10^9</f>
        <v>1.4481987986811447</v>
      </c>
      <c r="E64" s="2">
        <f>E9*'Output-Calculation-sheet'!E53/10^9</f>
        <v>1.8649267659371496</v>
      </c>
      <c r="F64" s="2">
        <f>F9*'Output-Calculation-sheet'!F53/10^9</f>
        <v>0.77504728546523127</v>
      </c>
      <c r="G64" s="2">
        <f>G9*'Output-Calculation-sheet'!G53/10^9</f>
        <v>0.55640645356814766</v>
      </c>
      <c r="H64" s="2">
        <f>H9*'Output-Calculation-sheet'!H53/10^9</f>
        <v>1.0708354697817775</v>
      </c>
      <c r="I64" s="2">
        <f>I9*'Output-Calculation-sheet'!I53/10^9</f>
        <v>0.49884075456804844</v>
      </c>
      <c r="J64" s="2">
        <f>J9*'Output-Calculation-sheet'!J53/10^9</f>
        <v>0.53610706180197365</v>
      </c>
      <c r="K64" s="2">
        <f>K9*'Output-Calculation-sheet'!K53/10^9</f>
        <v>0.54778556086805263</v>
      </c>
      <c r="L64" s="2">
        <f>L9*'Output-Calculation-sheet'!L53/10^9</f>
        <v>0.56952727195618502</v>
      </c>
      <c r="M64" s="2">
        <f>M9*'Output-Calculation-sheet'!M53/10^9</f>
        <v>0.80992083131681425</v>
      </c>
      <c r="N64" s="2">
        <f>N9*'Output-Calculation-sheet'!N53/10^9</f>
        <v>0.68504355271549255</v>
      </c>
      <c r="O64" s="2">
        <f>O9*'Output-Calculation-sheet'!O53/10^9</f>
        <v>0.70980544932679113</v>
      </c>
      <c r="P64" s="2">
        <f>P9*'Output-Calculation-sheet'!P53/10^9</f>
        <v>0.59012393746643799</v>
      </c>
      <c r="Q64" s="2">
        <f>Q9*'Output-Calculation-sheet'!Q53/10^9</f>
        <v>0.55816796305163574</v>
      </c>
      <c r="R64" s="2">
        <f>R9*'Output-Calculation-sheet'!R53/10^9</f>
        <v>0.4694664209848497</v>
      </c>
      <c r="S64" s="2">
        <f>S9*'Output-Calculation-sheet'!S53/10^9</f>
        <v>0.4313474177772279</v>
      </c>
      <c r="T64" s="2">
        <f>T9*'Output-Calculation-sheet'!T53/10^9</f>
        <v>0.15339259169528655</v>
      </c>
      <c r="U64" s="2">
        <f>U9*'Output-Calculation-sheet'!U53/10^9</f>
        <v>0.15100780845329778</v>
      </c>
      <c r="V64" s="2">
        <f>V9*'Output-Calculation-sheet'!V53/10^9</f>
        <v>0.13441273961578434</v>
      </c>
      <c r="W64" s="2">
        <f>W9*'Output-Calculation-sheet'!W53/10^9</f>
        <v>7.0580335808336309E-2</v>
      </c>
      <c r="X64" s="2">
        <f>X9*'Output-Calculation-sheet'!X53/10^9</f>
        <v>0.11379009911373282</v>
      </c>
      <c r="Y64" s="2">
        <f>Y9*'Output-Calculation-sheet'!Y53/10^9</f>
        <v>5.8890987639653808E-2</v>
      </c>
      <c r="AA64" s="2">
        <f t="shared" si="4"/>
        <v>25.10175072467046</v>
      </c>
    </row>
    <row r="65" spans="1:27" x14ac:dyDescent="0.25">
      <c r="A65" s="2">
        <v>2033</v>
      </c>
      <c r="B65" s="2">
        <f>B10*'Output-Calculation-sheet'!B54/10^9</f>
        <v>7.535164200062666</v>
      </c>
      <c r="C65" s="2">
        <f>C10*'Output-Calculation-sheet'!C54/10^9</f>
        <v>3.8147919128119527</v>
      </c>
      <c r="D65" s="2">
        <f>D10*'Output-Calculation-sheet'!D54/10^9</f>
        <v>1.3402134764411273</v>
      </c>
      <c r="E65" s="2">
        <f>E10*'Output-Calculation-sheet'!E54/10^9</f>
        <v>1.726090310765781</v>
      </c>
      <c r="F65" s="2">
        <f>F10*'Output-Calculation-sheet'!F54/10^9</f>
        <v>0.71672039717880298</v>
      </c>
      <c r="G65" s="2">
        <f>G10*'Output-Calculation-sheet'!G54/10^9</f>
        <v>0.51469348793480418</v>
      </c>
      <c r="H65" s="2">
        <f>H10*'Output-Calculation-sheet'!H54/10^9</f>
        <v>0.98688013222716453</v>
      </c>
      <c r="I65" s="2">
        <f>I10*'Output-Calculation-sheet'!I54/10^9</f>
        <v>0.46160114150492221</v>
      </c>
      <c r="J65" s="2">
        <f>J10*'Output-Calculation-sheet'!J54/10^9</f>
        <v>0.49581854284970606</v>
      </c>
      <c r="K65" s="2">
        <f>K10*'Output-Calculation-sheet'!K54/10^9</f>
        <v>0.50703585174899135</v>
      </c>
      <c r="L65" s="2">
        <f>L10*'Output-Calculation-sheet'!L54/10^9</f>
        <v>0.52699453552534758</v>
      </c>
      <c r="M65" s="2">
        <f>M10*'Output-Calculation-sheet'!M54/10^9</f>
        <v>0.74659591690583527</v>
      </c>
      <c r="N65" s="2">
        <f>N10*'Output-Calculation-sheet'!N54/10^9</f>
        <v>0.63199992645230652</v>
      </c>
      <c r="O65" s="2">
        <f>O10*'Output-Calculation-sheet'!O54/10^9</f>
        <v>0.65506946584828007</v>
      </c>
      <c r="P65" s="2">
        <f>P10*'Output-Calculation-sheet'!P54/10^9</f>
        <v>0.54642965074475991</v>
      </c>
      <c r="Q65" s="2">
        <f>Q10*'Output-Calculation-sheet'!Q54/10^9</f>
        <v>0.51686552810357367</v>
      </c>
      <c r="R65" s="2">
        <f>R10*'Output-Calculation-sheet'!R54/10^9</f>
        <v>0.43390405762232598</v>
      </c>
      <c r="S65" s="2">
        <f>S10*'Output-Calculation-sheet'!S54/10^9</f>
        <v>0.39830346262878397</v>
      </c>
      <c r="T65" s="2">
        <f>T10*'Output-Calculation-sheet'!T54/10^9</f>
        <v>0.1414571838597237</v>
      </c>
      <c r="U65" s="2">
        <f>U10*'Output-Calculation-sheet'!U54/10^9</f>
        <v>0.13976866022507375</v>
      </c>
      <c r="V65" s="2">
        <f>V10*'Output-Calculation-sheet'!V54/10^9</f>
        <v>0.12357409001110523</v>
      </c>
      <c r="W65" s="2">
        <f>W10*'Output-Calculation-sheet'!W54/10^9</f>
        <v>6.5269629399903023E-2</v>
      </c>
      <c r="X65" s="2">
        <f>X10*'Output-Calculation-sheet'!X54/10^9</f>
        <v>0.1049710752756798</v>
      </c>
      <c r="Y65" s="2">
        <f>Y10*'Output-Calculation-sheet'!Y54/10^9</f>
        <v>5.4523997197178549E-2</v>
      </c>
      <c r="AA65" s="2">
        <f t="shared" si="4"/>
        <v>23.184736633325787</v>
      </c>
    </row>
    <row r="66" spans="1:27" x14ac:dyDescent="0.25">
      <c r="A66" s="2">
        <v>2034</v>
      </c>
      <c r="B66" s="2">
        <f>B11*'Output-Calculation-sheet'!B55/10^9</f>
        <v>6.2900611474926116</v>
      </c>
      <c r="C66" s="2">
        <f>C11*'Output-Calculation-sheet'!C55/10^9</f>
        <v>3.1862440612208855</v>
      </c>
      <c r="D66" s="2">
        <f>D11*'Output-Calculation-sheet'!D55/10^9</f>
        <v>1.1229984821346641</v>
      </c>
      <c r="E66" s="2">
        <f>E11*'Output-Calculation-sheet'!E55/10^9</f>
        <v>1.4465097588845985</v>
      </c>
      <c r="F66" s="2">
        <f>F11*'Output-Calculation-sheet'!F55/10^9</f>
        <v>0.60010117709230959</v>
      </c>
      <c r="G66" s="2">
        <f>G11*'Output-Calculation-sheet'!G55/10^9</f>
        <v>0.43101225592637171</v>
      </c>
      <c r="H66" s="2">
        <f>H11*'Output-Calculation-sheet'!H55/10^9</f>
        <v>0.82329880176792092</v>
      </c>
      <c r="I66" s="2">
        <f>I11*'Output-Calculation-sheet'!I55/10^9</f>
        <v>0.38674669903451014</v>
      </c>
      <c r="J66" s="2">
        <f>J11*'Output-Calculation-sheet'!J55/10^9</f>
        <v>0.41510148950345666</v>
      </c>
      <c r="K66" s="2">
        <f>K11*'Output-Calculation-sheet'!K55/10^9</f>
        <v>0.42493182439404104</v>
      </c>
      <c r="L66" s="2">
        <f>L11*'Output-Calculation-sheet'!L55/10^9</f>
        <v>0.44123464417978908</v>
      </c>
      <c r="M66" s="2">
        <f>M11*'Output-Calculation-sheet'!M55/10^9</f>
        <v>0.62297634858393236</v>
      </c>
      <c r="N66" s="2">
        <f>N11*'Output-Calculation-sheet'!N55/10^9</f>
        <v>0.52767347482973825</v>
      </c>
      <c r="O66" s="2">
        <f>O11*'Output-Calculation-sheet'!O55/10^9</f>
        <v>0.54720374630326729</v>
      </c>
      <c r="P66" s="2">
        <f>P11*'Output-Calculation-sheet'!P55/10^9</f>
        <v>0.45793766732516589</v>
      </c>
      <c r="Q66" s="2">
        <f>Q11*'Output-Calculation-sheet'!Q55/10^9</f>
        <v>0.43335475945136981</v>
      </c>
      <c r="R66" s="2">
        <f>R11*'Output-Calculation-sheet'!R55/10^9</f>
        <v>0.362965804833634</v>
      </c>
      <c r="S66" s="2">
        <f>S11*'Output-Calculation-sheet'!S55/10^9</f>
        <v>0.33287607467645797</v>
      </c>
      <c r="T66" s="2">
        <f>T11*'Output-Calculation-sheet'!T55/10^9</f>
        <v>0.11809125702560398</v>
      </c>
      <c r="U66" s="2">
        <f>U11*'Output-Calculation-sheet'!U55/10^9</f>
        <v>0.11710266334551415</v>
      </c>
      <c r="V66" s="2">
        <f>V11*'Output-Calculation-sheet'!V55/10^9</f>
        <v>0.10286624180118362</v>
      </c>
      <c r="W66" s="2">
        <f>W11*'Output-Calculation-sheet'!W55/10^9</f>
        <v>5.4644592963924724E-2</v>
      </c>
      <c r="X66" s="2">
        <f>X11*'Output-Calculation-sheet'!X55/10^9</f>
        <v>8.7612953557370157E-2</v>
      </c>
      <c r="Y66" s="2">
        <f>Y11*'Output-Calculation-sheet'!Y55/10^9</f>
        <v>4.570718495399112E-2</v>
      </c>
      <c r="AA66" s="2">
        <f t="shared" si="4"/>
        <v>19.379253111282317</v>
      </c>
    </row>
    <row r="67" spans="1:27" x14ac:dyDescent="0.25">
      <c r="A67" s="2">
        <v>2035</v>
      </c>
      <c r="B67" s="2">
        <f>B12*'Output-Calculation-sheet'!B56/10^9</f>
        <v>4.7053141200659239</v>
      </c>
      <c r="C67" s="2">
        <f>C12*'Output-Calculation-sheet'!C56/10^9</f>
        <v>2.3883905453341301</v>
      </c>
      <c r="D67" s="2">
        <f>D12*'Output-Calculation-sheet'!D56/10^9</f>
        <v>0.84473642664200099</v>
      </c>
      <c r="E67" s="2">
        <f>E12*'Output-Calculation-sheet'!E56/10^9</f>
        <v>1.0882162129159556</v>
      </c>
      <c r="F67" s="2">
        <f>F12*'Output-Calculation-sheet'!F56/10^9</f>
        <v>0.4510571093013056</v>
      </c>
      <c r="G67" s="2">
        <f>G12*'Output-Calculation-sheet'!G56/10^9</f>
        <v>0.3239480761781251</v>
      </c>
      <c r="H67" s="2">
        <f>H12*'Output-Calculation-sheet'!H56/10^9</f>
        <v>0.61640873632832316</v>
      </c>
      <c r="I67" s="2">
        <f>I12*'Output-Calculation-sheet'!I56/10^9</f>
        <v>0.29088437748834139</v>
      </c>
      <c r="J67" s="2">
        <f>J12*'Output-Calculation-sheet'!J56/10^9</f>
        <v>0.31192789657701442</v>
      </c>
      <c r="K67" s="2">
        <f>K12*'Output-Calculation-sheet'!K56/10^9</f>
        <v>0.31969355851070191</v>
      </c>
      <c r="L67" s="2">
        <f>L12*'Output-Calculation-sheet'!L56/10^9</f>
        <v>0.33134069226281165</v>
      </c>
      <c r="M67" s="2">
        <f>M12*'Output-Calculation-sheet'!M56/10^9</f>
        <v>0.46651641862222781</v>
      </c>
      <c r="N67" s="2">
        <f>N12*'Output-Calculation-sheet'!N56/10^9</f>
        <v>0.39536367164094599</v>
      </c>
      <c r="O67" s="2">
        <f>O12*'Output-Calculation-sheet'!O56/10^9</f>
        <v>0.41016858828720959</v>
      </c>
      <c r="P67" s="2">
        <f>P12*'Output-Calculation-sheet'!P56/10^9</f>
        <v>0.34440264753476119</v>
      </c>
      <c r="Q67" s="2">
        <f>Q12*'Output-Calculation-sheet'!Q56/10^9</f>
        <v>0.32614354952508745</v>
      </c>
      <c r="R67" s="2">
        <f>R12*'Output-Calculation-sheet'!R56/10^9</f>
        <v>0.27247179694435025</v>
      </c>
      <c r="S67" s="2">
        <f>S12*'Output-Calculation-sheet'!S56/10^9</f>
        <v>0.24967077020734152</v>
      </c>
      <c r="T67" s="2">
        <f>T12*'Output-Calculation-sheet'!T56/10^9</f>
        <v>8.8481505729575305E-2</v>
      </c>
      <c r="U67" s="2">
        <f>U12*'Output-Calculation-sheet'!U56/10^9</f>
        <v>8.8045009404017618E-2</v>
      </c>
      <c r="V67" s="2">
        <f>V12*'Output-Calculation-sheet'!V56/10^9</f>
        <v>7.6863825788533943E-2</v>
      </c>
      <c r="W67" s="2">
        <f>W12*'Output-Calculation-sheet'!W56/10^9</f>
        <v>4.1063805809327628E-2</v>
      </c>
      <c r="X67" s="2">
        <f>X12*'Output-Calculation-sheet'!X56/10^9</f>
        <v>6.5557395510359939E-2</v>
      </c>
      <c r="Y67" s="2">
        <f>Y12*'Output-Calculation-sheet'!Y56/10^9</f>
        <v>3.4396976309866087E-2</v>
      </c>
      <c r="AA67" s="2">
        <f t="shared" si="4"/>
        <v>14.531063712918236</v>
      </c>
    </row>
    <row r="68" spans="1:27" x14ac:dyDescent="0.25">
      <c r="B68" s="2">
        <f>SUM(B60:B67)</f>
        <v>51.109955304414356</v>
      </c>
      <c r="C68" s="2">
        <f t="shared" ref="C68:Y68" si="5">SUM(C60:C67)</f>
        <v>25.886659820070641</v>
      </c>
      <c r="D68" s="2">
        <f t="shared" si="5"/>
        <v>9.0759818530999574</v>
      </c>
      <c r="E68" s="2">
        <f t="shared" si="5"/>
        <v>11.68653940310247</v>
      </c>
      <c r="F68" s="2">
        <f t="shared" si="5"/>
        <v>4.8595042276711666</v>
      </c>
      <c r="G68" s="2">
        <f t="shared" si="5"/>
        <v>3.4858115384862516</v>
      </c>
      <c r="H68" s="2">
        <f t="shared" si="5"/>
        <v>6.7088097024303268</v>
      </c>
      <c r="I68" s="2">
        <f t="shared" si="5"/>
        <v>3.1264385296879338</v>
      </c>
      <c r="J68" s="2">
        <f t="shared" si="5"/>
        <v>3.3593627134170378</v>
      </c>
      <c r="K68" s="2">
        <f t="shared" si="5"/>
        <v>3.432535860461897</v>
      </c>
      <c r="L68" s="2">
        <f t="shared" si="5"/>
        <v>3.5685085863543833</v>
      </c>
      <c r="M68" s="2">
        <f t="shared" si="5"/>
        <v>5.0736015492043274</v>
      </c>
      <c r="N68" s="2">
        <f t="shared" si="5"/>
        <v>4.289495451793174</v>
      </c>
      <c r="O68" s="2">
        <f t="shared" si="5"/>
        <v>4.4399067008415098</v>
      </c>
      <c r="P68" s="2">
        <f t="shared" si="5"/>
        <v>3.695289291881735</v>
      </c>
      <c r="Q68" s="2">
        <f t="shared" si="5"/>
        <v>3.4965507764479535</v>
      </c>
      <c r="R68" s="2">
        <f t="shared" si="5"/>
        <v>2.9412504861854316</v>
      </c>
      <c r="S68" s="2">
        <f t="shared" si="5"/>
        <v>2.7008427429979762</v>
      </c>
      <c r="T68" s="2">
        <f t="shared" si="5"/>
        <v>0.96311846407019353</v>
      </c>
      <c r="U68" s="2">
        <f t="shared" si="5"/>
        <v>0.94556097678759687</v>
      </c>
      <c r="V68" s="2">
        <f t="shared" si="5"/>
        <v>0.84756336531501741</v>
      </c>
      <c r="W68" s="2">
        <f t="shared" si="5"/>
        <v>0.44244852751064534</v>
      </c>
      <c r="X68" s="2">
        <f t="shared" si="5"/>
        <v>0.71247094939712396</v>
      </c>
      <c r="Y68" s="2">
        <f t="shared" si="5"/>
        <v>0.36896997365646311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60.412890417319495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53.776570116610579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213.37323845600886</v>
      </c>
      <c r="S74" s="2">
        <f>S8/'Output-Calculation-sheet'!S7*'Output-Calculation-sheet'!S61</f>
        <v>0</v>
      </c>
      <c r="T74" s="2">
        <f>T8/'Output-Calculation-sheet'!T7*'Output-Calculation-sheet'!T61</f>
        <v>157.18673086036691</v>
      </c>
      <c r="U74" s="2">
        <f>U8/'Output-Calculation-sheet'!U7*'Output-Calculation-sheet'!U61</f>
        <v>19.911891229646137</v>
      </c>
      <c r="V74" s="2">
        <f>V8/'Output-Calculation-sheet'!V7*'Output-Calculation-sheet'!V61</f>
        <v>180.42781196950179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0.68508913304945385</v>
      </c>
    </row>
    <row r="75" spans="1:27" x14ac:dyDescent="0.25">
      <c r="A75" s="2">
        <v>2032</v>
      </c>
      <c r="B75" s="2">
        <f>B9/'Output-Calculation-sheet'!B8*'Output-Calculation-sheet'!B62</f>
        <v>614.94568373025959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124.71630029100365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99.923751827496901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264.39563980902949</v>
      </c>
      <c r="S75" s="2">
        <f>S9/'Output-Calculation-sheet'!S8*'Output-Calculation-sheet'!S62</f>
        <v>0</v>
      </c>
      <c r="T75" s="2">
        <f>T9/'Output-Calculation-sheet'!T8*'Output-Calculation-sheet'!T62</f>
        <v>174.63958489475598</v>
      </c>
      <c r="U75" s="2">
        <f>U9/'Output-Calculation-sheet'!U8*'Output-Calculation-sheet'!U62</f>
        <v>35.698602087911325</v>
      </c>
      <c r="V75" s="2">
        <f>V9/'Output-Calculation-sheet'!V8*'Output-Calculation-sheet'!V62</f>
        <v>187.07686720497094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1.5013964298454276</v>
      </c>
    </row>
    <row r="76" spans="1:27" x14ac:dyDescent="0.25">
      <c r="A76" s="2">
        <v>2033</v>
      </c>
      <c r="B76" s="2">
        <f>B10/'Output-Calculation-sheet'!B9*'Output-Calculation-sheet'!B63</f>
        <v>1384.5414633047801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162.4155297634295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154.92115203767375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69.890854585182566</v>
      </c>
      <c r="Q76" s="2">
        <f>Q10/'Output-Calculation-sheet'!Q9*'Output-Calculation-sheet'!Q63</f>
        <v>0</v>
      </c>
      <c r="R76" s="2">
        <f>R10/'Output-Calculation-sheet'!R9*'Output-Calculation-sheet'!R63</f>
        <v>297.6753392302993</v>
      </c>
      <c r="S76" s="2">
        <f>S10/'Output-Calculation-sheet'!S9*'Output-Calculation-sheet'!S63</f>
        <v>0</v>
      </c>
      <c r="T76" s="2">
        <f>T10/'Output-Calculation-sheet'!T9*'Output-Calculation-sheet'!T63</f>
        <v>173.98193341404948</v>
      </c>
      <c r="U76" s="2">
        <f>U10/'Output-Calculation-sheet'!U9*'Output-Calculation-sheet'!U63</f>
        <v>50.603972619718533</v>
      </c>
      <c r="V76" s="2">
        <f>V10/'Output-Calculation-sheet'!V9*'Output-Calculation-sheet'!V63</f>
        <v>180.70795943563976</v>
      </c>
      <c r="W76" s="2">
        <f>W10/'Output-Calculation-sheet'!W9*'Output-Calculation-sheet'!W63</f>
        <v>5.6740377278910064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2.4804122421186641</v>
      </c>
    </row>
    <row r="77" spans="1:27" x14ac:dyDescent="0.25">
      <c r="A77" s="2">
        <v>2034</v>
      </c>
      <c r="B77" s="2">
        <f>B11/'Output-Calculation-sheet'!B10*'Output-Calculation-sheet'!B64</f>
        <v>1949.3017896385657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185.67924974516444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172.59671922617804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111.4108207757498</v>
      </c>
      <c r="Q77" s="2">
        <f>Q11/'Output-Calculation-sheet'!Q10*'Output-Calculation-sheet'!Q64</f>
        <v>0</v>
      </c>
      <c r="R77" s="2">
        <f>R11/'Output-Calculation-sheet'!R10*'Output-Calculation-sheet'!R64</f>
        <v>289.40005565392318</v>
      </c>
      <c r="S77" s="2">
        <f>S11/'Output-Calculation-sheet'!S10*'Output-Calculation-sheet'!S64</f>
        <v>0</v>
      </c>
      <c r="T77" s="2">
        <f>T11/'Output-Calculation-sheet'!T10*'Output-Calculation-sheet'!T64</f>
        <v>155.8796014962532</v>
      </c>
      <c r="U77" s="2">
        <f>U11/'Output-Calculation-sheet'!U10*'Output-Calculation-sheet'!U64</f>
        <v>52.845770002458735</v>
      </c>
      <c r="V77" s="2">
        <f>V11/'Output-Calculation-sheet'!V10*'Output-Calculation-sheet'!V64</f>
        <v>157.84917139801462</v>
      </c>
      <c r="W77" s="2">
        <f>W11/'Output-Calculation-sheet'!W10*'Output-Calculation-sheet'!W64</f>
        <v>8.3646391805457565</v>
      </c>
      <c r="X77" s="2">
        <f>X11/'Output-Calculation-sheet'!X10*'Output-Calculation-sheet'!X64</f>
        <v>15.007920139945277</v>
      </c>
      <c r="Y77" s="2">
        <f>Y11/'Output-Calculation-sheet'!Y10*'Output-Calculation-sheet'!Y64</f>
        <v>0</v>
      </c>
      <c r="AA77" s="2">
        <f t="shared" si="6"/>
        <v>3.0983357372567992</v>
      </c>
    </row>
    <row r="78" spans="1:27" x14ac:dyDescent="0.25">
      <c r="A78" s="2">
        <v>2035</v>
      </c>
      <c r="B78" s="2">
        <f>B12/'Output-Calculation-sheet'!B11*'Output-Calculation-sheet'!B65</f>
        <v>2594.3131379517363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167.76591805023091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148.16967516807068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120.36555449602569</v>
      </c>
      <c r="Q78" s="2">
        <f>Q12/'Output-Calculation-sheet'!Q11*'Output-Calculation-sheet'!Q65</f>
        <v>0</v>
      </c>
      <c r="R78" s="2">
        <f>R12/'Output-Calculation-sheet'!R11*'Output-Calculation-sheet'!R65</f>
        <v>264.22684826820398</v>
      </c>
      <c r="S78" s="2">
        <f>S12/'Output-Calculation-sheet'!S11*'Output-Calculation-sheet'!S65</f>
        <v>0</v>
      </c>
      <c r="T78" s="2">
        <f>T12/'Output-Calculation-sheet'!T11*'Output-Calculation-sheet'!T65</f>
        <v>127.89379086382009</v>
      </c>
      <c r="U78" s="2">
        <f>U12/'Output-Calculation-sheet'!U11*'Output-Calculation-sheet'!U65</f>
        <v>49.726909494377054</v>
      </c>
      <c r="V78" s="2">
        <f>V12/'Output-Calculation-sheet'!V11*'Output-Calculation-sheet'!V65</f>
        <v>120.66138787022496</v>
      </c>
      <c r="W78" s="2">
        <f>W12/'Output-Calculation-sheet'!W11*'Output-Calculation-sheet'!W65</f>
        <v>9.0365204076766048</v>
      </c>
      <c r="X78" s="2">
        <f>X12/'Output-Calculation-sheet'!X11*'Output-Calculation-sheet'!X65</f>
        <v>24.677656881593361</v>
      </c>
      <c r="Y78" s="2">
        <f>Y12/'Output-Calculation-sheet'!Y11*'Output-Calculation-sheet'!Y65</f>
        <v>0</v>
      </c>
      <c r="AA78" s="2">
        <f t="shared" si="6"/>
        <v>3.6268373994519596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 t="shared" ref="AA93:AA100" si="8"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si="8"/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17482430793.933071</v>
      </c>
      <c r="C96" s="2">
        <f>C8/'Output-Calculation-sheet'!C7*'Output-Calculation-sheet'!C79</f>
        <v>2151902109.7014694</v>
      </c>
      <c r="D96" s="2">
        <f>D8/'Output-Calculation-sheet'!D7*'Output-Calculation-sheet'!D79</f>
        <v>7620544248.4286242</v>
      </c>
      <c r="E96" s="2">
        <f>E8/'Output-Calculation-sheet'!E7*'Output-Calculation-sheet'!E79</f>
        <v>13029408608.117083</v>
      </c>
      <c r="F96" s="2">
        <f>F8/'Output-Calculation-sheet'!F7*'Output-Calculation-sheet'!F79</f>
        <v>5863668726.190896</v>
      </c>
      <c r="G96" s="2">
        <f>G8/'Output-Calculation-sheet'!G7*'Output-Calculation-sheet'!G79</f>
        <v>4453722701.3243275</v>
      </c>
      <c r="H96" s="2">
        <f>H8/'Output-Calculation-sheet'!H7*'Output-Calculation-sheet'!H79</f>
        <v>1295739851.1387153</v>
      </c>
      <c r="I96" s="2">
        <f>I8/'Output-Calculation-sheet'!I7*'Output-Calculation-sheet'!I79</f>
        <v>2987436417.0622077</v>
      </c>
      <c r="J96" s="2">
        <f>J8/'Output-Calculation-sheet'!J7*'Output-Calculation-sheet'!J79</f>
        <v>2213742156.4134936</v>
      </c>
      <c r="K96" s="2">
        <f>K8/'Output-Calculation-sheet'!K7*'Output-Calculation-sheet'!K79</f>
        <v>2559642461.4693503</v>
      </c>
      <c r="L96" s="2">
        <f>L8/'Output-Calculation-sheet'!L7*'Output-Calculation-sheet'!L79</f>
        <v>2036148546.4620521</v>
      </c>
      <c r="M96" s="2">
        <f>M8/'Output-Calculation-sheet'!M7*'Output-Calculation-sheet'!M79</f>
        <v>1007322103.2979109</v>
      </c>
      <c r="N96" s="2">
        <f>N8/'Output-Calculation-sheet'!N7*'Output-Calculation-sheet'!N79</f>
        <v>1023035540.5461949</v>
      </c>
      <c r="O96" s="2">
        <f>O8/'Output-Calculation-sheet'!O7*'Output-Calculation-sheet'!O79</f>
        <v>249723071.18795565</v>
      </c>
      <c r="P96" s="2">
        <f>P8/'Output-Calculation-sheet'!P7*'Output-Calculation-sheet'!P79</f>
        <v>2720922838.2199063</v>
      </c>
      <c r="Q96" s="2">
        <f>Q8/'Output-Calculation-sheet'!Q7*'Output-Calculation-sheet'!Q79</f>
        <v>1206543369.757726</v>
      </c>
      <c r="R96" s="2">
        <f>R8/'Output-Calculation-sheet'!R7*'Output-Calculation-sheet'!R79</f>
        <v>1835736111.8808088</v>
      </c>
      <c r="S96" s="2">
        <f>S8/'Output-Calculation-sheet'!S7*'Output-Calculation-sheet'!S79</f>
        <v>717537617.3377105</v>
      </c>
      <c r="T96" s="2">
        <f>T8/'Output-Calculation-sheet'!T7*'Output-Calculation-sheet'!T79</f>
        <v>971774983.12115526</v>
      </c>
      <c r="U96" s="2">
        <f>U8/'Output-Calculation-sheet'!U7*'Output-Calculation-sheet'!U79</f>
        <v>482653553.67429703</v>
      </c>
      <c r="V96" s="2">
        <f>V8/'Output-Calculation-sheet'!V7*'Output-Calculation-sheet'!V79</f>
        <v>355652490.80779862</v>
      </c>
      <c r="W96" s="2">
        <f>W8/'Output-Calculation-sheet'!W7*'Output-Calculation-sheet'!W79</f>
        <v>947473827.49295938</v>
      </c>
      <c r="X96" s="2">
        <f>X8/'Output-Calculation-sheet'!X7*'Output-Calculation-sheet'!X79</f>
        <v>112273586.07610272</v>
      </c>
      <c r="Y96" s="2">
        <f>Y8/'Output-Calculation-sheet'!Y7*'Output-Calculation-sheet'!Y79</f>
        <v>425214615.32934916</v>
      </c>
      <c r="AA96" s="2">
        <f t="shared" si="8"/>
        <v>73.750250328971177</v>
      </c>
    </row>
    <row r="97" spans="1:27" x14ac:dyDescent="0.25">
      <c r="A97" s="2">
        <v>2032</v>
      </c>
      <c r="B97" s="2">
        <f>B9/'Output-Calculation-sheet'!B8*'Output-Calculation-sheet'!B80</f>
        <v>18290184539.056599</v>
      </c>
      <c r="C97" s="2">
        <f>C9/'Output-Calculation-sheet'!C8*'Output-Calculation-sheet'!C80</f>
        <v>2297855322.6888924</v>
      </c>
      <c r="D97" s="2">
        <f>D9/'Output-Calculation-sheet'!D8*'Output-Calculation-sheet'!D80</f>
        <v>7567976266.8000431</v>
      </c>
      <c r="E97" s="2">
        <f>E9/'Output-Calculation-sheet'!E8*'Output-Calculation-sheet'!E80</f>
        <v>13324220731.274729</v>
      </c>
      <c r="F97" s="2">
        <f>F9/'Output-Calculation-sheet'!F8*'Output-Calculation-sheet'!F80</f>
        <v>5982496629.0396519</v>
      </c>
      <c r="G97" s="2">
        <f>G9/'Output-Calculation-sheet'!G8*'Output-Calculation-sheet'!G80</f>
        <v>4428130040.5615864</v>
      </c>
      <c r="H97" s="2">
        <f>H9/'Output-Calculation-sheet'!H8*'Output-Calculation-sheet'!H80</f>
        <v>1341752022.5654664</v>
      </c>
      <c r="I97" s="2">
        <f>I9/'Output-Calculation-sheet'!I8*'Output-Calculation-sheet'!I80</f>
        <v>3075652308.3368201</v>
      </c>
      <c r="J97" s="2">
        <f>J9/'Output-Calculation-sheet'!J8*'Output-Calculation-sheet'!J80</f>
        <v>2219262885.3217568</v>
      </c>
      <c r="K97" s="2">
        <f>K9/'Output-Calculation-sheet'!K8*'Output-Calculation-sheet'!K80</f>
        <v>2583287337.1037927</v>
      </c>
      <c r="L97" s="2">
        <f>L9/'Output-Calculation-sheet'!L8*'Output-Calculation-sheet'!L80</f>
        <v>2118148458.4080203</v>
      </c>
      <c r="M97" s="2">
        <f>M9/'Output-Calculation-sheet'!M8*'Output-Calculation-sheet'!M80</f>
        <v>1042919842.2769799</v>
      </c>
      <c r="N97" s="2">
        <f>N9/'Output-Calculation-sheet'!N8*'Output-Calculation-sheet'!N80</f>
        <v>1033666013.6337452</v>
      </c>
      <c r="O97" s="2">
        <f>O9/'Output-Calculation-sheet'!O8*'Output-Calculation-sheet'!O80</f>
        <v>269767378.63994426</v>
      </c>
      <c r="P97" s="2">
        <f>P9/'Output-Calculation-sheet'!P8*'Output-Calculation-sheet'!P80</f>
        <v>2743392919.5300841</v>
      </c>
      <c r="Q97" s="2">
        <f>Q9/'Output-Calculation-sheet'!Q8*'Output-Calculation-sheet'!Q80</f>
        <v>1219868146.0076673</v>
      </c>
      <c r="R97" s="2">
        <f>R9/'Output-Calculation-sheet'!R8*'Output-Calculation-sheet'!R80</f>
        <v>1898294410.7993531</v>
      </c>
      <c r="S97" s="2">
        <f>S9/'Output-Calculation-sheet'!S8*'Output-Calculation-sheet'!S80</f>
        <v>732112533.71080542</v>
      </c>
      <c r="T97" s="2">
        <f>T9/'Output-Calculation-sheet'!T8*'Output-Calculation-sheet'!T80</f>
        <v>978908793.91641808</v>
      </c>
      <c r="U97" s="2">
        <f>U9/'Output-Calculation-sheet'!U8*'Output-Calculation-sheet'!U80</f>
        <v>496816852.87891203</v>
      </c>
      <c r="V97" s="2">
        <f>V9/'Output-Calculation-sheet'!V8*'Output-Calculation-sheet'!V80</f>
        <v>365970010.98397422</v>
      </c>
      <c r="W97" s="2">
        <f>W9/'Output-Calculation-sheet'!W8*'Output-Calculation-sheet'!W80</f>
        <v>957068226.53648341</v>
      </c>
      <c r="X97" s="2">
        <f>X9/'Output-Calculation-sheet'!X8*'Output-Calculation-sheet'!X80</f>
        <v>117203239.66070466</v>
      </c>
      <c r="Y97" s="2">
        <f>Y9/'Output-Calculation-sheet'!Y8*'Output-Calculation-sheet'!Y80</f>
        <v>429766961.74555874</v>
      </c>
      <c r="AA97" s="2">
        <f t="shared" si="8"/>
        <v>75.514721871477946</v>
      </c>
    </row>
    <row r="98" spans="1:27" x14ac:dyDescent="0.25">
      <c r="A98" s="2">
        <v>2033</v>
      </c>
      <c r="B98" s="2">
        <f>B10/'Output-Calculation-sheet'!B9*'Output-Calculation-sheet'!B81</f>
        <v>17391600593.678417</v>
      </c>
      <c r="C98" s="2">
        <f>C10/'Output-Calculation-sheet'!C9*'Output-Calculation-sheet'!C81</f>
        <v>2193039320.1851587</v>
      </c>
      <c r="D98" s="2">
        <f>D10/'Output-Calculation-sheet'!D9*'Output-Calculation-sheet'!D81</f>
        <v>6778103566.1407032</v>
      </c>
      <c r="E98" s="2">
        <f>E10/'Output-Calculation-sheet'!E9*'Output-Calculation-sheet'!E81</f>
        <v>12282725293.164574</v>
      </c>
      <c r="F98" s="2">
        <f>F10/'Output-Calculation-sheet'!F9*'Output-Calculation-sheet'!F81</f>
        <v>5502080114.4971266</v>
      </c>
      <c r="G98" s="2">
        <f>G10/'Output-Calculation-sheet'!G9*'Output-Calculation-sheet'!G81</f>
        <v>3958922879.1968679</v>
      </c>
      <c r="H98" s="2">
        <f>H10/'Output-Calculation-sheet'!H9*'Output-Calculation-sheet'!H81</f>
        <v>1248747056.7097349</v>
      </c>
      <c r="I98" s="2">
        <f>I10/'Output-Calculation-sheet'!I9*'Output-Calculation-sheet'!I81</f>
        <v>2856582117.3477993</v>
      </c>
      <c r="J98" s="2">
        <f>J10/'Output-Calculation-sheet'!J9*'Output-Calculation-sheet'!J81</f>
        <v>2008475064.144079</v>
      </c>
      <c r="K98" s="2">
        <f>K10/'Output-Calculation-sheet'!K9*'Output-Calculation-sheet'!K81</f>
        <v>2355437070.0691624</v>
      </c>
      <c r="L98" s="2">
        <f>L10/'Output-Calculation-sheet'!L9*'Output-Calculation-sheet'!L81</f>
        <v>1988928673.953548</v>
      </c>
      <c r="M98" s="2">
        <f>M10/'Output-Calculation-sheet'!M9*'Output-Calculation-sheet'!M81</f>
        <v>975604731.40314746</v>
      </c>
      <c r="N98" s="2">
        <f>N10/'Output-Calculation-sheet'!N9*'Output-Calculation-sheet'!N81</f>
        <v>933315809.69198954</v>
      </c>
      <c r="O98" s="2">
        <f>O10/'Output-Calculation-sheet'!O9*'Output-Calculation-sheet'!O81</f>
        <v>257888612.54322231</v>
      </c>
      <c r="P98" s="2">
        <f>P10/'Output-Calculation-sheet'!P9*'Output-Calculation-sheet'!P81</f>
        <v>2531952436.2195687</v>
      </c>
      <c r="Q98" s="2">
        <f>Q10/'Output-Calculation-sheet'!Q9*'Output-Calculation-sheet'!Q81</f>
        <v>1114916711.2483668</v>
      </c>
      <c r="R98" s="2">
        <f>R10/'Output-Calculation-sheet'!R9*'Output-Calculation-sheet'!R81</f>
        <v>1771103905.2102358</v>
      </c>
      <c r="S98" s="2">
        <f>S10/'Output-Calculation-sheet'!S9*'Output-Calculation-sheet'!S81</f>
        <v>675405042.14157557</v>
      </c>
      <c r="T98" s="2">
        <f>T10/'Output-Calculation-sheet'!T9*'Output-Calculation-sheet'!T81</f>
        <v>887614683.32750285</v>
      </c>
      <c r="U98" s="2">
        <f>U10/'Output-Calculation-sheet'!U9*'Output-Calculation-sheet'!U81</f>
        <v>461213852.52814084</v>
      </c>
      <c r="V98" s="2">
        <f>V10/'Output-Calculation-sheet'!V9*'Output-Calculation-sheet'!V81</f>
        <v>340014401.77151191</v>
      </c>
      <c r="W98" s="2">
        <f>W10/'Output-Calculation-sheet'!W9*'Output-Calculation-sheet'!W81</f>
        <v>871382694.76085258</v>
      </c>
      <c r="X98" s="2">
        <f>X10/'Output-Calculation-sheet'!X9*'Output-Calculation-sheet'!X81</f>
        <v>110658732.57725888</v>
      </c>
      <c r="Y98" s="2">
        <f>Y10/'Output-Calculation-sheet'!Y9*'Output-Calculation-sheet'!Y81</f>
        <v>391375437.0315904</v>
      </c>
      <c r="AA98" s="2">
        <f t="shared" si="8"/>
        <v>69.887088799542113</v>
      </c>
    </row>
    <row r="99" spans="1:27" x14ac:dyDescent="0.25">
      <c r="A99" s="2">
        <v>2034</v>
      </c>
      <c r="B99" s="2">
        <f>B11/'Output-Calculation-sheet'!B10*'Output-Calculation-sheet'!B82</f>
        <v>14961632394.68639</v>
      </c>
      <c r="C99" s="2">
        <f>C11/'Output-Calculation-sheet'!C10*'Output-Calculation-sheet'!C82</f>
        <v>1899570970.2328246</v>
      </c>
      <c r="D99" s="2">
        <f>D11/'Output-Calculation-sheet'!D10*'Output-Calculation-sheet'!D82</f>
        <v>5498360272.3778</v>
      </c>
      <c r="E99" s="2">
        <f>E11/'Output-Calculation-sheet'!E10*'Output-Calculation-sheet'!E82</f>
        <v>10251045300.53821</v>
      </c>
      <c r="F99" s="2">
        <f>F11/'Output-Calculation-sheet'!F10*'Output-Calculation-sheet'!F82</f>
        <v>4584492014.7700472</v>
      </c>
      <c r="G99" s="2">
        <f>G11/'Output-Calculation-sheet'!G10*'Output-Calculation-sheet'!G82</f>
        <v>3201342364.6688166</v>
      </c>
      <c r="H99" s="2">
        <f>H11/'Output-Calculation-sheet'!H10*'Output-Calculation-sheet'!H82</f>
        <v>1054066271.6286627</v>
      </c>
      <c r="I99" s="2">
        <f>I11/'Output-Calculation-sheet'!I10*'Output-Calculation-sheet'!I82</f>
        <v>2403006120.7924495</v>
      </c>
      <c r="J99" s="2">
        <f>J11/'Output-Calculation-sheet'!J10*'Output-Calculation-sheet'!J82</f>
        <v>1646225513.1905665</v>
      </c>
      <c r="K99" s="2">
        <f>K11/'Output-Calculation-sheet'!K10*'Output-Calculation-sheet'!K82</f>
        <v>1945993323.942246</v>
      </c>
      <c r="L99" s="2">
        <f>L11/'Output-Calculation-sheet'!L10*'Output-Calculation-sheet'!L82</f>
        <v>1701449143.2473257</v>
      </c>
      <c r="M99" s="2">
        <f>M11/'Output-Calculation-sheet'!M10*'Output-Calculation-sheet'!M82</f>
        <v>825818326.36417568</v>
      </c>
      <c r="N99" s="2">
        <f>N11/'Output-Calculation-sheet'!N10*'Output-Calculation-sheet'!N82</f>
        <v>767361044.66060448</v>
      </c>
      <c r="O99" s="2">
        <f>O11/'Output-Calculation-sheet'!O10*'Output-Calculation-sheet'!O82</f>
        <v>224641176.509168</v>
      </c>
      <c r="P99" s="2">
        <f>P11/'Output-Calculation-sheet'!P10*'Output-Calculation-sheet'!P82</f>
        <v>2116445527.8836954</v>
      </c>
      <c r="Q99" s="2">
        <f>Q11/'Output-Calculation-sheet'!Q10*'Output-Calculation-sheet'!Q82</f>
        <v>922648605.9593991</v>
      </c>
      <c r="R99" s="2">
        <f>R11/'Output-Calculation-sheet'!R10*'Output-Calculation-sheet'!R82</f>
        <v>1498868750.016911</v>
      </c>
      <c r="S99" s="2">
        <f>S11/'Output-Calculation-sheet'!S10*'Output-Calculation-sheet'!S82</f>
        <v>563231350.46809328</v>
      </c>
      <c r="T99" s="2">
        <f>T11/'Output-Calculation-sheet'!T10*'Output-Calculation-sheet'!T82</f>
        <v>728064205.68234313</v>
      </c>
      <c r="U99" s="2">
        <f>U11/'Output-Calculation-sheet'!U10*'Output-Calculation-sheet'!U82</f>
        <v>388136887.83705831</v>
      </c>
      <c r="V99" s="2">
        <f>V11/'Output-Calculation-sheet'!V10*'Output-Calculation-sheet'!V82</f>
        <v>285616015.99513835</v>
      </c>
      <c r="W99" s="2">
        <f>W11/'Output-Calculation-sheet'!W10*'Output-Calculation-sheet'!W82</f>
        <v>717184620.06756151</v>
      </c>
      <c r="X99" s="2">
        <f>X11/'Output-Calculation-sheet'!X10*'Output-Calculation-sheet'!X82</f>
        <v>101219203.55858561</v>
      </c>
      <c r="Y99" s="2">
        <f>Y11/'Output-Calculation-sheet'!Y10*'Output-Calculation-sheet'!Y82</f>
        <v>322588104.61131322</v>
      </c>
      <c r="AA99" s="2">
        <f t="shared" si="8"/>
        <v>58.609007509689384</v>
      </c>
    </row>
    <row r="100" spans="1:27" x14ac:dyDescent="0.25">
      <c r="A100" s="2">
        <v>2035</v>
      </c>
      <c r="B100" s="2">
        <f>B12/'Output-Calculation-sheet'!B11*'Output-Calculation-sheet'!B83</f>
        <v>11785669640.601606</v>
      </c>
      <c r="C100" s="2">
        <f>C12/'Output-Calculation-sheet'!C11*'Output-Calculation-sheet'!C83</f>
        <v>1471889826.8830488</v>
      </c>
      <c r="D100" s="2">
        <f>D12/'Output-Calculation-sheet'!D11*'Output-Calculation-sheet'!D83</f>
        <v>4009504427.7835617</v>
      </c>
      <c r="E100" s="2">
        <f>E12/'Output-Calculation-sheet'!E11*'Output-Calculation-sheet'!E83</f>
        <v>7687064008.7144966</v>
      </c>
      <c r="F100" s="2">
        <f>F12/'Output-Calculation-sheet'!F11*'Output-Calculation-sheet'!F83</f>
        <v>3431561825.570673</v>
      </c>
      <c r="G100" s="2">
        <f>G12/'Output-Calculation-sheet'!G11*'Output-Calculation-sheet'!G83</f>
        <v>2323414730.5057802</v>
      </c>
      <c r="H100" s="2">
        <f>H12/'Output-Calculation-sheet'!H11*'Output-Calculation-sheet'!H83</f>
        <v>800232222.93537748</v>
      </c>
      <c r="I100" s="2">
        <f>I12/'Output-Calculation-sheet'!I11*'Output-Calculation-sheet'!I83</f>
        <v>1816088882.6469536</v>
      </c>
      <c r="J100" s="2">
        <f>J12/'Output-Calculation-sheet'!J11*'Output-Calculation-sheet'!J83</f>
        <v>1211867939.0200434</v>
      </c>
      <c r="K100" s="2">
        <f>K12/'Output-Calculation-sheet'!K11*'Output-Calculation-sheet'!K83</f>
        <v>1444589736.8129056</v>
      </c>
      <c r="L100" s="2">
        <f>L12/'Output-Calculation-sheet'!L11*'Output-Calculation-sheet'!L83</f>
        <v>1307039318.135525</v>
      </c>
      <c r="M100" s="2">
        <f>M12/'Output-Calculation-sheet'!M11*'Output-Calculation-sheet'!M83</f>
        <v>629923281.01800156</v>
      </c>
      <c r="N100" s="2">
        <f>N12/'Output-Calculation-sheet'!N11*'Output-Calculation-sheet'!N83</f>
        <v>565446976.86665094</v>
      </c>
      <c r="O100" s="2">
        <f>O12/'Output-Calculation-sheet'!O11*'Output-Calculation-sheet'!O83</f>
        <v>176223551.15194762</v>
      </c>
      <c r="P100" s="2">
        <f>P12/'Output-Calculation-sheet'!P11*'Output-Calculation-sheet'!P83</f>
        <v>1582296666.2750068</v>
      </c>
      <c r="Q100" s="2">
        <f>Q12/'Output-Calculation-sheet'!Q11*'Output-Calculation-sheet'!Q83</f>
        <v>687202691.67956591</v>
      </c>
      <c r="R100" s="2">
        <f>R12/'Output-Calculation-sheet'!R11*'Output-Calculation-sheet'!R83</f>
        <v>1139993639.7728736</v>
      </c>
      <c r="S100" s="2">
        <f>S12/'Output-Calculation-sheet'!S11*'Output-Calculation-sheet'!S83</f>
        <v>421660616.29745328</v>
      </c>
      <c r="T100" s="2">
        <f>T12/'Output-Calculation-sheet'!T11*'Output-Calculation-sheet'!T83</f>
        <v>537996407.05236399</v>
      </c>
      <c r="U100" s="2">
        <f>U12/'Output-Calculation-sheet'!U11*'Output-Calculation-sheet'!U83</f>
        <v>293216814.87871122</v>
      </c>
      <c r="V100" s="2">
        <f>V12/'Output-Calculation-sheet'!V11*'Output-Calculation-sheet'!V83</f>
        <v>215534605.58567128</v>
      </c>
      <c r="W100" s="2">
        <f>W12/'Output-Calculation-sheet'!W11*'Output-Calculation-sheet'!W83</f>
        <v>529385416.71169966</v>
      </c>
      <c r="X100" s="2">
        <f>X12/'Output-Calculation-sheet'!X11*'Output-Calculation-sheet'!X83</f>
        <v>83913312.597667605</v>
      </c>
      <c r="Y100" s="2">
        <f>Y12/'Output-Calculation-sheet'!Y11*'Output-Calculation-sheet'!Y83</f>
        <v>238352811.81886053</v>
      </c>
      <c r="AA100" s="2">
        <f t="shared" si="8"/>
        <v>44.390069351316441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1C0-C290-4C53-9782-B1BA3078570B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113269989506.9044</v>
      </c>
      <c r="C8" s="2">
        <v>53378518885.258392</v>
      </c>
      <c r="D8" s="2">
        <v>47574690639.935852</v>
      </c>
      <c r="E8" s="2">
        <v>37745689295.494881</v>
      </c>
      <c r="F8" s="2">
        <v>24298254690.458027</v>
      </c>
      <c r="G8" s="2">
        <v>17072620593.116785</v>
      </c>
      <c r="H8" s="2">
        <v>16653686025.598593</v>
      </c>
      <c r="I8" s="2">
        <v>15554501269.239019</v>
      </c>
      <c r="J8" s="2">
        <v>15139677237.922947</v>
      </c>
      <c r="K8" s="2">
        <v>14994539223.546438</v>
      </c>
      <c r="L8" s="2">
        <v>12028814314.878195</v>
      </c>
      <c r="M8" s="2">
        <v>11489591604.211245</v>
      </c>
      <c r="N8" s="2">
        <v>11277000976.5973</v>
      </c>
      <c r="O8" s="2">
        <v>10371492574.308268</v>
      </c>
      <c r="P8" s="2">
        <v>10265970837.69776</v>
      </c>
      <c r="Q8" s="2">
        <v>10100056157.492546</v>
      </c>
      <c r="R8" s="2">
        <v>9716718584.6124039</v>
      </c>
      <c r="S8" s="2">
        <v>6458228926.9880247</v>
      </c>
      <c r="T8" s="2">
        <v>3571782200.3888664</v>
      </c>
      <c r="U8" s="2">
        <v>3110900253.8478084</v>
      </c>
      <c r="V8" s="2">
        <v>2395455413.4678912</v>
      </c>
      <c r="W8" s="2">
        <v>2073933502.5652039</v>
      </c>
      <c r="X8" s="2">
        <v>1244360101.5391233</v>
      </c>
      <c r="Y8" s="2">
        <v>1210127755.1457798</v>
      </c>
    </row>
    <row r="9" spans="1:27" x14ac:dyDescent="0.25">
      <c r="A9" s="2">
        <v>2032</v>
      </c>
      <c r="B9" s="2">
        <v>121148203730.30881</v>
      </c>
      <c r="C9" s="2">
        <v>57091129864.890114</v>
      </c>
      <c r="D9" s="2">
        <v>50883630687.562149</v>
      </c>
      <c r="E9" s="2">
        <v>40370997442.644005</v>
      </c>
      <c r="F9" s="2">
        <v>25988259753.048771</v>
      </c>
      <c r="G9" s="2">
        <v>18260064531.030106</v>
      </c>
      <c r="H9" s="2">
        <v>17811992004.879929</v>
      </c>
      <c r="I9" s="2">
        <v>16636356168.941389</v>
      </c>
      <c r="J9" s="2">
        <v>16192680077.181496</v>
      </c>
      <c r="K9" s="2">
        <v>16037447346.859526</v>
      </c>
      <c r="L9" s="2">
        <v>12865448770.648029</v>
      </c>
      <c r="M9" s="2">
        <v>12288721756.791397</v>
      </c>
      <c r="N9" s="2">
        <v>12061344913.3976</v>
      </c>
      <c r="O9" s="2">
        <v>11092856111.751411</v>
      </c>
      <c r="P9" s="2">
        <v>10979995071.501324</v>
      </c>
      <c r="Q9" s="2">
        <v>10802540605.699286</v>
      </c>
      <c r="R9" s="2">
        <v>10392540935.186958</v>
      </c>
      <c r="S9" s="2">
        <v>6907415081.344449</v>
      </c>
      <c r="T9" s="2">
        <v>3820208685.2548423</v>
      </c>
      <c r="U9" s="2">
        <v>3327271233.7882824</v>
      </c>
      <c r="V9" s="2">
        <v>2562065395.4416552</v>
      </c>
      <c r="W9" s="2">
        <v>2218180822.5255198</v>
      </c>
      <c r="X9" s="2">
        <v>1330908493.5153129</v>
      </c>
      <c r="Y9" s="2">
        <v>1294295200.8587046</v>
      </c>
    </row>
    <row r="10" spans="1:27" x14ac:dyDescent="0.25">
      <c r="A10" s="2">
        <v>2033</v>
      </c>
      <c r="B10" s="2">
        <v>120143050192.27116</v>
      </c>
      <c r="C10" s="2">
        <v>56617450937.697701</v>
      </c>
      <c r="D10" s="2">
        <v>50461454709.388664</v>
      </c>
      <c r="E10" s="2">
        <v>40036043645.029991</v>
      </c>
      <c r="F10" s="2">
        <v>25772637973.823963</v>
      </c>
      <c r="G10" s="2">
        <v>18108562751.366753</v>
      </c>
      <c r="H10" s="2">
        <v>17664207834.48431</v>
      </c>
      <c r="I10" s="2">
        <v>16498326121.872005</v>
      </c>
      <c r="J10" s="2">
        <v>16058331162.639408</v>
      </c>
      <c r="K10" s="2">
        <v>15904386381.484638</v>
      </c>
      <c r="L10" s="2">
        <v>12758705534.247705</v>
      </c>
      <c r="M10" s="2">
        <v>12186763562.022812</v>
      </c>
      <c r="N10" s="2">
        <v>11961273239.696335</v>
      </c>
      <c r="O10" s="2">
        <v>11000819884.8463</v>
      </c>
      <c r="P10" s="2">
        <v>10888895240.435532</v>
      </c>
      <c r="Q10" s="2">
        <v>10712913095.135563</v>
      </c>
      <c r="R10" s="2">
        <v>10306315147.527252</v>
      </c>
      <c r="S10" s="2">
        <v>6850105005.8012409</v>
      </c>
      <c r="T10" s="2">
        <v>3788512827.142293</v>
      </c>
      <c r="U10" s="2">
        <v>3299665224.3744059</v>
      </c>
      <c r="V10" s="2">
        <v>2540808216.0727816</v>
      </c>
      <c r="W10" s="2">
        <v>2199776816.2496023</v>
      </c>
      <c r="X10" s="2">
        <v>1319866089.7497623</v>
      </c>
      <c r="Y10" s="2">
        <v>1283556573.6207442</v>
      </c>
    </row>
    <row r="11" spans="1:27" x14ac:dyDescent="0.25">
      <c r="A11" s="2">
        <v>2034</v>
      </c>
      <c r="B11" s="2">
        <v>111625384379.06194</v>
      </c>
      <c r="C11" s="2">
        <v>52603498191.273239</v>
      </c>
      <c r="D11" s="2">
        <v>46883937683.017914</v>
      </c>
      <c r="E11" s="2">
        <v>37197646919.579109</v>
      </c>
      <c r="F11" s="2">
        <v>23945460146.77076</v>
      </c>
      <c r="G11" s="2">
        <v>16824737464.537193</v>
      </c>
      <c r="H11" s="2">
        <v>16411885549.105137</v>
      </c>
      <c r="I11" s="2">
        <v>15328660226.436914</v>
      </c>
      <c r="J11" s="2">
        <v>14919859164.947403</v>
      </c>
      <c r="K11" s="2">
        <v>14776828458.28521</v>
      </c>
      <c r="L11" s="2">
        <v>11854163908.444567</v>
      </c>
      <c r="M11" s="2">
        <v>11322770353.928091</v>
      </c>
      <c r="N11" s="2">
        <v>11113266401.238607</v>
      </c>
      <c r="O11" s="2">
        <v>10220905380.424507</v>
      </c>
      <c r="P11" s="2">
        <v>10116915749.44837</v>
      </c>
      <c r="Q11" s="2">
        <v>9953410040.3663788</v>
      </c>
      <c r="R11" s="2">
        <v>9575638274.8178864</v>
      </c>
      <c r="S11" s="2">
        <v>6364459726.016592</v>
      </c>
      <c r="T11" s="2">
        <v>3519922291.6180801</v>
      </c>
      <c r="U11" s="2">
        <v>3065732045.2873874</v>
      </c>
      <c r="V11" s="2">
        <v>2360674989.5121956</v>
      </c>
      <c r="W11" s="2">
        <v>2043821363.5249233</v>
      </c>
      <c r="X11" s="2">
        <v>1226292818.1149549</v>
      </c>
      <c r="Y11" s="2">
        <v>1192557502.6886103</v>
      </c>
    </row>
    <row r="12" spans="1:27" x14ac:dyDescent="0.25">
      <c r="A12" s="2">
        <v>2035</v>
      </c>
      <c r="B12" s="2">
        <v>97614257982.267181</v>
      </c>
      <c r="C12" s="2">
        <v>46000750382.865761</v>
      </c>
      <c r="D12" s="2">
        <v>40999104403.291</v>
      </c>
      <c r="E12" s="2">
        <v>32528628886.15654</v>
      </c>
      <c r="F12" s="2">
        <v>20939845692.566486</v>
      </c>
      <c r="G12" s="2">
        <v>14712910262.150991</v>
      </c>
      <c r="H12" s="2">
        <v>14351879179.430552</v>
      </c>
      <c r="I12" s="2">
        <v>13404619407.936369</v>
      </c>
      <c r="J12" s="2">
        <v>13047130719.304836</v>
      </c>
      <c r="K12" s="2">
        <v>12922053109.250681</v>
      </c>
      <c r="L12" s="2">
        <v>10366239008.804144</v>
      </c>
      <c r="M12" s="2">
        <v>9901545535.9956856</v>
      </c>
      <c r="N12" s="2">
        <v>9718338347.0583649</v>
      </c>
      <c r="O12" s="2">
        <v>8937985747.3014412</v>
      </c>
      <c r="P12" s="2">
        <v>8847048809.2380104</v>
      </c>
      <c r="Q12" s="2">
        <v>8704066202.2200222</v>
      </c>
      <c r="R12" s="2">
        <v>8373712037.8353128</v>
      </c>
      <c r="S12" s="2">
        <v>5565597978.175168</v>
      </c>
      <c r="T12" s="2">
        <v>3078104541.9270234</v>
      </c>
      <c r="U12" s="2">
        <v>2680923881.5872779</v>
      </c>
      <c r="V12" s="2">
        <v>2064365007.2998371</v>
      </c>
      <c r="W12" s="2">
        <v>1787282587.7248507</v>
      </c>
      <c r="X12" s="2">
        <v>1072369552.6349111</v>
      </c>
      <c r="Y12" s="2">
        <v>1042868666.2419229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 t="shared" ref="AA16:AA23" si="0"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si="0"/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5933.9446297389477</v>
      </c>
      <c r="C19" s="2">
        <f>C8/'Output-Calculation-sheet'!C7*'Output-Calculation-sheet'!C25</f>
        <v>7912.0888585051989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2882.9005852374644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2110.1483126610706</v>
      </c>
      <c r="N19" s="2">
        <f>N8/'Output-Calculation-sheet'!N7*'Output-Calculation-sheet'!N25</f>
        <v>1099.3175930128098</v>
      </c>
      <c r="O19" s="2">
        <f>O8/'Output-Calculation-sheet'!O7*'Output-Calculation-sheet'!O25</f>
        <v>1198.8346219432401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479.23708941394335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243.9192981498195</v>
      </c>
      <c r="Y19" s="2">
        <f>Y8/'Output-Calculation-sheet'!Y7*'Output-Calculation-sheet'!Y25</f>
        <v>0</v>
      </c>
      <c r="AA19" s="2">
        <f t="shared" si="0"/>
        <v>21.860390988662491</v>
      </c>
    </row>
    <row r="20" spans="1:27" x14ac:dyDescent="0.25">
      <c r="A20" s="2">
        <v>2032</v>
      </c>
      <c r="B20" s="2">
        <f>B9/'Output-Calculation-sheet'!B8*'Output-Calculation-sheet'!B26</f>
        <v>7616.9919488442665</v>
      </c>
      <c r="C20" s="2">
        <f>C9/'Output-Calculation-sheet'!C8*'Output-Calculation-sheet'!C26</f>
        <v>8779.1801846852795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3160.5421466630091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2307.9177779418546</v>
      </c>
      <c r="N20" s="2">
        <f>N9/'Output-Calculation-sheet'!N8*'Output-Calculation-sheet'!N26</f>
        <v>1312.7712754966565</v>
      </c>
      <c r="O20" s="2">
        <f>O9/'Output-Calculation-sheet'!O8*'Output-Calculation-sheet'!O26</f>
        <v>1358.0657272992416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593.42930937736332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266.59446455211526</v>
      </c>
      <c r="Y20" s="2">
        <f>Y9/'Output-Calculation-sheet'!Y8*'Output-Calculation-sheet'!Y26</f>
        <v>0</v>
      </c>
      <c r="AA20" s="2">
        <f t="shared" si="0"/>
        <v>25.395492834859787</v>
      </c>
    </row>
    <row r="21" spans="1:27" x14ac:dyDescent="0.25">
      <c r="A21" s="2">
        <v>2033</v>
      </c>
      <c r="B21" s="2">
        <f>B10/'Output-Calculation-sheet'!B9*'Output-Calculation-sheet'!B27</f>
        <v>9506.2176982102392</v>
      </c>
      <c r="C21" s="2">
        <f>C10/'Output-Calculation-sheet'!C9*'Output-Calculation-sheet'!C27</f>
        <v>8944.9082719613107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3201.0071187521544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27.77526402141239</v>
      </c>
      <c r="M21" s="2">
        <f>M10/'Output-Calculation-sheet'!M9*'Output-Calculation-sheet'!M27</f>
        <v>2349.4418270310393</v>
      </c>
      <c r="N21" s="2">
        <f>N10/'Output-Calculation-sheet'!N9*'Output-Calculation-sheet'!N27</f>
        <v>1436.1369663160037</v>
      </c>
      <c r="O21" s="2">
        <f>O10/'Output-Calculation-sheet'!O9*'Output-Calculation-sheet'!O27</f>
        <v>1398.9630950461267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667.35307138597261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271.9826878761433</v>
      </c>
      <c r="Y21" s="2">
        <f>Y10/'Output-Calculation-sheet'!Y9*'Output-Calculation-sheet'!Y27</f>
        <v>0</v>
      </c>
      <c r="AA21" s="2">
        <f t="shared" si="0"/>
        <v>27.8037860006004</v>
      </c>
    </row>
    <row r="22" spans="1:27" x14ac:dyDescent="0.25">
      <c r="A22" s="2">
        <v>2034</v>
      </c>
      <c r="B22" s="2">
        <f>B11/'Output-Calculation-sheet'!B10*'Output-Calculation-sheet'!B28</f>
        <v>10887.729027846639</v>
      </c>
      <c r="C22" s="2">
        <f>C11/'Output-Calculation-sheet'!C10*'Output-Calculation-sheet'!C28</f>
        <v>8576.2593259951482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3043.6059788033472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174.33562272643553</v>
      </c>
      <c r="M22" s="2">
        <f>M11/'Output-Calculation-sheet'!M10*'Output-Calculation-sheet'!M28</f>
        <v>2237.3846239436239</v>
      </c>
      <c r="N22" s="2">
        <f>N11/'Output-Calculation-sheet'!N10*'Output-Calculation-sheet'!N28</f>
        <v>1425.4902572619678</v>
      </c>
      <c r="O22" s="2">
        <f>O11/'Output-Calculation-sheet'!O10*'Output-Calculation-sheet'!O28</f>
        <v>1360.667062290185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660.79792202510373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276.18661969128806</v>
      </c>
      <c r="Y22" s="2">
        <f>Y11/'Output-Calculation-sheet'!Y10*'Output-Calculation-sheet'!Y28</f>
        <v>0</v>
      </c>
      <c r="AA22" s="2">
        <f t="shared" si="0"/>
        <v>28.642456440583732</v>
      </c>
    </row>
    <row r="23" spans="1:27" x14ac:dyDescent="0.25">
      <c r="A23" s="2">
        <v>2035</v>
      </c>
      <c r="B23" s="2">
        <f>B12/'Output-Calculation-sheet'!B11*'Output-Calculation-sheet'!B29</f>
        <v>12308.399491977751</v>
      </c>
      <c r="C23" s="2">
        <f>C12/'Output-Calculation-sheet'!C11*'Output-Calculation-sheet'!C29</f>
        <v>7708.4405609750256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2730.7650978570628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282.44038698747892</v>
      </c>
      <c r="M23" s="2">
        <f>M12/'Output-Calculation-sheet'!M11*'Output-Calculation-sheet'!M29</f>
        <v>2017.0533079403212</v>
      </c>
      <c r="N23" s="2">
        <f>N12/'Output-Calculation-sheet'!N11*'Output-Calculation-sheet'!N29</f>
        <v>1303.6187502486343</v>
      </c>
      <c r="O23" s="2">
        <f>O12/'Output-Calculation-sheet'!O11*'Output-Calculation-sheet'!O29</f>
        <v>1251.0975482978019</v>
      </c>
      <c r="P23" s="2">
        <f>P12/'Output-Calculation-sheet'!P11*'Output-Calculation-sheet'!P29</f>
        <v>0</v>
      </c>
      <c r="Q23" s="2">
        <f>Q12/'Output-Calculation-sheet'!Q11*'Output-Calculation-sheet'!Q29</f>
        <v>73.481648148725583</v>
      </c>
      <c r="R23" s="2">
        <f>R12/'Output-Calculation-sheet'!R11*'Output-Calculation-sheet'!R29</f>
        <v>0</v>
      </c>
      <c r="S23" s="2">
        <f>S12/'Output-Calculation-sheet'!S11*'Output-Calculation-sheet'!S29</f>
        <v>607.64646400500499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266.56871500356982</v>
      </c>
      <c r="Y23" s="2">
        <f>Y12/'Output-Calculation-sheet'!Y11*'Output-Calculation-sheet'!Y29</f>
        <v>0</v>
      </c>
      <c r="AA23" s="2">
        <f t="shared" si="0"/>
        <v>28.549511971441376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 t="shared" ref="AA27:AA34" si="1"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si="1"/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29182.340948353954</v>
      </c>
      <c r="C30" s="2">
        <f>C8/'Output-Calculation-sheet'!C7*'Output-Calculation-sheet'!C16</f>
        <v>0</v>
      </c>
      <c r="D30" s="2">
        <f>D8/'Output-Calculation-sheet'!D7*'Output-Calculation-sheet'!D16</f>
        <v>6574.500079757906</v>
      </c>
      <c r="E30" s="2">
        <f>E8/'Output-Calculation-sheet'!E7*'Output-Calculation-sheet'!E16</f>
        <v>8238.8988490523952</v>
      </c>
      <c r="F30" s="2">
        <f>F8/'Output-Calculation-sheet'!F7*'Output-Calculation-sheet'!F16</f>
        <v>4023.8774351062752</v>
      </c>
      <c r="G30" s="2">
        <f>G8/'Output-Calculation-sheet'!G7*'Output-Calculation-sheet'!G16</f>
        <v>2452.0986579962146</v>
      </c>
      <c r="H30" s="2">
        <f>H8/'Output-Calculation-sheet'!H7*'Output-Calculation-sheet'!H16</f>
        <v>0</v>
      </c>
      <c r="I30" s="2">
        <f>I8/'Output-Calculation-sheet'!I7*'Output-Calculation-sheet'!I16</f>
        <v>2308.3482452105645</v>
      </c>
      <c r="J30" s="2">
        <f>J8/'Output-Calculation-sheet'!J7*'Output-Calculation-sheet'!J16</f>
        <v>2474.4495197465221</v>
      </c>
      <c r="K30" s="2">
        <f>K8/'Output-Calculation-sheet'!K7*'Output-Calculation-sheet'!K16</f>
        <v>2394.9889914716978</v>
      </c>
      <c r="L30" s="2">
        <f>L8/'Output-Calculation-sheet'!L7*'Output-Calculation-sheet'!L16</f>
        <v>2647.2794654149452</v>
      </c>
      <c r="M30" s="2">
        <f>M8/'Output-Calculation-sheet'!M7*'Output-Calculation-sheet'!M16</f>
        <v>0</v>
      </c>
      <c r="N30" s="2">
        <f>N8/'Output-Calculation-sheet'!N7*'Output-Calculation-sheet'!N16</f>
        <v>1187.1109243994665</v>
      </c>
      <c r="O30" s="2">
        <f>O8/'Output-Calculation-sheet'!O7*'Output-Calculation-sheet'!O16</f>
        <v>0</v>
      </c>
      <c r="P30" s="2">
        <f>P8/'Output-Calculation-sheet'!P7*'Output-Calculation-sheet'!P16</f>
        <v>2266.2025528567256</v>
      </c>
      <c r="Q30" s="2">
        <f>Q8/'Output-Calculation-sheet'!Q7*'Output-Calculation-sheet'!Q16</f>
        <v>2223.2569757672618</v>
      </c>
      <c r="R30" s="2">
        <f>R8/'Output-Calculation-sheet'!R7*'Output-Calculation-sheet'!R16</f>
        <v>1972.9701637425296</v>
      </c>
      <c r="S30" s="2">
        <f>S8/'Output-Calculation-sheet'!S7*'Output-Calculation-sheet'!S16</f>
        <v>1044.9477783604218</v>
      </c>
      <c r="T30" s="2">
        <f>T8/'Output-Calculation-sheet'!T7*'Output-Calculation-sheet'!T16</f>
        <v>745.22020609733147</v>
      </c>
      <c r="U30" s="2">
        <f>U8/'Output-Calculation-sheet'!U7*'Output-Calculation-sheet'!U16</f>
        <v>575.0138862409899</v>
      </c>
      <c r="V30" s="2">
        <f>V8/'Output-Calculation-sheet'!V7*'Output-Calculation-sheet'!V16</f>
        <v>744.52799750331019</v>
      </c>
      <c r="W30" s="2">
        <f>W8/'Output-Calculation-sheet'!W7*'Output-Calculation-sheet'!W16</f>
        <v>358.47501338004008</v>
      </c>
      <c r="X30" s="2">
        <f>X8/'Output-Calculation-sheet'!X7*'Output-Calculation-sheet'!X16</f>
        <v>0</v>
      </c>
      <c r="Y30" s="2">
        <f>Y8/'Output-Calculation-sheet'!Y7*'Output-Calculation-sheet'!Y16</f>
        <v>244.48777434005086</v>
      </c>
      <c r="AA30" s="2">
        <f t="shared" si="1"/>
        <v>71.658995464798636</v>
      </c>
    </row>
    <row r="31" spans="1:27" x14ac:dyDescent="0.25">
      <c r="A31" s="2">
        <v>2032</v>
      </c>
      <c r="B31" s="2">
        <f>B9/'Output-Calculation-sheet'!B8*'Output-Calculation-sheet'!B17</f>
        <v>30862.949213000727</v>
      </c>
      <c r="C31" s="2">
        <f>C9/'Output-Calculation-sheet'!C8*'Output-Calculation-sheet'!C17</f>
        <v>0</v>
      </c>
      <c r="D31" s="2">
        <f>D9/'Output-Calculation-sheet'!D8*'Output-Calculation-sheet'!D17</f>
        <v>7063.892183627232</v>
      </c>
      <c r="E31" s="2">
        <f>E9/'Output-Calculation-sheet'!E8*'Output-Calculation-sheet'!E17</f>
        <v>8873.1817787620384</v>
      </c>
      <c r="F31" s="2">
        <f>F9/'Output-Calculation-sheet'!F8*'Output-Calculation-sheet'!F17</f>
        <v>4329.3951255673755</v>
      </c>
      <c r="G31" s="2">
        <f>G9/'Output-Calculation-sheet'!G8*'Output-Calculation-sheet'!G17</f>
        <v>2635.4185845860547</v>
      </c>
      <c r="H31" s="2">
        <f>H9/'Output-Calculation-sheet'!H8*'Output-Calculation-sheet'!H17</f>
        <v>0</v>
      </c>
      <c r="I31" s="2">
        <f>I9/'Output-Calculation-sheet'!I8*'Output-Calculation-sheet'!I17</f>
        <v>2479.6799440199188</v>
      </c>
      <c r="J31" s="2">
        <f>J9/'Output-Calculation-sheet'!J8*'Output-Calculation-sheet'!J17</f>
        <v>2660.2708973545377</v>
      </c>
      <c r="K31" s="2">
        <f>K9/'Output-Calculation-sheet'!K8*'Output-Calculation-sheet'!K17</f>
        <v>2572.8555508559079</v>
      </c>
      <c r="L31" s="2">
        <f>L9/'Output-Calculation-sheet'!L8*'Output-Calculation-sheet'!L17</f>
        <v>2842.9134058108498</v>
      </c>
      <c r="M31" s="2">
        <f>M9/'Output-Calculation-sheet'!M8*'Output-Calculation-sheet'!M17</f>
        <v>0</v>
      </c>
      <c r="N31" s="2">
        <f>N9/'Output-Calculation-sheet'!N8*'Output-Calculation-sheet'!N17</f>
        <v>1198.680248206902</v>
      </c>
      <c r="O31" s="2">
        <f>O9/'Output-Calculation-sheet'!O8*'Output-Calculation-sheet'!O17</f>
        <v>0</v>
      </c>
      <c r="P31" s="2">
        <f>P9/'Output-Calculation-sheet'!P8*'Output-Calculation-sheet'!P17</f>
        <v>2448.8448100823271</v>
      </c>
      <c r="Q31" s="2">
        <f>Q9/'Output-Calculation-sheet'!Q8*'Output-Calculation-sheet'!Q17</f>
        <v>2394.8642276427677</v>
      </c>
      <c r="R31" s="2">
        <f>R9/'Output-Calculation-sheet'!R8*'Output-Calculation-sheet'!R17</f>
        <v>2143.3332772350495</v>
      </c>
      <c r="S31" s="2">
        <f>S9/'Output-Calculation-sheet'!S8*'Output-Calculation-sheet'!S17</f>
        <v>1072.9096886548609</v>
      </c>
      <c r="T31" s="2">
        <f>T9/'Output-Calculation-sheet'!T8*'Output-Calculation-sheet'!T17</f>
        <v>802.94172250391978</v>
      </c>
      <c r="U31" s="2">
        <f>U9/'Output-Calculation-sheet'!U8*'Output-Calculation-sheet'!U17</f>
        <v>621.71031542241519</v>
      </c>
      <c r="V31" s="2">
        <f>V9/'Output-Calculation-sheet'!V8*'Output-Calculation-sheet'!V17</f>
        <v>790.60435897894831</v>
      </c>
      <c r="W31" s="2">
        <f>W9/'Output-Calculation-sheet'!W8*'Output-Calculation-sheet'!W17</f>
        <v>385.33588880647795</v>
      </c>
      <c r="X31" s="2">
        <f>X9/'Output-Calculation-sheet'!X8*'Output-Calculation-sheet'!X17</f>
        <v>0</v>
      </c>
      <c r="Y31" s="2">
        <f>Y9/'Output-Calculation-sheet'!Y8*'Output-Calculation-sheet'!Y17</f>
        <v>262.68820226614088</v>
      </c>
      <c r="AA31" s="2">
        <f t="shared" si="1"/>
        <v>76.44246942338448</v>
      </c>
    </row>
    <row r="32" spans="1:27" x14ac:dyDescent="0.25">
      <c r="A32" s="2">
        <v>2033</v>
      </c>
      <c r="B32" s="2">
        <f>B10/'Output-Calculation-sheet'!B9*'Output-Calculation-sheet'!B18</f>
        <v>30115.727690774551</v>
      </c>
      <c r="C32" s="2">
        <f>C10/'Output-Calculation-sheet'!C9*'Output-Calculation-sheet'!C18</f>
        <v>0</v>
      </c>
      <c r="D32" s="2">
        <f>D10/'Output-Calculation-sheet'!D9*'Output-Calculation-sheet'!D18</f>
        <v>7045.6171972281281</v>
      </c>
      <c r="E32" s="2">
        <f>E10/'Output-Calculation-sheet'!E9*'Output-Calculation-sheet'!E18</f>
        <v>8861.3976836317506</v>
      </c>
      <c r="F32" s="2">
        <f>F10/'Output-Calculation-sheet'!F9*'Output-Calculation-sheet'!F18</f>
        <v>4316.0004954661199</v>
      </c>
      <c r="G32" s="2">
        <f>G10/'Output-Calculation-sheet'!G9*'Output-Calculation-sheet'!G18</f>
        <v>2625.7926099407232</v>
      </c>
      <c r="H32" s="2">
        <f>H10/'Output-Calculation-sheet'!H9*'Output-Calculation-sheet'!H18</f>
        <v>0</v>
      </c>
      <c r="I32" s="2">
        <f>I10/'Output-Calculation-sheet'!I9*'Output-Calculation-sheet'!I18</f>
        <v>2474.3470588132595</v>
      </c>
      <c r="J32" s="2">
        <f>J10/'Output-Calculation-sheet'!J9*'Output-Calculation-sheet'!J18</f>
        <v>2651.6763066685112</v>
      </c>
      <c r="K32" s="2">
        <f>K10/'Output-Calculation-sheet'!K9*'Output-Calculation-sheet'!K18</f>
        <v>2571.9294234765921</v>
      </c>
      <c r="L32" s="2">
        <f>L10/'Output-Calculation-sheet'!L9*'Output-Calculation-sheet'!L18</f>
        <v>2825.3187543786203</v>
      </c>
      <c r="M32" s="2">
        <f>M10/'Output-Calculation-sheet'!M9*'Output-Calculation-sheet'!M18</f>
        <v>0</v>
      </c>
      <c r="N32" s="2">
        <f>N10/'Output-Calculation-sheet'!N9*'Output-Calculation-sheet'!N18</f>
        <v>1099.6006665455664</v>
      </c>
      <c r="O32" s="2">
        <f>O10/'Output-Calculation-sheet'!O9*'Output-Calculation-sheet'!O18</f>
        <v>0</v>
      </c>
      <c r="P32" s="2">
        <f>P10/'Output-Calculation-sheet'!P9*'Output-Calculation-sheet'!P18</f>
        <v>2477.7064586597839</v>
      </c>
      <c r="Q32" s="2">
        <f>Q10/'Output-Calculation-sheet'!Q9*'Output-Calculation-sheet'!Q18</f>
        <v>2400.0513074462665</v>
      </c>
      <c r="R32" s="2">
        <f>R10/'Output-Calculation-sheet'!R9*'Output-Calculation-sheet'!R18</f>
        <v>2157.2655868993525</v>
      </c>
      <c r="S32" s="2">
        <f>S10/'Output-Calculation-sheet'!S9*'Output-Calculation-sheet'!S18</f>
        <v>1028.1645312982141</v>
      </c>
      <c r="T32" s="2">
        <f>T10/'Output-Calculation-sheet'!T9*'Output-Calculation-sheet'!T18</f>
        <v>798.23911882089726</v>
      </c>
      <c r="U32" s="2">
        <f>U10/'Output-Calculation-sheet'!U9*'Output-Calculation-sheet'!U18</f>
        <v>622.33105342968474</v>
      </c>
      <c r="V32" s="2">
        <f>V10/'Output-Calculation-sheet'!V9*'Output-Calculation-sheet'!V18</f>
        <v>785.17881633808565</v>
      </c>
      <c r="W32" s="2">
        <f>W10/'Output-Calculation-sheet'!W9*'Output-Calculation-sheet'!W18</f>
        <v>383.10346787937272</v>
      </c>
      <c r="X32" s="2">
        <f>X10/'Output-Calculation-sheet'!X9*'Output-Calculation-sheet'!X18</f>
        <v>0</v>
      </c>
      <c r="Y32" s="2">
        <f>Y10/'Output-Calculation-sheet'!Y9*'Output-Calculation-sheet'!Y18</f>
        <v>262.17127326093981</v>
      </c>
      <c r="AA32" s="2">
        <f t="shared" si="1"/>
        <v>75.501619500956409</v>
      </c>
    </row>
    <row r="33" spans="1:27" x14ac:dyDescent="0.25">
      <c r="A33" s="2">
        <v>2034</v>
      </c>
      <c r="B33" s="2">
        <f>B11/'Output-Calculation-sheet'!B10*'Output-Calculation-sheet'!B19</f>
        <v>27301.80701622575</v>
      </c>
      <c r="C33" s="2">
        <f>C11/'Output-Calculation-sheet'!C10*'Output-Calculation-sheet'!C19</f>
        <v>0</v>
      </c>
      <c r="D33" s="2">
        <f>D11/'Output-Calculation-sheet'!D10*'Output-Calculation-sheet'!D19</f>
        <v>6575.0638084155944</v>
      </c>
      <c r="E33" s="2">
        <f>E11/'Output-Calculation-sheet'!E10*'Output-Calculation-sheet'!E19</f>
        <v>8276.1939863340813</v>
      </c>
      <c r="F33" s="2">
        <f>F11/'Output-Calculation-sheet'!F10*'Output-Calculation-sheet'!F19</f>
        <v>4028.7438513715674</v>
      </c>
      <c r="G33" s="2">
        <f>G11/'Output-Calculation-sheet'!G10*'Output-Calculation-sheet'!G19</f>
        <v>2445.6161589222206</v>
      </c>
      <c r="H33" s="2">
        <f>H11/'Output-Calculation-sheet'!H10*'Output-Calculation-sheet'!H19</f>
        <v>0</v>
      </c>
      <c r="I33" s="2">
        <f>I11/'Output-Calculation-sheet'!I10*'Output-Calculation-sheet'!I19</f>
        <v>2311.223495110336</v>
      </c>
      <c r="J33" s="2">
        <f>J11/'Output-Calculation-sheet'!J10*'Output-Calculation-sheet'!J19</f>
        <v>2467.8666896258164</v>
      </c>
      <c r="K33" s="2">
        <f>K11/'Output-Calculation-sheet'!K10*'Output-Calculation-sheet'!K19</f>
        <v>2407.4295251074818</v>
      </c>
      <c r="L33" s="2">
        <f>L11/'Output-Calculation-sheet'!L10*'Output-Calculation-sheet'!L19</f>
        <v>2588.0499773470397</v>
      </c>
      <c r="M33" s="2">
        <f>M11/'Output-Calculation-sheet'!M10*'Output-Calculation-sheet'!M19</f>
        <v>0</v>
      </c>
      <c r="N33" s="2">
        <f>N11/'Output-Calculation-sheet'!N10*'Output-Calculation-sheet'!N19</f>
        <v>974.24973474445608</v>
      </c>
      <c r="O33" s="2">
        <f>O11/'Output-Calculation-sheet'!O10*'Output-Calculation-sheet'!O19</f>
        <v>0</v>
      </c>
      <c r="P33" s="2">
        <f>P11/'Output-Calculation-sheet'!P10*'Output-Calculation-sheet'!P19</f>
        <v>2357.4074193623519</v>
      </c>
      <c r="Q33" s="2">
        <f>Q11/'Output-Calculation-sheet'!Q10*'Output-Calculation-sheet'!Q19</f>
        <v>2249.5366282126852</v>
      </c>
      <c r="R33" s="2">
        <f>R11/'Output-Calculation-sheet'!R10*'Output-Calculation-sheet'!R19</f>
        <v>2038.6552003103563</v>
      </c>
      <c r="S33" s="2">
        <f>S11/'Output-Calculation-sheet'!S10*'Output-Calculation-sheet'!S19</f>
        <v>939.65748407593298</v>
      </c>
      <c r="T33" s="2">
        <f>T11/'Output-Calculation-sheet'!T10*'Output-Calculation-sheet'!T19</f>
        <v>743.77209508162639</v>
      </c>
      <c r="U33" s="2">
        <f>U11/'Output-Calculation-sheet'!U10*'Output-Calculation-sheet'!U19</f>
        <v>584.72924550869959</v>
      </c>
      <c r="V33" s="2">
        <f>V11/'Output-Calculation-sheet'!V10*'Output-Calculation-sheet'!V19</f>
        <v>727.75362612371293</v>
      </c>
      <c r="W33" s="2">
        <f>W11/'Output-Calculation-sheet'!W10*'Output-Calculation-sheet'!W19</f>
        <v>356.99999664462763</v>
      </c>
      <c r="X33" s="2">
        <f>X11/'Output-Calculation-sheet'!X10*'Output-Calculation-sheet'!X19</f>
        <v>0</v>
      </c>
      <c r="Y33" s="2">
        <f>Y11/'Output-Calculation-sheet'!Y10*'Output-Calculation-sheet'!Y19</f>
        <v>245.28678370679631</v>
      </c>
      <c r="AA33" s="2">
        <f t="shared" si="1"/>
        <v>69.620042722231133</v>
      </c>
    </row>
    <row r="34" spans="1:27" x14ac:dyDescent="0.25">
      <c r="A34" s="2">
        <v>2035</v>
      </c>
      <c r="B34" s="2">
        <f>B12/'Output-Calculation-sheet'!B11*'Output-Calculation-sheet'!B20</f>
        <v>22962.072292998455</v>
      </c>
      <c r="C34" s="2">
        <f>C12/'Output-Calculation-sheet'!C11*'Output-Calculation-sheet'!C20</f>
        <v>0</v>
      </c>
      <c r="D34" s="2">
        <f>D12/'Output-Calculation-sheet'!D11*'Output-Calculation-sheet'!D20</f>
        <v>5784.6205961425358</v>
      </c>
      <c r="E34" s="2">
        <f>E12/'Output-Calculation-sheet'!E11*'Output-Calculation-sheet'!E20</f>
        <v>7281.3731796453094</v>
      </c>
      <c r="F34" s="2">
        <f>F12/'Output-Calculation-sheet'!F11*'Output-Calculation-sheet'!F20</f>
        <v>3538.5577993574484</v>
      </c>
      <c r="G34" s="2">
        <f>G12/'Output-Calculation-sheet'!G11*'Output-Calculation-sheet'!G20</f>
        <v>2155.3433842964428</v>
      </c>
      <c r="H34" s="2">
        <f>H12/'Output-Calculation-sheet'!H11*'Output-Calculation-sheet'!H20</f>
        <v>0</v>
      </c>
      <c r="I34" s="2">
        <f>I12/'Output-Calculation-sheet'!I11*'Output-Calculation-sheet'!I20</f>
        <v>2032.9088999149901</v>
      </c>
      <c r="J34" s="2">
        <f>J12/'Output-Calculation-sheet'!J11*'Output-Calculation-sheet'!J20</f>
        <v>2163.8841859951021</v>
      </c>
      <c r="K34" s="2">
        <f>K12/'Output-Calculation-sheet'!K11*'Output-Calculation-sheet'!K20</f>
        <v>2120.5719388567636</v>
      </c>
      <c r="L34" s="2">
        <f>L12/'Output-Calculation-sheet'!L11*'Output-Calculation-sheet'!L20</f>
        <v>2237.5420414618929</v>
      </c>
      <c r="M34" s="2">
        <f>M12/'Output-Calculation-sheet'!M11*'Output-Calculation-sheet'!M20</f>
        <v>0</v>
      </c>
      <c r="N34" s="2">
        <f>N12/'Output-Calculation-sheet'!N11*'Output-Calculation-sheet'!N20</f>
        <v>820.74259316039399</v>
      </c>
      <c r="O34" s="2">
        <f>O12/'Output-Calculation-sheet'!O11*'Output-Calculation-sheet'!O20</f>
        <v>0</v>
      </c>
      <c r="P34" s="2">
        <f>P12/'Output-Calculation-sheet'!P11*'Output-Calculation-sheet'!P20</f>
        <v>2104.9615739808719</v>
      </c>
      <c r="Q34" s="2">
        <f>Q12/'Output-Calculation-sheet'!Q11*'Output-Calculation-sheet'!Q20</f>
        <v>1943.6506357650783</v>
      </c>
      <c r="R34" s="2">
        <f>R12/'Output-Calculation-sheet'!R11*'Output-Calculation-sheet'!R20</f>
        <v>1808.2876383697578</v>
      </c>
      <c r="S34" s="2">
        <f>S12/'Output-Calculation-sheet'!S11*'Output-Calculation-sheet'!S20</f>
        <v>811.16674251667337</v>
      </c>
      <c r="T34" s="2">
        <f>T12/'Output-Calculation-sheet'!T11*'Output-Calculation-sheet'!T20</f>
        <v>653.19271509093949</v>
      </c>
      <c r="U34" s="2">
        <f>U12/'Output-Calculation-sheet'!U11*'Output-Calculation-sheet'!U20</f>
        <v>514.47702319154212</v>
      </c>
      <c r="V34" s="2">
        <f>V12/'Output-Calculation-sheet'!V11*'Output-Calculation-sheet'!V20</f>
        <v>638.30209455905617</v>
      </c>
      <c r="W34" s="2">
        <f>W12/'Output-Calculation-sheet'!W11*'Output-Calculation-sheet'!W20</f>
        <v>313.34247219283128</v>
      </c>
      <c r="X34" s="2">
        <f>X12/'Output-Calculation-sheet'!X11*'Output-Calculation-sheet'!X20</f>
        <v>0</v>
      </c>
      <c r="Y34" s="2">
        <f>Y12/'Output-Calculation-sheet'!Y11*'Output-Calculation-sheet'!Y20</f>
        <v>215.57964056569116</v>
      </c>
      <c r="AA34" s="2">
        <f t="shared" si="1"/>
        <v>60.100577448061777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166.75724997594048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148.43906464063889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645.48117438941927</v>
      </c>
      <c r="S52" s="2">
        <f>S8/'Output-Calculation-sheet'!S7*'Output-Calculation-sheet'!S43</f>
        <v>0</v>
      </c>
      <c r="T52" s="2">
        <f>T8/'Output-Calculation-sheet'!T7*'Output-Calculation-sheet'!T43</f>
        <v>519.75283221838185</v>
      </c>
      <c r="U52" s="2">
        <f>U8/'Output-Calculation-sheet'!U7*'Output-Calculation-sheet'!U43</f>
        <v>54.972646868163473</v>
      </c>
      <c r="V52" s="2">
        <f>V8/'Output-Calculation-sheet'!V7*'Output-Calculation-sheet'!V43</f>
        <v>937.2655999137055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2.4726685680062492</v>
      </c>
    </row>
    <row r="53" spans="1:27" x14ac:dyDescent="0.25">
      <c r="A53" s="2">
        <v>2032</v>
      </c>
      <c r="B53" s="2">
        <f>B9/'Output-Calculation-sheet'!B8*'Output-Calculation-sheet'!B44</f>
        <v>1892.1265514905801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356.71127686225884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285.77407856424293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893.42779376200497</v>
      </c>
      <c r="S53" s="2">
        <f>S9/'Output-Calculation-sheet'!S8*'Output-Calculation-sheet'!S44</f>
        <v>0</v>
      </c>
      <c r="T53" s="2">
        <f>T9/'Output-Calculation-sheet'!T8*'Output-Calculation-sheet'!T44</f>
        <v>616.00057300202479</v>
      </c>
      <c r="U53" s="2">
        <f>U9/'Output-Calculation-sheet'!U8*'Output-Calculation-sheet'!U44</f>
        <v>104.52645952082302</v>
      </c>
      <c r="V53" s="2">
        <f>V9/'Output-Calculation-sheet'!V8*'Output-Calculation-sheet'!V44</f>
        <v>1032.6795602961829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5.181246293498118</v>
      </c>
    </row>
    <row r="54" spans="1:27" x14ac:dyDescent="0.25">
      <c r="A54" s="2">
        <v>2033</v>
      </c>
      <c r="B54" s="2">
        <f>B10/'Output-Calculation-sheet'!B9*'Output-Calculation-sheet'!B45</f>
        <v>5629.2833466664797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495.25235479232788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472.33840325888764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278.33384283929308</v>
      </c>
      <c r="Q54" s="2">
        <f>Q10/'Output-Calculation-sheet'!Q9*'Output-Calculation-sheet'!Q45</f>
        <v>0</v>
      </c>
      <c r="R54" s="2">
        <f>R10/'Output-Calculation-sheet'!R9*'Output-Calculation-sheet'!R45</f>
        <v>1127.6556073066035</v>
      </c>
      <c r="S54" s="2">
        <f>S10/'Output-Calculation-sheet'!S9*'Output-Calculation-sheet'!S45</f>
        <v>0</v>
      </c>
      <c r="T54" s="2">
        <f>T10/'Output-Calculation-sheet'!T9*'Output-Calculation-sheet'!T45</f>
        <v>677.93855053478978</v>
      </c>
      <c r="U54" s="2">
        <f>U10/'Output-Calculation-sheet'!U9*'Output-Calculation-sheet'!U45</f>
        <v>161.96752311876278</v>
      </c>
      <c r="V54" s="2">
        <f>V10/'Output-Calculation-sheet'!V9*'Output-Calculation-sheet'!V45</f>
        <v>1064.0768577101026</v>
      </c>
      <c r="W54" s="2">
        <f>W10/'Output-Calculation-sheet'!W9*'Output-Calculation-sheet'!W45</f>
        <v>17.303484282217802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9.9241499705094647</v>
      </c>
    </row>
    <row r="55" spans="1:27" x14ac:dyDescent="0.25">
      <c r="A55" s="2">
        <v>2034</v>
      </c>
      <c r="B55" s="2">
        <f>B11/'Output-Calculation-sheet'!B10*'Output-Calculation-sheet'!B46</f>
        <v>9370.7561537480324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624.47697213404547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614.39207703601744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497.3097637632801</v>
      </c>
      <c r="Q55" s="2">
        <f>Q11/'Output-Calculation-sheet'!Q10*'Output-Calculation-sheet'!Q46</f>
        <v>0</v>
      </c>
      <c r="R55" s="2">
        <f>R11/'Output-Calculation-sheet'!R10*'Output-Calculation-sheet'!R46</f>
        <v>1290.9275262138153</v>
      </c>
      <c r="S55" s="2">
        <f>S11/'Output-Calculation-sheet'!S10*'Output-Calculation-sheet'!S46</f>
        <v>0</v>
      </c>
      <c r="T55" s="2">
        <f>T11/'Output-Calculation-sheet'!T10*'Output-Calculation-sheet'!T46</f>
        <v>671.40564164457464</v>
      </c>
      <c r="U55" s="2">
        <f>U11/'Output-Calculation-sheet'!U10*'Output-Calculation-sheet'!U46</f>
        <v>210.67853525086713</v>
      </c>
      <c r="V55" s="2">
        <f>V11/'Output-Calculation-sheet'!V10*'Output-Calculation-sheet'!V46</f>
        <v>1011.84549370807</v>
      </c>
      <c r="W55" s="2">
        <f>W11/'Output-Calculation-sheet'!W10*'Output-Calculation-sheet'!W46</f>
        <v>28.134287765833488</v>
      </c>
      <c r="X55" s="2">
        <f>X11/'Output-Calculation-sheet'!X10*'Output-Calculation-sheet'!X46</f>
        <v>67.296348988853012</v>
      </c>
      <c r="Y55" s="2">
        <f>Y11/'Output-Calculation-sheet'!Y10*'Output-Calculation-sheet'!Y46</f>
        <v>0</v>
      </c>
      <c r="AA55" s="2">
        <f t="shared" si="3"/>
        <v>14.387222800253388</v>
      </c>
    </row>
    <row r="56" spans="1:27" x14ac:dyDescent="0.25">
      <c r="A56" s="2">
        <v>2035</v>
      </c>
      <c r="B56" s="2">
        <f>B12/'Output-Calculation-sheet'!B11*'Output-Calculation-sheet'!B47</f>
        <v>17913.659904406592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661.06011253258021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639.61201080514491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608.84299199486406</v>
      </c>
      <c r="Q56" s="2">
        <f>Q12/'Output-Calculation-sheet'!Q11*'Output-Calculation-sheet'!Q47</f>
        <v>0</v>
      </c>
      <c r="R56" s="2">
        <f>R12/'Output-Calculation-sheet'!R11*'Output-Calculation-sheet'!R47</f>
        <v>1390.6632761651504</v>
      </c>
      <c r="S56" s="2">
        <f>S12/'Output-Calculation-sheet'!S11*'Output-Calculation-sheet'!S47</f>
        <v>0</v>
      </c>
      <c r="T56" s="2">
        <f>T12/'Output-Calculation-sheet'!T11*'Output-Calculation-sheet'!T47</f>
        <v>659.7661651399485</v>
      </c>
      <c r="U56" s="2">
        <f>U12/'Output-Calculation-sheet'!U11*'Output-Calculation-sheet'!U47</f>
        <v>252.66423615373776</v>
      </c>
      <c r="V56" s="2">
        <f>V12/'Output-Calculation-sheet'!V11*'Output-Calculation-sheet'!V47</f>
        <v>901.07506671824035</v>
      </c>
      <c r="W56" s="2">
        <f>W12/'Output-Calculation-sheet'!W11*'Output-Calculation-sheet'!W47</f>
        <v>35.146993022347374</v>
      </c>
      <c r="X56" s="2">
        <f>X12/'Output-Calculation-sheet'!X11*'Output-Calculation-sheet'!X47</f>
        <v>138.71636421880777</v>
      </c>
      <c r="Y56" s="2">
        <f>Y12/'Output-Calculation-sheet'!Y11*'Output-Calculation-sheet'!Y47</f>
        <v>0</v>
      </c>
      <c r="AA56" s="2">
        <f t="shared" si="3"/>
        <v>23.201207121157406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 t="shared" ref="AA60:AA67" si="4"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si="4"/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8.0523565364481726</v>
      </c>
      <c r="C63" s="2">
        <f>C8*'Output-Calculation-sheet'!C52/10^9</f>
        <v>4.0815525090533988</v>
      </c>
      <c r="D63" s="2">
        <f>D8*'Output-Calculation-sheet'!D52/10^9</f>
        <v>1.4258681237277684</v>
      </c>
      <c r="E63" s="2">
        <f>E8*'Output-Calculation-sheet'!E52/10^9</f>
        <v>1.8359316369692937</v>
      </c>
      <c r="F63" s="2">
        <f>F8*'Output-Calculation-sheet'!F52/10^9</f>
        <v>0.76366002627742413</v>
      </c>
      <c r="G63" s="2">
        <f>G8*'Output-Calculation-sheet'!G52/10^9</f>
        <v>0.54794423620813215</v>
      </c>
      <c r="H63" s="2">
        <f>H8*'Output-Calculation-sheet'!H52/10^9</f>
        <v>1.05846729683745</v>
      </c>
      <c r="I63" s="2">
        <f>I8*'Output-Calculation-sheet'!I52/10^9</f>
        <v>0.49119694416362164</v>
      </c>
      <c r="J63" s="2">
        <f>J8*'Output-Calculation-sheet'!J52/10^9</f>
        <v>0.52805591199496249</v>
      </c>
      <c r="K63" s="2">
        <f>K8*'Output-Calculation-sheet'!K52/10^9</f>
        <v>0.53923703736072881</v>
      </c>
      <c r="L63" s="2">
        <f>L8*'Output-Calculation-sheet'!L52/10^9</f>
        <v>0.56081234787686796</v>
      </c>
      <c r="M63" s="2">
        <f>M8*'Output-Calculation-sheet'!M52/10^9</f>
        <v>0.80037187443977054</v>
      </c>
      <c r="N63" s="2">
        <f>N8*'Output-Calculation-sheet'!N52/10^9</f>
        <v>0.6762218034463563</v>
      </c>
      <c r="O63" s="2">
        <f>O8*'Output-Calculation-sheet'!O52/10^9</f>
        <v>0.70052352014994523</v>
      </c>
      <c r="P63" s="2">
        <f>P8*'Output-Calculation-sheet'!P52/10^9</f>
        <v>0.58057519300167115</v>
      </c>
      <c r="Q63" s="2">
        <f>Q8*'Output-Calculation-sheet'!Q52/10^9</f>
        <v>0.54921953108593957</v>
      </c>
      <c r="R63" s="2">
        <f>R8*'Output-Calculation-sheet'!R52/10^9</f>
        <v>0.46268533989167376</v>
      </c>
      <c r="S63" s="2">
        <f>S8*'Output-Calculation-sheet'!S52/10^9</f>
        <v>0.42541037485294486</v>
      </c>
      <c r="T63" s="2">
        <f>T8*'Output-Calculation-sheet'!T52/10^9</f>
        <v>0.1515091476233493</v>
      </c>
      <c r="U63" s="2">
        <f>U8*'Output-Calculation-sheet'!U52/10^9</f>
        <v>0.14861990140702516</v>
      </c>
      <c r="V63" s="2">
        <f>V8*'Output-Calculation-sheet'!V52/10^9</f>
        <v>0.1332030026284054</v>
      </c>
      <c r="W63" s="2">
        <f>W8*'Output-Calculation-sheet'!W52/10^9</f>
        <v>6.9534179067577487E-2</v>
      </c>
      <c r="X63" s="2">
        <f>X8*'Output-Calculation-sheet'!X52/10^9</f>
        <v>0.1123687291953364</v>
      </c>
      <c r="Y63" s="2">
        <f>Y8*'Output-Calculation-sheet'!Y52/10^9</f>
        <v>5.7957539499857061E-2</v>
      </c>
      <c r="AA63" s="2">
        <f t="shared" si="4"/>
        <v>24.75328274320767</v>
      </c>
    </row>
    <row r="64" spans="1:27" x14ac:dyDescent="0.25">
      <c r="A64" s="2">
        <v>2032</v>
      </c>
      <c r="B64" s="2">
        <f>B9*'Output-Calculation-sheet'!B53/10^9</f>
        <v>8.5530778220474541</v>
      </c>
      <c r="C64" s="2">
        <f>C9*'Output-Calculation-sheet'!C53/10^9</f>
        <v>4.3314778864504584</v>
      </c>
      <c r="D64" s="2">
        <f>D9*'Output-Calculation-sheet'!D53/10^9</f>
        <v>1.5172555039965723</v>
      </c>
      <c r="E64" s="2">
        <f>E9*'Output-Calculation-sheet'!E53/10^9</f>
        <v>1.9538549560637111</v>
      </c>
      <c r="F64" s="2">
        <f>F9*'Output-Calculation-sheet'!F53/10^9</f>
        <v>0.81200506505090453</v>
      </c>
      <c r="G64" s="2">
        <f>G9*'Output-Calculation-sheet'!G53/10^9</f>
        <v>0.58293844388235683</v>
      </c>
      <c r="H64" s="2">
        <f>H9*'Output-Calculation-sheet'!H53/10^9</f>
        <v>1.1218977752783508</v>
      </c>
      <c r="I64" s="2">
        <f>I9*'Output-Calculation-sheet'!I53/10^9</f>
        <v>0.52262775053773347</v>
      </c>
      <c r="J64" s="2">
        <f>J9*'Output-Calculation-sheet'!J53/10^9</f>
        <v>0.56167108479252836</v>
      </c>
      <c r="K64" s="2">
        <f>K9*'Output-Calculation-sheet'!K53/10^9</f>
        <v>0.57390646780939314</v>
      </c>
      <c r="L64" s="2">
        <f>L9*'Output-Calculation-sheet'!L53/10^9</f>
        <v>0.59668492256630457</v>
      </c>
      <c r="M64" s="2">
        <f>M9*'Output-Calculation-sheet'!M53/10^9</f>
        <v>0.8485415401780606</v>
      </c>
      <c r="N64" s="2">
        <f>N9*'Output-Calculation-sheet'!N53/10^9</f>
        <v>0.71770954497511119</v>
      </c>
      <c r="O64" s="2">
        <f>O9*'Output-Calculation-sheet'!O53/10^9</f>
        <v>0.74365220143712574</v>
      </c>
      <c r="P64" s="2">
        <f>P9*'Output-Calculation-sheet'!P53/10^9</f>
        <v>0.61826373076436902</v>
      </c>
      <c r="Q64" s="2">
        <f>Q9*'Output-Calculation-sheet'!Q53/10^9</f>
        <v>0.58478395014958928</v>
      </c>
      <c r="R64" s="2">
        <f>R9*'Output-Calculation-sheet'!R53/10^9</f>
        <v>0.49185271513104256</v>
      </c>
      <c r="S64" s="2">
        <f>S9*'Output-Calculation-sheet'!S53/10^9</f>
        <v>0.45191602448035423</v>
      </c>
      <c r="T64" s="2">
        <f>T9*'Output-Calculation-sheet'!T53/10^9</f>
        <v>0.16070704811654427</v>
      </c>
      <c r="U64" s="2">
        <f>U9*'Output-Calculation-sheet'!U53/10^9</f>
        <v>0.15820854756327674</v>
      </c>
      <c r="V64" s="2">
        <f>V9*'Output-Calculation-sheet'!V53/10^9</f>
        <v>0.14082215036708423</v>
      </c>
      <c r="W64" s="2">
        <f>W9*'Output-Calculation-sheet'!W53/10^9</f>
        <v>7.3945927228118519E-2</v>
      </c>
      <c r="X64" s="2">
        <f>X9*'Output-Calculation-sheet'!X53/10^9</f>
        <v>0.11921612857147469</v>
      </c>
      <c r="Y64" s="2">
        <f>Y9*'Output-Calculation-sheet'!Y53/10^9</f>
        <v>6.1699177774095053E-2</v>
      </c>
      <c r="AA64" s="2">
        <f t="shared" si="4"/>
        <v>26.298716365212019</v>
      </c>
    </row>
    <row r="65" spans="1:27" x14ac:dyDescent="0.25">
      <c r="A65" s="2">
        <v>2033</v>
      </c>
      <c r="B65" s="2">
        <f>B10*'Output-Calculation-sheet'!B54/10^9</f>
        <v>8.4161157043046337</v>
      </c>
      <c r="C65" s="2">
        <f>C10*'Output-Calculation-sheet'!C54/10^9</f>
        <v>4.2607870609911833</v>
      </c>
      <c r="D65" s="2">
        <f>D10*'Output-Calculation-sheet'!D54/10^9</f>
        <v>1.4969005832816589</v>
      </c>
      <c r="E65" s="2">
        <f>E10*'Output-Calculation-sheet'!E54/10^9</f>
        <v>1.9278910698937581</v>
      </c>
      <c r="F65" s="2">
        <f>F10*'Output-Calculation-sheet'!F54/10^9</f>
        <v>0.80051364909099287</v>
      </c>
      <c r="G65" s="2">
        <f>G10*'Output-Calculation-sheet'!G54/10^9</f>
        <v>0.57486735944989875</v>
      </c>
      <c r="H65" s="2">
        <f>H10*'Output-Calculation-sheet'!H54/10^9</f>
        <v>1.1022583129687074</v>
      </c>
      <c r="I65" s="2">
        <f>I10*'Output-Calculation-sheet'!I54/10^9</f>
        <v>0.51556787788542335</v>
      </c>
      <c r="J65" s="2">
        <f>J10*'Output-Calculation-sheet'!J54/10^9</f>
        <v>0.55378570581489739</v>
      </c>
      <c r="K65" s="2">
        <f>K10*'Output-Calculation-sheet'!K54/10^9</f>
        <v>0.56631445330875119</v>
      </c>
      <c r="L65" s="2">
        <f>L10*'Output-Calculation-sheet'!L54/10^9</f>
        <v>0.58860654774858367</v>
      </c>
      <c r="M65" s="2">
        <f>M10*'Output-Calculation-sheet'!M54/10^9</f>
        <v>0.83388197711586187</v>
      </c>
      <c r="N65" s="2">
        <f>N10*'Output-Calculation-sheet'!N54/10^9</f>
        <v>0.70588833433654918</v>
      </c>
      <c r="O65" s="2">
        <f>O10*'Output-Calculation-sheet'!O54/10^9</f>
        <v>0.731654980908088</v>
      </c>
      <c r="P65" s="2">
        <f>P10*'Output-Calculation-sheet'!P54/10^9</f>
        <v>0.610313862157433</v>
      </c>
      <c r="Q65" s="2">
        <f>Q10*'Output-Calculation-sheet'!Q54/10^9</f>
        <v>0.57729333729051546</v>
      </c>
      <c r="R65" s="2">
        <f>R10*'Output-Calculation-sheet'!R54/10^9</f>
        <v>0.48463267110840003</v>
      </c>
      <c r="S65" s="2">
        <f>S10*'Output-Calculation-sheet'!S54/10^9</f>
        <v>0.44486993752321213</v>
      </c>
      <c r="T65" s="2">
        <f>T10*'Output-Calculation-sheet'!T54/10^9</f>
        <v>0.15799523340959543</v>
      </c>
      <c r="U65" s="2">
        <f>U10*'Output-Calculation-sheet'!U54/10^9</f>
        <v>0.15610930101298642</v>
      </c>
      <c r="V65" s="2">
        <f>V10*'Output-Calculation-sheet'!V54/10^9</f>
        <v>0.13802139037381134</v>
      </c>
      <c r="W65" s="2">
        <f>W10*'Output-Calculation-sheet'!W54/10^9</f>
        <v>7.2900435666962499E-2</v>
      </c>
      <c r="X65" s="2">
        <f>X10*'Output-Calculation-sheet'!X54/10^9</f>
        <v>0.11724345902350017</v>
      </c>
      <c r="Y65" s="2">
        <f>Y10*'Output-Calculation-sheet'!Y54/10^9</f>
        <v>6.0898509559860675E-2</v>
      </c>
      <c r="AA65" s="2">
        <f t="shared" si="4"/>
        <v>25.895311754225268</v>
      </c>
    </row>
    <row r="66" spans="1:27" x14ac:dyDescent="0.25">
      <c r="A66" s="2">
        <v>2034</v>
      </c>
      <c r="B66" s="2">
        <f>B11*'Output-Calculation-sheet'!B55/10^9</f>
        <v>7.7493194038399604</v>
      </c>
      <c r="C66" s="2">
        <f>C11*'Output-Calculation-sheet'!C55/10^9</f>
        <v>3.9254344830703976</v>
      </c>
      <c r="D66" s="2">
        <f>D11*'Output-Calculation-sheet'!D55/10^9</f>
        <v>1.3835277152366021</v>
      </c>
      <c r="E66" s="2">
        <f>E11*'Output-Calculation-sheet'!E55/10^9</f>
        <v>1.7820917602425341</v>
      </c>
      <c r="F66" s="2">
        <f>F11*'Output-Calculation-sheet'!F55/10^9</f>
        <v>0.73932122230042241</v>
      </c>
      <c r="G66" s="2">
        <f>G11*'Output-Calculation-sheet'!G55/10^9</f>
        <v>0.53100463728790648</v>
      </c>
      <c r="H66" s="2">
        <f>H11*'Output-Calculation-sheet'!H55/10^9</f>
        <v>1.0142994209589806</v>
      </c>
      <c r="I66" s="2">
        <f>I11*'Output-Calculation-sheet'!I55/10^9</f>
        <v>0.47646972404932458</v>
      </c>
      <c r="J66" s="2">
        <f>J11*'Output-Calculation-sheet'!J55/10^9</f>
        <v>0.51140266393980782</v>
      </c>
      <c r="K66" s="2">
        <f>K11*'Output-Calculation-sheet'!K55/10^9</f>
        <v>0.52351358037250695</v>
      </c>
      <c r="L66" s="2">
        <f>L11*'Output-Calculation-sheet'!L55/10^9</f>
        <v>0.54359856122414207</v>
      </c>
      <c r="M66" s="2">
        <f>M11*'Output-Calculation-sheet'!M55/10^9</f>
        <v>0.76750330291133395</v>
      </c>
      <c r="N66" s="2">
        <f>N11*'Output-Calculation-sheet'!N55/10^9</f>
        <v>0.65009070683196402</v>
      </c>
      <c r="O66" s="2">
        <f>O11*'Output-Calculation-sheet'!O55/10^9</f>
        <v>0.67415188972720685</v>
      </c>
      <c r="P66" s="2">
        <f>P11*'Output-Calculation-sheet'!P55/10^9</f>
        <v>0.56417659032881184</v>
      </c>
      <c r="Q66" s="2">
        <f>Q11*'Output-Calculation-sheet'!Q55/10^9</f>
        <v>0.53389058824993607</v>
      </c>
      <c r="R66" s="2">
        <f>R11*'Output-Calculation-sheet'!R55/10^9</f>
        <v>0.44717179823425113</v>
      </c>
      <c r="S66" s="2">
        <f>S11*'Output-Calculation-sheet'!S55/10^9</f>
        <v>0.41010142255813181</v>
      </c>
      <c r="T66" s="2">
        <f>T11*'Output-Calculation-sheet'!T55/10^9</f>
        <v>0.1454877540987275</v>
      </c>
      <c r="U66" s="2">
        <f>U11*'Output-Calculation-sheet'!U55/10^9</f>
        <v>0.14426981233186764</v>
      </c>
      <c r="V66" s="2">
        <f>V11*'Output-Calculation-sheet'!V55/10^9</f>
        <v>0.12673062231004992</v>
      </c>
      <c r="W66" s="2">
        <f>W11*'Output-Calculation-sheet'!W55/10^9</f>
        <v>6.732182639259085E-2</v>
      </c>
      <c r="X66" s="2">
        <f>X11*'Output-Calculation-sheet'!X55/10^9</f>
        <v>0.1079386583229802</v>
      </c>
      <c r="Y66" s="2">
        <f>Y11*'Output-Calculation-sheet'!Y55/10^9</f>
        <v>5.6310990776307281E-2</v>
      </c>
      <c r="AA66" s="2">
        <f t="shared" si="4"/>
        <v>23.875129135596737</v>
      </c>
    </row>
    <row r="67" spans="1:27" x14ac:dyDescent="0.25">
      <c r="A67" s="2">
        <v>2035</v>
      </c>
      <c r="B67" s="2">
        <f>B12*'Output-Calculation-sheet'!B56/10^9</f>
        <v>6.7036677539183396</v>
      </c>
      <c r="C67" s="2">
        <f>C12*'Output-Calculation-sheet'!C56/10^9</f>
        <v>3.4027434245549437</v>
      </c>
      <c r="D67" s="2">
        <f>D12*'Output-Calculation-sheet'!D56/10^9</f>
        <v>1.2034971947336959</v>
      </c>
      <c r="E67" s="2">
        <f>E12*'Output-Calculation-sheet'!E56/10^9</f>
        <v>1.5503831943346686</v>
      </c>
      <c r="F67" s="2">
        <f>F12*'Output-Calculation-sheet'!F56/10^9</f>
        <v>0.64262170848572775</v>
      </c>
      <c r="G67" s="2">
        <f>G12*'Output-Calculation-sheet'!G56/10^9</f>
        <v>0.46152928727078335</v>
      </c>
      <c r="H67" s="2">
        <f>H12*'Output-Calculation-sheet'!H56/10^9</f>
        <v>0.87819840790987147</v>
      </c>
      <c r="I67" s="2">
        <f>I12*'Output-Calculation-sheet'!I56/10^9</f>
        <v>0.41442338847717214</v>
      </c>
      <c r="J67" s="2">
        <f>J12*'Output-Calculation-sheet'!J56/10^9</f>
        <v>0.44440412020815523</v>
      </c>
      <c r="K67" s="2">
        <f>K12*'Output-Calculation-sheet'!K56/10^9</f>
        <v>0.45546786986743665</v>
      </c>
      <c r="L67" s="2">
        <f>L12*'Output-Calculation-sheet'!L56/10^9</f>
        <v>0.47206155797565974</v>
      </c>
      <c r="M67" s="2">
        <f>M12*'Output-Calculation-sheet'!M56/10^9</f>
        <v>0.66464660857700231</v>
      </c>
      <c r="N67" s="2">
        <f>N12*'Output-Calculation-sheet'!N56/10^9</f>
        <v>0.5632751882276108</v>
      </c>
      <c r="O67" s="2">
        <f>O12*'Output-Calculation-sheet'!O56/10^9</f>
        <v>0.58436777413973173</v>
      </c>
      <c r="P67" s="2">
        <f>P12*'Output-Calculation-sheet'!P56/10^9</f>
        <v>0.49067094432593072</v>
      </c>
      <c r="Q67" s="2">
        <f>Q12*'Output-Calculation-sheet'!Q56/10^9</f>
        <v>0.46465718128700961</v>
      </c>
      <c r="R67" s="2">
        <f>R12*'Output-Calculation-sheet'!R56/10^9</f>
        <v>0.38819095865217923</v>
      </c>
      <c r="S67" s="2">
        <f>S12*'Output-Calculation-sheet'!S56/10^9</f>
        <v>0.35570630326195141</v>
      </c>
      <c r="T67" s="2">
        <f>T12*'Output-Calculation-sheet'!T56/10^9</f>
        <v>0.12605972771254312</v>
      </c>
      <c r="U67" s="2">
        <f>U12*'Output-Calculation-sheet'!U56/10^9</f>
        <v>0.12543785077347408</v>
      </c>
      <c r="V67" s="2">
        <f>V12*'Output-Calculation-sheet'!V56/10^9</f>
        <v>0.10950800249105849</v>
      </c>
      <c r="W67" s="2">
        <f>W12*'Output-Calculation-sheet'!W56/10^9</f>
        <v>5.8503662844362335E-2</v>
      </c>
      <c r="X67" s="2">
        <f>X12*'Output-Calculation-sheet'!X56/10^9</f>
        <v>9.3399715109246245E-2</v>
      </c>
      <c r="Y67" s="2">
        <f>Y12*'Output-Calculation-sheet'!Y56/10^9</f>
        <v>4.9005421325093529E-2</v>
      </c>
      <c r="AA67" s="2">
        <f t="shared" si="4"/>
        <v>20.702427246463646</v>
      </c>
    </row>
    <row r="68" spans="1:27" x14ac:dyDescent="0.25">
      <c r="B68" s="2">
        <f>SUM(B60:B67)</f>
        <v>55.928340708308895</v>
      </c>
      <c r="C68" s="2">
        <f t="shared" ref="C68:Y68" si="5">SUM(C60:C67)</f>
        <v>28.329232369800952</v>
      </c>
      <c r="D68" s="2">
        <f t="shared" si="5"/>
        <v>9.9370471752300045</v>
      </c>
      <c r="E68" s="2">
        <f t="shared" si="5"/>
        <v>12.795659324156764</v>
      </c>
      <c r="F68" s="2">
        <f t="shared" si="5"/>
        <v>5.3196259868134605</v>
      </c>
      <c r="G68" s="2">
        <f t="shared" si="5"/>
        <v>3.8162517117645769</v>
      </c>
      <c r="H68" s="2">
        <f t="shared" si="5"/>
        <v>7.3399411787278206</v>
      </c>
      <c r="I68" s="2">
        <f t="shared" si="5"/>
        <v>3.4229769883889651</v>
      </c>
      <c r="J68" s="2">
        <f t="shared" si="5"/>
        <v>3.6776084054019771</v>
      </c>
      <c r="K68" s="2">
        <f t="shared" si="5"/>
        <v>3.7583542573651236</v>
      </c>
      <c r="L68" s="2">
        <f t="shared" si="5"/>
        <v>3.9066684313921707</v>
      </c>
      <c r="M68" s="2">
        <f t="shared" si="5"/>
        <v>5.5511643093088807</v>
      </c>
      <c r="N68" s="2">
        <f t="shared" si="5"/>
        <v>4.6939815868043091</v>
      </c>
      <c r="O68" s="2">
        <f t="shared" si="5"/>
        <v>4.8593625158368798</v>
      </c>
      <c r="P68" s="2">
        <f t="shared" si="5"/>
        <v>4.0463481160644568</v>
      </c>
      <c r="Q68" s="2">
        <f t="shared" si="5"/>
        <v>3.8288190908519444</v>
      </c>
      <c r="R68" s="2">
        <f t="shared" si="5"/>
        <v>3.2194926738391194</v>
      </c>
      <c r="S68" s="2">
        <f t="shared" si="5"/>
        <v>2.9560217356355531</v>
      </c>
      <c r="T68" s="2">
        <f t="shared" si="5"/>
        <v>1.0536491567533801</v>
      </c>
      <c r="U68" s="2">
        <f t="shared" si="5"/>
        <v>1.0353333299426681</v>
      </c>
      <c r="V68" s="2">
        <f t="shared" si="5"/>
        <v>0.92642627922957121</v>
      </c>
      <c r="W68" s="2">
        <f t="shared" si="5"/>
        <v>0.48434381152555522</v>
      </c>
      <c r="X68" s="2">
        <f t="shared" si="5"/>
        <v>0.77960078590202508</v>
      </c>
      <c r="Y68" s="2">
        <f t="shared" si="5"/>
        <v>0.40401656285276677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61.099856391184595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54.38807328433009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215.79954439072145</v>
      </c>
      <c r="S74" s="2">
        <f>S8/'Output-Calculation-sheet'!S7*'Output-Calculation-sheet'!S61</f>
        <v>0</v>
      </c>
      <c r="T74" s="2">
        <f>T8/'Output-Calculation-sheet'!T7*'Output-Calculation-sheet'!T61</f>
        <v>158.97412978960614</v>
      </c>
      <c r="U74" s="2">
        <f>U8/'Output-Calculation-sheet'!U7*'Output-Calculation-sheet'!U61</f>
        <v>20.138312969370553</v>
      </c>
      <c r="V74" s="2">
        <f>V8/'Output-Calculation-sheet'!V7*'Output-Calculation-sheet'!V61</f>
        <v>182.47948946259601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0.69287940628780886</v>
      </c>
    </row>
    <row r="75" spans="1:27" x14ac:dyDescent="0.25">
      <c r="A75" s="2">
        <v>2032</v>
      </c>
      <c r="B75" s="2">
        <f>B9/'Output-Calculation-sheet'!B8*'Output-Calculation-sheet'!B62</f>
        <v>644.26909078254255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130.66334071464541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104.688570780701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277.00322642048343</v>
      </c>
      <c r="S75" s="2">
        <f>S9/'Output-Calculation-sheet'!S8*'Output-Calculation-sheet'!S62</f>
        <v>0</v>
      </c>
      <c r="T75" s="2">
        <f>T9/'Output-Calculation-sheet'!T8*'Output-Calculation-sheet'!T62</f>
        <v>182.96719458582095</v>
      </c>
      <c r="U75" s="2">
        <f>U9/'Output-Calculation-sheet'!U8*'Output-Calculation-sheet'!U62</f>
        <v>37.400873797294487</v>
      </c>
      <c r="V75" s="2">
        <f>V9/'Output-Calculation-sheet'!V8*'Output-Calculation-sheet'!V62</f>
        <v>195.99754308294578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1.5729898401644336</v>
      </c>
    </row>
    <row r="76" spans="1:27" x14ac:dyDescent="0.25">
      <c r="A76" s="2">
        <v>2033</v>
      </c>
      <c r="B76" s="2">
        <f>B10/'Output-Calculation-sheet'!B9*'Output-Calculation-sheet'!B63</f>
        <v>1546.4110460238373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181.40386252678982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173.0333017271725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78.061937768620197</v>
      </c>
      <c r="Q76" s="2">
        <f>Q10/'Output-Calculation-sheet'!Q9*'Output-Calculation-sheet'!Q63</f>
        <v>0</v>
      </c>
      <c r="R76" s="2">
        <f>R10/'Output-Calculation-sheet'!R9*'Output-Calculation-sheet'!R63</f>
        <v>332.47717378998806</v>
      </c>
      <c r="S76" s="2">
        <f>S10/'Output-Calculation-sheet'!S9*'Output-Calculation-sheet'!S63</f>
        <v>0</v>
      </c>
      <c r="T76" s="2">
        <f>T10/'Output-Calculation-sheet'!T9*'Output-Calculation-sheet'!T63</f>
        <v>194.32251815548852</v>
      </c>
      <c r="U76" s="2">
        <f>U10/'Output-Calculation-sheet'!U9*'Output-Calculation-sheet'!U63</f>
        <v>56.520186867523464</v>
      </c>
      <c r="V76" s="2">
        <f>V10/'Output-Calculation-sheet'!V9*'Output-Calculation-sheet'!V63</f>
        <v>201.83489767701204</v>
      </c>
      <c r="W76" s="2">
        <f>W10/'Output-Calculation-sheet'!W9*'Output-Calculation-sheet'!W63</f>
        <v>6.33740111836227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2.7704023256547949</v>
      </c>
    </row>
    <row r="77" spans="1:27" x14ac:dyDescent="0.25">
      <c r="A77" s="2">
        <v>2034</v>
      </c>
      <c r="B77" s="2">
        <f>B11/'Output-Calculation-sheet'!B10*'Output-Calculation-sheet'!B64</f>
        <v>2401.5286701000773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228.75577505541875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212.63817218560831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137.25749479866531</v>
      </c>
      <c r="Q77" s="2">
        <f>Q11/'Output-Calculation-sheet'!Q10*'Output-Calculation-sheet'!Q64</f>
        <v>0</v>
      </c>
      <c r="R77" s="2">
        <f>R11/'Output-Calculation-sheet'!R10*'Output-Calculation-sheet'!R64</f>
        <v>356.53921546458946</v>
      </c>
      <c r="S77" s="2">
        <f>S11/'Output-Calculation-sheet'!S10*'Output-Calculation-sheet'!S64</f>
        <v>0</v>
      </c>
      <c r="T77" s="2">
        <f>T11/'Output-Calculation-sheet'!T10*'Output-Calculation-sheet'!T64</f>
        <v>192.04277863328582</v>
      </c>
      <c r="U77" s="2">
        <f>U11/'Output-Calculation-sheet'!U10*'Output-Calculation-sheet'!U64</f>
        <v>65.105686779239406</v>
      </c>
      <c r="V77" s="2">
        <f>V11/'Output-Calculation-sheet'!V10*'Output-Calculation-sheet'!V64</f>
        <v>194.4692775017464</v>
      </c>
      <c r="W77" s="2">
        <f>W11/'Output-Calculation-sheet'!W10*'Output-Calculation-sheet'!W64</f>
        <v>10.305187690228152</v>
      </c>
      <c r="X77" s="2">
        <f>X11/'Output-Calculation-sheet'!X10*'Output-Calculation-sheet'!X64</f>
        <v>18.489671884687361</v>
      </c>
      <c r="Y77" s="2">
        <f>Y11/'Output-Calculation-sheet'!Y10*'Output-Calculation-sheet'!Y64</f>
        <v>0</v>
      </c>
      <c r="AA77" s="2">
        <f t="shared" si="6"/>
        <v>3.817131930093546</v>
      </c>
    </row>
    <row r="78" spans="1:27" x14ac:dyDescent="0.25">
      <c r="A78" s="2">
        <v>2035</v>
      </c>
      <c r="B78" s="2">
        <f>B12/'Output-Calculation-sheet'!B11*'Output-Calculation-sheet'!B65</f>
        <v>3696.1216366592112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239.0163432965625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211.09754804613002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171.48497757386772</v>
      </c>
      <c r="Q78" s="2">
        <f>Q12/'Output-Calculation-sheet'!Q11*'Output-Calculation-sheet'!Q65</f>
        <v>0</v>
      </c>
      <c r="R78" s="2">
        <f>R12/'Output-Calculation-sheet'!R11*'Output-Calculation-sheet'!R65</f>
        <v>376.44436848569347</v>
      </c>
      <c r="S78" s="2">
        <f>S12/'Output-Calculation-sheet'!S11*'Output-Calculation-sheet'!S65</f>
        <v>0</v>
      </c>
      <c r="T78" s="2">
        <f>T12/'Output-Calculation-sheet'!T11*'Output-Calculation-sheet'!T65</f>
        <v>182.21046668998045</v>
      </c>
      <c r="U78" s="2">
        <f>U12/'Output-Calculation-sheet'!U11*'Output-Calculation-sheet'!U65</f>
        <v>70.845999049857426</v>
      </c>
      <c r="V78" s="2">
        <f>V12/'Output-Calculation-sheet'!V11*'Output-Calculation-sheet'!V65</f>
        <v>171.90645180503438</v>
      </c>
      <c r="W78" s="2">
        <f>W12/'Output-Calculation-sheet'!W11*'Output-Calculation-sheet'!W65</f>
        <v>12.874343544085841</v>
      </c>
      <c r="X78" s="2">
        <f>X12/'Output-Calculation-sheet'!X11*'Output-Calculation-sheet'!X65</f>
        <v>35.158293040185093</v>
      </c>
      <c r="Y78" s="2">
        <f>Y12/'Output-Calculation-sheet'!Y11*'Output-Calculation-sheet'!Y65</f>
        <v>0</v>
      </c>
      <c r="AA78" s="2">
        <f t="shared" si="6"/>
        <v>5.1671604281906083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 t="shared" ref="AA93:AA100" si="8"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si="8"/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17681226696.809464</v>
      </c>
      <c r="C96" s="2">
        <f>C8/'Output-Calculation-sheet'!C7*'Output-Calculation-sheet'!C79</f>
        <v>2176371780.3006043</v>
      </c>
      <c r="D96" s="2">
        <f>D8/'Output-Calculation-sheet'!D7*'Output-Calculation-sheet'!D79</f>
        <v>7707198844.2415581</v>
      </c>
      <c r="E96" s="2">
        <f>E8/'Output-Calculation-sheet'!E7*'Output-Calculation-sheet'!E79</f>
        <v>13177568385.137045</v>
      </c>
      <c r="F96" s="2">
        <f>F8/'Output-Calculation-sheet'!F7*'Output-Calculation-sheet'!F79</f>
        <v>5930345570.637249</v>
      </c>
      <c r="G96" s="2">
        <f>G8/'Output-Calculation-sheet'!G7*'Output-Calculation-sheet'!G79</f>
        <v>4504366792.8701162</v>
      </c>
      <c r="H96" s="2">
        <f>H8/'Output-Calculation-sheet'!H7*'Output-Calculation-sheet'!H79</f>
        <v>1310473944.8489237</v>
      </c>
      <c r="I96" s="2">
        <f>I8/'Output-Calculation-sheet'!I7*'Output-Calculation-sheet'!I79</f>
        <v>3021407100.3622551</v>
      </c>
      <c r="J96" s="2">
        <f>J8/'Output-Calculation-sheet'!J7*'Output-Calculation-sheet'!J79</f>
        <v>2238915021.4405055</v>
      </c>
      <c r="K96" s="2">
        <f>K8/'Output-Calculation-sheet'!K7*'Output-Calculation-sheet'!K79</f>
        <v>2588748621.8292208</v>
      </c>
      <c r="L96" s="2">
        <f>L8/'Output-Calculation-sheet'!L7*'Output-Calculation-sheet'!L79</f>
        <v>2059301962.2230253</v>
      </c>
      <c r="M96" s="2">
        <f>M8/'Output-Calculation-sheet'!M7*'Output-Calculation-sheet'!M79</f>
        <v>1018776546.2968757</v>
      </c>
      <c r="N96" s="2">
        <f>N8/'Output-Calculation-sheet'!N7*'Output-Calculation-sheet'!N79</f>
        <v>1034668663.9004195</v>
      </c>
      <c r="O96" s="2">
        <f>O8/'Output-Calculation-sheet'!O7*'Output-Calculation-sheet'!O79</f>
        <v>252562717.68740606</v>
      </c>
      <c r="P96" s="2">
        <f>P8/'Output-Calculation-sheet'!P7*'Output-Calculation-sheet'!P79</f>
        <v>2751862947.1015973</v>
      </c>
      <c r="Q96" s="2">
        <f>Q8/'Output-Calculation-sheet'!Q7*'Output-Calculation-sheet'!Q79</f>
        <v>1220263194.0417581</v>
      </c>
      <c r="R96" s="2">
        <f>R8/'Output-Calculation-sheet'!R7*'Output-Calculation-sheet'!R79</f>
        <v>1856610601.3671787</v>
      </c>
      <c r="S96" s="2">
        <f>S8/'Output-Calculation-sheet'!S7*'Output-Calculation-sheet'!S79</f>
        <v>725696868.19748962</v>
      </c>
      <c r="T96" s="2">
        <f>T8/'Output-Calculation-sheet'!T7*'Output-Calculation-sheet'!T79</f>
        <v>982825213.34596467</v>
      </c>
      <c r="U96" s="2">
        <f>U8/'Output-Calculation-sheet'!U7*'Output-Calculation-sheet'!U79</f>
        <v>488141895.09032476</v>
      </c>
      <c r="V96" s="2">
        <f>V8/'Output-Calculation-sheet'!V7*'Output-Calculation-sheet'!V79</f>
        <v>359696680.02002829</v>
      </c>
      <c r="W96" s="2">
        <f>W8/'Output-Calculation-sheet'!W7*'Output-Calculation-sheet'!W79</f>
        <v>958247724.85359287</v>
      </c>
      <c r="X96" s="2">
        <f>X8/'Output-Calculation-sheet'!X7*'Output-Calculation-sheet'!X79</f>
        <v>113550269.46048166</v>
      </c>
      <c r="Y96" s="2">
        <f>Y8/'Output-Calculation-sheet'!Y7*'Output-Calculation-sheet'!Y79</f>
        <v>430049808.12187368</v>
      </c>
      <c r="AA96" s="2">
        <f t="shared" si="8"/>
        <v>74.588877850184971</v>
      </c>
    </row>
    <row r="97" spans="1:27" x14ac:dyDescent="0.25">
      <c r="A97" s="2">
        <v>2032</v>
      </c>
      <c r="B97" s="2">
        <f>B9/'Output-Calculation-sheet'!B8*'Output-Calculation-sheet'!B80</f>
        <v>19162343723.989407</v>
      </c>
      <c r="C97" s="2">
        <f>C9/'Output-Calculation-sheet'!C8*'Output-Calculation-sheet'!C80</f>
        <v>2407427515.4161081</v>
      </c>
      <c r="D97" s="2">
        <f>D9/'Output-Calculation-sheet'!D8*'Output-Calculation-sheet'!D80</f>
        <v>7928851795.3300362</v>
      </c>
      <c r="E97" s="2">
        <f>E9/'Output-Calculation-sheet'!E8*'Output-Calculation-sheet'!E80</f>
        <v>13959580176.010698</v>
      </c>
      <c r="F97" s="2">
        <f>F9/'Output-Calculation-sheet'!F8*'Output-Calculation-sheet'!F80</f>
        <v>6267769277.4760151</v>
      </c>
      <c r="G97" s="2">
        <f>G9/'Output-Calculation-sheet'!G8*'Output-Calculation-sheet'!G80</f>
        <v>4639283420.6002483</v>
      </c>
      <c r="H97" s="2">
        <f>H9/'Output-Calculation-sheet'!H8*'Output-Calculation-sheet'!H80</f>
        <v>1405732861.4620762</v>
      </c>
      <c r="I97" s="2">
        <f>I9/'Output-Calculation-sheet'!I8*'Output-Calculation-sheet'!I80</f>
        <v>3222313398.8604097</v>
      </c>
      <c r="J97" s="2">
        <f>J9/'Output-Calculation-sheet'!J8*'Output-Calculation-sheet'!J80</f>
        <v>2325087433.186799</v>
      </c>
      <c r="K97" s="2">
        <f>K9/'Output-Calculation-sheet'!K8*'Output-Calculation-sheet'!K80</f>
        <v>2706470226.4598064</v>
      </c>
      <c r="L97" s="2">
        <f>L9/'Output-Calculation-sheet'!L8*'Output-Calculation-sheet'!L80</f>
        <v>2219151410.5164027</v>
      </c>
      <c r="M97" s="2">
        <f>M9/'Output-Calculation-sheet'!M8*'Output-Calculation-sheet'!M80</f>
        <v>1092651003.6902621</v>
      </c>
      <c r="N97" s="2">
        <f>N9/'Output-Calculation-sheet'!N8*'Output-Calculation-sheet'!N80</f>
        <v>1082955910.4097157</v>
      </c>
      <c r="O97" s="2">
        <f>O9/'Output-Calculation-sheet'!O8*'Output-Calculation-sheet'!O80</f>
        <v>282631114.19021493</v>
      </c>
      <c r="P97" s="2">
        <f>P9/'Output-Calculation-sheet'!P8*'Output-Calculation-sheet'!P80</f>
        <v>2874210371.2369542</v>
      </c>
      <c r="Q97" s="2">
        <f>Q9/'Output-Calculation-sheet'!Q8*'Output-Calculation-sheet'!Q80</f>
        <v>1278037007.326462</v>
      </c>
      <c r="R97" s="2">
        <f>R9/'Output-Calculation-sheet'!R8*'Output-Calculation-sheet'!R80</f>
        <v>1988813721.9932833</v>
      </c>
      <c r="S97" s="2">
        <f>S9/'Output-Calculation-sheet'!S8*'Output-Calculation-sheet'!S80</f>
        <v>767022989.06005704</v>
      </c>
      <c r="T97" s="2">
        <f>T9/'Output-Calculation-sheet'!T8*'Output-Calculation-sheet'!T80</f>
        <v>1025587617.4133918</v>
      </c>
      <c r="U97" s="2">
        <f>U9/'Output-Calculation-sheet'!U8*'Output-Calculation-sheet'!U80</f>
        <v>520507340.01109397</v>
      </c>
      <c r="V97" s="2">
        <f>V9/'Output-Calculation-sheet'!V8*'Output-Calculation-sheet'!V80</f>
        <v>383421125.58634758</v>
      </c>
      <c r="W97" s="2">
        <f>W9/'Output-Calculation-sheet'!W8*'Output-Calculation-sheet'!W80</f>
        <v>1002705592.4470735</v>
      </c>
      <c r="X97" s="2">
        <f>X9/'Output-Calculation-sheet'!X8*'Output-Calculation-sheet'!X80</f>
        <v>122792023.18312815</v>
      </c>
      <c r="Y97" s="2">
        <f>Y9/'Output-Calculation-sheet'!Y8*'Output-Calculation-sheet'!Y80</f>
        <v>450260205.11697787</v>
      </c>
      <c r="AA97" s="2">
        <f t="shared" si="8"/>
        <v>79.115607260972965</v>
      </c>
    </row>
    <row r="98" spans="1:27" x14ac:dyDescent="0.25">
      <c r="A98" s="2">
        <v>2033</v>
      </c>
      <c r="B98" s="2">
        <f>B10/'Output-Calculation-sheet'!B9*'Output-Calculation-sheet'!B81</f>
        <v>19424888296.161274</v>
      </c>
      <c r="C98" s="2">
        <f>C10/'Output-Calculation-sheet'!C9*'Output-Calculation-sheet'!C81</f>
        <v>2449432045.9021158</v>
      </c>
      <c r="D98" s="2">
        <f>D10/'Output-Calculation-sheet'!D9*'Output-Calculation-sheet'!D81</f>
        <v>7570545558.6390018</v>
      </c>
      <c r="E98" s="2">
        <f>E10/'Output-Calculation-sheet'!E9*'Output-Calculation-sheet'!E81</f>
        <v>13718723903.933296</v>
      </c>
      <c r="F98" s="2">
        <f>F10/'Output-Calculation-sheet'!F9*'Output-Calculation-sheet'!F81</f>
        <v>6145339587.6331921</v>
      </c>
      <c r="G98" s="2">
        <f>G10/'Output-Calculation-sheet'!G9*'Output-Calculation-sheet'!G81</f>
        <v>4421768674.3259811</v>
      </c>
      <c r="H98" s="2">
        <f>H10/'Output-Calculation-sheet'!H9*'Output-Calculation-sheet'!H81</f>
        <v>1394740636.7855377</v>
      </c>
      <c r="I98" s="2">
        <f>I10/'Output-Calculation-sheet'!I9*'Output-Calculation-sheet'!I81</f>
        <v>3190550992.6706915</v>
      </c>
      <c r="J98" s="2">
        <f>J10/'Output-Calculation-sheet'!J9*'Output-Calculation-sheet'!J81</f>
        <v>2243290004.0727262</v>
      </c>
      <c r="K98" s="2">
        <f>K10/'Output-Calculation-sheet'!K9*'Output-Calculation-sheet'!K81</f>
        <v>2630816049.8673024</v>
      </c>
      <c r="L98" s="2">
        <f>L10/'Output-Calculation-sheet'!L9*'Output-Calculation-sheet'!L81</f>
        <v>2221458405.3076158</v>
      </c>
      <c r="M98" s="2">
        <f>M10/'Output-Calculation-sheet'!M9*'Output-Calculation-sheet'!M81</f>
        <v>1089664681.904032</v>
      </c>
      <c r="N98" s="2">
        <f>N10/'Output-Calculation-sheet'!N9*'Output-Calculation-sheet'!N81</f>
        <v>1042431675.6042589</v>
      </c>
      <c r="O98" s="2">
        <f>O10/'Output-Calculation-sheet'!O9*'Output-Calculation-sheet'!O81</f>
        <v>288038899.26755625</v>
      </c>
      <c r="P98" s="2">
        <f>P10/'Output-Calculation-sheet'!P9*'Output-Calculation-sheet'!P81</f>
        <v>2827968189.5774312</v>
      </c>
      <c r="Q98" s="2">
        <f>Q10/'Output-Calculation-sheet'!Q9*'Output-Calculation-sheet'!Q81</f>
        <v>1245263911.0971222</v>
      </c>
      <c r="R98" s="2">
        <f>R10/'Output-Calculation-sheet'!R9*'Output-Calculation-sheet'!R81</f>
        <v>1978167296.0054631</v>
      </c>
      <c r="S98" s="2">
        <f>S10/'Output-Calculation-sheet'!S9*'Output-Calculation-sheet'!S81</f>
        <v>754368031.14217126</v>
      </c>
      <c r="T98" s="2">
        <f>T10/'Output-Calculation-sheet'!T9*'Output-Calculation-sheet'!T81</f>
        <v>991387536.80534971</v>
      </c>
      <c r="U98" s="2">
        <f>U10/'Output-Calculation-sheet'!U9*'Output-Calculation-sheet'!U81</f>
        <v>515135310.1598829</v>
      </c>
      <c r="V98" s="2">
        <f>V10/'Output-Calculation-sheet'!V9*'Output-Calculation-sheet'!V81</f>
        <v>379766182.9871164</v>
      </c>
      <c r="W98" s="2">
        <f>W10/'Output-Calculation-sheet'!W9*'Output-Calculation-sheet'!W81</f>
        <v>973257833.1571213</v>
      </c>
      <c r="X98" s="2">
        <f>X10/'Output-Calculation-sheet'!X9*'Output-Calculation-sheet'!X81</f>
        <v>123596072.00784957</v>
      </c>
      <c r="Y98" s="2">
        <f>Y10/'Output-Calculation-sheet'!Y9*'Output-Calculation-sheet'!Y81</f>
        <v>437131942.24132019</v>
      </c>
      <c r="AA98" s="2">
        <f t="shared" si="8"/>
        <v>78.057731717255393</v>
      </c>
    </row>
    <row r="99" spans="1:27" x14ac:dyDescent="0.25">
      <c r="A99" s="2">
        <v>2034</v>
      </c>
      <c r="B99" s="2">
        <f>B11/'Output-Calculation-sheet'!B10*'Output-Calculation-sheet'!B82</f>
        <v>18432645646.931679</v>
      </c>
      <c r="C99" s="2">
        <f>C11/'Output-Calculation-sheet'!C10*'Output-Calculation-sheet'!C82</f>
        <v>2340260584.6628804</v>
      </c>
      <c r="D99" s="2">
        <f>D11/'Output-Calculation-sheet'!D10*'Output-Calculation-sheet'!D82</f>
        <v>6773948448.0250196</v>
      </c>
      <c r="E99" s="2">
        <f>E11/'Output-Calculation-sheet'!E10*'Output-Calculation-sheet'!E82</f>
        <v>12629229254.5947</v>
      </c>
      <c r="F99" s="2">
        <f>F11/'Output-Calculation-sheet'!F10*'Output-Calculation-sheet'!F82</f>
        <v>5648067974.8190975</v>
      </c>
      <c r="G99" s="2">
        <f>G11/'Output-Calculation-sheet'!G10*'Output-Calculation-sheet'!G82</f>
        <v>3944035506.6742382</v>
      </c>
      <c r="H99" s="2">
        <f>H11/'Output-Calculation-sheet'!H10*'Output-Calculation-sheet'!H82</f>
        <v>1298603625.6454105</v>
      </c>
      <c r="I99" s="2">
        <f>I11/'Output-Calculation-sheet'!I10*'Output-Calculation-sheet'!I82</f>
        <v>2960489814.4473863</v>
      </c>
      <c r="J99" s="2">
        <f>J11/'Output-Calculation-sheet'!J10*'Output-Calculation-sheet'!J82</f>
        <v>2028140428.738024</v>
      </c>
      <c r="K99" s="2">
        <f>K11/'Output-Calculation-sheet'!K10*'Output-Calculation-sheet'!K82</f>
        <v>2397452659.260715</v>
      </c>
      <c r="L99" s="2">
        <f>L11/'Output-Calculation-sheet'!L10*'Output-Calculation-sheet'!L82</f>
        <v>2096175625.5214312</v>
      </c>
      <c r="M99" s="2">
        <f>M11/'Output-Calculation-sheet'!M10*'Output-Calculation-sheet'!M82</f>
        <v>1017403460.869625</v>
      </c>
      <c r="N99" s="2">
        <f>N11/'Output-Calculation-sheet'!N10*'Output-Calculation-sheet'!N82</f>
        <v>945384423.72849894</v>
      </c>
      <c r="O99" s="2">
        <f>O11/'Output-Calculation-sheet'!O10*'Output-Calculation-sheet'!O82</f>
        <v>276756646.27169317</v>
      </c>
      <c r="P99" s="2">
        <f>P11/'Output-Calculation-sheet'!P10*'Output-Calculation-sheet'!P82</f>
        <v>2607448800.8653641</v>
      </c>
      <c r="Q99" s="2">
        <f>Q11/'Output-Calculation-sheet'!Q10*'Output-Calculation-sheet'!Q82</f>
        <v>1136697812.2203476</v>
      </c>
      <c r="R99" s="2">
        <f>R11/'Output-Calculation-sheet'!R10*'Output-Calculation-sheet'!R82</f>
        <v>1846597738.2343147</v>
      </c>
      <c r="S99" s="2">
        <f>S11/'Output-Calculation-sheet'!S10*'Output-Calculation-sheet'!S82</f>
        <v>693897806.50594318</v>
      </c>
      <c r="T99" s="2">
        <f>T11/'Output-Calculation-sheet'!T10*'Output-Calculation-sheet'!T82</f>
        <v>896970942.57733297</v>
      </c>
      <c r="U99" s="2">
        <f>U11/'Output-Calculation-sheet'!U10*'Output-Calculation-sheet'!U82</f>
        <v>478182428.71307522</v>
      </c>
      <c r="V99" s="2">
        <f>V11/'Output-Calculation-sheet'!V10*'Output-Calculation-sheet'!V82</f>
        <v>351877300.22002774</v>
      </c>
      <c r="W99" s="2">
        <f>W11/'Output-Calculation-sheet'!W10*'Output-Calculation-sheet'!W82</f>
        <v>883567355.24591708</v>
      </c>
      <c r="X99" s="2">
        <f>X11/'Output-Calculation-sheet'!X10*'Output-Calculation-sheet'!X82</f>
        <v>124701480.6033244</v>
      </c>
      <c r="Y99" s="2">
        <f>Y11/'Output-Calculation-sheet'!Y10*'Output-Calculation-sheet'!Y82</f>
        <v>397426702.20446223</v>
      </c>
      <c r="AA99" s="2">
        <f t="shared" si="8"/>
        <v>72.205962467580491</v>
      </c>
    </row>
    <row r="100" spans="1:27" x14ac:dyDescent="0.25">
      <c r="A100" s="2">
        <v>2035</v>
      </c>
      <c r="B100" s="2">
        <f>B12/'Output-Calculation-sheet'!B11*'Output-Calculation-sheet'!B83</f>
        <v>16791060386.618443</v>
      </c>
      <c r="C100" s="2">
        <f>C12/'Output-Calculation-sheet'!C11*'Output-Calculation-sheet'!C83</f>
        <v>2097003540.6813822</v>
      </c>
      <c r="D100" s="2">
        <f>D12/'Output-Calculation-sheet'!D11*'Output-Calculation-sheet'!D83</f>
        <v>5712346690.5433493</v>
      </c>
      <c r="E100" s="2">
        <f>E12/'Output-Calculation-sheet'!E11*'Output-Calculation-sheet'!E83</f>
        <v>10951771083.203186</v>
      </c>
      <c r="F100" s="2">
        <f>F12/'Output-Calculation-sheet'!F11*'Output-Calculation-sheet'!F83</f>
        <v>4888951038.9017286</v>
      </c>
      <c r="G100" s="2">
        <f>G12/'Output-Calculation-sheet'!G11*'Output-Calculation-sheet'!G83</f>
        <v>3310172288.274826</v>
      </c>
      <c r="H100" s="2">
        <f>H12/'Output-Calculation-sheet'!H11*'Output-Calculation-sheet'!H83</f>
        <v>1140091992.086412</v>
      </c>
      <c r="I100" s="2">
        <f>I12/'Output-Calculation-sheet'!I11*'Output-Calculation-sheet'!I83</f>
        <v>2587384427.5203037</v>
      </c>
      <c r="J100" s="2">
        <f>J12/'Output-Calculation-sheet'!J11*'Output-Calculation-sheet'!J83</f>
        <v>1726549985.2966928</v>
      </c>
      <c r="K100" s="2">
        <f>K12/'Output-Calculation-sheet'!K11*'Output-Calculation-sheet'!K83</f>
        <v>2058109063.3282475</v>
      </c>
      <c r="L100" s="2">
        <f>L12/'Output-Calculation-sheet'!L11*'Output-Calculation-sheet'!L83</f>
        <v>1862140785.1864681</v>
      </c>
      <c r="M100" s="2">
        <f>M12/'Output-Calculation-sheet'!M11*'Output-Calculation-sheet'!M83</f>
        <v>897452599.0506357</v>
      </c>
      <c r="N100" s="2">
        <f>N12/'Output-Calculation-sheet'!N11*'Output-Calculation-sheet'!N83</f>
        <v>805593116.34617722</v>
      </c>
      <c r="O100" s="2">
        <f>O12/'Output-Calculation-sheet'!O11*'Output-Calculation-sheet'!O83</f>
        <v>251065945.26822773</v>
      </c>
      <c r="P100" s="2">
        <f>P12/'Output-Calculation-sheet'!P11*'Output-Calculation-sheet'!P83</f>
        <v>2254300322.608778</v>
      </c>
      <c r="Q100" s="2">
        <f>Q12/'Output-Calculation-sheet'!Q11*'Output-Calculation-sheet'!Q83</f>
        <v>979058657.31099153</v>
      </c>
      <c r="R100" s="2">
        <f>R12/'Output-Calculation-sheet'!R11*'Output-Calculation-sheet'!R83</f>
        <v>1624150568.4025073</v>
      </c>
      <c r="S100" s="2">
        <f>S12/'Output-Calculation-sheet'!S11*'Output-Calculation-sheet'!S83</f>
        <v>600740482.87576795</v>
      </c>
      <c r="T100" s="2">
        <f>T12/'Output-Calculation-sheet'!T11*'Output-Calculation-sheet'!T83</f>
        <v>766484250.28642476</v>
      </c>
      <c r="U100" s="2">
        <f>U12/'Output-Calculation-sheet'!U11*'Output-Calculation-sheet'!U83</f>
        <v>417746415.36185473</v>
      </c>
      <c r="V100" s="2">
        <f>V12/'Output-Calculation-sheet'!V11*'Output-Calculation-sheet'!V83</f>
        <v>307072460.72190583</v>
      </c>
      <c r="W100" s="2">
        <f>W12/'Output-Calculation-sheet'!W11*'Output-Calculation-sheet'!W83</f>
        <v>754216160.03718019</v>
      </c>
      <c r="X100" s="2">
        <f>X12/'Output-Calculation-sheet'!X11*'Output-Calculation-sheet'!X83</f>
        <v>119551416.42649199</v>
      </c>
      <c r="Y100" s="2">
        <f>Y12/'Output-Calculation-sheet'!Y11*'Output-Calculation-sheet'!Y83</f>
        <v>339581591.76490331</v>
      </c>
      <c r="AA100" s="2">
        <f t="shared" si="8"/>
        <v>63.242595268102868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46C4-1AA5-4F22-8C50-105FF1AA3A91}">
  <dimension ref="A1:AA100"/>
  <sheetViews>
    <sheetView workbookViewId="0">
      <selection activeCell="B7" sqref="B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114081021708.64017</v>
      </c>
      <c r="C8" s="2">
        <v>53760718070.456215</v>
      </c>
      <c r="D8" s="2">
        <v>47915333437.419754</v>
      </c>
      <c r="E8" s="2">
        <v>38015954787.957863</v>
      </c>
      <c r="F8" s="2">
        <v>24472234286.339748</v>
      </c>
      <c r="G8" s="2">
        <v>17194863431.924419</v>
      </c>
      <c r="H8" s="2">
        <v>16772929222.346075</v>
      </c>
      <c r="I8" s="2">
        <v>15665874118.006905</v>
      </c>
      <c r="J8" s="2">
        <v>15248079876.762188</v>
      </c>
      <c r="K8" s="2">
        <v>15101902649.758682</v>
      </c>
      <c r="L8" s="2">
        <v>12114942651.258694</v>
      </c>
      <c r="M8" s="2">
        <v>11571859015.167791</v>
      </c>
      <c r="N8" s="2">
        <v>11357746202.855738</v>
      </c>
      <c r="O8" s="2">
        <v>10445754207.901112</v>
      </c>
      <c r="P8" s="2">
        <v>10339476917.884563</v>
      </c>
      <c r="Q8" s="2">
        <v>10172374260.625826</v>
      </c>
      <c r="R8" s="2">
        <v>9786291926.1623688</v>
      </c>
      <c r="S8" s="2">
        <v>6504470933.7964525</v>
      </c>
      <c r="T8" s="2">
        <v>3597356762.5011497</v>
      </c>
      <c r="U8" s="2">
        <v>3133174823.6013856</v>
      </c>
      <c r="V8" s="2">
        <v>2412607277.6695404</v>
      </c>
      <c r="W8" s="2">
        <v>2088783215.7342556</v>
      </c>
      <c r="X8" s="2">
        <v>1253269929.4405541</v>
      </c>
      <c r="Y8" s="2">
        <v>1218792473.6816425</v>
      </c>
    </row>
    <row r="9" spans="1:27" x14ac:dyDescent="0.25">
      <c r="A9" s="2">
        <v>2032</v>
      </c>
      <c r="B9" s="2">
        <v>124276037258.7495</v>
      </c>
      <c r="C9" s="2">
        <v>58565122418.386719</v>
      </c>
      <c r="D9" s="2">
        <v>52197356530.890793</v>
      </c>
      <c r="E9" s="2">
        <v>41413305586.632637</v>
      </c>
      <c r="F9" s="2">
        <v>26659230908.199917</v>
      </c>
      <c r="G9" s="2">
        <v>18731507278.945633</v>
      </c>
      <c r="H9" s="2">
        <v>18271866308.30093</v>
      </c>
      <c r="I9" s="2">
        <v>17065877622.946058</v>
      </c>
      <c r="J9" s="2">
        <v>16610746594.89455</v>
      </c>
      <c r="K9" s="2">
        <v>16451506028.520025</v>
      </c>
      <c r="L9" s="2">
        <v>13197612028.41164</v>
      </c>
      <c r="M9" s="2">
        <v>12605994937.482845</v>
      </c>
      <c r="N9" s="2">
        <v>12372747623.933823</v>
      </c>
      <c r="O9" s="2">
        <v>11379254144.938461</v>
      </c>
      <c r="P9" s="2">
        <v>11263479231.144405</v>
      </c>
      <c r="Q9" s="2">
        <v>11081443203.166315</v>
      </c>
      <c r="R9" s="2">
        <v>10660858062.324335</v>
      </c>
      <c r="S9" s="2">
        <v>7085752389.0471869</v>
      </c>
      <c r="T9" s="2">
        <v>3918839754.007462</v>
      </c>
      <c r="U9" s="2">
        <v>3413175524.5892162</v>
      </c>
      <c r="V9" s="2">
        <v>2628213417.44419</v>
      </c>
      <c r="W9" s="2">
        <v>2275450349.7261424</v>
      </c>
      <c r="X9" s="2">
        <v>1365270209.8356864</v>
      </c>
      <c r="Y9" s="2">
        <v>1327711626.3631046</v>
      </c>
    </row>
    <row r="10" spans="1:27" x14ac:dyDescent="0.25">
      <c r="A10" s="2">
        <v>2033</v>
      </c>
      <c r="B10" s="2">
        <v>126949158716.35188</v>
      </c>
      <c r="C10" s="2">
        <v>59824831762.656769</v>
      </c>
      <c r="D10" s="2">
        <v>53320098105.618813</v>
      </c>
      <c r="E10" s="2">
        <v>42304087093.958817</v>
      </c>
      <c r="F10" s="2">
        <v>27232658929.850719</v>
      </c>
      <c r="G10" s="2">
        <v>19134413544.264771</v>
      </c>
      <c r="H10" s="2">
        <v>18664885903.844254</v>
      </c>
      <c r="I10" s="2">
        <v>17432956946.305328</v>
      </c>
      <c r="J10" s="2">
        <v>16968036255.307201</v>
      </c>
      <c r="K10" s="2">
        <v>16805370496.238363</v>
      </c>
      <c r="L10" s="2">
        <v>13481486705.142813</v>
      </c>
      <c r="M10" s="2">
        <v>12877144197.670897</v>
      </c>
      <c r="N10" s="2">
        <v>12638879839.705837</v>
      </c>
      <c r="O10" s="2">
        <v>11624016764.485249</v>
      </c>
      <c r="P10" s="2">
        <v>11505751584.561527</v>
      </c>
      <c r="Q10" s="2">
        <v>11319800043.800938</v>
      </c>
      <c r="R10" s="2">
        <v>10890168306.450632</v>
      </c>
      <c r="S10" s="2">
        <v>7238163724.1059561</v>
      </c>
      <c r="T10" s="2">
        <v>4003132227.9743619</v>
      </c>
      <c r="U10" s="2">
        <v>3486591389.2610712</v>
      </c>
      <c r="V10" s="2">
        <v>2684745101.5588117</v>
      </c>
      <c r="W10" s="2">
        <v>2324394259.5073791</v>
      </c>
      <c r="X10" s="2">
        <v>1394636555.7044282</v>
      </c>
      <c r="Y10" s="2">
        <v>1356270104.0569971</v>
      </c>
    </row>
    <row r="11" spans="1:27" x14ac:dyDescent="0.25">
      <c r="A11" s="2">
        <v>2034</v>
      </c>
      <c r="B11" s="2">
        <v>123110251217.68784</v>
      </c>
      <c r="C11" s="2">
        <v>58015745372.623085</v>
      </c>
      <c r="D11" s="2">
        <v>51707713064.891502</v>
      </c>
      <c r="E11" s="2">
        <v>41024823183.813515</v>
      </c>
      <c r="F11" s="2">
        <v>26409150844.949177</v>
      </c>
      <c r="G11" s="2">
        <v>18555794163.243576</v>
      </c>
      <c r="H11" s="2">
        <v>18100464908.994865</v>
      </c>
      <c r="I11" s="2">
        <v>16905789142.896809</v>
      </c>
      <c r="J11" s="2">
        <v>16454927525.192301</v>
      </c>
      <c r="K11" s="2">
        <v>16297180733.752548</v>
      </c>
      <c r="L11" s="2">
        <v>13073810270.506886</v>
      </c>
      <c r="M11" s="2">
        <v>12487742913.553133</v>
      </c>
      <c r="N11" s="2">
        <v>12256683603.968901</v>
      </c>
      <c r="O11" s="2">
        <v>11272509707.857302</v>
      </c>
      <c r="P11" s="2">
        <v>11157820834.311901</v>
      </c>
      <c r="Q11" s="2">
        <v>10977492416.787668</v>
      </c>
      <c r="R11" s="2">
        <v>10560852624.518805</v>
      </c>
      <c r="S11" s="2">
        <v>7019283652.1307373</v>
      </c>
      <c r="T11" s="2">
        <v>3882078614.9886217</v>
      </c>
      <c r="U11" s="2">
        <v>3381157828.5793662</v>
      </c>
      <c r="V11" s="2">
        <v>2603559151.1626859</v>
      </c>
      <c r="W11" s="2">
        <v>2254105219.0529094</v>
      </c>
      <c r="X11" s="2">
        <v>1352463131.4317462</v>
      </c>
      <c r="Y11" s="2">
        <v>1315256870.6860571</v>
      </c>
    </row>
    <row r="12" spans="1:27" x14ac:dyDescent="0.25">
      <c r="A12" s="2">
        <v>2035</v>
      </c>
      <c r="B12" s="2">
        <v>114208447027.50169</v>
      </c>
      <c r="C12" s="2">
        <v>53820767292.840012</v>
      </c>
      <c r="D12" s="2">
        <v>47968853528.230415</v>
      </c>
      <c r="E12" s="2">
        <v>38058417548.968651</v>
      </c>
      <c r="F12" s="2">
        <v>24499569089.363823</v>
      </c>
      <c r="G12" s="2">
        <v>17214069614.712555</v>
      </c>
      <c r="H12" s="2">
        <v>16791664116.392326</v>
      </c>
      <c r="I12" s="2">
        <v>15683372462.38385</v>
      </c>
      <c r="J12" s="2">
        <v>15265111556.626387</v>
      </c>
      <c r="K12" s="2">
        <v>15118771053.738056</v>
      </c>
      <c r="L12" s="2">
        <v>12128474704.243532</v>
      </c>
      <c r="M12" s="2">
        <v>11584784458.880896</v>
      </c>
      <c r="N12" s="2">
        <v>11370432488.53035</v>
      </c>
      <c r="O12" s="2">
        <v>10457421823.958149</v>
      </c>
      <c r="P12" s="2">
        <v>10351025825.173349</v>
      </c>
      <c r="Q12" s="2">
        <v>10183736518.907923</v>
      </c>
      <c r="R12" s="2">
        <v>9797222941.2469654</v>
      </c>
      <c r="S12" s="2">
        <v>6511736246.3817596</v>
      </c>
      <c r="T12" s="2">
        <v>3601374909.6535401</v>
      </c>
      <c r="U12" s="2">
        <v>3136674492.4767747</v>
      </c>
      <c r="V12" s="2">
        <v>2415302092.6969681</v>
      </c>
      <c r="W12" s="2">
        <v>2091116328.3178484</v>
      </c>
      <c r="X12" s="2">
        <v>1254669796.9907098</v>
      </c>
      <c r="Y12" s="2">
        <v>1220153830.8754933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 t="shared" ref="AA16:AA23" si="0"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si="0"/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5976.4326726794125</v>
      </c>
      <c r="C19" s="2">
        <f>C8/'Output-Calculation-sheet'!C7*'Output-Calculation-sheet'!C25</f>
        <v>7968.7407472815394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2903.5426389642189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2125.257329969686</v>
      </c>
      <c r="N19" s="2">
        <f>N8/'Output-Calculation-sheet'!N7*'Output-Calculation-sheet'!N25</f>
        <v>1107.1888921252164</v>
      </c>
      <c r="O19" s="2">
        <f>O8/'Output-Calculation-sheet'!O7*'Output-Calculation-sheet'!O25</f>
        <v>1207.4184797433891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482.66850768698157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245.66580140531974</v>
      </c>
      <c r="Y19" s="2">
        <f>Y8/'Output-Calculation-sheet'!Y7*'Output-Calculation-sheet'!Y25</f>
        <v>0</v>
      </c>
      <c r="AA19" s="2">
        <f t="shared" si="0"/>
        <v>22.016915069855763</v>
      </c>
    </row>
    <row r="20" spans="1:27" x14ac:dyDescent="0.25">
      <c r="A20" s="2">
        <v>2032</v>
      </c>
      <c r="B20" s="2">
        <f>B9/'Output-Calculation-sheet'!B8*'Output-Calculation-sheet'!B26</f>
        <v>7813.6492831659098</v>
      </c>
      <c r="C20" s="2">
        <f>C9/'Output-Calculation-sheet'!C8*'Output-Calculation-sheet'!C26</f>
        <v>9005.8431750421951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3242.1417857000788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2367.5041554898112</v>
      </c>
      <c r="N20" s="2">
        <f>N9/'Output-Calculation-sheet'!N8*'Output-Calculation-sheet'!N26</f>
        <v>1346.664720749985</v>
      </c>
      <c r="O20" s="2">
        <f>O9/'Output-Calculation-sheet'!O8*'Output-Calculation-sheet'!O26</f>
        <v>1393.1285956280938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608.75061034161001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273.47746470438398</v>
      </c>
      <c r="Y20" s="2">
        <f>Y9/'Output-Calculation-sheet'!Y8*'Output-Calculation-sheet'!Y26</f>
        <v>0</v>
      </c>
      <c r="AA20" s="2">
        <f t="shared" si="0"/>
        <v>26.051159790822069</v>
      </c>
    </row>
    <row r="21" spans="1:27" x14ac:dyDescent="0.25">
      <c r="A21" s="2">
        <v>2033</v>
      </c>
      <c r="B21" s="2">
        <f>B10/'Output-Calculation-sheet'!B9*'Output-Calculation-sheet'!B27</f>
        <v>10044.7453051256</v>
      </c>
      <c r="C21" s="2">
        <f>C10/'Output-Calculation-sheet'!C9*'Output-Calculation-sheet'!C27</f>
        <v>9451.6376777778478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3382.3442980706095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29.348733821889361</v>
      </c>
      <c r="M21" s="2">
        <f>M10/'Output-Calculation-sheet'!M9*'Output-Calculation-sheet'!M27</f>
        <v>2482.5377990427141</v>
      </c>
      <c r="N21" s="2">
        <f>N10/'Output-Calculation-sheet'!N9*'Output-Calculation-sheet'!N27</f>
        <v>1517.4941820063673</v>
      </c>
      <c r="O21" s="2">
        <f>O10/'Output-Calculation-sheet'!O9*'Output-Calculation-sheet'!O27</f>
        <v>1478.2144094653129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705.15864915732595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287.39051785377183</v>
      </c>
      <c r="Y21" s="2">
        <f>Y10/'Output-Calculation-sheet'!Y9*'Output-Calculation-sheet'!Y27</f>
        <v>0</v>
      </c>
      <c r="AA21" s="2">
        <f t="shared" si="0"/>
        <v>29.37887157232144</v>
      </c>
    </row>
    <row r="22" spans="1:27" x14ac:dyDescent="0.25">
      <c r="A22" s="2">
        <v>2034</v>
      </c>
      <c r="B22" s="2">
        <f>B11/'Output-Calculation-sheet'!B10*'Output-Calculation-sheet'!B28</f>
        <v>12007.94123365845</v>
      </c>
      <c r="C22" s="2">
        <f>C11/'Output-Calculation-sheet'!C10*'Output-Calculation-sheet'!C28</f>
        <v>9458.6499836442799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3356.7552644272978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192.27259488899321</v>
      </c>
      <c r="M22" s="2">
        <f>M11/'Output-Calculation-sheet'!M10*'Output-Calculation-sheet'!M28</f>
        <v>2467.583736947543</v>
      </c>
      <c r="N22" s="2">
        <f>N11/'Output-Calculation-sheet'!N10*'Output-Calculation-sheet'!N28</f>
        <v>1572.155515128557</v>
      </c>
      <c r="O22" s="2">
        <f>O11/'Output-Calculation-sheet'!O10*'Output-Calculation-sheet'!O28</f>
        <v>1500.662817816903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728.78582803694223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304.60279552270248</v>
      </c>
      <c r="Y22" s="2">
        <f>Y11/'Output-Calculation-sheet'!Y10*'Output-Calculation-sheet'!Y28</f>
        <v>0</v>
      </c>
      <c r="AA22" s="2">
        <f t="shared" si="0"/>
        <v>31.589409770071679</v>
      </c>
    </row>
    <row r="23" spans="1:27" x14ac:dyDescent="0.25">
      <c r="A23" s="2">
        <v>2035</v>
      </c>
      <c r="B23" s="2">
        <f>B12/'Output-Calculation-sheet'!B11*'Output-Calculation-sheet'!B29</f>
        <v>14400.797797676611</v>
      </c>
      <c r="C23" s="2">
        <f>C12/'Output-Calculation-sheet'!C11*'Output-Calculation-sheet'!C29</f>
        <v>9018.8569136354181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3194.9885956190446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330.45457336310909</v>
      </c>
      <c r="M23" s="2">
        <f>M12/'Output-Calculation-sheet'!M11*'Output-Calculation-sheet'!M29</f>
        <v>2359.9475182549436</v>
      </c>
      <c r="N23" s="2">
        <f>N12/'Output-Calculation-sheet'!N11*'Output-Calculation-sheet'!N29</f>
        <v>1525.2308019272737</v>
      </c>
      <c r="O23" s="2">
        <f>O12/'Output-Calculation-sheet'!O11*'Output-Calculation-sheet'!O29</f>
        <v>1463.7811219849023</v>
      </c>
      <c r="P23" s="2">
        <f>P12/'Output-Calculation-sheet'!P11*'Output-Calculation-sheet'!P29</f>
        <v>0</v>
      </c>
      <c r="Q23" s="2">
        <f>Q12/'Output-Calculation-sheet'!Q11*'Output-Calculation-sheet'!Q29</f>
        <v>85.973351573412515</v>
      </c>
      <c r="R23" s="2">
        <f>R12/'Output-Calculation-sheet'!R11*'Output-Calculation-sheet'!R29</f>
        <v>0</v>
      </c>
      <c r="S23" s="2">
        <f>S12/'Output-Calculation-sheet'!S11*'Output-Calculation-sheet'!S29</f>
        <v>710.94490118821977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311.88475532134862</v>
      </c>
      <c r="Y23" s="2">
        <f>Y12/'Output-Calculation-sheet'!Y11*'Output-Calculation-sheet'!Y29</f>
        <v>0</v>
      </c>
      <c r="AA23" s="2">
        <f t="shared" si="0"/>
        <v>33.402860330544279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 t="shared" ref="AA27:AA34" si="1"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si="1"/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29391.29142441721</v>
      </c>
      <c r="C30" s="2">
        <f>C8/'Output-Calculation-sheet'!C7*'Output-Calculation-sheet'!C16</f>
        <v>0</v>
      </c>
      <c r="D30" s="2">
        <f>D8/'Output-Calculation-sheet'!D7*'Output-Calculation-sheet'!D16</f>
        <v>6621.5746076024843</v>
      </c>
      <c r="E30" s="2">
        <f>E8/'Output-Calculation-sheet'!E7*'Output-Calculation-sheet'!E16</f>
        <v>8297.890752402207</v>
      </c>
      <c r="F30" s="2">
        <f>F8/'Output-Calculation-sheet'!F7*'Output-Calculation-sheet'!F16</f>
        <v>4052.689075240753</v>
      </c>
      <c r="G30" s="2">
        <f>G8/'Output-Calculation-sheet'!G7*'Output-Calculation-sheet'!G16</f>
        <v>2469.65609736851</v>
      </c>
      <c r="H30" s="2">
        <f>H8/'Output-Calculation-sheet'!H7*'Output-Calculation-sheet'!H16</f>
        <v>0</v>
      </c>
      <c r="I30" s="2">
        <f>I8/'Output-Calculation-sheet'!I7*'Output-Calculation-sheet'!I16</f>
        <v>2324.8764074169521</v>
      </c>
      <c r="J30" s="2">
        <f>J8/'Output-Calculation-sheet'!J7*'Output-Calculation-sheet'!J16</f>
        <v>2492.1669950532687</v>
      </c>
      <c r="K30" s="2">
        <f>K8/'Output-Calculation-sheet'!K7*'Output-Calculation-sheet'!K16</f>
        <v>2412.1375160133002</v>
      </c>
      <c r="L30" s="2">
        <f>L8/'Output-Calculation-sheet'!L7*'Output-Calculation-sheet'!L16</f>
        <v>2666.234432240597</v>
      </c>
      <c r="M30" s="2">
        <f>M8/'Output-Calculation-sheet'!M7*'Output-Calculation-sheet'!M16</f>
        <v>0</v>
      </c>
      <c r="N30" s="2">
        <f>N8/'Output-Calculation-sheet'!N7*'Output-Calculation-sheet'!N16</f>
        <v>1195.6108385507039</v>
      </c>
      <c r="O30" s="2">
        <f>O8/'Output-Calculation-sheet'!O7*'Output-Calculation-sheet'!O16</f>
        <v>0</v>
      </c>
      <c r="P30" s="2">
        <f>P8/'Output-Calculation-sheet'!P7*'Output-Calculation-sheet'!P16</f>
        <v>2282.4289448077066</v>
      </c>
      <c r="Q30" s="2">
        <f>Q8/'Output-Calculation-sheet'!Q7*'Output-Calculation-sheet'!Q16</f>
        <v>2239.1758701534131</v>
      </c>
      <c r="R30" s="2">
        <f>R8/'Output-Calculation-sheet'!R7*'Output-Calculation-sheet'!R16</f>
        <v>1987.0969624014238</v>
      </c>
      <c r="S30" s="2">
        <f>S8/'Output-Calculation-sheet'!S7*'Output-Calculation-sheet'!S16</f>
        <v>1052.429780442985</v>
      </c>
      <c r="T30" s="2">
        <f>T8/'Output-Calculation-sheet'!T7*'Output-Calculation-sheet'!T16</f>
        <v>750.55610828254578</v>
      </c>
      <c r="U30" s="2">
        <f>U8/'Output-Calculation-sheet'!U7*'Output-Calculation-sheet'!U16</f>
        <v>579.13108250998255</v>
      </c>
      <c r="V30" s="2">
        <f>V8/'Output-Calculation-sheet'!V7*'Output-Calculation-sheet'!V16</f>
        <v>749.85894335840976</v>
      </c>
      <c r="W30" s="2">
        <f>W8/'Output-Calculation-sheet'!W7*'Output-Calculation-sheet'!W16</f>
        <v>361.04175484999627</v>
      </c>
      <c r="X30" s="2">
        <f>X8/'Output-Calculation-sheet'!X7*'Output-Calculation-sheet'!X16</f>
        <v>0</v>
      </c>
      <c r="Y30" s="2">
        <f>Y8/'Output-Calculation-sheet'!Y7*'Output-Calculation-sheet'!Y16</f>
        <v>246.23834798081566</v>
      </c>
      <c r="AA30" s="2">
        <f t="shared" si="1"/>
        <v>72.172085941093272</v>
      </c>
    </row>
    <row r="31" spans="1:27" x14ac:dyDescent="0.25">
      <c r="A31" s="2">
        <v>2032</v>
      </c>
      <c r="B31" s="2">
        <f>B9/'Output-Calculation-sheet'!B8*'Output-Calculation-sheet'!B17</f>
        <v>31659.776275743508</v>
      </c>
      <c r="C31" s="2">
        <f>C9/'Output-Calculation-sheet'!C8*'Output-Calculation-sheet'!C17</f>
        <v>0</v>
      </c>
      <c r="D31" s="2">
        <f>D9/'Output-Calculation-sheet'!D8*'Output-Calculation-sheet'!D17</f>
        <v>7246.2694548777818</v>
      </c>
      <c r="E31" s="2">
        <f>E9/'Output-Calculation-sheet'!E8*'Output-Calculation-sheet'!E17</f>
        <v>9102.2717249352754</v>
      </c>
      <c r="F31" s="2">
        <f>F9/'Output-Calculation-sheet'!F8*'Output-Calculation-sheet'!F17</f>
        <v>4441.1724925827602</v>
      </c>
      <c r="G31" s="2">
        <f>G9/'Output-Calculation-sheet'!G8*'Output-Calculation-sheet'!G17</f>
        <v>2703.4604569087705</v>
      </c>
      <c r="H31" s="2">
        <f>H9/'Output-Calculation-sheet'!H8*'Output-Calculation-sheet'!H17</f>
        <v>0</v>
      </c>
      <c r="I31" s="2">
        <f>I9/'Output-Calculation-sheet'!I8*'Output-Calculation-sheet'!I17</f>
        <v>2543.7009185774396</v>
      </c>
      <c r="J31" s="2">
        <f>J9/'Output-Calculation-sheet'!J8*'Output-Calculation-sheet'!J17</f>
        <v>2728.9544126793207</v>
      </c>
      <c r="K31" s="2">
        <f>K9/'Output-Calculation-sheet'!K8*'Output-Calculation-sheet'!K17</f>
        <v>2639.2821556920512</v>
      </c>
      <c r="L31" s="2">
        <f>L9/'Output-Calculation-sheet'!L8*'Output-Calculation-sheet'!L17</f>
        <v>2916.3124294475833</v>
      </c>
      <c r="M31" s="2">
        <f>M9/'Output-Calculation-sheet'!M8*'Output-Calculation-sheet'!M17</f>
        <v>0</v>
      </c>
      <c r="N31" s="2">
        <f>N9/'Output-Calculation-sheet'!N8*'Output-Calculation-sheet'!N17</f>
        <v>1229.6280638143667</v>
      </c>
      <c r="O31" s="2">
        <f>O9/'Output-Calculation-sheet'!O8*'Output-Calculation-sheet'!O17</f>
        <v>0</v>
      </c>
      <c r="P31" s="2">
        <f>P9/'Output-Calculation-sheet'!P8*'Output-Calculation-sheet'!P17</f>
        <v>2512.069675718591</v>
      </c>
      <c r="Q31" s="2">
        <f>Q9/'Output-Calculation-sheet'!Q8*'Output-Calculation-sheet'!Q17</f>
        <v>2456.6954095888041</v>
      </c>
      <c r="R31" s="2">
        <f>R9/'Output-Calculation-sheet'!R8*'Output-Calculation-sheet'!R17</f>
        <v>2198.6703724682761</v>
      </c>
      <c r="S31" s="2">
        <f>S9/'Output-Calculation-sheet'!S8*'Output-Calculation-sheet'!S17</f>
        <v>1100.6103296369936</v>
      </c>
      <c r="T31" s="2">
        <f>T9/'Output-Calculation-sheet'!T8*'Output-Calculation-sheet'!T17</f>
        <v>823.67226545627375</v>
      </c>
      <c r="U31" s="2">
        <f>U9/'Output-Calculation-sheet'!U8*'Output-Calculation-sheet'!U17</f>
        <v>637.76178221827968</v>
      </c>
      <c r="V31" s="2">
        <f>V9/'Output-Calculation-sheet'!V8*'Output-Calculation-sheet'!V17</f>
        <v>811.01637290571387</v>
      </c>
      <c r="W31" s="2">
        <f>W9/'Output-Calculation-sheet'!W8*'Output-Calculation-sheet'!W17</f>
        <v>395.28458367448832</v>
      </c>
      <c r="X31" s="2">
        <f>X9/'Output-Calculation-sheet'!X8*'Output-Calculation-sheet'!X17</f>
        <v>0</v>
      </c>
      <c r="Y31" s="2">
        <f>Y9/'Output-Calculation-sheet'!Y8*'Output-Calculation-sheet'!Y17</f>
        <v>269.47034959704922</v>
      </c>
      <c r="AA31" s="2">
        <f t="shared" si="1"/>
        <v>78.416079526523319</v>
      </c>
    </row>
    <row r="32" spans="1:27" x14ac:dyDescent="0.25">
      <c r="A32" s="2">
        <v>2033</v>
      </c>
      <c r="B32" s="2">
        <f>B10/'Output-Calculation-sheet'!B9*'Output-Calculation-sheet'!B18</f>
        <v>31821.784850277731</v>
      </c>
      <c r="C32" s="2">
        <f>C10/'Output-Calculation-sheet'!C9*'Output-Calculation-sheet'!C18</f>
        <v>0</v>
      </c>
      <c r="D32" s="2">
        <f>D10/'Output-Calculation-sheet'!D9*'Output-Calculation-sheet'!D18</f>
        <v>7444.751688875559</v>
      </c>
      <c r="E32" s="2">
        <f>E10/'Output-Calculation-sheet'!E9*'Output-Calculation-sheet'!E18</f>
        <v>9363.3962113311518</v>
      </c>
      <c r="F32" s="2">
        <f>F10/'Output-Calculation-sheet'!F9*'Output-Calculation-sheet'!F18</f>
        <v>4560.5020934788063</v>
      </c>
      <c r="G32" s="2">
        <f>G10/'Output-Calculation-sheet'!G9*'Output-Calculation-sheet'!G18</f>
        <v>2774.5438646856715</v>
      </c>
      <c r="H32" s="2">
        <f>H10/'Output-Calculation-sheet'!H9*'Output-Calculation-sheet'!H18</f>
        <v>0</v>
      </c>
      <c r="I32" s="2">
        <f>I10/'Output-Calculation-sheet'!I9*'Output-Calculation-sheet'!I18</f>
        <v>2614.5189171235988</v>
      </c>
      <c r="J32" s="2">
        <f>J10/'Output-Calculation-sheet'!J9*'Output-Calculation-sheet'!J18</f>
        <v>2801.893873852272</v>
      </c>
      <c r="K32" s="2">
        <f>K10/'Output-Calculation-sheet'!K9*'Output-Calculation-sheet'!K18</f>
        <v>2717.6293265874597</v>
      </c>
      <c r="L32" s="2">
        <f>L10/'Output-Calculation-sheet'!L9*'Output-Calculation-sheet'!L18</f>
        <v>2985.3731730624108</v>
      </c>
      <c r="M32" s="2">
        <f>M10/'Output-Calculation-sheet'!M9*'Output-Calculation-sheet'!M18</f>
        <v>0</v>
      </c>
      <c r="N32" s="2">
        <f>N10/'Output-Calculation-sheet'!N9*'Output-Calculation-sheet'!N18</f>
        <v>1161.8930876026611</v>
      </c>
      <c r="O32" s="2">
        <f>O10/'Output-Calculation-sheet'!O9*'Output-Calculation-sheet'!O18</f>
        <v>0</v>
      </c>
      <c r="P32" s="2">
        <f>P10/'Output-Calculation-sheet'!P9*'Output-Calculation-sheet'!P18</f>
        <v>2618.0686271037066</v>
      </c>
      <c r="Q32" s="2">
        <f>Q10/'Output-Calculation-sheet'!Q9*'Output-Calculation-sheet'!Q18</f>
        <v>2536.0143085162358</v>
      </c>
      <c r="R32" s="2">
        <f>R10/'Output-Calculation-sheet'!R9*'Output-Calculation-sheet'!R18</f>
        <v>2279.4747673405386</v>
      </c>
      <c r="S32" s="2">
        <f>S10/'Output-Calculation-sheet'!S9*'Output-Calculation-sheet'!S18</f>
        <v>1086.4100924807153</v>
      </c>
      <c r="T32" s="2">
        <f>T10/'Output-Calculation-sheet'!T9*'Output-Calculation-sheet'!T18</f>
        <v>843.45939633313833</v>
      </c>
      <c r="U32" s="2">
        <f>U10/'Output-Calculation-sheet'!U9*'Output-Calculation-sheet'!U18</f>
        <v>657.58613211105148</v>
      </c>
      <c r="V32" s="2">
        <f>V10/'Output-Calculation-sheet'!V9*'Output-Calculation-sheet'!V18</f>
        <v>829.65922720041976</v>
      </c>
      <c r="W32" s="2">
        <f>W10/'Output-Calculation-sheet'!W9*'Output-Calculation-sheet'!W18</f>
        <v>404.80629441961673</v>
      </c>
      <c r="X32" s="2">
        <f>X10/'Output-Calculation-sheet'!X9*'Output-Calculation-sheet'!X18</f>
        <v>0</v>
      </c>
      <c r="Y32" s="2">
        <f>Y10/'Output-Calculation-sheet'!Y9*'Output-Calculation-sheet'!Y18</f>
        <v>277.02328621428802</v>
      </c>
      <c r="AA32" s="2">
        <f t="shared" si="1"/>
        <v>79.778789218597041</v>
      </c>
    </row>
    <row r="33" spans="1:27" x14ac:dyDescent="0.25">
      <c r="A33" s="2">
        <v>2034</v>
      </c>
      <c r="B33" s="2">
        <f>B11/'Output-Calculation-sheet'!B10*'Output-Calculation-sheet'!B19</f>
        <v>30110.824156721534</v>
      </c>
      <c r="C33" s="2">
        <f>C11/'Output-Calculation-sheet'!C10*'Output-Calculation-sheet'!C19</f>
        <v>0</v>
      </c>
      <c r="D33" s="2">
        <f>D11/'Output-Calculation-sheet'!D10*'Output-Calculation-sheet'!D19</f>
        <v>7251.5562811195532</v>
      </c>
      <c r="E33" s="2">
        <f>E11/'Output-Calculation-sheet'!E10*'Output-Calculation-sheet'!E19</f>
        <v>9127.7116441896196</v>
      </c>
      <c r="F33" s="2">
        <f>F11/'Output-Calculation-sheet'!F10*'Output-Calculation-sheet'!F19</f>
        <v>4443.2515990251941</v>
      </c>
      <c r="G33" s="2">
        <f>G11/'Output-Calculation-sheet'!G10*'Output-Calculation-sheet'!G19</f>
        <v>2697.2397128284942</v>
      </c>
      <c r="H33" s="2">
        <f>H11/'Output-Calculation-sheet'!H10*'Output-Calculation-sheet'!H19</f>
        <v>0</v>
      </c>
      <c r="I33" s="2">
        <f>I11/'Output-Calculation-sheet'!I10*'Output-Calculation-sheet'!I19</f>
        <v>2549.0197116546501</v>
      </c>
      <c r="J33" s="2">
        <f>J11/'Output-Calculation-sheet'!J10*'Output-Calculation-sheet'!J19</f>
        <v>2721.7795470237747</v>
      </c>
      <c r="K33" s="2">
        <f>K11/'Output-Calculation-sheet'!K10*'Output-Calculation-sheet'!K19</f>
        <v>2655.124148270831</v>
      </c>
      <c r="L33" s="2">
        <f>L11/'Output-Calculation-sheet'!L10*'Output-Calculation-sheet'!L19</f>
        <v>2854.3282036383243</v>
      </c>
      <c r="M33" s="2">
        <f>M11/'Output-Calculation-sheet'!M10*'Output-Calculation-sheet'!M19</f>
        <v>0</v>
      </c>
      <c r="N33" s="2">
        <f>N11/'Output-Calculation-sheet'!N10*'Output-Calculation-sheet'!N19</f>
        <v>1074.4879425082941</v>
      </c>
      <c r="O33" s="2">
        <f>O11/'Output-Calculation-sheet'!O10*'Output-Calculation-sheet'!O19</f>
        <v>0</v>
      </c>
      <c r="P33" s="2">
        <f>P11/'Output-Calculation-sheet'!P10*'Output-Calculation-sheet'!P19</f>
        <v>2599.9553885932987</v>
      </c>
      <c r="Q33" s="2">
        <f>Q11/'Output-Calculation-sheet'!Q10*'Output-Calculation-sheet'!Q19</f>
        <v>2480.9860316557269</v>
      </c>
      <c r="R33" s="2">
        <f>R11/'Output-Calculation-sheet'!R10*'Output-Calculation-sheet'!R19</f>
        <v>2248.4075217530085</v>
      </c>
      <c r="S33" s="2">
        <f>S11/'Output-Calculation-sheet'!S10*'Output-Calculation-sheet'!S19</f>
        <v>1036.336578518134</v>
      </c>
      <c r="T33" s="2">
        <f>T11/'Output-Calculation-sheet'!T10*'Output-Calculation-sheet'!T19</f>
        <v>820.29701383389329</v>
      </c>
      <c r="U33" s="2">
        <f>U11/'Output-Calculation-sheet'!U10*'Output-Calculation-sheet'!U19</f>
        <v>644.89062868040457</v>
      </c>
      <c r="V33" s="2">
        <f>V11/'Output-Calculation-sheet'!V10*'Output-Calculation-sheet'!V19</f>
        <v>802.63044320122492</v>
      </c>
      <c r="W33" s="2">
        <f>W11/'Output-Calculation-sheet'!W10*'Output-Calculation-sheet'!W19</f>
        <v>393.73086611182845</v>
      </c>
      <c r="X33" s="2">
        <f>X11/'Output-Calculation-sheet'!X10*'Output-Calculation-sheet'!X19</f>
        <v>0</v>
      </c>
      <c r="Y33" s="2">
        <f>Y11/'Output-Calculation-sheet'!Y10*'Output-Calculation-sheet'!Y19</f>
        <v>270.52374986658145</v>
      </c>
      <c r="AA33" s="2">
        <f t="shared" si="1"/>
        <v>76.783081169194361</v>
      </c>
    </row>
    <row r="34" spans="1:27" x14ac:dyDescent="0.25">
      <c r="A34" s="2">
        <v>2035</v>
      </c>
      <c r="B34" s="2">
        <f>B12/'Output-Calculation-sheet'!B11*'Output-Calculation-sheet'!B20</f>
        <v>26865.569347389603</v>
      </c>
      <c r="C34" s="2">
        <f>C12/'Output-Calculation-sheet'!C11*'Output-Calculation-sheet'!C20</f>
        <v>0</v>
      </c>
      <c r="D34" s="2">
        <f>D12/'Output-Calculation-sheet'!D11*'Output-Calculation-sheet'!D20</f>
        <v>6767.9921825432048</v>
      </c>
      <c r="E34" s="2">
        <f>E12/'Output-Calculation-sheet'!E11*'Output-Calculation-sheet'!E20</f>
        <v>8519.1891047930949</v>
      </c>
      <c r="F34" s="2">
        <f>F12/'Output-Calculation-sheet'!F11*'Output-Calculation-sheet'!F20</f>
        <v>4140.1041132237442</v>
      </c>
      <c r="G34" s="2">
        <f>G12/'Output-Calculation-sheet'!G11*'Output-Calculation-sheet'!G20</f>
        <v>2521.7465749339017</v>
      </c>
      <c r="H34" s="2">
        <f>H12/'Output-Calculation-sheet'!H11*'Output-Calculation-sheet'!H20</f>
        <v>0</v>
      </c>
      <c r="I34" s="2">
        <f>I12/'Output-Calculation-sheet'!I11*'Output-Calculation-sheet'!I20</f>
        <v>2378.4985227245734</v>
      </c>
      <c r="J34" s="2">
        <f>J12/'Output-Calculation-sheet'!J11*'Output-Calculation-sheet'!J20</f>
        <v>2531.7392923763769</v>
      </c>
      <c r="K34" s="2">
        <f>K12/'Output-Calculation-sheet'!K11*'Output-Calculation-sheet'!K20</f>
        <v>2481.0640674124215</v>
      </c>
      <c r="L34" s="2">
        <f>L12/'Output-Calculation-sheet'!L11*'Output-Calculation-sheet'!L20</f>
        <v>2617.9188060880583</v>
      </c>
      <c r="M34" s="2">
        <f>M12/'Output-Calculation-sheet'!M11*'Output-Calculation-sheet'!M20</f>
        <v>0</v>
      </c>
      <c r="N34" s="2">
        <f>N12/'Output-Calculation-sheet'!N11*'Output-Calculation-sheet'!N20</f>
        <v>960.26685969586003</v>
      </c>
      <c r="O34" s="2">
        <f>O12/'Output-Calculation-sheet'!O11*'Output-Calculation-sheet'!O20</f>
        <v>0</v>
      </c>
      <c r="P34" s="2">
        <f>P12/'Output-Calculation-sheet'!P11*'Output-Calculation-sheet'!P20</f>
        <v>2462.799978058466</v>
      </c>
      <c r="Q34" s="2">
        <f>Q12/'Output-Calculation-sheet'!Q11*'Output-Calculation-sheet'!Q20</f>
        <v>2274.0665683805287</v>
      </c>
      <c r="R34" s="2">
        <f>R12/'Output-Calculation-sheet'!R11*'Output-Calculation-sheet'!R20</f>
        <v>2115.6921870445999</v>
      </c>
      <c r="S34" s="2">
        <f>S12/'Output-Calculation-sheet'!S11*'Output-Calculation-sheet'!S20</f>
        <v>949.06313747747959</v>
      </c>
      <c r="T34" s="2">
        <f>T12/'Output-Calculation-sheet'!T11*'Output-Calculation-sheet'!T20</f>
        <v>764.23390539695129</v>
      </c>
      <c r="U34" s="2">
        <f>U12/'Output-Calculation-sheet'!U11*'Output-Calculation-sheet'!U20</f>
        <v>601.93687955618168</v>
      </c>
      <c r="V34" s="2">
        <f>V12/'Output-Calculation-sheet'!V11*'Output-Calculation-sheet'!V20</f>
        <v>746.81191519413517</v>
      </c>
      <c r="W34" s="2">
        <f>W12/'Output-Calculation-sheet'!W11*'Output-Calculation-sheet'!W20</f>
        <v>366.60993871819858</v>
      </c>
      <c r="X34" s="2">
        <f>X12/'Output-Calculation-sheet'!X11*'Output-Calculation-sheet'!X20</f>
        <v>0</v>
      </c>
      <c r="Y34" s="2">
        <f>Y12/'Output-Calculation-sheet'!Y11*'Output-Calculation-sheet'!Y20</f>
        <v>252.22766088359043</v>
      </c>
      <c r="AA34" s="2">
        <f t="shared" si="1"/>
        <v>70.317531041890959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167.95125997092813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149.50191334348756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650.10292830961475</v>
      </c>
      <c r="S52" s="2">
        <f>S8/'Output-Calculation-sheet'!S7*'Output-Calculation-sheet'!S43</f>
        <v>0</v>
      </c>
      <c r="T52" s="2">
        <f>T8/'Output-Calculation-sheet'!T7*'Output-Calculation-sheet'!T43</f>
        <v>523.47435003353769</v>
      </c>
      <c r="U52" s="2">
        <f>U8/'Output-Calculation-sheet'!U7*'Output-Calculation-sheet'!U43</f>
        <v>55.366260278201004</v>
      </c>
      <c r="V52" s="2">
        <f>V8/'Output-Calculation-sheet'!V7*'Output-Calculation-sheet'!V43</f>
        <v>943.97657946281925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2.4903732913985888</v>
      </c>
    </row>
    <row r="53" spans="1:27" x14ac:dyDescent="0.25">
      <c r="A53" s="2">
        <v>2032</v>
      </c>
      <c r="B53" s="2">
        <f>B9/'Output-Calculation-sheet'!B8*'Output-Calculation-sheet'!B44</f>
        <v>1940.9779309215116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365.92093459871558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293.15226261460094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916.49452791507974</v>
      </c>
      <c r="S53" s="2">
        <f>S9/'Output-Calculation-sheet'!S8*'Output-Calculation-sheet'!S44</f>
        <v>0</v>
      </c>
      <c r="T53" s="2">
        <f>T9/'Output-Calculation-sheet'!T8*'Output-Calculation-sheet'!T44</f>
        <v>631.90462429166337</v>
      </c>
      <c r="U53" s="2">
        <f>U9/'Output-Calculation-sheet'!U8*'Output-Calculation-sheet'!U44</f>
        <v>107.22514885035071</v>
      </c>
      <c r="V53" s="2">
        <f>V9/'Output-Calculation-sheet'!V8*'Output-Calculation-sheet'!V44</f>
        <v>1059.3415301262949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5.3150169593182168</v>
      </c>
    </row>
    <row r="54" spans="1:27" x14ac:dyDescent="0.25">
      <c r="A54" s="2">
        <v>2033</v>
      </c>
      <c r="B54" s="2">
        <f>B10/'Output-Calculation-sheet'!B9*'Output-Calculation-sheet'!B45</f>
        <v>5948.1824699107892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523.30842019210536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499.0963924020482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294.10146599566372</v>
      </c>
      <c r="Q54" s="2">
        <f>Q10/'Output-Calculation-sheet'!Q9*'Output-Calculation-sheet'!Q45</f>
        <v>0</v>
      </c>
      <c r="R54" s="2">
        <f>R10/'Output-Calculation-sheet'!R9*'Output-Calculation-sheet'!R45</f>
        <v>1191.5373418624877</v>
      </c>
      <c r="S54" s="2">
        <f>S10/'Output-Calculation-sheet'!S9*'Output-Calculation-sheet'!S45</f>
        <v>0</v>
      </c>
      <c r="T54" s="2">
        <f>T10/'Output-Calculation-sheet'!T9*'Output-Calculation-sheet'!T45</f>
        <v>716.34379611673194</v>
      </c>
      <c r="U54" s="2">
        <f>U10/'Output-Calculation-sheet'!U9*'Output-Calculation-sheet'!U45</f>
        <v>171.14298968098737</v>
      </c>
      <c r="V54" s="2">
        <f>V10/'Output-Calculation-sheet'!V9*'Output-Calculation-sheet'!V45</f>
        <v>1124.3568535979018</v>
      </c>
      <c r="W54" s="2">
        <f>W10/'Output-Calculation-sheet'!W9*'Output-Calculation-sheet'!W45</f>
        <v>18.283727348138196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10.486353457106851</v>
      </c>
    </row>
    <row r="55" spans="1:27" x14ac:dyDescent="0.25">
      <c r="A55" s="2">
        <v>2034</v>
      </c>
      <c r="B55" s="2">
        <f>B11/'Output-Calculation-sheet'!B10*'Output-Calculation-sheet'!B46</f>
        <v>10334.890675673292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688.72790312652216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677.60539747130201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548.47676709447853</v>
      </c>
      <c r="Q55" s="2">
        <f>Q11/'Output-Calculation-sheet'!Q10*'Output-Calculation-sheet'!Q46</f>
        <v>0</v>
      </c>
      <c r="R55" s="2">
        <f>R11/'Output-Calculation-sheet'!R10*'Output-Calculation-sheet'!R46</f>
        <v>1423.7479489102802</v>
      </c>
      <c r="S55" s="2">
        <f>S11/'Output-Calculation-sheet'!S10*'Output-Calculation-sheet'!S46</f>
        <v>0</v>
      </c>
      <c r="T55" s="2">
        <f>T11/'Output-Calculation-sheet'!T10*'Output-Calculation-sheet'!T46</f>
        <v>740.48495036887675</v>
      </c>
      <c r="U55" s="2">
        <f>U11/'Output-Calculation-sheet'!U10*'Output-Calculation-sheet'!U46</f>
        <v>232.35474211521557</v>
      </c>
      <c r="V55" s="2">
        <f>V11/'Output-Calculation-sheet'!V10*'Output-Calculation-sheet'!V46</f>
        <v>1115.9518385251065</v>
      </c>
      <c r="W55" s="2">
        <f>W11/'Output-Calculation-sheet'!W10*'Output-Calculation-sheet'!W46</f>
        <v>31.028956844803197</v>
      </c>
      <c r="X55" s="2">
        <f>X11/'Output-Calculation-sheet'!X10*'Output-Calculation-sheet'!X46</f>
        <v>74.220308186503445</v>
      </c>
      <c r="Y55" s="2">
        <f>Y11/'Output-Calculation-sheet'!Y10*'Output-Calculation-sheet'!Y46</f>
        <v>0</v>
      </c>
      <c r="AA55" s="2">
        <f t="shared" si="3"/>
        <v>15.86748948831638</v>
      </c>
    </row>
    <row r="56" spans="1:27" x14ac:dyDescent="0.25">
      <c r="A56" s="2">
        <v>2035</v>
      </c>
      <c r="B56" s="2">
        <f>B12/'Output-Calculation-sheet'!B11*'Output-Calculation-sheet'!B47</f>
        <v>20958.938996726916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773.43874147859378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748.34451405104664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712.34483605809885</v>
      </c>
      <c r="Q56" s="2">
        <f>Q12/'Output-Calculation-sheet'!Q11*'Output-Calculation-sheet'!Q47</f>
        <v>0</v>
      </c>
      <c r="R56" s="2">
        <f>R12/'Output-Calculation-sheet'!R11*'Output-Calculation-sheet'!R47</f>
        <v>1627.0726878634075</v>
      </c>
      <c r="S56" s="2">
        <f>S12/'Output-Calculation-sheet'!S11*'Output-Calculation-sheet'!S47</f>
        <v>0</v>
      </c>
      <c r="T56" s="2">
        <f>T12/'Output-Calculation-sheet'!T11*'Output-Calculation-sheet'!T47</f>
        <v>771.9248261418137</v>
      </c>
      <c r="U56" s="2">
        <f>U12/'Output-Calculation-sheet'!U11*'Output-Calculation-sheet'!U47</f>
        <v>295.61654851436208</v>
      </c>
      <c r="V56" s="2">
        <f>V12/'Output-Calculation-sheet'!V11*'Output-Calculation-sheet'!V47</f>
        <v>1054.2556605182374</v>
      </c>
      <c r="W56" s="2">
        <f>W12/'Output-Calculation-sheet'!W11*'Output-Calculation-sheet'!W47</f>
        <v>41.121897289819472</v>
      </c>
      <c r="X56" s="2">
        <f>X12/'Output-Calculation-sheet'!X11*'Output-Calculation-sheet'!X47</f>
        <v>162.29781245286256</v>
      </c>
      <c r="Y56" s="2">
        <f>Y12/'Output-Calculation-sheet'!Y11*'Output-Calculation-sheet'!Y47</f>
        <v>0</v>
      </c>
      <c r="AA56" s="2">
        <f t="shared" si="3"/>
        <v>27.14535652109516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 t="shared" ref="AA60:AA67" si="4"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si="4"/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8.1100127654223879</v>
      </c>
      <c r="C63" s="2">
        <f>C8*'Output-Calculation-sheet'!C52/10^9</f>
        <v>4.1107771124309407</v>
      </c>
      <c r="D63" s="2">
        <f>D8*'Output-Calculation-sheet'!D52/10^9</f>
        <v>1.4360775796375462</v>
      </c>
      <c r="E63" s="2">
        <f>E8*'Output-Calculation-sheet'!E52/10^9</f>
        <v>1.8490772166965423</v>
      </c>
      <c r="F63" s="2">
        <f>F8*'Output-Calculation-sheet'!F52/10^9</f>
        <v>0.76912796068075173</v>
      </c>
      <c r="G63" s="2">
        <f>G8*'Output-Calculation-sheet'!G52/10^9</f>
        <v>0.55186760922383471</v>
      </c>
      <c r="H63" s="2">
        <f>H8*'Output-Calculation-sheet'!H52/10^9</f>
        <v>1.0660461009492579</v>
      </c>
      <c r="I63" s="2">
        <f>I8*'Output-Calculation-sheet'!I52/10^9</f>
        <v>0.49471399701093927</v>
      </c>
      <c r="J63" s="2">
        <f>J8*'Output-Calculation-sheet'!J52/10^9</f>
        <v>0.53183688125971862</v>
      </c>
      <c r="K63" s="2">
        <f>K8*'Output-Calculation-sheet'!K52/10^9</f>
        <v>0.54309806536622263</v>
      </c>
      <c r="L63" s="2">
        <f>L8*'Output-Calculation-sheet'!L52/10^9</f>
        <v>0.5648278587393587</v>
      </c>
      <c r="M63" s="2">
        <f>M8*'Output-Calculation-sheet'!M52/10^9</f>
        <v>0.80610267185892892</v>
      </c>
      <c r="N63" s="2">
        <f>N8*'Output-Calculation-sheet'!N52/10^9</f>
        <v>0.68106366544791841</v>
      </c>
      <c r="O63" s="2">
        <f>O8*'Output-Calculation-sheet'!O52/10^9</f>
        <v>0.70553938653598602</v>
      </c>
      <c r="P63" s="2">
        <f>P8*'Output-Calculation-sheet'!P52/10^9</f>
        <v>0.58473220916370239</v>
      </c>
      <c r="Q63" s="2">
        <f>Q8*'Output-Calculation-sheet'!Q52/10^9</f>
        <v>0.55315203542775149</v>
      </c>
      <c r="R63" s="2">
        <f>R8*'Output-Calculation-sheet'!R52/10^9</f>
        <v>0.46599824485049623</v>
      </c>
      <c r="S63" s="2">
        <f>S8*'Output-Calculation-sheet'!S52/10^9</f>
        <v>0.42845638478426212</v>
      </c>
      <c r="T63" s="2">
        <f>T8*'Output-Calculation-sheet'!T52/10^9</f>
        <v>0.15259397863741578</v>
      </c>
      <c r="U63" s="2">
        <f>U8*'Output-Calculation-sheet'!U52/10^9</f>
        <v>0.14968404493157753</v>
      </c>
      <c r="V63" s="2">
        <f>V8*'Output-Calculation-sheet'!V52/10^9</f>
        <v>0.13415675856119766</v>
      </c>
      <c r="W63" s="2">
        <f>W8*'Output-Calculation-sheet'!W52/10^9</f>
        <v>7.003205550060769E-2</v>
      </c>
      <c r="X63" s="2">
        <f>X8*'Output-Calculation-sheet'!X52/10^9</f>
        <v>0.11317330822145158</v>
      </c>
      <c r="Y63" s="2">
        <f>Y8*'Output-Calculation-sheet'!Y52/10^9</f>
        <v>5.8372525243851434E-2</v>
      </c>
      <c r="AA63" s="2">
        <f t="shared" si="4"/>
        <v>24.930520416582649</v>
      </c>
    </row>
    <row r="64" spans="1:27" x14ac:dyDescent="0.25">
      <c r="A64" s="2">
        <v>2032</v>
      </c>
      <c r="B64" s="2">
        <f>B9*'Output-Calculation-sheet'!B53/10^9</f>
        <v>8.7739032471005345</v>
      </c>
      <c r="C64" s="2">
        <f>C9*'Output-Calculation-sheet'!C53/10^9</f>
        <v>4.4433090266884019</v>
      </c>
      <c r="D64" s="2">
        <f>D9*'Output-Calculation-sheet'!D53/10^9</f>
        <v>1.5564283723552004</v>
      </c>
      <c r="E64" s="2">
        <f>E9*'Output-Calculation-sheet'!E53/10^9</f>
        <v>2.0043000543244385</v>
      </c>
      <c r="F64" s="2">
        <f>F9*'Output-Calculation-sheet'!F53/10^9</f>
        <v>0.83296960756598648</v>
      </c>
      <c r="G64" s="2">
        <f>G9*'Output-Calculation-sheet'!G53/10^9</f>
        <v>0.59798888915227821</v>
      </c>
      <c r="H64" s="2">
        <f>H9*'Output-Calculation-sheet'!H53/10^9</f>
        <v>1.1508632024902177</v>
      </c>
      <c r="I64" s="2">
        <f>I9*'Output-Calculation-sheet'!I53/10^9</f>
        <v>0.53612107978811596</v>
      </c>
      <c r="J64" s="2">
        <f>J9*'Output-Calculation-sheet'!J53/10^9</f>
        <v>0.5761724442586631</v>
      </c>
      <c r="K64" s="2">
        <f>K9*'Output-Calculation-sheet'!K53/10^9</f>
        <v>0.58872372334377376</v>
      </c>
      <c r="L64" s="2">
        <f>L9*'Output-Calculation-sheet'!L53/10^9</f>
        <v>0.61209027773667601</v>
      </c>
      <c r="M64" s="2">
        <f>M9*'Output-Calculation-sheet'!M53/10^9</f>
        <v>0.87044939021562295</v>
      </c>
      <c r="N64" s="2">
        <f>N9*'Output-Calculation-sheet'!N53/10^9</f>
        <v>0.73623954302157379</v>
      </c>
      <c r="O64" s="2">
        <f>O9*'Output-Calculation-sheet'!O53/10^9</f>
        <v>0.76285199324197817</v>
      </c>
      <c r="P64" s="2">
        <f>P9*'Output-Calculation-sheet'!P53/10^9</f>
        <v>0.63422621280668268</v>
      </c>
      <c r="Q64" s="2">
        <f>Q9*'Output-Calculation-sheet'!Q53/10^9</f>
        <v>0.59988204314520399</v>
      </c>
      <c r="R64" s="2">
        <f>R9*'Output-Calculation-sheet'!R53/10^9</f>
        <v>0.50455148709852626</v>
      </c>
      <c r="S64" s="2">
        <f>S9*'Output-Calculation-sheet'!S53/10^9</f>
        <v>0.46358370134130011</v>
      </c>
      <c r="T64" s="2">
        <f>T9*'Output-Calculation-sheet'!T53/10^9</f>
        <v>0.16485622142558198</v>
      </c>
      <c r="U64" s="2">
        <f>U9*'Output-Calculation-sheet'!U53/10^9</f>
        <v>0.16229321398273039</v>
      </c>
      <c r="V64" s="2">
        <f>V9*'Output-Calculation-sheet'!V53/10^9</f>
        <v>0.14445793059248335</v>
      </c>
      <c r="W64" s="2">
        <f>W9*'Output-Calculation-sheet'!W53/10^9</f>
        <v>7.5855081003032329E-2</v>
      </c>
      <c r="X64" s="2">
        <f>X9*'Output-Calculation-sheet'!X53/10^9</f>
        <v>0.12229407931770986</v>
      </c>
      <c r="Y64" s="2">
        <f>Y9*'Output-Calculation-sheet'!Y53/10^9</f>
        <v>6.3292142019348296E-2</v>
      </c>
      <c r="AA64" s="2">
        <f t="shared" si="4"/>
        <v>26.977702964016061</v>
      </c>
    </row>
    <row r="65" spans="1:27" x14ac:dyDescent="0.25">
      <c r="A65" s="2">
        <v>2033</v>
      </c>
      <c r="B65" s="2">
        <f>B10*'Output-Calculation-sheet'!B54/10^9</f>
        <v>8.8928889903419659</v>
      </c>
      <c r="C65" s="2">
        <f>C10*'Output-Calculation-sheet'!C54/10^9</f>
        <v>4.5021608157668087</v>
      </c>
      <c r="D65" s="2">
        <f>D10*'Output-Calculation-sheet'!D54/10^9</f>
        <v>1.5817000602657225</v>
      </c>
      <c r="E65" s="2">
        <f>E10*'Output-Calculation-sheet'!E54/10^9</f>
        <v>2.0371061749148489</v>
      </c>
      <c r="F65" s="2">
        <f>F10*'Output-Calculation-sheet'!F54/10^9</f>
        <v>0.84586277883259564</v>
      </c>
      <c r="G65" s="2">
        <f>G10*'Output-Calculation-sheet'!G54/10^9</f>
        <v>0.60743361799840556</v>
      </c>
      <c r="H65" s="2">
        <f>H10*'Output-Calculation-sheet'!H54/10^9</f>
        <v>1.1647012898003186</v>
      </c>
      <c r="I65" s="2">
        <f>I10*'Output-Calculation-sheet'!I54/10^9</f>
        <v>0.54477481846835785</v>
      </c>
      <c r="J65" s="2">
        <f>J10*'Output-Calculation-sheet'!J54/10^9</f>
        <v>0.58515768785488154</v>
      </c>
      <c r="K65" s="2">
        <f>K10*'Output-Calculation-sheet'!K54/10^9</f>
        <v>0.59839618938758732</v>
      </c>
      <c r="L65" s="2">
        <f>L10*'Output-Calculation-sheet'!L54/10^9</f>
        <v>0.6219511318551979</v>
      </c>
      <c r="M65" s="2">
        <f>M10*'Output-Calculation-sheet'!M54/10^9</f>
        <v>0.88112142395396675</v>
      </c>
      <c r="N65" s="2">
        <f>N10*'Output-Calculation-sheet'!N54/10^9</f>
        <v>0.74587693627139662</v>
      </c>
      <c r="O65" s="2">
        <f>O10*'Output-Calculation-sheet'!O54/10^9</f>
        <v>0.7731032643857868</v>
      </c>
      <c r="P65" s="2">
        <f>P10*'Output-Calculation-sheet'!P54/10^9</f>
        <v>0.64488816648004421</v>
      </c>
      <c r="Q65" s="2">
        <f>Q10*'Output-Calculation-sheet'!Q54/10^9</f>
        <v>0.60999702757921737</v>
      </c>
      <c r="R65" s="2">
        <f>R10*'Output-Calculation-sheet'!R54/10^9</f>
        <v>0.51208713100932812</v>
      </c>
      <c r="S65" s="2">
        <f>S10*'Output-Calculation-sheet'!S54/10^9</f>
        <v>0.47007183700086308</v>
      </c>
      <c r="T65" s="2">
        <f>T10*'Output-Calculation-sheet'!T54/10^9</f>
        <v>0.16694566960338494</v>
      </c>
      <c r="U65" s="2">
        <f>U10*'Output-Calculation-sheet'!U54/10^9</f>
        <v>0.16495289906224855</v>
      </c>
      <c r="V65" s="2">
        <f>V10*'Output-Calculation-sheet'!V54/10^9</f>
        <v>0.14584030757314428</v>
      </c>
      <c r="W65" s="2">
        <f>W10*'Output-Calculation-sheet'!W54/10^9</f>
        <v>7.7030248217984543E-2</v>
      </c>
      <c r="X65" s="2">
        <f>X10*'Output-Calculation-sheet'!X54/10^9</f>
        <v>0.12388530559369726</v>
      </c>
      <c r="Y65" s="2">
        <f>Y10*'Output-Calculation-sheet'!Y54/10^9</f>
        <v>6.4348412524333959E-2</v>
      </c>
      <c r="AA65" s="2">
        <f t="shared" si="4"/>
        <v>27.362282184742092</v>
      </c>
    </row>
    <row r="66" spans="1:27" x14ac:dyDescent="0.25">
      <c r="A66" s="2">
        <v>2034</v>
      </c>
      <c r="B66" s="2">
        <f>B11*'Output-Calculation-sheet'!B55/10^9</f>
        <v>8.5466282054011913</v>
      </c>
      <c r="C66" s="2">
        <f>C11*'Output-Calculation-sheet'!C55/10^9</f>
        <v>4.329312978742303</v>
      </c>
      <c r="D66" s="2">
        <f>D11*'Output-Calculation-sheet'!D55/10^9</f>
        <v>1.5258755482624851</v>
      </c>
      <c r="E66" s="2">
        <f>E11*'Output-Calculation-sheet'!E55/10^9</f>
        <v>1.9654468875233948</v>
      </c>
      <c r="F66" s="2">
        <f>F11*'Output-Calculation-sheet'!F55/10^9</f>
        <v>0.81538820147656021</v>
      </c>
      <c r="G66" s="2">
        <f>G11*'Output-Calculation-sheet'!G55/10^9</f>
        <v>0.58563842496862661</v>
      </c>
      <c r="H66" s="2">
        <f>H11*'Output-Calculation-sheet'!H55/10^9</f>
        <v>1.1186582444381528</v>
      </c>
      <c r="I66" s="2">
        <f>I11*'Output-Calculation-sheet'!I55/10^9</f>
        <v>0.52549254590820071</v>
      </c>
      <c r="J66" s="2">
        <f>J11*'Output-Calculation-sheet'!J55/10^9</f>
        <v>0.56401965181348135</v>
      </c>
      <c r="K66" s="2">
        <f>K11*'Output-Calculation-sheet'!K55/10^9</f>
        <v>0.57737663125682093</v>
      </c>
      <c r="L66" s="2">
        <f>L11*'Output-Calculation-sheet'!L55/10^9</f>
        <v>0.59952810739374029</v>
      </c>
      <c r="M66" s="2">
        <f>M11*'Output-Calculation-sheet'!M55/10^9</f>
        <v>0.84646986845711503</v>
      </c>
      <c r="N66" s="2">
        <f>N11*'Output-Calculation-sheet'!N55/10^9</f>
        <v>0.71697697327149768</v>
      </c>
      <c r="O66" s="2">
        <f>O11*'Output-Calculation-sheet'!O55/10^9</f>
        <v>0.74351375329967662</v>
      </c>
      <c r="P66" s="2">
        <f>P11*'Output-Calculation-sheet'!P55/10^9</f>
        <v>0.62222336033045478</v>
      </c>
      <c r="Q66" s="2">
        <f>Q11*'Output-Calculation-sheet'!Q55/10^9</f>
        <v>0.5888213044714723</v>
      </c>
      <c r="R66" s="2">
        <f>R11*'Output-Calculation-sheet'!R55/10^9</f>
        <v>0.49318022709904413</v>
      </c>
      <c r="S66" s="2">
        <f>S11*'Output-Calculation-sheet'!S55/10^9</f>
        <v>0.45229576979027142</v>
      </c>
      <c r="T66" s="2">
        <f>T11*'Output-Calculation-sheet'!T55/10^9</f>
        <v>0.16045663856680245</v>
      </c>
      <c r="U66" s="2">
        <f>U11*'Output-Calculation-sheet'!U55/10^9</f>
        <v>0.15911338570616765</v>
      </c>
      <c r="V66" s="2">
        <f>V11*'Output-Calculation-sheet'!V55/10^9</f>
        <v>0.13976963068349055</v>
      </c>
      <c r="W66" s="2">
        <f>W11*'Output-Calculation-sheet'!W55/10^9</f>
        <v>7.4248406898924368E-2</v>
      </c>
      <c r="X66" s="2">
        <f>X11*'Output-Calculation-sheet'!X55/10^9</f>
        <v>0.1190442068008217</v>
      </c>
      <c r="Y66" s="2">
        <f>Y11*'Output-Calculation-sheet'!Y55/10^9</f>
        <v>6.2104692936568694E-2</v>
      </c>
      <c r="AA66" s="2">
        <f t="shared" si="4"/>
        <v>26.331583645497261</v>
      </c>
    </row>
    <row r="67" spans="1:27" x14ac:dyDescent="0.25">
      <c r="A67" s="2">
        <v>2035</v>
      </c>
      <c r="B67" s="2">
        <f>B12*'Output-Calculation-sheet'!B56/10^9</f>
        <v>7.8432751463668078</v>
      </c>
      <c r="C67" s="2">
        <f>C12*'Output-Calculation-sheet'!C56/10^9</f>
        <v>3.9812016214072017</v>
      </c>
      <c r="D67" s="2">
        <f>D12*'Output-Calculation-sheet'!D56/10^9</f>
        <v>1.408088822817867</v>
      </c>
      <c r="E67" s="2">
        <f>E12*'Output-Calculation-sheet'!E56/10^9</f>
        <v>1.8139446079144115</v>
      </c>
      <c r="F67" s="2">
        <f>F12*'Output-Calculation-sheet'!F56/10^9</f>
        <v>0.75186585309748055</v>
      </c>
      <c r="G67" s="2">
        <f>G12*'Output-Calculation-sheet'!G56/10^9</f>
        <v>0.53998815589502713</v>
      </c>
      <c r="H67" s="2">
        <f>H12*'Output-Calculation-sheet'!H56/10^9</f>
        <v>1.0274900247424019</v>
      </c>
      <c r="I67" s="2">
        <f>I12*'Output-Calculation-sheet'!I56/10^9</f>
        <v>0.48487436762005676</v>
      </c>
      <c r="J67" s="2">
        <f>J12*'Output-Calculation-sheet'!J56/10^9</f>
        <v>0.51995175162645602</v>
      </c>
      <c r="K67" s="2">
        <f>K12*'Output-Calculation-sheet'!K56/10^9</f>
        <v>0.53289631211389143</v>
      </c>
      <c r="L67" s="2">
        <f>L12*'Output-Calculation-sheet'!L56/10^9</f>
        <v>0.55231088728428468</v>
      </c>
      <c r="M67" s="2">
        <f>M12*'Output-Calculation-sheet'!M56/10^9</f>
        <v>0.77763493322322741</v>
      </c>
      <c r="N67" s="2">
        <f>N12*'Output-Calculation-sheet'!N56/10^9</f>
        <v>0.65903061526406959</v>
      </c>
      <c r="O67" s="2">
        <f>O12*'Output-Calculation-sheet'!O56/10^9</f>
        <v>0.68370889004289426</v>
      </c>
      <c r="P67" s="2">
        <f>P12*'Output-Calculation-sheet'!P56/10^9</f>
        <v>0.57408382454909834</v>
      </c>
      <c r="Q67" s="2">
        <f>Q12*'Output-Calculation-sheet'!Q56/10^9</f>
        <v>0.54364778436984185</v>
      </c>
      <c r="R67" s="2">
        <f>R12*'Output-Calculation-sheet'!R56/10^9</f>
        <v>0.45418248782710058</v>
      </c>
      <c r="S67" s="2">
        <f>S12*'Output-Calculation-sheet'!S56/10^9</f>
        <v>0.41617551916258994</v>
      </c>
      <c r="T67" s="2">
        <f>T12*'Output-Calculation-sheet'!T56/10^9</f>
        <v>0.14748957818615671</v>
      </c>
      <c r="U67" s="2">
        <f>U12*'Output-Calculation-sheet'!U56/10^9</f>
        <v>0.14676198366337512</v>
      </c>
      <c r="V67" s="2">
        <f>V12*'Output-Calculation-sheet'!V56/10^9</f>
        <v>0.12812409949230552</v>
      </c>
      <c r="W67" s="2">
        <f>W12*'Output-Calculation-sheet'!W56/10^9</f>
        <v>6.8449144796951397E-2</v>
      </c>
      <c r="X67" s="2">
        <f>X12*'Output-Calculation-sheet'!X56/10^9</f>
        <v>0.1092774420041783</v>
      </c>
      <c r="Y67" s="2">
        <f>Y12*'Output-Calculation-sheet'!Y56/10^9</f>
        <v>5.7336225067490441E-2</v>
      </c>
      <c r="AA67" s="2">
        <f t="shared" si="4"/>
        <v>24.221790078535165</v>
      </c>
    </row>
    <row r="68" spans="1:27" x14ac:dyDescent="0.25">
      <c r="B68" s="2">
        <f>SUM(B60:B67)</f>
        <v>58.620511842383223</v>
      </c>
      <c r="C68" s="2">
        <f t="shared" ref="C68:Y68" si="5">SUM(C60:C67)</f>
        <v>29.693998560716224</v>
      </c>
      <c r="D68" s="2">
        <f t="shared" si="5"/>
        <v>10.418168437592529</v>
      </c>
      <c r="E68" s="2">
        <f t="shared" si="5"/>
        <v>13.415381648026436</v>
      </c>
      <c r="F68" s="2">
        <f t="shared" si="5"/>
        <v>5.5767187172613619</v>
      </c>
      <c r="G68" s="2">
        <f t="shared" si="5"/>
        <v>4.0008844449036722</v>
      </c>
      <c r="H68" s="2">
        <f t="shared" si="5"/>
        <v>7.6925788271948097</v>
      </c>
      <c r="I68" s="2">
        <f t="shared" si="5"/>
        <v>3.5886681120713604</v>
      </c>
      <c r="J68" s="2">
        <f t="shared" si="5"/>
        <v>3.8554273354648259</v>
      </c>
      <c r="K68" s="2">
        <f t="shared" si="5"/>
        <v>3.9404057701146034</v>
      </c>
      <c r="L68" s="2">
        <f t="shared" si="5"/>
        <v>4.0956127570098699</v>
      </c>
      <c r="M68" s="2">
        <f t="shared" si="5"/>
        <v>5.8179972937957123</v>
      </c>
      <c r="N68" s="2">
        <f t="shared" si="5"/>
        <v>4.9199837422631738</v>
      </c>
      <c r="O68" s="2">
        <f t="shared" si="5"/>
        <v>5.0937294369811053</v>
      </c>
      <c r="P68" s="2">
        <f t="shared" si="5"/>
        <v>4.2425015688162233</v>
      </c>
      <c r="Q68" s="2">
        <f t="shared" si="5"/>
        <v>4.0144746977824415</v>
      </c>
      <c r="R68" s="2">
        <f t="shared" si="5"/>
        <v>3.374958768706068</v>
      </c>
      <c r="S68" s="2">
        <f t="shared" si="5"/>
        <v>3.0986008850382456</v>
      </c>
      <c r="T68" s="2">
        <f t="shared" si="5"/>
        <v>1.1042323322119625</v>
      </c>
      <c r="U68" s="2">
        <f t="shared" si="5"/>
        <v>1.0854934442001374</v>
      </c>
      <c r="V68" s="2">
        <f t="shared" si="5"/>
        <v>0.97048983796178323</v>
      </c>
      <c r="W68" s="2">
        <f t="shared" si="5"/>
        <v>0.50775271674344391</v>
      </c>
      <c r="X68" s="2">
        <f t="shared" si="5"/>
        <v>0.81710843761734608</v>
      </c>
      <c r="Y68" s="2">
        <f t="shared" si="5"/>
        <v>0.42359892170914593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61.537341653348072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54.777501049053839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217.34470547339384</v>
      </c>
      <c r="S74" s="2">
        <f>S8/'Output-Calculation-sheet'!S7*'Output-Calculation-sheet'!S61</f>
        <v>0</v>
      </c>
      <c r="T74" s="2">
        <f>T8/'Output-Calculation-sheet'!T7*'Output-Calculation-sheet'!T61</f>
        <v>160.11241133323099</v>
      </c>
      <c r="U74" s="2">
        <f>U8/'Output-Calculation-sheet'!U7*'Output-Calculation-sheet'!U61</f>
        <v>20.282506681914303</v>
      </c>
      <c r="V74" s="2">
        <f>V8/'Output-Calculation-sheet'!V7*'Output-Calculation-sheet'!V61</f>
        <v>183.78607334023854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0.69784053953117964</v>
      </c>
    </row>
    <row r="75" spans="1:27" x14ac:dyDescent="0.25">
      <c r="A75" s="2">
        <v>2032</v>
      </c>
      <c r="B75" s="2">
        <f>B9/'Output-Calculation-sheet'!B8*'Output-Calculation-sheet'!B62</f>
        <v>660.90298547877478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134.03683834350952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107.39144553781549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284.15496249585266</v>
      </c>
      <c r="S75" s="2">
        <f>S9/'Output-Calculation-sheet'!S8*'Output-Calculation-sheet'!S62</f>
        <v>0</v>
      </c>
      <c r="T75" s="2">
        <f>T9/'Output-Calculation-sheet'!T8*'Output-Calculation-sheet'!T62</f>
        <v>187.69108572253359</v>
      </c>
      <c r="U75" s="2">
        <f>U9/'Output-Calculation-sheet'!U8*'Output-Calculation-sheet'!U62</f>
        <v>38.366498573016109</v>
      </c>
      <c r="V75" s="2">
        <f>V9/'Output-Calculation-sheet'!V8*'Output-Calculation-sheet'!V62</f>
        <v>201.05785489831163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1.6136016710498138</v>
      </c>
    </row>
    <row r="76" spans="1:27" x14ac:dyDescent="0.25">
      <c r="A76" s="2">
        <v>2033</v>
      </c>
      <c r="B76" s="2">
        <f>B10/'Output-Calculation-sheet'!B9*'Output-Calculation-sheet'!B63</f>
        <v>1634.0152926717428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191.68039848179401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182.83564508328368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82.484149616937685</v>
      </c>
      <c r="Q76" s="2">
        <f>Q10/'Output-Calculation-sheet'!Q9*'Output-Calculation-sheet'!Q63</f>
        <v>0</v>
      </c>
      <c r="R76" s="2">
        <f>R10/'Output-Calculation-sheet'!R9*'Output-Calculation-sheet'!R63</f>
        <v>351.31201877663449</v>
      </c>
      <c r="S76" s="2">
        <f>S10/'Output-Calculation-sheet'!S9*'Output-Calculation-sheet'!S63</f>
        <v>0</v>
      </c>
      <c r="T76" s="2">
        <f>T10/'Output-Calculation-sheet'!T9*'Output-Calculation-sheet'!T63</f>
        <v>205.33089646053665</v>
      </c>
      <c r="U76" s="2">
        <f>U10/'Output-Calculation-sheet'!U9*'Output-Calculation-sheet'!U63</f>
        <v>59.722057679077359</v>
      </c>
      <c r="V76" s="2">
        <f>V10/'Output-Calculation-sheet'!V9*'Output-Calculation-sheet'!V63</f>
        <v>213.26885257775788</v>
      </c>
      <c r="W76" s="2">
        <f>W10/'Output-Calculation-sheet'!W9*'Output-Calculation-sheet'!W63</f>
        <v>6.6964151412556152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2.9273457264890208</v>
      </c>
    </row>
    <row r="77" spans="1:27" x14ac:dyDescent="0.25">
      <c r="A77" s="2">
        <v>2034</v>
      </c>
      <c r="B77" s="2">
        <f>B11/'Output-Calculation-sheet'!B10*'Output-Calculation-sheet'!B64</f>
        <v>2648.61616850976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252.29190556634705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234.5160013724487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151.3795877180761</v>
      </c>
      <c r="Q77" s="2">
        <f>Q11/'Output-Calculation-sheet'!Q10*'Output-Calculation-sheet'!Q64</f>
        <v>0</v>
      </c>
      <c r="R77" s="2">
        <f>R11/'Output-Calculation-sheet'!R10*'Output-Calculation-sheet'!R64</f>
        <v>393.22267626642332</v>
      </c>
      <c r="S77" s="2">
        <f>S11/'Output-Calculation-sheet'!S10*'Output-Calculation-sheet'!S64</f>
        <v>0</v>
      </c>
      <c r="T77" s="2">
        <f>T11/'Output-Calculation-sheet'!T10*'Output-Calculation-sheet'!T64</f>
        <v>211.80159740190192</v>
      </c>
      <c r="U77" s="2">
        <f>U11/'Output-Calculation-sheet'!U10*'Output-Calculation-sheet'!U64</f>
        <v>71.804254020519195</v>
      </c>
      <c r="V77" s="2">
        <f>V11/'Output-Calculation-sheet'!V10*'Output-Calculation-sheet'!V64</f>
        <v>214.47775289231615</v>
      </c>
      <c r="W77" s="2">
        <f>W11/'Output-Calculation-sheet'!W10*'Output-Calculation-sheet'!W64</f>
        <v>11.365463621439343</v>
      </c>
      <c r="X77" s="2">
        <f>X11/'Output-Calculation-sheet'!X10*'Output-Calculation-sheet'!X64</f>
        <v>20.392029674241819</v>
      </c>
      <c r="Y77" s="2">
        <f>Y11/'Output-Calculation-sheet'!Y10*'Output-Calculation-sheet'!Y64</f>
        <v>0</v>
      </c>
      <c r="AA77" s="2">
        <f t="shared" si="6"/>
        <v>4.2098674370434725</v>
      </c>
    </row>
    <row r="78" spans="1:27" x14ac:dyDescent="0.25">
      <c r="A78" s="2">
        <v>2035</v>
      </c>
      <c r="B78" s="2">
        <f>B12/'Output-Calculation-sheet'!B11*'Output-Calculation-sheet'!B65</f>
        <v>4324.4534238459419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279.64854670156461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246.98362341740741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200.63701125316396</v>
      </c>
      <c r="Q78" s="2">
        <f>Q12/'Output-Calculation-sheet'!Q11*'Output-Calculation-sheet'!Q65</f>
        <v>0</v>
      </c>
      <c r="R78" s="2">
        <f>R12/'Output-Calculation-sheet'!R11*'Output-Calculation-sheet'!R65</f>
        <v>440.43900558881347</v>
      </c>
      <c r="S78" s="2">
        <f>S12/'Output-Calculation-sheet'!S11*'Output-Calculation-sheet'!S65</f>
        <v>0</v>
      </c>
      <c r="T78" s="2">
        <f>T12/'Output-Calculation-sheet'!T11*'Output-Calculation-sheet'!T65</f>
        <v>213.18580771878001</v>
      </c>
      <c r="U78" s="2">
        <f>U12/'Output-Calculation-sheet'!U11*'Output-Calculation-sheet'!U65</f>
        <v>82.889648467808314</v>
      </c>
      <c r="V78" s="2">
        <f>V12/'Output-Calculation-sheet'!V11*'Output-Calculation-sheet'!V65</f>
        <v>201.13013508976988</v>
      </c>
      <c r="W78" s="2">
        <f>W12/'Output-Calculation-sheet'!W11*'Output-Calculation-sheet'!W65</f>
        <v>15.062950977260874</v>
      </c>
      <c r="X78" s="2">
        <f>X12/'Output-Calculation-sheet'!X11*'Output-Calculation-sheet'!X65</f>
        <v>41.135118283507346</v>
      </c>
      <c r="Y78" s="2">
        <f>Y12/'Output-Calculation-sheet'!Y11*'Output-Calculation-sheet'!Y65</f>
        <v>0</v>
      </c>
      <c r="AA78" s="2">
        <f t="shared" si="6"/>
        <v>6.0455652713440164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 t="shared" ref="AA93:AA100" si="8"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si="8"/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17807827257.820625</v>
      </c>
      <c r="C96" s="2">
        <f>C8/'Output-Calculation-sheet'!C7*'Output-Calculation-sheet'!C79</f>
        <v>2191954968.7908368</v>
      </c>
      <c r="D96" s="2">
        <f>D8/'Output-Calculation-sheet'!D7*'Output-Calculation-sheet'!D79</f>
        <v>7762383686.0083122</v>
      </c>
      <c r="E96" s="2">
        <f>E8/'Output-Calculation-sheet'!E7*'Output-Calculation-sheet'!E79</f>
        <v>13271921994.133101</v>
      </c>
      <c r="F96" s="2">
        <f>F8/'Output-Calculation-sheet'!F7*'Output-Calculation-sheet'!F79</f>
        <v>5972807843.7083921</v>
      </c>
      <c r="G96" s="2">
        <f>G8/'Output-Calculation-sheet'!G7*'Output-Calculation-sheet'!G79</f>
        <v>4536618817.7299252</v>
      </c>
      <c r="H96" s="2">
        <f>H8/'Output-Calculation-sheet'!H7*'Output-Calculation-sheet'!H79</f>
        <v>1319857159.0033081</v>
      </c>
      <c r="I96" s="2">
        <f>I8/'Output-Calculation-sheet'!I7*'Output-Calculation-sheet'!I79</f>
        <v>3043040884.0644903</v>
      </c>
      <c r="J96" s="2">
        <f>J8/'Output-Calculation-sheet'!J7*'Output-Calculation-sheet'!J79</f>
        <v>2254946030.0707965</v>
      </c>
      <c r="K96" s="2">
        <f>K8/'Output-Calculation-sheet'!K7*'Output-Calculation-sheet'!K79</f>
        <v>2607284497.9570684</v>
      </c>
      <c r="L96" s="2">
        <f>L8/'Output-Calculation-sheet'!L7*'Output-Calculation-sheet'!L79</f>
        <v>2074046911.0989912</v>
      </c>
      <c r="M96" s="2">
        <f>M8/'Output-Calculation-sheet'!M7*'Output-Calculation-sheet'!M79</f>
        <v>1026071157.95012</v>
      </c>
      <c r="N96" s="2">
        <f>N8/'Output-Calculation-sheet'!N7*'Output-Calculation-sheet'!N79</f>
        <v>1042077065.7922462</v>
      </c>
      <c r="O96" s="2">
        <f>O8/'Output-Calculation-sheet'!O7*'Output-Calculation-sheet'!O79</f>
        <v>254371109.28251511</v>
      </c>
      <c r="P96" s="2">
        <f>P8/'Output-Calculation-sheet'!P7*'Output-Calculation-sheet'!P79</f>
        <v>2771566749.2700152</v>
      </c>
      <c r="Q96" s="2">
        <f>Q8/'Output-Calculation-sheet'!Q7*'Output-Calculation-sheet'!Q79</f>
        <v>1229000484.0271204</v>
      </c>
      <c r="R96" s="2">
        <f>R8/'Output-Calculation-sheet'!R7*'Output-Calculation-sheet'!R79</f>
        <v>1869904245.9622545</v>
      </c>
      <c r="S96" s="2">
        <f>S8/'Output-Calculation-sheet'!S7*'Output-Calculation-sheet'!S79</f>
        <v>730892979.99523187</v>
      </c>
      <c r="T96" s="2">
        <f>T8/'Output-Calculation-sheet'!T7*'Output-Calculation-sheet'!T79</f>
        <v>989862407.40037751</v>
      </c>
      <c r="U96" s="2">
        <f>U8/'Output-Calculation-sheet'!U7*'Output-Calculation-sheet'!U79</f>
        <v>491637073.27174795</v>
      </c>
      <c r="V96" s="2">
        <f>V8/'Output-Calculation-sheet'!V7*'Output-Calculation-sheet'!V79</f>
        <v>362272168.828879</v>
      </c>
      <c r="W96" s="2">
        <f>W8/'Output-Calculation-sheet'!W7*'Output-Calculation-sheet'!W79</f>
        <v>965108939.951074</v>
      </c>
      <c r="X96" s="2">
        <f>X8/'Output-Calculation-sheet'!X7*'Output-Calculation-sheet'!X79</f>
        <v>114363308.51388961</v>
      </c>
      <c r="Y96" s="2">
        <f>Y8/'Output-Calculation-sheet'!Y7*'Output-Calculation-sheet'!Y79</f>
        <v>433129037.17676711</v>
      </c>
      <c r="AA96" s="2">
        <f t="shared" si="8"/>
        <v>75.122946777808082</v>
      </c>
    </row>
    <row r="97" spans="1:27" x14ac:dyDescent="0.25">
      <c r="A97" s="2">
        <v>2032</v>
      </c>
      <c r="B97" s="2">
        <f>B9/'Output-Calculation-sheet'!B8*'Output-Calculation-sheet'!B80</f>
        <v>19657081733.616241</v>
      </c>
      <c r="C97" s="2">
        <f>C9/'Output-Calculation-sheet'!C8*'Output-Calculation-sheet'!C80</f>
        <v>2469583059.3544397</v>
      </c>
      <c r="D97" s="2">
        <f>D9/'Output-Calculation-sheet'!D8*'Output-Calculation-sheet'!D80</f>
        <v>8133560802.3465881</v>
      </c>
      <c r="E97" s="2">
        <f>E9/'Output-Calculation-sheet'!E8*'Output-Calculation-sheet'!E80</f>
        <v>14319991982.154205</v>
      </c>
      <c r="F97" s="2">
        <f>F9/'Output-Calculation-sheet'!F8*'Output-Calculation-sheet'!F80</f>
        <v>6429592055.6185799</v>
      </c>
      <c r="G97" s="2">
        <f>G9/'Output-Calculation-sheet'!G8*'Output-Calculation-sheet'!G80</f>
        <v>4759061558.3198614</v>
      </c>
      <c r="H97" s="2">
        <f>H9/'Output-Calculation-sheet'!H8*'Output-Calculation-sheet'!H80</f>
        <v>1442026411.3515987</v>
      </c>
      <c r="I97" s="2">
        <f>I9/'Output-Calculation-sheet'!I8*'Output-Calculation-sheet'!I80</f>
        <v>3305507862.9775677</v>
      </c>
      <c r="J97" s="2">
        <f>J9/'Output-Calculation-sheet'!J8*'Output-Calculation-sheet'!J80</f>
        <v>2385117101.0328636</v>
      </c>
      <c r="K97" s="2">
        <f>K9/'Output-Calculation-sheet'!K8*'Output-Calculation-sheet'!K80</f>
        <v>2776346527.2004466</v>
      </c>
      <c r="L97" s="2">
        <f>L9/'Output-Calculation-sheet'!L8*'Output-Calculation-sheet'!L80</f>
        <v>2276445996.5917487</v>
      </c>
      <c r="M97" s="2">
        <f>M9/'Output-Calculation-sheet'!M8*'Output-Calculation-sheet'!M80</f>
        <v>1120861330.702909</v>
      </c>
      <c r="N97" s="2">
        <f>N9/'Output-Calculation-sheet'!N8*'Output-Calculation-sheet'!N80</f>
        <v>1110915927.1669025</v>
      </c>
      <c r="O97" s="2">
        <f>O9/'Output-Calculation-sheet'!O8*'Output-Calculation-sheet'!O80</f>
        <v>289928152.42870718</v>
      </c>
      <c r="P97" s="2">
        <f>P9/'Output-Calculation-sheet'!P8*'Output-Calculation-sheet'!P80</f>
        <v>2948417427.4716458</v>
      </c>
      <c r="Q97" s="2">
        <f>Q9/'Output-Calculation-sheet'!Q8*'Output-Calculation-sheet'!Q80</f>
        <v>1311033674.8709731</v>
      </c>
      <c r="R97" s="2">
        <f>R9/'Output-Calculation-sheet'!R8*'Output-Calculation-sheet'!R80</f>
        <v>2040161394.1000979</v>
      </c>
      <c r="S97" s="2">
        <f>S9/'Output-Calculation-sheet'!S8*'Output-Calculation-sheet'!S80</f>
        <v>786826173.49362576</v>
      </c>
      <c r="T97" s="2">
        <f>T9/'Output-Calculation-sheet'!T8*'Output-Calculation-sheet'!T80</f>
        <v>1052066485.7525406</v>
      </c>
      <c r="U97" s="2">
        <f>U9/'Output-Calculation-sheet'!U8*'Output-Calculation-sheet'!U80</f>
        <v>533945923.99134392</v>
      </c>
      <c r="V97" s="2">
        <f>V9/'Output-Calculation-sheet'!V8*'Output-Calculation-sheet'!V80</f>
        <v>393320384.63595909</v>
      </c>
      <c r="W97" s="2">
        <f>W9/'Output-Calculation-sheet'!W8*'Output-Calculation-sheet'!W80</f>
        <v>1028593687.1495978</v>
      </c>
      <c r="X97" s="2">
        <f>X9/'Output-Calculation-sheet'!X8*'Output-Calculation-sheet'!X80</f>
        <v>125962297.23846826</v>
      </c>
      <c r="Y97" s="2">
        <f>Y9/'Output-Calculation-sheet'!Y8*'Output-Calculation-sheet'!Y80</f>
        <v>461885131.63444084</v>
      </c>
      <c r="AA97" s="2">
        <f t="shared" si="8"/>
        <v>81.158233081201359</v>
      </c>
    </row>
    <row r="98" spans="1:27" x14ac:dyDescent="0.25">
      <c r="A98" s="2">
        <v>2033</v>
      </c>
      <c r="B98" s="2">
        <f>B10/'Output-Calculation-sheet'!B9*'Output-Calculation-sheet'!B81</f>
        <v>20525308983.002834</v>
      </c>
      <c r="C98" s="2">
        <f>C10/'Output-Calculation-sheet'!C9*'Output-Calculation-sheet'!C81</f>
        <v>2588192467.7499976</v>
      </c>
      <c r="D98" s="2">
        <f>D10/'Output-Calculation-sheet'!D9*'Output-Calculation-sheet'!D81</f>
        <v>7999417262.6296577</v>
      </c>
      <c r="E98" s="2">
        <f>E10/'Output-Calculation-sheet'!E9*'Output-Calculation-sheet'!E81</f>
        <v>14495890153.272263</v>
      </c>
      <c r="F98" s="2">
        <f>F10/'Output-Calculation-sheet'!F9*'Output-Calculation-sheet'!F81</f>
        <v>6493473317.2482224</v>
      </c>
      <c r="G98" s="2">
        <f>G10/'Output-Calculation-sheet'!G9*'Output-Calculation-sheet'!G81</f>
        <v>4672262043.8357477</v>
      </c>
      <c r="H98" s="2">
        <f>H10/'Output-Calculation-sheet'!H9*'Output-Calculation-sheet'!H81</f>
        <v>1473752748.7780001</v>
      </c>
      <c r="I98" s="2">
        <f>I10/'Output-Calculation-sheet'!I9*'Output-Calculation-sheet'!I81</f>
        <v>3371295832.0349174</v>
      </c>
      <c r="J98" s="2">
        <f>J10/'Output-Calculation-sheet'!J9*'Output-Calculation-sheet'!J81</f>
        <v>2370372471.1340346</v>
      </c>
      <c r="K98" s="2">
        <f>K10/'Output-Calculation-sheet'!K9*'Output-Calculation-sheet'!K81</f>
        <v>2779851882.6818924</v>
      </c>
      <c r="L98" s="2">
        <f>L10/'Output-Calculation-sheet'!L9*'Output-Calculation-sheet'!L81</f>
        <v>2347304111.4392514</v>
      </c>
      <c r="M98" s="2">
        <f>M10/'Output-Calculation-sheet'!M9*'Output-Calculation-sheet'!M81</f>
        <v>1151394229.0399499</v>
      </c>
      <c r="N98" s="2">
        <f>N10/'Output-Calculation-sheet'!N9*'Output-Calculation-sheet'!N81</f>
        <v>1101485471.073473</v>
      </c>
      <c r="O98" s="2">
        <f>O10/'Output-Calculation-sheet'!O9*'Output-Calculation-sheet'!O81</f>
        <v>304356314.25272912</v>
      </c>
      <c r="P98" s="2">
        <f>P10/'Output-Calculation-sheet'!P9*'Output-Calculation-sheet'!P81</f>
        <v>2988172698.8695574</v>
      </c>
      <c r="Q98" s="2">
        <f>Q10/'Output-Calculation-sheet'!Q9*'Output-Calculation-sheet'!Q81</f>
        <v>1315808160.6936209</v>
      </c>
      <c r="R98" s="2">
        <f>R10/'Output-Calculation-sheet'!R9*'Output-Calculation-sheet'!R81</f>
        <v>2090230551.2154317</v>
      </c>
      <c r="S98" s="2">
        <f>S10/'Output-Calculation-sheet'!S9*'Output-Calculation-sheet'!S81</f>
        <v>797103009.80996788</v>
      </c>
      <c r="T98" s="2">
        <f>T10/'Output-Calculation-sheet'!T9*'Output-Calculation-sheet'!T81</f>
        <v>1047549679.8017191</v>
      </c>
      <c r="U98" s="2">
        <f>U10/'Output-Calculation-sheet'!U9*'Output-Calculation-sheet'!U81</f>
        <v>544317745.7641331</v>
      </c>
      <c r="V98" s="2">
        <f>V10/'Output-Calculation-sheet'!V9*'Output-Calculation-sheet'!V81</f>
        <v>401279952.2068069</v>
      </c>
      <c r="W98" s="2">
        <f>W10/'Output-Calculation-sheet'!W9*'Output-Calculation-sheet'!W81</f>
        <v>1028392927.7279528</v>
      </c>
      <c r="X98" s="2">
        <f>X10/'Output-Calculation-sheet'!X9*'Output-Calculation-sheet'!X81</f>
        <v>130597794.35374713</v>
      </c>
      <c r="Y98" s="2">
        <f>Y10/'Output-Calculation-sheet'!Y9*'Output-Calculation-sheet'!Y81</f>
        <v>461895483.98156476</v>
      </c>
      <c r="AA98" s="2">
        <f t="shared" si="8"/>
        <v>82.479705292597458</v>
      </c>
    </row>
    <row r="99" spans="1:27" x14ac:dyDescent="0.25">
      <c r="A99" s="2">
        <v>2034</v>
      </c>
      <c r="B99" s="2">
        <f>B11/'Output-Calculation-sheet'!B10*'Output-Calculation-sheet'!B82</f>
        <v>20329136144.287552</v>
      </c>
      <c r="C99" s="2">
        <f>C11/'Output-Calculation-sheet'!C10*'Output-Calculation-sheet'!C82</f>
        <v>2581044357.3867083</v>
      </c>
      <c r="D99" s="2">
        <f>D11/'Output-Calculation-sheet'!D10*'Output-Calculation-sheet'!D82</f>
        <v>7470903682.0880404</v>
      </c>
      <c r="E99" s="2">
        <f>E11/'Output-Calculation-sheet'!E10*'Output-Calculation-sheet'!E82</f>
        <v>13928620222.610975</v>
      </c>
      <c r="F99" s="2">
        <f>F11/'Output-Calculation-sheet'!F10*'Output-Calculation-sheet'!F82</f>
        <v>6229184079.7905779</v>
      </c>
      <c r="G99" s="2">
        <f>G11/'Output-Calculation-sheet'!G10*'Output-Calculation-sheet'!G82</f>
        <v>4349827816.8457813</v>
      </c>
      <c r="H99" s="2">
        <f>H11/'Output-Calculation-sheet'!H10*'Output-Calculation-sheet'!H82</f>
        <v>1432213823.7169156</v>
      </c>
      <c r="I99" s="2">
        <f>I11/'Output-Calculation-sheet'!I10*'Output-Calculation-sheet'!I82</f>
        <v>3265087478.1882353</v>
      </c>
      <c r="J99" s="2">
        <f>J11/'Output-Calculation-sheet'!J10*'Output-Calculation-sheet'!J82</f>
        <v>2236810910.6688256</v>
      </c>
      <c r="K99" s="2">
        <f>K11/'Output-Calculation-sheet'!K10*'Output-Calculation-sheet'!K82</f>
        <v>2644120786.736239</v>
      </c>
      <c r="L99" s="2">
        <f>L11/'Output-Calculation-sheet'!L10*'Output-Calculation-sheet'!L82</f>
        <v>2311846084.9192195</v>
      </c>
      <c r="M99" s="2">
        <f>M11/'Output-Calculation-sheet'!M10*'Output-Calculation-sheet'!M82</f>
        <v>1122081651.5360532</v>
      </c>
      <c r="N99" s="2">
        <f>N11/'Output-Calculation-sheet'!N10*'Output-Calculation-sheet'!N82</f>
        <v>1042652749.1925544</v>
      </c>
      <c r="O99" s="2">
        <f>O11/'Output-Calculation-sheet'!O10*'Output-Calculation-sheet'!O82</f>
        <v>305231470.76449281</v>
      </c>
      <c r="P99" s="2">
        <f>P11/'Output-Calculation-sheet'!P10*'Output-Calculation-sheet'!P82</f>
        <v>2875722925.3671975</v>
      </c>
      <c r="Q99" s="2">
        <f>Q11/'Output-Calculation-sheet'!Q10*'Output-Calculation-sheet'!Q82</f>
        <v>1253649911.2588241</v>
      </c>
      <c r="R99" s="2">
        <f>R11/'Output-Calculation-sheet'!R10*'Output-Calculation-sheet'!R82</f>
        <v>2036589730.1643054</v>
      </c>
      <c r="S99" s="2">
        <f>S11/'Output-Calculation-sheet'!S10*'Output-Calculation-sheet'!S82</f>
        <v>765291279.87820768</v>
      </c>
      <c r="T99" s="2">
        <f>T11/'Output-Calculation-sheet'!T10*'Output-Calculation-sheet'!T82</f>
        <v>989258121.6174953</v>
      </c>
      <c r="U99" s="2">
        <f>U11/'Output-Calculation-sheet'!U10*'Output-Calculation-sheet'!U82</f>
        <v>527381466.62806147</v>
      </c>
      <c r="V99" s="2">
        <f>V11/'Output-Calculation-sheet'!V10*'Output-Calculation-sheet'!V82</f>
        <v>388081107.79518217</v>
      </c>
      <c r="W99" s="2">
        <f>W11/'Output-Calculation-sheet'!W10*'Output-Calculation-sheet'!W82</f>
        <v>974475471.48134613</v>
      </c>
      <c r="X99" s="2">
        <f>X11/'Output-Calculation-sheet'!X10*'Output-Calculation-sheet'!X82</f>
        <v>137531715.47575459</v>
      </c>
      <c r="Y99" s="2">
        <f>Y11/'Output-Calculation-sheet'!Y10*'Output-Calculation-sheet'!Y82</f>
        <v>438316977.99901217</v>
      </c>
      <c r="AA99" s="2">
        <f t="shared" si="8"/>
        <v>79.635059966397549</v>
      </c>
    </row>
    <row r="100" spans="1:27" x14ac:dyDescent="0.25">
      <c r="A100" s="2">
        <v>2035</v>
      </c>
      <c r="B100" s="2">
        <f>B12/'Output-Calculation-sheet'!B11*'Output-Calculation-sheet'!B83</f>
        <v>19645500261.335434</v>
      </c>
      <c r="C100" s="2">
        <f>C12/'Output-Calculation-sheet'!C11*'Output-Calculation-sheet'!C83</f>
        <v>2453489098.2411647</v>
      </c>
      <c r="D100" s="2">
        <f>D12/'Output-Calculation-sheet'!D11*'Output-Calculation-sheet'!D83</f>
        <v>6683431886.8475208</v>
      </c>
      <c r="E100" s="2">
        <f>E12/'Output-Calculation-sheet'!E11*'Output-Calculation-sheet'!E83</f>
        <v>12813545822.789087</v>
      </c>
      <c r="F100" s="2">
        <f>F12/'Output-Calculation-sheet'!F11*'Output-Calculation-sheet'!F83</f>
        <v>5720060955.1105766</v>
      </c>
      <c r="G100" s="2">
        <f>G12/'Output-Calculation-sheet'!G11*'Output-Calculation-sheet'!G83</f>
        <v>3872893614.6399527</v>
      </c>
      <c r="H100" s="2">
        <f>H12/'Output-Calculation-sheet'!H11*'Output-Calculation-sheet'!H83</f>
        <v>1333904888.2421849</v>
      </c>
      <c r="I100" s="2">
        <f>I12/'Output-Calculation-sheet'!I11*'Output-Calculation-sheet'!I83</f>
        <v>3027233556.2281976</v>
      </c>
      <c r="J100" s="2">
        <f>J12/'Output-Calculation-sheet'!J11*'Output-Calculation-sheet'!J83</f>
        <v>2020059329.5695848</v>
      </c>
      <c r="K100" s="2">
        <f>K12/'Output-Calculation-sheet'!K11*'Output-Calculation-sheet'!K83</f>
        <v>2407982653.298923</v>
      </c>
      <c r="L100" s="2">
        <f>L12/'Output-Calculation-sheet'!L11*'Output-Calculation-sheet'!L83</f>
        <v>2178700239.2760453</v>
      </c>
      <c r="M100" s="2">
        <f>M12/'Output-Calculation-sheet'!M11*'Output-Calculation-sheet'!M83</f>
        <v>1050017382.0610104</v>
      </c>
      <c r="N100" s="2">
        <f>N12/'Output-Calculation-sheet'!N11*'Output-Calculation-sheet'!N83</f>
        <v>942542008.26539433</v>
      </c>
      <c r="O100" s="2">
        <f>O12/'Output-Calculation-sheet'!O11*'Output-Calculation-sheet'!O83</f>
        <v>293746552.02301472</v>
      </c>
      <c r="P100" s="2">
        <f>P12/'Output-Calculation-sheet'!P11*'Output-Calculation-sheet'!P83</f>
        <v>2637525954.7177567</v>
      </c>
      <c r="Q100" s="2">
        <f>Q12/'Output-Calculation-sheet'!Q11*'Output-Calculation-sheet'!Q83</f>
        <v>1145496273.9217074</v>
      </c>
      <c r="R100" s="2">
        <f>R12/'Output-Calculation-sheet'!R11*'Output-Calculation-sheet'!R83</f>
        <v>1900252258.1258709</v>
      </c>
      <c r="S100" s="2">
        <f>S12/'Output-Calculation-sheet'!S11*'Output-Calculation-sheet'!S83</f>
        <v>702864919.8793962</v>
      </c>
      <c r="T100" s="2">
        <f>T12/'Output-Calculation-sheet'!T11*'Output-Calculation-sheet'!T83</f>
        <v>896784729.05212295</v>
      </c>
      <c r="U100" s="2">
        <f>U12/'Output-Calculation-sheet'!U11*'Output-Calculation-sheet'!U83</f>
        <v>488762301.081572</v>
      </c>
      <c r="V100" s="2">
        <f>V12/'Output-Calculation-sheet'!V11*'Output-Calculation-sheet'!V83</f>
        <v>359274040.3797704</v>
      </c>
      <c r="W100" s="2">
        <f>W12/'Output-Calculation-sheet'!W11*'Output-Calculation-sheet'!W83</f>
        <v>882431092.97148001</v>
      </c>
      <c r="X100" s="2">
        <f>X12/'Output-Calculation-sheet'!X11*'Output-Calculation-sheet'!X83</f>
        <v>139874869.63726327</v>
      </c>
      <c r="Y100" s="2">
        <f>Y12/'Output-Calculation-sheet'!Y11*'Output-Calculation-sheet'!Y83</f>
        <v>397309645.49914509</v>
      </c>
      <c r="AA100" s="2">
        <f t="shared" si="8"/>
        <v>73.993684333194196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Y110"/>
  <sheetViews>
    <sheetView tabSelected="1" workbookViewId="0">
      <selection activeCell="B4" sqref="B4"/>
    </sheetView>
  </sheetViews>
  <sheetFormatPr defaultRowHeight="15" x14ac:dyDescent="0.25"/>
  <cols>
    <col min="1" max="1" width="14.85546875" style="2" customWidth="1"/>
    <col min="2" max="2" width="12" style="2" bestFit="1" customWidth="1"/>
    <col min="3" max="16384" width="9.140625" style="2"/>
  </cols>
  <sheetData>
    <row r="2" spans="1:25" x14ac:dyDescent="0.25">
      <c r="A2" s="3" t="s">
        <v>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7" t="s">
        <v>32</v>
      </c>
      <c r="N2" s="7" t="s">
        <v>33</v>
      </c>
      <c r="O2" s="7" t="s">
        <v>34</v>
      </c>
      <c r="P2" s="7" t="s">
        <v>35</v>
      </c>
      <c r="Q2" s="7" t="s">
        <v>36</v>
      </c>
      <c r="R2" s="7" t="s">
        <v>37</v>
      </c>
      <c r="S2" s="7" t="s">
        <v>38</v>
      </c>
      <c r="T2" s="7" t="s">
        <v>39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</row>
    <row r="4" spans="1:25" ht="46.5" customHeight="1" x14ac:dyDescent="0.25">
      <c r="A4" s="6" t="s">
        <v>2</v>
      </c>
      <c r="B4" s="7">
        <v>512220300</v>
      </c>
      <c r="C4" s="7">
        <v>508581200</v>
      </c>
      <c r="D4" s="7">
        <v>511703800</v>
      </c>
      <c r="E4" s="7">
        <v>510844400</v>
      </c>
      <c r="F4" s="7">
        <v>522869200</v>
      </c>
      <c r="G4" s="7">
        <v>511900400</v>
      </c>
      <c r="H4" s="7">
        <v>515456000</v>
      </c>
      <c r="I4" s="7">
        <v>518524200</v>
      </c>
      <c r="J4" s="7">
        <v>509962700</v>
      </c>
      <c r="K4" s="7">
        <v>508583300</v>
      </c>
      <c r="L4" s="7">
        <v>513099500</v>
      </c>
      <c r="M4" s="7">
        <v>516815600</v>
      </c>
      <c r="N4" s="7">
        <v>516109700</v>
      </c>
      <c r="O4" s="7">
        <v>508653900</v>
      </c>
      <c r="P4" s="7">
        <v>508582200</v>
      </c>
      <c r="Q4" s="7">
        <v>527586300</v>
      </c>
      <c r="R4" s="7">
        <v>511817300</v>
      </c>
      <c r="S4" s="7">
        <v>515621100</v>
      </c>
      <c r="T4" s="7">
        <v>508533800</v>
      </c>
      <c r="U4" s="7">
        <v>509309700</v>
      </c>
      <c r="V4" s="7">
        <v>508602500</v>
      </c>
      <c r="W4" s="7">
        <v>508516500</v>
      </c>
      <c r="X4" s="7">
        <v>510223800</v>
      </c>
      <c r="Y4" s="7">
        <v>514174100</v>
      </c>
    </row>
    <row r="5" spans="1:25" ht="46.5" customHeight="1" x14ac:dyDescent="0.25">
      <c r="A5" s="4"/>
      <c r="B5" s="7">
        <v>512220300</v>
      </c>
      <c r="C5" s="7">
        <v>508581200</v>
      </c>
      <c r="D5" s="7">
        <v>511703800</v>
      </c>
      <c r="E5" s="7">
        <v>510844400</v>
      </c>
      <c r="F5" s="7">
        <v>522869200</v>
      </c>
      <c r="G5" s="7">
        <v>511900400</v>
      </c>
      <c r="H5" s="7">
        <v>515456000</v>
      </c>
      <c r="I5" s="7">
        <v>518524200</v>
      </c>
      <c r="J5" s="7">
        <v>509962700</v>
      </c>
      <c r="K5" s="7">
        <v>508583300</v>
      </c>
      <c r="L5" s="7">
        <v>513099500</v>
      </c>
      <c r="M5" s="7">
        <v>516815600</v>
      </c>
      <c r="N5" s="7">
        <v>516109700</v>
      </c>
      <c r="O5" s="7">
        <v>508653900</v>
      </c>
      <c r="P5" s="7">
        <v>508582200</v>
      </c>
      <c r="Q5" s="7">
        <v>527586300</v>
      </c>
      <c r="R5" s="7">
        <v>511817300</v>
      </c>
      <c r="S5" s="7">
        <v>515621100</v>
      </c>
      <c r="T5" s="7">
        <v>508533800</v>
      </c>
      <c r="U5" s="7">
        <v>509309700</v>
      </c>
      <c r="V5" s="7">
        <v>508602500</v>
      </c>
      <c r="W5" s="7">
        <v>508516500</v>
      </c>
      <c r="X5" s="7">
        <v>510223800</v>
      </c>
      <c r="Y5" s="7">
        <v>514174100</v>
      </c>
    </row>
    <row r="6" spans="1:25" ht="46.5" customHeight="1" x14ac:dyDescent="0.25">
      <c r="A6" s="4"/>
      <c r="B6" s="7">
        <v>512220300</v>
      </c>
      <c r="C6" s="7">
        <v>508581200</v>
      </c>
      <c r="D6" s="7">
        <v>511703800</v>
      </c>
      <c r="E6" s="7">
        <v>510844400</v>
      </c>
      <c r="F6" s="7">
        <v>522869200</v>
      </c>
      <c r="G6" s="7">
        <v>511900400</v>
      </c>
      <c r="H6" s="7">
        <v>515456000</v>
      </c>
      <c r="I6" s="7">
        <v>518524200</v>
      </c>
      <c r="J6" s="7">
        <v>509962700</v>
      </c>
      <c r="K6" s="7">
        <v>508583300</v>
      </c>
      <c r="L6" s="7">
        <v>513099500</v>
      </c>
      <c r="M6" s="7">
        <v>516815600</v>
      </c>
      <c r="N6" s="7">
        <v>516109700</v>
      </c>
      <c r="O6" s="7">
        <v>508653900</v>
      </c>
      <c r="P6" s="7">
        <v>508582200</v>
      </c>
      <c r="Q6" s="7">
        <v>527586300</v>
      </c>
      <c r="R6" s="7">
        <v>511817300</v>
      </c>
      <c r="S6" s="7">
        <v>515621100</v>
      </c>
      <c r="T6" s="7">
        <v>508533800</v>
      </c>
      <c r="U6" s="7">
        <v>509309700</v>
      </c>
      <c r="V6" s="7">
        <v>508602500</v>
      </c>
      <c r="W6" s="7">
        <v>508516500</v>
      </c>
      <c r="X6" s="7">
        <v>510223800</v>
      </c>
      <c r="Y6" s="7">
        <v>514174100</v>
      </c>
    </row>
    <row r="7" spans="1:25" ht="46.5" customHeight="1" x14ac:dyDescent="0.25">
      <c r="A7" s="4"/>
      <c r="B7" s="7">
        <v>512220300</v>
      </c>
      <c r="C7" s="7">
        <v>508581200</v>
      </c>
      <c r="D7" s="7">
        <v>511703800</v>
      </c>
      <c r="E7" s="7">
        <v>510844400</v>
      </c>
      <c r="F7" s="7">
        <v>522869200</v>
      </c>
      <c r="G7" s="7">
        <v>511900400</v>
      </c>
      <c r="H7" s="7">
        <v>515456000</v>
      </c>
      <c r="I7" s="7">
        <v>518524200</v>
      </c>
      <c r="J7" s="7">
        <v>509962700</v>
      </c>
      <c r="K7" s="7">
        <v>508583300</v>
      </c>
      <c r="L7" s="7">
        <v>513099500</v>
      </c>
      <c r="M7" s="7">
        <v>516815600</v>
      </c>
      <c r="N7" s="7">
        <v>516109700</v>
      </c>
      <c r="O7" s="7">
        <v>508653900</v>
      </c>
      <c r="P7" s="7">
        <v>508582200</v>
      </c>
      <c r="Q7" s="7">
        <v>527586300</v>
      </c>
      <c r="R7" s="7">
        <v>511817300</v>
      </c>
      <c r="S7" s="7">
        <v>515621100</v>
      </c>
      <c r="T7" s="7">
        <v>508533800</v>
      </c>
      <c r="U7" s="7">
        <v>509309700</v>
      </c>
      <c r="V7" s="7">
        <v>508602500</v>
      </c>
      <c r="W7" s="7">
        <v>508516500</v>
      </c>
      <c r="X7" s="7">
        <v>510223800</v>
      </c>
      <c r="Y7" s="7">
        <v>514174100</v>
      </c>
    </row>
    <row r="8" spans="1:25" ht="46.5" customHeight="1" x14ac:dyDescent="0.25">
      <c r="A8" s="4"/>
      <c r="B8" s="7">
        <v>512220300</v>
      </c>
      <c r="C8" s="7">
        <v>508581200</v>
      </c>
      <c r="D8" s="7">
        <v>511703800</v>
      </c>
      <c r="E8" s="7">
        <v>510844400</v>
      </c>
      <c r="F8" s="7">
        <v>522869200</v>
      </c>
      <c r="G8" s="7">
        <v>511900400</v>
      </c>
      <c r="H8" s="7">
        <v>515456000</v>
      </c>
      <c r="I8" s="7">
        <v>518524200</v>
      </c>
      <c r="J8" s="7">
        <v>509962700</v>
      </c>
      <c r="K8" s="7">
        <v>508583300</v>
      </c>
      <c r="L8" s="7">
        <v>513099500</v>
      </c>
      <c r="M8" s="7">
        <v>516815600</v>
      </c>
      <c r="N8" s="7">
        <v>516109700</v>
      </c>
      <c r="O8" s="7">
        <v>508653900</v>
      </c>
      <c r="P8" s="7">
        <v>508582200</v>
      </c>
      <c r="Q8" s="7">
        <v>527586300</v>
      </c>
      <c r="R8" s="7">
        <v>511817300</v>
      </c>
      <c r="S8" s="7">
        <v>515621100</v>
      </c>
      <c r="T8" s="7">
        <v>508533800</v>
      </c>
      <c r="U8" s="7">
        <v>509309700</v>
      </c>
      <c r="V8" s="7">
        <v>508602500</v>
      </c>
      <c r="W8" s="7">
        <v>508516500</v>
      </c>
      <c r="X8" s="7">
        <v>510223800</v>
      </c>
      <c r="Y8" s="7">
        <v>514174100</v>
      </c>
    </row>
    <row r="9" spans="1:25" ht="46.5" customHeight="1" x14ac:dyDescent="0.25">
      <c r="A9" s="4"/>
      <c r="B9" s="7">
        <v>512220300</v>
      </c>
      <c r="C9" s="7">
        <v>508581200</v>
      </c>
      <c r="D9" s="7">
        <v>511703800</v>
      </c>
      <c r="E9" s="7">
        <v>510844400</v>
      </c>
      <c r="F9" s="7">
        <v>522869200</v>
      </c>
      <c r="G9" s="7">
        <v>511900400</v>
      </c>
      <c r="H9" s="7">
        <v>515456000</v>
      </c>
      <c r="I9" s="7">
        <v>518524200</v>
      </c>
      <c r="J9" s="7">
        <v>509962700</v>
      </c>
      <c r="K9" s="7">
        <v>508583300</v>
      </c>
      <c r="L9" s="7">
        <v>513099500</v>
      </c>
      <c r="M9" s="7">
        <v>516815600</v>
      </c>
      <c r="N9" s="7">
        <v>516109700</v>
      </c>
      <c r="O9" s="7">
        <v>508653900</v>
      </c>
      <c r="P9" s="7">
        <v>508582200</v>
      </c>
      <c r="Q9" s="7">
        <v>527586300</v>
      </c>
      <c r="R9" s="7">
        <v>511817300</v>
      </c>
      <c r="S9" s="7">
        <v>515621100</v>
      </c>
      <c r="T9" s="7">
        <v>508533800</v>
      </c>
      <c r="U9" s="7">
        <v>509309700</v>
      </c>
      <c r="V9" s="7">
        <v>508602500</v>
      </c>
      <c r="W9" s="7">
        <v>508516500</v>
      </c>
      <c r="X9" s="7">
        <v>510223800</v>
      </c>
      <c r="Y9" s="7">
        <v>514174100</v>
      </c>
    </row>
    <row r="10" spans="1:25" ht="46.5" customHeight="1" x14ac:dyDescent="0.25">
      <c r="A10" s="4"/>
      <c r="B10" s="7">
        <v>512220300</v>
      </c>
      <c r="C10" s="7">
        <v>508581200</v>
      </c>
      <c r="D10" s="7">
        <v>511703800</v>
      </c>
      <c r="E10" s="7">
        <v>510844400</v>
      </c>
      <c r="F10" s="7">
        <v>522869200</v>
      </c>
      <c r="G10" s="7">
        <v>511900400</v>
      </c>
      <c r="H10" s="7">
        <v>515456000</v>
      </c>
      <c r="I10" s="7">
        <v>518524200</v>
      </c>
      <c r="J10" s="7">
        <v>509962700</v>
      </c>
      <c r="K10" s="7">
        <v>508583300</v>
      </c>
      <c r="L10" s="7">
        <v>513099500</v>
      </c>
      <c r="M10" s="7">
        <v>516815600</v>
      </c>
      <c r="N10" s="7">
        <v>516109700</v>
      </c>
      <c r="O10" s="7">
        <v>508653900</v>
      </c>
      <c r="P10" s="7">
        <v>508582200</v>
      </c>
      <c r="Q10" s="7">
        <v>527586300</v>
      </c>
      <c r="R10" s="7">
        <v>511817300</v>
      </c>
      <c r="S10" s="7">
        <v>515621100</v>
      </c>
      <c r="T10" s="7">
        <v>508533800</v>
      </c>
      <c r="U10" s="7">
        <v>509309700</v>
      </c>
      <c r="V10" s="7">
        <v>508602500</v>
      </c>
      <c r="W10" s="7">
        <v>508516500</v>
      </c>
      <c r="X10" s="7">
        <v>510223800</v>
      </c>
      <c r="Y10" s="7">
        <v>514174100</v>
      </c>
    </row>
    <row r="11" spans="1:25" ht="46.5" customHeight="1" x14ac:dyDescent="0.25">
      <c r="A11" s="4"/>
      <c r="B11" s="7">
        <v>512220300</v>
      </c>
      <c r="C11" s="7">
        <v>508581200</v>
      </c>
      <c r="D11" s="7">
        <v>511703800</v>
      </c>
      <c r="E11" s="7">
        <v>510844400</v>
      </c>
      <c r="F11" s="7">
        <v>522869200</v>
      </c>
      <c r="G11" s="7">
        <v>511900400</v>
      </c>
      <c r="H11" s="7">
        <v>515456000</v>
      </c>
      <c r="I11" s="7">
        <v>518524200</v>
      </c>
      <c r="J11" s="7">
        <v>509962700</v>
      </c>
      <c r="K11" s="7">
        <v>508583300</v>
      </c>
      <c r="L11" s="7">
        <v>513099500</v>
      </c>
      <c r="M11" s="7">
        <v>516815600</v>
      </c>
      <c r="N11" s="7">
        <v>516109700</v>
      </c>
      <c r="O11" s="7">
        <v>508653900</v>
      </c>
      <c r="P11" s="7">
        <v>508582200</v>
      </c>
      <c r="Q11" s="7">
        <v>527586300</v>
      </c>
      <c r="R11" s="7">
        <v>511817300</v>
      </c>
      <c r="S11" s="7">
        <v>515621100</v>
      </c>
      <c r="T11" s="7">
        <v>508533800</v>
      </c>
      <c r="U11" s="7">
        <v>509309700</v>
      </c>
      <c r="V11" s="7">
        <v>508602500</v>
      </c>
      <c r="W11" s="7">
        <v>508516500</v>
      </c>
      <c r="X11" s="7">
        <v>510223800</v>
      </c>
      <c r="Y11" s="7">
        <v>514174100</v>
      </c>
    </row>
    <row r="12" spans="1:25" ht="33.75" customHeight="1" x14ac:dyDescent="0.25">
      <c r="A12" s="4"/>
    </row>
    <row r="13" spans="1:25" ht="28.5" customHeight="1" x14ac:dyDescent="0.25">
      <c r="A13" s="6" t="s">
        <v>5</v>
      </c>
      <c r="B13" s="7">
        <v>133.22300000000001</v>
      </c>
      <c r="C13" s="7">
        <v>0</v>
      </c>
      <c r="D13" s="7">
        <v>69.117000000000004</v>
      </c>
      <c r="E13" s="7">
        <v>108.04300000000001</v>
      </c>
      <c r="F13" s="7">
        <v>84.61</v>
      </c>
      <c r="G13" s="7">
        <v>71.694000000000003</v>
      </c>
      <c r="H13" s="7">
        <v>0</v>
      </c>
      <c r="I13" s="7">
        <v>74.795000000000002</v>
      </c>
      <c r="J13" s="7">
        <v>81.825000000000003</v>
      </c>
      <c r="K13" s="7">
        <v>78.384</v>
      </c>
      <c r="L13" s="7">
        <v>110.178</v>
      </c>
      <c r="M13" s="7">
        <v>0</v>
      </c>
      <c r="N13" s="7">
        <v>59.024999999999999</v>
      </c>
      <c r="O13" s="7">
        <v>0</v>
      </c>
      <c r="P13" s="7">
        <v>107.224</v>
      </c>
      <c r="Q13" s="7">
        <v>110.626</v>
      </c>
      <c r="R13" s="7">
        <v>97.575999999999993</v>
      </c>
      <c r="S13" s="7">
        <v>90.942999999999998</v>
      </c>
      <c r="T13" s="7">
        <v>102.93</v>
      </c>
      <c r="U13" s="7">
        <v>89.555999999999997</v>
      </c>
      <c r="V13" s="7">
        <v>159.75700000000001</v>
      </c>
      <c r="W13" s="7">
        <v>86.191999999999993</v>
      </c>
      <c r="X13" s="7">
        <v>0</v>
      </c>
      <c r="Y13" s="7">
        <v>100.67100000000001</v>
      </c>
    </row>
    <row r="14" spans="1:25" ht="28.5" customHeight="1" x14ac:dyDescent="0.25">
      <c r="A14" s="4"/>
      <c r="B14" s="7">
        <v>133.07900000000001</v>
      </c>
      <c r="C14" s="7">
        <v>0</v>
      </c>
      <c r="D14" s="7">
        <v>69.721000000000004</v>
      </c>
      <c r="E14" s="7">
        <v>109.773</v>
      </c>
      <c r="F14" s="7">
        <v>85.408000000000001</v>
      </c>
      <c r="G14" s="7">
        <v>72.382000000000005</v>
      </c>
      <c r="H14" s="7">
        <v>0</v>
      </c>
      <c r="I14" s="7">
        <v>75.587999999999994</v>
      </c>
      <c r="J14" s="7">
        <v>82.7</v>
      </c>
      <c r="K14" s="7">
        <v>79.528999999999996</v>
      </c>
      <c r="L14" s="7">
        <v>111.295</v>
      </c>
      <c r="M14" s="7">
        <v>0</v>
      </c>
      <c r="N14" s="7">
        <v>58.042000000000002</v>
      </c>
      <c r="O14" s="7">
        <v>0</v>
      </c>
      <c r="P14" s="7">
        <v>109.29300000000001</v>
      </c>
      <c r="Q14" s="7">
        <v>113.47</v>
      </c>
      <c r="R14" s="7">
        <v>98.731999999999999</v>
      </c>
      <c r="S14" s="7">
        <v>88.161000000000001</v>
      </c>
      <c r="T14" s="7">
        <v>104.07599999999999</v>
      </c>
      <c r="U14" s="7">
        <v>91.025000000000006</v>
      </c>
      <c r="V14" s="7">
        <v>159.011</v>
      </c>
      <c r="W14" s="7">
        <v>86.885999999999996</v>
      </c>
      <c r="X14" s="7">
        <v>0</v>
      </c>
      <c r="Y14" s="7">
        <v>101.749</v>
      </c>
    </row>
    <row r="15" spans="1:25" ht="28.5" customHeight="1" x14ac:dyDescent="0.25">
      <c r="A15" s="4"/>
      <c r="B15" s="7">
        <v>133.44999999999999</v>
      </c>
      <c r="C15" s="7">
        <v>0</v>
      </c>
      <c r="D15" s="7">
        <v>70.373000000000005</v>
      </c>
      <c r="E15" s="7">
        <v>110.974</v>
      </c>
      <c r="F15" s="7">
        <v>86.07</v>
      </c>
      <c r="G15" s="7">
        <v>73.042000000000002</v>
      </c>
      <c r="H15" s="7">
        <v>0</v>
      </c>
      <c r="I15" s="7">
        <v>76.361999999999995</v>
      </c>
      <c r="J15" s="7">
        <v>83.436000000000007</v>
      </c>
      <c r="K15" s="7">
        <v>80.641000000000005</v>
      </c>
      <c r="L15" s="7">
        <v>112.289</v>
      </c>
      <c r="M15" s="7">
        <v>0</v>
      </c>
      <c r="N15" s="7">
        <v>58.039000000000001</v>
      </c>
      <c r="O15" s="7">
        <v>0</v>
      </c>
      <c r="P15" s="7">
        <v>111.389</v>
      </c>
      <c r="Q15" s="7">
        <v>115.3</v>
      </c>
      <c r="R15" s="7">
        <v>102.14</v>
      </c>
      <c r="S15" s="7">
        <v>86.543999999999997</v>
      </c>
      <c r="T15" s="7">
        <v>105.416</v>
      </c>
      <c r="U15" s="7">
        <v>92.396000000000001</v>
      </c>
      <c r="V15" s="7">
        <v>157.57900000000001</v>
      </c>
      <c r="W15" s="7">
        <v>87.501000000000005</v>
      </c>
      <c r="X15" s="7">
        <v>0</v>
      </c>
      <c r="Y15" s="7">
        <v>103.277</v>
      </c>
    </row>
    <row r="16" spans="1:25" ht="28.5" customHeight="1" x14ac:dyDescent="0.25">
      <c r="A16" s="4"/>
      <c r="B16" s="7">
        <v>131.96600000000001</v>
      </c>
      <c r="C16" s="7">
        <v>0</v>
      </c>
      <c r="D16" s="7">
        <v>70.713999999999999</v>
      </c>
      <c r="E16" s="7">
        <v>111.504</v>
      </c>
      <c r="F16" s="7">
        <v>86.588999999999999</v>
      </c>
      <c r="G16" s="7">
        <v>73.522999999999996</v>
      </c>
      <c r="H16" s="7">
        <v>0</v>
      </c>
      <c r="I16" s="7">
        <v>76.950999999999993</v>
      </c>
      <c r="J16" s="7">
        <v>83.349000000000004</v>
      </c>
      <c r="K16" s="7">
        <v>81.233000000000004</v>
      </c>
      <c r="L16" s="7">
        <v>112.922</v>
      </c>
      <c r="M16" s="7">
        <v>0</v>
      </c>
      <c r="N16" s="7">
        <v>54.33</v>
      </c>
      <c r="O16" s="7">
        <v>0</v>
      </c>
      <c r="P16" s="7">
        <v>112.26900000000001</v>
      </c>
      <c r="Q16" s="7">
        <v>116.134</v>
      </c>
      <c r="R16" s="7">
        <v>103.92400000000001</v>
      </c>
      <c r="S16" s="7">
        <v>83.427999999999997</v>
      </c>
      <c r="T16" s="7">
        <v>106.101</v>
      </c>
      <c r="U16" s="7">
        <v>94.14</v>
      </c>
      <c r="V16" s="7">
        <v>158.078</v>
      </c>
      <c r="W16" s="7">
        <v>87.896000000000001</v>
      </c>
      <c r="X16" s="7">
        <v>0</v>
      </c>
      <c r="Y16" s="7">
        <v>103.881</v>
      </c>
    </row>
    <row r="17" spans="1:25" ht="28.5" customHeight="1" x14ac:dyDescent="0.25">
      <c r="A17" s="4"/>
      <c r="B17" s="7">
        <v>130.49</v>
      </c>
      <c r="C17" s="7">
        <v>0</v>
      </c>
      <c r="D17" s="7">
        <v>71.037000000000006</v>
      </c>
      <c r="E17" s="7">
        <v>112.279</v>
      </c>
      <c r="F17" s="7">
        <v>87.105000000000004</v>
      </c>
      <c r="G17" s="7">
        <v>73.881</v>
      </c>
      <c r="H17" s="7">
        <v>0</v>
      </c>
      <c r="I17" s="7">
        <v>77.287000000000006</v>
      </c>
      <c r="J17" s="7">
        <v>83.781000000000006</v>
      </c>
      <c r="K17" s="7">
        <v>81.590999999999994</v>
      </c>
      <c r="L17" s="7">
        <v>113.381</v>
      </c>
      <c r="M17" s="7">
        <v>0</v>
      </c>
      <c r="N17" s="7">
        <v>51.292000000000002</v>
      </c>
      <c r="O17" s="7">
        <v>0</v>
      </c>
      <c r="P17" s="7">
        <v>113.428</v>
      </c>
      <c r="Q17" s="7">
        <v>116.96299999999999</v>
      </c>
      <c r="R17" s="7">
        <v>105.556</v>
      </c>
      <c r="S17" s="7">
        <v>80.09</v>
      </c>
      <c r="T17" s="7">
        <v>106.88500000000001</v>
      </c>
      <c r="U17" s="7">
        <v>95.165999999999997</v>
      </c>
      <c r="V17" s="7">
        <v>156.94499999999999</v>
      </c>
      <c r="W17" s="7">
        <v>88.337999999999994</v>
      </c>
      <c r="X17" s="7">
        <v>0</v>
      </c>
      <c r="Y17" s="7">
        <v>104.35599999999999</v>
      </c>
    </row>
    <row r="18" spans="1:25" ht="28.5" customHeight="1" x14ac:dyDescent="0.25">
      <c r="A18" s="4"/>
      <c r="B18" s="7">
        <v>128.39599999999999</v>
      </c>
      <c r="C18" s="7">
        <v>0</v>
      </c>
      <c r="D18" s="7">
        <v>71.445999999999998</v>
      </c>
      <c r="E18" s="7">
        <v>113.068</v>
      </c>
      <c r="F18" s="7">
        <v>87.561999999999998</v>
      </c>
      <c r="G18" s="7">
        <v>74.227000000000004</v>
      </c>
      <c r="H18" s="7">
        <v>0</v>
      </c>
      <c r="I18" s="7">
        <v>77.766000000000005</v>
      </c>
      <c r="J18" s="7">
        <v>84.209000000000003</v>
      </c>
      <c r="K18" s="7">
        <v>82.244</v>
      </c>
      <c r="L18" s="7">
        <v>113.622</v>
      </c>
      <c r="M18" s="7">
        <v>0</v>
      </c>
      <c r="N18" s="7">
        <v>47.445999999999998</v>
      </c>
      <c r="O18" s="7">
        <v>0</v>
      </c>
      <c r="P18" s="7">
        <v>115.72499999999999</v>
      </c>
      <c r="Q18" s="7">
        <v>118.197</v>
      </c>
      <c r="R18" s="7">
        <v>107.131</v>
      </c>
      <c r="S18" s="7">
        <v>77.391999999999996</v>
      </c>
      <c r="T18" s="7">
        <v>107.148</v>
      </c>
      <c r="U18" s="7">
        <v>96.058000000000007</v>
      </c>
      <c r="V18" s="7">
        <v>157.172</v>
      </c>
      <c r="W18" s="7">
        <v>88.561000000000007</v>
      </c>
      <c r="X18" s="7">
        <v>0</v>
      </c>
      <c r="Y18" s="7">
        <v>105.02200000000001</v>
      </c>
    </row>
    <row r="19" spans="1:25" ht="28.5" customHeight="1" x14ac:dyDescent="0.25">
      <c r="A19" s="4"/>
      <c r="B19" s="7">
        <v>125.28100000000001</v>
      </c>
      <c r="C19" s="7">
        <v>0</v>
      </c>
      <c r="D19" s="7">
        <v>71.762</v>
      </c>
      <c r="E19" s="7">
        <v>113.65900000000001</v>
      </c>
      <c r="F19" s="7">
        <v>87.971000000000004</v>
      </c>
      <c r="G19" s="7">
        <v>74.409000000000006</v>
      </c>
      <c r="H19" s="7">
        <v>0</v>
      </c>
      <c r="I19" s="7">
        <v>78.182000000000002</v>
      </c>
      <c r="J19" s="7">
        <v>84.352000000000004</v>
      </c>
      <c r="K19" s="7">
        <v>82.858000000000004</v>
      </c>
      <c r="L19" s="7">
        <v>112.02200000000001</v>
      </c>
      <c r="M19" s="7">
        <v>0</v>
      </c>
      <c r="N19" s="7">
        <v>45.244999999999997</v>
      </c>
      <c r="O19" s="7">
        <v>0</v>
      </c>
      <c r="P19" s="7">
        <v>118.508</v>
      </c>
      <c r="Q19" s="7">
        <v>119.238</v>
      </c>
      <c r="R19" s="7">
        <v>108.96599999999999</v>
      </c>
      <c r="S19" s="7">
        <v>76.126999999999995</v>
      </c>
      <c r="T19" s="7">
        <v>107.455</v>
      </c>
      <c r="U19" s="7">
        <v>97.141000000000005</v>
      </c>
      <c r="V19" s="7">
        <v>156.79300000000001</v>
      </c>
      <c r="W19" s="7">
        <v>88.823999999999998</v>
      </c>
      <c r="X19" s="7">
        <v>0</v>
      </c>
      <c r="Y19" s="7">
        <v>105.756</v>
      </c>
    </row>
    <row r="20" spans="1:25" ht="28.5" customHeight="1" x14ac:dyDescent="0.25">
      <c r="A20" s="4"/>
      <c r="B20" s="7">
        <v>120.491</v>
      </c>
      <c r="C20" s="7">
        <v>0</v>
      </c>
      <c r="D20" s="7">
        <v>72.197000000000003</v>
      </c>
      <c r="E20" s="7">
        <v>114.35</v>
      </c>
      <c r="F20" s="7">
        <v>88.358000000000004</v>
      </c>
      <c r="G20" s="7">
        <v>74.989999999999995</v>
      </c>
      <c r="H20" s="7">
        <v>0</v>
      </c>
      <c r="I20" s="7">
        <v>78.638000000000005</v>
      </c>
      <c r="J20" s="7">
        <v>84.578000000000003</v>
      </c>
      <c r="K20" s="7">
        <v>83.460999999999999</v>
      </c>
      <c r="L20" s="7">
        <v>110.752</v>
      </c>
      <c r="M20" s="7">
        <v>0</v>
      </c>
      <c r="N20" s="7">
        <v>43.587000000000003</v>
      </c>
      <c r="O20" s="7">
        <v>0</v>
      </c>
      <c r="P20" s="7">
        <v>121.006</v>
      </c>
      <c r="Q20" s="7">
        <v>117.812</v>
      </c>
      <c r="R20" s="7">
        <v>110.526</v>
      </c>
      <c r="S20" s="7">
        <v>75.150000000000006</v>
      </c>
      <c r="T20" s="7">
        <v>107.914</v>
      </c>
      <c r="U20" s="7">
        <v>97.738</v>
      </c>
      <c r="V20" s="7">
        <v>157.26</v>
      </c>
      <c r="W20" s="7">
        <v>89.152000000000001</v>
      </c>
      <c r="X20" s="7">
        <v>0</v>
      </c>
      <c r="Y20" s="7">
        <v>106.289</v>
      </c>
    </row>
    <row r="21" spans="1:25" ht="28.5" customHeight="1" x14ac:dyDescent="0.25">
      <c r="A21" s="4"/>
    </row>
    <row r="22" spans="1:25" ht="30" x14ac:dyDescent="0.25">
      <c r="A22" s="6" t="s">
        <v>4</v>
      </c>
      <c r="B22" s="7">
        <v>15.545999999999999</v>
      </c>
      <c r="C22" s="7">
        <v>67.358999999999995</v>
      </c>
      <c r="D22" s="7">
        <v>0</v>
      </c>
      <c r="E22" s="7">
        <v>0</v>
      </c>
      <c r="F22" s="7">
        <v>0</v>
      </c>
      <c r="G22" s="7">
        <v>0</v>
      </c>
      <c r="H22" s="7">
        <v>83.162000000000006</v>
      </c>
      <c r="I22" s="7">
        <v>0</v>
      </c>
      <c r="J22" s="7">
        <v>0</v>
      </c>
      <c r="K22" s="7">
        <v>0</v>
      </c>
      <c r="L22" s="7">
        <v>0</v>
      </c>
      <c r="M22" s="7">
        <v>88.429000000000002</v>
      </c>
      <c r="N22" s="7">
        <v>33.137</v>
      </c>
      <c r="O22" s="7">
        <v>0</v>
      </c>
      <c r="P22" s="7">
        <v>0</v>
      </c>
      <c r="Q22" s="7">
        <v>0</v>
      </c>
      <c r="R22" s="7">
        <v>0</v>
      </c>
      <c r="S22" s="7">
        <v>18.010000000000002</v>
      </c>
      <c r="T22" s="7">
        <v>0</v>
      </c>
      <c r="U22" s="7">
        <v>0</v>
      </c>
      <c r="V22" s="7">
        <v>0</v>
      </c>
      <c r="W22" s="7">
        <v>0</v>
      </c>
      <c r="X22" s="7">
        <v>92.283000000000001</v>
      </c>
      <c r="Y22" s="7">
        <v>0</v>
      </c>
    </row>
    <row r="23" spans="1:25" x14ac:dyDescent="0.25">
      <c r="B23" s="7">
        <v>19.561</v>
      </c>
      <c r="C23" s="7">
        <v>69.591999999999999</v>
      </c>
      <c r="D23" s="7">
        <v>0</v>
      </c>
      <c r="E23" s="7">
        <v>0</v>
      </c>
      <c r="F23" s="7">
        <v>0</v>
      </c>
      <c r="G23" s="7">
        <v>0</v>
      </c>
      <c r="H23" s="7">
        <v>85.188000000000002</v>
      </c>
      <c r="I23" s="7">
        <v>0</v>
      </c>
      <c r="J23" s="7">
        <v>0</v>
      </c>
      <c r="K23" s="7">
        <v>0</v>
      </c>
      <c r="L23" s="7">
        <v>0</v>
      </c>
      <c r="M23" s="7">
        <v>90.475999999999999</v>
      </c>
      <c r="N23" s="7">
        <v>39.023000000000003</v>
      </c>
      <c r="O23" s="7">
        <v>0</v>
      </c>
      <c r="P23" s="7">
        <v>0</v>
      </c>
      <c r="Q23" s="7">
        <v>0</v>
      </c>
      <c r="R23" s="7">
        <v>0</v>
      </c>
      <c r="S23" s="7">
        <v>25.962</v>
      </c>
      <c r="T23" s="7">
        <v>0</v>
      </c>
      <c r="U23" s="7">
        <v>0</v>
      </c>
      <c r="V23" s="7">
        <v>0</v>
      </c>
      <c r="W23" s="7">
        <v>0</v>
      </c>
      <c r="X23" s="7">
        <v>94.634</v>
      </c>
      <c r="Y23" s="7">
        <v>0</v>
      </c>
    </row>
    <row r="24" spans="1:25" x14ac:dyDescent="0.25">
      <c r="B24" s="7">
        <v>22.698</v>
      </c>
      <c r="C24" s="7">
        <v>72.126999999999995</v>
      </c>
      <c r="D24" s="7">
        <v>0</v>
      </c>
      <c r="E24" s="7">
        <v>0</v>
      </c>
      <c r="F24" s="7">
        <v>0</v>
      </c>
      <c r="G24" s="7">
        <v>0</v>
      </c>
      <c r="H24" s="7">
        <v>87.206000000000003</v>
      </c>
      <c r="I24" s="7">
        <v>0</v>
      </c>
      <c r="J24" s="7">
        <v>0</v>
      </c>
      <c r="K24" s="7">
        <v>0</v>
      </c>
      <c r="L24" s="7">
        <v>0</v>
      </c>
      <c r="M24" s="7">
        <v>92.391000000000005</v>
      </c>
      <c r="N24" s="7">
        <v>43.292000000000002</v>
      </c>
      <c r="O24" s="7">
        <v>55.061</v>
      </c>
      <c r="P24" s="7">
        <v>0</v>
      </c>
      <c r="Q24" s="7">
        <v>0</v>
      </c>
      <c r="R24" s="7">
        <v>0</v>
      </c>
      <c r="S24" s="7">
        <v>32.042999999999999</v>
      </c>
      <c r="T24" s="7">
        <v>0</v>
      </c>
      <c r="U24" s="7">
        <v>0</v>
      </c>
      <c r="V24" s="7">
        <v>0</v>
      </c>
      <c r="W24" s="7">
        <v>0</v>
      </c>
      <c r="X24" s="7">
        <v>97.072999999999993</v>
      </c>
      <c r="Y24" s="7">
        <v>0</v>
      </c>
    </row>
    <row r="25" spans="1:25" x14ac:dyDescent="0.25">
      <c r="B25" s="7">
        <v>26.834</v>
      </c>
      <c r="C25" s="7">
        <v>75.385000000000005</v>
      </c>
      <c r="D25" s="7">
        <v>0</v>
      </c>
      <c r="E25" s="7">
        <v>0</v>
      </c>
      <c r="F25" s="7">
        <v>0</v>
      </c>
      <c r="G25" s="7">
        <v>0</v>
      </c>
      <c r="H25" s="7">
        <v>89.23</v>
      </c>
      <c r="I25" s="7">
        <v>0</v>
      </c>
      <c r="J25" s="7">
        <v>0</v>
      </c>
      <c r="K25" s="7">
        <v>0</v>
      </c>
      <c r="L25" s="7">
        <v>0</v>
      </c>
      <c r="M25" s="7">
        <v>94.917000000000002</v>
      </c>
      <c r="N25" s="7">
        <v>50.311999999999998</v>
      </c>
      <c r="O25" s="7">
        <v>58.795000000000002</v>
      </c>
      <c r="P25" s="7">
        <v>0</v>
      </c>
      <c r="Q25" s="7">
        <v>0</v>
      </c>
      <c r="R25" s="7">
        <v>0</v>
      </c>
      <c r="S25" s="7">
        <v>38.262</v>
      </c>
      <c r="T25" s="7">
        <v>0</v>
      </c>
      <c r="U25" s="7">
        <v>0</v>
      </c>
      <c r="V25" s="7">
        <v>0</v>
      </c>
      <c r="W25" s="7">
        <v>0</v>
      </c>
      <c r="X25" s="7">
        <v>100.014</v>
      </c>
      <c r="Y25" s="7">
        <v>0</v>
      </c>
    </row>
    <row r="26" spans="1:25" x14ac:dyDescent="0.25">
      <c r="B26" s="7">
        <v>32.204999999999998</v>
      </c>
      <c r="C26" s="7">
        <v>78.206999999999994</v>
      </c>
      <c r="D26" s="7">
        <v>0</v>
      </c>
      <c r="E26" s="7">
        <v>0</v>
      </c>
      <c r="F26" s="7">
        <v>0</v>
      </c>
      <c r="G26" s="7">
        <v>0</v>
      </c>
      <c r="H26" s="7">
        <v>91.462000000000003</v>
      </c>
      <c r="I26" s="7">
        <v>0</v>
      </c>
      <c r="J26" s="7">
        <v>0</v>
      </c>
      <c r="K26" s="7">
        <v>0</v>
      </c>
      <c r="L26" s="7">
        <v>0</v>
      </c>
      <c r="M26" s="7">
        <v>97.061999999999998</v>
      </c>
      <c r="N26" s="7">
        <v>56.173999999999999</v>
      </c>
      <c r="O26" s="7">
        <v>62.273000000000003</v>
      </c>
      <c r="P26" s="7">
        <v>0</v>
      </c>
      <c r="Q26" s="7">
        <v>0</v>
      </c>
      <c r="R26" s="7">
        <v>0</v>
      </c>
      <c r="S26" s="7">
        <v>44.298000000000002</v>
      </c>
      <c r="T26" s="7">
        <v>0</v>
      </c>
      <c r="U26" s="7">
        <v>0</v>
      </c>
      <c r="V26" s="7">
        <v>0</v>
      </c>
      <c r="W26" s="7">
        <v>0</v>
      </c>
      <c r="X26" s="7">
        <v>102.203</v>
      </c>
      <c r="Y26" s="7">
        <v>0</v>
      </c>
    </row>
    <row r="27" spans="1:25" x14ac:dyDescent="0.25">
      <c r="B27" s="7">
        <v>40.529000000000003</v>
      </c>
      <c r="C27" s="7">
        <v>80.349999999999994</v>
      </c>
      <c r="D27" s="7">
        <v>0</v>
      </c>
      <c r="E27" s="7">
        <v>0</v>
      </c>
      <c r="F27" s="7">
        <v>0</v>
      </c>
      <c r="G27" s="7">
        <v>0</v>
      </c>
      <c r="H27" s="7">
        <v>93.408000000000001</v>
      </c>
      <c r="I27" s="7">
        <v>0</v>
      </c>
      <c r="J27" s="7">
        <v>0</v>
      </c>
      <c r="K27" s="7">
        <v>0</v>
      </c>
      <c r="L27" s="7">
        <v>1.117</v>
      </c>
      <c r="M27" s="7">
        <v>99.635000000000005</v>
      </c>
      <c r="N27" s="7">
        <v>61.966999999999999</v>
      </c>
      <c r="O27" s="7">
        <v>64.685000000000002</v>
      </c>
      <c r="P27" s="7">
        <v>0</v>
      </c>
      <c r="Q27" s="7">
        <v>0</v>
      </c>
      <c r="R27" s="7">
        <v>0</v>
      </c>
      <c r="S27" s="7">
        <v>50.232999999999997</v>
      </c>
      <c r="T27" s="7">
        <v>0</v>
      </c>
      <c r="U27" s="7">
        <v>0</v>
      </c>
      <c r="V27" s="7">
        <v>0</v>
      </c>
      <c r="W27" s="7">
        <v>0</v>
      </c>
      <c r="X27" s="7">
        <v>105.14100000000001</v>
      </c>
      <c r="Y27" s="7">
        <v>0</v>
      </c>
    </row>
    <row r="28" spans="1:25" x14ac:dyDescent="0.25">
      <c r="B28" s="7">
        <v>49.960999999999999</v>
      </c>
      <c r="C28" s="7">
        <v>82.917000000000002</v>
      </c>
      <c r="D28" s="7">
        <v>0</v>
      </c>
      <c r="E28" s="7">
        <v>0</v>
      </c>
      <c r="F28" s="7">
        <v>0</v>
      </c>
      <c r="G28" s="7">
        <v>0</v>
      </c>
      <c r="H28" s="7">
        <v>95.591999999999999</v>
      </c>
      <c r="I28" s="7">
        <v>0</v>
      </c>
      <c r="J28" s="7">
        <v>0</v>
      </c>
      <c r="K28" s="7">
        <v>0</v>
      </c>
      <c r="L28" s="7">
        <v>7.5460000000000003</v>
      </c>
      <c r="M28" s="7">
        <v>102.123</v>
      </c>
      <c r="N28" s="7">
        <v>66.200999999999993</v>
      </c>
      <c r="O28" s="7">
        <v>67.715000000000003</v>
      </c>
      <c r="P28" s="7">
        <v>0</v>
      </c>
      <c r="Q28" s="7">
        <v>0</v>
      </c>
      <c r="R28" s="7">
        <v>0</v>
      </c>
      <c r="S28" s="7">
        <v>53.534999999999997</v>
      </c>
      <c r="T28" s="7">
        <v>0</v>
      </c>
      <c r="U28" s="7">
        <v>0</v>
      </c>
      <c r="V28" s="7">
        <v>0</v>
      </c>
      <c r="W28" s="7">
        <v>0</v>
      </c>
      <c r="X28" s="7">
        <v>114.913</v>
      </c>
      <c r="Y28" s="7">
        <v>0</v>
      </c>
    </row>
    <row r="29" spans="1:25" x14ac:dyDescent="0.25">
      <c r="B29" s="7">
        <v>64.587000000000003</v>
      </c>
      <c r="C29" s="7">
        <v>85.224000000000004</v>
      </c>
      <c r="D29" s="7">
        <v>0</v>
      </c>
      <c r="E29" s="7">
        <v>0</v>
      </c>
      <c r="F29" s="7">
        <v>0</v>
      </c>
      <c r="G29" s="7">
        <v>0</v>
      </c>
      <c r="H29" s="7">
        <v>98.076999999999998</v>
      </c>
      <c r="I29" s="7">
        <v>0</v>
      </c>
      <c r="J29" s="7">
        <v>0</v>
      </c>
      <c r="K29" s="7">
        <v>0</v>
      </c>
      <c r="L29" s="7">
        <v>13.98</v>
      </c>
      <c r="M29" s="7">
        <v>105.28100000000001</v>
      </c>
      <c r="N29" s="7">
        <v>69.230999999999995</v>
      </c>
      <c r="O29" s="7">
        <v>71.198999999999998</v>
      </c>
      <c r="P29" s="7">
        <v>0</v>
      </c>
      <c r="Q29" s="7">
        <v>4.4539999999999997</v>
      </c>
      <c r="R29" s="7">
        <v>0</v>
      </c>
      <c r="S29" s="7">
        <v>56.295000000000002</v>
      </c>
      <c r="T29" s="7">
        <v>0</v>
      </c>
      <c r="U29" s="7">
        <v>0</v>
      </c>
      <c r="V29" s="7">
        <v>0</v>
      </c>
      <c r="W29" s="7">
        <v>0</v>
      </c>
      <c r="X29" s="7">
        <v>126.831</v>
      </c>
      <c r="Y29" s="7">
        <v>0</v>
      </c>
    </row>
    <row r="31" spans="1:25" x14ac:dyDescent="0.25">
      <c r="A31" s="6" t="s">
        <v>19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</row>
    <row r="32" spans="1:25" x14ac:dyDescent="0.25"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</row>
    <row r="33" spans="1:25" x14ac:dyDescent="0.25"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</row>
    <row r="34" spans="1:25" x14ac:dyDescent="0.25"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x14ac:dyDescent="0.25"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25"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1:25" x14ac:dyDescent="0.25"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</row>
    <row r="38" spans="1:25" x14ac:dyDescent="0.25"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</row>
    <row r="40" spans="1:25" ht="45" x14ac:dyDescent="0.25">
      <c r="A40" s="6" t="s">
        <v>3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20</v>
      </c>
      <c r="U40" s="7">
        <v>0</v>
      </c>
      <c r="V40" s="7">
        <v>150</v>
      </c>
      <c r="W40" s="7">
        <v>0</v>
      </c>
      <c r="X40" s="7">
        <v>0</v>
      </c>
      <c r="Y40" s="7">
        <v>0</v>
      </c>
    </row>
    <row r="41" spans="1:25" x14ac:dyDescent="0.25"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37</v>
      </c>
      <c r="U41" s="7">
        <v>0</v>
      </c>
      <c r="V41" s="7">
        <v>168</v>
      </c>
      <c r="W41" s="7">
        <v>0</v>
      </c>
      <c r="X41" s="7">
        <v>0</v>
      </c>
      <c r="Y41" s="7">
        <v>0</v>
      </c>
    </row>
    <row r="42" spans="1:25" x14ac:dyDescent="0.25"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24</v>
      </c>
      <c r="S42" s="7">
        <v>0</v>
      </c>
      <c r="T42" s="7">
        <v>66</v>
      </c>
      <c r="U42" s="7">
        <v>0</v>
      </c>
      <c r="V42" s="7">
        <v>190</v>
      </c>
      <c r="W42" s="7">
        <v>0</v>
      </c>
      <c r="X42" s="7">
        <v>0</v>
      </c>
      <c r="Y42" s="7">
        <v>0</v>
      </c>
    </row>
    <row r="43" spans="1:25" x14ac:dyDescent="0.25"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5</v>
      </c>
      <c r="H43" s="7">
        <v>0</v>
      </c>
      <c r="I43" s="7">
        <v>0</v>
      </c>
      <c r="J43" s="7">
        <v>5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34</v>
      </c>
      <c r="S43" s="7">
        <v>0</v>
      </c>
      <c r="T43" s="7">
        <v>74</v>
      </c>
      <c r="U43" s="7">
        <v>9</v>
      </c>
      <c r="V43" s="7">
        <v>199</v>
      </c>
      <c r="W43" s="7">
        <v>0</v>
      </c>
      <c r="X43" s="7">
        <v>0</v>
      </c>
      <c r="Y43" s="7">
        <v>0</v>
      </c>
    </row>
    <row r="44" spans="1:25" x14ac:dyDescent="0.25">
      <c r="B44" s="7">
        <v>8</v>
      </c>
      <c r="C44" s="7">
        <v>0</v>
      </c>
      <c r="D44" s="7">
        <v>0</v>
      </c>
      <c r="E44" s="7">
        <v>0</v>
      </c>
      <c r="F44" s="7">
        <v>0</v>
      </c>
      <c r="G44" s="7">
        <v>10</v>
      </c>
      <c r="H44" s="7">
        <v>0</v>
      </c>
      <c r="I44" s="7">
        <v>0</v>
      </c>
      <c r="J44" s="7">
        <v>9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44</v>
      </c>
      <c r="S44" s="7">
        <v>0</v>
      </c>
      <c r="T44" s="7">
        <v>82</v>
      </c>
      <c r="U44" s="7">
        <v>16</v>
      </c>
      <c r="V44" s="7">
        <v>205</v>
      </c>
      <c r="W44" s="7">
        <v>0</v>
      </c>
      <c r="X44" s="7">
        <v>0</v>
      </c>
      <c r="Y44" s="7">
        <v>0</v>
      </c>
    </row>
    <row r="45" spans="1:25" x14ac:dyDescent="0.25">
      <c r="B45" s="7">
        <v>24</v>
      </c>
      <c r="C45" s="7">
        <v>0</v>
      </c>
      <c r="D45" s="7">
        <v>0</v>
      </c>
      <c r="E45" s="7">
        <v>0</v>
      </c>
      <c r="F45" s="7">
        <v>0</v>
      </c>
      <c r="G45" s="7">
        <v>14</v>
      </c>
      <c r="H45" s="7">
        <v>0</v>
      </c>
      <c r="I45" s="7">
        <v>0</v>
      </c>
      <c r="J45" s="7">
        <v>15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13</v>
      </c>
      <c r="Q45" s="7">
        <v>0</v>
      </c>
      <c r="R45" s="7">
        <v>56</v>
      </c>
      <c r="S45" s="7">
        <v>0</v>
      </c>
      <c r="T45" s="7">
        <v>91</v>
      </c>
      <c r="U45" s="7">
        <v>25</v>
      </c>
      <c r="V45" s="7">
        <v>213</v>
      </c>
      <c r="W45" s="7">
        <v>4</v>
      </c>
      <c r="X45" s="7">
        <v>0</v>
      </c>
      <c r="Y45" s="7">
        <v>0</v>
      </c>
    </row>
    <row r="46" spans="1:25" x14ac:dyDescent="0.25">
      <c r="B46" s="7">
        <v>43</v>
      </c>
      <c r="C46" s="7">
        <v>0</v>
      </c>
      <c r="D46" s="7">
        <v>0</v>
      </c>
      <c r="E46" s="7">
        <v>0</v>
      </c>
      <c r="F46" s="7">
        <v>0</v>
      </c>
      <c r="G46" s="7">
        <v>19</v>
      </c>
      <c r="H46" s="7">
        <v>0</v>
      </c>
      <c r="I46" s="7">
        <v>0</v>
      </c>
      <c r="J46" s="7">
        <v>21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25</v>
      </c>
      <c r="Q46" s="7">
        <v>0</v>
      </c>
      <c r="R46" s="7">
        <v>69</v>
      </c>
      <c r="S46" s="7">
        <v>0</v>
      </c>
      <c r="T46" s="7">
        <v>97</v>
      </c>
      <c r="U46" s="7">
        <v>35</v>
      </c>
      <c r="V46" s="7">
        <v>218</v>
      </c>
      <c r="W46" s="7">
        <v>7</v>
      </c>
      <c r="X46" s="7">
        <v>28</v>
      </c>
      <c r="Y46" s="7">
        <v>0</v>
      </c>
    </row>
    <row r="47" spans="1:25" x14ac:dyDescent="0.25">
      <c r="B47" s="7">
        <v>94</v>
      </c>
      <c r="C47" s="7">
        <v>0</v>
      </c>
      <c r="D47" s="7">
        <v>0</v>
      </c>
      <c r="E47" s="7">
        <v>0</v>
      </c>
      <c r="F47" s="7">
        <v>0</v>
      </c>
      <c r="G47" s="7">
        <v>23</v>
      </c>
      <c r="H47" s="7">
        <v>0</v>
      </c>
      <c r="I47" s="7">
        <v>0</v>
      </c>
      <c r="J47" s="7">
        <v>25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35</v>
      </c>
      <c r="Q47" s="7">
        <v>0</v>
      </c>
      <c r="R47" s="7">
        <v>85</v>
      </c>
      <c r="S47" s="7">
        <v>0</v>
      </c>
      <c r="T47" s="7">
        <v>109</v>
      </c>
      <c r="U47" s="7">
        <v>48</v>
      </c>
      <c r="V47" s="7">
        <v>222</v>
      </c>
      <c r="W47" s="7">
        <v>10</v>
      </c>
      <c r="X47" s="7">
        <v>66</v>
      </c>
      <c r="Y47" s="7">
        <v>0</v>
      </c>
    </row>
    <row r="49" spans="1:25" x14ac:dyDescent="0.25">
      <c r="A49" s="6" t="s">
        <v>20</v>
      </c>
      <c r="B49" s="7">
        <v>7.2999319720340045E-2</v>
      </c>
      <c r="C49" s="7">
        <v>7.811385487685156E-2</v>
      </c>
      <c r="D49" s="7">
        <v>3.0746831046726028E-2</v>
      </c>
      <c r="E49" s="7">
        <v>4.9862647474890255E-2</v>
      </c>
      <c r="F49" s="7">
        <v>3.235835947639823E-2</v>
      </c>
      <c r="G49" s="7">
        <v>3.2904362412912634E-2</v>
      </c>
      <c r="H49" s="7">
        <v>6.5195844922532331E-2</v>
      </c>
      <c r="I49" s="7">
        <v>3.2409762021052529E-2</v>
      </c>
      <c r="J49" s="7">
        <v>3.5811068234190807E-2</v>
      </c>
      <c r="K49" s="7">
        <v>3.6854017749554296E-2</v>
      </c>
      <c r="L49" s="7">
        <v>4.7857862225018179E-2</v>
      </c>
      <c r="M49" s="7">
        <v>7.140469157789818E-2</v>
      </c>
      <c r="N49" s="7">
        <v>6.1410330156127173E-2</v>
      </c>
      <c r="O49" s="7">
        <v>6.8399996039807592E-2</v>
      </c>
      <c r="P49" s="7">
        <v>5.778007934277099E-2</v>
      </c>
      <c r="Q49" s="7">
        <v>5.5602503244984267E-2</v>
      </c>
      <c r="R49" s="7">
        <v>4.8858325022836671E-2</v>
      </c>
      <c r="S49" s="7">
        <v>6.7410353871292808E-2</v>
      </c>
      <c r="T49" s="7">
        <v>4.4202002829331448E-2</v>
      </c>
      <c r="U49" s="7">
        <v>4.8806407123250267E-2</v>
      </c>
      <c r="V49" s="7">
        <v>5.9719047049446243E-2</v>
      </c>
      <c r="W49" s="7">
        <v>3.450021802917598E-2</v>
      </c>
      <c r="X49" s="7">
        <v>9.2375347241568692E-2</v>
      </c>
      <c r="Y49" s="7">
        <v>4.9023511579652415E-2</v>
      </c>
    </row>
    <row r="50" spans="1:25" x14ac:dyDescent="0.25">
      <c r="B50" s="7">
        <v>7.22857079427804E-2</v>
      </c>
      <c r="C50" s="7">
        <v>7.7583256979599058E-2</v>
      </c>
      <c r="D50" s="7">
        <v>3.0436523154756159E-2</v>
      </c>
      <c r="E50" s="7">
        <v>4.9374627442107542E-2</v>
      </c>
      <c r="F50" s="7">
        <v>3.1986248967934713E-2</v>
      </c>
      <c r="G50" s="7">
        <v>3.2582384313516413E-2</v>
      </c>
      <c r="H50" s="7">
        <v>6.4662553988163063E-2</v>
      </c>
      <c r="I50" s="7">
        <v>3.2077783253407585E-2</v>
      </c>
      <c r="J50" s="7">
        <v>3.5441868006618207E-2</v>
      </c>
      <c r="K50" s="7">
        <v>3.6498636977711087E-2</v>
      </c>
      <c r="L50" s="7">
        <v>4.7363533697828135E-2</v>
      </c>
      <c r="M50" s="7">
        <v>7.0836310269400016E-2</v>
      </c>
      <c r="N50" s="7">
        <v>6.0914761536421676E-2</v>
      </c>
      <c r="O50" s="7">
        <v>6.8399996039807592E-2</v>
      </c>
      <c r="P50" s="7">
        <v>5.7293050799816017E-2</v>
      </c>
      <c r="Q50" s="7">
        <v>5.5116575415035451E-2</v>
      </c>
      <c r="R50" s="7">
        <v>4.8419492711625663E-2</v>
      </c>
      <c r="S50" s="7">
        <v>6.6866695053117473E-2</v>
      </c>
      <c r="T50" s="7">
        <v>4.3537539593310359E-2</v>
      </c>
      <c r="U50" s="7">
        <v>4.8400356213546956E-2</v>
      </c>
      <c r="V50" s="7">
        <v>5.7984914293890993E-2</v>
      </c>
      <c r="W50" s="7">
        <v>3.411057673109575E-2</v>
      </c>
      <c r="X50" s="7">
        <v>9.1702530386124664E-2</v>
      </c>
      <c r="Y50" s="7">
        <v>4.8572820970935751E-2</v>
      </c>
    </row>
    <row r="51" spans="1:25" x14ac:dyDescent="0.25">
      <c r="B51" s="7">
        <v>7.1546454854960889E-2</v>
      </c>
      <c r="C51" s="7">
        <v>7.7035298822456924E-2</v>
      </c>
      <c r="D51" s="7">
        <v>3.0123421555231598E-2</v>
      </c>
      <c r="E51" s="7">
        <v>4.8880136091651663E-2</v>
      </c>
      <c r="F51" s="7">
        <v>3.1610938377449674E-2</v>
      </c>
      <c r="G51" s="7">
        <v>3.2257312101692526E-2</v>
      </c>
      <c r="H51" s="7">
        <v>6.411656227392494E-2</v>
      </c>
      <c r="I51" s="7">
        <v>3.1742420943375475E-2</v>
      </c>
      <c r="J51" s="7">
        <v>3.5069036301397356E-2</v>
      </c>
      <c r="K51" s="7">
        <v>3.6138097658802201E-2</v>
      </c>
      <c r="L51" s="7">
        <v>4.6864867705737515E-2</v>
      </c>
      <c r="M51" s="7">
        <v>7.0255717367463347E-2</v>
      </c>
      <c r="N51" s="7">
        <v>6.038936972339972E-2</v>
      </c>
      <c r="O51" s="7">
        <v>6.801692726755347E-2</v>
      </c>
      <c r="P51" s="7">
        <v>5.6796328001226554E-2</v>
      </c>
      <c r="Q51" s="7">
        <v>5.4620194047826705E-2</v>
      </c>
      <c r="R51" s="7">
        <v>4.7887345848486369E-2</v>
      </c>
      <c r="S51" s="7">
        <v>6.6287230240108103E-2</v>
      </c>
      <c r="T51" s="7">
        <v>4.2760359906804879E-2</v>
      </c>
      <c r="U51" s="7">
        <v>4.7988276976446143E-2</v>
      </c>
      <c r="V51" s="7">
        <v>5.6253017356818584E-2</v>
      </c>
      <c r="W51" s="7">
        <v>3.3718251997003498E-2</v>
      </c>
      <c r="X51" s="7">
        <v>9.1011215206195831E-2</v>
      </c>
      <c r="Y51" s="7">
        <v>4.8116443414475019E-2</v>
      </c>
    </row>
    <row r="52" spans="1:25" x14ac:dyDescent="0.25">
      <c r="B52" s="7">
        <v>7.1089938045393208E-2</v>
      </c>
      <c r="C52" s="7">
        <v>7.6464326742130828E-2</v>
      </c>
      <c r="D52" s="7">
        <v>2.9971148620162442E-2</v>
      </c>
      <c r="E52" s="7">
        <v>4.8639504834487701E-2</v>
      </c>
      <c r="F52" s="7">
        <v>3.1428595839738026E-2</v>
      </c>
      <c r="G52" s="7">
        <v>3.2094910867347941E-2</v>
      </c>
      <c r="H52" s="7">
        <v>6.355753886619854E-2</v>
      </c>
      <c r="I52" s="7">
        <v>3.1579086700454055E-2</v>
      </c>
      <c r="J52" s="7">
        <v>3.4878941188538036E-2</v>
      </c>
      <c r="K52" s="7">
        <v>3.5962227936550829E-2</v>
      </c>
      <c r="L52" s="7">
        <v>4.6622412915894022E-2</v>
      </c>
      <c r="M52" s="7">
        <v>6.9660602570626853E-2</v>
      </c>
      <c r="N52" s="7">
        <v>5.9964684303006791E-2</v>
      </c>
      <c r="O52" s="7">
        <v>6.7543173283009086E-2</v>
      </c>
      <c r="P52" s="7">
        <v>5.6553364721214291E-2</v>
      </c>
      <c r="Q52" s="7">
        <v>5.4377869045659791E-2</v>
      </c>
      <c r="R52" s="7">
        <v>4.7617447789873403E-2</v>
      </c>
      <c r="S52" s="7">
        <v>6.5871058406619054E-2</v>
      </c>
      <c r="T52" s="7">
        <v>4.2418361233463292E-2</v>
      </c>
      <c r="U52" s="7">
        <v>4.7773920498801033E-2</v>
      </c>
      <c r="V52" s="7">
        <v>5.560654641263723E-2</v>
      </c>
      <c r="W52" s="7">
        <v>3.3527680121649098E-2</v>
      </c>
      <c r="X52" s="7">
        <v>9.0302420542373418E-2</v>
      </c>
      <c r="Y52" s="7">
        <v>4.7893736221986845E-2</v>
      </c>
    </row>
    <row r="53" spans="1:25" x14ac:dyDescent="0.25">
      <c r="B53" s="7">
        <v>7.0600120832890648E-2</v>
      </c>
      <c r="C53" s="7">
        <v>7.5869542198607448E-2</v>
      </c>
      <c r="D53" s="7">
        <v>2.9818145511527852E-2</v>
      </c>
      <c r="E53" s="7">
        <v>4.8397490273545937E-2</v>
      </c>
      <c r="F53" s="7">
        <v>3.1245072689241742E-2</v>
      </c>
      <c r="G53" s="7">
        <v>3.1924226932043137E-2</v>
      </c>
      <c r="H53" s="7">
        <v>6.2985531038358092E-2</v>
      </c>
      <c r="I53" s="7">
        <v>3.1414796920099214E-2</v>
      </c>
      <c r="J53" s="7">
        <v>3.4686727713717239E-2</v>
      </c>
      <c r="K53" s="7">
        <v>3.5785399970262491E-2</v>
      </c>
      <c r="L53" s="7">
        <v>4.6378865844743454E-2</v>
      </c>
      <c r="M53" s="7">
        <v>6.9050431523450501E-2</v>
      </c>
      <c r="N53" s="7">
        <v>5.9504934990946813E-2</v>
      </c>
      <c r="O53" s="7">
        <v>6.7038839586977483E-2</v>
      </c>
      <c r="P53" s="7">
        <v>5.6308197475341139E-2</v>
      </c>
      <c r="Q53" s="7">
        <v>5.4133927517112469E-2</v>
      </c>
      <c r="R53" s="7">
        <v>4.7327474406738457E-2</v>
      </c>
      <c r="S53" s="7">
        <v>6.5424767320106381E-2</v>
      </c>
      <c r="T53" s="7">
        <v>4.2067609745205237E-2</v>
      </c>
      <c r="U53" s="7">
        <v>4.7549038370144403E-2</v>
      </c>
      <c r="V53" s="7">
        <v>5.4964307553441255E-2</v>
      </c>
      <c r="W53" s="7">
        <v>3.3336293631791053E-2</v>
      </c>
      <c r="X53" s="7">
        <v>8.9575000198992297E-2</v>
      </c>
      <c r="Y53" s="7">
        <v>4.7670097001951732E-2</v>
      </c>
    </row>
    <row r="54" spans="1:25" x14ac:dyDescent="0.25">
      <c r="B54" s="7">
        <v>7.0050791043143046E-2</v>
      </c>
      <c r="C54" s="7">
        <v>7.5255720461166437E-2</v>
      </c>
      <c r="D54" s="7">
        <v>2.9664237622605664E-2</v>
      </c>
      <c r="E54" s="7">
        <v>4.8153885708261866E-2</v>
      </c>
      <c r="F54" s="7">
        <v>3.1060601941642001E-2</v>
      </c>
      <c r="G54" s="7">
        <v>3.1745609375128922E-2</v>
      </c>
      <c r="H54" s="7">
        <v>6.2400664852734773E-2</v>
      </c>
      <c r="I54" s="7">
        <v>3.1249708247791847E-2</v>
      </c>
      <c r="J54" s="7">
        <v>3.4485881515715057E-2</v>
      </c>
      <c r="K54" s="7">
        <v>3.5607438081863743E-2</v>
      </c>
      <c r="L54" s="7">
        <v>4.613371992704194E-2</v>
      </c>
      <c r="M54" s="7">
        <v>6.8425219942270757E-2</v>
      </c>
      <c r="N54" s="7">
        <v>5.9014481166928832E-2</v>
      </c>
      <c r="O54" s="7">
        <v>6.6509131916244482E-2</v>
      </c>
      <c r="P54" s="7">
        <v>5.6049199545152556E-2</v>
      </c>
      <c r="Q54" s="7">
        <v>5.3887615083207233E-2</v>
      </c>
      <c r="R54" s="7">
        <v>4.702288491776576E-2</v>
      </c>
      <c r="S54" s="7">
        <v>6.4943520887119119E-2</v>
      </c>
      <c r="T54" s="7">
        <v>4.1703760979152488E-2</v>
      </c>
      <c r="U54" s="7">
        <v>4.731064832268967E-2</v>
      </c>
      <c r="V54" s="7">
        <v>5.4321845112396988E-2</v>
      </c>
      <c r="W54" s="7">
        <v>3.3139923617910655E-2</v>
      </c>
      <c r="X54" s="7">
        <v>8.8829813822801335E-2</v>
      </c>
      <c r="Y54" s="7">
        <v>4.7445130827442998E-2</v>
      </c>
    </row>
    <row r="55" spans="1:25" x14ac:dyDescent="0.25">
      <c r="B55" s="7">
        <v>6.9422555155774529E-2</v>
      </c>
      <c r="C55" s="7">
        <v>7.4623069150211288E-2</v>
      </c>
      <c r="D55" s="7">
        <v>2.9509631306794806E-2</v>
      </c>
      <c r="E55" s="7">
        <v>4.7908722938722344E-2</v>
      </c>
      <c r="F55" s="7">
        <v>3.0875214665696284E-2</v>
      </c>
      <c r="G55" s="7">
        <v>3.156094639854834E-2</v>
      </c>
      <c r="H55" s="7">
        <v>6.1802735458040388E-2</v>
      </c>
      <c r="I55" s="7">
        <v>3.1083585715310624E-2</v>
      </c>
      <c r="J55" s="7">
        <v>3.4276641507534678E-2</v>
      </c>
      <c r="K55" s="7">
        <v>3.5428006885941651E-2</v>
      </c>
      <c r="L55" s="7">
        <v>4.5857182794384853E-2</v>
      </c>
      <c r="M55" s="7">
        <v>6.778405627957225E-2</v>
      </c>
      <c r="N55" s="7">
        <v>5.8496816629853253E-2</v>
      </c>
      <c r="O55" s="7">
        <v>6.5958138211353559E-2</v>
      </c>
      <c r="P55" s="7">
        <v>5.576567051668626E-2</v>
      </c>
      <c r="Q55" s="7">
        <v>5.3638962534922743E-2</v>
      </c>
      <c r="R55" s="7">
        <v>4.6698902506606604E-2</v>
      </c>
      <c r="S55" s="7">
        <v>6.4436172151694546E-2</v>
      </c>
      <c r="T55" s="7">
        <v>4.1332660793442673E-2</v>
      </c>
      <c r="U55" s="7">
        <v>4.7058846044173284E-2</v>
      </c>
      <c r="V55" s="7">
        <v>5.3684061920034672E-2</v>
      </c>
      <c r="W55" s="7">
        <v>3.2939193020510717E-2</v>
      </c>
      <c r="X55" s="7">
        <v>8.8020297214903731E-2</v>
      </c>
      <c r="Y55" s="7">
        <v>4.7218679727689984E-2</v>
      </c>
    </row>
    <row r="56" spans="1:25" x14ac:dyDescent="0.25">
      <c r="B56" s="7">
        <v>6.8675087968564419E-2</v>
      </c>
      <c r="C56" s="7">
        <v>7.3971476470140116E-2</v>
      </c>
      <c r="D56" s="7">
        <v>2.9354231324064999E-2</v>
      </c>
      <c r="E56" s="7">
        <v>4.7662113265231329E-2</v>
      </c>
      <c r="F56" s="7">
        <v>3.0688941930162094E-2</v>
      </c>
      <c r="G56" s="7">
        <v>3.1369000357330319E-2</v>
      </c>
      <c r="H56" s="7">
        <v>6.1190482230962892E-2</v>
      </c>
      <c r="I56" s="7">
        <v>3.0916460651751718E-2</v>
      </c>
      <c r="J56" s="7">
        <v>3.4061444601808474E-2</v>
      </c>
      <c r="K56" s="7">
        <v>3.5247329972771496E-2</v>
      </c>
      <c r="L56" s="7">
        <v>4.5538363294029147E-2</v>
      </c>
      <c r="M56" s="7">
        <v>6.7125541781409018E-2</v>
      </c>
      <c r="N56" s="7">
        <v>5.7960030625822792E-2</v>
      </c>
      <c r="O56" s="7">
        <v>6.5380253522575177E-2</v>
      </c>
      <c r="P56" s="7">
        <v>5.5461539198650787E-2</v>
      </c>
      <c r="Q56" s="7">
        <v>5.3383920858563333E-2</v>
      </c>
      <c r="R56" s="7">
        <v>4.6358288522246632E-2</v>
      </c>
      <c r="S56" s="7">
        <v>6.3911605663364734E-2</v>
      </c>
      <c r="T56" s="7">
        <v>4.095368626876604E-2</v>
      </c>
      <c r="U56" s="7">
        <v>4.6789038523244786E-2</v>
      </c>
      <c r="V56" s="7">
        <v>5.3046821712161046E-2</v>
      </c>
      <c r="W56" s="7">
        <v>3.2733303197920977E-2</v>
      </c>
      <c r="X56" s="7">
        <v>8.7096574944481142E-2</v>
      </c>
      <c r="Y56" s="7">
        <v>4.6990980658848693E-2</v>
      </c>
    </row>
    <row r="58" spans="1:25" ht="45" x14ac:dyDescent="0.25">
      <c r="A58" s="5" t="s">
        <v>10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7.3259999999999996</v>
      </c>
      <c r="U58" s="7">
        <v>0</v>
      </c>
      <c r="V58" s="7">
        <v>29.622</v>
      </c>
      <c r="W58" s="7">
        <v>0</v>
      </c>
      <c r="X58" s="7">
        <v>0</v>
      </c>
      <c r="Y58" s="7">
        <v>0</v>
      </c>
    </row>
    <row r="59" spans="1:25" x14ac:dyDescent="0.25"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13.553000000000001</v>
      </c>
      <c r="U59" s="7">
        <v>0</v>
      </c>
      <c r="V59" s="7">
        <v>31.774999999999999</v>
      </c>
      <c r="W59" s="7">
        <v>0</v>
      </c>
      <c r="X59" s="7">
        <v>0</v>
      </c>
      <c r="Y59" s="7">
        <v>0</v>
      </c>
    </row>
    <row r="60" spans="1:25" x14ac:dyDescent="0.25"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8.5510000000000002</v>
      </c>
      <c r="S60" s="7">
        <v>0</v>
      </c>
      <c r="T60" s="7">
        <v>20.114999999999998</v>
      </c>
      <c r="U60" s="7">
        <v>0</v>
      </c>
      <c r="V60" s="7">
        <v>36.862000000000002</v>
      </c>
      <c r="W60" s="7">
        <v>0</v>
      </c>
      <c r="X60" s="7">
        <v>0</v>
      </c>
      <c r="Y60" s="7">
        <v>0</v>
      </c>
    </row>
    <row r="61" spans="1:25" x14ac:dyDescent="0.25"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1.8320000000000001</v>
      </c>
      <c r="H61" s="7">
        <v>0</v>
      </c>
      <c r="I61" s="7">
        <v>0</v>
      </c>
      <c r="J61" s="7">
        <v>1.8320000000000001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11.367000000000001</v>
      </c>
      <c r="S61" s="7">
        <v>0</v>
      </c>
      <c r="T61" s="7">
        <v>22.634</v>
      </c>
      <c r="U61" s="7">
        <v>3.2970000000000002</v>
      </c>
      <c r="V61" s="7">
        <v>38.744</v>
      </c>
      <c r="W61" s="7">
        <v>0</v>
      </c>
      <c r="X61" s="7">
        <v>0</v>
      </c>
      <c r="Y61" s="7">
        <v>0</v>
      </c>
    </row>
    <row r="62" spans="1:25" x14ac:dyDescent="0.25">
      <c r="B62" s="7">
        <v>2.7240000000000002</v>
      </c>
      <c r="C62" s="7">
        <v>0</v>
      </c>
      <c r="D62" s="7">
        <v>0</v>
      </c>
      <c r="E62" s="7">
        <v>0</v>
      </c>
      <c r="F62" s="7">
        <v>0</v>
      </c>
      <c r="G62" s="7">
        <v>3.6629999999999998</v>
      </c>
      <c r="H62" s="7">
        <v>0</v>
      </c>
      <c r="I62" s="7">
        <v>0</v>
      </c>
      <c r="J62" s="7">
        <v>3.2970000000000002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13.641999999999999</v>
      </c>
      <c r="S62" s="7">
        <v>0</v>
      </c>
      <c r="T62" s="7">
        <v>24.356000000000002</v>
      </c>
      <c r="U62" s="7">
        <v>5.7249999999999996</v>
      </c>
      <c r="V62" s="7">
        <v>38.908000000000001</v>
      </c>
      <c r="W62" s="7">
        <v>0</v>
      </c>
      <c r="X62" s="7">
        <v>0</v>
      </c>
      <c r="Y62" s="7">
        <v>0</v>
      </c>
    </row>
    <row r="63" spans="1:25" x14ac:dyDescent="0.25">
      <c r="B63" s="7">
        <v>6.593</v>
      </c>
      <c r="C63" s="7">
        <v>0</v>
      </c>
      <c r="D63" s="7">
        <v>0</v>
      </c>
      <c r="E63" s="7">
        <v>0</v>
      </c>
      <c r="F63" s="7">
        <v>0</v>
      </c>
      <c r="G63" s="7">
        <v>5.1280000000000001</v>
      </c>
      <c r="H63" s="7">
        <v>0</v>
      </c>
      <c r="I63" s="7">
        <v>0</v>
      </c>
      <c r="J63" s="7">
        <v>5.4950000000000001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3.6459999999999999</v>
      </c>
      <c r="Q63" s="7">
        <v>0</v>
      </c>
      <c r="R63" s="7">
        <v>16.510999999999999</v>
      </c>
      <c r="S63" s="7">
        <v>0</v>
      </c>
      <c r="T63" s="7">
        <v>26.084</v>
      </c>
      <c r="U63" s="7">
        <v>8.7240000000000002</v>
      </c>
      <c r="V63" s="7">
        <v>40.402000000000001</v>
      </c>
      <c r="W63" s="7">
        <v>1.4650000000000001</v>
      </c>
      <c r="X63" s="7">
        <v>0</v>
      </c>
      <c r="Y63" s="7">
        <v>0</v>
      </c>
    </row>
    <row r="64" spans="1:25" x14ac:dyDescent="0.25">
      <c r="B64" s="7">
        <v>11.02</v>
      </c>
      <c r="C64" s="7">
        <v>0</v>
      </c>
      <c r="D64" s="7">
        <v>0</v>
      </c>
      <c r="E64" s="7">
        <v>0</v>
      </c>
      <c r="F64" s="7">
        <v>0</v>
      </c>
      <c r="G64" s="7">
        <v>6.96</v>
      </c>
      <c r="H64" s="7">
        <v>0</v>
      </c>
      <c r="I64" s="7">
        <v>0</v>
      </c>
      <c r="J64" s="7">
        <v>7.2679999999999998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6.9</v>
      </c>
      <c r="Q64" s="7">
        <v>0</v>
      </c>
      <c r="R64" s="7">
        <v>19.056999999999999</v>
      </c>
      <c r="S64" s="7">
        <v>0</v>
      </c>
      <c r="T64" s="7">
        <v>27.745000000000001</v>
      </c>
      <c r="U64" s="7">
        <v>10.816000000000001</v>
      </c>
      <c r="V64" s="7">
        <v>41.898000000000003</v>
      </c>
      <c r="W64" s="7">
        <v>2.5640000000000001</v>
      </c>
      <c r="X64" s="7">
        <v>7.6929999999999996</v>
      </c>
      <c r="Y64" s="7">
        <v>0</v>
      </c>
    </row>
    <row r="65" spans="1:25" x14ac:dyDescent="0.25">
      <c r="B65" s="7">
        <v>19.395</v>
      </c>
      <c r="C65" s="7">
        <v>0</v>
      </c>
      <c r="D65" s="7">
        <v>0</v>
      </c>
      <c r="E65" s="7">
        <v>0</v>
      </c>
      <c r="F65" s="7">
        <v>0</v>
      </c>
      <c r="G65" s="7">
        <v>8.3160000000000007</v>
      </c>
      <c r="H65" s="7">
        <v>0</v>
      </c>
      <c r="I65" s="7">
        <v>0</v>
      </c>
      <c r="J65" s="7">
        <v>8.2509999999999994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9.8580000000000005</v>
      </c>
      <c r="Q65" s="7">
        <v>0</v>
      </c>
      <c r="R65" s="7">
        <v>23.009</v>
      </c>
      <c r="S65" s="7">
        <v>0</v>
      </c>
      <c r="T65" s="7">
        <v>30.103000000000002</v>
      </c>
      <c r="U65" s="7">
        <v>13.459</v>
      </c>
      <c r="V65" s="7">
        <v>42.353000000000002</v>
      </c>
      <c r="W65" s="7">
        <v>3.6629999999999998</v>
      </c>
      <c r="X65" s="7">
        <v>16.728000000000002</v>
      </c>
      <c r="Y65" s="7">
        <v>0</v>
      </c>
    </row>
    <row r="67" spans="1:25" ht="30" x14ac:dyDescent="0.25">
      <c r="A67" s="5" t="s">
        <v>8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</row>
    <row r="68" spans="1:25" x14ac:dyDescent="0.25"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</row>
    <row r="69" spans="1:25" x14ac:dyDescent="0.25"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</row>
    <row r="70" spans="1:25" x14ac:dyDescent="0.25"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1:25" x14ac:dyDescent="0.25"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</row>
    <row r="72" spans="1:25" x14ac:dyDescent="0.25"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</row>
    <row r="73" spans="1:25" x14ac:dyDescent="0.25"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</row>
    <row r="74" spans="1:25" x14ac:dyDescent="0.25"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</row>
    <row r="76" spans="1:25" ht="45" x14ac:dyDescent="0.25">
      <c r="A76" s="5" t="s">
        <v>11</v>
      </c>
      <c r="B76" s="7">
        <v>81070350</v>
      </c>
      <c r="C76" s="7">
        <v>19355270</v>
      </c>
      <c r="D76" s="7">
        <v>89013160</v>
      </c>
      <c r="E76" s="7">
        <v>179482200</v>
      </c>
      <c r="F76" s="7">
        <v>133770500</v>
      </c>
      <c r="G76" s="7">
        <v>141006500</v>
      </c>
      <c r="H76" s="7">
        <v>40034770</v>
      </c>
      <c r="I76" s="7">
        <v>104808500</v>
      </c>
      <c r="J76" s="7">
        <v>79037200</v>
      </c>
      <c r="K76" s="7">
        <v>92915820</v>
      </c>
      <c r="L76" s="7">
        <v>88755430</v>
      </c>
      <c r="M76" s="7">
        <v>44482120</v>
      </c>
      <c r="N76" s="7">
        <v>45492830</v>
      </c>
      <c r="O76" s="7">
        <v>0</v>
      </c>
      <c r="P76" s="7">
        <v>141035600</v>
      </c>
      <c r="Q76" s="7">
        <v>64478120</v>
      </c>
      <c r="R76" s="7">
        <v>96591860</v>
      </c>
      <c r="S76" s="7">
        <v>58535990</v>
      </c>
      <c r="T76" s="7">
        <v>142832900</v>
      </c>
      <c r="U76" s="7">
        <v>85446420</v>
      </c>
      <c r="V76" s="7">
        <v>82286180</v>
      </c>
      <c r="W76" s="7">
        <v>241141000</v>
      </c>
      <c r="X76" s="7">
        <v>45109790</v>
      </c>
      <c r="Y76" s="7">
        <v>184912400</v>
      </c>
    </row>
    <row r="77" spans="1:25" x14ac:dyDescent="0.25">
      <c r="B77" s="7">
        <v>80414710</v>
      </c>
      <c r="C77" s="7">
        <v>19628700</v>
      </c>
      <c r="D77" s="7">
        <v>87618040</v>
      </c>
      <c r="E77" s="7">
        <v>180118000</v>
      </c>
      <c r="F77" s="7">
        <v>131584000</v>
      </c>
      <c r="G77" s="7">
        <v>140536100</v>
      </c>
      <c r="H77" s="7">
        <v>40316340</v>
      </c>
      <c r="I77" s="7">
        <v>102903200</v>
      </c>
      <c r="J77" s="7">
        <v>78443840</v>
      </c>
      <c r="K77" s="7">
        <v>91378200</v>
      </c>
      <c r="L77" s="7">
        <v>88044540</v>
      </c>
      <c r="M77" s="7">
        <v>45072610</v>
      </c>
      <c r="N77" s="7">
        <v>46986870</v>
      </c>
      <c r="O77" s="7">
        <v>0</v>
      </c>
      <c r="P77" s="7">
        <v>140463600</v>
      </c>
      <c r="Q77" s="7">
        <v>65051390</v>
      </c>
      <c r="R77" s="7">
        <v>95541040</v>
      </c>
      <c r="S77" s="7">
        <v>58631310</v>
      </c>
      <c r="T77" s="7">
        <v>142806600</v>
      </c>
      <c r="U77" s="7">
        <v>82649520</v>
      </c>
      <c r="V77" s="7">
        <v>79379470</v>
      </c>
      <c r="W77" s="7">
        <v>240587200</v>
      </c>
      <c r="X77" s="7">
        <v>45475590</v>
      </c>
      <c r="Y77" s="7">
        <v>185506900</v>
      </c>
    </row>
    <row r="78" spans="1:25" x14ac:dyDescent="0.25">
      <c r="B78" s="7">
        <v>79596760</v>
      </c>
      <c r="C78" s="7">
        <v>19916370</v>
      </c>
      <c r="D78" s="7">
        <v>86247430</v>
      </c>
      <c r="E78" s="7">
        <v>180390300</v>
      </c>
      <c r="F78" s="7">
        <v>129251700</v>
      </c>
      <c r="G78" s="7">
        <v>140020400</v>
      </c>
      <c r="H78" s="7">
        <v>40519880</v>
      </c>
      <c r="I78" s="7">
        <v>100957800</v>
      </c>
      <c r="J78" s="7">
        <v>77816850</v>
      </c>
      <c r="K78" s="7">
        <v>89771430</v>
      </c>
      <c r="L78" s="7">
        <v>87251410</v>
      </c>
      <c r="M78" s="7">
        <v>45572130</v>
      </c>
      <c r="N78" s="7">
        <v>48316200</v>
      </c>
      <c r="O78" s="7">
        <v>11740940</v>
      </c>
      <c r="P78" s="7">
        <v>139733900</v>
      </c>
      <c r="Q78" s="7">
        <v>65182490</v>
      </c>
      <c r="R78" s="7">
        <v>97592190</v>
      </c>
      <c r="S78" s="7">
        <v>58502520</v>
      </c>
      <c r="T78" s="7">
        <v>143456000</v>
      </c>
      <c r="U78" s="7">
        <v>79742770</v>
      </c>
      <c r="V78" s="7">
        <v>76408840</v>
      </c>
      <c r="W78" s="7">
        <v>239923300</v>
      </c>
      <c r="X78" s="7">
        <v>45826210</v>
      </c>
      <c r="Y78" s="7">
        <v>186425300</v>
      </c>
    </row>
    <row r="79" spans="1:25" x14ac:dyDescent="0.25">
      <c r="B79" s="7">
        <v>79956600</v>
      </c>
      <c r="C79" s="7">
        <v>20736090</v>
      </c>
      <c r="D79" s="7">
        <v>82897080</v>
      </c>
      <c r="E79" s="7">
        <v>178343200</v>
      </c>
      <c r="F79" s="7">
        <v>127613900</v>
      </c>
      <c r="G79" s="7">
        <v>135057600</v>
      </c>
      <c r="H79" s="7">
        <v>40561090</v>
      </c>
      <c r="I79" s="7">
        <v>100721500</v>
      </c>
      <c r="J79" s="7">
        <v>75415290</v>
      </c>
      <c r="K79" s="7">
        <v>87804920</v>
      </c>
      <c r="L79" s="7">
        <v>87841310</v>
      </c>
      <c r="M79" s="7">
        <v>45825790</v>
      </c>
      <c r="N79" s="7">
        <v>47353240</v>
      </c>
      <c r="O79" s="7">
        <v>12386550</v>
      </c>
      <c r="P79" s="7">
        <v>136328900</v>
      </c>
      <c r="Q79" s="7">
        <v>63741640</v>
      </c>
      <c r="R79" s="7">
        <v>97794890</v>
      </c>
      <c r="S79" s="7">
        <v>57939200</v>
      </c>
      <c r="T79" s="7">
        <v>139930100</v>
      </c>
      <c r="U79" s="7">
        <v>79917510</v>
      </c>
      <c r="V79" s="7">
        <v>76370710</v>
      </c>
      <c r="W79" s="7">
        <v>234956800</v>
      </c>
      <c r="X79" s="7">
        <v>46558910</v>
      </c>
      <c r="Y79" s="7">
        <v>182724900</v>
      </c>
    </row>
    <row r="80" spans="1:25" x14ac:dyDescent="0.25">
      <c r="B80" s="7">
        <v>81019290</v>
      </c>
      <c r="C80" s="7">
        <v>21445930</v>
      </c>
      <c r="D80" s="7">
        <v>79735340</v>
      </c>
      <c r="E80" s="7">
        <v>176641000</v>
      </c>
      <c r="F80" s="7">
        <v>126104000</v>
      </c>
      <c r="G80" s="7">
        <v>130057100</v>
      </c>
      <c r="H80" s="7">
        <v>40680090</v>
      </c>
      <c r="I80" s="7">
        <v>100433500</v>
      </c>
      <c r="J80" s="7">
        <v>73224930</v>
      </c>
      <c r="K80" s="7">
        <v>85828220</v>
      </c>
      <c r="L80" s="7">
        <v>88504140</v>
      </c>
      <c r="M80" s="7">
        <v>45952630</v>
      </c>
      <c r="N80" s="7">
        <v>46340110</v>
      </c>
      <c r="O80" s="7">
        <v>12959820</v>
      </c>
      <c r="P80" s="7">
        <v>133130500</v>
      </c>
      <c r="Q80" s="7">
        <v>62418170</v>
      </c>
      <c r="R80" s="7">
        <v>97946140</v>
      </c>
      <c r="S80" s="7">
        <v>57256330</v>
      </c>
      <c r="T80" s="7">
        <v>136522900</v>
      </c>
      <c r="U80" s="7">
        <v>79674730</v>
      </c>
      <c r="V80" s="7">
        <v>76113960</v>
      </c>
      <c r="W80" s="7">
        <v>229869600</v>
      </c>
      <c r="X80" s="7">
        <v>47074170</v>
      </c>
      <c r="Y80" s="7">
        <v>178871200</v>
      </c>
    </row>
    <row r="81" spans="1:25" x14ac:dyDescent="0.25">
      <c r="B81" s="7">
        <v>82816460</v>
      </c>
      <c r="C81" s="7">
        <v>22002670</v>
      </c>
      <c r="D81" s="7">
        <v>76769030</v>
      </c>
      <c r="E81" s="7">
        <v>175045600</v>
      </c>
      <c r="F81" s="7">
        <v>124675200</v>
      </c>
      <c r="G81" s="7">
        <v>124996400</v>
      </c>
      <c r="H81" s="7">
        <v>40699670</v>
      </c>
      <c r="I81" s="7">
        <v>100275500</v>
      </c>
      <c r="J81" s="7">
        <v>71239920</v>
      </c>
      <c r="K81" s="7">
        <v>84127050</v>
      </c>
      <c r="L81" s="7">
        <v>89337370</v>
      </c>
      <c r="M81" s="7">
        <v>46210440</v>
      </c>
      <c r="N81" s="7">
        <v>44979250</v>
      </c>
      <c r="O81" s="7">
        <v>13318290</v>
      </c>
      <c r="P81" s="7">
        <v>132084500</v>
      </c>
      <c r="Q81" s="7">
        <v>61326380</v>
      </c>
      <c r="R81" s="7">
        <v>98236880</v>
      </c>
      <c r="S81" s="7">
        <v>56782790</v>
      </c>
      <c r="T81" s="7">
        <v>133074400</v>
      </c>
      <c r="U81" s="7">
        <v>79512130</v>
      </c>
      <c r="V81" s="7">
        <v>76019130</v>
      </c>
      <c r="W81" s="7">
        <v>224985400</v>
      </c>
      <c r="X81" s="7">
        <v>47778830</v>
      </c>
      <c r="Y81" s="7">
        <v>175108700</v>
      </c>
    </row>
    <row r="82" spans="1:25" x14ac:dyDescent="0.25">
      <c r="B82" s="7">
        <v>84582690</v>
      </c>
      <c r="C82" s="7">
        <v>22626110</v>
      </c>
      <c r="D82" s="7">
        <v>73932680</v>
      </c>
      <c r="E82" s="7">
        <v>173440300</v>
      </c>
      <c r="F82" s="7">
        <v>123330300</v>
      </c>
      <c r="G82" s="7">
        <v>119999100</v>
      </c>
      <c r="H82" s="7">
        <v>40785870</v>
      </c>
      <c r="I82" s="7">
        <v>100144800</v>
      </c>
      <c r="J82" s="7">
        <v>69322100</v>
      </c>
      <c r="K82" s="7">
        <v>82514620</v>
      </c>
      <c r="L82" s="7">
        <v>90731550</v>
      </c>
      <c r="M82" s="7">
        <v>46438280</v>
      </c>
      <c r="N82" s="7">
        <v>43904470</v>
      </c>
      <c r="O82" s="7">
        <v>13773080</v>
      </c>
      <c r="P82" s="7">
        <v>131077700</v>
      </c>
      <c r="Q82" s="7">
        <v>60251330</v>
      </c>
      <c r="R82" s="7">
        <v>98700540</v>
      </c>
      <c r="S82" s="7">
        <v>56216610</v>
      </c>
      <c r="T82" s="7">
        <v>129588100</v>
      </c>
      <c r="U82" s="7">
        <v>79440390</v>
      </c>
      <c r="V82" s="7">
        <v>75811230</v>
      </c>
      <c r="W82" s="7">
        <v>219837500</v>
      </c>
      <c r="X82" s="7">
        <v>51884560</v>
      </c>
      <c r="Y82" s="7">
        <v>171351500</v>
      </c>
    </row>
    <row r="83" spans="1:25" x14ac:dyDescent="0.25">
      <c r="B83" s="7">
        <v>88109280</v>
      </c>
      <c r="C83" s="7">
        <v>23184330</v>
      </c>
      <c r="D83" s="7">
        <v>71294960</v>
      </c>
      <c r="E83" s="7">
        <v>171991600</v>
      </c>
      <c r="F83" s="7">
        <v>122077400</v>
      </c>
      <c r="G83" s="7">
        <v>115169500</v>
      </c>
      <c r="H83" s="7">
        <v>40947060</v>
      </c>
      <c r="I83" s="7">
        <v>100086500</v>
      </c>
      <c r="J83" s="7">
        <v>67484270</v>
      </c>
      <c r="K83" s="7">
        <v>81002600</v>
      </c>
      <c r="L83" s="7">
        <v>92170700</v>
      </c>
      <c r="M83" s="7">
        <v>46842940</v>
      </c>
      <c r="N83" s="7">
        <v>42782460</v>
      </c>
      <c r="O83" s="7">
        <v>14287970</v>
      </c>
      <c r="P83" s="7">
        <v>129590900</v>
      </c>
      <c r="Q83" s="7">
        <v>59344440</v>
      </c>
      <c r="R83" s="7">
        <v>99271190</v>
      </c>
      <c r="S83" s="7">
        <v>55655200</v>
      </c>
      <c r="T83" s="7">
        <v>126630900</v>
      </c>
      <c r="U83" s="7">
        <v>79361560</v>
      </c>
      <c r="V83" s="7">
        <v>75654170</v>
      </c>
      <c r="W83" s="7">
        <v>214589100</v>
      </c>
      <c r="X83" s="7">
        <v>56881490</v>
      </c>
      <c r="Y83" s="7">
        <v>167426700</v>
      </c>
    </row>
    <row r="85" spans="1:25" ht="45" x14ac:dyDescent="0.25">
      <c r="A85" s="6" t="s">
        <v>46</v>
      </c>
      <c r="B85" s="7">
        <v>16001370</v>
      </c>
      <c r="C85" s="7">
        <v>108062400</v>
      </c>
      <c r="D85" s="7">
        <v>0</v>
      </c>
      <c r="E85" s="7">
        <v>0</v>
      </c>
      <c r="F85" s="7">
        <v>0</v>
      </c>
      <c r="G85" s="7">
        <v>0</v>
      </c>
      <c r="H85" s="7">
        <v>133189800</v>
      </c>
      <c r="I85" s="7">
        <v>0</v>
      </c>
      <c r="J85" s="7">
        <v>0</v>
      </c>
      <c r="K85" s="7">
        <v>0</v>
      </c>
      <c r="L85" s="7">
        <v>0</v>
      </c>
      <c r="M85" s="7">
        <v>139750400</v>
      </c>
      <c r="N85" s="7">
        <v>51042140</v>
      </c>
      <c r="O85" s="7">
        <v>0</v>
      </c>
      <c r="P85" s="7">
        <v>0</v>
      </c>
      <c r="Q85" s="7">
        <v>0</v>
      </c>
      <c r="R85" s="7">
        <v>0</v>
      </c>
      <c r="S85" s="7">
        <v>23421510</v>
      </c>
      <c r="T85" s="7">
        <v>2.430897E-8</v>
      </c>
      <c r="U85" s="7">
        <v>0</v>
      </c>
      <c r="V85" s="7">
        <v>1.0550140000000001E-9</v>
      </c>
      <c r="W85" s="7">
        <v>0</v>
      </c>
      <c r="X85" s="7">
        <v>139538100</v>
      </c>
      <c r="Y85" s="7">
        <v>0</v>
      </c>
    </row>
    <row r="86" spans="1:25" x14ac:dyDescent="0.25">
      <c r="B86" s="7">
        <v>19829780</v>
      </c>
      <c r="C86" s="7">
        <v>110990000</v>
      </c>
      <c r="D86" s="7">
        <v>0</v>
      </c>
      <c r="E86" s="7">
        <v>0</v>
      </c>
      <c r="F86" s="7">
        <v>0</v>
      </c>
      <c r="G86" s="7">
        <v>0</v>
      </c>
      <c r="H86" s="7">
        <v>135817500</v>
      </c>
      <c r="I86" s="7">
        <v>0</v>
      </c>
      <c r="J86" s="7">
        <v>0</v>
      </c>
      <c r="K86" s="7">
        <v>0</v>
      </c>
      <c r="L86" s="7">
        <v>0</v>
      </c>
      <c r="M86" s="7">
        <v>142129600</v>
      </c>
      <c r="N86" s="7">
        <v>59699600</v>
      </c>
      <c r="O86" s="7">
        <v>0</v>
      </c>
      <c r="P86" s="7">
        <v>0</v>
      </c>
      <c r="Q86" s="7">
        <v>0</v>
      </c>
      <c r="R86" s="7">
        <v>0</v>
      </c>
      <c r="S86" s="7">
        <v>33478100</v>
      </c>
      <c r="T86" s="7">
        <v>8.8330129999999996E-9</v>
      </c>
      <c r="U86" s="7">
        <v>0</v>
      </c>
      <c r="V86" s="7">
        <v>0</v>
      </c>
      <c r="W86" s="7">
        <v>0</v>
      </c>
      <c r="X86" s="7">
        <v>141825800</v>
      </c>
      <c r="Y86" s="7">
        <v>0</v>
      </c>
    </row>
    <row r="87" spans="1:25" x14ac:dyDescent="0.25">
      <c r="B87" s="7">
        <v>22655080</v>
      </c>
      <c r="C87" s="7">
        <v>114185300</v>
      </c>
      <c r="D87" s="7">
        <v>0</v>
      </c>
      <c r="E87" s="7">
        <v>0</v>
      </c>
      <c r="F87" s="7">
        <v>0</v>
      </c>
      <c r="G87" s="7">
        <v>0</v>
      </c>
      <c r="H87" s="7">
        <v>138337100</v>
      </c>
      <c r="I87" s="7">
        <v>0</v>
      </c>
      <c r="J87" s="7">
        <v>0</v>
      </c>
      <c r="K87" s="7">
        <v>0</v>
      </c>
      <c r="L87" s="7">
        <v>0</v>
      </c>
      <c r="M87" s="7">
        <v>144269700</v>
      </c>
      <c r="N87" s="7">
        <v>65796700</v>
      </c>
      <c r="O87" s="7">
        <v>89584510</v>
      </c>
      <c r="P87" s="7">
        <v>0</v>
      </c>
      <c r="Q87" s="7">
        <v>0</v>
      </c>
      <c r="R87" s="7">
        <v>4.4514309999999997E-8</v>
      </c>
      <c r="S87" s="7">
        <v>40897800</v>
      </c>
      <c r="T87" s="7">
        <v>3.5819539999999998E-8</v>
      </c>
      <c r="U87" s="7">
        <v>0</v>
      </c>
      <c r="V87" s="7">
        <v>-5.0480599999999999E-8</v>
      </c>
      <c r="W87" s="7">
        <v>0</v>
      </c>
      <c r="X87" s="7">
        <v>144117000</v>
      </c>
      <c r="Y87" s="7">
        <v>0</v>
      </c>
    </row>
    <row r="88" spans="1:25" x14ac:dyDescent="0.25">
      <c r="B88" s="7">
        <v>26529830</v>
      </c>
      <c r="C88" s="7">
        <v>118137400</v>
      </c>
      <c r="D88" s="7">
        <v>0</v>
      </c>
      <c r="E88" s="7">
        <v>0</v>
      </c>
      <c r="F88" s="7">
        <v>0</v>
      </c>
      <c r="G88" s="7">
        <v>3.459718E-8</v>
      </c>
      <c r="H88" s="7">
        <v>140769400</v>
      </c>
      <c r="I88" s="7">
        <v>0</v>
      </c>
      <c r="J88" s="7">
        <v>4.2986360000000001E-8</v>
      </c>
      <c r="K88" s="7">
        <v>0</v>
      </c>
      <c r="L88" s="7">
        <v>0</v>
      </c>
      <c r="M88" s="7">
        <v>146988800</v>
      </c>
      <c r="N88" s="7">
        <v>78506870</v>
      </c>
      <c r="O88" s="7">
        <v>95343560</v>
      </c>
      <c r="P88" s="7">
        <v>0</v>
      </c>
      <c r="Q88" s="7">
        <v>0</v>
      </c>
      <c r="R88" s="7">
        <v>0</v>
      </c>
      <c r="S88" s="7">
        <v>48826570</v>
      </c>
      <c r="T88" s="7">
        <v>0</v>
      </c>
      <c r="U88" s="7">
        <v>6.9296220000000005E-8</v>
      </c>
      <c r="V88" s="7">
        <v>0</v>
      </c>
      <c r="W88" s="7">
        <v>0</v>
      </c>
      <c r="X88" s="7">
        <v>146763100</v>
      </c>
      <c r="Y88" s="7">
        <v>0</v>
      </c>
    </row>
    <row r="89" spans="1:25" x14ac:dyDescent="0.25">
      <c r="B89" s="7">
        <v>31946700</v>
      </c>
      <c r="C89" s="7">
        <v>121424200</v>
      </c>
      <c r="D89" s="7">
        <v>0</v>
      </c>
      <c r="E89" s="7">
        <v>0</v>
      </c>
      <c r="F89" s="7">
        <v>0</v>
      </c>
      <c r="G89" s="7">
        <v>1.1790690000000001E-7</v>
      </c>
      <c r="H89" s="7">
        <v>143341100</v>
      </c>
      <c r="I89" s="7">
        <v>0</v>
      </c>
      <c r="J89" s="7">
        <v>3.1592209999999997E-8</v>
      </c>
      <c r="K89" s="7">
        <v>0</v>
      </c>
      <c r="L89" s="7">
        <v>0</v>
      </c>
      <c r="M89" s="7">
        <v>149207400</v>
      </c>
      <c r="N89" s="7">
        <v>88822470</v>
      </c>
      <c r="O89" s="7">
        <v>100495000</v>
      </c>
      <c r="P89" s="7">
        <v>0</v>
      </c>
      <c r="Q89" s="7">
        <v>0</v>
      </c>
      <c r="R89" s="7">
        <v>0</v>
      </c>
      <c r="S89" s="7">
        <v>57166180</v>
      </c>
      <c r="T89" s="7">
        <v>3.7944119999999997E-8</v>
      </c>
      <c r="U89" s="7">
        <v>-2.22572E-8</v>
      </c>
      <c r="V89" s="7">
        <v>0</v>
      </c>
      <c r="W89" s="7">
        <v>0</v>
      </c>
      <c r="X89" s="7">
        <v>148655000</v>
      </c>
      <c r="Y89" s="7">
        <v>0</v>
      </c>
    </row>
    <row r="90" spans="1:25" x14ac:dyDescent="0.25">
      <c r="B90" s="7">
        <v>41014920</v>
      </c>
      <c r="C90" s="7">
        <v>123815800</v>
      </c>
      <c r="D90" s="7">
        <v>0</v>
      </c>
      <c r="E90" s="7">
        <v>0</v>
      </c>
      <c r="F90" s="7">
        <v>0</v>
      </c>
      <c r="G90" s="7">
        <v>1.72673E-7</v>
      </c>
      <c r="H90" s="7">
        <v>145487300</v>
      </c>
      <c r="I90" s="7">
        <v>0</v>
      </c>
      <c r="J90" s="7">
        <v>1.2419330000000001E-7</v>
      </c>
      <c r="K90" s="7">
        <v>0</v>
      </c>
      <c r="L90" s="7">
        <v>1565832.683</v>
      </c>
      <c r="M90" s="7">
        <v>151758500</v>
      </c>
      <c r="N90" s="7">
        <v>99282220</v>
      </c>
      <c r="O90" s="7">
        <v>103922800</v>
      </c>
      <c r="P90" s="7">
        <v>0</v>
      </c>
      <c r="Q90" s="7">
        <v>0</v>
      </c>
      <c r="R90" s="7">
        <v>-4.28918E-8</v>
      </c>
      <c r="S90" s="7">
        <v>67253450</v>
      </c>
      <c r="T90" s="7">
        <v>-2.3676E-8</v>
      </c>
      <c r="U90" s="7">
        <v>2.1341840000000001E-7</v>
      </c>
      <c r="V90" s="7">
        <v>0</v>
      </c>
      <c r="W90" s="7">
        <v>6.7288060000000006E-8</v>
      </c>
      <c r="X90" s="7">
        <v>151084000</v>
      </c>
      <c r="Y90" s="7">
        <v>0</v>
      </c>
    </row>
    <row r="91" spans="1:25" x14ac:dyDescent="0.25">
      <c r="B91" s="7">
        <v>52405670</v>
      </c>
      <c r="C91" s="7">
        <v>126558300</v>
      </c>
      <c r="D91" s="7">
        <v>0</v>
      </c>
      <c r="E91" s="7">
        <v>0</v>
      </c>
      <c r="F91" s="7">
        <v>0</v>
      </c>
      <c r="G91" s="7">
        <v>2.278102E-8</v>
      </c>
      <c r="H91" s="7">
        <v>147791900</v>
      </c>
      <c r="I91" s="7">
        <v>0</v>
      </c>
      <c r="J91" s="7">
        <v>0</v>
      </c>
      <c r="K91" s="7">
        <v>0</v>
      </c>
      <c r="L91" s="7">
        <v>7053938.5360000003</v>
      </c>
      <c r="M91" s="7">
        <v>154118200</v>
      </c>
      <c r="N91" s="7">
        <v>106596600</v>
      </c>
      <c r="O91" s="7">
        <v>108030000</v>
      </c>
      <c r="P91" s="7">
        <v>0</v>
      </c>
      <c r="Q91" s="7">
        <v>0</v>
      </c>
      <c r="R91" s="7">
        <v>0</v>
      </c>
      <c r="S91" s="7">
        <v>76036360</v>
      </c>
      <c r="T91" s="7">
        <v>0</v>
      </c>
      <c r="U91" s="7">
        <v>-4.2571599999999997E-8</v>
      </c>
      <c r="V91" s="7">
        <v>4.8385119999999998E-8</v>
      </c>
      <c r="W91" s="7">
        <v>3.0412780000000002E-7</v>
      </c>
      <c r="X91" s="7">
        <v>164212000</v>
      </c>
      <c r="Y91" s="7">
        <v>0</v>
      </c>
    </row>
    <row r="92" spans="1:25" x14ac:dyDescent="0.25">
      <c r="B92" s="7">
        <v>75192850</v>
      </c>
      <c r="C92" s="7">
        <v>128912800</v>
      </c>
      <c r="D92" s="7">
        <v>0</v>
      </c>
      <c r="E92" s="7">
        <v>0</v>
      </c>
      <c r="F92" s="7">
        <v>0</v>
      </c>
      <c r="G92" s="7">
        <v>-2.9943500000000001E-7</v>
      </c>
      <c r="H92" s="7">
        <v>150293200</v>
      </c>
      <c r="I92" s="7">
        <v>0</v>
      </c>
      <c r="J92" s="7">
        <v>1.9591240000000001E-7</v>
      </c>
      <c r="K92" s="7">
        <v>0</v>
      </c>
      <c r="L92" s="7">
        <v>12823440</v>
      </c>
      <c r="M92" s="7">
        <v>156973400</v>
      </c>
      <c r="N92" s="7">
        <v>111761700</v>
      </c>
      <c r="O92" s="7">
        <v>112535600</v>
      </c>
      <c r="P92" s="7">
        <v>0</v>
      </c>
      <c r="Q92" s="7">
        <v>4725092.26</v>
      </c>
      <c r="R92" s="7">
        <v>-1.5170400000000001E-8</v>
      </c>
      <c r="S92" s="7">
        <v>78417450</v>
      </c>
      <c r="T92" s="7">
        <v>3.2094250000000003E-8</v>
      </c>
      <c r="U92" s="7">
        <v>0</v>
      </c>
      <c r="V92" s="7">
        <v>-3.3905999999999999E-9</v>
      </c>
      <c r="W92" s="7">
        <v>-2.2430299999999999E-7</v>
      </c>
      <c r="X92" s="7">
        <v>180115500</v>
      </c>
      <c r="Y92" s="7">
        <v>0</v>
      </c>
    </row>
    <row r="94" spans="1:25" ht="45" x14ac:dyDescent="0.25">
      <c r="A94" s="6" t="s">
        <v>47</v>
      </c>
      <c r="B94" s="7">
        <v>302198100</v>
      </c>
      <c r="C94" s="7">
        <v>0</v>
      </c>
      <c r="D94" s="7">
        <v>400153200</v>
      </c>
      <c r="E94" s="7">
        <v>382568200</v>
      </c>
      <c r="F94" s="7">
        <v>427181500</v>
      </c>
      <c r="G94" s="7">
        <v>406794000</v>
      </c>
      <c r="H94" s="7">
        <v>0</v>
      </c>
      <c r="I94" s="7">
        <v>396879000</v>
      </c>
      <c r="J94" s="7">
        <v>429286500</v>
      </c>
      <c r="K94" s="7">
        <v>341983700</v>
      </c>
      <c r="L94" s="7">
        <v>392594800</v>
      </c>
      <c r="M94" s="7">
        <v>0</v>
      </c>
      <c r="N94" s="7">
        <v>134732000</v>
      </c>
      <c r="O94" s="7">
        <v>0</v>
      </c>
      <c r="P94" s="7">
        <v>302597400</v>
      </c>
      <c r="Q94" s="7">
        <v>296462000</v>
      </c>
      <c r="R94" s="7">
        <v>341460400</v>
      </c>
      <c r="S94" s="7">
        <v>210032500</v>
      </c>
      <c r="T94" s="7">
        <v>409697300</v>
      </c>
      <c r="U94" s="7">
        <v>329279600</v>
      </c>
      <c r="V94" s="7">
        <v>476373400</v>
      </c>
      <c r="W94" s="7">
        <v>431483800</v>
      </c>
      <c r="X94" s="7">
        <v>0</v>
      </c>
      <c r="Y94" s="7">
        <v>353151400</v>
      </c>
    </row>
    <row r="95" spans="1:25" x14ac:dyDescent="0.25">
      <c r="B95" s="7">
        <v>302003000</v>
      </c>
      <c r="C95" s="7">
        <v>0</v>
      </c>
      <c r="D95" s="7">
        <v>401327400</v>
      </c>
      <c r="E95" s="7">
        <v>384864000</v>
      </c>
      <c r="F95" s="7">
        <v>428671300</v>
      </c>
      <c r="G95" s="7">
        <v>407929600</v>
      </c>
      <c r="H95" s="7">
        <v>0</v>
      </c>
      <c r="I95" s="7">
        <v>398481000</v>
      </c>
      <c r="J95" s="7">
        <v>430374100</v>
      </c>
      <c r="K95" s="7">
        <v>344623500</v>
      </c>
      <c r="L95" s="7">
        <v>394143000</v>
      </c>
      <c r="M95" s="7">
        <v>0</v>
      </c>
      <c r="N95" s="7">
        <v>132532000</v>
      </c>
      <c r="O95" s="7">
        <v>0</v>
      </c>
      <c r="P95" s="7">
        <v>305898700</v>
      </c>
      <c r="Q95" s="7">
        <v>301709200</v>
      </c>
      <c r="R95" s="7">
        <v>343362300</v>
      </c>
      <c r="S95" s="7">
        <v>205043600</v>
      </c>
      <c r="T95" s="7">
        <v>416509300</v>
      </c>
      <c r="U95" s="7">
        <v>331677400</v>
      </c>
      <c r="V95" s="7">
        <v>478392000</v>
      </c>
      <c r="W95" s="7">
        <v>432462700</v>
      </c>
      <c r="X95" s="7">
        <v>0</v>
      </c>
      <c r="Y95" s="7">
        <v>354855200</v>
      </c>
    </row>
    <row r="96" spans="1:25" x14ac:dyDescent="0.25">
      <c r="B96" s="7">
        <v>302504700</v>
      </c>
      <c r="C96" s="7">
        <v>0</v>
      </c>
      <c r="D96" s="7">
        <v>402572000</v>
      </c>
      <c r="E96" s="7">
        <v>386429200</v>
      </c>
      <c r="F96" s="7">
        <v>429884600</v>
      </c>
      <c r="G96" s="7">
        <v>408998600</v>
      </c>
      <c r="H96" s="7">
        <v>0</v>
      </c>
      <c r="I96" s="7">
        <v>400015400</v>
      </c>
      <c r="J96" s="7">
        <v>431273000</v>
      </c>
      <c r="K96" s="7">
        <v>347141900</v>
      </c>
      <c r="L96" s="7">
        <v>395492700</v>
      </c>
      <c r="M96" s="7">
        <v>0</v>
      </c>
      <c r="N96" s="7">
        <v>132255900</v>
      </c>
      <c r="O96" s="7">
        <v>0</v>
      </c>
      <c r="P96" s="7">
        <v>309182400</v>
      </c>
      <c r="Q96" s="7">
        <v>305025200</v>
      </c>
      <c r="R96" s="7">
        <v>356840700</v>
      </c>
      <c r="S96" s="7">
        <v>202096200</v>
      </c>
      <c r="T96" s="7">
        <v>425701000</v>
      </c>
      <c r="U96" s="7">
        <v>333872600</v>
      </c>
      <c r="V96" s="7">
        <v>480182100</v>
      </c>
      <c r="W96" s="7">
        <v>433311900</v>
      </c>
      <c r="X96" s="7">
        <v>0</v>
      </c>
      <c r="Y96" s="7">
        <v>357224000</v>
      </c>
    </row>
    <row r="97" spans="1:25" x14ac:dyDescent="0.25">
      <c r="B97" s="7">
        <v>300487800</v>
      </c>
      <c r="C97" s="7">
        <v>0</v>
      </c>
      <c r="D97" s="7">
        <v>403214600</v>
      </c>
      <c r="E97" s="7">
        <v>387109600</v>
      </c>
      <c r="F97" s="7">
        <v>430822200</v>
      </c>
      <c r="G97" s="7">
        <v>411292500</v>
      </c>
      <c r="H97" s="7">
        <v>0</v>
      </c>
      <c r="I97" s="7">
        <v>401166200</v>
      </c>
      <c r="J97" s="7">
        <v>432343100</v>
      </c>
      <c r="K97" s="7">
        <v>348463300</v>
      </c>
      <c r="L97" s="7">
        <v>396340600</v>
      </c>
      <c r="M97" s="7">
        <v>0</v>
      </c>
      <c r="N97" s="7">
        <v>121845100</v>
      </c>
      <c r="O97" s="7">
        <v>0</v>
      </c>
      <c r="P97" s="7">
        <v>310540800</v>
      </c>
      <c r="Q97" s="7">
        <v>306515100</v>
      </c>
      <c r="R97" s="7">
        <v>362615500</v>
      </c>
      <c r="S97" s="7">
        <v>196235400</v>
      </c>
      <c r="T97" s="7">
        <v>428551200</v>
      </c>
      <c r="U97" s="7">
        <v>339371600</v>
      </c>
      <c r="V97" s="7">
        <v>481303200</v>
      </c>
      <c r="W97" s="7">
        <v>433851300</v>
      </c>
      <c r="X97" s="7">
        <v>0</v>
      </c>
      <c r="Y97" s="7">
        <v>358149300</v>
      </c>
    </row>
    <row r="98" spans="1:25" x14ac:dyDescent="0.25">
      <c r="B98" s="7">
        <v>299600700</v>
      </c>
      <c r="C98" s="7">
        <v>0</v>
      </c>
      <c r="D98" s="7">
        <v>403818300</v>
      </c>
      <c r="E98" s="7">
        <v>388096500</v>
      </c>
      <c r="F98" s="7">
        <v>431747400</v>
      </c>
      <c r="G98" s="7">
        <v>413325500</v>
      </c>
      <c r="H98" s="7">
        <v>0</v>
      </c>
      <c r="I98" s="7">
        <v>401816700</v>
      </c>
      <c r="J98" s="7">
        <v>433741800</v>
      </c>
      <c r="K98" s="7">
        <v>349255900</v>
      </c>
      <c r="L98" s="7">
        <v>396948700</v>
      </c>
      <c r="M98" s="7">
        <v>0</v>
      </c>
      <c r="N98" s="7">
        <v>113305500</v>
      </c>
      <c r="O98" s="7">
        <v>0</v>
      </c>
      <c r="P98" s="7">
        <v>312315700</v>
      </c>
      <c r="Q98" s="7">
        <v>307982500</v>
      </c>
      <c r="R98" s="7">
        <v>367967300</v>
      </c>
      <c r="S98" s="7">
        <v>189170200</v>
      </c>
      <c r="T98" s="7">
        <v>431364500</v>
      </c>
      <c r="U98" s="7">
        <v>342991500</v>
      </c>
      <c r="V98" s="7">
        <v>481394000</v>
      </c>
      <c r="W98" s="7">
        <v>434448300</v>
      </c>
      <c r="X98" s="7">
        <v>0</v>
      </c>
      <c r="Y98" s="7">
        <v>358868800</v>
      </c>
    </row>
    <row r="99" spans="1:25" x14ac:dyDescent="0.25">
      <c r="B99" s="7">
        <v>298033300</v>
      </c>
      <c r="C99" s="7">
        <v>0</v>
      </c>
      <c r="D99" s="7">
        <v>404574100</v>
      </c>
      <c r="E99" s="7">
        <v>389091100</v>
      </c>
      <c r="F99" s="7">
        <v>432557200</v>
      </c>
      <c r="G99" s="7">
        <v>415000800</v>
      </c>
      <c r="H99" s="7">
        <v>0</v>
      </c>
      <c r="I99" s="7">
        <v>402735400</v>
      </c>
      <c r="J99" s="7">
        <v>435526000</v>
      </c>
      <c r="K99" s="7">
        <v>350687000</v>
      </c>
      <c r="L99" s="7">
        <v>396758600</v>
      </c>
      <c r="M99" s="7">
        <v>0</v>
      </c>
      <c r="N99" s="7">
        <v>102805300</v>
      </c>
      <c r="O99" s="7">
        <v>0</v>
      </c>
      <c r="P99" s="7">
        <v>319228400</v>
      </c>
      <c r="Q99" s="7">
        <v>310145800</v>
      </c>
      <c r="R99" s="7">
        <v>373636600</v>
      </c>
      <c r="S99" s="7">
        <v>181026400</v>
      </c>
      <c r="T99" s="7">
        <v>433649800</v>
      </c>
      <c r="U99" s="7">
        <v>346854700</v>
      </c>
      <c r="V99" s="7">
        <v>482355300</v>
      </c>
      <c r="W99" s="7">
        <v>435718600</v>
      </c>
      <c r="X99" s="7">
        <v>0</v>
      </c>
      <c r="Y99" s="7">
        <v>359868300</v>
      </c>
    </row>
    <row r="100" spans="1:25" x14ac:dyDescent="0.25">
      <c r="B100" s="7">
        <v>293987100</v>
      </c>
      <c r="C100" s="7">
        <v>0</v>
      </c>
      <c r="D100" s="7">
        <v>405153500</v>
      </c>
      <c r="E100" s="7">
        <v>389830200</v>
      </c>
      <c r="F100" s="7">
        <v>433276400</v>
      </c>
      <c r="G100" s="7">
        <v>416644800</v>
      </c>
      <c r="H100" s="7">
        <v>0</v>
      </c>
      <c r="I100" s="7">
        <v>403526200</v>
      </c>
      <c r="J100" s="7">
        <v>436887300</v>
      </c>
      <c r="K100" s="7">
        <v>352020900</v>
      </c>
      <c r="L100" s="7">
        <v>395132400</v>
      </c>
      <c r="M100" s="7">
        <v>0</v>
      </c>
      <c r="N100" s="7">
        <v>96402500</v>
      </c>
      <c r="O100" s="7">
        <v>0</v>
      </c>
      <c r="P100" s="7">
        <v>326455600</v>
      </c>
      <c r="Q100" s="7">
        <v>311954800</v>
      </c>
      <c r="R100" s="7">
        <v>379769600</v>
      </c>
      <c r="S100" s="7">
        <v>173558400</v>
      </c>
      <c r="T100" s="7">
        <v>435345700</v>
      </c>
      <c r="U100" s="7">
        <v>351056900</v>
      </c>
      <c r="V100" s="7">
        <v>482423600</v>
      </c>
      <c r="W100" s="7">
        <v>436762900</v>
      </c>
      <c r="X100" s="7">
        <v>0</v>
      </c>
      <c r="Y100" s="7">
        <v>360958900</v>
      </c>
    </row>
    <row r="101" spans="1:25" x14ac:dyDescent="0.25">
      <c r="B101" s="7">
        <v>285725900</v>
      </c>
      <c r="C101" s="7">
        <v>0</v>
      </c>
      <c r="D101" s="7">
        <v>405942900</v>
      </c>
      <c r="E101" s="7">
        <v>390684600</v>
      </c>
      <c r="F101" s="7">
        <v>433950200</v>
      </c>
      <c r="G101" s="7">
        <v>418580900</v>
      </c>
      <c r="H101" s="7">
        <v>0</v>
      </c>
      <c r="I101" s="7">
        <v>404385700</v>
      </c>
      <c r="J101" s="7">
        <v>437897800</v>
      </c>
      <c r="K101" s="7">
        <v>353317000</v>
      </c>
      <c r="L101" s="7">
        <v>393394600</v>
      </c>
      <c r="M101" s="7">
        <v>0</v>
      </c>
      <c r="N101" s="7">
        <v>91604980</v>
      </c>
      <c r="O101" s="7">
        <v>0</v>
      </c>
      <c r="P101" s="7">
        <v>332648500</v>
      </c>
      <c r="Q101" s="7">
        <v>309473500</v>
      </c>
      <c r="R101" s="7">
        <v>386129200</v>
      </c>
      <c r="S101" s="7">
        <v>172285500</v>
      </c>
      <c r="T101" s="7">
        <v>438343200</v>
      </c>
      <c r="U101" s="7">
        <v>355080100</v>
      </c>
      <c r="V101" s="7">
        <v>483072900</v>
      </c>
      <c r="W101" s="7">
        <v>437867300</v>
      </c>
      <c r="X101" s="7">
        <v>0</v>
      </c>
      <c r="Y101" s="7">
        <v>361743400</v>
      </c>
    </row>
    <row r="103" spans="1:25" ht="45" x14ac:dyDescent="0.25">
      <c r="A103" s="6" t="s">
        <v>49</v>
      </c>
      <c r="B103" s="7">
        <v>194020800</v>
      </c>
      <c r="C103" s="7">
        <v>400518800</v>
      </c>
      <c r="D103" s="7">
        <v>111550600</v>
      </c>
      <c r="E103" s="7">
        <v>128276200</v>
      </c>
      <c r="F103" s="7">
        <v>95687720</v>
      </c>
      <c r="G103" s="7">
        <v>105106500</v>
      </c>
      <c r="H103" s="7">
        <v>382266200</v>
      </c>
      <c r="I103" s="7">
        <v>121645200</v>
      </c>
      <c r="J103" s="7">
        <v>80676240</v>
      </c>
      <c r="K103" s="7">
        <v>166599600</v>
      </c>
      <c r="L103" s="7">
        <v>120504700</v>
      </c>
      <c r="M103" s="7">
        <v>377065200</v>
      </c>
      <c r="N103" s="7">
        <v>330335600</v>
      </c>
      <c r="O103" s="7">
        <v>508653900</v>
      </c>
      <c r="P103" s="7">
        <v>205984800</v>
      </c>
      <c r="Q103" s="7">
        <v>231124300</v>
      </c>
      <c r="R103" s="7">
        <v>170356900</v>
      </c>
      <c r="S103" s="7">
        <v>282167100</v>
      </c>
      <c r="T103" s="7">
        <v>98829780</v>
      </c>
      <c r="U103" s="7">
        <v>180030100</v>
      </c>
      <c r="V103" s="7">
        <v>32229100</v>
      </c>
      <c r="W103" s="7">
        <v>77032660</v>
      </c>
      <c r="X103" s="7">
        <v>370685700</v>
      </c>
      <c r="Y103" s="7">
        <v>161022700</v>
      </c>
    </row>
    <row r="104" spans="1:25" x14ac:dyDescent="0.25">
      <c r="B104" s="7">
        <v>190387500</v>
      </c>
      <c r="C104" s="7">
        <v>397591200</v>
      </c>
      <c r="D104" s="7">
        <v>110376400</v>
      </c>
      <c r="E104" s="7">
        <v>125980400</v>
      </c>
      <c r="F104" s="7">
        <v>94197880</v>
      </c>
      <c r="G104" s="7">
        <v>103970900</v>
      </c>
      <c r="H104" s="7">
        <v>379638500</v>
      </c>
      <c r="I104" s="7">
        <v>120043200</v>
      </c>
      <c r="J104" s="7">
        <v>79588590</v>
      </c>
      <c r="K104" s="7">
        <v>163959800</v>
      </c>
      <c r="L104" s="7">
        <v>118956500</v>
      </c>
      <c r="M104" s="7">
        <v>374686000</v>
      </c>
      <c r="N104" s="7">
        <v>323878100</v>
      </c>
      <c r="O104" s="7">
        <v>508653900</v>
      </c>
      <c r="P104" s="7">
        <v>202683500</v>
      </c>
      <c r="Q104" s="7">
        <v>225877100</v>
      </c>
      <c r="R104" s="7">
        <v>168455000</v>
      </c>
      <c r="S104" s="7">
        <v>277099400</v>
      </c>
      <c r="T104" s="7">
        <v>92012150</v>
      </c>
      <c r="U104" s="7">
        <v>177632300</v>
      </c>
      <c r="V104" s="7">
        <v>30378500</v>
      </c>
      <c r="W104" s="7">
        <v>76053740</v>
      </c>
      <c r="X104" s="7">
        <v>368398000</v>
      </c>
      <c r="Y104" s="7">
        <v>159318900</v>
      </c>
    </row>
    <row r="105" spans="1:25" x14ac:dyDescent="0.25">
      <c r="B105" s="7">
        <v>187060500</v>
      </c>
      <c r="C105" s="7">
        <v>394395900</v>
      </c>
      <c r="D105" s="7">
        <v>109131900</v>
      </c>
      <c r="E105" s="7">
        <v>124415200</v>
      </c>
      <c r="F105" s="7">
        <v>92984650</v>
      </c>
      <c r="G105" s="7">
        <v>102901800</v>
      </c>
      <c r="H105" s="7">
        <v>377118900</v>
      </c>
      <c r="I105" s="7">
        <v>118508800</v>
      </c>
      <c r="J105" s="7">
        <v>78689690</v>
      </c>
      <c r="K105" s="7">
        <v>161441300</v>
      </c>
      <c r="L105" s="7">
        <v>117606800</v>
      </c>
      <c r="M105" s="7">
        <v>372545900</v>
      </c>
      <c r="N105" s="7">
        <v>318057100</v>
      </c>
      <c r="O105" s="7">
        <v>419069400</v>
      </c>
      <c r="P105" s="7">
        <v>199399800</v>
      </c>
      <c r="Q105" s="7">
        <v>222561100</v>
      </c>
      <c r="R105" s="7">
        <v>154968800</v>
      </c>
      <c r="S105" s="7">
        <v>272627100</v>
      </c>
      <c r="T105" s="7">
        <v>82814490</v>
      </c>
      <c r="U105" s="7">
        <v>175437100</v>
      </c>
      <c r="V105" s="7">
        <v>28610400</v>
      </c>
      <c r="W105" s="7">
        <v>75204570</v>
      </c>
      <c r="X105" s="7">
        <v>366106700</v>
      </c>
      <c r="Y105" s="7">
        <v>156950100</v>
      </c>
    </row>
    <row r="106" spans="1:25" x14ac:dyDescent="0.25">
      <c r="B106" s="7">
        <v>185202700</v>
      </c>
      <c r="C106" s="7">
        <v>390443700</v>
      </c>
      <c r="D106" s="7">
        <v>108489300</v>
      </c>
      <c r="E106" s="7">
        <v>123734800</v>
      </c>
      <c r="F106" s="7">
        <v>92047040</v>
      </c>
      <c r="G106" s="7">
        <v>100606300</v>
      </c>
      <c r="H106" s="7">
        <v>374686600</v>
      </c>
      <c r="I106" s="7">
        <v>117358100</v>
      </c>
      <c r="J106" s="7">
        <v>77617950</v>
      </c>
      <c r="K106" s="7">
        <v>160120000</v>
      </c>
      <c r="L106" s="7">
        <v>116758900</v>
      </c>
      <c r="M106" s="7">
        <v>369826800</v>
      </c>
      <c r="N106" s="7">
        <v>315757800</v>
      </c>
      <c r="O106" s="7">
        <v>413310300</v>
      </c>
      <c r="P106" s="7">
        <v>198041400</v>
      </c>
      <c r="Q106" s="7">
        <v>221071100</v>
      </c>
      <c r="R106" s="7">
        <v>149191400</v>
      </c>
      <c r="S106" s="7">
        <v>270559100</v>
      </c>
      <c r="T106" s="7">
        <v>79962000</v>
      </c>
      <c r="U106" s="7">
        <v>169938100</v>
      </c>
      <c r="V106" s="7">
        <v>27299300</v>
      </c>
      <c r="W106" s="7">
        <v>74665170</v>
      </c>
      <c r="X106" s="7">
        <v>363460700</v>
      </c>
      <c r="Y106" s="7">
        <v>156024900</v>
      </c>
    </row>
    <row r="107" spans="1:25" x14ac:dyDescent="0.25">
      <c r="B107" s="7">
        <v>180670400</v>
      </c>
      <c r="C107" s="7">
        <v>387156900</v>
      </c>
      <c r="D107" s="7">
        <v>107885500</v>
      </c>
      <c r="E107" s="7">
        <v>122747900</v>
      </c>
      <c r="F107" s="7">
        <v>91121780</v>
      </c>
      <c r="G107" s="7">
        <v>98571640</v>
      </c>
      <c r="H107" s="7">
        <v>372114900</v>
      </c>
      <c r="I107" s="7">
        <v>116707500</v>
      </c>
      <c r="J107" s="7">
        <v>76217880</v>
      </c>
      <c r="K107" s="7">
        <v>159327400</v>
      </c>
      <c r="L107" s="7">
        <v>116150800</v>
      </c>
      <c r="M107" s="7">
        <v>367608200</v>
      </c>
      <c r="N107" s="7">
        <v>313981700</v>
      </c>
      <c r="O107" s="7">
        <v>408158900</v>
      </c>
      <c r="P107" s="7">
        <v>196266600</v>
      </c>
      <c r="Q107" s="7">
        <v>219603700</v>
      </c>
      <c r="R107" s="7">
        <v>143837500</v>
      </c>
      <c r="S107" s="7">
        <v>269284700</v>
      </c>
      <c r="T107" s="7">
        <v>77147090</v>
      </c>
      <c r="U107" s="7">
        <v>166318200</v>
      </c>
      <c r="V107" s="7">
        <v>27413460</v>
      </c>
      <c r="W107" s="7">
        <v>74068160</v>
      </c>
      <c r="X107" s="7">
        <v>361568800</v>
      </c>
      <c r="Y107" s="7">
        <v>155305300</v>
      </c>
    </row>
    <row r="108" spans="1:25" x14ac:dyDescent="0.25">
      <c r="B108" s="7">
        <v>173166100</v>
      </c>
      <c r="C108" s="7">
        <v>384765400</v>
      </c>
      <c r="D108" s="7">
        <v>107129700</v>
      </c>
      <c r="E108" s="7">
        <v>121753300</v>
      </c>
      <c r="F108" s="7">
        <v>90312010</v>
      </c>
      <c r="G108" s="7">
        <v>96894940</v>
      </c>
      <c r="H108" s="7">
        <v>369968700</v>
      </c>
      <c r="I108" s="7">
        <v>115788900</v>
      </c>
      <c r="J108" s="7">
        <v>74431770</v>
      </c>
      <c r="K108" s="7">
        <v>157896200</v>
      </c>
      <c r="L108" s="7">
        <v>114775000</v>
      </c>
      <c r="M108" s="7">
        <v>365057100</v>
      </c>
      <c r="N108" s="7">
        <v>314022200</v>
      </c>
      <c r="O108" s="7">
        <v>404731000</v>
      </c>
      <c r="P108" s="7">
        <v>189350600</v>
      </c>
      <c r="Q108" s="7">
        <v>217440500</v>
      </c>
      <c r="R108" s="7">
        <v>138165600</v>
      </c>
      <c r="S108" s="7">
        <v>267341300</v>
      </c>
      <c r="T108" s="7">
        <v>74860220</v>
      </c>
      <c r="U108" s="7">
        <v>162456700</v>
      </c>
      <c r="V108" s="7">
        <v>26460220</v>
      </c>
      <c r="W108" s="7">
        <v>72796520</v>
      </c>
      <c r="X108" s="7">
        <v>359139800</v>
      </c>
      <c r="Y108" s="7">
        <v>154305800</v>
      </c>
    </row>
    <row r="109" spans="1:25" x14ac:dyDescent="0.25">
      <c r="B109" s="7">
        <v>165817500</v>
      </c>
      <c r="C109" s="7">
        <v>382022900</v>
      </c>
      <c r="D109" s="7">
        <v>106550300</v>
      </c>
      <c r="E109" s="7">
        <v>121014200</v>
      </c>
      <c r="F109" s="7">
        <v>89592810</v>
      </c>
      <c r="G109" s="7">
        <v>95249290</v>
      </c>
      <c r="H109" s="7">
        <v>367664100</v>
      </c>
      <c r="I109" s="7">
        <v>114998000</v>
      </c>
      <c r="J109" s="7">
        <v>73068770</v>
      </c>
      <c r="K109" s="7">
        <v>156562400</v>
      </c>
      <c r="L109" s="7">
        <v>110913200</v>
      </c>
      <c r="M109" s="7">
        <v>362697400</v>
      </c>
      <c r="N109" s="7">
        <v>313110600</v>
      </c>
      <c r="O109" s="7">
        <v>400623900</v>
      </c>
      <c r="P109" s="7">
        <v>182120400</v>
      </c>
      <c r="Q109" s="7">
        <v>215631500</v>
      </c>
      <c r="R109" s="7">
        <v>132030300</v>
      </c>
      <c r="S109" s="7">
        <v>266026300</v>
      </c>
      <c r="T109" s="7">
        <v>73162860</v>
      </c>
      <c r="U109" s="7">
        <v>158287800</v>
      </c>
      <c r="V109" s="7">
        <v>26178940</v>
      </c>
      <c r="W109" s="7">
        <v>71751190</v>
      </c>
      <c r="X109" s="7">
        <v>346004700</v>
      </c>
      <c r="Y109" s="7">
        <v>153215300</v>
      </c>
    </row>
    <row r="110" spans="1:25" x14ac:dyDescent="0.25">
      <c r="B110" s="7">
        <v>151283900</v>
      </c>
      <c r="C110" s="7">
        <v>379668400</v>
      </c>
      <c r="D110" s="7">
        <v>105760900</v>
      </c>
      <c r="E110" s="7">
        <v>120159800</v>
      </c>
      <c r="F110" s="7">
        <v>88919010</v>
      </c>
      <c r="G110" s="7">
        <v>93311980</v>
      </c>
      <c r="H110" s="7">
        <v>365162800</v>
      </c>
      <c r="I110" s="7">
        <v>114138500</v>
      </c>
      <c r="J110" s="7">
        <v>72057430</v>
      </c>
      <c r="K110" s="7">
        <v>155266200</v>
      </c>
      <c r="L110" s="7">
        <v>106881400</v>
      </c>
      <c r="M110" s="7">
        <v>359842200</v>
      </c>
      <c r="N110" s="7">
        <v>312743000</v>
      </c>
      <c r="O110" s="7">
        <v>396118300</v>
      </c>
      <c r="P110" s="7">
        <v>175924700</v>
      </c>
      <c r="Q110" s="7">
        <v>213387700</v>
      </c>
      <c r="R110" s="7">
        <v>125667200</v>
      </c>
      <c r="S110" s="7">
        <v>264918200</v>
      </c>
      <c r="T110" s="7">
        <v>70163200</v>
      </c>
      <c r="U110" s="7">
        <v>154229600</v>
      </c>
      <c r="V110" s="7">
        <v>25529570</v>
      </c>
      <c r="W110" s="7">
        <v>70645830</v>
      </c>
      <c r="X110" s="7">
        <v>330093000</v>
      </c>
      <c r="Y110" s="7">
        <v>152430700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B6A-271E-47BC-9EBA-76AB39DE5BEB}">
  <dimension ref="A2:BH145"/>
  <sheetViews>
    <sheetView zoomScaleNormal="100" workbookViewId="0">
      <selection activeCell="A3" sqref="A3"/>
    </sheetView>
  </sheetViews>
  <sheetFormatPr defaultRowHeight="15" x14ac:dyDescent="0.25"/>
  <cols>
    <col min="2" max="2" width="11" bestFit="1" customWidth="1"/>
  </cols>
  <sheetData>
    <row r="2" spans="1:60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G11" s="1"/>
      <c r="M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H20" s="1"/>
      <c r="I20" s="1"/>
      <c r="J20" s="1"/>
      <c r="L20" s="1"/>
      <c r="O20" s="1"/>
      <c r="P20" s="1"/>
      <c r="R20" s="1"/>
      <c r="S20" s="1"/>
      <c r="T20" s="1"/>
      <c r="U20" s="1"/>
      <c r="W20" s="1"/>
      <c r="X20" s="1"/>
      <c r="Z20" s="1"/>
      <c r="AA20" s="1"/>
      <c r="AB20" s="1"/>
      <c r="AD20" s="1"/>
      <c r="AE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D21" s="1"/>
      <c r="AE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D22" s="1"/>
      <c r="AE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D23" s="1"/>
      <c r="AE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D24" s="1"/>
      <c r="AE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D25" s="1"/>
      <c r="AE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D26" s="1"/>
      <c r="AE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D27" s="1"/>
      <c r="AE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M29" s="1"/>
      <c r="AN29" s="1"/>
      <c r="AP29" s="1"/>
      <c r="AQ29" s="1"/>
      <c r="AR29" s="1"/>
      <c r="AT29" s="1"/>
      <c r="AU29" s="1"/>
      <c r="AV29" s="1"/>
      <c r="AY29" s="1"/>
      <c r="BA29" s="1"/>
      <c r="BB29" s="1"/>
      <c r="BC29" s="1"/>
      <c r="BD29" s="1"/>
      <c r="BE29" s="1"/>
      <c r="BF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D30" s="1"/>
      <c r="AE30" s="1"/>
      <c r="AF30" s="1"/>
      <c r="AG30" s="1"/>
      <c r="AH30" s="1"/>
      <c r="AI30" s="1"/>
      <c r="AJ30" s="1"/>
      <c r="AM30" s="1"/>
      <c r="AN30" s="1"/>
      <c r="AP30" s="1"/>
      <c r="AQ30" s="1"/>
      <c r="AR30" s="1"/>
      <c r="AT30" s="1"/>
      <c r="AU30" s="1"/>
      <c r="AV30" s="1"/>
      <c r="AY30" s="1"/>
      <c r="BA30" s="1"/>
      <c r="BB30" s="1"/>
      <c r="BC30" s="1"/>
      <c r="BD30" s="1"/>
      <c r="BE30" s="1"/>
      <c r="BF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D31" s="1"/>
      <c r="AE31" s="1"/>
      <c r="AF31" s="1"/>
      <c r="AG31" s="1"/>
      <c r="AI31" s="1"/>
      <c r="AJ31" s="1"/>
      <c r="AM31" s="1"/>
      <c r="AN31" s="1"/>
      <c r="AP31" s="1"/>
      <c r="AQ31" s="1"/>
      <c r="AR31" s="1"/>
      <c r="AT31" s="1"/>
      <c r="AU31" s="1"/>
      <c r="AV31" s="1"/>
      <c r="AY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D32" s="1"/>
      <c r="AE32" s="1"/>
      <c r="AF32" s="1"/>
      <c r="AG32" s="1"/>
      <c r="AI32" s="1"/>
      <c r="AJ32" s="1"/>
      <c r="AM32" s="1"/>
      <c r="AN32" s="1"/>
      <c r="AP32" s="1"/>
      <c r="AQ32" s="1"/>
      <c r="AR32" s="1"/>
      <c r="AS32" s="1"/>
      <c r="AT32" s="1"/>
      <c r="AU32" s="1"/>
      <c r="AV32" s="1"/>
      <c r="AY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D33" s="1"/>
      <c r="AE33" s="1"/>
      <c r="AF33" s="1"/>
      <c r="AG33" s="1"/>
      <c r="AH33" s="1"/>
      <c r="AI33" s="1"/>
      <c r="AJ33" s="1"/>
      <c r="AM33" s="1"/>
      <c r="AN33" s="1"/>
      <c r="AP33" s="1"/>
      <c r="AQ33" s="1"/>
      <c r="AR33" s="1"/>
      <c r="AS33" s="1"/>
      <c r="AT33" s="1"/>
      <c r="AU33" s="1"/>
      <c r="AV33" s="1"/>
      <c r="AY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D34" s="1"/>
      <c r="AE34" s="1"/>
      <c r="AF34" s="1"/>
      <c r="AG34" s="1"/>
      <c r="AH34" s="1"/>
      <c r="AI34" s="1"/>
      <c r="AJ34" s="1"/>
      <c r="AM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D35" s="1"/>
      <c r="AE35" s="1"/>
      <c r="AF35" s="1"/>
      <c r="AG35" s="1"/>
      <c r="AH35" s="1"/>
      <c r="AI35" s="1"/>
      <c r="AJ35" s="1"/>
      <c r="AM35" s="1"/>
      <c r="AN35" s="1"/>
      <c r="AP35" s="1"/>
      <c r="AQ35" s="1"/>
      <c r="AR35" s="1"/>
      <c r="AS35" s="1"/>
      <c r="AT35" s="1"/>
      <c r="AU35" s="1"/>
      <c r="AW35" s="1"/>
      <c r="AY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J36" s="1"/>
      <c r="AN36" s="1"/>
      <c r="AU36" s="1"/>
      <c r="BA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60" x14ac:dyDescent="0.25">
      <c r="A38" s="1"/>
      <c r="B38" s="1"/>
      <c r="C38" s="1"/>
      <c r="D38" s="1"/>
      <c r="G38" s="1"/>
      <c r="M38" s="1"/>
    </row>
    <row r="39" spans="1:60" x14ac:dyDescent="0.25">
      <c r="A39" s="1"/>
      <c r="B39" s="1"/>
      <c r="C39" s="1"/>
      <c r="D39" s="1"/>
      <c r="G39" s="1"/>
      <c r="J39" s="1"/>
      <c r="K39" s="1"/>
    </row>
    <row r="40" spans="1:60" x14ac:dyDescent="0.25">
      <c r="A40" s="1"/>
      <c r="B40" s="1"/>
      <c r="C40" s="1"/>
      <c r="D40" s="1"/>
      <c r="G40" s="1"/>
    </row>
    <row r="41" spans="1:60" x14ac:dyDescent="0.25">
      <c r="C41" s="1"/>
    </row>
    <row r="42" spans="1:60" x14ac:dyDescent="0.25">
      <c r="C42" s="1"/>
    </row>
    <row r="43" spans="1:60" x14ac:dyDescent="0.25">
      <c r="C43" s="1"/>
    </row>
    <row r="44" spans="1:60" x14ac:dyDescent="0.25">
      <c r="C44" s="1"/>
    </row>
    <row r="45" spans="1:60" x14ac:dyDescent="0.25">
      <c r="C45" s="1"/>
    </row>
    <row r="46" spans="1:60" x14ac:dyDescent="0.25">
      <c r="C46" s="1"/>
    </row>
    <row r="47" spans="1:6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:6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:6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:6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:6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:6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:6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:6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6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:6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:6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:6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:6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:6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:6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:6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:6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6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:6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:6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:6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:6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:6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:6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:6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:6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60" x14ac:dyDescent="0.25">
      <c r="C74" s="1"/>
      <c r="D74" s="1"/>
      <c r="G74" s="1"/>
      <c r="H74" s="1"/>
      <c r="L74" s="1"/>
      <c r="M74" s="1"/>
      <c r="O74" s="1"/>
      <c r="P74" s="1"/>
      <c r="Q74" s="1"/>
      <c r="W74" s="1"/>
      <c r="AD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V74" s="1"/>
      <c r="AW74" s="1"/>
      <c r="AX74" s="1"/>
      <c r="AY74" s="1"/>
      <c r="AZ74" s="1"/>
      <c r="BA74" s="1"/>
      <c r="BC74" s="1"/>
      <c r="BD74" s="1"/>
      <c r="BE74" s="1"/>
      <c r="BG74" s="1"/>
    </row>
    <row r="75" spans="2:60" x14ac:dyDescent="0.25">
      <c r="C75" s="1"/>
      <c r="D75" s="1"/>
      <c r="E75" s="1"/>
      <c r="G75" s="1"/>
      <c r="H75" s="1"/>
      <c r="L75" s="1"/>
      <c r="M75" s="1"/>
      <c r="N75" s="1"/>
      <c r="O75" s="1"/>
      <c r="P75" s="1"/>
      <c r="Q75" s="1"/>
      <c r="T75" s="1"/>
      <c r="W75" s="1"/>
      <c r="Y75" s="1"/>
      <c r="Z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V75" s="1"/>
      <c r="AW75" s="1"/>
      <c r="AX75" s="1"/>
      <c r="AY75" s="1"/>
      <c r="AZ75" s="1"/>
      <c r="BA75" s="1"/>
      <c r="BC75" s="1"/>
      <c r="BD75" s="1"/>
      <c r="BE75" s="1"/>
      <c r="BF75" s="1"/>
      <c r="BG75" s="1"/>
    </row>
    <row r="76" spans="2:60" x14ac:dyDescent="0.25">
      <c r="C76" s="1"/>
      <c r="D76" s="1"/>
      <c r="E76" s="1"/>
      <c r="F76" s="1"/>
      <c r="G76" s="1"/>
      <c r="H76" s="1"/>
      <c r="L76" s="1"/>
      <c r="M76" s="1"/>
      <c r="N76" s="1"/>
      <c r="O76" s="1"/>
      <c r="P76" s="1"/>
      <c r="Q76" s="1"/>
      <c r="R76" s="1"/>
      <c r="T76" s="1"/>
      <c r="W76" s="1"/>
      <c r="Y76" s="1"/>
      <c r="Z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V76" s="1"/>
      <c r="AW76" s="1"/>
      <c r="AX76" s="1"/>
      <c r="AY76" s="1"/>
      <c r="AZ76" s="1"/>
      <c r="BA76" s="1"/>
      <c r="BC76" s="1"/>
      <c r="BD76" s="1"/>
      <c r="BE76" s="1"/>
      <c r="BF76" s="1"/>
      <c r="BG76" s="1"/>
    </row>
    <row r="77" spans="2:60" x14ac:dyDescent="0.25">
      <c r="C77" s="1"/>
      <c r="D77" s="1"/>
      <c r="E77" s="1"/>
      <c r="F77" s="1"/>
      <c r="H77" s="1"/>
      <c r="L77" s="1"/>
      <c r="M77" s="1"/>
      <c r="N77" s="1"/>
      <c r="O77" s="1"/>
      <c r="P77" s="1"/>
      <c r="Q77" s="1"/>
      <c r="R77" s="1"/>
      <c r="T77" s="1"/>
      <c r="U77" s="1"/>
      <c r="W77" s="1"/>
      <c r="Y77" s="1"/>
      <c r="Z77" s="1"/>
      <c r="AA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V77" s="1"/>
      <c r="AW77" s="1"/>
      <c r="AX77" s="1"/>
      <c r="AY77" s="1"/>
      <c r="AZ77" s="1"/>
      <c r="BA77" s="1"/>
      <c r="BC77" s="1"/>
      <c r="BD77" s="1"/>
      <c r="BE77" s="1"/>
      <c r="BF77" s="1"/>
      <c r="BG77" s="1"/>
    </row>
    <row r="78" spans="2:60" x14ac:dyDescent="0.25">
      <c r="C78" s="1"/>
      <c r="D78" s="1"/>
      <c r="E78" s="1"/>
      <c r="F78" s="1"/>
      <c r="H78" s="1"/>
      <c r="L78" s="1"/>
      <c r="M78" s="1"/>
      <c r="N78" s="1"/>
      <c r="O78" s="1"/>
      <c r="P78" s="1"/>
      <c r="Q78" s="1"/>
      <c r="R78" s="1"/>
      <c r="T78" s="1"/>
      <c r="U78" s="1"/>
      <c r="W78" s="1"/>
      <c r="Y78" s="1"/>
      <c r="Z78" s="1"/>
      <c r="AA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V78" s="1"/>
      <c r="AW78" s="1"/>
      <c r="AX78" s="1"/>
      <c r="AY78" s="1"/>
      <c r="AZ78" s="1"/>
      <c r="BA78" s="1"/>
      <c r="BC78" s="1"/>
      <c r="BD78" s="1"/>
      <c r="BE78" s="1"/>
      <c r="BF78" s="1"/>
      <c r="BG78" s="1"/>
    </row>
    <row r="79" spans="2:60" x14ac:dyDescent="0.25">
      <c r="C79" s="1"/>
      <c r="D79" s="1"/>
      <c r="E79" s="1"/>
      <c r="F79" s="1"/>
      <c r="H79" s="1"/>
      <c r="L79" s="1"/>
      <c r="M79" s="1"/>
      <c r="N79" s="1"/>
      <c r="O79" s="1"/>
      <c r="P79" s="1"/>
      <c r="Q79" s="1"/>
      <c r="R79" s="1"/>
      <c r="T79" s="1"/>
      <c r="U79" s="1"/>
      <c r="W79" s="1"/>
      <c r="Y79" s="1"/>
      <c r="Z79" s="1"/>
      <c r="AA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2:60" x14ac:dyDescent="0.25">
      <c r="C80" s="1"/>
      <c r="D80" s="1"/>
      <c r="E80" s="1"/>
      <c r="F80" s="1"/>
      <c r="H80" s="1"/>
      <c r="L80" s="1"/>
      <c r="M80" s="1"/>
      <c r="N80" s="1"/>
      <c r="O80" s="1"/>
      <c r="P80" s="1"/>
      <c r="Q80" s="1"/>
      <c r="R80" s="1"/>
      <c r="T80" s="1"/>
      <c r="U80" s="1"/>
      <c r="W80" s="1"/>
      <c r="Y80" s="1"/>
      <c r="Z80" s="1"/>
      <c r="AA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V80" s="1"/>
      <c r="AW80" s="1"/>
      <c r="AX80" s="1"/>
      <c r="AY80" s="1"/>
      <c r="AZ80" s="1"/>
      <c r="BA80" s="1"/>
      <c r="BC80" s="1"/>
      <c r="BD80" s="1"/>
      <c r="BE80" s="1"/>
      <c r="BF80" s="1"/>
      <c r="BG80" s="1"/>
    </row>
    <row r="81" spans="2:59" x14ac:dyDescent="0.25">
      <c r="C81" s="1"/>
      <c r="D81" s="1"/>
      <c r="E81" s="1"/>
      <c r="F81" s="1"/>
      <c r="H81" s="1"/>
      <c r="L81" s="1"/>
      <c r="M81" s="1"/>
      <c r="N81" s="1"/>
      <c r="O81" s="1"/>
      <c r="P81" s="1"/>
      <c r="Q81" s="1"/>
      <c r="R81" s="1"/>
      <c r="T81" s="1"/>
      <c r="U81" s="1"/>
      <c r="W81" s="1"/>
      <c r="Y81" s="1"/>
      <c r="Z81" s="1"/>
      <c r="AA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V81" s="1"/>
      <c r="AW81" s="1"/>
      <c r="AX81" s="1"/>
      <c r="AY81" s="1"/>
      <c r="AZ81" s="1"/>
      <c r="BA81" s="1"/>
      <c r="BC81" s="1"/>
      <c r="BD81" s="1"/>
      <c r="BE81" s="1"/>
      <c r="BF81" s="1"/>
      <c r="BG81" s="1"/>
    </row>
    <row r="93" spans="2:5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5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5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5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2" spans="2:25" x14ac:dyDescent="0.25">
      <c r="B102" s="1"/>
      <c r="C102" s="1"/>
      <c r="H102" s="1"/>
      <c r="M102" s="1"/>
      <c r="N102" s="1"/>
      <c r="S102" s="1"/>
      <c r="T102" s="1"/>
      <c r="V102" s="1"/>
      <c r="X102" s="1"/>
    </row>
    <row r="103" spans="2:25" x14ac:dyDescent="0.25">
      <c r="B103" s="1"/>
      <c r="C103" s="1"/>
      <c r="H103" s="1"/>
      <c r="M103" s="1"/>
      <c r="N103" s="1"/>
      <c r="S103" s="1"/>
      <c r="T103" s="1"/>
      <c r="X103" s="1"/>
    </row>
    <row r="104" spans="2:25" x14ac:dyDescent="0.25">
      <c r="B104" s="1"/>
      <c r="C104" s="1"/>
      <c r="H104" s="1"/>
      <c r="M104" s="1"/>
      <c r="N104" s="1"/>
      <c r="O104" s="1"/>
      <c r="R104" s="1"/>
      <c r="S104" s="1"/>
      <c r="T104" s="1"/>
      <c r="V104" s="1"/>
      <c r="X104" s="1"/>
    </row>
    <row r="105" spans="2:25" x14ac:dyDescent="0.25">
      <c r="B105" s="1"/>
      <c r="C105" s="1"/>
      <c r="G105" s="1"/>
      <c r="H105" s="1"/>
      <c r="J105" s="1"/>
      <c r="M105" s="1"/>
      <c r="N105" s="1"/>
      <c r="O105" s="1"/>
      <c r="S105" s="1"/>
      <c r="U105" s="1"/>
      <c r="X105" s="1"/>
    </row>
    <row r="106" spans="2:25" x14ac:dyDescent="0.25">
      <c r="B106" s="1"/>
      <c r="C106" s="1"/>
      <c r="G106" s="1"/>
      <c r="H106" s="1"/>
      <c r="J106" s="1"/>
      <c r="M106" s="1"/>
      <c r="N106" s="1"/>
      <c r="O106" s="1"/>
      <c r="S106" s="1"/>
      <c r="T106" s="1"/>
      <c r="U106" s="1"/>
      <c r="X106" s="1"/>
    </row>
    <row r="107" spans="2:25" x14ac:dyDescent="0.25">
      <c r="B107" s="1"/>
      <c r="C107" s="1"/>
      <c r="G107" s="1"/>
      <c r="H107" s="1"/>
      <c r="J107" s="1"/>
      <c r="M107" s="1"/>
      <c r="N107" s="1"/>
      <c r="O107" s="1"/>
      <c r="R107" s="1"/>
      <c r="S107" s="1"/>
      <c r="T107" s="1"/>
      <c r="U107" s="1"/>
      <c r="W107" s="1"/>
      <c r="X107" s="1"/>
    </row>
    <row r="108" spans="2:25" x14ac:dyDescent="0.25">
      <c r="B108" s="1"/>
      <c r="C108" s="1"/>
      <c r="G108" s="1"/>
      <c r="H108" s="1"/>
      <c r="M108" s="1"/>
      <c r="N108" s="1"/>
      <c r="O108" s="1"/>
      <c r="S108" s="1"/>
      <c r="U108" s="1"/>
      <c r="V108" s="1"/>
      <c r="W108" s="1"/>
      <c r="X108" s="1"/>
    </row>
    <row r="109" spans="2:25" x14ac:dyDescent="0.25">
      <c r="B109" s="1"/>
      <c r="C109" s="1"/>
      <c r="G109" s="1"/>
      <c r="H109" s="1"/>
      <c r="J109" s="1"/>
      <c r="L109" s="1"/>
      <c r="M109" s="1"/>
      <c r="N109" s="1"/>
      <c r="O109" s="1"/>
      <c r="R109" s="1"/>
      <c r="S109" s="1"/>
      <c r="T109" s="1"/>
      <c r="V109" s="1"/>
      <c r="W109" s="1"/>
      <c r="X109" s="1"/>
    </row>
    <row r="111" spans="2:25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20" spans="2:25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2:25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2:25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2:25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2:25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2:25" x14ac:dyDescent="0.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2:25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2:25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9" spans="2:25" x14ac:dyDescent="0.25">
      <c r="C129" s="1"/>
      <c r="E129" s="1"/>
      <c r="J129" s="1"/>
      <c r="L129" s="1"/>
      <c r="N129" s="1"/>
      <c r="O129" s="1"/>
      <c r="R129" s="1"/>
      <c r="X129" s="1"/>
      <c r="Y129" s="1"/>
    </row>
    <row r="130" spans="2:25" x14ac:dyDescent="0.25">
      <c r="C130" s="1"/>
      <c r="E130" s="1"/>
      <c r="J130" s="1"/>
      <c r="L130" s="1"/>
      <c r="N130" s="1"/>
      <c r="O130" s="1"/>
      <c r="R130" s="1"/>
      <c r="X130" s="1"/>
    </row>
    <row r="131" spans="2:25" x14ac:dyDescent="0.25">
      <c r="B131" s="1"/>
      <c r="C131" s="1"/>
      <c r="E131" s="1"/>
      <c r="H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X131" s="1"/>
      <c r="Y131" s="1"/>
    </row>
    <row r="132" spans="2:25" x14ac:dyDescent="0.25">
      <c r="B132" s="1"/>
      <c r="C132" s="1"/>
      <c r="E132" s="1"/>
      <c r="H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X132" s="1"/>
      <c r="Y132" s="1"/>
    </row>
    <row r="133" spans="2:25" x14ac:dyDescent="0.25">
      <c r="B133" s="1"/>
      <c r="C133" s="1"/>
      <c r="E133" s="1"/>
      <c r="F133" s="1"/>
      <c r="H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X133" s="1"/>
      <c r="Y133" s="1"/>
    </row>
    <row r="134" spans="2:25" x14ac:dyDescent="0.25">
      <c r="B134" s="1"/>
      <c r="C134" s="1"/>
      <c r="E134" s="1"/>
      <c r="F134" s="1"/>
      <c r="H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X134" s="1"/>
      <c r="Y134" s="1"/>
    </row>
    <row r="135" spans="2:25" x14ac:dyDescent="0.25">
      <c r="B135" s="1"/>
      <c r="C135" s="1"/>
      <c r="E135" s="1"/>
      <c r="F135" s="1"/>
      <c r="H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</row>
    <row r="136" spans="2:25" x14ac:dyDescent="0.25">
      <c r="B136" s="1"/>
      <c r="C136" s="1"/>
      <c r="E136" s="1"/>
      <c r="F136" s="1"/>
      <c r="H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X136" s="1"/>
      <c r="Y136" s="1"/>
    </row>
    <row r="138" spans="2:2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70F-5493-4331-9440-08247E3EF477}">
  <dimension ref="A1:AA155"/>
  <sheetViews>
    <sheetView topLeftCell="A124" workbookViewId="0">
      <selection activeCell="M167" sqref="M16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</row>
    <row r="6" spans="1:27" x14ac:dyDescent="0.25">
      <c r="A6" s="2">
        <v>2029</v>
      </c>
    </row>
    <row r="7" spans="1:27" x14ac:dyDescent="0.25">
      <c r="A7" s="2">
        <v>2030</v>
      </c>
    </row>
    <row r="8" spans="1:27" x14ac:dyDescent="0.25">
      <c r="A8" s="2">
        <v>2031</v>
      </c>
    </row>
    <row r="9" spans="1:27" x14ac:dyDescent="0.25">
      <c r="A9" s="2">
        <v>2032</v>
      </c>
    </row>
    <row r="10" spans="1:27" x14ac:dyDescent="0.25">
      <c r="A10" s="2">
        <v>2033</v>
      </c>
    </row>
    <row r="11" spans="1:27" x14ac:dyDescent="0.25">
      <c r="A11" s="2">
        <v>2034</v>
      </c>
    </row>
    <row r="12" spans="1:27" x14ac:dyDescent="0.25">
      <c r="A12" s="2">
        <v>2035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0</v>
      </c>
      <c r="Y16" s="2">
        <f>Y5/'Output-Calculation-sheet'!Y4*'Output-Calculation-sheet'!Y22</f>
        <v>0</v>
      </c>
      <c r="AA16" s="2">
        <f>SUM(B16:Y16)/1000</f>
        <v>0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0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0</v>
      </c>
      <c r="Y17" s="2">
        <f>Y6/'Output-Calculation-sheet'!Y5*'Output-Calculation-sheet'!Y23</f>
        <v>0</v>
      </c>
      <c r="AA17" s="2">
        <f t="shared" ref="AA17:AA23" si="0">SUM(B17:Y17)/1000</f>
        <v>0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0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0</v>
      </c>
      <c r="Y18" s="2">
        <f>Y7/'Output-Calculation-sheet'!Y6*'Output-Calculation-sheet'!Y24</f>
        <v>0</v>
      </c>
      <c r="AA18" s="2">
        <f t="shared" si="0"/>
        <v>0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0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0</v>
      </c>
      <c r="Y19" s="2">
        <f>Y8/'Output-Calculation-sheet'!Y7*'Output-Calculation-sheet'!Y25</f>
        <v>0</v>
      </c>
      <c r="AA19" s="2">
        <f t="shared" si="0"/>
        <v>0</v>
      </c>
    </row>
    <row r="20" spans="1:27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0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0</v>
      </c>
      <c r="Y20" s="2">
        <f>Y9/'Output-Calculation-sheet'!Y8*'Output-Calculation-sheet'!Y26</f>
        <v>0</v>
      </c>
      <c r="AA20" s="2">
        <f t="shared" si="0"/>
        <v>0</v>
      </c>
    </row>
    <row r="21" spans="1:27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0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0</v>
      </c>
      <c r="Y21" s="2">
        <f>Y10/'Output-Calculation-sheet'!Y9*'Output-Calculation-sheet'!Y27</f>
        <v>0</v>
      </c>
      <c r="AA21" s="2">
        <f t="shared" si="0"/>
        <v>0</v>
      </c>
    </row>
    <row r="22" spans="1:27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0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0</v>
      </c>
      <c r="Y22" s="2">
        <f>Y11/'Output-Calculation-sheet'!Y10*'Output-Calculation-sheet'!Y28</f>
        <v>0</v>
      </c>
      <c r="AA22" s="2">
        <f t="shared" si="0"/>
        <v>0</v>
      </c>
    </row>
    <row r="23" spans="1:27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0</v>
      </c>
      <c r="Y23" s="2">
        <f>Y12/'Output-Calculation-sheet'!Y11*'Output-Calculation-sheet'!Y29</f>
        <v>0</v>
      </c>
      <c r="AA23" s="2">
        <f t="shared" si="0"/>
        <v>0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0</v>
      </c>
      <c r="C27" s="2">
        <f>C5/'Output-Calculation-sheet'!C4*'Output-Calculation-sheet'!C13</f>
        <v>0</v>
      </c>
      <c r="D27" s="2">
        <f>D5/'Output-Calculation-sheet'!D4*'Output-Calculation-sheet'!D13</f>
        <v>0</v>
      </c>
      <c r="E27" s="2">
        <f>E5/'Output-Calculation-sheet'!E4*'Output-Calculation-sheet'!E13</f>
        <v>0</v>
      </c>
      <c r="F27" s="2">
        <f>F5/'Output-Calculation-sheet'!F4*'Output-Calculation-sheet'!F13</f>
        <v>0</v>
      </c>
      <c r="G27" s="2">
        <f>G5/'Output-Calculation-sheet'!G4*'Output-Calculation-sheet'!G13</f>
        <v>0</v>
      </c>
      <c r="H27" s="2">
        <f>H5/'Output-Calculation-sheet'!H4*'Output-Calculation-sheet'!H13</f>
        <v>0</v>
      </c>
      <c r="I27" s="2">
        <f>I5/'Output-Calculation-sheet'!I4*'Output-Calculation-sheet'!I13</f>
        <v>0</v>
      </c>
      <c r="J27" s="2">
        <f>J5/'Output-Calculation-sheet'!J4*'Output-Calculation-sheet'!J13</f>
        <v>0</v>
      </c>
      <c r="K27" s="2">
        <f>K5/'Output-Calculation-sheet'!K4*'Output-Calculation-sheet'!K13</f>
        <v>0</v>
      </c>
      <c r="L27" s="2">
        <f>L5/'Output-Calculation-sheet'!L4*'Output-Calculation-sheet'!L13</f>
        <v>0</v>
      </c>
      <c r="M27" s="2">
        <f>M5/'Output-Calculation-sheet'!M4*'Output-Calculation-sheet'!M13</f>
        <v>0</v>
      </c>
      <c r="N27" s="2">
        <f>N5/'Output-Calculation-sheet'!N4*'Output-Calculation-sheet'!N13</f>
        <v>0</v>
      </c>
      <c r="O27" s="2">
        <f>O5/'Output-Calculation-sheet'!O4*'Output-Calculation-sheet'!O13</f>
        <v>0</v>
      </c>
      <c r="P27" s="2">
        <f>P5/'Output-Calculation-sheet'!P4*'Output-Calculation-sheet'!P13</f>
        <v>0</v>
      </c>
      <c r="Q27" s="2">
        <f>Q5/'Output-Calculation-sheet'!Q4*'Output-Calculation-sheet'!Q13</f>
        <v>0</v>
      </c>
      <c r="R27" s="2">
        <f>R5/'Output-Calculation-sheet'!R4*'Output-Calculation-sheet'!R13</f>
        <v>0</v>
      </c>
      <c r="S27" s="2">
        <f>S5/'Output-Calculation-sheet'!S4*'Output-Calculation-sheet'!S13</f>
        <v>0</v>
      </c>
      <c r="T27" s="2">
        <f>T5/'Output-Calculation-sheet'!T4*'Output-Calculation-sheet'!T13</f>
        <v>0</v>
      </c>
      <c r="U27" s="2">
        <f>U5/'Output-Calculation-sheet'!U4*'Output-Calculation-sheet'!U13</f>
        <v>0</v>
      </c>
      <c r="V27" s="2">
        <f>V5/'Output-Calculation-sheet'!V4*'Output-Calculation-sheet'!V13</f>
        <v>0</v>
      </c>
      <c r="W27" s="2">
        <f>W5/'Output-Calculation-sheet'!W4*'Output-Calculation-sheet'!W13</f>
        <v>0</v>
      </c>
      <c r="X27" s="2">
        <f>X5/'Output-Calculation-sheet'!X4*'Output-Calculation-sheet'!X13</f>
        <v>0</v>
      </c>
      <c r="Y27" s="2">
        <f>Y5/'Output-Calculation-sheet'!Y4*'Output-Calculation-sheet'!Y13</f>
        <v>0</v>
      </c>
      <c r="AA27" s="2">
        <f>SUM(B27:Y27)/1000</f>
        <v>0</v>
      </c>
    </row>
    <row r="28" spans="1:27" x14ac:dyDescent="0.25">
      <c r="A28" s="2">
        <v>2029</v>
      </c>
      <c r="B28" s="2">
        <f>B6/'Output-Calculation-sheet'!B5*'Output-Calculation-sheet'!B14</f>
        <v>0</v>
      </c>
      <c r="C28" s="2">
        <f>C6/'Output-Calculation-sheet'!C5*'Output-Calculation-sheet'!C14</f>
        <v>0</v>
      </c>
      <c r="D28" s="2">
        <f>D6/'Output-Calculation-sheet'!D5*'Output-Calculation-sheet'!D14</f>
        <v>0</v>
      </c>
      <c r="E28" s="2">
        <f>E6/'Output-Calculation-sheet'!E5*'Output-Calculation-sheet'!E14</f>
        <v>0</v>
      </c>
      <c r="F28" s="2">
        <f>F6/'Output-Calculation-sheet'!F5*'Output-Calculation-sheet'!F14</f>
        <v>0</v>
      </c>
      <c r="G28" s="2">
        <f>G6/'Output-Calculation-sheet'!G5*'Output-Calculation-sheet'!G14</f>
        <v>0</v>
      </c>
      <c r="H28" s="2">
        <f>H6/'Output-Calculation-sheet'!H5*'Output-Calculation-sheet'!H14</f>
        <v>0</v>
      </c>
      <c r="I28" s="2">
        <f>I6/'Output-Calculation-sheet'!I5*'Output-Calculation-sheet'!I14</f>
        <v>0</v>
      </c>
      <c r="J28" s="2">
        <f>J6/'Output-Calculation-sheet'!J5*'Output-Calculation-sheet'!J14</f>
        <v>0</v>
      </c>
      <c r="K28" s="2">
        <f>K6/'Output-Calculation-sheet'!K5*'Output-Calculation-sheet'!K14</f>
        <v>0</v>
      </c>
      <c r="L28" s="2">
        <f>L6/'Output-Calculation-sheet'!L5*'Output-Calculation-sheet'!L14</f>
        <v>0</v>
      </c>
      <c r="M28" s="2">
        <f>M6/'Output-Calculation-sheet'!M5*'Output-Calculation-sheet'!M14</f>
        <v>0</v>
      </c>
      <c r="N28" s="2">
        <f>N6/'Output-Calculation-sheet'!N5*'Output-Calculation-sheet'!N14</f>
        <v>0</v>
      </c>
      <c r="O28" s="2">
        <f>O6/'Output-Calculation-sheet'!O5*'Output-Calculation-sheet'!O14</f>
        <v>0</v>
      </c>
      <c r="P28" s="2">
        <f>P6/'Output-Calculation-sheet'!P5*'Output-Calculation-sheet'!P14</f>
        <v>0</v>
      </c>
      <c r="Q28" s="2">
        <f>Q6/'Output-Calculation-sheet'!Q5*'Output-Calculation-sheet'!Q14</f>
        <v>0</v>
      </c>
      <c r="R28" s="2">
        <f>R6/'Output-Calculation-sheet'!R5*'Output-Calculation-sheet'!R14</f>
        <v>0</v>
      </c>
      <c r="S28" s="2">
        <f>S6/'Output-Calculation-sheet'!S5*'Output-Calculation-sheet'!S14</f>
        <v>0</v>
      </c>
      <c r="T28" s="2">
        <f>T6/'Output-Calculation-sheet'!T5*'Output-Calculation-sheet'!T14</f>
        <v>0</v>
      </c>
      <c r="U28" s="2">
        <f>U6/'Output-Calculation-sheet'!U5*'Output-Calculation-sheet'!U14</f>
        <v>0</v>
      </c>
      <c r="V28" s="2">
        <f>V6/'Output-Calculation-sheet'!V5*'Output-Calculation-sheet'!V14</f>
        <v>0</v>
      </c>
      <c r="W28" s="2">
        <f>W6/'Output-Calculation-sheet'!W5*'Output-Calculation-sheet'!W14</f>
        <v>0</v>
      </c>
      <c r="X28" s="2">
        <f>X6/'Output-Calculation-sheet'!X5*'Output-Calculation-sheet'!X14</f>
        <v>0</v>
      </c>
      <c r="Y28" s="2">
        <f>Y6/'Output-Calculation-sheet'!Y5*'Output-Calculation-sheet'!Y14</f>
        <v>0</v>
      </c>
      <c r="AA28" s="2">
        <f t="shared" ref="AA28:AA34" si="1">SUM(B28:Y28)/1000</f>
        <v>0</v>
      </c>
    </row>
    <row r="29" spans="1:27" x14ac:dyDescent="0.25">
      <c r="A29" s="2">
        <v>2030</v>
      </c>
      <c r="B29" s="2">
        <f>B7/'Output-Calculation-sheet'!B6*'Output-Calculation-sheet'!B15</f>
        <v>0</v>
      </c>
      <c r="C29" s="2">
        <f>C7/'Output-Calculation-sheet'!C6*'Output-Calculation-sheet'!C15</f>
        <v>0</v>
      </c>
      <c r="D29" s="2">
        <f>D7/'Output-Calculation-sheet'!D6*'Output-Calculation-sheet'!D15</f>
        <v>0</v>
      </c>
      <c r="E29" s="2">
        <f>E7/'Output-Calculation-sheet'!E6*'Output-Calculation-sheet'!E15</f>
        <v>0</v>
      </c>
      <c r="F29" s="2">
        <f>F7/'Output-Calculation-sheet'!F6*'Output-Calculation-sheet'!F15</f>
        <v>0</v>
      </c>
      <c r="G29" s="2">
        <f>G7/'Output-Calculation-sheet'!G6*'Output-Calculation-sheet'!G15</f>
        <v>0</v>
      </c>
      <c r="H29" s="2">
        <f>H7/'Output-Calculation-sheet'!H6*'Output-Calculation-sheet'!H15</f>
        <v>0</v>
      </c>
      <c r="I29" s="2">
        <f>I7/'Output-Calculation-sheet'!I6*'Output-Calculation-sheet'!I15</f>
        <v>0</v>
      </c>
      <c r="J29" s="2">
        <f>J7/'Output-Calculation-sheet'!J6*'Output-Calculation-sheet'!J15</f>
        <v>0</v>
      </c>
      <c r="K29" s="2">
        <f>K7/'Output-Calculation-sheet'!K6*'Output-Calculation-sheet'!K15</f>
        <v>0</v>
      </c>
      <c r="L29" s="2">
        <f>L7/'Output-Calculation-sheet'!L6*'Output-Calculation-sheet'!L15</f>
        <v>0</v>
      </c>
      <c r="M29" s="2">
        <f>M7/'Output-Calculation-sheet'!M6*'Output-Calculation-sheet'!M15</f>
        <v>0</v>
      </c>
      <c r="N29" s="2">
        <f>N7/'Output-Calculation-sheet'!N6*'Output-Calculation-sheet'!N15</f>
        <v>0</v>
      </c>
      <c r="O29" s="2">
        <f>O7/'Output-Calculation-sheet'!O6*'Output-Calculation-sheet'!O15</f>
        <v>0</v>
      </c>
      <c r="P29" s="2">
        <f>P7/'Output-Calculation-sheet'!P6*'Output-Calculation-sheet'!P15</f>
        <v>0</v>
      </c>
      <c r="Q29" s="2">
        <f>Q7/'Output-Calculation-sheet'!Q6*'Output-Calculation-sheet'!Q15</f>
        <v>0</v>
      </c>
      <c r="R29" s="2">
        <f>R7/'Output-Calculation-sheet'!R6*'Output-Calculation-sheet'!R15</f>
        <v>0</v>
      </c>
      <c r="S29" s="2">
        <f>S7/'Output-Calculation-sheet'!S6*'Output-Calculation-sheet'!S15</f>
        <v>0</v>
      </c>
      <c r="T29" s="2">
        <f>T7/'Output-Calculation-sheet'!T6*'Output-Calculation-sheet'!T15</f>
        <v>0</v>
      </c>
      <c r="U29" s="2">
        <f>U7/'Output-Calculation-sheet'!U6*'Output-Calculation-sheet'!U15</f>
        <v>0</v>
      </c>
      <c r="V29" s="2">
        <f>V7/'Output-Calculation-sheet'!V6*'Output-Calculation-sheet'!V15</f>
        <v>0</v>
      </c>
      <c r="W29" s="2">
        <f>W7/'Output-Calculation-sheet'!W6*'Output-Calculation-sheet'!W15</f>
        <v>0</v>
      </c>
      <c r="X29" s="2">
        <f>X7/'Output-Calculation-sheet'!X6*'Output-Calculation-sheet'!X15</f>
        <v>0</v>
      </c>
      <c r="Y29" s="2">
        <f>Y7/'Output-Calculation-sheet'!Y6*'Output-Calculation-sheet'!Y15</f>
        <v>0</v>
      </c>
      <c r="AA29" s="2">
        <f t="shared" si="1"/>
        <v>0</v>
      </c>
    </row>
    <row r="30" spans="1:27" x14ac:dyDescent="0.25">
      <c r="A30" s="2">
        <v>2031</v>
      </c>
      <c r="B30" s="2">
        <f>B8/'Output-Calculation-sheet'!B7*'Output-Calculation-sheet'!B16</f>
        <v>0</v>
      </c>
      <c r="C30" s="2">
        <f>C8/'Output-Calculation-sheet'!C7*'Output-Calculation-sheet'!C16</f>
        <v>0</v>
      </c>
      <c r="D30" s="2">
        <f>D8/'Output-Calculation-sheet'!D7*'Output-Calculation-sheet'!D16</f>
        <v>0</v>
      </c>
      <c r="E30" s="2">
        <f>E8/'Output-Calculation-sheet'!E7*'Output-Calculation-sheet'!E16</f>
        <v>0</v>
      </c>
      <c r="F30" s="2">
        <f>F8/'Output-Calculation-sheet'!F7*'Output-Calculation-sheet'!F16</f>
        <v>0</v>
      </c>
      <c r="G30" s="2">
        <f>G8/'Output-Calculation-sheet'!G7*'Output-Calculation-sheet'!G16</f>
        <v>0</v>
      </c>
      <c r="H30" s="2">
        <f>H8/'Output-Calculation-sheet'!H7*'Output-Calculation-sheet'!H16</f>
        <v>0</v>
      </c>
      <c r="I30" s="2">
        <f>I8/'Output-Calculation-sheet'!I7*'Output-Calculation-sheet'!I16</f>
        <v>0</v>
      </c>
      <c r="J30" s="2">
        <f>J8/'Output-Calculation-sheet'!J7*'Output-Calculation-sheet'!J16</f>
        <v>0</v>
      </c>
      <c r="K30" s="2">
        <f>K8/'Output-Calculation-sheet'!K7*'Output-Calculation-sheet'!K16</f>
        <v>0</v>
      </c>
      <c r="L30" s="2">
        <f>L8/'Output-Calculation-sheet'!L7*'Output-Calculation-sheet'!L16</f>
        <v>0</v>
      </c>
      <c r="M30" s="2">
        <f>M8/'Output-Calculation-sheet'!M7*'Output-Calculation-sheet'!M16</f>
        <v>0</v>
      </c>
      <c r="N30" s="2">
        <f>N8/'Output-Calculation-sheet'!N7*'Output-Calculation-sheet'!N16</f>
        <v>0</v>
      </c>
      <c r="O30" s="2">
        <f>O8/'Output-Calculation-sheet'!O7*'Output-Calculation-sheet'!O16</f>
        <v>0</v>
      </c>
      <c r="P30" s="2">
        <f>P8/'Output-Calculation-sheet'!P7*'Output-Calculation-sheet'!P16</f>
        <v>0</v>
      </c>
      <c r="Q30" s="2">
        <f>Q8/'Output-Calculation-sheet'!Q7*'Output-Calculation-sheet'!Q16</f>
        <v>0</v>
      </c>
      <c r="R30" s="2">
        <f>R8/'Output-Calculation-sheet'!R7*'Output-Calculation-sheet'!R16</f>
        <v>0</v>
      </c>
      <c r="S30" s="2">
        <f>S8/'Output-Calculation-sheet'!S7*'Output-Calculation-sheet'!S16</f>
        <v>0</v>
      </c>
      <c r="T30" s="2">
        <f>T8/'Output-Calculation-sheet'!T7*'Output-Calculation-sheet'!T16</f>
        <v>0</v>
      </c>
      <c r="U30" s="2">
        <f>U8/'Output-Calculation-sheet'!U7*'Output-Calculation-sheet'!U16</f>
        <v>0</v>
      </c>
      <c r="V30" s="2">
        <f>V8/'Output-Calculation-sheet'!V7*'Output-Calculation-sheet'!V16</f>
        <v>0</v>
      </c>
      <c r="W30" s="2">
        <f>W8/'Output-Calculation-sheet'!W7*'Output-Calculation-sheet'!W16</f>
        <v>0</v>
      </c>
      <c r="X30" s="2">
        <f>X8/'Output-Calculation-sheet'!X7*'Output-Calculation-sheet'!X16</f>
        <v>0</v>
      </c>
      <c r="Y30" s="2">
        <f>Y8/'Output-Calculation-sheet'!Y7*'Output-Calculation-sheet'!Y16</f>
        <v>0</v>
      </c>
      <c r="AA30" s="2">
        <f t="shared" si="1"/>
        <v>0</v>
      </c>
    </row>
    <row r="31" spans="1:27" x14ac:dyDescent="0.25">
      <c r="A31" s="2">
        <v>2032</v>
      </c>
      <c r="B31" s="2">
        <f>B9/'Output-Calculation-sheet'!B8*'Output-Calculation-sheet'!B17</f>
        <v>0</v>
      </c>
      <c r="C31" s="2">
        <f>C9/'Output-Calculation-sheet'!C8*'Output-Calculation-sheet'!C17</f>
        <v>0</v>
      </c>
      <c r="D31" s="2">
        <f>D9/'Output-Calculation-sheet'!D8*'Output-Calculation-sheet'!D17</f>
        <v>0</v>
      </c>
      <c r="E31" s="2">
        <f>E9/'Output-Calculation-sheet'!E8*'Output-Calculation-sheet'!E17</f>
        <v>0</v>
      </c>
      <c r="F31" s="2">
        <f>F9/'Output-Calculation-sheet'!F8*'Output-Calculation-sheet'!F17</f>
        <v>0</v>
      </c>
      <c r="G31" s="2">
        <f>G9/'Output-Calculation-sheet'!G8*'Output-Calculation-sheet'!G17</f>
        <v>0</v>
      </c>
      <c r="H31" s="2">
        <f>H9/'Output-Calculation-sheet'!H8*'Output-Calculation-sheet'!H17</f>
        <v>0</v>
      </c>
      <c r="I31" s="2">
        <f>I9/'Output-Calculation-sheet'!I8*'Output-Calculation-sheet'!I17</f>
        <v>0</v>
      </c>
      <c r="J31" s="2">
        <f>J9/'Output-Calculation-sheet'!J8*'Output-Calculation-sheet'!J17</f>
        <v>0</v>
      </c>
      <c r="K31" s="2">
        <f>K9/'Output-Calculation-sheet'!K8*'Output-Calculation-sheet'!K17</f>
        <v>0</v>
      </c>
      <c r="L31" s="2">
        <f>L9/'Output-Calculation-sheet'!L8*'Output-Calculation-sheet'!L17</f>
        <v>0</v>
      </c>
      <c r="M31" s="2">
        <f>M9/'Output-Calculation-sheet'!M8*'Output-Calculation-sheet'!M17</f>
        <v>0</v>
      </c>
      <c r="N31" s="2">
        <f>N9/'Output-Calculation-sheet'!N8*'Output-Calculation-sheet'!N17</f>
        <v>0</v>
      </c>
      <c r="O31" s="2">
        <f>O9/'Output-Calculation-sheet'!O8*'Output-Calculation-sheet'!O17</f>
        <v>0</v>
      </c>
      <c r="P31" s="2">
        <f>P9/'Output-Calculation-sheet'!P8*'Output-Calculation-sheet'!P17</f>
        <v>0</v>
      </c>
      <c r="Q31" s="2">
        <f>Q9/'Output-Calculation-sheet'!Q8*'Output-Calculation-sheet'!Q17</f>
        <v>0</v>
      </c>
      <c r="R31" s="2">
        <f>R9/'Output-Calculation-sheet'!R8*'Output-Calculation-sheet'!R17</f>
        <v>0</v>
      </c>
      <c r="S31" s="2">
        <f>S9/'Output-Calculation-sheet'!S8*'Output-Calculation-sheet'!S17</f>
        <v>0</v>
      </c>
      <c r="T31" s="2">
        <f>T9/'Output-Calculation-sheet'!T8*'Output-Calculation-sheet'!T17</f>
        <v>0</v>
      </c>
      <c r="U31" s="2">
        <f>U9/'Output-Calculation-sheet'!U8*'Output-Calculation-sheet'!U17</f>
        <v>0</v>
      </c>
      <c r="V31" s="2">
        <f>V9/'Output-Calculation-sheet'!V8*'Output-Calculation-sheet'!V17</f>
        <v>0</v>
      </c>
      <c r="W31" s="2">
        <f>W9/'Output-Calculation-sheet'!W8*'Output-Calculation-sheet'!W17</f>
        <v>0</v>
      </c>
      <c r="X31" s="2">
        <f>X9/'Output-Calculation-sheet'!X8*'Output-Calculation-sheet'!X17</f>
        <v>0</v>
      </c>
      <c r="Y31" s="2">
        <f>Y9/'Output-Calculation-sheet'!Y8*'Output-Calculation-sheet'!Y17</f>
        <v>0</v>
      </c>
      <c r="AA31" s="2">
        <f t="shared" si="1"/>
        <v>0</v>
      </c>
    </row>
    <row r="32" spans="1:27" x14ac:dyDescent="0.25">
      <c r="A32" s="2">
        <v>2033</v>
      </c>
      <c r="B32" s="2">
        <f>B10/'Output-Calculation-sheet'!B9*'Output-Calculation-sheet'!B18</f>
        <v>0</v>
      </c>
      <c r="C32" s="2">
        <f>C10/'Output-Calculation-sheet'!C9*'Output-Calculation-sheet'!C18</f>
        <v>0</v>
      </c>
      <c r="D32" s="2">
        <f>D10/'Output-Calculation-sheet'!D9*'Output-Calculation-sheet'!D18</f>
        <v>0</v>
      </c>
      <c r="E32" s="2">
        <f>E10/'Output-Calculation-sheet'!E9*'Output-Calculation-sheet'!E18</f>
        <v>0</v>
      </c>
      <c r="F32" s="2">
        <f>F10/'Output-Calculation-sheet'!F9*'Output-Calculation-sheet'!F18</f>
        <v>0</v>
      </c>
      <c r="G32" s="2">
        <f>G10/'Output-Calculation-sheet'!G9*'Output-Calculation-sheet'!G18</f>
        <v>0</v>
      </c>
      <c r="H32" s="2">
        <f>H10/'Output-Calculation-sheet'!H9*'Output-Calculation-sheet'!H18</f>
        <v>0</v>
      </c>
      <c r="I32" s="2">
        <f>I10/'Output-Calculation-sheet'!I9*'Output-Calculation-sheet'!I18</f>
        <v>0</v>
      </c>
      <c r="J32" s="2">
        <f>J10/'Output-Calculation-sheet'!J9*'Output-Calculation-sheet'!J18</f>
        <v>0</v>
      </c>
      <c r="K32" s="2">
        <f>K10/'Output-Calculation-sheet'!K9*'Output-Calculation-sheet'!K18</f>
        <v>0</v>
      </c>
      <c r="L32" s="2">
        <f>L10/'Output-Calculation-sheet'!L9*'Output-Calculation-sheet'!L18</f>
        <v>0</v>
      </c>
      <c r="M32" s="2">
        <f>M10/'Output-Calculation-sheet'!M9*'Output-Calculation-sheet'!M18</f>
        <v>0</v>
      </c>
      <c r="N32" s="2">
        <f>N10/'Output-Calculation-sheet'!N9*'Output-Calculation-sheet'!N18</f>
        <v>0</v>
      </c>
      <c r="O32" s="2">
        <f>O10/'Output-Calculation-sheet'!O9*'Output-Calculation-sheet'!O18</f>
        <v>0</v>
      </c>
      <c r="P32" s="2">
        <f>P10/'Output-Calculation-sheet'!P9*'Output-Calculation-sheet'!P18</f>
        <v>0</v>
      </c>
      <c r="Q32" s="2">
        <f>Q10/'Output-Calculation-sheet'!Q9*'Output-Calculation-sheet'!Q18</f>
        <v>0</v>
      </c>
      <c r="R32" s="2">
        <f>R10/'Output-Calculation-sheet'!R9*'Output-Calculation-sheet'!R18</f>
        <v>0</v>
      </c>
      <c r="S32" s="2">
        <f>S10/'Output-Calculation-sheet'!S9*'Output-Calculation-sheet'!S18</f>
        <v>0</v>
      </c>
      <c r="T32" s="2">
        <f>T10/'Output-Calculation-sheet'!T9*'Output-Calculation-sheet'!T18</f>
        <v>0</v>
      </c>
      <c r="U32" s="2">
        <f>U10/'Output-Calculation-sheet'!U9*'Output-Calculation-sheet'!U18</f>
        <v>0</v>
      </c>
      <c r="V32" s="2">
        <f>V10/'Output-Calculation-sheet'!V9*'Output-Calculation-sheet'!V18</f>
        <v>0</v>
      </c>
      <c r="W32" s="2">
        <f>W10/'Output-Calculation-sheet'!W9*'Output-Calculation-sheet'!W18</f>
        <v>0</v>
      </c>
      <c r="X32" s="2">
        <f>X10/'Output-Calculation-sheet'!X9*'Output-Calculation-sheet'!X18</f>
        <v>0</v>
      </c>
      <c r="Y32" s="2">
        <f>Y10/'Output-Calculation-sheet'!Y9*'Output-Calculation-sheet'!Y18</f>
        <v>0</v>
      </c>
      <c r="AA32" s="2">
        <f t="shared" si="1"/>
        <v>0</v>
      </c>
    </row>
    <row r="33" spans="1:27" x14ac:dyDescent="0.25">
      <c r="A33" s="2">
        <v>2034</v>
      </c>
      <c r="B33" s="2">
        <f>B11/'Output-Calculation-sheet'!B10*'Output-Calculation-sheet'!B19</f>
        <v>0</v>
      </c>
      <c r="C33" s="2">
        <f>C11/'Output-Calculation-sheet'!C10*'Output-Calculation-sheet'!C19</f>
        <v>0</v>
      </c>
      <c r="D33" s="2">
        <f>D11/'Output-Calculation-sheet'!D10*'Output-Calculation-sheet'!D19</f>
        <v>0</v>
      </c>
      <c r="E33" s="2">
        <f>E11/'Output-Calculation-sheet'!E10*'Output-Calculation-sheet'!E19</f>
        <v>0</v>
      </c>
      <c r="F33" s="2">
        <f>F11/'Output-Calculation-sheet'!F10*'Output-Calculation-sheet'!F19</f>
        <v>0</v>
      </c>
      <c r="G33" s="2">
        <f>G11/'Output-Calculation-sheet'!G10*'Output-Calculation-sheet'!G19</f>
        <v>0</v>
      </c>
      <c r="H33" s="2">
        <f>H11/'Output-Calculation-sheet'!H10*'Output-Calculation-sheet'!H19</f>
        <v>0</v>
      </c>
      <c r="I33" s="2">
        <f>I11/'Output-Calculation-sheet'!I10*'Output-Calculation-sheet'!I19</f>
        <v>0</v>
      </c>
      <c r="J33" s="2">
        <f>J11/'Output-Calculation-sheet'!J10*'Output-Calculation-sheet'!J19</f>
        <v>0</v>
      </c>
      <c r="K33" s="2">
        <f>K11/'Output-Calculation-sheet'!K10*'Output-Calculation-sheet'!K19</f>
        <v>0</v>
      </c>
      <c r="L33" s="2">
        <f>L11/'Output-Calculation-sheet'!L10*'Output-Calculation-sheet'!L19</f>
        <v>0</v>
      </c>
      <c r="M33" s="2">
        <f>M11/'Output-Calculation-sheet'!M10*'Output-Calculation-sheet'!M19</f>
        <v>0</v>
      </c>
      <c r="N33" s="2">
        <f>N11/'Output-Calculation-sheet'!N10*'Output-Calculation-sheet'!N19</f>
        <v>0</v>
      </c>
      <c r="O33" s="2">
        <f>O11/'Output-Calculation-sheet'!O10*'Output-Calculation-sheet'!O19</f>
        <v>0</v>
      </c>
      <c r="P33" s="2">
        <f>P11/'Output-Calculation-sheet'!P10*'Output-Calculation-sheet'!P19</f>
        <v>0</v>
      </c>
      <c r="Q33" s="2">
        <f>Q11/'Output-Calculation-sheet'!Q10*'Output-Calculation-sheet'!Q19</f>
        <v>0</v>
      </c>
      <c r="R33" s="2">
        <f>R11/'Output-Calculation-sheet'!R10*'Output-Calculation-sheet'!R19</f>
        <v>0</v>
      </c>
      <c r="S33" s="2">
        <f>S11/'Output-Calculation-sheet'!S10*'Output-Calculation-sheet'!S19</f>
        <v>0</v>
      </c>
      <c r="T33" s="2">
        <f>T11/'Output-Calculation-sheet'!T10*'Output-Calculation-sheet'!T19</f>
        <v>0</v>
      </c>
      <c r="U33" s="2">
        <f>U11/'Output-Calculation-sheet'!U10*'Output-Calculation-sheet'!U19</f>
        <v>0</v>
      </c>
      <c r="V33" s="2">
        <f>V11/'Output-Calculation-sheet'!V10*'Output-Calculation-sheet'!V19</f>
        <v>0</v>
      </c>
      <c r="W33" s="2">
        <f>W11/'Output-Calculation-sheet'!W10*'Output-Calculation-sheet'!W19</f>
        <v>0</v>
      </c>
      <c r="X33" s="2">
        <f>X11/'Output-Calculation-sheet'!X10*'Output-Calculation-sheet'!X19</f>
        <v>0</v>
      </c>
      <c r="Y33" s="2">
        <f>Y11/'Output-Calculation-sheet'!Y10*'Output-Calculation-sheet'!Y19</f>
        <v>0</v>
      </c>
      <c r="AA33" s="2">
        <f t="shared" si="1"/>
        <v>0</v>
      </c>
    </row>
    <row r="34" spans="1:27" x14ac:dyDescent="0.25">
      <c r="A34" s="2">
        <v>2035</v>
      </c>
      <c r="B34" s="2">
        <f>B12/'Output-Calculation-sheet'!B11*'Output-Calculation-sheet'!B20</f>
        <v>0</v>
      </c>
      <c r="C34" s="2">
        <f>C12/'Output-Calculation-sheet'!C11*'Output-Calculation-sheet'!C20</f>
        <v>0</v>
      </c>
      <c r="D34" s="2">
        <f>D12/'Output-Calculation-sheet'!D11*'Output-Calculation-sheet'!D20</f>
        <v>0</v>
      </c>
      <c r="E34" s="2">
        <f>E12/'Output-Calculation-sheet'!E11*'Output-Calculation-sheet'!E20</f>
        <v>0</v>
      </c>
      <c r="F34" s="2">
        <f>F12/'Output-Calculation-sheet'!F11*'Output-Calculation-sheet'!F20</f>
        <v>0</v>
      </c>
      <c r="G34" s="2">
        <f>G12/'Output-Calculation-sheet'!G11*'Output-Calculation-sheet'!G20</f>
        <v>0</v>
      </c>
      <c r="H34" s="2">
        <f>H12/'Output-Calculation-sheet'!H11*'Output-Calculation-sheet'!H20</f>
        <v>0</v>
      </c>
      <c r="I34" s="2">
        <f>I12/'Output-Calculation-sheet'!I11*'Output-Calculation-sheet'!I20</f>
        <v>0</v>
      </c>
      <c r="J34" s="2">
        <f>J12/'Output-Calculation-sheet'!J11*'Output-Calculation-sheet'!J20</f>
        <v>0</v>
      </c>
      <c r="K34" s="2">
        <f>K12/'Output-Calculation-sheet'!K11*'Output-Calculation-sheet'!K20</f>
        <v>0</v>
      </c>
      <c r="L34" s="2">
        <f>L12/'Output-Calculation-sheet'!L11*'Output-Calculation-sheet'!L20</f>
        <v>0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0</v>
      </c>
      <c r="Q34" s="2">
        <f>Q12/'Output-Calculation-sheet'!Q11*'Output-Calculation-sheet'!Q20</f>
        <v>0</v>
      </c>
      <c r="R34" s="2">
        <f>R12/'Output-Calculation-sheet'!R11*'Output-Calculation-sheet'!R20</f>
        <v>0</v>
      </c>
      <c r="S34" s="2">
        <f>S12/'Output-Calculation-sheet'!S11*'Output-Calculation-sheet'!S20</f>
        <v>0</v>
      </c>
      <c r="T34" s="2">
        <f>T12/'Output-Calculation-sheet'!T11*'Output-Calculation-sheet'!T20</f>
        <v>0</v>
      </c>
      <c r="U34" s="2">
        <f>U12/'Output-Calculation-sheet'!U11*'Output-Calculation-sheet'!U20</f>
        <v>0</v>
      </c>
      <c r="V34" s="2">
        <f>V12/'Output-Calculation-sheet'!V11*'Output-Calculation-sheet'!V20</f>
        <v>0</v>
      </c>
      <c r="W34" s="2">
        <f>W12/'Output-Calculation-sheet'!W11*'Output-Calculation-sheet'!W20</f>
        <v>0</v>
      </c>
      <c r="X34" s="2">
        <f>X12/'Output-Calculation-sheet'!X11*'Output-Calculation-sheet'!X20</f>
        <v>0</v>
      </c>
      <c r="Y34" s="2">
        <f>Y12/'Output-Calculation-sheet'!Y11*'Output-Calculation-sheet'!Y20</f>
        <v>0</v>
      </c>
      <c r="AA34" s="2">
        <f t="shared" si="1"/>
        <v>0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(B6-B5)*'Output-Calculation-sheet'!B50/10^9+B60</f>
        <v>0</v>
      </c>
      <c r="C61" s="2">
        <f>(C6-C5)*'Output-Calculation-sheet'!C50/10^9+C60</f>
        <v>0</v>
      </c>
      <c r="D61" s="2">
        <f>(D6-D5)*'Output-Calculation-sheet'!D50/10^9+D60</f>
        <v>0</v>
      </c>
      <c r="E61" s="2">
        <f>(E6-E5)*'Output-Calculation-sheet'!E50/10^9+E60</f>
        <v>0</v>
      </c>
      <c r="F61" s="2">
        <f>(F6-F5)*'Output-Calculation-sheet'!F50/10^9+F60</f>
        <v>0</v>
      </c>
      <c r="G61" s="2">
        <f>(G6-G5)*'Output-Calculation-sheet'!G50/10^9+G60</f>
        <v>0</v>
      </c>
      <c r="H61" s="2">
        <f>(H6-H5)*'Output-Calculation-sheet'!H50/10^9+H60</f>
        <v>0</v>
      </c>
      <c r="I61" s="2">
        <f>(I6-I5)*'Output-Calculation-sheet'!I50/10^9+I60</f>
        <v>0</v>
      </c>
      <c r="J61" s="2">
        <f>(J6-J5)*'Output-Calculation-sheet'!J50/10^9+J60</f>
        <v>0</v>
      </c>
      <c r="K61" s="2">
        <f>(K6-K5)*'Output-Calculation-sheet'!K50/10^9+K60</f>
        <v>0</v>
      </c>
      <c r="L61" s="2">
        <f>(L6-L5)*'Output-Calculation-sheet'!L50/10^9+L60</f>
        <v>0</v>
      </c>
      <c r="M61" s="2">
        <f>(M6-M5)*'Output-Calculation-sheet'!M50/10^9+M60</f>
        <v>0</v>
      </c>
      <c r="N61" s="2">
        <f>(N6-N5)*'Output-Calculation-sheet'!N50/10^9+N60</f>
        <v>0</v>
      </c>
      <c r="O61" s="2">
        <f>(O6-O5)*'Output-Calculation-sheet'!O50/10^9+O60</f>
        <v>0</v>
      </c>
      <c r="P61" s="2">
        <f>(P6-P5)*'Output-Calculation-sheet'!P50/10^9+P60</f>
        <v>0</v>
      </c>
      <c r="Q61" s="2">
        <f>(Q6-Q5)*'Output-Calculation-sheet'!Q50/10^9+Q60</f>
        <v>0</v>
      </c>
      <c r="R61" s="2">
        <f>(R6-R5)*'Output-Calculation-sheet'!R50/10^9+R60</f>
        <v>0</v>
      </c>
      <c r="S61" s="2">
        <f>(S6-S5)*'Output-Calculation-sheet'!S50/10^9+S60</f>
        <v>0</v>
      </c>
      <c r="T61" s="2">
        <f>(T6-T5)*'Output-Calculation-sheet'!T50/10^9+T60</f>
        <v>0</v>
      </c>
      <c r="U61" s="2">
        <f>(U6-U5)*'Output-Calculation-sheet'!U50/10^9+U60</f>
        <v>0</v>
      </c>
      <c r="V61" s="2">
        <f>(V6-V5)*'Output-Calculation-sheet'!V50/10^9+V60</f>
        <v>0</v>
      </c>
      <c r="W61" s="2">
        <f>(W6-W5)*'Output-Calculation-sheet'!W50/10^9+W60</f>
        <v>0</v>
      </c>
      <c r="X61" s="2">
        <f>(X6-X5)*'Output-Calculation-sheet'!X50/10^9+X60</f>
        <v>0</v>
      </c>
      <c r="Y61" s="2">
        <f>(Y6-Y5)*'Output-Calculation-sheet'!Y50/10^9+Y60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(B7-B6)*'Output-Calculation-sheet'!B51/10^9+B61</f>
        <v>0</v>
      </c>
      <c r="C62" s="2">
        <f>(C7-C6)*'Output-Calculation-sheet'!C51/10^9+C61</f>
        <v>0</v>
      </c>
      <c r="D62" s="2">
        <f>(D7-D6)*'Output-Calculation-sheet'!D51/10^9+D61</f>
        <v>0</v>
      </c>
      <c r="E62" s="2">
        <f>(E7-E6)*'Output-Calculation-sheet'!E51/10^9+E61</f>
        <v>0</v>
      </c>
      <c r="F62" s="2">
        <f>(F7-F6)*'Output-Calculation-sheet'!F51/10^9+F61</f>
        <v>0</v>
      </c>
      <c r="G62" s="2">
        <f>(G7-G6)*'Output-Calculation-sheet'!G51/10^9+G61</f>
        <v>0</v>
      </c>
      <c r="H62" s="2">
        <f>(H7-H6)*'Output-Calculation-sheet'!H51/10^9+H61</f>
        <v>0</v>
      </c>
      <c r="I62" s="2">
        <f>(I7-I6)*'Output-Calculation-sheet'!I51/10^9+I61</f>
        <v>0</v>
      </c>
      <c r="J62" s="2">
        <f>(J7-J6)*'Output-Calculation-sheet'!J51/10^9+J61</f>
        <v>0</v>
      </c>
      <c r="K62" s="2">
        <f>(K7-K6)*'Output-Calculation-sheet'!K51/10^9+K61</f>
        <v>0</v>
      </c>
      <c r="L62" s="2">
        <f>(L7-L6)*'Output-Calculation-sheet'!L51/10^9+L61</f>
        <v>0</v>
      </c>
      <c r="M62" s="2">
        <f>(M7-M6)*'Output-Calculation-sheet'!M51/10^9+M61</f>
        <v>0</v>
      </c>
      <c r="N62" s="2">
        <f>(N7-N6)*'Output-Calculation-sheet'!N51/10^9+N61</f>
        <v>0</v>
      </c>
      <c r="O62" s="2">
        <f>(O7-O6)*'Output-Calculation-sheet'!O51/10^9+O61</f>
        <v>0</v>
      </c>
      <c r="P62" s="2">
        <f>(P7-P6)*'Output-Calculation-sheet'!P51/10^9+P61</f>
        <v>0</v>
      </c>
      <c r="Q62" s="2">
        <f>(Q7-Q6)*'Output-Calculation-sheet'!Q51/10^9+Q61</f>
        <v>0</v>
      </c>
      <c r="R62" s="2">
        <f>(R7-R6)*'Output-Calculation-sheet'!R51/10^9+R61</f>
        <v>0</v>
      </c>
      <c r="S62" s="2">
        <f>(S7-S6)*'Output-Calculation-sheet'!S51/10^9+S61</f>
        <v>0</v>
      </c>
      <c r="T62" s="2">
        <f>(T7-T6)*'Output-Calculation-sheet'!T51/10^9+T61</f>
        <v>0</v>
      </c>
      <c r="U62" s="2">
        <f>(U7-U6)*'Output-Calculation-sheet'!U51/10^9+U61</f>
        <v>0</v>
      </c>
      <c r="V62" s="2">
        <f>(V7-V6)*'Output-Calculation-sheet'!V51/10^9+V61</f>
        <v>0</v>
      </c>
      <c r="W62" s="2">
        <f>(W7-W6)*'Output-Calculation-sheet'!W51/10^9+W61</f>
        <v>0</v>
      </c>
      <c r="X62" s="2">
        <f>(X7-X6)*'Output-Calculation-sheet'!X51/10^9+X61</f>
        <v>0</v>
      </c>
      <c r="Y62" s="2">
        <f>(Y7-Y6)*'Output-Calculation-sheet'!Y51/10^9+Y61</f>
        <v>0</v>
      </c>
      <c r="AA62" s="2">
        <f t="shared" si="4"/>
        <v>0</v>
      </c>
    </row>
    <row r="63" spans="1:27" x14ac:dyDescent="0.25">
      <c r="A63" s="2">
        <v>2031</v>
      </c>
      <c r="B63" s="2">
        <f>(B8-B7)*'Output-Calculation-sheet'!B52/10^9+B62</f>
        <v>0</v>
      </c>
      <c r="C63" s="2">
        <f>(C8-C7)*'Output-Calculation-sheet'!C52/10^9+C62</f>
        <v>0</v>
      </c>
      <c r="D63" s="2">
        <f>(D8-D7)*'Output-Calculation-sheet'!D52/10^9+D62</f>
        <v>0</v>
      </c>
      <c r="E63" s="2">
        <f>(E8-E7)*'Output-Calculation-sheet'!E52/10^9+E62</f>
        <v>0</v>
      </c>
      <c r="F63" s="2">
        <f>(F8-F7)*'Output-Calculation-sheet'!F52/10^9+F62</f>
        <v>0</v>
      </c>
      <c r="G63" s="2">
        <f>(G8-G7)*'Output-Calculation-sheet'!G52/10^9+G62</f>
        <v>0</v>
      </c>
      <c r="H63" s="2">
        <f>(H8-H7)*'Output-Calculation-sheet'!H52/10^9+H62</f>
        <v>0</v>
      </c>
      <c r="I63" s="2">
        <f>(I8-I7)*'Output-Calculation-sheet'!I52/10^9+I62</f>
        <v>0</v>
      </c>
      <c r="J63" s="2">
        <f>(J8-J7)*'Output-Calculation-sheet'!J52/10^9+J62</f>
        <v>0</v>
      </c>
      <c r="K63" s="2">
        <f>(K8-K7)*'Output-Calculation-sheet'!K52/10^9+K62</f>
        <v>0</v>
      </c>
      <c r="L63" s="2">
        <f>(L8-L7)*'Output-Calculation-sheet'!L52/10^9+L62</f>
        <v>0</v>
      </c>
      <c r="M63" s="2">
        <f>(M8-M7)*'Output-Calculation-sheet'!M52/10^9+M62</f>
        <v>0</v>
      </c>
      <c r="N63" s="2">
        <f>(N8-N7)*'Output-Calculation-sheet'!N52/10^9+N62</f>
        <v>0</v>
      </c>
      <c r="O63" s="2">
        <f>(O8-O7)*'Output-Calculation-sheet'!O52/10^9+O62</f>
        <v>0</v>
      </c>
      <c r="P63" s="2">
        <f>(P8-P7)*'Output-Calculation-sheet'!P52/10^9+P62</f>
        <v>0</v>
      </c>
      <c r="Q63" s="2">
        <f>(Q8-Q7)*'Output-Calculation-sheet'!Q52/10^9+Q62</f>
        <v>0</v>
      </c>
      <c r="R63" s="2">
        <f>(R8-R7)*'Output-Calculation-sheet'!R52/10^9+R62</f>
        <v>0</v>
      </c>
      <c r="S63" s="2">
        <f>(S8-S7)*'Output-Calculation-sheet'!S52/10^9+S62</f>
        <v>0</v>
      </c>
      <c r="T63" s="2">
        <f>(T8-T7)*'Output-Calculation-sheet'!T52/10^9+T62</f>
        <v>0</v>
      </c>
      <c r="U63" s="2">
        <f>(U8-U7)*'Output-Calculation-sheet'!U52/10^9+U62</f>
        <v>0</v>
      </c>
      <c r="V63" s="2">
        <f>(V8-V7)*'Output-Calculation-sheet'!V52/10^9+V62</f>
        <v>0</v>
      </c>
      <c r="W63" s="2">
        <f>(W8-W7)*'Output-Calculation-sheet'!W52/10^9+W62</f>
        <v>0</v>
      </c>
      <c r="X63" s="2">
        <f>(X8-X7)*'Output-Calculation-sheet'!X52/10^9+X62</f>
        <v>0</v>
      </c>
      <c r="Y63" s="2">
        <f>(Y8-Y7)*'Output-Calculation-sheet'!Y52/10^9+Y62</f>
        <v>0</v>
      </c>
      <c r="AA63" s="2">
        <f t="shared" si="4"/>
        <v>0</v>
      </c>
    </row>
    <row r="64" spans="1:27" x14ac:dyDescent="0.25">
      <c r="A64" s="2">
        <v>2032</v>
      </c>
      <c r="B64" s="2">
        <f>(B9-B8)*'Output-Calculation-sheet'!B53/10^9+B63</f>
        <v>0</v>
      </c>
      <c r="C64" s="2">
        <f>(C9-C8)*'Output-Calculation-sheet'!C53/10^9+C63</f>
        <v>0</v>
      </c>
      <c r="D64" s="2">
        <f>(D9-D8)*'Output-Calculation-sheet'!D53/10^9+D63</f>
        <v>0</v>
      </c>
      <c r="E64" s="2">
        <f>(E9-E8)*'Output-Calculation-sheet'!E53/10^9+E63</f>
        <v>0</v>
      </c>
      <c r="F64" s="2">
        <f>(F9-F8)*'Output-Calculation-sheet'!F53/10^9+F63</f>
        <v>0</v>
      </c>
      <c r="G64" s="2">
        <f>(G9-G8)*'Output-Calculation-sheet'!G53/10^9+G63</f>
        <v>0</v>
      </c>
      <c r="H64" s="2">
        <f>(H9-H8)*'Output-Calculation-sheet'!H53/10^9+H63</f>
        <v>0</v>
      </c>
      <c r="I64" s="2">
        <f>(I9-I8)*'Output-Calculation-sheet'!I53/10^9+I63</f>
        <v>0</v>
      </c>
      <c r="J64" s="2">
        <f>(J9-J8)*'Output-Calculation-sheet'!J53/10^9+J63</f>
        <v>0</v>
      </c>
      <c r="K64" s="2">
        <f>(K9-K8)*'Output-Calculation-sheet'!K53/10^9+K63</f>
        <v>0</v>
      </c>
      <c r="L64" s="2">
        <f>(L9-L8)*'Output-Calculation-sheet'!L53/10^9+L63</f>
        <v>0</v>
      </c>
      <c r="M64" s="2">
        <f>(M9-M8)*'Output-Calculation-sheet'!M53/10^9+M63</f>
        <v>0</v>
      </c>
      <c r="N64" s="2">
        <f>(N9-N8)*'Output-Calculation-sheet'!N53/10^9+N63</f>
        <v>0</v>
      </c>
      <c r="O64" s="2">
        <f>(O9-O8)*'Output-Calculation-sheet'!O53/10^9+O63</f>
        <v>0</v>
      </c>
      <c r="P64" s="2">
        <f>(P9-P8)*'Output-Calculation-sheet'!P53/10^9+P63</f>
        <v>0</v>
      </c>
      <c r="Q64" s="2">
        <f>(Q9-Q8)*'Output-Calculation-sheet'!Q53/10^9+Q63</f>
        <v>0</v>
      </c>
      <c r="R64" s="2">
        <f>(R9-R8)*'Output-Calculation-sheet'!R53/10^9+R63</f>
        <v>0</v>
      </c>
      <c r="S64" s="2">
        <f>(S9-S8)*'Output-Calculation-sheet'!S53/10^9+S63</f>
        <v>0</v>
      </c>
      <c r="T64" s="2">
        <f>(T9-T8)*'Output-Calculation-sheet'!T53/10^9+T63</f>
        <v>0</v>
      </c>
      <c r="U64" s="2">
        <f>(U9-U8)*'Output-Calculation-sheet'!U53/10^9+U63</f>
        <v>0</v>
      </c>
      <c r="V64" s="2">
        <f>(V9-V8)*'Output-Calculation-sheet'!V53/10^9+V63</f>
        <v>0</v>
      </c>
      <c r="W64" s="2">
        <f>(W9-W8)*'Output-Calculation-sheet'!W53/10^9+W63</f>
        <v>0</v>
      </c>
      <c r="X64" s="2">
        <f>(X9-X8)*'Output-Calculation-sheet'!X53/10^9+X63</f>
        <v>0</v>
      </c>
      <c r="Y64" s="2">
        <f>(Y9-Y8)*'Output-Calculation-sheet'!Y53/10^9+Y63</f>
        <v>0</v>
      </c>
      <c r="AA64" s="2">
        <f t="shared" si="4"/>
        <v>0</v>
      </c>
    </row>
    <row r="65" spans="1:27" x14ac:dyDescent="0.25">
      <c r="A65" s="2">
        <v>2033</v>
      </c>
      <c r="B65" s="2">
        <f>(B10-B9)*'Output-Calculation-sheet'!B54/10^9+B64</f>
        <v>0</v>
      </c>
      <c r="C65" s="2">
        <f>(C10-C9)*'Output-Calculation-sheet'!C54/10^9+C64</f>
        <v>0</v>
      </c>
      <c r="D65" s="2">
        <f>(D10-D9)*'Output-Calculation-sheet'!D54/10^9+D64</f>
        <v>0</v>
      </c>
      <c r="E65" s="2">
        <f>(E10-E9)*'Output-Calculation-sheet'!E54/10^9+E64</f>
        <v>0</v>
      </c>
      <c r="F65" s="2">
        <f>(F10-F9)*'Output-Calculation-sheet'!F54/10^9+F64</f>
        <v>0</v>
      </c>
      <c r="G65" s="2">
        <f>(G10-G9)*'Output-Calculation-sheet'!G54/10^9+G64</f>
        <v>0</v>
      </c>
      <c r="H65" s="2">
        <f>(H10-H9)*'Output-Calculation-sheet'!H54/10^9+H64</f>
        <v>0</v>
      </c>
      <c r="I65" s="2">
        <f>(I10-I9)*'Output-Calculation-sheet'!I54/10^9+I64</f>
        <v>0</v>
      </c>
      <c r="J65" s="2">
        <f>(J10-J9)*'Output-Calculation-sheet'!J54/10^9+J64</f>
        <v>0</v>
      </c>
      <c r="K65" s="2">
        <f>(K10-K9)*'Output-Calculation-sheet'!K54/10^9+K64</f>
        <v>0</v>
      </c>
      <c r="L65" s="2">
        <f>(L10-L9)*'Output-Calculation-sheet'!L54/10^9+L64</f>
        <v>0</v>
      </c>
      <c r="M65" s="2">
        <f>(M10-M9)*'Output-Calculation-sheet'!M54/10^9+M64</f>
        <v>0</v>
      </c>
      <c r="N65" s="2">
        <f>(N10-N9)*'Output-Calculation-sheet'!N54/10^9+N64</f>
        <v>0</v>
      </c>
      <c r="O65" s="2">
        <f>(O10-O9)*'Output-Calculation-sheet'!O54/10^9+O64</f>
        <v>0</v>
      </c>
      <c r="P65" s="2">
        <f>(P10-P9)*'Output-Calculation-sheet'!P54/10^9+P64</f>
        <v>0</v>
      </c>
      <c r="Q65" s="2">
        <f>(Q10-Q9)*'Output-Calculation-sheet'!Q54/10^9+Q64</f>
        <v>0</v>
      </c>
      <c r="R65" s="2">
        <f>(R10-R9)*'Output-Calculation-sheet'!R54/10^9+R64</f>
        <v>0</v>
      </c>
      <c r="S65" s="2">
        <f>(S10-S9)*'Output-Calculation-sheet'!S54/10^9+S64</f>
        <v>0</v>
      </c>
      <c r="T65" s="2">
        <f>(T10-T9)*'Output-Calculation-sheet'!T54/10^9+T64</f>
        <v>0</v>
      </c>
      <c r="U65" s="2">
        <f>(U10-U9)*'Output-Calculation-sheet'!U54/10^9+U64</f>
        <v>0</v>
      </c>
      <c r="V65" s="2">
        <f>(V10-V9)*'Output-Calculation-sheet'!V54/10^9+V64</f>
        <v>0</v>
      </c>
      <c r="W65" s="2">
        <f>(W10-W9)*'Output-Calculation-sheet'!W54/10^9+W64</f>
        <v>0</v>
      </c>
      <c r="X65" s="2">
        <f>(X10-X9)*'Output-Calculation-sheet'!X54/10^9+X64</f>
        <v>0</v>
      </c>
      <c r="Y65" s="2">
        <f>(Y10-Y9)*'Output-Calculation-sheet'!Y54/10^9+Y64</f>
        <v>0</v>
      </c>
      <c r="AA65" s="2">
        <f t="shared" si="4"/>
        <v>0</v>
      </c>
    </row>
    <row r="66" spans="1:27" x14ac:dyDescent="0.25">
      <c r="A66" s="2">
        <v>2034</v>
      </c>
      <c r="B66" s="2">
        <f>(B11-B10)*'Output-Calculation-sheet'!B55/10^9+B65</f>
        <v>0</v>
      </c>
      <c r="C66" s="2">
        <f>(C11-C10)*'Output-Calculation-sheet'!C55/10^9+C65</f>
        <v>0</v>
      </c>
      <c r="D66" s="2">
        <f>(D11-D10)*'Output-Calculation-sheet'!D55/10^9+D65</f>
        <v>0</v>
      </c>
      <c r="E66" s="2">
        <f>(E11-E10)*'Output-Calculation-sheet'!E55/10^9+E65</f>
        <v>0</v>
      </c>
      <c r="F66" s="2">
        <f>(F11-F10)*'Output-Calculation-sheet'!F55/10^9+F65</f>
        <v>0</v>
      </c>
      <c r="G66" s="2">
        <f>(G11-G10)*'Output-Calculation-sheet'!G55/10^9+G65</f>
        <v>0</v>
      </c>
      <c r="H66" s="2">
        <f>(H11-H10)*'Output-Calculation-sheet'!H55/10^9+H65</f>
        <v>0</v>
      </c>
      <c r="I66" s="2">
        <f>(I11-I10)*'Output-Calculation-sheet'!I55/10^9+I65</f>
        <v>0</v>
      </c>
      <c r="J66" s="2">
        <f>(J11-J10)*'Output-Calculation-sheet'!J55/10^9+J65</f>
        <v>0</v>
      </c>
      <c r="K66" s="2">
        <f>(K11-K10)*'Output-Calculation-sheet'!K55/10^9+K65</f>
        <v>0</v>
      </c>
      <c r="L66" s="2">
        <f>(L11-L10)*'Output-Calculation-sheet'!L55/10^9+L65</f>
        <v>0</v>
      </c>
      <c r="M66" s="2">
        <f>(M11-M10)*'Output-Calculation-sheet'!M55/10^9+M65</f>
        <v>0</v>
      </c>
      <c r="N66" s="2">
        <f>(N11-N10)*'Output-Calculation-sheet'!N55/10^9+N65</f>
        <v>0</v>
      </c>
      <c r="O66" s="2">
        <f>(O11-O10)*'Output-Calculation-sheet'!O55/10^9+O65</f>
        <v>0</v>
      </c>
      <c r="P66" s="2">
        <f>(P11-P10)*'Output-Calculation-sheet'!P55/10^9+P65</f>
        <v>0</v>
      </c>
      <c r="Q66" s="2">
        <f>(Q11-Q10)*'Output-Calculation-sheet'!Q55/10^9+Q65</f>
        <v>0</v>
      </c>
      <c r="R66" s="2">
        <f>(R11-R10)*'Output-Calculation-sheet'!R55/10^9+R65</f>
        <v>0</v>
      </c>
      <c r="S66" s="2">
        <f>(S11-S10)*'Output-Calculation-sheet'!S55/10^9+S65</f>
        <v>0</v>
      </c>
      <c r="T66" s="2">
        <f>(T11-T10)*'Output-Calculation-sheet'!T55/10^9+T65</f>
        <v>0</v>
      </c>
      <c r="U66" s="2">
        <f>(U11-U10)*'Output-Calculation-sheet'!U55/10^9+U65</f>
        <v>0</v>
      </c>
      <c r="V66" s="2">
        <f>(V11-V10)*'Output-Calculation-sheet'!V55/10^9+V65</f>
        <v>0</v>
      </c>
      <c r="W66" s="2">
        <f>(W11-W10)*'Output-Calculation-sheet'!W55/10^9+W65</f>
        <v>0</v>
      </c>
      <c r="X66" s="2">
        <f>(X11-X10)*'Output-Calculation-sheet'!X55/10^9+X65</f>
        <v>0</v>
      </c>
      <c r="Y66" s="2">
        <f>(Y11-Y10)*'Output-Calculation-sheet'!Y55/10^9+Y65</f>
        <v>0</v>
      </c>
      <c r="AA66" s="2">
        <f t="shared" si="4"/>
        <v>0</v>
      </c>
    </row>
    <row r="67" spans="1:27" x14ac:dyDescent="0.25">
      <c r="A67" s="2">
        <v>2035</v>
      </c>
      <c r="B67" s="2">
        <f>(B12-B11)*'Output-Calculation-sheet'!B56/10^9+B66</f>
        <v>0</v>
      </c>
      <c r="C67" s="2">
        <f>(C12-C11)*'Output-Calculation-sheet'!C56/10^9+C66</f>
        <v>0</v>
      </c>
      <c r="D67" s="2">
        <f>(D12-D11)*'Output-Calculation-sheet'!D56/10^9+D66</f>
        <v>0</v>
      </c>
      <c r="E67" s="2">
        <f>(E12-E11)*'Output-Calculation-sheet'!E56/10^9+E66</f>
        <v>0</v>
      </c>
      <c r="F67" s="2">
        <f>(F12-F11)*'Output-Calculation-sheet'!F56/10^9+F66</f>
        <v>0</v>
      </c>
      <c r="G67" s="2">
        <f>(G12-G11)*'Output-Calculation-sheet'!G56/10^9+G66</f>
        <v>0</v>
      </c>
      <c r="H67" s="2">
        <f>(H12-H11)*'Output-Calculation-sheet'!H56/10^9+H66</f>
        <v>0</v>
      </c>
      <c r="I67" s="2">
        <f>(I12-I11)*'Output-Calculation-sheet'!I56/10^9+I66</f>
        <v>0</v>
      </c>
      <c r="J67" s="2">
        <f>(J12-J11)*'Output-Calculation-sheet'!J56/10^9+J66</f>
        <v>0</v>
      </c>
      <c r="K67" s="2">
        <f>(K12-K11)*'Output-Calculation-sheet'!K56/10^9+K66</f>
        <v>0</v>
      </c>
      <c r="L67" s="2">
        <f>(L12-L11)*'Output-Calculation-sheet'!L56/10^9+L66</f>
        <v>0</v>
      </c>
      <c r="M67" s="2">
        <f>(M12-M11)*'Output-Calculation-sheet'!M56/10^9+M66</f>
        <v>0</v>
      </c>
      <c r="N67" s="2">
        <f>(N12-N11)*'Output-Calculation-sheet'!N56/10^9+N66</f>
        <v>0</v>
      </c>
      <c r="O67" s="2">
        <f>(O12-O11)*'Output-Calculation-sheet'!O56/10^9+O66</f>
        <v>0</v>
      </c>
      <c r="P67" s="2">
        <f>(P12-P11)*'Output-Calculation-sheet'!P56/10^9+P66</f>
        <v>0</v>
      </c>
      <c r="Q67" s="2">
        <f>(Q12-Q11)*'Output-Calculation-sheet'!Q56/10^9+Q66</f>
        <v>0</v>
      </c>
      <c r="R67" s="2">
        <f>(R12-R11)*'Output-Calculation-sheet'!R56/10^9+R66</f>
        <v>0</v>
      </c>
      <c r="S67" s="2">
        <f>(S12-S11)*'Output-Calculation-sheet'!S56/10^9+S66</f>
        <v>0</v>
      </c>
      <c r="T67" s="2">
        <f>(T12-T11)*'Output-Calculation-sheet'!T56/10^9+T66</f>
        <v>0</v>
      </c>
      <c r="U67" s="2">
        <f>(U12-U11)*'Output-Calculation-sheet'!U56/10^9+U66</f>
        <v>0</v>
      </c>
      <c r="V67" s="2">
        <f>(V12-V11)*'Output-Calculation-sheet'!V56/10^9+V66</f>
        <v>0</v>
      </c>
      <c r="W67" s="2">
        <f>(W12-W11)*'Output-Calculation-sheet'!W56/10^9+W66</f>
        <v>0</v>
      </c>
      <c r="X67" s="2">
        <f>(X12-X11)*'Output-Calculation-sheet'!X56/10^9+X66</f>
        <v>0</v>
      </c>
      <c r="Y67" s="2">
        <f>(Y12-Y11)*'Output-Calculation-sheet'!Y56/10^9+Y66</f>
        <v>0</v>
      </c>
      <c r="AA67" s="2">
        <f t="shared" si="4"/>
        <v>0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5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5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5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5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5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5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5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6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6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6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6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6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6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6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0</v>
      </c>
      <c r="C93" s="2">
        <f>C5/'Output-Calculation-sheet'!C4*'Output-Calculation-sheet'!C76</f>
        <v>0</v>
      </c>
      <c r="D93" s="2">
        <f>D5/'Output-Calculation-sheet'!D4*'Output-Calculation-sheet'!D76</f>
        <v>0</v>
      </c>
      <c r="E93" s="2">
        <f>E5/'Output-Calculation-sheet'!E4*'Output-Calculation-sheet'!E76</f>
        <v>0</v>
      </c>
      <c r="F93" s="2">
        <f>F5/'Output-Calculation-sheet'!F4*'Output-Calculation-sheet'!F76</f>
        <v>0</v>
      </c>
      <c r="G93" s="2">
        <f>G5/'Output-Calculation-sheet'!G4*'Output-Calculation-sheet'!G76</f>
        <v>0</v>
      </c>
      <c r="H93" s="2">
        <f>H5/'Output-Calculation-sheet'!H4*'Output-Calculation-sheet'!H76</f>
        <v>0</v>
      </c>
      <c r="I93" s="2">
        <f>I5/'Output-Calculation-sheet'!I4*'Output-Calculation-sheet'!I76</f>
        <v>0</v>
      </c>
      <c r="J93" s="2">
        <f>J5/'Output-Calculation-sheet'!J4*'Output-Calculation-sheet'!J76</f>
        <v>0</v>
      </c>
      <c r="K93" s="2">
        <f>K5/'Output-Calculation-sheet'!K4*'Output-Calculation-sheet'!K76</f>
        <v>0</v>
      </c>
      <c r="L93" s="2">
        <f>L5/'Output-Calculation-sheet'!L4*'Output-Calculation-sheet'!L76</f>
        <v>0</v>
      </c>
      <c r="M93" s="2">
        <f>M5/'Output-Calculation-sheet'!M4*'Output-Calculation-sheet'!M76</f>
        <v>0</v>
      </c>
      <c r="N93" s="2">
        <f>N5/'Output-Calculation-sheet'!N4*'Output-Calculation-sheet'!N76</f>
        <v>0</v>
      </c>
      <c r="O93" s="2">
        <f>O5/'Output-Calculation-sheet'!O4*'Output-Calculation-sheet'!O76</f>
        <v>0</v>
      </c>
      <c r="P93" s="2">
        <f>P5/'Output-Calculation-sheet'!P4*'Output-Calculation-sheet'!P76</f>
        <v>0</v>
      </c>
      <c r="Q93" s="2">
        <f>Q5/'Output-Calculation-sheet'!Q4*'Output-Calculation-sheet'!Q76</f>
        <v>0</v>
      </c>
      <c r="R93" s="2">
        <f>R5/'Output-Calculation-sheet'!R4*'Output-Calculation-sheet'!R76</f>
        <v>0</v>
      </c>
      <c r="S93" s="2">
        <f>S5/'Output-Calculation-sheet'!S4*'Output-Calculation-sheet'!S76</f>
        <v>0</v>
      </c>
      <c r="T93" s="2">
        <f>T5/'Output-Calculation-sheet'!T4*'Output-Calculation-sheet'!T76</f>
        <v>0</v>
      </c>
      <c r="U93" s="2">
        <f>U5/'Output-Calculation-sheet'!U4*'Output-Calculation-sheet'!U76</f>
        <v>0</v>
      </c>
      <c r="V93" s="2">
        <f>V5/'Output-Calculation-sheet'!V4*'Output-Calculation-sheet'!V76</f>
        <v>0</v>
      </c>
      <c r="W93" s="2">
        <f>W5/'Output-Calculation-sheet'!W4*'Output-Calculation-sheet'!W76</f>
        <v>0</v>
      </c>
      <c r="X93" s="2">
        <f>X5/'Output-Calculation-sheet'!X4*'Output-Calculation-sheet'!X76</f>
        <v>0</v>
      </c>
      <c r="Y93" s="2">
        <f>Y5/'Output-Calculation-sheet'!Y4*'Output-Calculation-sheet'!Y76</f>
        <v>0</v>
      </c>
      <c r="AA93" s="2">
        <f>SUM(B93:Y93)/10^9</f>
        <v>0</v>
      </c>
    </row>
    <row r="94" spans="1:27" x14ac:dyDescent="0.25">
      <c r="A94" s="2">
        <v>2029</v>
      </c>
      <c r="B94" s="2">
        <f>B6/'Output-Calculation-sheet'!B5*'Output-Calculation-sheet'!B77</f>
        <v>0</v>
      </c>
      <c r="C94" s="2">
        <f>C6/'Output-Calculation-sheet'!C5*'Output-Calculation-sheet'!C77</f>
        <v>0</v>
      </c>
      <c r="D94" s="2">
        <f>D6/'Output-Calculation-sheet'!D5*'Output-Calculation-sheet'!D77</f>
        <v>0</v>
      </c>
      <c r="E94" s="2">
        <f>E6/'Output-Calculation-sheet'!E5*'Output-Calculation-sheet'!E77</f>
        <v>0</v>
      </c>
      <c r="F94" s="2">
        <f>F6/'Output-Calculation-sheet'!F5*'Output-Calculation-sheet'!F77</f>
        <v>0</v>
      </c>
      <c r="G94" s="2">
        <f>G6/'Output-Calculation-sheet'!G5*'Output-Calculation-sheet'!G77</f>
        <v>0</v>
      </c>
      <c r="H94" s="2">
        <f>H6/'Output-Calculation-sheet'!H5*'Output-Calculation-sheet'!H77</f>
        <v>0</v>
      </c>
      <c r="I94" s="2">
        <f>I6/'Output-Calculation-sheet'!I5*'Output-Calculation-sheet'!I77</f>
        <v>0</v>
      </c>
      <c r="J94" s="2">
        <f>J6/'Output-Calculation-sheet'!J5*'Output-Calculation-sheet'!J77</f>
        <v>0</v>
      </c>
      <c r="K94" s="2">
        <f>K6/'Output-Calculation-sheet'!K5*'Output-Calculation-sheet'!K77</f>
        <v>0</v>
      </c>
      <c r="L94" s="2">
        <f>L6/'Output-Calculation-sheet'!L5*'Output-Calculation-sheet'!L77</f>
        <v>0</v>
      </c>
      <c r="M94" s="2">
        <f>M6/'Output-Calculation-sheet'!M5*'Output-Calculation-sheet'!M77</f>
        <v>0</v>
      </c>
      <c r="N94" s="2">
        <f>N6/'Output-Calculation-sheet'!N5*'Output-Calculation-sheet'!N77</f>
        <v>0</v>
      </c>
      <c r="O94" s="2">
        <f>O6/'Output-Calculation-sheet'!O5*'Output-Calculation-sheet'!O77</f>
        <v>0</v>
      </c>
      <c r="P94" s="2">
        <f>P6/'Output-Calculation-sheet'!P5*'Output-Calculation-sheet'!P77</f>
        <v>0</v>
      </c>
      <c r="Q94" s="2">
        <f>Q6/'Output-Calculation-sheet'!Q5*'Output-Calculation-sheet'!Q77</f>
        <v>0</v>
      </c>
      <c r="R94" s="2">
        <f>R6/'Output-Calculation-sheet'!R5*'Output-Calculation-sheet'!R77</f>
        <v>0</v>
      </c>
      <c r="S94" s="2">
        <f>S6/'Output-Calculation-sheet'!S5*'Output-Calculation-sheet'!S77</f>
        <v>0</v>
      </c>
      <c r="T94" s="2">
        <f>T6/'Output-Calculation-sheet'!T5*'Output-Calculation-sheet'!T77</f>
        <v>0</v>
      </c>
      <c r="U94" s="2">
        <f>U6/'Output-Calculation-sheet'!U5*'Output-Calculation-sheet'!U77</f>
        <v>0</v>
      </c>
      <c r="V94" s="2">
        <f>V6/'Output-Calculation-sheet'!V5*'Output-Calculation-sheet'!V77</f>
        <v>0</v>
      </c>
      <c r="W94" s="2">
        <f>W6/'Output-Calculation-sheet'!W5*'Output-Calculation-sheet'!W77</f>
        <v>0</v>
      </c>
      <c r="X94" s="2">
        <f>X6/'Output-Calculation-sheet'!X5*'Output-Calculation-sheet'!X77</f>
        <v>0</v>
      </c>
      <c r="Y94" s="2">
        <f>Y6/'Output-Calculation-sheet'!Y5*'Output-Calculation-sheet'!Y77</f>
        <v>0</v>
      </c>
      <c r="AA94" s="2">
        <f t="shared" ref="AA94:AA100" si="7">SUM(B94:Y94)/10^9</f>
        <v>0</v>
      </c>
    </row>
    <row r="95" spans="1:27" x14ac:dyDescent="0.25">
      <c r="A95" s="2">
        <v>2030</v>
      </c>
      <c r="B95" s="2">
        <f>B7/'Output-Calculation-sheet'!B6*'Output-Calculation-sheet'!B78</f>
        <v>0</v>
      </c>
      <c r="C95" s="2">
        <f>C7/'Output-Calculation-sheet'!C6*'Output-Calculation-sheet'!C78</f>
        <v>0</v>
      </c>
      <c r="D95" s="2">
        <f>D7/'Output-Calculation-sheet'!D6*'Output-Calculation-sheet'!D78</f>
        <v>0</v>
      </c>
      <c r="E95" s="2">
        <f>E7/'Output-Calculation-sheet'!E6*'Output-Calculation-sheet'!E78</f>
        <v>0</v>
      </c>
      <c r="F95" s="2">
        <f>F7/'Output-Calculation-sheet'!F6*'Output-Calculation-sheet'!F78</f>
        <v>0</v>
      </c>
      <c r="G95" s="2">
        <f>G7/'Output-Calculation-sheet'!G6*'Output-Calculation-sheet'!G78</f>
        <v>0</v>
      </c>
      <c r="H95" s="2">
        <f>H7/'Output-Calculation-sheet'!H6*'Output-Calculation-sheet'!H78</f>
        <v>0</v>
      </c>
      <c r="I95" s="2">
        <f>I7/'Output-Calculation-sheet'!I6*'Output-Calculation-sheet'!I78</f>
        <v>0</v>
      </c>
      <c r="J95" s="2">
        <f>J7/'Output-Calculation-sheet'!J6*'Output-Calculation-sheet'!J78</f>
        <v>0</v>
      </c>
      <c r="K95" s="2">
        <f>K7/'Output-Calculation-sheet'!K6*'Output-Calculation-sheet'!K78</f>
        <v>0</v>
      </c>
      <c r="L95" s="2">
        <f>L7/'Output-Calculation-sheet'!L6*'Output-Calculation-sheet'!L78</f>
        <v>0</v>
      </c>
      <c r="M95" s="2">
        <f>M7/'Output-Calculation-sheet'!M6*'Output-Calculation-sheet'!M78</f>
        <v>0</v>
      </c>
      <c r="N95" s="2">
        <f>N7/'Output-Calculation-sheet'!N6*'Output-Calculation-sheet'!N78</f>
        <v>0</v>
      </c>
      <c r="O95" s="2">
        <f>O7/'Output-Calculation-sheet'!O6*'Output-Calculation-sheet'!O78</f>
        <v>0</v>
      </c>
      <c r="P95" s="2">
        <f>P7/'Output-Calculation-sheet'!P6*'Output-Calculation-sheet'!P78</f>
        <v>0</v>
      </c>
      <c r="Q95" s="2">
        <f>Q7/'Output-Calculation-sheet'!Q6*'Output-Calculation-sheet'!Q78</f>
        <v>0</v>
      </c>
      <c r="R95" s="2">
        <f>R7/'Output-Calculation-sheet'!R6*'Output-Calculation-sheet'!R78</f>
        <v>0</v>
      </c>
      <c r="S95" s="2">
        <f>S7/'Output-Calculation-sheet'!S6*'Output-Calculation-sheet'!S78</f>
        <v>0</v>
      </c>
      <c r="T95" s="2">
        <f>T7/'Output-Calculation-sheet'!T6*'Output-Calculation-sheet'!T78</f>
        <v>0</v>
      </c>
      <c r="U95" s="2">
        <f>U7/'Output-Calculation-sheet'!U6*'Output-Calculation-sheet'!U78</f>
        <v>0</v>
      </c>
      <c r="V95" s="2">
        <f>V7/'Output-Calculation-sheet'!V6*'Output-Calculation-sheet'!V78</f>
        <v>0</v>
      </c>
      <c r="W95" s="2">
        <f>W7/'Output-Calculation-sheet'!W6*'Output-Calculation-sheet'!W78</f>
        <v>0</v>
      </c>
      <c r="X95" s="2">
        <f>X7/'Output-Calculation-sheet'!X6*'Output-Calculation-sheet'!X78</f>
        <v>0</v>
      </c>
      <c r="Y95" s="2">
        <f>Y7/'Output-Calculation-sheet'!Y6*'Output-Calculation-sheet'!Y78</f>
        <v>0</v>
      </c>
      <c r="AA95" s="2">
        <f t="shared" si="7"/>
        <v>0</v>
      </c>
    </row>
    <row r="96" spans="1:27" x14ac:dyDescent="0.25">
      <c r="A96" s="2">
        <v>2031</v>
      </c>
      <c r="B96" s="2">
        <f>B8/'Output-Calculation-sheet'!B7*'Output-Calculation-sheet'!B79</f>
        <v>0</v>
      </c>
      <c r="C96" s="2">
        <f>C8/'Output-Calculation-sheet'!C7*'Output-Calculation-sheet'!C79</f>
        <v>0</v>
      </c>
      <c r="D96" s="2">
        <f>D8/'Output-Calculation-sheet'!D7*'Output-Calculation-sheet'!D79</f>
        <v>0</v>
      </c>
      <c r="E96" s="2">
        <f>E8/'Output-Calculation-sheet'!E7*'Output-Calculation-sheet'!E79</f>
        <v>0</v>
      </c>
      <c r="F96" s="2">
        <f>F8/'Output-Calculation-sheet'!F7*'Output-Calculation-sheet'!F79</f>
        <v>0</v>
      </c>
      <c r="G96" s="2">
        <f>G8/'Output-Calculation-sheet'!G7*'Output-Calculation-sheet'!G79</f>
        <v>0</v>
      </c>
      <c r="H96" s="2">
        <f>H8/'Output-Calculation-sheet'!H7*'Output-Calculation-sheet'!H79</f>
        <v>0</v>
      </c>
      <c r="I96" s="2">
        <f>I8/'Output-Calculation-sheet'!I7*'Output-Calculation-sheet'!I79</f>
        <v>0</v>
      </c>
      <c r="J96" s="2">
        <f>J8/'Output-Calculation-sheet'!J7*'Output-Calculation-sheet'!J79</f>
        <v>0</v>
      </c>
      <c r="K96" s="2">
        <f>K8/'Output-Calculation-sheet'!K7*'Output-Calculation-sheet'!K79</f>
        <v>0</v>
      </c>
      <c r="L96" s="2">
        <f>L8/'Output-Calculation-sheet'!L7*'Output-Calculation-sheet'!L79</f>
        <v>0</v>
      </c>
      <c r="M96" s="2">
        <f>M8/'Output-Calculation-sheet'!M7*'Output-Calculation-sheet'!M79</f>
        <v>0</v>
      </c>
      <c r="N96" s="2">
        <f>N8/'Output-Calculation-sheet'!N7*'Output-Calculation-sheet'!N79</f>
        <v>0</v>
      </c>
      <c r="O96" s="2">
        <f>O8/'Output-Calculation-sheet'!O7*'Output-Calculation-sheet'!O79</f>
        <v>0</v>
      </c>
      <c r="P96" s="2">
        <f>P8/'Output-Calculation-sheet'!P7*'Output-Calculation-sheet'!P79</f>
        <v>0</v>
      </c>
      <c r="Q96" s="2">
        <f>Q8/'Output-Calculation-sheet'!Q7*'Output-Calculation-sheet'!Q79</f>
        <v>0</v>
      </c>
      <c r="R96" s="2">
        <f>R8/'Output-Calculation-sheet'!R7*'Output-Calculation-sheet'!R79</f>
        <v>0</v>
      </c>
      <c r="S96" s="2">
        <f>S8/'Output-Calculation-sheet'!S7*'Output-Calculation-sheet'!S79</f>
        <v>0</v>
      </c>
      <c r="T96" s="2">
        <f>T8/'Output-Calculation-sheet'!T7*'Output-Calculation-sheet'!T79</f>
        <v>0</v>
      </c>
      <c r="U96" s="2">
        <f>U8/'Output-Calculation-sheet'!U7*'Output-Calculation-sheet'!U79</f>
        <v>0</v>
      </c>
      <c r="V96" s="2">
        <f>V8/'Output-Calculation-sheet'!V7*'Output-Calculation-sheet'!V79</f>
        <v>0</v>
      </c>
      <c r="W96" s="2">
        <f>W8/'Output-Calculation-sheet'!W7*'Output-Calculation-sheet'!W79</f>
        <v>0</v>
      </c>
      <c r="X96" s="2">
        <f>X8/'Output-Calculation-sheet'!X7*'Output-Calculation-sheet'!X79</f>
        <v>0</v>
      </c>
      <c r="Y96" s="2">
        <f>Y8/'Output-Calculation-sheet'!Y7*'Output-Calculation-sheet'!Y79</f>
        <v>0</v>
      </c>
      <c r="AA96" s="2">
        <f t="shared" si="7"/>
        <v>0</v>
      </c>
    </row>
    <row r="97" spans="1:27" x14ac:dyDescent="0.25">
      <c r="A97" s="2">
        <v>2032</v>
      </c>
      <c r="B97" s="2">
        <f>B9/'Output-Calculation-sheet'!B8*'Output-Calculation-sheet'!B80</f>
        <v>0</v>
      </c>
      <c r="C97" s="2">
        <f>C9/'Output-Calculation-sheet'!C8*'Output-Calculation-sheet'!C80</f>
        <v>0</v>
      </c>
      <c r="D97" s="2">
        <f>D9/'Output-Calculation-sheet'!D8*'Output-Calculation-sheet'!D80</f>
        <v>0</v>
      </c>
      <c r="E97" s="2">
        <f>E9/'Output-Calculation-sheet'!E8*'Output-Calculation-sheet'!E80</f>
        <v>0</v>
      </c>
      <c r="F97" s="2">
        <f>F9/'Output-Calculation-sheet'!F8*'Output-Calculation-sheet'!F80</f>
        <v>0</v>
      </c>
      <c r="G97" s="2">
        <f>G9/'Output-Calculation-sheet'!G8*'Output-Calculation-sheet'!G80</f>
        <v>0</v>
      </c>
      <c r="H97" s="2">
        <f>H9/'Output-Calculation-sheet'!H8*'Output-Calculation-sheet'!H80</f>
        <v>0</v>
      </c>
      <c r="I97" s="2">
        <f>I9/'Output-Calculation-sheet'!I8*'Output-Calculation-sheet'!I80</f>
        <v>0</v>
      </c>
      <c r="J97" s="2">
        <f>J9/'Output-Calculation-sheet'!J8*'Output-Calculation-sheet'!J80</f>
        <v>0</v>
      </c>
      <c r="K97" s="2">
        <f>K9/'Output-Calculation-sheet'!K8*'Output-Calculation-sheet'!K80</f>
        <v>0</v>
      </c>
      <c r="L97" s="2">
        <f>L9/'Output-Calculation-sheet'!L8*'Output-Calculation-sheet'!L80</f>
        <v>0</v>
      </c>
      <c r="M97" s="2">
        <f>M9/'Output-Calculation-sheet'!M8*'Output-Calculation-sheet'!M80</f>
        <v>0</v>
      </c>
      <c r="N97" s="2">
        <f>N9/'Output-Calculation-sheet'!N8*'Output-Calculation-sheet'!N80</f>
        <v>0</v>
      </c>
      <c r="O97" s="2">
        <f>O9/'Output-Calculation-sheet'!O8*'Output-Calculation-sheet'!O80</f>
        <v>0</v>
      </c>
      <c r="P97" s="2">
        <f>P9/'Output-Calculation-sheet'!P8*'Output-Calculation-sheet'!P80</f>
        <v>0</v>
      </c>
      <c r="Q97" s="2">
        <f>Q9/'Output-Calculation-sheet'!Q8*'Output-Calculation-sheet'!Q80</f>
        <v>0</v>
      </c>
      <c r="R97" s="2">
        <f>R9/'Output-Calculation-sheet'!R8*'Output-Calculation-sheet'!R80</f>
        <v>0</v>
      </c>
      <c r="S97" s="2">
        <f>S9/'Output-Calculation-sheet'!S8*'Output-Calculation-sheet'!S80</f>
        <v>0</v>
      </c>
      <c r="T97" s="2">
        <f>T9/'Output-Calculation-sheet'!T8*'Output-Calculation-sheet'!T80</f>
        <v>0</v>
      </c>
      <c r="U97" s="2">
        <f>U9/'Output-Calculation-sheet'!U8*'Output-Calculation-sheet'!U80</f>
        <v>0</v>
      </c>
      <c r="V97" s="2">
        <f>V9/'Output-Calculation-sheet'!V8*'Output-Calculation-sheet'!V80</f>
        <v>0</v>
      </c>
      <c r="W97" s="2">
        <f>W9/'Output-Calculation-sheet'!W8*'Output-Calculation-sheet'!W80</f>
        <v>0</v>
      </c>
      <c r="X97" s="2">
        <f>X9/'Output-Calculation-sheet'!X8*'Output-Calculation-sheet'!X80</f>
        <v>0</v>
      </c>
      <c r="Y97" s="2">
        <f>Y9/'Output-Calculation-sheet'!Y8*'Output-Calculation-sheet'!Y80</f>
        <v>0</v>
      </c>
      <c r="AA97" s="2">
        <f t="shared" si="7"/>
        <v>0</v>
      </c>
    </row>
    <row r="98" spans="1:27" x14ac:dyDescent="0.25">
      <c r="A98" s="2">
        <v>2033</v>
      </c>
      <c r="B98" s="2">
        <f>B10/'Output-Calculation-sheet'!B9*'Output-Calculation-sheet'!B81</f>
        <v>0</v>
      </c>
      <c r="C98" s="2">
        <f>C10/'Output-Calculation-sheet'!C9*'Output-Calculation-sheet'!C81</f>
        <v>0</v>
      </c>
      <c r="D98" s="2">
        <f>D10/'Output-Calculation-sheet'!D9*'Output-Calculation-sheet'!D81</f>
        <v>0</v>
      </c>
      <c r="E98" s="2">
        <f>E10/'Output-Calculation-sheet'!E9*'Output-Calculation-sheet'!E81</f>
        <v>0</v>
      </c>
      <c r="F98" s="2">
        <f>F10/'Output-Calculation-sheet'!F9*'Output-Calculation-sheet'!F81</f>
        <v>0</v>
      </c>
      <c r="G98" s="2">
        <f>G10/'Output-Calculation-sheet'!G9*'Output-Calculation-sheet'!G81</f>
        <v>0</v>
      </c>
      <c r="H98" s="2">
        <f>H10/'Output-Calculation-sheet'!H9*'Output-Calculation-sheet'!H81</f>
        <v>0</v>
      </c>
      <c r="I98" s="2">
        <f>I10/'Output-Calculation-sheet'!I9*'Output-Calculation-sheet'!I81</f>
        <v>0</v>
      </c>
      <c r="J98" s="2">
        <f>J10/'Output-Calculation-sheet'!J9*'Output-Calculation-sheet'!J81</f>
        <v>0</v>
      </c>
      <c r="K98" s="2">
        <f>K10/'Output-Calculation-sheet'!K9*'Output-Calculation-sheet'!K81</f>
        <v>0</v>
      </c>
      <c r="L98" s="2">
        <f>L10/'Output-Calculation-sheet'!L9*'Output-Calculation-sheet'!L81</f>
        <v>0</v>
      </c>
      <c r="M98" s="2">
        <f>M10/'Output-Calculation-sheet'!M9*'Output-Calculation-sheet'!M81</f>
        <v>0</v>
      </c>
      <c r="N98" s="2">
        <f>N10/'Output-Calculation-sheet'!N9*'Output-Calculation-sheet'!N81</f>
        <v>0</v>
      </c>
      <c r="O98" s="2">
        <f>O10/'Output-Calculation-sheet'!O9*'Output-Calculation-sheet'!O81</f>
        <v>0</v>
      </c>
      <c r="P98" s="2">
        <f>P10/'Output-Calculation-sheet'!P9*'Output-Calculation-sheet'!P81</f>
        <v>0</v>
      </c>
      <c r="Q98" s="2">
        <f>Q10/'Output-Calculation-sheet'!Q9*'Output-Calculation-sheet'!Q81</f>
        <v>0</v>
      </c>
      <c r="R98" s="2">
        <f>R10/'Output-Calculation-sheet'!R9*'Output-Calculation-sheet'!R81</f>
        <v>0</v>
      </c>
      <c r="S98" s="2">
        <f>S10/'Output-Calculation-sheet'!S9*'Output-Calculation-sheet'!S81</f>
        <v>0</v>
      </c>
      <c r="T98" s="2">
        <f>T10/'Output-Calculation-sheet'!T9*'Output-Calculation-sheet'!T81</f>
        <v>0</v>
      </c>
      <c r="U98" s="2">
        <f>U10/'Output-Calculation-sheet'!U9*'Output-Calculation-sheet'!U81</f>
        <v>0</v>
      </c>
      <c r="V98" s="2">
        <f>V10/'Output-Calculation-sheet'!V9*'Output-Calculation-sheet'!V81</f>
        <v>0</v>
      </c>
      <c r="W98" s="2">
        <f>W10/'Output-Calculation-sheet'!W9*'Output-Calculation-sheet'!W81</f>
        <v>0</v>
      </c>
      <c r="X98" s="2">
        <f>X10/'Output-Calculation-sheet'!X9*'Output-Calculation-sheet'!X81</f>
        <v>0</v>
      </c>
      <c r="Y98" s="2">
        <f>Y10/'Output-Calculation-sheet'!Y9*'Output-Calculation-sheet'!Y81</f>
        <v>0</v>
      </c>
      <c r="AA98" s="2">
        <f t="shared" si="7"/>
        <v>0</v>
      </c>
    </row>
    <row r="99" spans="1:27" x14ac:dyDescent="0.25">
      <c r="A99" s="2">
        <v>2034</v>
      </c>
      <c r="B99" s="2">
        <f>B11/'Output-Calculation-sheet'!B10*'Output-Calculation-sheet'!B82</f>
        <v>0</v>
      </c>
      <c r="C99" s="2">
        <f>C11/'Output-Calculation-sheet'!C10*'Output-Calculation-sheet'!C82</f>
        <v>0</v>
      </c>
      <c r="D99" s="2">
        <f>D11/'Output-Calculation-sheet'!D10*'Output-Calculation-sheet'!D82</f>
        <v>0</v>
      </c>
      <c r="E99" s="2">
        <f>E11/'Output-Calculation-sheet'!E10*'Output-Calculation-sheet'!E82</f>
        <v>0</v>
      </c>
      <c r="F99" s="2">
        <f>F11/'Output-Calculation-sheet'!F10*'Output-Calculation-sheet'!F82</f>
        <v>0</v>
      </c>
      <c r="G99" s="2">
        <f>G11/'Output-Calculation-sheet'!G10*'Output-Calculation-sheet'!G82</f>
        <v>0</v>
      </c>
      <c r="H99" s="2">
        <f>H11/'Output-Calculation-sheet'!H10*'Output-Calculation-sheet'!H82</f>
        <v>0</v>
      </c>
      <c r="I99" s="2">
        <f>I11/'Output-Calculation-sheet'!I10*'Output-Calculation-sheet'!I82</f>
        <v>0</v>
      </c>
      <c r="J99" s="2">
        <f>J11/'Output-Calculation-sheet'!J10*'Output-Calculation-sheet'!J82</f>
        <v>0</v>
      </c>
      <c r="K99" s="2">
        <f>K11/'Output-Calculation-sheet'!K10*'Output-Calculation-sheet'!K82</f>
        <v>0</v>
      </c>
      <c r="L99" s="2">
        <f>L11/'Output-Calculation-sheet'!L10*'Output-Calculation-sheet'!L82</f>
        <v>0</v>
      </c>
      <c r="M99" s="2">
        <f>M11/'Output-Calculation-sheet'!M10*'Output-Calculation-sheet'!M82</f>
        <v>0</v>
      </c>
      <c r="N99" s="2">
        <f>N11/'Output-Calculation-sheet'!N10*'Output-Calculation-sheet'!N82</f>
        <v>0</v>
      </c>
      <c r="O99" s="2">
        <f>O11/'Output-Calculation-sheet'!O10*'Output-Calculation-sheet'!O82</f>
        <v>0</v>
      </c>
      <c r="P99" s="2">
        <f>P11/'Output-Calculation-sheet'!P10*'Output-Calculation-sheet'!P82</f>
        <v>0</v>
      </c>
      <c r="Q99" s="2">
        <f>Q11/'Output-Calculation-sheet'!Q10*'Output-Calculation-sheet'!Q82</f>
        <v>0</v>
      </c>
      <c r="R99" s="2">
        <f>R11/'Output-Calculation-sheet'!R10*'Output-Calculation-sheet'!R82</f>
        <v>0</v>
      </c>
      <c r="S99" s="2">
        <f>S11/'Output-Calculation-sheet'!S10*'Output-Calculation-sheet'!S82</f>
        <v>0</v>
      </c>
      <c r="T99" s="2">
        <f>T11/'Output-Calculation-sheet'!T10*'Output-Calculation-sheet'!T82</f>
        <v>0</v>
      </c>
      <c r="U99" s="2">
        <f>U11/'Output-Calculation-sheet'!U10*'Output-Calculation-sheet'!U82</f>
        <v>0</v>
      </c>
      <c r="V99" s="2">
        <f>V11/'Output-Calculation-sheet'!V10*'Output-Calculation-sheet'!V82</f>
        <v>0</v>
      </c>
      <c r="W99" s="2">
        <f>W11/'Output-Calculation-sheet'!W10*'Output-Calculation-sheet'!W82</f>
        <v>0</v>
      </c>
      <c r="X99" s="2">
        <f>X11/'Output-Calculation-sheet'!X10*'Output-Calculation-sheet'!X82</f>
        <v>0</v>
      </c>
      <c r="Y99" s="2">
        <f>Y11/'Output-Calculation-sheet'!Y10*'Output-Calculation-sheet'!Y82</f>
        <v>0</v>
      </c>
      <c r="AA99" s="2">
        <f t="shared" si="7"/>
        <v>0</v>
      </c>
    </row>
    <row r="100" spans="1:27" x14ac:dyDescent="0.25">
      <c r="A100" s="2">
        <v>2035</v>
      </c>
      <c r="B100" s="2">
        <f>B12/'Output-Calculation-sheet'!B11*'Output-Calculation-sheet'!B83</f>
        <v>0</v>
      </c>
      <c r="C100" s="2">
        <f>C12/'Output-Calculation-sheet'!C11*'Output-Calculation-sheet'!C83</f>
        <v>0</v>
      </c>
      <c r="D100" s="2">
        <f>D12/'Output-Calculation-sheet'!D11*'Output-Calculation-sheet'!D83</f>
        <v>0</v>
      </c>
      <c r="E100" s="2">
        <f>E12/'Output-Calculation-sheet'!E11*'Output-Calculation-sheet'!E83</f>
        <v>0</v>
      </c>
      <c r="F100" s="2">
        <f>F12/'Output-Calculation-sheet'!F11*'Output-Calculation-sheet'!F83</f>
        <v>0</v>
      </c>
      <c r="G100" s="2">
        <f>G12/'Output-Calculation-sheet'!G11*'Output-Calculation-sheet'!G83</f>
        <v>0</v>
      </c>
      <c r="H100" s="2">
        <f>H12/'Output-Calculation-sheet'!H11*'Output-Calculation-sheet'!H83</f>
        <v>0</v>
      </c>
      <c r="I100" s="2">
        <f>I12/'Output-Calculation-sheet'!I11*'Output-Calculation-sheet'!I83</f>
        <v>0</v>
      </c>
      <c r="J100" s="2">
        <f>J12/'Output-Calculation-sheet'!J11*'Output-Calculation-sheet'!J83</f>
        <v>0</v>
      </c>
      <c r="K100" s="2">
        <f>K12/'Output-Calculation-sheet'!K11*'Output-Calculation-sheet'!K83</f>
        <v>0</v>
      </c>
      <c r="L100" s="2">
        <f>L12/'Output-Calculation-sheet'!L11*'Output-Calculation-sheet'!L83</f>
        <v>0</v>
      </c>
      <c r="M100" s="2">
        <f>M12/'Output-Calculation-sheet'!M11*'Output-Calculation-sheet'!M83</f>
        <v>0</v>
      </c>
      <c r="N100" s="2">
        <f>N12/'Output-Calculation-sheet'!N11*'Output-Calculation-sheet'!N83</f>
        <v>0</v>
      </c>
      <c r="O100" s="2">
        <f>O12/'Output-Calculation-sheet'!O11*'Output-Calculation-sheet'!O83</f>
        <v>0</v>
      </c>
      <c r="P100" s="2">
        <f>P12/'Output-Calculation-sheet'!P11*'Output-Calculation-sheet'!P83</f>
        <v>0</v>
      </c>
      <c r="Q100" s="2">
        <f>Q12/'Output-Calculation-sheet'!Q11*'Output-Calculation-sheet'!Q83</f>
        <v>0</v>
      </c>
      <c r="R100" s="2">
        <f>R12/'Output-Calculation-sheet'!R11*'Output-Calculation-sheet'!R83</f>
        <v>0</v>
      </c>
      <c r="S100" s="2">
        <f>S12/'Output-Calculation-sheet'!S11*'Output-Calculation-sheet'!S83</f>
        <v>0</v>
      </c>
      <c r="T100" s="2">
        <f>T12/'Output-Calculation-sheet'!T11*'Output-Calculation-sheet'!T83</f>
        <v>0</v>
      </c>
      <c r="U100" s="2">
        <f>U12/'Output-Calculation-sheet'!U11*'Output-Calculation-sheet'!U83</f>
        <v>0</v>
      </c>
      <c r="V100" s="2">
        <f>V12/'Output-Calculation-sheet'!V11*'Output-Calculation-sheet'!V83</f>
        <v>0</v>
      </c>
      <c r="W100" s="2">
        <f>W12/'Output-Calculation-sheet'!W11*'Output-Calculation-sheet'!W83</f>
        <v>0</v>
      </c>
      <c r="X100" s="2">
        <f>X12/'Output-Calculation-sheet'!X11*'Output-Calculation-sheet'!X83</f>
        <v>0</v>
      </c>
      <c r="Y100" s="2">
        <f>Y12/'Output-Calculation-sheet'!Y11*'Output-Calculation-sheet'!Y83</f>
        <v>0</v>
      </c>
      <c r="AA100" s="2">
        <f t="shared" si="7"/>
        <v>0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B5/'Output-Calculation-sheet'!B4*'Output-Calculation-sheet'!#REF!</f>
        <v>#REF!</v>
      </c>
      <c r="C104" s="2" t="e">
        <f>C5/'Output-Calculation-sheet'!C4*'Output-Calculation-sheet'!#REF!</f>
        <v>#REF!</v>
      </c>
      <c r="D104" s="2" t="e">
        <f>D5/'Output-Calculation-sheet'!D4*'Output-Calculation-sheet'!#REF!</f>
        <v>#REF!</v>
      </c>
      <c r="E104" s="2" t="e">
        <f>E5/'Output-Calculation-sheet'!E4*'Output-Calculation-sheet'!#REF!</f>
        <v>#REF!</v>
      </c>
      <c r="F104" s="2" t="e">
        <f>F5/'Output-Calculation-sheet'!F4*'Output-Calculation-sheet'!#REF!</f>
        <v>#REF!</v>
      </c>
      <c r="G104" s="2" t="e">
        <f>G5/'Output-Calculation-sheet'!G4*'Output-Calculation-sheet'!#REF!</f>
        <v>#REF!</v>
      </c>
      <c r="H104" s="2" t="e">
        <f>H5/'Output-Calculation-sheet'!H4*'Output-Calculation-sheet'!#REF!</f>
        <v>#REF!</v>
      </c>
      <c r="I104" s="2" t="e">
        <f>I5/'Output-Calculation-sheet'!I4*'Output-Calculation-sheet'!#REF!</f>
        <v>#REF!</v>
      </c>
      <c r="J104" s="2" t="e">
        <f>J5/'Output-Calculation-sheet'!J4*'Output-Calculation-sheet'!#REF!</f>
        <v>#REF!</v>
      </c>
      <c r="K104" s="2" t="e">
        <f>K5/'Output-Calculation-sheet'!K4*'Output-Calculation-sheet'!#REF!</f>
        <v>#REF!</v>
      </c>
      <c r="L104" s="2" t="e">
        <f>L5/'Output-Calculation-sheet'!L4*'Output-Calculation-sheet'!#REF!</f>
        <v>#REF!</v>
      </c>
      <c r="M104" s="2" t="e">
        <f>M5/'Output-Calculation-sheet'!M4*'Output-Calculation-sheet'!#REF!</f>
        <v>#REF!</v>
      </c>
      <c r="N104" s="2" t="e">
        <f>N5/'Output-Calculation-sheet'!N4*'Output-Calculation-sheet'!#REF!</f>
        <v>#REF!</v>
      </c>
      <c r="O104" s="2" t="e">
        <f>O5/'Output-Calculation-sheet'!O4*'Output-Calculation-sheet'!#REF!</f>
        <v>#REF!</v>
      </c>
      <c r="P104" s="2" t="e">
        <f>P5/'Output-Calculation-sheet'!P4*'Output-Calculation-sheet'!#REF!</f>
        <v>#REF!</v>
      </c>
      <c r="Q104" s="2" t="e">
        <f>Q5/'Output-Calculation-sheet'!Q4*'Output-Calculation-sheet'!#REF!</f>
        <v>#REF!</v>
      </c>
      <c r="R104" s="2" t="e">
        <f>R5/'Output-Calculation-sheet'!R4*'Output-Calculation-sheet'!#REF!</f>
        <v>#REF!</v>
      </c>
      <c r="S104" s="2" t="e">
        <f>S5/'Output-Calculation-sheet'!S4*'Output-Calculation-sheet'!#REF!</f>
        <v>#REF!</v>
      </c>
      <c r="T104" s="2" t="e">
        <f>T5/'Output-Calculation-sheet'!T4*'Output-Calculation-sheet'!#REF!</f>
        <v>#REF!</v>
      </c>
      <c r="U104" s="2" t="e">
        <f>U5/'Output-Calculation-sheet'!U4*'Output-Calculation-sheet'!#REF!</f>
        <v>#REF!</v>
      </c>
      <c r="V104" s="2" t="e">
        <f>V5/'Output-Calculation-sheet'!V4*'Output-Calculation-sheet'!#REF!</f>
        <v>#REF!</v>
      </c>
      <c r="W104" s="2" t="e">
        <f>W5/'Output-Calculation-sheet'!W4*'Output-Calculation-sheet'!#REF!</f>
        <v>#REF!</v>
      </c>
      <c r="X104" s="2" t="e">
        <f>X5/'Output-Calculation-sheet'!X4*'Output-Calculation-sheet'!#REF!</f>
        <v>#REF!</v>
      </c>
      <c r="Y104" s="2" t="e">
        <f>Y5/'Output-Calculation-sheet'!Y4*'Output-Calculation-sheet'!#REF!</f>
        <v>#REF!</v>
      </c>
      <c r="AA104" s="2" t="e">
        <f>SUM(B104:Y104)/1000</f>
        <v>#REF!</v>
      </c>
    </row>
    <row r="105" spans="1:27" x14ac:dyDescent="0.25">
      <c r="A105" s="2">
        <v>2029</v>
      </c>
      <c r="B105" s="2" t="e">
        <f>B6/'Output-Calculation-sheet'!B5*'Output-Calculation-sheet'!#REF!</f>
        <v>#REF!</v>
      </c>
      <c r="C105" s="2" t="e">
        <f>C6/'Output-Calculation-sheet'!C5*'Output-Calculation-sheet'!#REF!</f>
        <v>#REF!</v>
      </c>
      <c r="D105" s="2" t="e">
        <f>D6/'Output-Calculation-sheet'!D5*'Output-Calculation-sheet'!#REF!</f>
        <v>#REF!</v>
      </c>
      <c r="E105" s="2" t="e">
        <f>E6/'Output-Calculation-sheet'!E5*'Output-Calculation-sheet'!#REF!</f>
        <v>#REF!</v>
      </c>
      <c r="F105" s="2" t="e">
        <f>F6/'Output-Calculation-sheet'!F5*'Output-Calculation-sheet'!#REF!</f>
        <v>#REF!</v>
      </c>
      <c r="G105" s="2" t="e">
        <f>G6/'Output-Calculation-sheet'!G5*'Output-Calculation-sheet'!#REF!</f>
        <v>#REF!</v>
      </c>
      <c r="H105" s="2" t="e">
        <f>H6/'Output-Calculation-sheet'!H5*'Output-Calculation-sheet'!#REF!</f>
        <v>#REF!</v>
      </c>
      <c r="I105" s="2" t="e">
        <f>I6/'Output-Calculation-sheet'!I5*'Output-Calculation-sheet'!#REF!</f>
        <v>#REF!</v>
      </c>
      <c r="J105" s="2" t="e">
        <f>J6/'Output-Calculation-sheet'!J5*'Output-Calculation-sheet'!#REF!</f>
        <v>#REF!</v>
      </c>
      <c r="K105" s="2" t="e">
        <f>K6/'Output-Calculation-sheet'!K5*'Output-Calculation-sheet'!#REF!</f>
        <v>#REF!</v>
      </c>
      <c r="L105" s="2" t="e">
        <f>L6/'Output-Calculation-sheet'!L5*'Output-Calculation-sheet'!#REF!</f>
        <v>#REF!</v>
      </c>
      <c r="M105" s="2" t="e">
        <f>M6/'Output-Calculation-sheet'!M5*'Output-Calculation-sheet'!#REF!</f>
        <v>#REF!</v>
      </c>
      <c r="N105" s="2" t="e">
        <f>N6/'Output-Calculation-sheet'!N5*'Output-Calculation-sheet'!#REF!</f>
        <v>#REF!</v>
      </c>
      <c r="O105" s="2" t="e">
        <f>O6/'Output-Calculation-sheet'!O5*'Output-Calculation-sheet'!#REF!</f>
        <v>#REF!</v>
      </c>
      <c r="P105" s="2" t="e">
        <f>P6/'Output-Calculation-sheet'!P5*'Output-Calculation-sheet'!#REF!</f>
        <v>#REF!</v>
      </c>
      <c r="Q105" s="2" t="e">
        <f>Q6/'Output-Calculation-sheet'!Q5*'Output-Calculation-sheet'!#REF!</f>
        <v>#REF!</v>
      </c>
      <c r="R105" s="2" t="e">
        <f>R6/'Output-Calculation-sheet'!R5*'Output-Calculation-sheet'!#REF!</f>
        <v>#REF!</v>
      </c>
      <c r="S105" s="2" t="e">
        <f>S6/'Output-Calculation-sheet'!S5*'Output-Calculation-sheet'!#REF!</f>
        <v>#REF!</v>
      </c>
      <c r="T105" s="2" t="e">
        <f>T6/'Output-Calculation-sheet'!T5*'Output-Calculation-sheet'!#REF!</f>
        <v>#REF!</v>
      </c>
      <c r="U105" s="2" t="e">
        <f>U6/'Output-Calculation-sheet'!U5*'Output-Calculation-sheet'!#REF!</f>
        <v>#REF!</v>
      </c>
      <c r="V105" s="2" t="e">
        <f>V6/'Output-Calculation-sheet'!V5*'Output-Calculation-sheet'!#REF!</f>
        <v>#REF!</v>
      </c>
      <c r="W105" s="2" t="e">
        <f>W6/'Output-Calculation-sheet'!W5*'Output-Calculation-sheet'!#REF!</f>
        <v>#REF!</v>
      </c>
      <c r="X105" s="2" t="e">
        <f>X6/'Output-Calculation-sheet'!X5*'Output-Calculation-sheet'!#REF!</f>
        <v>#REF!</v>
      </c>
      <c r="Y105" s="2" t="e">
        <f>Y6/'Output-Calculation-sheet'!Y5*'Output-Calculation-sheet'!#REF!</f>
        <v>#REF!</v>
      </c>
      <c r="AA105" s="2" t="e">
        <f t="shared" ref="AA105:AA111" si="8">SUM(B105:Y105)/1000</f>
        <v>#REF!</v>
      </c>
    </row>
    <row r="106" spans="1:27" x14ac:dyDescent="0.25">
      <c r="A106" s="2">
        <v>2030</v>
      </c>
      <c r="B106" s="2" t="e">
        <f>B7/'Output-Calculation-sheet'!B6*'Output-Calculation-sheet'!#REF!</f>
        <v>#REF!</v>
      </c>
      <c r="C106" s="2" t="e">
        <f>C7/'Output-Calculation-sheet'!C6*'Output-Calculation-sheet'!#REF!</f>
        <v>#REF!</v>
      </c>
      <c r="D106" s="2" t="e">
        <f>D7/'Output-Calculation-sheet'!D6*'Output-Calculation-sheet'!#REF!</f>
        <v>#REF!</v>
      </c>
      <c r="E106" s="2" t="e">
        <f>E7/'Output-Calculation-sheet'!E6*'Output-Calculation-sheet'!#REF!</f>
        <v>#REF!</v>
      </c>
      <c r="F106" s="2" t="e">
        <f>F7/'Output-Calculation-sheet'!F6*'Output-Calculation-sheet'!#REF!</f>
        <v>#REF!</v>
      </c>
      <c r="G106" s="2" t="e">
        <f>G7/'Output-Calculation-sheet'!G6*'Output-Calculation-sheet'!#REF!</f>
        <v>#REF!</v>
      </c>
      <c r="H106" s="2" t="e">
        <f>H7/'Output-Calculation-sheet'!H6*'Output-Calculation-sheet'!#REF!</f>
        <v>#REF!</v>
      </c>
      <c r="I106" s="2" t="e">
        <f>I7/'Output-Calculation-sheet'!I6*'Output-Calculation-sheet'!#REF!</f>
        <v>#REF!</v>
      </c>
      <c r="J106" s="2" t="e">
        <f>J7/'Output-Calculation-sheet'!J6*'Output-Calculation-sheet'!#REF!</f>
        <v>#REF!</v>
      </c>
      <c r="K106" s="2" t="e">
        <f>K7/'Output-Calculation-sheet'!K6*'Output-Calculation-sheet'!#REF!</f>
        <v>#REF!</v>
      </c>
      <c r="L106" s="2" t="e">
        <f>L7/'Output-Calculation-sheet'!L6*'Output-Calculation-sheet'!#REF!</f>
        <v>#REF!</v>
      </c>
      <c r="M106" s="2" t="e">
        <f>M7/'Output-Calculation-sheet'!M6*'Output-Calculation-sheet'!#REF!</f>
        <v>#REF!</v>
      </c>
      <c r="N106" s="2" t="e">
        <f>N7/'Output-Calculation-sheet'!N6*'Output-Calculation-sheet'!#REF!</f>
        <v>#REF!</v>
      </c>
      <c r="O106" s="2" t="e">
        <f>O7/'Output-Calculation-sheet'!O6*'Output-Calculation-sheet'!#REF!</f>
        <v>#REF!</v>
      </c>
      <c r="P106" s="2" t="e">
        <f>P7/'Output-Calculation-sheet'!P6*'Output-Calculation-sheet'!#REF!</f>
        <v>#REF!</v>
      </c>
      <c r="Q106" s="2" t="e">
        <f>Q7/'Output-Calculation-sheet'!Q6*'Output-Calculation-sheet'!#REF!</f>
        <v>#REF!</v>
      </c>
      <c r="R106" s="2" t="e">
        <f>R7/'Output-Calculation-sheet'!R6*'Output-Calculation-sheet'!#REF!</f>
        <v>#REF!</v>
      </c>
      <c r="S106" s="2" t="e">
        <f>S7/'Output-Calculation-sheet'!S6*'Output-Calculation-sheet'!#REF!</f>
        <v>#REF!</v>
      </c>
      <c r="T106" s="2" t="e">
        <f>T7/'Output-Calculation-sheet'!T6*'Output-Calculation-sheet'!#REF!</f>
        <v>#REF!</v>
      </c>
      <c r="U106" s="2" t="e">
        <f>U7/'Output-Calculation-sheet'!U6*'Output-Calculation-sheet'!#REF!</f>
        <v>#REF!</v>
      </c>
      <c r="V106" s="2" t="e">
        <f>V7/'Output-Calculation-sheet'!V6*'Output-Calculation-sheet'!#REF!</f>
        <v>#REF!</v>
      </c>
      <c r="W106" s="2" t="e">
        <f>W7/'Output-Calculation-sheet'!W6*'Output-Calculation-sheet'!#REF!</f>
        <v>#REF!</v>
      </c>
      <c r="X106" s="2" t="e">
        <f>X7/'Output-Calculation-sheet'!X6*'Output-Calculation-sheet'!#REF!</f>
        <v>#REF!</v>
      </c>
      <c r="Y106" s="2" t="e">
        <f>Y7/'Output-Calculation-sheet'!Y6*'Output-Calculation-sheet'!#REF!</f>
        <v>#REF!</v>
      </c>
      <c r="AA106" s="2" t="e">
        <f t="shared" si="8"/>
        <v>#REF!</v>
      </c>
    </row>
    <row r="107" spans="1:27" x14ac:dyDescent="0.25">
      <c r="A107" s="2">
        <v>2031</v>
      </c>
      <c r="B107" s="2" t="e">
        <f>B8/'Output-Calculation-sheet'!B7*'Output-Calculation-sheet'!#REF!</f>
        <v>#REF!</v>
      </c>
      <c r="C107" s="2" t="e">
        <f>C8/'Output-Calculation-sheet'!C7*'Output-Calculation-sheet'!#REF!</f>
        <v>#REF!</v>
      </c>
      <c r="D107" s="2" t="e">
        <f>D8/'Output-Calculation-sheet'!D7*'Output-Calculation-sheet'!#REF!</f>
        <v>#REF!</v>
      </c>
      <c r="E107" s="2" t="e">
        <f>E8/'Output-Calculation-sheet'!E7*'Output-Calculation-sheet'!#REF!</f>
        <v>#REF!</v>
      </c>
      <c r="F107" s="2" t="e">
        <f>F8/'Output-Calculation-sheet'!F7*'Output-Calculation-sheet'!#REF!</f>
        <v>#REF!</v>
      </c>
      <c r="G107" s="2" t="e">
        <f>G8/'Output-Calculation-sheet'!G7*'Output-Calculation-sheet'!#REF!</f>
        <v>#REF!</v>
      </c>
      <c r="H107" s="2" t="e">
        <f>H8/'Output-Calculation-sheet'!H7*'Output-Calculation-sheet'!#REF!</f>
        <v>#REF!</v>
      </c>
      <c r="I107" s="2" t="e">
        <f>I8/'Output-Calculation-sheet'!I7*'Output-Calculation-sheet'!#REF!</f>
        <v>#REF!</v>
      </c>
      <c r="J107" s="2" t="e">
        <f>J8/'Output-Calculation-sheet'!J7*'Output-Calculation-sheet'!#REF!</f>
        <v>#REF!</v>
      </c>
      <c r="K107" s="2" t="e">
        <f>K8/'Output-Calculation-sheet'!K7*'Output-Calculation-sheet'!#REF!</f>
        <v>#REF!</v>
      </c>
      <c r="L107" s="2" t="e">
        <f>L8/'Output-Calculation-sheet'!L7*'Output-Calculation-sheet'!#REF!</f>
        <v>#REF!</v>
      </c>
      <c r="M107" s="2" t="e">
        <f>M8/'Output-Calculation-sheet'!M7*'Output-Calculation-sheet'!#REF!</f>
        <v>#REF!</v>
      </c>
      <c r="N107" s="2" t="e">
        <f>N8/'Output-Calculation-sheet'!N7*'Output-Calculation-sheet'!#REF!</f>
        <v>#REF!</v>
      </c>
      <c r="O107" s="2" t="e">
        <f>O8/'Output-Calculation-sheet'!O7*'Output-Calculation-sheet'!#REF!</f>
        <v>#REF!</v>
      </c>
      <c r="P107" s="2" t="e">
        <f>P8/'Output-Calculation-sheet'!P7*'Output-Calculation-sheet'!#REF!</f>
        <v>#REF!</v>
      </c>
      <c r="Q107" s="2" t="e">
        <f>Q8/'Output-Calculation-sheet'!Q7*'Output-Calculation-sheet'!#REF!</f>
        <v>#REF!</v>
      </c>
      <c r="R107" s="2" t="e">
        <f>R8/'Output-Calculation-sheet'!R7*'Output-Calculation-sheet'!#REF!</f>
        <v>#REF!</v>
      </c>
      <c r="S107" s="2" t="e">
        <f>S8/'Output-Calculation-sheet'!S7*'Output-Calculation-sheet'!#REF!</f>
        <v>#REF!</v>
      </c>
      <c r="T107" s="2" t="e">
        <f>T8/'Output-Calculation-sheet'!T7*'Output-Calculation-sheet'!#REF!</f>
        <v>#REF!</v>
      </c>
      <c r="U107" s="2" t="e">
        <f>U8/'Output-Calculation-sheet'!U7*'Output-Calculation-sheet'!#REF!</f>
        <v>#REF!</v>
      </c>
      <c r="V107" s="2" t="e">
        <f>V8/'Output-Calculation-sheet'!V7*'Output-Calculation-sheet'!#REF!</f>
        <v>#REF!</v>
      </c>
      <c r="W107" s="2" t="e">
        <f>W8/'Output-Calculation-sheet'!W7*'Output-Calculation-sheet'!#REF!</f>
        <v>#REF!</v>
      </c>
      <c r="X107" s="2" t="e">
        <f>X8/'Output-Calculation-sheet'!X7*'Output-Calculation-sheet'!#REF!</f>
        <v>#REF!</v>
      </c>
      <c r="Y107" s="2" t="e">
        <f>Y8/'Output-Calculation-sheet'!Y7*'Output-Calculation-sheet'!#REF!</f>
        <v>#REF!</v>
      </c>
      <c r="AA107" s="2" t="e">
        <f t="shared" si="8"/>
        <v>#REF!</v>
      </c>
    </row>
    <row r="108" spans="1:27" x14ac:dyDescent="0.25">
      <c r="A108" s="2">
        <v>2032</v>
      </c>
      <c r="B108" s="2" t="e">
        <f>B9/'Output-Calculation-sheet'!B8*'Output-Calculation-sheet'!#REF!</f>
        <v>#REF!</v>
      </c>
      <c r="C108" s="2" t="e">
        <f>C9/'Output-Calculation-sheet'!C8*'Output-Calculation-sheet'!#REF!</f>
        <v>#REF!</v>
      </c>
      <c r="D108" s="2" t="e">
        <f>D9/'Output-Calculation-sheet'!D8*'Output-Calculation-sheet'!#REF!</f>
        <v>#REF!</v>
      </c>
      <c r="E108" s="2" t="e">
        <f>E9/'Output-Calculation-sheet'!E8*'Output-Calculation-sheet'!#REF!</f>
        <v>#REF!</v>
      </c>
      <c r="F108" s="2" t="e">
        <f>F9/'Output-Calculation-sheet'!F8*'Output-Calculation-sheet'!#REF!</f>
        <v>#REF!</v>
      </c>
      <c r="G108" s="2" t="e">
        <f>G9/'Output-Calculation-sheet'!G8*'Output-Calculation-sheet'!#REF!</f>
        <v>#REF!</v>
      </c>
      <c r="H108" s="2" t="e">
        <f>H9/'Output-Calculation-sheet'!H8*'Output-Calculation-sheet'!#REF!</f>
        <v>#REF!</v>
      </c>
      <c r="I108" s="2" t="e">
        <f>I9/'Output-Calculation-sheet'!I8*'Output-Calculation-sheet'!#REF!</f>
        <v>#REF!</v>
      </c>
      <c r="J108" s="2" t="e">
        <f>J9/'Output-Calculation-sheet'!J8*'Output-Calculation-sheet'!#REF!</f>
        <v>#REF!</v>
      </c>
      <c r="K108" s="2" t="e">
        <f>K9/'Output-Calculation-sheet'!K8*'Output-Calculation-sheet'!#REF!</f>
        <v>#REF!</v>
      </c>
      <c r="L108" s="2" t="e">
        <f>L9/'Output-Calculation-sheet'!L8*'Output-Calculation-sheet'!#REF!</f>
        <v>#REF!</v>
      </c>
      <c r="M108" s="2" t="e">
        <f>M9/'Output-Calculation-sheet'!M8*'Output-Calculation-sheet'!#REF!</f>
        <v>#REF!</v>
      </c>
      <c r="N108" s="2" t="e">
        <f>N9/'Output-Calculation-sheet'!N8*'Output-Calculation-sheet'!#REF!</f>
        <v>#REF!</v>
      </c>
      <c r="O108" s="2" t="e">
        <f>O9/'Output-Calculation-sheet'!O8*'Output-Calculation-sheet'!#REF!</f>
        <v>#REF!</v>
      </c>
      <c r="P108" s="2" t="e">
        <f>P9/'Output-Calculation-sheet'!P8*'Output-Calculation-sheet'!#REF!</f>
        <v>#REF!</v>
      </c>
      <c r="Q108" s="2" t="e">
        <f>Q9/'Output-Calculation-sheet'!Q8*'Output-Calculation-sheet'!#REF!</f>
        <v>#REF!</v>
      </c>
      <c r="R108" s="2" t="e">
        <f>R9/'Output-Calculation-sheet'!R8*'Output-Calculation-sheet'!#REF!</f>
        <v>#REF!</v>
      </c>
      <c r="S108" s="2" t="e">
        <f>S9/'Output-Calculation-sheet'!S8*'Output-Calculation-sheet'!#REF!</f>
        <v>#REF!</v>
      </c>
      <c r="T108" s="2" t="e">
        <f>T9/'Output-Calculation-sheet'!T8*'Output-Calculation-sheet'!#REF!</f>
        <v>#REF!</v>
      </c>
      <c r="U108" s="2" t="e">
        <f>U9/'Output-Calculation-sheet'!U8*'Output-Calculation-sheet'!#REF!</f>
        <v>#REF!</v>
      </c>
      <c r="V108" s="2" t="e">
        <f>V9/'Output-Calculation-sheet'!V8*'Output-Calculation-sheet'!#REF!</f>
        <v>#REF!</v>
      </c>
      <c r="W108" s="2" t="e">
        <f>W9/'Output-Calculation-sheet'!W8*'Output-Calculation-sheet'!#REF!</f>
        <v>#REF!</v>
      </c>
      <c r="X108" s="2" t="e">
        <f>X9/'Output-Calculation-sheet'!X8*'Output-Calculation-sheet'!#REF!</f>
        <v>#REF!</v>
      </c>
      <c r="Y108" s="2" t="e">
        <f>Y9/'Output-Calculation-sheet'!Y8*'Output-Calculation-sheet'!#REF!</f>
        <v>#REF!</v>
      </c>
      <c r="AA108" s="2" t="e">
        <f t="shared" si="8"/>
        <v>#REF!</v>
      </c>
    </row>
    <row r="109" spans="1:27" x14ac:dyDescent="0.25">
      <c r="A109" s="2">
        <v>2033</v>
      </c>
      <c r="B109" s="2" t="e">
        <f>B10/'Output-Calculation-sheet'!B9*'Output-Calculation-sheet'!#REF!</f>
        <v>#REF!</v>
      </c>
      <c r="C109" s="2" t="e">
        <f>C10/'Output-Calculation-sheet'!C9*'Output-Calculation-sheet'!#REF!</f>
        <v>#REF!</v>
      </c>
      <c r="D109" s="2" t="e">
        <f>D10/'Output-Calculation-sheet'!D9*'Output-Calculation-sheet'!#REF!</f>
        <v>#REF!</v>
      </c>
      <c r="E109" s="2" t="e">
        <f>E10/'Output-Calculation-sheet'!E9*'Output-Calculation-sheet'!#REF!</f>
        <v>#REF!</v>
      </c>
      <c r="F109" s="2" t="e">
        <f>F10/'Output-Calculation-sheet'!F9*'Output-Calculation-sheet'!#REF!</f>
        <v>#REF!</v>
      </c>
      <c r="G109" s="2" t="e">
        <f>G10/'Output-Calculation-sheet'!G9*'Output-Calculation-sheet'!#REF!</f>
        <v>#REF!</v>
      </c>
      <c r="H109" s="2" t="e">
        <f>H10/'Output-Calculation-sheet'!H9*'Output-Calculation-sheet'!#REF!</f>
        <v>#REF!</v>
      </c>
      <c r="I109" s="2" t="e">
        <f>I10/'Output-Calculation-sheet'!I9*'Output-Calculation-sheet'!#REF!</f>
        <v>#REF!</v>
      </c>
      <c r="J109" s="2" t="e">
        <f>J10/'Output-Calculation-sheet'!J9*'Output-Calculation-sheet'!#REF!</f>
        <v>#REF!</v>
      </c>
      <c r="K109" s="2" t="e">
        <f>K10/'Output-Calculation-sheet'!K9*'Output-Calculation-sheet'!#REF!</f>
        <v>#REF!</v>
      </c>
      <c r="L109" s="2" t="e">
        <f>L10/'Output-Calculation-sheet'!L9*'Output-Calculation-sheet'!#REF!</f>
        <v>#REF!</v>
      </c>
      <c r="M109" s="2" t="e">
        <f>M10/'Output-Calculation-sheet'!M9*'Output-Calculation-sheet'!#REF!</f>
        <v>#REF!</v>
      </c>
      <c r="N109" s="2" t="e">
        <f>N10/'Output-Calculation-sheet'!N9*'Output-Calculation-sheet'!#REF!</f>
        <v>#REF!</v>
      </c>
      <c r="O109" s="2" t="e">
        <f>O10/'Output-Calculation-sheet'!O9*'Output-Calculation-sheet'!#REF!</f>
        <v>#REF!</v>
      </c>
      <c r="P109" s="2" t="e">
        <f>P10/'Output-Calculation-sheet'!P9*'Output-Calculation-sheet'!#REF!</f>
        <v>#REF!</v>
      </c>
      <c r="Q109" s="2" t="e">
        <f>Q10/'Output-Calculation-sheet'!Q9*'Output-Calculation-sheet'!#REF!</f>
        <v>#REF!</v>
      </c>
      <c r="R109" s="2" t="e">
        <f>R10/'Output-Calculation-sheet'!R9*'Output-Calculation-sheet'!#REF!</f>
        <v>#REF!</v>
      </c>
      <c r="S109" s="2" t="e">
        <f>S10/'Output-Calculation-sheet'!S9*'Output-Calculation-sheet'!#REF!</f>
        <v>#REF!</v>
      </c>
      <c r="T109" s="2" t="e">
        <f>T10/'Output-Calculation-sheet'!T9*'Output-Calculation-sheet'!#REF!</f>
        <v>#REF!</v>
      </c>
      <c r="U109" s="2" t="e">
        <f>U10/'Output-Calculation-sheet'!U9*'Output-Calculation-sheet'!#REF!</f>
        <v>#REF!</v>
      </c>
      <c r="V109" s="2" t="e">
        <f>V10/'Output-Calculation-sheet'!V9*'Output-Calculation-sheet'!#REF!</f>
        <v>#REF!</v>
      </c>
      <c r="W109" s="2" t="e">
        <f>W10/'Output-Calculation-sheet'!W9*'Output-Calculation-sheet'!#REF!</f>
        <v>#REF!</v>
      </c>
      <c r="X109" s="2" t="e">
        <f>X10/'Output-Calculation-sheet'!X9*'Output-Calculation-sheet'!#REF!</f>
        <v>#REF!</v>
      </c>
      <c r="Y109" s="2" t="e">
        <f>Y10/'Output-Calculation-sheet'!Y9*'Output-Calculation-sheet'!#REF!</f>
        <v>#REF!</v>
      </c>
      <c r="AA109" s="2" t="e">
        <f t="shared" si="8"/>
        <v>#REF!</v>
      </c>
    </row>
    <row r="110" spans="1:27" x14ac:dyDescent="0.25">
      <c r="A110" s="2">
        <v>2034</v>
      </c>
      <c r="B110" s="2" t="e">
        <f>B11/'Output-Calculation-sheet'!B10*'Output-Calculation-sheet'!#REF!</f>
        <v>#REF!</v>
      </c>
      <c r="C110" s="2" t="e">
        <f>C11/'Output-Calculation-sheet'!C10*'Output-Calculation-sheet'!#REF!</f>
        <v>#REF!</v>
      </c>
      <c r="D110" s="2" t="e">
        <f>D11/'Output-Calculation-sheet'!D10*'Output-Calculation-sheet'!#REF!</f>
        <v>#REF!</v>
      </c>
      <c r="E110" s="2" t="e">
        <f>E11/'Output-Calculation-sheet'!E10*'Output-Calculation-sheet'!#REF!</f>
        <v>#REF!</v>
      </c>
      <c r="F110" s="2" t="e">
        <f>F11/'Output-Calculation-sheet'!F10*'Output-Calculation-sheet'!#REF!</f>
        <v>#REF!</v>
      </c>
      <c r="G110" s="2" t="e">
        <f>G11/'Output-Calculation-sheet'!G10*'Output-Calculation-sheet'!#REF!</f>
        <v>#REF!</v>
      </c>
      <c r="H110" s="2" t="e">
        <f>H11/'Output-Calculation-sheet'!H10*'Output-Calculation-sheet'!#REF!</f>
        <v>#REF!</v>
      </c>
      <c r="I110" s="2" t="e">
        <f>I11/'Output-Calculation-sheet'!I10*'Output-Calculation-sheet'!#REF!</f>
        <v>#REF!</v>
      </c>
      <c r="J110" s="2" t="e">
        <f>J11/'Output-Calculation-sheet'!J10*'Output-Calculation-sheet'!#REF!</f>
        <v>#REF!</v>
      </c>
      <c r="K110" s="2" t="e">
        <f>K11/'Output-Calculation-sheet'!K10*'Output-Calculation-sheet'!#REF!</f>
        <v>#REF!</v>
      </c>
      <c r="L110" s="2" t="e">
        <f>L11/'Output-Calculation-sheet'!L10*'Output-Calculation-sheet'!#REF!</f>
        <v>#REF!</v>
      </c>
      <c r="M110" s="2" t="e">
        <f>M11/'Output-Calculation-sheet'!M10*'Output-Calculation-sheet'!#REF!</f>
        <v>#REF!</v>
      </c>
      <c r="N110" s="2" t="e">
        <f>N11/'Output-Calculation-sheet'!N10*'Output-Calculation-sheet'!#REF!</f>
        <v>#REF!</v>
      </c>
      <c r="O110" s="2" t="e">
        <f>O11/'Output-Calculation-sheet'!O10*'Output-Calculation-sheet'!#REF!</f>
        <v>#REF!</v>
      </c>
      <c r="P110" s="2" t="e">
        <f>P11/'Output-Calculation-sheet'!P10*'Output-Calculation-sheet'!#REF!</f>
        <v>#REF!</v>
      </c>
      <c r="Q110" s="2" t="e">
        <f>Q11/'Output-Calculation-sheet'!Q10*'Output-Calculation-sheet'!#REF!</f>
        <v>#REF!</v>
      </c>
      <c r="R110" s="2" t="e">
        <f>R11/'Output-Calculation-sheet'!R10*'Output-Calculation-sheet'!#REF!</f>
        <v>#REF!</v>
      </c>
      <c r="S110" s="2" t="e">
        <f>S11/'Output-Calculation-sheet'!S10*'Output-Calculation-sheet'!#REF!</f>
        <v>#REF!</v>
      </c>
      <c r="T110" s="2" t="e">
        <f>T11/'Output-Calculation-sheet'!T10*'Output-Calculation-sheet'!#REF!</f>
        <v>#REF!</v>
      </c>
      <c r="U110" s="2" t="e">
        <f>U11/'Output-Calculation-sheet'!U10*'Output-Calculation-sheet'!#REF!</f>
        <v>#REF!</v>
      </c>
      <c r="V110" s="2" t="e">
        <f>V11/'Output-Calculation-sheet'!V10*'Output-Calculation-sheet'!#REF!</f>
        <v>#REF!</v>
      </c>
      <c r="W110" s="2" t="e">
        <f>W11/'Output-Calculation-sheet'!W10*'Output-Calculation-sheet'!#REF!</f>
        <v>#REF!</v>
      </c>
      <c r="X110" s="2" t="e">
        <f>X11/'Output-Calculation-sheet'!X10*'Output-Calculation-sheet'!#REF!</f>
        <v>#REF!</v>
      </c>
      <c r="Y110" s="2" t="e">
        <f>Y11/'Output-Calculation-sheet'!Y10*'Output-Calculation-sheet'!#REF!</f>
        <v>#REF!</v>
      </c>
      <c r="AA110" s="2" t="e">
        <f t="shared" si="8"/>
        <v>#REF!</v>
      </c>
    </row>
    <row r="111" spans="1:27" x14ac:dyDescent="0.25">
      <c r="A111" s="2">
        <v>2035</v>
      </c>
      <c r="B111" s="2" t="e">
        <f>B12/'Output-Calculation-sheet'!B11*'Output-Calculation-sheet'!#REF!</f>
        <v>#REF!</v>
      </c>
      <c r="C111" s="2" t="e">
        <f>C12/'Output-Calculation-sheet'!C11*'Output-Calculation-sheet'!#REF!</f>
        <v>#REF!</v>
      </c>
      <c r="D111" s="2" t="e">
        <f>D12/'Output-Calculation-sheet'!D11*'Output-Calculation-sheet'!#REF!</f>
        <v>#REF!</v>
      </c>
      <c r="E111" s="2" t="e">
        <f>E12/'Output-Calculation-sheet'!E11*'Output-Calculation-sheet'!#REF!</f>
        <v>#REF!</v>
      </c>
      <c r="F111" s="2" t="e">
        <f>F12/'Output-Calculation-sheet'!F11*'Output-Calculation-sheet'!#REF!</f>
        <v>#REF!</v>
      </c>
      <c r="G111" s="2" t="e">
        <f>G12/'Output-Calculation-sheet'!G11*'Output-Calculation-sheet'!#REF!</f>
        <v>#REF!</v>
      </c>
      <c r="H111" s="2" t="e">
        <f>H12/'Output-Calculation-sheet'!H11*'Output-Calculation-sheet'!#REF!</f>
        <v>#REF!</v>
      </c>
      <c r="I111" s="2" t="e">
        <f>I12/'Output-Calculation-sheet'!I11*'Output-Calculation-sheet'!#REF!</f>
        <v>#REF!</v>
      </c>
      <c r="J111" s="2" t="e">
        <f>J12/'Output-Calculation-sheet'!J11*'Output-Calculation-sheet'!#REF!</f>
        <v>#REF!</v>
      </c>
      <c r="K111" s="2" t="e">
        <f>K12/'Output-Calculation-sheet'!K11*'Output-Calculation-sheet'!#REF!</f>
        <v>#REF!</v>
      </c>
      <c r="L111" s="2" t="e">
        <f>L12/'Output-Calculation-sheet'!L11*'Output-Calculation-sheet'!#REF!</f>
        <v>#REF!</v>
      </c>
      <c r="M111" s="2" t="e">
        <f>M12/'Output-Calculation-sheet'!M11*'Output-Calculation-sheet'!#REF!</f>
        <v>#REF!</v>
      </c>
      <c r="N111" s="2" t="e">
        <f>N12/'Output-Calculation-sheet'!N11*'Output-Calculation-sheet'!#REF!</f>
        <v>#REF!</v>
      </c>
      <c r="O111" s="2" t="e">
        <f>O12/'Output-Calculation-sheet'!O11*'Output-Calculation-sheet'!#REF!</f>
        <v>#REF!</v>
      </c>
      <c r="P111" s="2" t="e">
        <f>P12/'Output-Calculation-sheet'!P11*'Output-Calculation-sheet'!#REF!</f>
        <v>#REF!</v>
      </c>
      <c r="Q111" s="2" t="e">
        <f>Q12/'Output-Calculation-sheet'!Q11*'Output-Calculation-sheet'!#REF!</f>
        <v>#REF!</v>
      </c>
      <c r="R111" s="2" t="e">
        <f>R12/'Output-Calculation-sheet'!R11*'Output-Calculation-sheet'!#REF!</f>
        <v>#REF!</v>
      </c>
      <c r="S111" s="2" t="e">
        <f>S12/'Output-Calculation-sheet'!S11*'Output-Calculation-sheet'!#REF!</f>
        <v>#REF!</v>
      </c>
      <c r="T111" s="2" t="e">
        <f>T12/'Output-Calculation-sheet'!T11*'Output-Calculation-sheet'!#REF!</f>
        <v>#REF!</v>
      </c>
      <c r="U111" s="2" t="e">
        <f>U12/'Output-Calculation-sheet'!U11*'Output-Calculation-sheet'!#REF!</f>
        <v>#REF!</v>
      </c>
      <c r="V111" s="2" t="e">
        <f>V12/'Output-Calculation-sheet'!V11*'Output-Calculation-sheet'!#REF!</f>
        <v>#REF!</v>
      </c>
      <c r="W111" s="2" t="e">
        <f>W12/'Output-Calculation-sheet'!W11*'Output-Calculation-sheet'!#REF!</f>
        <v>#REF!</v>
      </c>
      <c r="X111" s="2" t="e">
        <f>X12/'Output-Calculation-sheet'!X11*'Output-Calculation-sheet'!#REF!</f>
        <v>#REF!</v>
      </c>
      <c r="Y111" s="2" t="e">
        <f>Y12/'Output-Calculation-sheet'!Y11*'Output-Calculation-sheet'!#REF!</f>
        <v>#REF!</v>
      </c>
      <c r="AA111" s="2" t="e">
        <f t="shared" si="8"/>
        <v>#REF!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B5/'Output-Calculation-sheet'!B4*'Output-Calculation-sheet'!#REF!</f>
        <v>#REF!</v>
      </c>
      <c r="C115" s="2" t="e">
        <f>C5/'Output-Calculation-sheet'!C4*'Output-Calculation-sheet'!#REF!</f>
        <v>#REF!</v>
      </c>
      <c r="D115" s="2" t="e">
        <f>D5/'Output-Calculation-sheet'!D4*'Output-Calculation-sheet'!#REF!</f>
        <v>#REF!</v>
      </c>
      <c r="E115" s="2" t="e">
        <f>E5/'Output-Calculation-sheet'!E4*'Output-Calculation-sheet'!#REF!</f>
        <v>#REF!</v>
      </c>
      <c r="F115" s="2" t="e">
        <f>F5/'Output-Calculation-sheet'!F4*'Output-Calculation-sheet'!#REF!</f>
        <v>#REF!</v>
      </c>
      <c r="G115" s="2" t="e">
        <f>G5/'Output-Calculation-sheet'!G4*'Output-Calculation-sheet'!#REF!</f>
        <v>#REF!</v>
      </c>
      <c r="H115" s="2" t="e">
        <f>H5/'Output-Calculation-sheet'!H4*'Output-Calculation-sheet'!#REF!</f>
        <v>#REF!</v>
      </c>
      <c r="I115" s="2" t="e">
        <f>I5/'Output-Calculation-sheet'!I4*'Output-Calculation-sheet'!#REF!</f>
        <v>#REF!</v>
      </c>
      <c r="J115" s="2" t="e">
        <f>J5/'Output-Calculation-sheet'!J4*'Output-Calculation-sheet'!#REF!</f>
        <v>#REF!</v>
      </c>
      <c r="K115" s="2" t="e">
        <f>K5/'Output-Calculation-sheet'!K4*'Output-Calculation-sheet'!#REF!</f>
        <v>#REF!</v>
      </c>
      <c r="L115" s="2" t="e">
        <f>L5/'Output-Calculation-sheet'!L4*'Output-Calculation-sheet'!#REF!</f>
        <v>#REF!</v>
      </c>
      <c r="M115" s="2" t="e">
        <f>M5/'Output-Calculation-sheet'!M4*'Output-Calculation-sheet'!#REF!</f>
        <v>#REF!</v>
      </c>
      <c r="N115" s="2" t="e">
        <f>N5/'Output-Calculation-sheet'!N4*'Output-Calculation-sheet'!#REF!</f>
        <v>#REF!</v>
      </c>
      <c r="O115" s="2" t="e">
        <f>O5/'Output-Calculation-sheet'!O4*'Output-Calculation-sheet'!#REF!</f>
        <v>#REF!</v>
      </c>
      <c r="P115" s="2" t="e">
        <f>P5/'Output-Calculation-sheet'!P4*'Output-Calculation-sheet'!#REF!</f>
        <v>#REF!</v>
      </c>
      <c r="Q115" s="2" t="e">
        <f>Q5/'Output-Calculation-sheet'!Q4*'Output-Calculation-sheet'!#REF!</f>
        <v>#REF!</v>
      </c>
      <c r="R115" s="2" t="e">
        <f>R5/'Output-Calculation-sheet'!R4*'Output-Calculation-sheet'!#REF!</f>
        <v>#REF!</v>
      </c>
      <c r="S115" s="2" t="e">
        <f>S5/'Output-Calculation-sheet'!S4*'Output-Calculation-sheet'!#REF!</f>
        <v>#REF!</v>
      </c>
      <c r="T115" s="2" t="e">
        <f>T5/'Output-Calculation-sheet'!T4*'Output-Calculation-sheet'!#REF!</f>
        <v>#REF!</v>
      </c>
      <c r="U115" s="2" t="e">
        <f>U5/'Output-Calculation-sheet'!U4*'Output-Calculation-sheet'!#REF!</f>
        <v>#REF!</v>
      </c>
      <c r="V115" s="2" t="e">
        <f>V5/'Output-Calculation-sheet'!V4*'Output-Calculation-sheet'!#REF!</f>
        <v>#REF!</v>
      </c>
      <c r="W115" s="2" t="e">
        <f>W5/'Output-Calculation-sheet'!W4*'Output-Calculation-sheet'!#REF!</f>
        <v>#REF!</v>
      </c>
      <c r="X115" s="2" t="e">
        <f>X5/'Output-Calculation-sheet'!X4*'Output-Calculation-sheet'!#REF!</f>
        <v>#REF!</v>
      </c>
      <c r="Y115" s="2" t="e">
        <f>Y5/'Output-Calculation-sheet'!Y4*'Output-Calculation-sheet'!#REF!</f>
        <v>#REF!</v>
      </c>
      <c r="AA115" s="2" t="e">
        <f>SUM(B115:Y115)/10^6</f>
        <v>#REF!</v>
      </c>
    </row>
    <row r="116" spans="1:27" x14ac:dyDescent="0.25">
      <c r="A116" s="2">
        <v>2029</v>
      </c>
      <c r="B116" s="2" t="e">
        <f>B6/'Output-Calculation-sheet'!B5*'Output-Calculation-sheet'!#REF!</f>
        <v>#REF!</v>
      </c>
      <c r="C116" s="2" t="e">
        <f>C6/'Output-Calculation-sheet'!C5*'Output-Calculation-sheet'!#REF!</f>
        <v>#REF!</v>
      </c>
      <c r="D116" s="2" t="e">
        <f>D6/'Output-Calculation-sheet'!D5*'Output-Calculation-sheet'!#REF!</f>
        <v>#REF!</v>
      </c>
      <c r="E116" s="2" t="e">
        <f>E6/'Output-Calculation-sheet'!E5*'Output-Calculation-sheet'!#REF!</f>
        <v>#REF!</v>
      </c>
      <c r="F116" s="2" t="e">
        <f>F6/'Output-Calculation-sheet'!F5*'Output-Calculation-sheet'!#REF!</f>
        <v>#REF!</v>
      </c>
      <c r="G116" s="2" t="e">
        <f>G6/'Output-Calculation-sheet'!G5*'Output-Calculation-sheet'!#REF!</f>
        <v>#REF!</v>
      </c>
      <c r="H116" s="2" t="e">
        <f>H6/'Output-Calculation-sheet'!H5*'Output-Calculation-sheet'!#REF!</f>
        <v>#REF!</v>
      </c>
      <c r="I116" s="2" t="e">
        <f>I6/'Output-Calculation-sheet'!I5*'Output-Calculation-sheet'!#REF!</f>
        <v>#REF!</v>
      </c>
      <c r="J116" s="2" t="e">
        <f>J6/'Output-Calculation-sheet'!J5*'Output-Calculation-sheet'!#REF!</f>
        <v>#REF!</v>
      </c>
      <c r="K116" s="2" t="e">
        <f>K6/'Output-Calculation-sheet'!K5*'Output-Calculation-sheet'!#REF!</f>
        <v>#REF!</v>
      </c>
      <c r="L116" s="2" t="e">
        <f>L6/'Output-Calculation-sheet'!L5*'Output-Calculation-sheet'!#REF!</f>
        <v>#REF!</v>
      </c>
      <c r="M116" s="2" t="e">
        <f>M6/'Output-Calculation-sheet'!M5*'Output-Calculation-sheet'!#REF!</f>
        <v>#REF!</v>
      </c>
      <c r="N116" s="2" t="e">
        <f>N6/'Output-Calculation-sheet'!N5*'Output-Calculation-sheet'!#REF!</f>
        <v>#REF!</v>
      </c>
      <c r="O116" s="2" t="e">
        <f>O6/'Output-Calculation-sheet'!O5*'Output-Calculation-sheet'!#REF!</f>
        <v>#REF!</v>
      </c>
      <c r="P116" s="2" t="e">
        <f>P6/'Output-Calculation-sheet'!P5*'Output-Calculation-sheet'!#REF!</f>
        <v>#REF!</v>
      </c>
      <c r="Q116" s="2" t="e">
        <f>Q6/'Output-Calculation-sheet'!Q5*'Output-Calculation-sheet'!#REF!</f>
        <v>#REF!</v>
      </c>
      <c r="R116" s="2" t="e">
        <f>R6/'Output-Calculation-sheet'!R5*'Output-Calculation-sheet'!#REF!</f>
        <v>#REF!</v>
      </c>
      <c r="S116" s="2" t="e">
        <f>S6/'Output-Calculation-sheet'!S5*'Output-Calculation-sheet'!#REF!</f>
        <v>#REF!</v>
      </c>
      <c r="T116" s="2" t="e">
        <f>T6/'Output-Calculation-sheet'!T5*'Output-Calculation-sheet'!#REF!</f>
        <v>#REF!</v>
      </c>
      <c r="U116" s="2" t="e">
        <f>U6/'Output-Calculation-sheet'!U5*'Output-Calculation-sheet'!#REF!</f>
        <v>#REF!</v>
      </c>
      <c r="V116" s="2" t="e">
        <f>V6/'Output-Calculation-sheet'!V5*'Output-Calculation-sheet'!#REF!</f>
        <v>#REF!</v>
      </c>
      <c r="W116" s="2" t="e">
        <f>W6/'Output-Calculation-sheet'!W5*'Output-Calculation-sheet'!#REF!</f>
        <v>#REF!</v>
      </c>
      <c r="X116" s="2" t="e">
        <f>X6/'Output-Calculation-sheet'!X5*'Output-Calculation-sheet'!#REF!</f>
        <v>#REF!</v>
      </c>
      <c r="Y116" s="2" t="e">
        <f>Y6/'Output-Calculation-sheet'!Y5*'Output-Calculation-sheet'!#REF!</f>
        <v>#REF!</v>
      </c>
      <c r="AA116" s="2" t="e">
        <f t="shared" ref="AA116:AA122" si="9">SUM(B116:Y116)/10^6</f>
        <v>#REF!</v>
      </c>
    </row>
    <row r="117" spans="1:27" x14ac:dyDescent="0.25">
      <c r="A117" s="2">
        <v>2030</v>
      </c>
      <c r="B117" s="2" t="e">
        <f>B7/'Output-Calculation-sheet'!B6*'Output-Calculation-sheet'!#REF!</f>
        <v>#REF!</v>
      </c>
      <c r="C117" s="2" t="e">
        <f>C7/'Output-Calculation-sheet'!C6*'Output-Calculation-sheet'!#REF!</f>
        <v>#REF!</v>
      </c>
      <c r="D117" s="2" t="e">
        <f>D7/'Output-Calculation-sheet'!D6*'Output-Calculation-sheet'!#REF!</f>
        <v>#REF!</v>
      </c>
      <c r="E117" s="2" t="e">
        <f>E7/'Output-Calculation-sheet'!E6*'Output-Calculation-sheet'!#REF!</f>
        <v>#REF!</v>
      </c>
      <c r="F117" s="2" t="e">
        <f>F7/'Output-Calculation-sheet'!F6*'Output-Calculation-sheet'!#REF!</f>
        <v>#REF!</v>
      </c>
      <c r="G117" s="2" t="e">
        <f>G7/'Output-Calculation-sheet'!G6*'Output-Calculation-sheet'!#REF!</f>
        <v>#REF!</v>
      </c>
      <c r="H117" s="2" t="e">
        <f>H7/'Output-Calculation-sheet'!H6*'Output-Calculation-sheet'!#REF!</f>
        <v>#REF!</v>
      </c>
      <c r="I117" s="2" t="e">
        <f>I7/'Output-Calculation-sheet'!I6*'Output-Calculation-sheet'!#REF!</f>
        <v>#REF!</v>
      </c>
      <c r="J117" s="2" t="e">
        <f>J7/'Output-Calculation-sheet'!J6*'Output-Calculation-sheet'!#REF!</f>
        <v>#REF!</v>
      </c>
      <c r="K117" s="2" t="e">
        <f>K7/'Output-Calculation-sheet'!K6*'Output-Calculation-sheet'!#REF!</f>
        <v>#REF!</v>
      </c>
      <c r="L117" s="2" t="e">
        <f>L7/'Output-Calculation-sheet'!L6*'Output-Calculation-sheet'!#REF!</f>
        <v>#REF!</v>
      </c>
      <c r="M117" s="2" t="e">
        <f>M7/'Output-Calculation-sheet'!M6*'Output-Calculation-sheet'!#REF!</f>
        <v>#REF!</v>
      </c>
      <c r="N117" s="2" t="e">
        <f>N7/'Output-Calculation-sheet'!N6*'Output-Calculation-sheet'!#REF!</f>
        <v>#REF!</v>
      </c>
      <c r="O117" s="2" t="e">
        <f>O7/'Output-Calculation-sheet'!O6*'Output-Calculation-sheet'!#REF!</f>
        <v>#REF!</v>
      </c>
      <c r="P117" s="2" t="e">
        <f>P7/'Output-Calculation-sheet'!P6*'Output-Calculation-sheet'!#REF!</f>
        <v>#REF!</v>
      </c>
      <c r="Q117" s="2" t="e">
        <f>Q7/'Output-Calculation-sheet'!Q6*'Output-Calculation-sheet'!#REF!</f>
        <v>#REF!</v>
      </c>
      <c r="R117" s="2" t="e">
        <f>R7/'Output-Calculation-sheet'!R6*'Output-Calculation-sheet'!#REF!</f>
        <v>#REF!</v>
      </c>
      <c r="S117" s="2" t="e">
        <f>S7/'Output-Calculation-sheet'!S6*'Output-Calculation-sheet'!#REF!</f>
        <v>#REF!</v>
      </c>
      <c r="T117" s="2" t="e">
        <f>T7/'Output-Calculation-sheet'!T6*'Output-Calculation-sheet'!#REF!</f>
        <v>#REF!</v>
      </c>
      <c r="U117" s="2" t="e">
        <f>U7/'Output-Calculation-sheet'!U6*'Output-Calculation-sheet'!#REF!</f>
        <v>#REF!</v>
      </c>
      <c r="V117" s="2" t="e">
        <f>V7/'Output-Calculation-sheet'!V6*'Output-Calculation-sheet'!#REF!</f>
        <v>#REF!</v>
      </c>
      <c r="W117" s="2" t="e">
        <f>W7/'Output-Calculation-sheet'!W6*'Output-Calculation-sheet'!#REF!</f>
        <v>#REF!</v>
      </c>
      <c r="X117" s="2" t="e">
        <f>X7/'Output-Calculation-sheet'!X6*'Output-Calculation-sheet'!#REF!</f>
        <v>#REF!</v>
      </c>
      <c r="Y117" s="2" t="e">
        <f>Y7/'Output-Calculation-sheet'!Y6*'Output-Calculation-sheet'!#REF!</f>
        <v>#REF!</v>
      </c>
      <c r="AA117" s="2" t="e">
        <f t="shared" si="9"/>
        <v>#REF!</v>
      </c>
    </row>
    <row r="118" spans="1:27" x14ac:dyDescent="0.25">
      <c r="A118" s="2">
        <v>2031</v>
      </c>
      <c r="B118" s="2" t="e">
        <f>B8/'Output-Calculation-sheet'!B7*'Output-Calculation-sheet'!#REF!</f>
        <v>#REF!</v>
      </c>
      <c r="C118" s="2" t="e">
        <f>C8/'Output-Calculation-sheet'!C7*'Output-Calculation-sheet'!#REF!</f>
        <v>#REF!</v>
      </c>
      <c r="D118" s="2" t="e">
        <f>D8/'Output-Calculation-sheet'!D7*'Output-Calculation-sheet'!#REF!</f>
        <v>#REF!</v>
      </c>
      <c r="E118" s="2" t="e">
        <f>E8/'Output-Calculation-sheet'!E7*'Output-Calculation-sheet'!#REF!</f>
        <v>#REF!</v>
      </c>
      <c r="F118" s="2" t="e">
        <f>F8/'Output-Calculation-sheet'!F7*'Output-Calculation-sheet'!#REF!</f>
        <v>#REF!</v>
      </c>
      <c r="G118" s="2" t="e">
        <f>G8/'Output-Calculation-sheet'!G7*'Output-Calculation-sheet'!#REF!</f>
        <v>#REF!</v>
      </c>
      <c r="H118" s="2" t="e">
        <f>H8/'Output-Calculation-sheet'!H7*'Output-Calculation-sheet'!#REF!</f>
        <v>#REF!</v>
      </c>
      <c r="I118" s="2" t="e">
        <f>I8/'Output-Calculation-sheet'!I7*'Output-Calculation-sheet'!#REF!</f>
        <v>#REF!</v>
      </c>
      <c r="J118" s="2" t="e">
        <f>J8/'Output-Calculation-sheet'!J7*'Output-Calculation-sheet'!#REF!</f>
        <v>#REF!</v>
      </c>
      <c r="K118" s="2" t="e">
        <f>K8/'Output-Calculation-sheet'!K7*'Output-Calculation-sheet'!#REF!</f>
        <v>#REF!</v>
      </c>
      <c r="L118" s="2" t="e">
        <f>L8/'Output-Calculation-sheet'!L7*'Output-Calculation-sheet'!#REF!</f>
        <v>#REF!</v>
      </c>
      <c r="M118" s="2" t="e">
        <f>M8/'Output-Calculation-sheet'!M7*'Output-Calculation-sheet'!#REF!</f>
        <v>#REF!</v>
      </c>
      <c r="N118" s="2" t="e">
        <f>N8/'Output-Calculation-sheet'!N7*'Output-Calculation-sheet'!#REF!</f>
        <v>#REF!</v>
      </c>
      <c r="O118" s="2" t="e">
        <f>O8/'Output-Calculation-sheet'!O7*'Output-Calculation-sheet'!#REF!</f>
        <v>#REF!</v>
      </c>
      <c r="P118" s="2" t="e">
        <f>P8/'Output-Calculation-sheet'!P7*'Output-Calculation-sheet'!#REF!</f>
        <v>#REF!</v>
      </c>
      <c r="Q118" s="2" t="e">
        <f>Q8/'Output-Calculation-sheet'!Q7*'Output-Calculation-sheet'!#REF!</f>
        <v>#REF!</v>
      </c>
      <c r="R118" s="2" t="e">
        <f>R8/'Output-Calculation-sheet'!R7*'Output-Calculation-sheet'!#REF!</f>
        <v>#REF!</v>
      </c>
      <c r="S118" s="2" t="e">
        <f>S8/'Output-Calculation-sheet'!S7*'Output-Calculation-sheet'!#REF!</f>
        <v>#REF!</v>
      </c>
      <c r="T118" s="2" t="e">
        <f>T8/'Output-Calculation-sheet'!T7*'Output-Calculation-sheet'!#REF!</f>
        <v>#REF!</v>
      </c>
      <c r="U118" s="2" t="e">
        <f>U8/'Output-Calculation-sheet'!U7*'Output-Calculation-sheet'!#REF!</f>
        <v>#REF!</v>
      </c>
      <c r="V118" s="2" t="e">
        <f>V8/'Output-Calculation-sheet'!V7*'Output-Calculation-sheet'!#REF!</f>
        <v>#REF!</v>
      </c>
      <c r="W118" s="2" t="e">
        <f>W8/'Output-Calculation-sheet'!W7*'Output-Calculation-sheet'!#REF!</f>
        <v>#REF!</v>
      </c>
      <c r="X118" s="2" t="e">
        <f>X8/'Output-Calculation-sheet'!X7*'Output-Calculation-sheet'!#REF!</f>
        <v>#REF!</v>
      </c>
      <c r="Y118" s="2" t="e">
        <f>Y8/'Output-Calculation-sheet'!Y7*'Output-Calculation-sheet'!#REF!</f>
        <v>#REF!</v>
      </c>
      <c r="AA118" s="2" t="e">
        <f t="shared" si="9"/>
        <v>#REF!</v>
      </c>
    </row>
    <row r="119" spans="1:27" x14ac:dyDescent="0.25">
      <c r="A119" s="2">
        <v>2032</v>
      </c>
      <c r="B119" s="2" t="e">
        <f>B9/'Output-Calculation-sheet'!B8*'Output-Calculation-sheet'!#REF!</f>
        <v>#REF!</v>
      </c>
      <c r="C119" s="2" t="e">
        <f>C9/'Output-Calculation-sheet'!C8*'Output-Calculation-sheet'!#REF!</f>
        <v>#REF!</v>
      </c>
      <c r="D119" s="2" t="e">
        <f>D9/'Output-Calculation-sheet'!D8*'Output-Calculation-sheet'!#REF!</f>
        <v>#REF!</v>
      </c>
      <c r="E119" s="2" t="e">
        <f>E9/'Output-Calculation-sheet'!E8*'Output-Calculation-sheet'!#REF!</f>
        <v>#REF!</v>
      </c>
      <c r="F119" s="2" t="e">
        <f>F9/'Output-Calculation-sheet'!F8*'Output-Calculation-sheet'!#REF!</f>
        <v>#REF!</v>
      </c>
      <c r="G119" s="2" t="e">
        <f>G9/'Output-Calculation-sheet'!G8*'Output-Calculation-sheet'!#REF!</f>
        <v>#REF!</v>
      </c>
      <c r="H119" s="2" t="e">
        <f>H9/'Output-Calculation-sheet'!H8*'Output-Calculation-sheet'!#REF!</f>
        <v>#REF!</v>
      </c>
      <c r="I119" s="2" t="e">
        <f>I9/'Output-Calculation-sheet'!I8*'Output-Calculation-sheet'!#REF!</f>
        <v>#REF!</v>
      </c>
      <c r="J119" s="2" t="e">
        <f>J9/'Output-Calculation-sheet'!J8*'Output-Calculation-sheet'!#REF!</f>
        <v>#REF!</v>
      </c>
      <c r="K119" s="2" t="e">
        <f>K9/'Output-Calculation-sheet'!K8*'Output-Calculation-sheet'!#REF!</f>
        <v>#REF!</v>
      </c>
      <c r="L119" s="2" t="e">
        <f>L9/'Output-Calculation-sheet'!L8*'Output-Calculation-sheet'!#REF!</f>
        <v>#REF!</v>
      </c>
      <c r="M119" s="2" t="e">
        <f>M9/'Output-Calculation-sheet'!M8*'Output-Calculation-sheet'!#REF!</f>
        <v>#REF!</v>
      </c>
      <c r="N119" s="2" t="e">
        <f>N9/'Output-Calculation-sheet'!N8*'Output-Calculation-sheet'!#REF!</f>
        <v>#REF!</v>
      </c>
      <c r="O119" s="2" t="e">
        <f>O9/'Output-Calculation-sheet'!O8*'Output-Calculation-sheet'!#REF!</f>
        <v>#REF!</v>
      </c>
      <c r="P119" s="2" t="e">
        <f>P9/'Output-Calculation-sheet'!P8*'Output-Calculation-sheet'!#REF!</f>
        <v>#REF!</v>
      </c>
      <c r="Q119" s="2" t="e">
        <f>Q9/'Output-Calculation-sheet'!Q8*'Output-Calculation-sheet'!#REF!</f>
        <v>#REF!</v>
      </c>
      <c r="R119" s="2" t="e">
        <f>R9/'Output-Calculation-sheet'!R8*'Output-Calculation-sheet'!#REF!</f>
        <v>#REF!</v>
      </c>
      <c r="S119" s="2" t="e">
        <f>S9/'Output-Calculation-sheet'!S8*'Output-Calculation-sheet'!#REF!</f>
        <v>#REF!</v>
      </c>
      <c r="T119" s="2" t="e">
        <f>T9/'Output-Calculation-sheet'!T8*'Output-Calculation-sheet'!#REF!</f>
        <v>#REF!</v>
      </c>
      <c r="U119" s="2" t="e">
        <f>U9/'Output-Calculation-sheet'!U8*'Output-Calculation-sheet'!#REF!</f>
        <v>#REF!</v>
      </c>
      <c r="V119" s="2" t="e">
        <f>V9/'Output-Calculation-sheet'!V8*'Output-Calculation-sheet'!#REF!</f>
        <v>#REF!</v>
      </c>
      <c r="W119" s="2" t="e">
        <f>W9/'Output-Calculation-sheet'!W8*'Output-Calculation-sheet'!#REF!</f>
        <v>#REF!</v>
      </c>
      <c r="X119" s="2" t="e">
        <f>X9/'Output-Calculation-sheet'!X8*'Output-Calculation-sheet'!#REF!</f>
        <v>#REF!</v>
      </c>
      <c r="Y119" s="2" t="e">
        <f>Y9/'Output-Calculation-sheet'!Y8*'Output-Calculation-sheet'!#REF!</f>
        <v>#REF!</v>
      </c>
      <c r="AA119" s="2" t="e">
        <f t="shared" si="9"/>
        <v>#REF!</v>
      </c>
    </row>
    <row r="120" spans="1:27" x14ac:dyDescent="0.25">
      <c r="A120" s="2">
        <v>2033</v>
      </c>
      <c r="B120" s="2" t="e">
        <f>B10/'Output-Calculation-sheet'!B9*'Output-Calculation-sheet'!#REF!</f>
        <v>#REF!</v>
      </c>
      <c r="C120" s="2" t="e">
        <f>C10/'Output-Calculation-sheet'!C9*'Output-Calculation-sheet'!#REF!</f>
        <v>#REF!</v>
      </c>
      <c r="D120" s="2" t="e">
        <f>D10/'Output-Calculation-sheet'!D9*'Output-Calculation-sheet'!#REF!</f>
        <v>#REF!</v>
      </c>
      <c r="E120" s="2" t="e">
        <f>E10/'Output-Calculation-sheet'!E9*'Output-Calculation-sheet'!#REF!</f>
        <v>#REF!</v>
      </c>
      <c r="F120" s="2" t="e">
        <f>F10/'Output-Calculation-sheet'!F9*'Output-Calculation-sheet'!#REF!</f>
        <v>#REF!</v>
      </c>
      <c r="G120" s="2" t="e">
        <f>G10/'Output-Calculation-sheet'!G9*'Output-Calculation-sheet'!#REF!</f>
        <v>#REF!</v>
      </c>
      <c r="H120" s="2" t="e">
        <f>H10/'Output-Calculation-sheet'!H9*'Output-Calculation-sheet'!#REF!</f>
        <v>#REF!</v>
      </c>
      <c r="I120" s="2" t="e">
        <f>I10/'Output-Calculation-sheet'!I9*'Output-Calculation-sheet'!#REF!</f>
        <v>#REF!</v>
      </c>
      <c r="J120" s="2" t="e">
        <f>J10/'Output-Calculation-sheet'!J9*'Output-Calculation-sheet'!#REF!</f>
        <v>#REF!</v>
      </c>
      <c r="K120" s="2" t="e">
        <f>K10/'Output-Calculation-sheet'!K9*'Output-Calculation-sheet'!#REF!</f>
        <v>#REF!</v>
      </c>
      <c r="L120" s="2" t="e">
        <f>L10/'Output-Calculation-sheet'!L9*'Output-Calculation-sheet'!#REF!</f>
        <v>#REF!</v>
      </c>
      <c r="M120" s="2" t="e">
        <f>M10/'Output-Calculation-sheet'!M9*'Output-Calculation-sheet'!#REF!</f>
        <v>#REF!</v>
      </c>
      <c r="N120" s="2" t="e">
        <f>N10/'Output-Calculation-sheet'!N9*'Output-Calculation-sheet'!#REF!</f>
        <v>#REF!</v>
      </c>
      <c r="O120" s="2" t="e">
        <f>O10/'Output-Calculation-sheet'!O9*'Output-Calculation-sheet'!#REF!</f>
        <v>#REF!</v>
      </c>
      <c r="P120" s="2" t="e">
        <f>P10/'Output-Calculation-sheet'!P9*'Output-Calculation-sheet'!#REF!</f>
        <v>#REF!</v>
      </c>
      <c r="Q120" s="2" t="e">
        <f>Q10/'Output-Calculation-sheet'!Q9*'Output-Calculation-sheet'!#REF!</f>
        <v>#REF!</v>
      </c>
      <c r="R120" s="2" t="e">
        <f>R10/'Output-Calculation-sheet'!R9*'Output-Calculation-sheet'!#REF!</f>
        <v>#REF!</v>
      </c>
      <c r="S120" s="2" t="e">
        <f>S10/'Output-Calculation-sheet'!S9*'Output-Calculation-sheet'!#REF!</f>
        <v>#REF!</v>
      </c>
      <c r="T120" s="2" t="e">
        <f>T10/'Output-Calculation-sheet'!T9*'Output-Calculation-sheet'!#REF!</f>
        <v>#REF!</v>
      </c>
      <c r="U120" s="2" t="e">
        <f>U10/'Output-Calculation-sheet'!U9*'Output-Calculation-sheet'!#REF!</f>
        <v>#REF!</v>
      </c>
      <c r="V120" s="2" t="e">
        <f>V10/'Output-Calculation-sheet'!V9*'Output-Calculation-sheet'!#REF!</f>
        <v>#REF!</v>
      </c>
      <c r="W120" s="2" t="e">
        <f>W10/'Output-Calculation-sheet'!W9*'Output-Calculation-sheet'!#REF!</f>
        <v>#REF!</v>
      </c>
      <c r="X120" s="2" t="e">
        <f>X10/'Output-Calculation-sheet'!X9*'Output-Calculation-sheet'!#REF!</f>
        <v>#REF!</v>
      </c>
      <c r="Y120" s="2" t="e">
        <f>Y10/'Output-Calculation-sheet'!Y9*'Output-Calculation-sheet'!#REF!</f>
        <v>#REF!</v>
      </c>
      <c r="AA120" s="2" t="e">
        <f t="shared" si="9"/>
        <v>#REF!</v>
      </c>
    </row>
    <row r="121" spans="1:27" x14ac:dyDescent="0.25">
      <c r="A121" s="2">
        <v>2034</v>
      </c>
      <c r="B121" s="2" t="e">
        <f>B11/'Output-Calculation-sheet'!B10*'Output-Calculation-sheet'!#REF!</f>
        <v>#REF!</v>
      </c>
      <c r="C121" s="2" t="e">
        <f>C11/'Output-Calculation-sheet'!C10*'Output-Calculation-sheet'!#REF!</f>
        <v>#REF!</v>
      </c>
      <c r="D121" s="2" t="e">
        <f>D11/'Output-Calculation-sheet'!D10*'Output-Calculation-sheet'!#REF!</f>
        <v>#REF!</v>
      </c>
      <c r="E121" s="2" t="e">
        <f>E11/'Output-Calculation-sheet'!E10*'Output-Calculation-sheet'!#REF!</f>
        <v>#REF!</v>
      </c>
      <c r="F121" s="2" t="e">
        <f>F11/'Output-Calculation-sheet'!F10*'Output-Calculation-sheet'!#REF!</f>
        <v>#REF!</v>
      </c>
      <c r="G121" s="2" t="e">
        <f>G11/'Output-Calculation-sheet'!G10*'Output-Calculation-sheet'!#REF!</f>
        <v>#REF!</v>
      </c>
      <c r="H121" s="2" t="e">
        <f>H11/'Output-Calculation-sheet'!H10*'Output-Calculation-sheet'!#REF!</f>
        <v>#REF!</v>
      </c>
      <c r="I121" s="2" t="e">
        <f>I11/'Output-Calculation-sheet'!I10*'Output-Calculation-sheet'!#REF!</f>
        <v>#REF!</v>
      </c>
      <c r="J121" s="2" t="e">
        <f>J11/'Output-Calculation-sheet'!J10*'Output-Calculation-sheet'!#REF!</f>
        <v>#REF!</v>
      </c>
      <c r="K121" s="2" t="e">
        <f>K11/'Output-Calculation-sheet'!K10*'Output-Calculation-sheet'!#REF!</f>
        <v>#REF!</v>
      </c>
      <c r="L121" s="2" t="e">
        <f>L11/'Output-Calculation-sheet'!L10*'Output-Calculation-sheet'!#REF!</f>
        <v>#REF!</v>
      </c>
      <c r="M121" s="2" t="e">
        <f>M11/'Output-Calculation-sheet'!M10*'Output-Calculation-sheet'!#REF!</f>
        <v>#REF!</v>
      </c>
      <c r="N121" s="2" t="e">
        <f>N11/'Output-Calculation-sheet'!N10*'Output-Calculation-sheet'!#REF!</f>
        <v>#REF!</v>
      </c>
      <c r="O121" s="2" t="e">
        <f>O11/'Output-Calculation-sheet'!O10*'Output-Calculation-sheet'!#REF!</f>
        <v>#REF!</v>
      </c>
      <c r="P121" s="2" t="e">
        <f>P11/'Output-Calculation-sheet'!P10*'Output-Calculation-sheet'!#REF!</f>
        <v>#REF!</v>
      </c>
      <c r="Q121" s="2" t="e">
        <f>Q11/'Output-Calculation-sheet'!Q10*'Output-Calculation-sheet'!#REF!</f>
        <v>#REF!</v>
      </c>
      <c r="R121" s="2" t="e">
        <f>R11/'Output-Calculation-sheet'!R10*'Output-Calculation-sheet'!#REF!</f>
        <v>#REF!</v>
      </c>
      <c r="S121" s="2" t="e">
        <f>S11/'Output-Calculation-sheet'!S10*'Output-Calculation-sheet'!#REF!</f>
        <v>#REF!</v>
      </c>
      <c r="T121" s="2" t="e">
        <f>T11/'Output-Calculation-sheet'!T10*'Output-Calculation-sheet'!#REF!</f>
        <v>#REF!</v>
      </c>
      <c r="U121" s="2" t="e">
        <f>U11/'Output-Calculation-sheet'!U10*'Output-Calculation-sheet'!#REF!</f>
        <v>#REF!</v>
      </c>
      <c r="V121" s="2" t="e">
        <f>V11/'Output-Calculation-sheet'!V10*'Output-Calculation-sheet'!#REF!</f>
        <v>#REF!</v>
      </c>
      <c r="W121" s="2" t="e">
        <f>W11/'Output-Calculation-sheet'!W10*'Output-Calculation-sheet'!#REF!</f>
        <v>#REF!</v>
      </c>
      <c r="X121" s="2" t="e">
        <f>X11/'Output-Calculation-sheet'!X10*'Output-Calculation-sheet'!#REF!</f>
        <v>#REF!</v>
      </c>
      <c r="Y121" s="2" t="e">
        <f>Y11/'Output-Calculation-sheet'!Y10*'Output-Calculation-sheet'!#REF!</f>
        <v>#REF!</v>
      </c>
      <c r="AA121" s="2" t="e">
        <f t="shared" si="9"/>
        <v>#REF!</v>
      </c>
    </row>
    <row r="122" spans="1:27" x14ac:dyDescent="0.25">
      <c r="A122" s="2">
        <v>2035</v>
      </c>
      <c r="B122" s="2" t="e">
        <f>B12/'Output-Calculation-sheet'!B11*'Output-Calculation-sheet'!#REF!</f>
        <v>#REF!</v>
      </c>
      <c r="C122" s="2" t="e">
        <f>C12/'Output-Calculation-sheet'!C11*'Output-Calculation-sheet'!#REF!</f>
        <v>#REF!</v>
      </c>
      <c r="D122" s="2" t="e">
        <f>D12/'Output-Calculation-sheet'!D11*'Output-Calculation-sheet'!#REF!</f>
        <v>#REF!</v>
      </c>
      <c r="E122" s="2" t="e">
        <f>E12/'Output-Calculation-sheet'!E11*'Output-Calculation-sheet'!#REF!</f>
        <v>#REF!</v>
      </c>
      <c r="F122" s="2" t="e">
        <f>F12/'Output-Calculation-sheet'!F11*'Output-Calculation-sheet'!#REF!</f>
        <v>#REF!</v>
      </c>
      <c r="G122" s="2" t="e">
        <f>G12/'Output-Calculation-sheet'!G11*'Output-Calculation-sheet'!#REF!</f>
        <v>#REF!</v>
      </c>
      <c r="H122" s="2" t="e">
        <f>H12/'Output-Calculation-sheet'!H11*'Output-Calculation-sheet'!#REF!</f>
        <v>#REF!</v>
      </c>
      <c r="I122" s="2" t="e">
        <f>I12/'Output-Calculation-sheet'!I11*'Output-Calculation-sheet'!#REF!</f>
        <v>#REF!</v>
      </c>
      <c r="J122" s="2" t="e">
        <f>J12/'Output-Calculation-sheet'!J11*'Output-Calculation-sheet'!#REF!</f>
        <v>#REF!</v>
      </c>
      <c r="K122" s="2" t="e">
        <f>K12/'Output-Calculation-sheet'!K11*'Output-Calculation-sheet'!#REF!</f>
        <v>#REF!</v>
      </c>
      <c r="L122" s="2" t="e">
        <f>L12/'Output-Calculation-sheet'!L11*'Output-Calculation-sheet'!#REF!</f>
        <v>#REF!</v>
      </c>
      <c r="M122" s="2" t="e">
        <f>M12/'Output-Calculation-sheet'!M11*'Output-Calculation-sheet'!#REF!</f>
        <v>#REF!</v>
      </c>
      <c r="N122" s="2" t="e">
        <f>N12/'Output-Calculation-sheet'!N11*'Output-Calculation-sheet'!#REF!</f>
        <v>#REF!</v>
      </c>
      <c r="O122" s="2" t="e">
        <f>O12/'Output-Calculation-sheet'!O11*'Output-Calculation-sheet'!#REF!</f>
        <v>#REF!</v>
      </c>
      <c r="P122" s="2" t="e">
        <f>P12/'Output-Calculation-sheet'!P11*'Output-Calculation-sheet'!#REF!</f>
        <v>#REF!</v>
      </c>
      <c r="Q122" s="2" t="e">
        <f>Q12/'Output-Calculation-sheet'!Q11*'Output-Calculation-sheet'!#REF!</f>
        <v>#REF!</v>
      </c>
      <c r="R122" s="2" t="e">
        <f>R12/'Output-Calculation-sheet'!R11*'Output-Calculation-sheet'!#REF!</f>
        <v>#REF!</v>
      </c>
      <c r="S122" s="2" t="e">
        <f>S12/'Output-Calculation-sheet'!S11*'Output-Calculation-sheet'!#REF!</f>
        <v>#REF!</v>
      </c>
      <c r="T122" s="2" t="e">
        <f>T12/'Output-Calculation-sheet'!T11*'Output-Calculation-sheet'!#REF!</f>
        <v>#REF!</v>
      </c>
      <c r="U122" s="2" t="e">
        <f>U12/'Output-Calculation-sheet'!U11*'Output-Calculation-sheet'!#REF!</f>
        <v>#REF!</v>
      </c>
      <c r="V122" s="2" t="e">
        <f>V12/'Output-Calculation-sheet'!V11*'Output-Calculation-sheet'!#REF!</f>
        <v>#REF!</v>
      </c>
      <c r="W122" s="2" t="e">
        <f>W12/'Output-Calculation-sheet'!W11*'Output-Calculation-sheet'!#REF!</f>
        <v>#REF!</v>
      </c>
      <c r="X122" s="2" t="e">
        <f>X12/'Output-Calculation-sheet'!X11*'Output-Calculation-sheet'!#REF!</f>
        <v>#REF!</v>
      </c>
      <c r="Y122" s="2" t="e">
        <f>Y12/'Output-Calculation-sheet'!Y11*'Output-Calculation-sheet'!#REF!</f>
        <v>#REF!</v>
      </c>
      <c r="AA122" s="2" t="e">
        <f t="shared" si="9"/>
        <v>#REF!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B5/'Output-Calculation-sheet'!B4*'Output-Calculation-sheet'!#REF!</f>
        <v>#REF!</v>
      </c>
      <c r="C126" s="2" t="e">
        <f>C5/'Output-Calculation-sheet'!C4*'Output-Calculation-sheet'!#REF!</f>
        <v>#REF!</v>
      </c>
      <c r="D126" s="2" t="e">
        <f>D5/'Output-Calculation-sheet'!D4*'Output-Calculation-sheet'!#REF!</f>
        <v>#REF!</v>
      </c>
      <c r="E126" s="2" t="e">
        <f>E5/'Output-Calculation-sheet'!E4*'Output-Calculation-sheet'!#REF!</f>
        <v>#REF!</v>
      </c>
      <c r="F126" s="2" t="e">
        <f>F5/'Output-Calculation-sheet'!F4*'Output-Calculation-sheet'!#REF!</f>
        <v>#REF!</v>
      </c>
      <c r="G126" s="2" t="e">
        <f>G5/'Output-Calculation-sheet'!G4*'Output-Calculation-sheet'!#REF!</f>
        <v>#REF!</v>
      </c>
      <c r="H126" s="2" t="e">
        <f>H5/'Output-Calculation-sheet'!H4*'Output-Calculation-sheet'!#REF!</f>
        <v>#REF!</v>
      </c>
      <c r="I126" s="2" t="e">
        <f>I5/'Output-Calculation-sheet'!I4*'Output-Calculation-sheet'!#REF!</f>
        <v>#REF!</v>
      </c>
      <c r="J126" s="2" t="e">
        <f>J5/'Output-Calculation-sheet'!J4*'Output-Calculation-sheet'!#REF!</f>
        <v>#REF!</v>
      </c>
      <c r="K126" s="2" t="e">
        <f>K5/'Output-Calculation-sheet'!K4*'Output-Calculation-sheet'!#REF!</f>
        <v>#REF!</v>
      </c>
      <c r="L126" s="2" t="e">
        <f>L5/'Output-Calculation-sheet'!L4*'Output-Calculation-sheet'!#REF!</f>
        <v>#REF!</v>
      </c>
      <c r="M126" s="2" t="e">
        <f>M5/'Output-Calculation-sheet'!M4*'Output-Calculation-sheet'!#REF!</f>
        <v>#REF!</v>
      </c>
      <c r="N126" s="2" t="e">
        <f>N5/'Output-Calculation-sheet'!N4*'Output-Calculation-sheet'!#REF!</f>
        <v>#REF!</v>
      </c>
      <c r="O126" s="2" t="e">
        <f>O5/'Output-Calculation-sheet'!O4*'Output-Calculation-sheet'!#REF!</f>
        <v>#REF!</v>
      </c>
      <c r="P126" s="2" t="e">
        <f>P5/'Output-Calculation-sheet'!P4*'Output-Calculation-sheet'!#REF!</f>
        <v>#REF!</v>
      </c>
      <c r="Q126" s="2" t="e">
        <f>Q5/'Output-Calculation-sheet'!Q4*'Output-Calculation-sheet'!#REF!</f>
        <v>#REF!</v>
      </c>
      <c r="R126" s="2" t="e">
        <f>R5/'Output-Calculation-sheet'!R4*'Output-Calculation-sheet'!#REF!</f>
        <v>#REF!</v>
      </c>
      <c r="S126" s="2" t="e">
        <f>S5/'Output-Calculation-sheet'!S4*'Output-Calculation-sheet'!#REF!</f>
        <v>#REF!</v>
      </c>
      <c r="T126" s="2" t="e">
        <f>T5/'Output-Calculation-sheet'!T4*'Output-Calculation-sheet'!#REF!</f>
        <v>#REF!</v>
      </c>
      <c r="U126" s="2" t="e">
        <f>U5/'Output-Calculation-sheet'!U4*'Output-Calculation-sheet'!#REF!</f>
        <v>#REF!</v>
      </c>
      <c r="V126" s="2" t="e">
        <f>V5/'Output-Calculation-sheet'!V4*'Output-Calculation-sheet'!#REF!</f>
        <v>#REF!</v>
      </c>
      <c r="W126" s="2" t="e">
        <f>W5/'Output-Calculation-sheet'!W4*'Output-Calculation-sheet'!#REF!</f>
        <v>#REF!</v>
      </c>
      <c r="X126" s="2" t="e">
        <f>X5/'Output-Calculation-sheet'!X4*'Output-Calculation-sheet'!#REF!</f>
        <v>#REF!</v>
      </c>
      <c r="Y126" s="2" t="e">
        <f>Y5/'Output-Calculation-sheet'!Y4*'Output-Calculation-sheet'!#REF!</f>
        <v>#REF!</v>
      </c>
      <c r="AA126" s="2" t="e">
        <f>SUM(B126:Y126)/10^6</f>
        <v>#REF!</v>
      </c>
    </row>
    <row r="127" spans="1:27" x14ac:dyDescent="0.25">
      <c r="A127" s="2">
        <v>2029</v>
      </c>
      <c r="B127" s="2" t="e">
        <f>B6/'Output-Calculation-sheet'!B5*'Output-Calculation-sheet'!#REF!</f>
        <v>#REF!</v>
      </c>
      <c r="C127" s="2" t="e">
        <f>C6/'Output-Calculation-sheet'!C5*'Output-Calculation-sheet'!#REF!</f>
        <v>#REF!</v>
      </c>
      <c r="D127" s="2" t="e">
        <f>D6/'Output-Calculation-sheet'!D5*'Output-Calculation-sheet'!#REF!</f>
        <v>#REF!</v>
      </c>
      <c r="E127" s="2" t="e">
        <f>E6/'Output-Calculation-sheet'!E5*'Output-Calculation-sheet'!#REF!</f>
        <v>#REF!</v>
      </c>
      <c r="F127" s="2" t="e">
        <f>F6/'Output-Calculation-sheet'!F5*'Output-Calculation-sheet'!#REF!</f>
        <v>#REF!</v>
      </c>
      <c r="G127" s="2" t="e">
        <f>G6/'Output-Calculation-sheet'!G5*'Output-Calculation-sheet'!#REF!</f>
        <v>#REF!</v>
      </c>
      <c r="H127" s="2" t="e">
        <f>H6/'Output-Calculation-sheet'!H5*'Output-Calculation-sheet'!#REF!</f>
        <v>#REF!</v>
      </c>
      <c r="I127" s="2" t="e">
        <f>I6/'Output-Calculation-sheet'!I5*'Output-Calculation-sheet'!#REF!</f>
        <v>#REF!</v>
      </c>
      <c r="J127" s="2" t="e">
        <f>J6/'Output-Calculation-sheet'!J5*'Output-Calculation-sheet'!#REF!</f>
        <v>#REF!</v>
      </c>
      <c r="K127" s="2" t="e">
        <f>K6/'Output-Calculation-sheet'!K5*'Output-Calculation-sheet'!#REF!</f>
        <v>#REF!</v>
      </c>
      <c r="L127" s="2" t="e">
        <f>L6/'Output-Calculation-sheet'!L5*'Output-Calculation-sheet'!#REF!</f>
        <v>#REF!</v>
      </c>
      <c r="M127" s="2" t="e">
        <f>M6/'Output-Calculation-sheet'!M5*'Output-Calculation-sheet'!#REF!</f>
        <v>#REF!</v>
      </c>
      <c r="N127" s="2" t="e">
        <f>N6/'Output-Calculation-sheet'!N5*'Output-Calculation-sheet'!#REF!</f>
        <v>#REF!</v>
      </c>
      <c r="O127" s="2" t="e">
        <f>O6/'Output-Calculation-sheet'!O5*'Output-Calculation-sheet'!#REF!</f>
        <v>#REF!</v>
      </c>
      <c r="P127" s="2" t="e">
        <f>P6/'Output-Calculation-sheet'!P5*'Output-Calculation-sheet'!#REF!</f>
        <v>#REF!</v>
      </c>
      <c r="Q127" s="2" t="e">
        <f>Q6/'Output-Calculation-sheet'!Q5*'Output-Calculation-sheet'!#REF!</f>
        <v>#REF!</v>
      </c>
      <c r="R127" s="2" t="e">
        <f>R6/'Output-Calculation-sheet'!R5*'Output-Calculation-sheet'!#REF!</f>
        <v>#REF!</v>
      </c>
      <c r="S127" s="2" t="e">
        <f>S6/'Output-Calculation-sheet'!S5*'Output-Calculation-sheet'!#REF!</f>
        <v>#REF!</v>
      </c>
      <c r="T127" s="2" t="e">
        <f>T6/'Output-Calculation-sheet'!T5*'Output-Calculation-sheet'!#REF!</f>
        <v>#REF!</v>
      </c>
      <c r="U127" s="2" t="e">
        <f>U6/'Output-Calculation-sheet'!U5*'Output-Calculation-sheet'!#REF!</f>
        <v>#REF!</v>
      </c>
      <c r="V127" s="2" t="e">
        <f>V6/'Output-Calculation-sheet'!V5*'Output-Calculation-sheet'!#REF!</f>
        <v>#REF!</v>
      </c>
      <c r="W127" s="2" t="e">
        <f>W6/'Output-Calculation-sheet'!W5*'Output-Calculation-sheet'!#REF!</f>
        <v>#REF!</v>
      </c>
      <c r="X127" s="2" t="e">
        <f>X6/'Output-Calculation-sheet'!X5*'Output-Calculation-sheet'!#REF!</f>
        <v>#REF!</v>
      </c>
      <c r="Y127" s="2" t="e">
        <f>Y6/'Output-Calculation-sheet'!Y5*'Output-Calculation-sheet'!#REF!</f>
        <v>#REF!</v>
      </c>
      <c r="AA127" s="2" t="e">
        <f t="shared" ref="AA127:AA133" si="10">SUM(B127:Y127)/10^6</f>
        <v>#REF!</v>
      </c>
    </row>
    <row r="128" spans="1:27" x14ac:dyDescent="0.25">
      <c r="A128" s="2">
        <v>2030</v>
      </c>
      <c r="B128" s="2" t="e">
        <f>B7/'Output-Calculation-sheet'!B6*'Output-Calculation-sheet'!#REF!</f>
        <v>#REF!</v>
      </c>
      <c r="C128" s="2" t="e">
        <f>C7/'Output-Calculation-sheet'!C6*'Output-Calculation-sheet'!#REF!</f>
        <v>#REF!</v>
      </c>
      <c r="D128" s="2" t="e">
        <f>D7/'Output-Calculation-sheet'!D6*'Output-Calculation-sheet'!#REF!</f>
        <v>#REF!</v>
      </c>
      <c r="E128" s="2" t="e">
        <f>E7/'Output-Calculation-sheet'!E6*'Output-Calculation-sheet'!#REF!</f>
        <v>#REF!</v>
      </c>
      <c r="F128" s="2" t="e">
        <f>F7/'Output-Calculation-sheet'!F6*'Output-Calculation-sheet'!#REF!</f>
        <v>#REF!</v>
      </c>
      <c r="G128" s="2" t="e">
        <f>G7/'Output-Calculation-sheet'!G6*'Output-Calculation-sheet'!#REF!</f>
        <v>#REF!</v>
      </c>
      <c r="H128" s="2" t="e">
        <f>H7/'Output-Calculation-sheet'!H6*'Output-Calculation-sheet'!#REF!</f>
        <v>#REF!</v>
      </c>
      <c r="I128" s="2" t="e">
        <f>I7/'Output-Calculation-sheet'!I6*'Output-Calculation-sheet'!#REF!</f>
        <v>#REF!</v>
      </c>
      <c r="J128" s="2" t="e">
        <f>J7/'Output-Calculation-sheet'!J6*'Output-Calculation-sheet'!#REF!</f>
        <v>#REF!</v>
      </c>
      <c r="K128" s="2" t="e">
        <f>K7/'Output-Calculation-sheet'!K6*'Output-Calculation-sheet'!#REF!</f>
        <v>#REF!</v>
      </c>
      <c r="L128" s="2" t="e">
        <f>L7/'Output-Calculation-sheet'!L6*'Output-Calculation-sheet'!#REF!</f>
        <v>#REF!</v>
      </c>
      <c r="M128" s="2" t="e">
        <f>M7/'Output-Calculation-sheet'!M6*'Output-Calculation-sheet'!#REF!</f>
        <v>#REF!</v>
      </c>
      <c r="N128" s="2" t="e">
        <f>N7/'Output-Calculation-sheet'!N6*'Output-Calculation-sheet'!#REF!</f>
        <v>#REF!</v>
      </c>
      <c r="O128" s="2" t="e">
        <f>O7/'Output-Calculation-sheet'!O6*'Output-Calculation-sheet'!#REF!</f>
        <v>#REF!</v>
      </c>
      <c r="P128" s="2" t="e">
        <f>P7/'Output-Calculation-sheet'!P6*'Output-Calculation-sheet'!#REF!</f>
        <v>#REF!</v>
      </c>
      <c r="Q128" s="2" t="e">
        <f>Q7/'Output-Calculation-sheet'!Q6*'Output-Calculation-sheet'!#REF!</f>
        <v>#REF!</v>
      </c>
      <c r="R128" s="2" t="e">
        <f>R7/'Output-Calculation-sheet'!R6*'Output-Calculation-sheet'!#REF!</f>
        <v>#REF!</v>
      </c>
      <c r="S128" s="2" t="e">
        <f>S7/'Output-Calculation-sheet'!S6*'Output-Calculation-sheet'!#REF!</f>
        <v>#REF!</v>
      </c>
      <c r="T128" s="2" t="e">
        <f>T7/'Output-Calculation-sheet'!T6*'Output-Calculation-sheet'!#REF!</f>
        <v>#REF!</v>
      </c>
      <c r="U128" s="2" t="e">
        <f>U7/'Output-Calculation-sheet'!U6*'Output-Calculation-sheet'!#REF!</f>
        <v>#REF!</v>
      </c>
      <c r="V128" s="2" t="e">
        <f>V7/'Output-Calculation-sheet'!V6*'Output-Calculation-sheet'!#REF!</f>
        <v>#REF!</v>
      </c>
      <c r="W128" s="2" t="e">
        <f>W7/'Output-Calculation-sheet'!W6*'Output-Calculation-sheet'!#REF!</f>
        <v>#REF!</v>
      </c>
      <c r="X128" s="2" t="e">
        <f>X7/'Output-Calculation-sheet'!X6*'Output-Calculation-sheet'!#REF!</f>
        <v>#REF!</v>
      </c>
      <c r="Y128" s="2" t="e">
        <f>Y7/'Output-Calculation-sheet'!Y6*'Output-Calculation-sheet'!#REF!</f>
        <v>#REF!</v>
      </c>
      <c r="AA128" s="2" t="e">
        <f t="shared" si="10"/>
        <v>#REF!</v>
      </c>
    </row>
    <row r="129" spans="1:27" x14ac:dyDescent="0.25">
      <c r="A129" s="2">
        <v>2031</v>
      </c>
      <c r="B129" s="2" t="e">
        <f>B8/'Output-Calculation-sheet'!B7*'Output-Calculation-sheet'!#REF!</f>
        <v>#REF!</v>
      </c>
      <c r="C129" s="2" t="e">
        <f>C8/'Output-Calculation-sheet'!C7*'Output-Calculation-sheet'!#REF!</f>
        <v>#REF!</v>
      </c>
      <c r="D129" s="2" t="e">
        <f>D8/'Output-Calculation-sheet'!D7*'Output-Calculation-sheet'!#REF!</f>
        <v>#REF!</v>
      </c>
      <c r="E129" s="2" t="e">
        <f>E8/'Output-Calculation-sheet'!E7*'Output-Calculation-sheet'!#REF!</f>
        <v>#REF!</v>
      </c>
      <c r="F129" s="2" t="e">
        <f>F8/'Output-Calculation-sheet'!F7*'Output-Calculation-sheet'!#REF!</f>
        <v>#REF!</v>
      </c>
      <c r="G129" s="2" t="e">
        <f>G8/'Output-Calculation-sheet'!G7*'Output-Calculation-sheet'!#REF!</f>
        <v>#REF!</v>
      </c>
      <c r="H129" s="2" t="e">
        <f>H8/'Output-Calculation-sheet'!H7*'Output-Calculation-sheet'!#REF!</f>
        <v>#REF!</v>
      </c>
      <c r="I129" s="2" t="e">
        <f>I8/'Output-Calculation-sheet'!I7*'Output-Calculation-sheet'!#REF!</f>
        <v>#REF!</v>
      </c>
      <c r="J129" s="2" t="e">
        <f>J8/'Output-Calculation-sheet'!J7*'Output-Calculation-sheet'!#REF!</f>
        <v>#REF!</v>
      </c>
      <c r="K129" s="2" t="e">
        <f>K8/'Output-Calculation-sheet'!K7*'Output-Calculation-sheet'!#REF!</f>
        <v>#REF!</v>
      </c>
      <c r="L129" s="2" t="e">
        <f>L8/'Output-Calculation-sheet'!L7*'Output-Calculation-sheet'!#REF!</f>
        <v>#REF!</v>
      </c>
      <c r="M129" s="2" t="e">
        <f>M8/'Output-Calculation-sheet'!M7*'Output-Calculation-sheet'!#REF!</f>
        <v>#REF!</v>
      </c>
      <c r="N129" s="2" t="e">
        <f>N8/'Output-Calculation-sheet'!N7*'Output-Calculation-sheet'!#REF!</f>
        <v>#REF!</v>
      </c>
      <c r="O129" s="2" t="e">
        <f>O8/'Output-Calculation-sheet'!O7*'Output-Calculation-sheet'!#REF!</f>
        <v>#REF!</v>
      </c>
      <c r="P129" s="2" t="e">
        <f>P8/'Output-Calculation-sheet'!P7*'Output-Calculation-sheet'!#REF!</f>
        <v>#REF!</v>
      </c>
      <c r="Q129" s="2" t="e">
        <f>Q8/'Output-Calculation-sheet'!Q7*'Output-Calculation-sheet'!#REF!</f>
        <v>#REF!</v>
      </c>
      <c r="R129" s="2" t="e">
        <f>R8/'Output-Calculation-sheet'!R7*'Output-Calculation-sheet'!#REF!</f>
        <v>#REF!</v>
      </c>
      <c r="S129" s="2" t="e">
        <f>S8/'Output-Calculation-sheet'!S7*'Output-Calculation-sheet'!#REF!</f>
        <v>#REF!</v>
      </c>
      <c r="T129" s="2" t="e">
        <f>T8/'Output-Calculation-sheet'!T7*'Output-Calculation-sheet'!#REF!</f>
        <v>#REF!</v>
      </c>
      <c r="U129" s="2" t="e">
        <f>U8/'Output-Calculation-sheet'!U7*'Output-Calculation-sheet'!#REF!</f>
        <v>#REF!</v>
      </c>
      <c r="V129" s="2" t="e">
        <f>V8/'Output-Calculation-sheet'!V7*'Output-Calculation-sheet'!#REF!</f>
        <v>#REF!</v>
      </c>
      <c r="W129" s="2" t="e">
        <f>W8/'Output-Calculation-sheet'!W7*'Output-Calculation-sheet'!#REF!</f>
        <v>#REF!</v>
      </c>
      <c r="X129" s="2" t="e">
        <f>X8/'Output-Calculation-sheet'!X7*'Output-Calculation-sheet'!#REF!</f>
        <v>#REF!</v>
      </c>
      <c r="Y129" s="2" t="e">
        <f>Y8/'Output-Calculation-sheet'!Y7*'Output-Calculation-sheet'!#REF!</f>
        <v>#REF!</v>
      </c>
      <c r="AA129" s="2" t="e">
        <f t="shared" si="10"/>
        <v>#REF!</v>
      </c>
    </row>
    <row r="130" spans="1:27" x14ac:dyDescent="0.25">
      <c r="A130" s="2">
        <v>2032</v>
      </c>
      <c r="B130" s="2" t="e">
        <f>B9/'Output-Calculation-sheet'!B8*'Output-Calculation-sheet'!#REF!</f>
        <v>#REF!</v>
      </c>
      <c r="C130" s="2" t="e">
        <f>C9/'Output-Calculation-sheet'!C8*'Output-Calculation-sheet'!#REF!</f>
        <v>#REF!</v>
      </c>
      <c r="D130" s="2" t="e">
        <f>D9/'Output-Calculation-sheet'!D8*'Output-Calculation-sheet'!#REF!</f>
        <v>#REF!</v>
      </c>
      <c r="E130" s="2" t="e">
        <f>E9/'Output-Calculation-sheet'!E8*'Output-Calculation-sheet'!#REF!</f>
        <v>#REF!</v>
      </c>
      <c r="F130" s="2" t="e">
        <f>F9/'Output-Calculation-sheet'!F8*'Output-Calculation-sheet'!#REF!</f>
        <v>#REF!</v>
      </c>
      <c r="G130" s="2" t="e">
        <f>G9/'Output-Calculation-sheet'!G8*'Output-Calculation-sheet'!#REF!</f>
        <v>#REF!</v>
      </c>
      <c r="H130" s="2" t="e">
        <f>H9/'Output-Calculation-sheet'!H8*'Output-Calculation-sheet'!#REF!</f>
        <v>#REF!</v>
      </c>
      <c r="I130" s="2" t="e">
        <f>I9/'Output-Calculation-sheet'!I8*'Output-Calculation-sheet'!#REF!</f>
        <v>#REF!</v>
      </c>
      <c r="J130" s="2" t="e">
        <f>J9/'Output-Calculation-sheet'!J8*'Output-Calculation-sheet'!#REF!</f>
        <v>#REF!</v>
      </c>
      <c r="K130" s="2" t="e">
        <f>K9/'Output-Calculation-sheet'!K8*'Output-Calculation-sheet'!#REF!</f>
        <v>#REF!</v>
      </c>
      <c r="L130" s="2" t="e">
        <f>L9/'Output-Calculation-sheet'!L8*'Output-Calculation-sheet'!#REF!</f>
        <v>#REF!</v>
      </c>
      <c r="M130" s="2" t="e">
        <f>M9/'Output-Calculation-sheet'!M8*'Output-Calculation-sheet'!#REF!</f>
        <v>#REF!</v>
      </c>
      <c r="N130" s="2" t="e">
        <f>N9/'Output-Calculation-sheet'!N8*'Output-Calculation-sheet'!#REF!</f>
        <v>#REF!</v>
      </c>
      <c r="O130" s="2" t="e">
        <f>O9/'Output-Calculation-sheet'!O8*'Output-Calculation-sheet'!#REF!</f>
        <v>#REF!</v>
      </c>
      <c r="P130" s="2" t="e">
        <f>P9/'Output-Calculation-sheet'!P8*'Output-Calculation-sheet'!#REF!</f>
        <v>#REF!</v>
      </c>
      <c r="Q130" s="2" t="e">
        <f>Q9/'Output-Calculation-sheet'!Q8*'Output-Calculation-sheet'!#REF!</f>
        <v>#REF!</v>
      </c>
      <c r="R130" s="2" t="e">
        <f>R9/'Output-Calculation-sheet'!R8*'Output-Calculation-sheet'!#REF!</f>
        <v>#REF!</v>
      </c>
      <c r="S130" s="2" t="e">
        <f>S9/'Output-Calculation-sheet'!S8*'Output-Calculation-sheet'!#REF!</f>
        <v>#REF!</v>
      </c>
      <c r="T130" s="2" t="e">
        <f>T9/'Output-Calculation-sheet'!T8*'Output-Calculation-sheet'!#REF!</f>
        <v>#REF!</v>
      </c>
      <c r="U130" s="2" t="e">
        <f>U9/'Output-Calculation-sheet'!U8*'Output-Calculation-sheet'!#REF!</f>
        <v>#REF!</v>
      </c>
      <c r="V130" s="2" t="e">
        <f>V9/'Output-Calculation-sheet'!V8*'Output-Calculation-sheet'!#REF!</f>
        <v>#REF!</v>
      </c>
      <c r="W130" s="2" t="e">
        <f>W9/'Output-Calculation-sheet'!W8*'Output-Calculation-sheet'!#REF!</f>
        <v>#REF!</v>
      </c>
      <c r="X130" s="2" t="e">
        <f>X9/'Output-Calculation-sheet'!X8*'Output-Calculation-sheet'!#REF!</f>
        <v>#REF!</v>
      </c>
      <c r="Y130" s="2" t="e">
        <f>Y9/'Output-Calculation-sheet'!Y8*'Output-Calculation-sheet'!#REF!</f>
        <v>#REF!</v>
      </c>
      <c r="AA130" s="2" t="e">
        <f t="shared" si="10"/>
        <v>#REF!</v>
      </c>
    </row>
    <row r="131" spans="1:27" x14ac:dyDescent="0.25">
      <c r="A131" s="2">
        <v>2033</v>
      </c>
      <c r="B131" s="2" t="e">
        <f>B10/'Output-Calculation-sheet'!B9*'Output-Calculation-sheet'!#REF!</f>
        <v>#REF!</v>
      </c>
      <c r="C131" s="2" t="e">
        <f>C10/'Output-Calculation-sheet'!C9*'Output-Calculation-sheet'!#REF!</f>
        <v>#REF!</v>
      </c>
      <c r="D131" s="2" t="e">
        <f>D10/'Output-Calculation-sheet'!D9*'Output-Calculation-sheet'!#REF!</f>
        <v>#REF!</v>
      </c>
      <c r="E131" s="2" t="e">
        <f>E10/'Output-Calculation-sheet'!E9*'Output-Calculation-sheet'!#REF!</f>
        <v>#REF!</v>
      </c>
      <c r="F131" s="2" t="e">
        <f>F10/'Output-Calculation-sheet'!F9*'Output-Calculation-sheet'!#REF!</f>
        <v>#REF!</v>
      </c>
      <c r="G131" s="2" t="e">
        <f>G10/'Output-Calculation-sheet'!G9*'Output-Calculation-sheet'!#REF!</f>
        <v>#REF!</v>
      </c>
      <c r="H131" s="2" t="e">
        <f>H10/'Output-Calculation-sheet'!H9*'Output-Calculation-sheet'!#REF!</f>
        <v>#REF!</v>
      </c>
      <c r="I131" s="2" t="e">
        <f>I10/'Output-Calculation-sheet'!I9*'Output-Calculation-sheet'!#REF!</f>
        <v>#REF!</v>
      </c>
      <c r="J131" s="2" t="e">
        <f>J10/'Output-Calculation-sheet'!J9*'Output-Calculation-sheet'!#REF!</f>
        <v>#REF!</v>
      </c>
      <c r="K131" s="2" t="e">
        <f>K10/'Output-Calculation-sheet'!K9*'Output-Calculation-sheet'!#REF!</f>
        <v>#REF!</v>
      </c>
      <c r="L131" s="2" t="e">
        <f>L10/'Output-Calculation-sheet'!L9*'Output-Calculation-sheet'!#REF!</f>
        <v>#REF!</v>
      </c>
      <c r="M131" s="2" t="e">
        <f>M10/'Output-Calculation-sheet'!M9*'Output-Calculation-sheet'!#REF!</f>
        <v>#REF!</v>
      </c>
      <c r="N131" s="2" t="e">
        <f>N10/'Output-Calculation-sheet'!N9*'Output-Calculation-sheet'!#REF!</f>
        <v>#REF!</v>
      </c>
      <c r="O131" s="2" t="e">
        <f>O10/'Output-Calculation-sheet'!O9*'Output-Calculation-sheet'!#REF!</f>
        <v>#REF!</v>
      </c>
      <c r="P131" s="2" t="e">
        <f>P10/'Output-Calculation-sheet'!P9*'Output-Calculation-sheet'!#REF!</f>
        <v>#REF!</v>
      </c>
      <c r="Q131" s="2" t="e">
        <f>Q10/'Output-Calculation-sheet'!Q9*'Output-Calculation-sheet'!#REF!</f>
        <v>#REF!</v>
      </c>
      <c r="R131" s="2" t="e">
        <f>R10/'Output-Calculation-sheet'!R9*'Output-Calculation-sheet'!#REF!</f>
        <v>#REF!</v>
      </c>
      <c r="S131" s="2" t="e">
        <f>S10/'Output-Calculation-sheet'!S9*'Output-Calculation-sheet'!#REF!</f>
        <v>#REF!</v>
      </c>
      <c r="T131" s="2" t="e">
        <f>T10/'Output-Calculation-sheet'!T9*'Output-Calculation-sheet'!#REF!</f>
        <v>#REF!</v>
      </c>
      <c r="U131" s="2" t="e">
        <f>U10/'Output-Calculation-sheet'!U9*'Output-Calculation-sheet'!#REF!</f>
        <v>#REF!</v>
      </c>
      <c r="V131" s="2" t="e">
        <f>V10/'Output-Calculation-sheet'!V9*'Output-Calculation-sheet'!#REF!</f>
        <v>#REF!</v>
      </c>
      <c r="W131" s="2" t="e">
        <f>W10/'Output-Calculation-sheet'!W9*'Output-Calculation-sheet'!#REF!</f>
        <v>#REF!</v>
      </c>
      <c r="X131" s="2" t="e">
        <f>X10/'Output-Calculation-sheet'!X9*'Output-Calculation-sheet'!#REF!</f>
        <v>#REF!</v>
      </c>
      <c r="Y131" s="2" t="e">
        <f>Y10/'Output-Calculation-sheet'!Y9*'Output-Calculation-sheet'!#REF!</f>
        <v>#REF!</v>
      </c>
      <c r="AA131" s="2" t="e">
        <f t="shared" si="10"/>
        <v>#REF!</v>
      </c>
    </row>
    <row r="132" spans="1:27" x14ac:dyDescent="0.25">
      <c r="A132" s="2">
        <v>2034</v>
      </c>
      <c r="B132" s="2" t="e">
        <f>B11/'Output-Calculation-sheet'!B10*'Output-Calculation-sheet'!#REF!</f>
        <v>#REF!</v>
      </c>
      <c r="C132" s="2" t="e">
        <f>C11/'Output-Calculation-sheet'!C10*'Output-Calculation-sheet'!#REF!</f>
        <v>#REF!</v>
      </c>
      <c r="D132" s="2" t="e">
        <f>D11/'Output-Calculation-sheet'!D10*'Output-Calculation-sheet'!#REF!</f>
        <v>#REF!</v>
      </c>
      <c r="E132" s="2" t="e">
        <f>E11/'Output-Calculation-sheet'!E10*'Output-Calculation-sheet'!#REF!</f>
        <v>#REF!</v>
      </c>
      <c r="F132" s="2" t="e">
        <f>F11/'Output-Calculation-sheet'!F10*'Output-Calculation-sheet'!#REF!</f>
        <v>#REF!</v>
      </c>
      <c r="G132" s="2" t="e">
        <f>G11/'Output-Calculation-sheet'!G10*'Output-Calculation-sheet'!#REF!</f>
        <v>#REF!</v>
      </c>
      <c r="H132" s="2" t="e">
        <f>H11/'Output-Calculation-sheet'!H10*'Output-Calculation-sheet'!#REF!</f>
        <v>#REF!</v>
      </c>
      <c r="I132" s="2" t="e">
        <f>I11/'Output-Calculation-sheet'!I10*'Output-Calculation-sheet'!#REF!</f>
        <v>#REF!</v>
      </c>
      <c r="J132" s="2" t="e">
        <f>J11/'Output-Calculation-sheet'!J10*'Output-Calculation-sheet'!#REF!</f>
        <v>#REF!</v>
      </c>
      <c r="K132" s="2" t="e">
        <f>K11/'Output-Calculation-sheet'!K10*'Output-Calculation-sheet'!#REF!</f>
        <v>#REF!</v>
      </c>
      <c r="L132" s="2" t="e">
        <f>L11/'Output-Calculation-sheet'!L10*'Output-Calculation-sheet'!#REF!</f>
        <v>#REF!</v>
      </c>
      <c r="M132" s="2" t="e">
        <f>M11/'Output-Calculation-sheet'!M10*'Output-Calculation-sheet'!#REF!</f>
        <v>#REF!</v>
      </c>
      <c r="N132" s="2" t="e">
        <f>N11/'Output-Calculation-sheet'!N10*'Output-Calculation-sheet'!#REF!</f>
        <v>#REF!</v>
      </c>
      <c r="O132" s="2" t="e">
        <f>O11/'Output-Calculation-sheet'!O10*'Output-Calculation-sheet'!#REF!</f>
        <v>#REF!</v>
      </c>
      <c r="P132" s="2" t="e">
        <f>P11/'Output-Calculation-sheet'!P10*'Output-Calculation-sheet'!#REF!</f>
        <v>#REF!</v>
      </c>
      <c r="Q132" s="2" t="e">
        <f>Q11/'Output-Calculation-sheet'!Q10*'Output-Calculation-sheet'!#REF!</f>
        <v>#REF!</v>
      </c>
      <c r="R132" s="2" t="e">
        <f>R11/'Output-Calculation-sheet'!R10*'Output-Calculation-sheet'!#REF!</f>
        <v>#REF!</v>
      </c>
      <c r="S132" s="2" t="e">
        <f>S11/'Output-Calculation-sheet'!S10*'Output-Calculation-sheet'!#REF!</f>
        <v>#REF!</v>
      </c>
      <c r="T132" s="2" t="e">
        <f>T11/'Output-Calculation-sheet'!T10*'Output-Calculation-sheet'!#REF!</f>
        <v>#REF!</v>
      </c>
      <c r="U132" s="2" t="e">
        <f>U11/'Output-Calculation-sheet'!U10*'Output-Calculation-sheet'!#REF!</f>
        <v>#REF!</v>
      </c>
      <c r="V132" s="2" t="e">
        <f>V11/'Output-Calculation-sheet'!V10*'Output-Calculation-sheet'!#REF!</f>
        <v>#REF!</v>
      </c>
      <c r="W132" s="2" t="e">
        <f>W11/'Output-Calculation-sheet'!W10*'Output-Calculation-sheet'!#REF!</f>
        <v>#REF!</v>
      </c>
      <c r="X132" s="2" t="e">
        <f>X11/'Output-Calculation-sheet'!X10*'Output-Calculation-sheet'!#REF!</f>
        <v>#REF!</v>
      </c>
      <c r="Y132" s="2" t="e">
        <f>Y11/'Output-Calculation-sheet'!Y10*'Output-Calculation-sheet'!#REF!</f>
        <v>#REF!</v>
      </c>
      <c r="AA132" s="2" t="e">
        <f t="shared" si="10"/>
        <v>#REF!</v>
      </c>
    </row>
    <row r="133" spans="1:27" x14ac:dyDescent="0.25">
      <c r="A133" s="2">
        <v>2035</v>
      </c>
      <c r="B133" s="2" t="e">
        <f>B12/'Output-Calculation-sheet'!B11*'Output-Calculation-sheet'!#REF!</f>
        <v>#REF!</v>
      </c>
      <c r="C133" s="2" t="e">
        <f>C12/'Output-Calculation-sheet'!C11*'Output-Calculation-sheet'!#REF!</f>
        <v>#REF!</v>
      </c>
      <c r="D133" s="2" t="e">
        <f>D12/'Output-Calculation-sheet'!D11*'Output-Calculation-sheet'!#REF!</f>
        <v>#REF!</v>
      </c>
      <c r="E133" s="2" t="e">
        <f>E12/'Output-Calculation-sheet'!E11*'Output-Calculation-sheet'!#REF!</f>
        <v>#REF!</v>
      </c>
      <c r="F133" s="2" t="e">
        <f>F12/'Output-Calculation-sheet'!F11*'Output-Calculation-sheet'!#REF!</f>
        <v>#REF!</v>
      </c>
      <c r="G133" s="2" t="e">
        <f>G12/'Output-Calculation-sheet'!G11*'Output-Calculation-sheet'!#REF!</f>
        <v>#REF!</v>
      </c>
      <c r="H133" s="2" t="e">
        <f>H12/'Output-Calculation-sheet'!H11*'Output-Calculation-sheet'!#REF!</f>
        <v>#REF!</v>
      </c>
      <c r="I133" s="2" t="e">
        <f>I12/'Output-Calculation-sheet'!I11*'Output-Calculation-sheet'!#REF!</f>
        <v>#REF!</v>
      </c>
      <c r="J133" s="2" t="e">
        <f>J12/'Output-Calculation-sheet'!J11*'Output-Calculation-sheet'!#REF!</f>
        <v>#REF!</v>
      </c>
      <c r="K133" s="2" t="e">
        <f>K12/'Output-Calculation-sheet'!K11*'Output-Calculation-sheet'!#REF!</f>
        <v>#REF!</v>
      </c>
      <c r="L133" s="2" t="e">
        <f>L12/'Output-Calculation-sheet'!L11*'Output-Calculation-sheet'!#REF!</f>
        <v>#REF!</v>
      </c>
      <c r="M133" s="2" t="e">
        <f>M12/'Output-Calculation-sheet'!M11*'Output-Calculation-sheet'!#REF!</f>
        <v>#REF!</v>
      </c>
      <c r="N133" s="2" t="e">
        <f>N12/'Output-Calculation-sheet'!N11*'Output-Calculation-sheet'!#REF!</f>
        <v>#REF!</v>
      </c>
      <c r="O133" s="2" t="e">
        <f>O12/'Output-Calculation-sheet'!O11*'Output-Calculation-sheet'!#REF!</f>
        <v>#REF!</v>
      </c>
      <c r="P133" s="2" t="e">
        <f>P12/'Output-Calculation-sheet'!P11*'Output-Calculation-sheet'!#REF!</f>
        <v>#REF!</v>
      </c>
      <c r="Q133" s="2" t="e">
        <f>Q12/'Output-Calculation-sheet'!Q11*'Output-Calculation-sheet'!#REF!</f>
        <v>#REF!</v>
      </c>
      <c r="R133" s="2" t="e">
        <f>R12/'Output-Calculation-sheet'!R11*'Output-Calculation-sheet'!#REF!</f>
        <v>#REF!</v>
      </c>
      <c r="S133" s="2" t="e">
        <f>S12/'Output-Calculation-sheet'!S11*'Output-Calculation-sheet'!#REF!</f>
        <v>#REF!</v>
      </c>
      <c r="T133" s="2" t="e">
        <f>T12/'Output-Calculation-sheet'!T11*'Output-Calculation-sheet'!#REF!</f>
        <v>#REF!</v>
      </c>
      <c r="U133" s="2" t="e">
        <f>U12/'Output-Calculation-sheet'!U11*'Output-Calculation-sheet'!#REF!</f>
        <v>#REF!</v>
      </c>
      <c r="V133" s="2" t="e">
        <f>V12/'Output-Calculation-sheet'!V11*'Output-Calculation-sheet'!#REF!</f>
        <v>#REF!</v>
      </c>
      <c r="W133" s="2" t="e">
        <f>W12/'Output-Calculation-sheet'!W11*'Output-Calculation-sheet'!#REF!</f>
        <v>#REF!</v>
      </c>
      <c r="X133" s="2" t="e">
        <f>X12/'Output-Calculation-sheet'!X11*'Output-Calculation-sheet'!#REF!</f>
        <v>#REF!</v>
      </c>
      <c r="Y133" s="2" t="e">
        <f>Y12/'Output-Calculation-sheet'!Y11*'Output-Calculation-sheet'!#REF!</f>
        <v>#REF!</v>
      </c>
      <c r="AA133" s="2" t="e">
        <f t="shared" si="10"/>
        <v>#REF!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B5/'Output-Calculation-sheet'!B4*'Output-Calculation-sheet'!#REF!</f>
        <v>#REF!</v>
      </c>
      <c r="C137" s="2" t="e">
        <f>C5/'Output-Calculation-sheet'!C4*'Output-Calculation-sheet'!#REF!</f>
        <v>#REF!</v>
      </c>
      <c r="D137" s="2" t="e">
        <f>D5/'Output-Calculation-sheet'!D4*'Output-Calculation-sheet'!#REF!</f>
        <v>#REF!</v>
      </c>
      <c r="E137" s="2" t="e">
        <f>E5/'Output-Calculation-sheet'!E4*'Output-Calculation-sheet'!#REF!</f>
        <v>#REF!</v>
      </c>
      <c r="F137" s="2" t="e">
        <f>F5/'Output-Calculation-sheet'!F4*'Output-Calculation-sheet'!#REF!</f>
        <v>#REF!</v>
      </c>
      <c r="G137" s="2" t="e">
        <f>G5/'Output-Calculation-sheet'!G4*'Output-Calculation-sheet'!#REF!</f>
        <v>#REF!</v>
      </c>
      <c r="H137" s="2" t="e">
        <f>H5/'Output-Calculation-sheet'!H4*'Output-Calculation-sheet'!#REF!</f>
        <v>#REF!</v>
      </c>
      <c r="I137" s="2" t="e">
        <f>I5/'Output-Calculation-sheet'!I4*'Output-Calculation-sheet'!#REF!</f>
        <v>#REF!</v>
      </c>
      <c r="J137" s="2" t="e">
        <f>J5/'Output-Calculation-sheet'!J4*'Output-Calculation-sheet'!#REF!</f>
        <v>#REF!</v>
      </c>
      <c r="K137" s="2" t="e">
        <f>K5/'Output-Calculation-sheet'!K4*'Output-Calculation-sheet'!#REF!</f>
        <v>#REF!</v>
      </c>
      <c r="L137" s="2" t="e">
        <f>L5/'Output-Calculation-sheet'!L4*'Output-Calculation-sheet'!#REF!</f>
        <v>#REF!</v>
      </c>
      <c r="M137" s="2" t="e">
        <f>M5/'Output-Calculation-sheet'!M4*'Output-Calculation-sheet'!#REF!</f>
        <v>#REF!</v>
      </c>
      <c r="N137" s="2" t="e">
        <f>N5/'Output-Calculation-sheet'!N4*'Output-Calculation-sheet'!#REF!</f>
        <v>#REF!</v>
      </c>
      <c r="O137" s="2" t="e">
        <f>O5/'Output-Calculation-sheet'!O4*'Output-Calculation-sheet'!#REF!</f>
        <v>#REF!</v>
      </c>
      <c r="P137" s="2" t="e">
        <f>P5/'Output-Calculation-sheet'!P4*'Output-Calculation-sheet'!#REF!</f>
        <v>#REF!</v>
      </c>
      <c r="Q137" s="2" t="e">
        <f>Q5/'Output-Calculation-sheet'!Q4*'Output-Calculation-sheet'!#REF!</f>
        <v>#REF!</v>
      </c>
      <c r="R137" s="2" t="e">
        <f>R5/'Output-Calculation-sheet'!R4*'Output-Calculation-sheet'!#REF!</f>
        <v>#REF!</v>
      </c>
      <c r="S137" s="2" t="e">
        <f>S5/'Output-Calculation-sheet'!S4*'Output-Calculation-sheet'!#REF!</f>
        <v>#REF!</v>
      </c>
      <c r="T137" s="2" t="e">
        <f>T5/'Output-Calculation-sheet'!T4*'Output-Calculation-sheet'!#REF!</f>
        <v>#REF!</v>
      </c>
      <c r="U137" s="2" t="e">
        <f>U5/'Output-Calculation-sheet'!U4*'Output-Calculation-sheet'!#REF!</f>
        <v>#REF!</v>
      </c>
      <c r="V137" s="2" t="e">
        <f>V5/'Output-Calculation-sheet'!V4*'Output-Calculation-sheet'!#REF!</f>
        <v>#REF!</v>
      </c>
      <c r="W137" s="2" t="e">
        <f>W5/'Output-Calculation-sheet'!W4*'Output-Calculation-sheet'!#REF!</f>
        <v>#REF!</v>
      </c>
      <c r="X137" s="2" t="e">
        <f>X5/'Output-Calculation-sheet'!X4*'Output-Calculation-sheet'!#REF!</f>
        <v>#REF!</v>
      </c>
      <c r="Y137" s="2" t="e">
        <f>Y5/'Output-Calculation-sheet'!Y4*'Output-Calculation-sheet'!#REF!</f>
        <v>#REF!</v>
      </c>
      <c r="AA137" s="2" t="e">
        <f>SUM(B137:Y137)/10^6</f>
        <v>#REF!</v>
      </c>
    </row>
    <row r="138" spans="1:27" x14ac:dyDescent="0.25">
      <c r="A138" s="2">
        <v>2029</v>
      </c>
      <c r="B138" s="2" t="e">
        <f>B6/'Output-Calculation-sheet'!B5*'Output-Calculation-sheet'!#REF!</f>
        <v>#REF!</v>
      </c>
      <c r="C138" s="2" t="e">
        <f>C6/'Output-Calculation-sheet'!C5*'Output-Calculation-sheet'!#REF!</f>
        <v>#REF!</v>
      </c>
      <c r="D138" s="2" t="e">
        <f>D6/'Output-Calculation-sheet'!D5*'Output-Calculation-sheet'!#REF!</f>
        <v>#REF!</v>
      </c>
      <c r="E138" s="2" t="e">
        <f>E6/'Output-Calculation-sheet'!E5*'Output-Calculation-sheet'!#REF!</f>
        <v>#REF!</v>
      </c>
      <c r="F138" s="2" t="e">
        <f>F6/'Output-Calculation-sheet'!F5*'Output-Calculation-sheet'!#REF!</f>
        <v>#REF!</v>
      </c>
      <c r="G138" s="2" t="e">
        <f>G6/'Output-Calculation-sheet'!G5*'Output-Calculation-sheet'!#REF!</f>
        <v>#REF!</v>
      </c>
      <c r="H138" s="2" t="e">
        <f>H6/'Output-Calculation-sheet'!H5*'Output-Calculation-sheet'!#REF!</f>
        <v>#REF!</v>
      </c>
      <c r="I138" s="2" t="e">
        <f>I6/'Output-Calculation-sheet'!I5*'Output-Calculation-sheet'!#REF!</f>
        <v>#REF!</v>
      </c>
      <c r="J138" s="2" t="e">
        <f>J6/'Output-Calculation-sheet'!J5*'Output-Calculation-sheet'!#REF!</f>
        <v>#REF!</v>
      </c>
      <c r="K138" s="2" t="e">
        <f>K6/'Output-Calculation-sheet'!K5*'Output-Calculation-sheet'!#REF!</f>
        <v>#REF!</v>
      </c>
      <c r="L138" s="2" t="e">
        <f>L6/'Output-Calculation-sheet'!L5*'Output-Calculation-sheet'!#REF!</f>
        <v>#REF!</v>
      </c>
      <c r="M138" s="2" t="e">
        <f>M6/'Output-Calculation-sheet'!M5*'Output-Calculation-sheet'!#REF!</f>
        <v>#REF!</v>
      </c>
      <c r="N138" s="2" t="e">
        <f>N6/'Output-Calculation-sheet'!N5*'Output-Calculation-sheet'!#REF!</f>
        <v>#REF!</v>
      </c>
      <c r="O138" s="2" t="e">
        <f>O6/'Output-Calculation-sheet'!O5*'Output-Calculation-sheet'!#REF!</f>
        <v>#REF!</v>
      </c>
      <c r="P138" s="2" t="e">
        <f>P6/'Output-Calculation-sheet'!P5*'Output-Calculation-sheet'!#REF!</f>
        <v>#REF!</v>
      </c>
      <c r="Q138" s="2" t="e">
        <f>Q6/'Output-Calculation-sheet'!Q5*'Output-Calculation-sheet'!#REF!</f>
        <v>#REF!</v>
      </c>
      <c r="R138" s="2" t="e">
        <f>R6/'Output-Calculation-sheet'!R5*'Output-Calculation-sheet'!#REF!</f>
        <v>#REF!</v>
      </c>
      <c r="S138" s="2" t="e">
        <f>S6/'Output-Calculation-sheet'!S5*'Output-Calculation-sheet'!#REF!</f>
        <v>#REF!</v>
      </c>
      <c r="T138" s="2" t="e">
        <f>T6/'Output-Calculation-sheet'!T5*'Output-Calculation-sheet'!#REF!</f>
        <v>#REF!</v>
      </c>
      <c r="U138" s="2" t="e">
        <f>U6/'Output-Calculation-sheet'!U5*'Output-Calculation-sheet'!#REF!</f>
        <v>#REF!</v>
      </c>
      <c r="V138" s="2" t="e">
        <f>V6/'Output-Calculation-sheet'!V5*'Output-Calculation-sheet'!#REF!</f>
        <v>#REF!</v>
      </c>
      <c r="W138" s="2" t="e">
        <f>W6/'Output-Calculation-sheet'!W5*'Output-Calculation-sheet'!#REF!</f>
        <v>#REF!</v>
      </c>
      <c r="X138" s="2" t="e">
        <f>X6/'Output-Calculation-sheet'!X5*'Output-Calculation-sheet'!#REF!</f>
        <v>#REF!</v>
      </c>
      <c r="Y138" s="2" t="e">
        <f>Y6/'Output-Calculation-sheet'!Y5*'Output-Calculation-sheet'!#REF!</f>
        <v>#REF!</v>
      </c>
      <c r="AA138" s="2" t="e">
        <f t="shared" ref="AA138:AA144" si="11">SUM(B138:Y138)/10^6</f>
        <v>#REF!</v>
      </c>
    </row>
    <row r="139" spans="1:27" x14ac:dyDescent="0.25">
      <c r="A139" s="2">
        <v>2030</v>
      </c>
      <c r="B139" s="2" t="e">
        <f>B7/'Output-Calculation-sheet'!B6*'Output-Calculation-sheet'!#REF!</f>
        <v>#REF!</v>
      </c>
      <c r="C139" s="2" t="e">
        <f>C7/'Output-Calculation-sheet'!C6*'Output-Calculation-sheet'!#REF!</f>
        <v>#REF!</v>
      </c>
      <c r="D139" s="2" t="e">
        <f>D7/'Output-Calculation-sheet'!D6*'Output-Calculation-sheet'!#REF!</f>
        <v>#REF!</v>
      </c>
      <c r="E139" s="2" t="e">
        <f>E7/'Output-Calculation-sheet'!E6*'Output-Calculation-sheet'!#REF!</f>
        <v>#REF!</v>
      </c>
      <c r="F139" s="2" t="e">
        <f>F7/'Output-Calculation-sheet'!F6*'Output-Calculation-sheet'!#REF!</f>
        <v>#REF!</v>
      </c>
      <c r="G139" s="2" t="e">
        <f>G7/'Output-Calculation-sheet'!G6*'Output-Calculation-sheet'!#REF!</f>
        <v>#REF!</v>
      </c>
      <c r="H139" s="2" t="e">
        <f>H7/'Output-Calculation-sheet'!H6*'Output-Calculation-sheet'!#REF!</f>
        <v>#REF!</v>
      </c>
      <c r="I139" s="2" t="e">
        <f>I7/'Output-Calculation-sheet'!I6*'Output-Calculation-sheet'!#REF!</f>
        <v>#REF!</v>
      </c>
      <c r="J139" s="2" t="e">
        <f>J7/'Output-Calculation-sheet'!J6*'Output-Calculation-sheet'!#REF!</f>
        <v>#REF!</v>
      </c>
      <c r="K139" s="2" t="e">
        <f>K7/'Output-Calculation-sheet'!K6*'Output-Calculation-sheet'!#REF!</f>
        <v>#REF!</v>
      </c>
      <c r="L139" s="2" t="e">
        <f>L7/'Output-Calculation-sheet'!L6*'Output-Calculation-sheet'!#REF!</f>
        <v>#REF!</v>
      </c>
      <c r="M139" s="2" t="e">
        <f>M7/'Output-Calculation-sheet'!M6*'Output-Calculation-sheet'!#REF!</f>
        <v>#REF!</v>
      </c>
      <c r="N139" s="2" t="e">
        <f>N7/'Output-Calculation-sheet'!N6*'Output-Calculation-sheet'!#REF!</f>
        <v>#REF!</v>
      </c>
      <c r="O139" s="2" t="e">
        <f>O7/'Output-Calculation-sheet'!O6*'Output-Calculation-sheet'!#REF!</f>
        <v>#REF!</v>
      </c>
      <c r="P139" s="2" t="e">
        <f>P7/'Output-Calculation-sheet'!P6*'Output-Calculation-sheet'!#REF!</f>
        <v>#REF!</v>
      </c>
      <c r="Q139" s="2" t="e">
        <f>Q7/'Output-Calculation-sheet'!Q6*'Output-Calculation-sheet'!#REF!</f>
        <v>#REF!</v>
      </c>
      <c r="R139" s="2" t="e">
        <f>R7/'Output-Calculation-sheet'!R6*'Output-Calculation-sheet'!#REF!</f>
        <v>#REF!</v>
      </c>
      <c r="S139" s="2" t="e">
        <f>S7/'Output-Calculation-sheet'!S6*'Output-Calculation-sheet'!#REF!</f>
        <v>#REF!</v>
      </c>
      <c r="T139" s="2" t="e">
        <f>T7/'Output-Calculation-sheet'!T6*'Output-Calculation-sheet'!#REF!</f>
        <v>#REF!</v>
      </c>
      <c r="U139" s="2" t="e">
        <f>U7/'Output-Calculation-sheet'!U6*'Output-Calculation-sheet'!#REF!</f>
        <v>#REF!</v>
      </c>
      <c r="V139" s="2" t="e">
        <f>V7/'Output-Calculation-sheet'!V6*'Output-Calculation-sheet'!#REF!</f>
        <v>#REF!</v>
      </c>
      <c r="W139" s="2" t="e">
        <f>W7/'Output-Calculation-sheet'!W6*'Output-Calculation-sheet'!#REF!</f>
        <v>#REF!</v>
      </c>
      <c r="X139" s="2" t="e">
        <f>X7/'Output-Calculation-sheet'!X6*'Output-Calculation-sheet'!#REF!</f>
        <v>#REF!</v>
      </c>
      <c r="Y139" s="2" t="e">
        <f>Y7/'Output-Calculation-sheet'!Y6*'Output-Calculation-sheet'!#REF!</f>
        <v>#REF!</v>
      </c>
      <c r="AA139" s="2" t="e">
        <f t="shared" si="11"/>
        <v>#REF!</v>
      </c>
    </row>
    <row r="140" spans="1:27" x14ac:dyDescent="0.25">
      <c r="A140" s="2">
        <v>2031</v>
      </c>
      <c r="B140" s="2" t="e">
        <f>B8/'Output-Calculation-sheet'!B7*'Output-Calculation-sheet'!#REF!</f>
        <v>#REF!</v>
      </c>
      <c r="C140" s="2" t="e">
        <f>C8/'Output-Calculation-sheet'!C7*'Output-Calculation-sheet'!#REF!</f>
        <v>#REF!</v>
      </c>
      <c r="D140" s="2" t="e">
        <f>D8/'Output-Calculation-sheet'!D7*'Output-Calculation-sheet'!#REF!</f>
        <v>#REF!</v>
      </c>
      <c r="E140" s="2" t="e">
        <f>E8/'Output-Calculation-sheet'!E7*'Output-Calculation-sheet'!#REF!</f>
        <v>#REF!</v>
      </c>
      <c r="F140" s="2" t="e">
        <f>F8/'Output-Calculation-sheet'!F7*'Output-Calculation-sheet'!#REF!</f>
        <v>#REF!</v>
      </c>
      <c r="G140" s="2" t="e">
        <f>G8/'Output-Calculation-sheet'!G7*'Output-Calculation-sheet'!#REF!</f>
        <v>#REF!</v>
      </c>
      <c r="H140" s="2" t="e">
        <f>H8/'Output-Calculation-sheet'!H7*'Output-Calculation-sheet'!#REF!</f>
        <v>#REF!</v>
      </c>
      <c r="I140" s="2" t="e">
        <f>I8/'Output-Calculation-sheet'!I7*'Output-Calculation-sheet'!#REF!</f>
        <v>#REF!</v>
      </c>
      <c r="J140" s="2" t="e">
        <f>J8/'Output-Calculation-sheet'!J7*'Output-Calculation-sheet'!#REF!</f>
        <v>#REF!</v>
      </c>
      <c r="K140" s="2" t="e">
        <f>K8/'Output-Calculation-sheet'!K7*'Output-Calculation-sheet'!#REF!</f>
        <v>#REF!</v>
      </c>
      <c r="L140" s="2" t="e">
        <f>L8/'Output-Calculation-sheet'!L7*'Output-Calculation-sheet'!#REF!</f>
        <v>#REF!</v>
      </c>
      <c r="M140" s="2" t="e">
        <f>M8/'Output-Calculation-sheet'!M7*'Output-Calculation-sheet'!#REF!</f>
        <v>#REF!</v>
      </c>
      <c r="N140" s="2" t="e">
        <f>N8/'Output-Calculation-sheet'!N7*'Output-Calculation-sheet'!#REF!</f>
        <v>#REF!</v>
      </c>
      <c r="O140" s="2" t="e">
        <f>O8/'Output-Calculation-sheet'!O7*'Output-Calculation-sheet'!#REF!</f>
        <v>#REF!</v>
      </c>
      <c r="P140" s="2" t="e">
        <f>P8/'Output-Calculation-sheet'!P7*'Output-Calculation-sheet'!#REF!</f>
        <v>#REF!</v>
      </c>
      <c r="Q140" s="2" t="e">
        <f>Q8/'Output-Calculation-sheet'!Q7*'Output-Calculation-sheet'!#REF!</f>
        <v>#REF!</v>
      </c>
      <c r="R140" s="2" t="e">
        <f>R8/'Output-Calculation-sheet'!R7*'Output-Calculation-sheet'!#REF!</f>
        <v>#REF!</v>
      </c>
      <c r="S140" s="2" t="e">
        <f>S8/'Output-Calculation-sheet'!S7*'Output-Calculation-sheet'!#REF!</f>
        <v>#REF!</v>
      </c>
      <c r="T140" s="2" t="e">
        <f>T8/'Output-Calculation-sheet'!T7*'Output-Calculation-sheet'!#REF!</f>
        <v>#REF!</v>
      </c>
      <c r="U140" s="2" t="e">
        <f>U8/'Output-Calculation-sheet'!U7*'Output-Calculation-sheet'!#REF!</f>
        <v>#REF!</v>
      </c>
      <c r="V140" s="2" t="e">
        <f>V8/'Output-Calculation-sheet'!V7*'Output-Calculation-sheet'!#REF!</f>
        <v>#REF!</v>
      </c>
      <c r="W140" s="2" t="e">
        <f>W8/'Output-Calculation-sheet'!W7*'Output-Calculation-sheet'!#REF!</f>
        <v>#REF!</v>
      </c>
      <c r="X140" s="2" t="e">
        <f>X8/'Output-Calculation-sheet'!X7*'Output-Calculation-sheet'!#REF!</f>
        <v>#REF!</v>
      </c>
      <c r="Y140" s="2" t="e">
        <f>Y8/'Output-Calculation-sheet'!Y7*'Output-Calculation-sheet'!#REF!</f>
        <v>#REF!</v>
      </c>
      <c r="AA140" s="2" t="e">
        <f t="shared" si="11"/>
        <v>#REF!</v>
      </c>
    </row>
    <row r="141" spans="1:27" x14ac:dyDescent="0.25">
      <c r="A141" s="2">
        <v>2032</v>
      </c>
      <c r="B141" s="2" t="e">
        <f>B9/'Output-Calculation-sheet'!B8*'Output-Calculation-sheet'!#REF!</f>
        <v>#REF!</v>
      </c>
      <c r="C141" s="2" t="e">
        <f>C9/'Output-Calculation-sheet'!C8*'Output-Calculation-sheet'!#REF!</f>
        <v>#REF!</v>
      </c>
      <c r="D141" s="2" t="e">
        <f>D9/'Output-Calculation-sheet'!D8*'Output-Calculation-sheet'!#REF!</f>
        <v>#REF!</v>
      </c>
      <c r="E141" s="2" t="e">
        <f>E9/'Output-Calculation-sheet'!E8*'Output-Calculation-sheet'!#REF!</f>
        <v>#REF!</v>
      </c>
      <c r="F141" s="2" t="e">
        <f>F9/'Output-Calculation-sheet'!F8*'Output-Calculation-sheet'!#REF!</f>
        <v>#REF!</v>
      </c>
      <c r="G141" s="2" t="e">
        <f>G9/'Output-Calculation-sheet'!G8*'Output-Calculation-sheet'!#REF!</f>
        <v>#REF!</v>
      </c>
      <c r="H141" s="2" t="e">
        <f>H9/'Output-Calculation-sheet'!H8*'Output-Calculation-sheet'!#REF!</f>
        <v>#REF!</v>
      </c>
      <c r="I141" s="2" t="e">
        <f>I9/'Output-Calculation-sheet'!I8*'Output-Calculation-sheet'!#REF!</f>
        <v>#REF!</v>
      </c>
      <c r="J141" s="2" t="e">
        <f>J9/'Output-Calculation-sheet'!J8*'Output-Calculation-sheet'!#REF!</f>
        <v>#REF!</v>
      </c>
      <c r="K141" s="2" t="e">
        <f>K9/'Output-Calculation-sheet'!K8*'Output-Calculation-sheet'!#REF!</f>
        <v>#REF!</v>
      </c>
      <c r="L141" s="2" t="e">
        <f>L9/'Output-Calculation-sheet'!L8*'Output-Calculation-sheet'!#REF!</f>
        <v>#REF!</v>
      </c>
      <c r="M141" s="2" t="e">
        <f>M9/'Output-Calculation-sheet'!M8*'Output-Calculation-sheet'!#REF!</f>
        <v>#REF!</v>
      </c>
      <c r="N141" s="2" t="e">
        <f>N9/'Output-Calculation-sheet'!N8*'Output-Calculation-sheet'!#REF!</f>
        <v>#REF!</v>
      </c>
      <c r="O141" s="2" t="e">
        <f>O9/'Output-Calculation-sheet'!O8*'Output-Calculation-sheet'!#REF!</f>
        <v>#REF!</v>
      </c>
      <c r="P141" s="2" t="e">
        <f>P9/'Output-Calculation-sheet'!P8*'Output-Calculation-sheet'!#REF!</f>
        <v>#REF!</v>
      </c>
      <c r="Q141" s="2" t="e">
        <f>Q9/'Output-Calculation-sheet'!Q8*'Output-Calculation-sheet'!#REF!</f>
        <v>#REF!</v>
      </c>
      <c r="R141" s="2" t="e">
        <f>R9/'Output-Calculation-sheet'!R8*'Output-Calculation-sheet'!#REF!</f>
        <v>#REF!</v>
      </c>
      <c r="S141" s="2" t="e">
        <f>S9/'Output-Calculation-sheet'!S8*'Output-Calculation-sheet'!#REF!</f>
        <v>#REF!</v>
      </c>
      <c r="T141" s="2" t="e">
        <f>T9/'Output-Calculation-sheet'!T8*'Output-Calculation-sheet'!#REF!</f>
        <v>#REF!</v>
      </c>
      <c r="U141" s="2" t="e">
        <f>U9/'Output-Calculation-sheet'!U8*'Output-Calculation-sheet'!#REF!</f>
        <v>#REF!</v>
      </c>
      <c r="V141" s="2" t="e">
        <f>V9/'Output-Calculation-sheet'!V8*'Output-Calculation-sheet'!#REF!</f>
        <v>#REF!</v>
      </c>
      <c r="W141" s="2" t="e">
        <f>W9/'Output-Calculation-sheet'!W8*'Output-Calculation-sheet'!#REF!</f>
        <v>#REF!</v>
      </c>
      <c r="X141" s="2" t="e">
        <f>X9/'Output-Calculation-sheet'!X8*'Output-Calculation-sheet'!#REF!</f>
        <v>#REF!</v>
      </c>
      <c r="Y141" s="2" t="e">
        <f>Y9/'Output-Calculation-sheet'!Y8*'Output-Calculation-sheet'!#REF!</f>
        <v>#REF!</v>
      </c>
      <c r="AA141" s="2" t="e">
        <f t="shared" si="11"/>
        <v>#REF!</v>
      </c>
    </row>
    <row r="142" spans="1:27" x14ac:dyDescent="0.25">
      <c r="A142" s="2">
        <v>2033</v>
      </c>
      <c r="B142" s="2" t="e">
        <f>B10/'Output-Calculation-sheet'!B9*'Output-Calculation-sheet'!#REF!</f>
        <v>#REF!</v>
      </c>
      <c r="C142" s="2" t="e">
        <f>C10/'Output-Calculation-sheet'!C9*'Output-Calculation-sheet'!#REF!</f>
        <v>#REF!</v>
      </c>
      <c r="D142" s="2" t="e">
        <f>D10/'Output-Calculation-sheet'!D9*'Output-Calculation-sheet'!#REF!</f>
        <v>#REF!</v>
      </c>
      <c r="E142" s="2" t="e">
        <f>E10/'Output-Calculation-sheet'!E9*'Output-Calculation-sheet'!#REF!</f>
        <v>#REF!</v>
      </c>
      <c r="F142" s="2" t="e">
        <f>F10/'Output-Calculation-sheet'!F9*'Output-Calculation-sheet'!#REF!</f>
        <v>#REF!</v>
      </c>
      <c r="G142" s="2" t="e">
        <f>G10/'Output-Calculation-sheet'!G9*'Output-Calculation-sheet'!#REF!</f>
        <v>#REF!</v>
      </c>
      <c r="H142" s="2" t="e">
        <f>H10/'Output-Calculation-sheet'!H9*'Output-Calculation-sheet'!#REF!</f>
        <v>#REF!</v>
      </c>
      <c r="I142" s="2" t="e">
        <f>I10/'Output-Calculation-sheet'!I9*'Output-Calculation-sheet'!#REF!</f>
        <v>#REF!</v>
      </c>
      <c r="J142" s="2" t="e">
        <f>J10/'Output-Calculation-sheet'!J9*'Output-Calculation-sheet'!#REF!</f>
        <v>#REF!</v>
      </c>
      <c r="K142" s="2" t="e">
        <f>K10/'Output-Calculation-sheet'!K9*'Output-Calculation-sheet'!#REF!</f>
        <v>#REF!</v>
      </c>
      <c r="L142" s="2" t="e">
        <f>L10/'Output-Calculation-sheet'!L9*'Output-Calculation-sheet'!#REF!</f>
        <v>#REF!</v>
      </c>
      <c r="M142" s="2" t="e">
        <f>M10/'Output-Calculation-sheet'!M9*'Output-Calculation-sheet'!#REF!</f>
        <v>#REF!</v>
      </c>
      <c r="N142" s="2" t="e">
        <f>N10/'Output-Calculation-sheet'!N9*'Output-Calculation-sheet'!#REF!</f>
        <v>#REF!</v>
      </c>
      <c r="O142" s="2" t="e">
        <f>O10/'Output-Calculation-sheet'!O9*'Output-Calculation-sheet'!#REF!</f>
        <v>#REF!</v>
      </c>
      <c r="P142" s="2" t="e">
        <f>P10/'Output-Calculation-sheet'!P9*'Output-Calculation-sheet'!#REF!</f>
        <v>#REF!</v>
      </c>
      <c r="Q142" s="2" t="e">
        <f>Q10/'Output-Calculation-sheet'!Q9*'Output-Calculation-sheet'!#REF!</f>
        <v>#REF!</v>
      </c>
      <c r="R142" s="2" t="e">
        <f>R10/'Output-Calculation-sheet'!R9*'Output-Calculation-sheet'!#REF!</f>
        <v>#REF!</v>
      </c>
      <c r="S142" s="2" t="e">
        <f>S10/'Output-Calculation-sheet'!S9*'Output-Calculation-sheet'!#REF!</f>
        <v>#REF!</v>
      </c>
      <c r="T142" s="2" t="e">
        <f>T10/'Output-Calculation-sheet'!T9*'Output-Calculation-sheet'!#REF!</f>
        <v>#REF!</v>
      </c>
      <c r="U142" s="2" t="e">
        <f>U10/'Output-Calculation-sheet'!U9*'Output-Calculation-sheet'!#REF!</f>
        <v>#REF!</v>
      </c>
      <c r="V142" s="2" t="e">
        <f>V10/'Output-Calculation-sheet'!V9*'Output-Calculation-sheet'!#REF!</f>
        <v>#REF!</v>
      </c>
      <c r="W142" s="2" t="e">
        <f>W10/'Output-Calculation-sheet'!W9*'Output-Calculation-sheet'!#REF!</f>
        <v>#REF!</v>
      </c>
      <c r="X142" s="2" t="e">
        <f>X10/'Output-Calculation-sheet'!X9*'Output-Calculation-sheet'!#REF!</f>
        <v>#REF!</v>
      </c>
      <c r="Y142" s="2" t="e">
        <f>Y10/'Output-Calculation-sheet'!Y9*'Output-Calculation-sheet'!#REF!</f>
        <v>#REF!</v>
      </c>
      <c r="AA142" s="2" t="e">
        <f t="shared" si="11"/>
        <v>#REF!</v>
      </c>
    </row>
    <row r="143" spans="1:27" x14ac:dyDescent="0.25">
      <c r="A143" s="2">
        <v>2034</v>
      </c>
      <c r="B143" s="2" t="e">
        <f>B11/'Output-Calculation-sheet'!B10*'Output-Calculation-sheet'!#REF!</f>
        <v>#REF!</v>
      </c>
      <c r="C143" s="2" t="e">
        <f>C11/'Output-Calculation-sheet'!C10*'Output-Calculation-sheet'!#REF!</f>
        <v>#REF!</v>
      </c>
      <c r="D143" s="2" t="e">
        <f>D11/'Output-Calculation-sheet'!D10*'Output-Calculation-sheet'!#REF!</f>
        <v>#REF!</v>
      </c>
      <c r="E143" s="2" t="e">
        <f>E11/'Output-Calculation-sheet'!E10*'Output-Calculation-sheet'!#REF!</f>
        <v>#REF!</v>
      </c>
      <c r="F143" s="2" t="e">
        <f>F11/'Output-Calculation-sheet'!F10*'Output-Calculation-sheet'!#REF!</f>
        <v>#REF!</v>
      </c>
      <c r="G143" s="2" t="e">
        <f>G11/'Output-Calculation-sheet'!G10*'Output-Calculation-sheet'!#REF!</f>
        <v>#REF!</v>
      </c>
      <c r="H143" s="2" t="e">
        <f>H11/'Output-Calculation-sheet'!H10*'Output-Calculation-sheet'!#REF!</f>
        <v>#REF!</v>
      </c>
      <c r="I143" s="2" t="e">
        <f>I11/'Output-Calculation-sheet'!I10*'Output-Calculation-sheet'!#REF!</f>
        <v>#REF!</v>
      </c>
      <c r="J143" s="2" t="e">
        <f>J11/'Output-Calculation-sheet'!J10*'Output-Calculation-sheet'!#REF!</f>
        <v>#REF!</v>
      </c>
      <c r="K143" s="2" t="e">
        <f>K11/'Output-Calculation-sheet'!K10*'Output-Calculation-sheet'!#REF!</f>
        <v>#REF!</v>
      </c>
      <c r="L143" s="2" t="e">
        <f>L11/'Output-Calculation-sheet'!L10*'Output-Calculation-sheet'!#REF!</f>
        <v>#REF!</v>
      </c>
      <c r="M143" s="2" t="e">
        <f>M11/'Output-Calculation-sheet'!M10*'Output-Calculation-sheet'!#REF!</f>
        <v>#REF!</v>
      </c>
      <c r="N143" s="2" t="e">
        <f>N11/'Output-Calculation-sheet'!N10*'Output-Calculation-sheet'!#REF!</f>
        <v>#REF!</v>
      </c>
      <c r="O143" s="2" t="e">
        <f>O11/'Output-Calculation-sheet'!O10*'Output-Calculation-sheet'!#REF!</f>
        <v>#REF!</v>
      </c>
      <c r="P143" s="2" t="e">
        <f>P11/'Output-Calculation-sheet'!P10*'Output-Calculation-sheet'!#REF!</f>
        <v>#REF!</v>
      </c>
      <c r="Q143" s="2" t="e">
        <f>Q11/'Output-Calculation-sheet'!Q10*'Output-Calculation-sheet'!#REF!</f>
        <v>#REF!</v>
      </c>
      <c r="R143" s="2" t="e">
        <f>R11/'Output-Calculation-sheet'!R10*'Output-Calculation-sheet'!#REF!</f>
        <v>#REF!</v>
      </c>
      <c r="S143" s="2" t="e">
        <f>S11/'Output-Calculation-sheet'!S10*'Output-Calculation-sheet'!#REF!</f>
        <v>#REF!</v>
      </c>
      <c r="T143" s="2" t="e">
        <f>T11/'Output-Calculation-sheet'!T10*'Output-Calculation-sheet'!#REF!</f>
        <v>#REF!</v>
      </c>
      <c r="U143" s="2" t="e">
        <f>U11/'Output-Calculation-sheet'!U10*'Output-Calculation-sheet'!#REF!</f>
        <v>#REF!</v>
      </c>
      <c r="V143" s="2" t="e">
        <f>V11/'Output-Calculation-sheet'!V10*'Output-Calculation-sheet'!#REF!</f>
        <v>#REF!</v>
      </c>
      <c r="W143" s="2" t="e">
        <f>W11/'Output-Calculation-sheet'!W10*'Output-Calculation-sheet'!#REF!</f>
        <v>#REF!</v>
      </c>
      <c r="X143" s="2" t="e">
        <f>X11/'Output-Calculation-sheet'!X10*'Output-Calculation-sheet'!#REF!</f>
        <v>#REF!</v>
      </c>
      <c r="Y143" s="2" t="e">
        <f>Y11/'Output-Calculation-sheet'!Y10*'Output-Calculation-sheet'!#REF!</f>
        <v>#REF!</v>
      </c>
      <c r="AA143" s="2" t="e">
        <f t="shared" si="11"/>
        <v>#REF!</v>
      </c>
    </row>
    <row r="144" spans="1:27" x14ac:dyDescent="0.25">
      <c r="A144" s="2">
        <v>2035</v>
      </c>
      <c r="B144" s="2" t="e">
        <f>B12/'Output-Calculation-sheet'!B11*'Output-Calculation-sheet'!#REF!</f>
        <v>#REF!</v>
      </c>
      <c r="C144" s="2" t="e">
        <f>C12/'Output-Calculation-sheet'!C11*'Output-Calculation-sheet'!#REF!</f>
        <v>#REF!</v>
      </c>
      <c r="D144" s="2" t="e">
        <f>D12/'Output-Calculation-sheet'!D11*'Output-Calculation-sheet'!#REF!</f>
        <v>#REF!</v>
      </c>
      <c r="E144" s="2" t="e">
        <f>E12/'Output-Calculation-sheet'!E11*'Output-Calculation-sheet'!#REF!</f>
        <v>#REF!</v>
      </c>
      <c r="F144" s="2" t="e">
        <f>F12/'Output-Calculation-sheet'!F11*'Output-Calculation-sheet'!#REF!</f>
        <v>#REF!</v>
      </c>
      <c r="G144" s="2" t="e">
        <f>G12/'Output-Calculation-sheet'!G11*'Output-Calculation-sheet'!#REF!</f>
        <v>#REF!</v>
      </c>
      <c r="H144" s="2" t="e">
        <f>H12/'Output-Calculation-sheet'!H11*'Output-Calculation-sheet'!#REF!</f>
        <v>#REF!</v>
      </c>
      <c r="I144" s="2" t="e">
        <f>I12/'Output-Calculation-sheet'!I11*'Output-Calculation-sheet'!#REF!</f>
        <v>#REF!</v>
      </c>
      <c r="J144" s="2" t="e">
        <f>J12/'Output-Calculation-sheet'!J11*'Output-Calculation-sheet'!#REF!</f>
        <v>#REF!</v>
      </c>
      <c r="K144" s="2" t="e">
        <f>K12/'Output-Calculation-sheet'!K11*'Output-Calculation-sheet'!#REF!</f>
        <v>#REF!</v>
      </c>
      <c r="L144" s="2" t="e">
        <f>L12/'Output-Calculation-sheet'!L11*'Output-Calculation-sheet'!#REF!</f>
        <v>#REF!</v>
      </c>
      <c r="M144" s="2" t="e">
        <f>M12/'Output-Calculation-sheet'!M11*'Output-Calculation-sheet'!#REF!</f>
        <v>#REF!</v>
      </c>
      <c r="N144" s="2" t="e">
        <f>N12/'Output-Calculation-sheet'!N11*'Output-Calculation-sheet'!#REF!</f>
        <v>#REF!</v>
      </c>
      <c r="O144" s="2" t="e">
        <f>O12/'Output-Calculation-sheet'!O11*'Output-Calculation-sheet'!#REF!</f>
        <v>#REF!</v>
      </c>
      <c r="P144" s="2" t="e">
        <f>P12/'Output-Calculation-sheet'!P11*'Output-Calculation-sheet'!#REF!</f>
        <v>#REF!</v>
      </c>
      <c r="Q144" s="2" t="e">
        <f>Q12/'Output-Calculation-sheet'!Q11*'Output-Calculation-sheet'!#REF!</f>
        <v>#REF!</v>
      </c>
      <c r="R144" s="2" t="e">
        <f>R12/'Output-Calculation-sheet'!R11*'Output-Calculation-sheet'!#REF!</f>
        <v>#REF!</v>
      </c>
      <c r="S144" s="2" t="e">
        <f>S12/'Output-Calculation-sheet'!S11*'Output-Calculation-sheet'!#REF!</f>
        <v>#REF!</v>
      </c>
      <c r="T144" s="2" t="e">
        <f>T12/'Output-Calculation-sheet'!T11*'Output-Calculation-sheet'!#REF!</f>
        <v>#REF!</v>
      </c>
      <c r="U144" s="2" t="e">
        <f>U12/'Output-Calculation-sheet'!U11*'Output-Calculation-sheet'!#REF!</f>
        <v>#REF!</v>
      </c>
      <c r="V144" s="2" t="e">
        <f>V12/'Output-Calculation-sheet'!V11*'Output-Calculation-sheet'!#REF!</f>
        <v>#REF!</v>
      </c>
      <c r="W144" s="2" t="e">
        <f>W12/'Output-Calculation-sheet'!W11*'Output-Calculation-sheet'!#REF!</f>
        <v>#REF!</v>
      </c>
      <c r="X144" s="2" t="e">
        <f>X12/'Output-Calculation-sheet'!X11*'Output-Calculation-sheet'!#REF!</f>
        <v>#REF!</v>
      </c>
      <c r="Y144" s="2" t="e">
        <f>Y12/'Output-Calculation-sheet'!Y11*'Output-Calculation-sheet'!#REF!</f>
        <v>#REF!</v>
      </c>
      <c r="AA144" s="2" t="e">
        <f t="shared" si="11"/>
        <v>#REF!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B5/'Output-Calculation-sheet'!B4*'Output-Calculation-sheet'!#REF!</f>
        <v>#REF!</v>
      </c>
      <c r="C148" s="2" t="e">
        <f>C5/'Output-Calculation-sheet'!C4*'Output-Calculation-sheet'!#REF!</f>
        <v>#REF!</v>
      </c>
      <c r="D148" s="2" t="e">
        <f>D5/'Output-Calculation-sheet'!D4*'Output-Calculation-sheet'!#REF!</f>
        <v>#REF!</v>
      </c>
      <c r="E148" s="2" t="e">
        <f>E5/'Output-Calculation-sheet'!E4*'Output-Calculation-sheet'!#REF!</f>
        <v>#REF!</v>
      </c>
      <c r="F148" s="2" t="e">
        <f>F5/'Output-Calculation-sheet'!F4*'Output-Calculation-sheet'!#REF!</f>
        <v>#REF!</v>
      </c>
      <c r="G148" s="2" t="e">
        <f>G5/'Output-Calculation-sheet'!G4*'Output-Calculation-sheet'!#REF!</f>
        <v>#REF!</v>
      </c>
      <c r="H148" s="2" t="e">
        <f>H5/'Output-Calculation-sheet'!H4*'Output-Calculation-sheet'!#REF!</f>
        <v>#REF!</v>
      </c>
      <c r="I148" s="2" t="e">
        <f>I5/'Output-Calculation-sheet'!I4*'Output-Calculation-sheet'!#REF!</f>
        <v>#REF!</v>
      </c>
      <c r="J148" s="2" t="e">
        <f>J5/'Output-Calculation-sheet'!J4*'Output-Calculation-sheet'!#REF!</f>
        <v>#REF!</v>
      </c>
      <c r="K148" s="2" t="e">
        <f>K5/'Output-Calculation-sheet'!K4*'Output-Calculation-sheet'!#REF!</f>
        <v>#REF!</v>
      </c>
      <c r="L148" s="2" t="e">
        <f>L5/'Output-Calculation-sheet'!L4*'Output-Calculation-sheet'!#REF!</f>
        <v>#REF!</v>
      </c>
      <c r="M148" s="2" t="e">
        <f>M5/'Output-Calculation-sheet'!M4*'Output-Calculation-sheet'!#REF!</f>
        <v>#REF!</v>
      </c>
      <c r="N148" s="2" t="e">
        <f>N5/'Output-Calculation-sheet'!N4*'Output-Calculation-sheet'!#REF!</f>
        <v>#REF!</v>
      </c>
      <c r="O148" s="2" t="e">
        <f>O5/'Output-Calculation-sheet'!O4*'Output-Calculation-sheet'!#REF!</f>
        <v>#REF!</v>
      </c>
      <c r="P148" s="2" t="e">
        <f>P5/'Output-Calculation-sheet'!P4*'Output-Calculation-sheet'!#REF!</f>
        <v>#REF!</v>
      </c>
      <c r="Q148" s="2" t="e">
        <f>Q5/'Output-Calculation-sheet'!Q4*'Output-Calculation-sheet'!#REF!</f>
        <v>#REF!</v>
      </c>
      <c r="R148" s="2" t="e">
        <f>R5/'Output-Calculation-sheet'!R4*'Output-Calculation-sheet'!#REF!</f>
        <v>#REF!</v>
      </c>
      <c r="S148" s="2" t="e">
        <f>S5/'Output-Calculation-sheet'!S4*'Output-Calculation-sheet'!#REF!</f>
        <v>#REF!</v>
      </c>
      <c r="T148" s="2" t="e">
        <f>T5/'Output-Calculation-sheet'!T4*'Output-Calculation-sheet'!#REF!</f>
        <v>#REF!</v>
      </c>
      <c r="U148" s="2" t="e">
        <f>U5/'Output-Calculation-sheet'!U4*'Output-Calculation-sheet'!#REF!</f>
        <v>#REF!</v>
      </c>
      <c r="V148" s="2" t="e">
        <f>V5/'Output-Calculation-sheet'!V4*'Output-Calculation-sheet'!#REF!</f>
        <v>#REF!</v>
      </c>
      <c r="W148" s="2" t="e">
        <f>W5/'Output-Calculation-sheet'!W4*'Output-Calculation-sheet'!#REF!</f>
        <v>#REF!</v>
      </c>
      <c r="X148" s="2" t="e">
        <f>X5/'Output-Calculation-sheet'!X4*'Output-Calculation-sheet'!#REF!</f>
        <v>#REF!</v>
      </c>
      <c r="Y148" s="2" t="e">
        <f>Y5/'Output-Calculation-sheet'!Y4*'Output-Calculation-sheet'!#REF!</f>
        <v>#REF!</v>
      </c>
      <c r="AA148" s="2" t="e">
        <f>SUM(B148:Y148)/10^6</f>
        <v>#REF!</v>
      </c>
    </row>
    <row r="149" spans="1:27" x14ac:dyDescent="0.25">
      <c r="A149" s="2">
        <v>2029</v>
      </c>
      <c r="B149" s="2" t="e">
        <f>B6/'Output-Calculation-sheet'!B5*'Output-Calculation-sheet'!#REF!</f>
        <v>#REF!</v>
      </c>
      <c r="C149" s="2" t="e">
        <f>C6/'Output-Calculation-sheet'!C5*'Output-Calculation-sheet'!#REF!</f>
        <v>#REF!</v>
      </c>
      <c r="D149" s="2" t="e">
        <f>D6/'Output-Calculation-sheet'!D5*'Output-Calculation-sheet'!#REF!</f>
        <v>#REF!</v>
      </c>
      <c r="E149" s="2" t="e">
        <f>E6/'Output-Calculation-sheet'!E5*'Output-Calculation-sheet'!#REF!</f>
        <v>#REF!</v>
      </c>
      <c r="F149" s="2" t="e">
        <f>F6/'Output-Calculation-sheet'!F5*'Output-Calculation-sheet'!#REF!</f>
        <v>#REF!</v>
      </c>
      <c r="G149" s="2" t="e">
        <f>G6/'Output-Calculation-sheet'!G5*'Output-Calculation-sheet'!#REF!</f>
        <v>#REF!</v>
      </c>
      <c r="H149" s="2" t="e">
        <f>H6/'Output-Calculation-sheet'!H5*'Output-Calculation-sheet'!#REF!</f>
        <v>#REF!</v>
      </c>
      <c r="I149" s="2" t="e">
        <f>I6/'Output-Calculation-sheet'!I5*'Output-Calculation-sheet'!#REF!</f>
        <v>#REF!</v>
      </c>
      <c r="J149" s="2" t="e">
        <f>J6/'Output-Calculation-sheet'!J5*'Output-Calculation-sheet'!#REF!</f>
        <v>#REF!</v>
      </c>
      <c r="K149" s="2" t="e">
        <f>K6/'Output-Calculation-sheet'!K5*'Output-Calculation-sheet'!#REF!</f>
        <v>#REF!</v>
      </c>
      <c r="L149" s="2" t="e">
        <f>L6/'Output-Calculation-sheet'!L5*'Output-Calculation-sheet'!#REF!</f>
        <v>#REF!</v>
      </c>
      <c r="M149" s="2" t="e">
        <f>M6/'Output-Calculation-sheet'!M5*'Output-Calculation-sheet'!#REF!</f>
        <v>#REF!</v>
      </c>
      <c r="N149" s="2" t="e">
        <f>N6/'Output-Calculation-sheet'!N5*'Output-Calculation-sheet'!#REF!</f>
        <v>#REF!</v>
      </c>
      <c r="O149" s="2" t="e">
        <f>O6/'Output-Calculation-sheet'!O5*'Output-Calculation-sheet'!#REF!</f>
        <v>#REF!</v>
      </c>
      <c r="P149" s="2" t="e">
        <f>P6/'Output-Calculation-sheet'!P5*'Output-Calculation-sheet'!#REF!</f>
        <v>#REF!</v>
      </c>
      <c r="Q149" s="2" t="e">
        <f>Q6/'Output-Calculation-sheet'!Q5*'Output-Calculation-sheet'!#REF!</f>
        <v>#REF!</v>
      </c>
      <c r="R149" s="2" t="e">
        <f>R6/'Output-Calculation-sheet'!R5*'Output-Calculation-sheet'!#REF!</f>
        <v>#REF!</v>
      </c>
      <c r="S149" s="2" t="e">
        <f>S6/'Output-Calculation-sheet'!S5*'Output-Calculation-sheet'!#REF!</f>
        <v>#REF!</v>
      </c>
      <c r="T149" s="2" t="e">
        <f>T6/'Output-Calculation-sheet'!T5*'Output-Calculation-sheet'!#REF!</f>
        <v>#REF!</v>
      </c>
      <c r="U149" s="2" t="e">
        <f>U6/'Output-Calculation-sheet'!U5*'Output-Calculation-sheet'!#REF!</f>
        <v>#REF!</v>
      </c>
      <c r="V149" s="2" t="e">
        <f>V6/'Output-Calculation-sheet'!V5*'Output-Calculation-sheet'!#REF!</f>
        <v>#REF!</v>
      </c>
      <c r="W149" s="2" t="e">
        <f>W6/'Output-Calculation-sheet'!W5*'Output-Calculation-sheet'!#REF!</f>
        <v>#REF!</v>
      </c>
      <c r="X149" s="2" t="e">
        <f>X6/'Output-Calculation-sheet'!X5*'Output-Calculation-sheet'!#REF!</f>
        <v>#REF!</v>
      </c>
      <c r="Y149" s="2" t="e">
        <f>Y6/'Output-Calculation-sheet'!Y5*'Output-Calculation-sheet'!#REF!</f>
        <v>#REF!</v>
      </c>
      <c r="AA149" s="2" t="e">
        <f t="shared" ref="AA149:AA155" si="12">SUM(B149:Y149)/10^6</f>
        <v>#REF!</v>
      </c>
    </row>
    <row r="150" spans="1:27" x14ac:dyDescent="0.25">
      <c r="A150" s="2">
        <v>2030</v>
      </c>
      <c r="B150" s="2" t="e">
        <f>B7/'Output-Calculation-sheet'!B6*'Output-Calculation-sheet'!#REF!</f>
        <v>#REF!</v>
      </c>
      <c r="C150" s="2" t="e">
        <f>C7/'Output-Calculation-sheet'!C6*'Output-Calculation-sheet'!#REF!</f>
        <v>#REF!</v>
      </c>
      <c r="D150" s="2" t="e">
        <f>D7/'Output-Calculation-sheet'!D6*'Output-Calculation-sheet'!#REF!</f>
        <v>#REF!</v>
      </c>
      <c r="E150" s="2" t="e">
        <f>E7/'Output-Calculation-sheet'!E6*'Output-Calculation-sheet'!#REF!</f>
        <v>#REF!</v>
      </c>
      <c r="F150" s="2" t="e">
        <f>F7/'Output-Calculation-sheet'!F6*'Output-Calculation-sheet'!#REF!</f>
        <v>#REF!</v>
      </c>
      <c r="G150" s="2" t="e">
        <f>G7/'Output-Calculation-sheet'!G6*'Output-Calculation-sheet'!#REF!</f>
        <v>#REF!</v>
      </c>
      <c r="H150" s="2" t="e">
        <f>H7/'Output-Calculation-sheet'!H6*'Output-Calculation-sheet'!#REF!</f>
        <v>#REF!</v>
      </c>
      <c r="I150" s="2" t="e">
        <f>I7/'Output-Calculation-sheet'!I6*'Output-Calculation-sheet'!#REF!</f>
        <v>#REF!</v>
      </c>
      <c r="J150" s="2" t="e">
        <f>J7/'Output-Calculation-sheet'!J6*'Output-Calculation-sheet'!#REF!</f>
        <v>#REF!</v>
      </c>
      <c r="K150" s="2" t="e">
        <f>K7/'Output-Calculation-sheet'!K6*'Output-Calculation-sheet'!#REF!</f>
        <v>#REF!</v>
      </c>
      <c r="L150" s="2" t="e">
        <f>L7/'Output-Calculation-sheet'!L6*'Output-Calculation-sheet'!#REF!</f>
        <v>#REF!</v>
      </c>
      <c r="M150" s="2" t="e">
        <f>M7/'Output-Calculation-sheet'!M6*'Output-Calculation-sheet'!#REF!</f>
        <v>#REF!</v>
      </c>
      <c r="N150" s="2" t="e">
        <f>N7/'Output-Calculation-sheet'!N6*'Output-Calculation-sheet'!#REF!</f>
        <v>#REF!</v>
      </c>
      <c r="O150" s="2" t="e">
        <f>O7/'Output-Calculation-sheet'!O6*'Output-Calculation-sheet'!#REF!</f>
        <v>#REF!</v>
      </c>
      <c r="P150" s="2" t="e">
        <f>P7/'Output-Calculation-sheet'!P6*'Output-Calculation-sheet'!#REF!</f>
        <v>#REF!</v>
      </c>
      <c r="Q150" s="2" t="e">
        <f>Q7/'Output-Calculation-sheet'!Q6*'Output-Calculation-sheet'!#REF!</f>
        <v>#REF!</v>
      </c>
      <c r="R150" s="2" t="e">
        <f>R7/'Output-Calculation-sheet'!R6*'Output-Calculation-sheet'!#REF!</f>
        <v>#REF!</v>
      </c>
      <c r="S150" s="2" t="e">
        <f>S7/'Output-Calculation-sheet'!S6*'Output-Calculation-sheet'!#REF!</f>
        <v>#REF!</v>
      </c>
      <c r="T150" s="2" t="e">
        <f>T7/'Output-Calculation-sheet'!T6*'Output-Calculation-sheet'!#REF!</f>
        <v>#REF!</v>
      </c>
      <c r="U150" s="2" t="e">
        <f>U7/'Output-Calculation-sheet'!U6*'Output-Calculation-sheet'!#REF!</f>
        <v>#REF!</v>
      </c>
      <c r="V150" s="2" t="e">
        <f>V7/'Output-Calculation-sheet'!V6*'Output-Calculation-sheet'!#REF!</f>
        <v>#REF!</v>
      </c>
      <c r="W150" s="2" t="e">
        <f>W7/'Output-Calculation-sheet'!W6*'Output-Calculation-sheet'!#REF!</f>
        <v>#REF!</v>
      </c>
      <c r="X150" s="2" t="e">
        <f>X7/'Output-Calculation-sheet'!X6*'Output-Calculation-sheet'!#REF!</f>
        <v>#REF!</v>
      </c>
      <c r="Y150" s="2" t="e">
        <f>Y7/'Output-Calculation-sheet'!Y6*'Output-Calculation-sheet'!#REF!</f>
        <v>#REF!</v>
      </c>
      <c r="AA150" s="2" t="e">
        <f t="shared" si="12"/>
        <v>#REF!</v>
      </c>
    </row>
    <row r="151" spans="1:27" x14ac:dyDescent="0.25">
      <c r="A151" s="2">
        <v>2031</v>
      </c>
      <c r="B151" s="2" t="e">
        <f>B8/'Output-Calculation-sheet'!B7*'Output-Calculation-sheet'!#REF!</f>
        <v>#REF!</v>
      </c>
      <c r="C151" s="2" t="e">
        <f>C8/'Output-Calculation-sheet'!C7*'Output-Calculation-sheet'!#REF!</f>
        <v>#REF!</v>
      </c>
      <c r="D151" s="2" t="e">
        <f>D8/'Output-Calculation-sheet'!D7*'Output-Calculation-sheet'!#REF!</f>
        <v>#REF!</v>
      </c>
      <c r="E151" s="2" t="e">
        <f>E8/'Output-Calculation-sheet'!E7*'Output-Calculation-sheet'!#REF!</f>
        <v>#REF!</v>
      </c>
      <c r="F151" s="2" t="e">
        <f>F8/'Output-Calculation-sheet'!F7*'Output-Calculation-sheet'!#REF!</f>
        <v>#REF!</v>
      </c>
      <c r="G151" s="2" t="e">
        <f>G8/'Output-Calculation-sheet'!G7*'Output-Calculation-sheet'!#REF!</f>
        <v>#REF!</v>
      </c>
      <c r="H151" s="2" t="e">
        <f>H8/'Output-Calculation-sheet'!H7*'Output-Calculation-sheet'!#REF!</f>
        <v>#REF!</v>
      </c>
      <c r="I151" s="2" t="e">
        <f>I8/'Output-Calculation-sheet'!I7*'Output-Calculation-sheet'!#REF!</f>
        <v>#REF!</v>
      </c>
      <c r="J151" s="2" t="e">
        <f>J8/'Output-Calculation-sheet'!J7*'Output-Calculation-sheet'!#REF!</f>
        <v>#REF!</v>
      </c>
      <c r="K151" s="2" t="e">
        <f>K8/'Output-Calculation-sheet'!K7*'Output-Calculation-sheet'!#REF!</f>
        <v>#REF!</v>
      </c>
      <c r="L151" s="2" t="e">
        <f>L8/'Output-Calculation-sheet'!L7*'Output-Calculation-sheet'!#REF!</f>
        <v>#REF!</v>
      </c>
      <c r="M151" s="2" t="e">
        <f>M8/'Output-Calculation-sheet'!M7*'Output-Calculation-sheet'!#REF!</f>
        <v>#REF!</v>
      </c>
      <c r="N151" s="2" t="e">
        <f>N8/'Output-Calculation-sheet'!N7*'Output-Calculation-sheet'!#REF!</f>
        <v>#REF!</v>
      </c>
      <c r="O151" s="2" t="e">
        <f>O8/'Output-Calculation-sheet'!O7*'Output-Calculation-sheet'!#REF!</f>
        <v>#REF!</v>
      </c>
      <c r="P151" s="2" t="e">
        <f>P8/'Output-Calculation-sheet'!P7*'Output-Calculation-sheet'!#REF!</f>
        <v>#REF!</v>
      </c>
      <c r="Q151" s="2" t="e">
        <f>Q8/'Output-Calculation-sheet'!Q7*'Output-Calculation-sheet'!#REF!</f>
        <v>#REF!</v>
      </c>
      <c r="R151" s="2" t="e">
        <f>R8/'Output-Calculation-sheet'!R7*'Output-Calculation-sheet'!#REF!</f>
        <v>#REF!</v>
      </c>
      <c r="S151" s="2" t="e">
        <f>S8/'Output-Calculation-sheet'!S7*'Output-Calculation-sheet'!#REF!</f>
        <v>#REF!</v>
      </c>
      <c r="T151" s="2" t="e">
        <f>T8/'Output-Calculation-sheet'!T7*'Output-Calculation-sheet'!#REF!</f>
        <v>#REF!</v>
      </c>
      <c r="U151" s="2" t="e">
        <f>U8/'Output-Calculation-sheet'!U7*'Output-Calculation-sheet'!#REF!</f>
        <v>#REF!</v>
      </c>
      <c r="V151" s="2" t="e">
        <f>V8/'Output-Calculation-sheet'!V7*'Output-Calculation-sheet'!#REF!</f>
        <v>#REF!</v>
      </c>
      <c r="W151" s="2" t="e">
        <f>W8/'Output-Calculation-sheet'!W7*'Output-Calculation-sheet'!#REF!</f>
        <v>#REF!</v>
      </c>
      <c r="X151" s="2" t="e">
        <f>X8/'Output-Calculation-sheet'!X7*'Output-Calculation-sheet'!#REF!</f>
        <v>#REF!</v>
      </c>
      <c r="Y151" s="2" t="e">
        <f>Y8/'Output-Calculation-sheet'!Y7*'Output-Calculation-sheet'!#REF!</f>
        <v>#REF!</v>
      </c>
      <c r="AA151" s="2" t="e">
        <f t="shared" si="12"/>
        <v>#REF!</v>
      </c>
    </row>
    <row r="152" spans="1:27" x14ac:dyDescent="0.25">
      <c r="A152" s="2">
        <v>2032</v>
      </c>
      <c r="B152" s="2" t="e">
        <f>B9/'Output-Calculation-sheet'!B8*'Output-Calculation-sheet'!#REF!</f>
        <v>#REF!</v>
      </c>
      <c r="C152" s="2" t="e">
        <f>C9/'Output-Calculation-sheet'!C8*'Output-Calculation-sheet'!#REF!</f>
        <v>#REF!</v>
      </c>
      <c r="D152" s="2" t="e">
        <f>D9/'Output-Calculation-sheet'!D8*'Output-Calculation-sheet'!#REF!</f>
        <v>#REF!</v>
      </c>
      <c r="E152" s="2" t="e">
        <f>E9/'Output-Calculation-sheet'!E8*'Output-Calculation-sheet'!#REF!</f>
        <v>#REF!</v>
      </c>
      <c r="F152" s="2" t="e">
        <f>F9/'Output-Calculation-sheet'!F8*'Output-Calculation-sheet'!#REF!</f>
        <v>#REF!</v>
      </c>
      <c r="G152" s="2" t="e">
        <f>G9/'Output-Calculation-sheet'!G8*'Output-Calculation-sheet'!#REF!</f>
        <v>#REF!</v>
      </c>
      <c r="H152" s="2" t="e">
        <f>H9/'Output-Calculation-sheet'!H8*'Output-Calculation-sheet'!#REF!</f>
        <v>#REF!</v>
      </c>
      <c r="I152" s="2" t="e">
        <f>I9/'Output-Calculation-sheet'!I8*'Output-Calculation-sheet'!#REF!</f>
        <v>#REF!</v>
      </c>
      <c r="J152" s="2" t="e">
        <f>J9/'Output-Calculation-sheet'!J8*'Output-Calculation-sheet'!#REF!</f>
        <v>#REF!</v>
      </c>
      <c r="K152" s="2" t="e">
        <f>K9/'Output-Calculation-sheet'!K8*'Output-Calculation-sheet'!#REF!</f>
        <v>#REF!</v>
      </c>
      <c r="L152" s="2" t="e">
        <f>L9/'Output-Calculation-sheet'!L8*'Output-Calculation-sheet'!#REF!</f>
        <v>#REF!</v>
      </c>
      <c r="M152" s="2" t="e">
        <f>M9/'Output-Calculation-sheet'!M8*'Output-Calculation-sheet'!#REF!</f>
        <v>#REF!</v>
      </c>
      <c r="N152" s="2" t="e">
        <f>N9/'Output-Calculation-sheet'!N8*'Output-Calculation-sheet'!#REF!</f>
        <v>#REF!</v>
      </c>
      <c r="O152" s="2" t="e">
        <f>O9/'Output-Calculation-sheet'!O8*'Output-Calculation-sheet'!#REF!</f>
        <v>#REF!</v>
      </c>
      <c r="P152" s="2" t="e">
        <f>P9/'Output-Calculation-sheet'!P8*'Output-Calculation-sheet'!#REF!</f>
        <v>#REF!</v>
      </c>
      <c r="Q152" s="2" t="e">
        <f>Q9/'Output-Calculation-sheet'!Q8*'Output-Calculation-sheet'!#REF!</f>
        <v>#REF!</v>
      </c>
      <c r="R152" s="2" t="e">
        <f>R9/'Output-Calculation-sheet'!R8*'Output-Calculation-sheet'!#REF!</f>
        <v>#REF!</v>
      </c>
      <c r="S152" s="2" t="e">
        <f>S9/'Output-Calculation-sheet'!S8*'Output-Calculation-sheet'!#REF!</f>
        <v>#REF!</v>
      </c>
      <c r="T152" s="2" t="e">
        <f>T9/'Output-Calculation-sheet'!T8*'Output-Calculation-sheet'!#REF!</f>
        <v>#REF!</v>
      </c>
      <c r="U152" s="2" t="e">
        <f>U9/'Output-Calculation-sheet'!U8*'Output-Calculation-sheet'!#REF!</f>
        <v>#REF!</v>
      </c>
      <c r="V152" s="2" t="e">
        <f>V9/'Output-Calculation-sheet'!V8*'Output-Calculation-sheet'!#REF!</f>
        <v>#REF!</v>
      </c>
      <c r="W152" s="2" t="e">
        <f>W9/'Output-Calculation-sheet'!W8*'Output-Calculation-sheet'!#REF!</f>
        <v>#REF!</v>
      </c>
      <c r="X152" s="2" t="e">
        <f>X9/'Output-Calculation-sheet'!X8*'Output-Calculation-sheet'!#REF!</f>
        <v>#REF!</v>
      </c>
      <c r="Y152" s="2" t="e">
        <f>Y9/'Output-Calculation-sheet'!Y8*'Output-Calculation-sheet'!#REF!</f>
        <v>#REF!</v>
      </c>
      <c r="AA152" s="2" t="e">
        <f t="shared" si="12"/>
        <v>#REF!</v>
      </c>
    </row>
    <row r="153" spans="1:27" x14ac:dyDescent="0.25">
      <c r="A153" s="2">
        <v>2033</v>
      </c>
      <c r="B153" s="2" t="e">
        <f>B10/'Output-Calculation-sheet'!B9*'Output-Calculation-sheet'!#REF!</f>
        <v>#REF!</v>
      </c>
      <c r="C153" s="2" t="e">
        <f>C10/'Output-Calculation-sheet'!C9*'Output-Calculation-sheet'!#REF!</f>
        <v>#REF!</v>
      </c>
      <c r="D153" s="2" t="e">
        <f>D10/'Output-Calculation-sheet'!D9*'Output-Calculation-sheet'!#REF!</f>
        <v>#REF!</v>
      </c>
      <c r="E153" s="2" t="e">
        <f>E10/'Output-Calculation-sheet'!E9*'Output-Calculation-sheet'!#REF!</f>
        <v>#REF!</v>
      </c>
      <c r="F153" s="2" t="e">
        <f>F10/'Output-Calculation-sheet'!F9*'Output-Calculation-sheet'!#REF!</f>
        <v>#REF!</v>
      </c>
      <c r="G153" s="2" t="e">
        <f>G10/'Output-Calculation-sheet'!G9*'Output-Calculation-sheet'!#REF!</f>
        <v>#REF!</v>
      </c>
      <c r="H153" s="2" t="e">
        <f>H10/'Output-Calculation-sheet'!H9*'Output-Calculation-sheet'!#REF!</f>
        <v>#REF!</v>
      </c>
      <c r="I153" s="2" t="e">
        <f>I10/'Output-Calculation-sheet'!I9*'Output-Calculation-sheet'!#REF!</f>
        <v>#REF!</v>
      </c>
      <c r="J153" s="2" t="e">
        <f>J10/'Output-Calculation-sheet'!J9*'Output-Calculation-sheet'!#REF!</f>
        <v>#REF!</v>
      </c>
      <c r="K153" s="2" t="e">
        <f>K10/'Output-Calculation-sheet'!K9*'Output-Calculation-sheet'!#REF!</f>
        <v>#REF!</v>
      </c>
      <c r="L153" s="2" t="e">
        <f>L10/'Output-Calculation-sheet'!L9*'Output-Calculation-sheet'!#REF!</f>
        <v>#REF!</v>
      </c>
      <c r="M153" s="2" t="e">
        <f>M10/'Output-Calculation-sheet'!M9*'Output-Calculation-sheet'!#REF!</f>
        <v>#REF!</v>
      </c>
      <c r="N153" s="2" t="e">
        <f>N10/'Output-Calculation-sheet'!N9*'Output-Calculation-sheet'!#REF!</f>
        <v>#REF!</v>
      </c>
      <c r="O153" s="2" t="e">
        <f>O10/'Output-Calculation-sheet'!O9*'Output-Calculation-sheet'!#REF!</f>
        <v>#REF!</v>
      </c>
      <c r="P153" s="2" t="e">
        <f>P10/'Output-Calculation-sheet'!P9*'Output-Calculation-sheet'!#REF!</f>
        <v>#REF!</v>
      </c>
      <c r="Q153" s="2" t="e">
        <f>Q10/'Output-Calculation-sheet'!Q9*'Output-Calculation-sheet'!#REF!</f>
        <v>#REF!</v>
      </c>
      <c r="R153" s="2" t="e">
        <f>R10/'Output-Calculation-sheet'!R9*'Output-Calculation-sheet'!#REF!</f>
        <v>#REF!</v>
      </c>
      <c r="S153" s="2" t="e">
        <f>S10/'Output-Calculation-sheet'!S9*'Output-Calculation-sheet'!#REF!</f>
        <v>#REF!</v>
      </c>
      <c r="T153" s="2" t="e">
        <f>T10/'Output-Calculation-sheet'!T9*'Output-Calculation-sheet'!#REF!</f>
        <v>#REF!</v>
      </c>
      <c r="U153" s="2" t="e">
        <f>U10/'Output-Calculation-sheet'!U9*'Output-Calculation-sheet'!#REF!</f>
        <v>#REF!</v>
      </c>
      <c r="V153" s="2" t="e">
        <f>V10/'Output-Calculation-sheet'!V9*'Output-Calculation-sheet'!#REF!</f>
        <v>#REF!</v>
      </c>
      <c r="W153" s="2" t="e">
        <f>W10/'Output-Calculation-sheet'!W9*'Output-Calculation-sheet'!#REF!</f>
        <v>#REF!</v>
      </c>
      <c r="X153" s="2" t="e">
        <f>X10/'Output-Calculation-sheet'!X9*'Output-Calculation-sheet'!#REF!</f>
        <v>#REF!</v>
      </c>
      <c r="Y153" s="2" t="e">
        <f>Y10/'Output-Calculation-sheet'!Y9*'Output-Calculation-sheet'!#REF!</f>
        <v>#REF!</v>
      </c>
      <c r="AA153" s="2" t="e">
        <f t="shared" si="12"/>
        <v>#REF!</v>
      </c>
    </row>
    <row r="154" spans="1:27" x14ac:dyDescent="0.25">
      <c r="A154" s="2">
        <v>2034</v>
      </c>
      <c r="B154" s="2" t="e">
        <f>B11/'Output-Calculation-sheet'!B10*'Output-Calculation-sheet'!#REF!</f>
        <v>#REF!</v>
      </c>
      <c r="C154" s="2" t="e">
        <f>C11/'Output-Calculation-sheet'!C10*'Output-Calculation-sheet'!#REF!</f>
        <v>#REF!</v>
      </c>
      <c r="D154" s="2" t="e">
        <f>D11/'Output-Calculation-sheet'!D10*'Output-Calculation-sheet'!#REF!</f>
        <v>#REF!</v>
      </c>
      <c r="E154" s="2" t="e">
        <f>E11/'Output-Calculation-sheet'!E10*'Output-Calculation-sheet'!#REF!</f>
        <v>#REF!</v>
      </c>
      <c r="F154" s="2" t="e">
        <f>F11/'Output-Calculation-sheet'!F10*'Output-Calculation-sheet'!#REF!</f>
        <v>#REF!</v>
      </c>
      <c r="G154" s="2" t="e">
        <f>G11/'Output-Calculation-sheet'!G10*'Output-Calculation-sheet'!#REF!</f>
        <v>#REF!</v>
      </c>
      <c r="H154" s="2" t="e">
        <f>H11/'Output-Calculation-sheet'!H10*'Output-Calculation-sheet'!#REF!</f>
        <v>#REF!</v>
      </c>
      <c r="I154" s="2" t="e">
        <f>I11/'Output-Calculation-sheet'!I10*'Output-Calculation-sheet'!#REF!</f>
        <v>#REF!</v>
      </c>
      <c r="J154" s="2" t="e">
        <f>J11/'Output-Calculation-sheet'!J10*'Output-Calculation-sheet'!#REF!</f>
        <v>#REF!</v>
      </c>
      <c r="K154" s="2" t="e">
        <f>K11/'Output-Calculation-sheet'!K10*'Output-Calculation-sheet'!#REF!</f>
        <v>#REF!</v>
      </c>
      <c r="L154" s="2" t="e">
        <f>L11/'Output-Calculation-sheet'!L10*'Output-Calculation-sheet'!#REF!</f>
        <v>#REF!</v>
      </c>
      <c r="M154" s="2" t="e">
        <f>M11/'Output-Calculation-sheet'!M10*'Output-Calculation-sheet'!#REF!</f>
        <v>#REF!</v>
      </c>
      <c r="N154" s="2" t="e">
        <f>N11/'Output-Calculation-sheet'!N10*'Output-Calculation-sheet'!#REF!</f>
        <v>#REF!</v>
      </c>
      <c r="O154" s="2" t="e">
        <f>O11/'Output-Calculation-sheet'!O10*'Output-Calculation-sheet'!#REF!</f>
        <v>#REF!</v>
      </c>
      <c r="P154" s="2" t="e">
        <f>P11/'Output-Calculation-sheet'!P10*'Output-Calculation-sheet'!#REF!</f>
        <v>#REF!</v>
      </c>
      <c r="Q154" s="2" t="e">
        <f>Q11/'Output-Calculation-sheet'!Q10*'Output-Calculation-sheet'!#REF!</f>
        <v>#REF!</v>
      </c>
      <c r="R154" s="2" t="e">
        <f>R11/'Output-Calculation-sheet'!R10*'Output-Calculation-sheet'!#REF!</f>
        <v>#REF!</v>
      </c>
      <c r="S154" s="2" t="e">
        <f>S11/'Output-Calculation-sheet'!S10*'Output-Calculation-sheet'!#REF!</f>
        <v>#REF!</v>
      </c>
      <c r="T154" s="2" t="e">
        <f>T11/'Output-Calculation-sheet'!T10*'Output-Calculation-sheet'!#REF!</f>
        <v>#REF!</v>
      </c>
      <c r="U154" s="2" t="e">
        <f>U11/'Output-Calculation-sheet'!U10*'Output-Calculation-sheet'!#REF!</f>
        <v>#REF!</v>
      </c>
      <c r="V154" s="2" t="e">
        <f>V11/'Output-Calculation-sheet'!V10*'Output-Calculation-sheet'!#REF!</f>
        <v>#REF!</v>
      </c>
      <c r="W154" s="2" t="e">
        <f>W11/'Output-Calculation-sheet'!W10*'Output-Calculation-sheet'!#REF!</f>
        <v>#REF!</v>
      </c>
      <c r="X154" s="2" t="e">
        <f>X11/'Output-Calculation-sheet'!X10*'Output-Calculation-sheet'!#REF!</f>
        <v>#REF!</v>
      </c>
      <c r="Y154" s="2" t="e">
        <f>Y11/'Output-Calculation-sheet'!Y10*'Output-Calculation-sheet'!#REF!</f>
        <v>#REF!</v>
      </c>
      <c r="AA154" s="2" t="e">
        <f t="shared" si="12"/>
        <v>#REF!</v>
      </c>
    </row>
    <row r="155" spans="1:27" x14ac:dyDescent="0.25">
      <c r="A155" s="2">
        <v>2035</v>
      </c>
      <c r="B155" s="2" t="e">
        <f>B12/'Output-Calculation-sheet'!B11*'Output-Calculation-sheet'!#REF!</f>
        <v>#REF!</v>
      </c>
      <c r="C155" s="2" t="e">
        <f>C12/'Output-Calculation-sheet'!C11*'Output-Calculation-sheet'!#REF!</f>
        <v>#REF!</v>
      </c>
      <c r="D155" s="2" t="e">
        <f>D12/'Output-Calculation-sheet'!D11*'Output-Calculation-sheet'!#REF!</f>
        <v>#REF!</v>
      </c>
      <c r="E155" s="2" t="e">
        <f>E12/'Output-Calculation-sheet'!E11*'Output-Calculation-sheet'!#REF!</f>
        <v>#REF!</v>
      </c>
      <c r="F155" s="2" t="e">
        <f>F12/'Output-Calculation-sheet'!F11*'Output-Calculation-sheet'!#REF!</f>
        <v>#REF!</v>
      </c>
      <c r="G155" s="2" t="e">
        <f>G12/'Output-Calculation-sheet'!G11*'Output-Calculation-sheet'!#REF!</f>
        <v>#REF!</v>
      </c>
      <c r="H155" s="2" t="e">
        <f>H12/'Output-Calculation-sheet'!H11*'Output-Calculation-sheet'!#REF!</f>
        <v>#REF!</v>
      </c>
      <c r="I155" s="2" t="e">
        <f>I12/'Output-Calculation-sheet'!I11*'Output-Calculation-sheet'!#REF!</f>
        <v>#REF!</v>
      </c>
      <c r="J155" s="2" t="e">
        <f>J12/'Output-Calculation-sheet'!J11*'Output-Calculation-sheet'!#REF!</f>
        <v>#REF!</v>
      </c>
      <c r="K155" s="2" t="e">
        <f>K12/'Output-Calculation-sheet'!K11*'Output-Calculation-sheet'!#REF!</f>
        <v>#REF!</v>
      </c>
      <c r="L155" s="2" t="e">
        <f>L12/'Output-Calculation-sheet'!L11*'Output-Calculation-sheet'!#REF!</f>
        <v>#REF!</v>
      </c>
      <c r="M155" s="2" t="e">
        <f>M12/'Output-Calculation-sheet'!M11*'Output-Calculation-sheet'!#REF!</f>
        <v>#REF!</v>
      </c>
      <c r="N155" s="2" t="e">
        <f>N12/'Output-Calculation-sheet'!N11*'Output-Calculation-sheet'!#REF!</f>
        <v>#REF!</v>
      </c>
      <c r="O155" s="2" t="e">
        <f>O12/'Output-Calculation-sheet'!O11*'Output-Calculation-sheet'!#REF!</f>
        <v>#REF!</v>
      </c>
      <c r="P155" s="2" t="e">
        <f>P12/'Output-Calculation-sheet'!P11*'Output-Calculation-sheet'!#REF!</f>
        <v>#REF!</v>
      </c>
      <c r="Q155" s="2" t="e">
        <f>Q12/'Output-Calculation-sheet'!Q11*'Output-Calculation-sheet'!#REF!</f>
        <v>#REF!</v>
      </c>
      <c r="R155" s="2" t="e">
        <f>R12/'Output-Calculation-sheet'!R11*'Output-Calculation-sheet'!#REF!</f>
        <v>#REF!</v>
      </c>
      <c r="S155" s="2" t="e">
        <f>S12/'Output-Calculation-sheet'!S11*'Output-Calculation-sheet'!#REF!</f>
        <v>#REF!</v>
      </c>
      <c r="T155" s="2" t="e">
        <f>T12/'Output-Calculation-sheet'!T11*'Output-Calculation-sheet'!#REF!</f>
        <v>#REF!</v>
      </c>
      <c r="U155" s="2" t="e">
        <f>U12/'Output-Calculation-sheet'!U11*'Output-Calculation-sheet'!#REF!</f>
        <v>#REF!</v>
      </c>
      <c r="V155" s="2" t="e">
        <f>V12/'Output-Calculation-sheet'!V11*'Output-Calculation-sheet'!#REF!</f>
        <v>#REF!</v>
      </c>
      <c r="W155" s="2" t="e">
        <f>W12/'Output-Calculation-sheet'!W11*'Output-Calculation-sheet'!#REF!</f>
        <v>#REF!</v>
      </c>
      <c r="X155" s="2" t="e">
        <f>X12/'Output-Calculation-sheet'!X11*'Output-Calculation-sheet'!#REF!</f>
        <v>#REF!</v>
      </c>
      <c r="Y155" s="2" t="e">
        <f>Y12/'Output-Calculation-sheet'!Y11*'Output-Calculation-sheet'!#REF!</f>
        <v>#REF!</v>
      </c>
      <c r="AA155" s="2" t="e">
        <f t="shared" si="12"/>
        <v>#REF!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Low</vt:lpstr>
      <vt:lpstr>Peak 2035-Fast-Medium</vt:lpstr>
      <vt:lpstr>Peak 2035-Nominal-Medium</vt:lpstr>
      <vt:lpstr>Peak 2035-No Change-Medium</vt:lpstr>
      <vt:lpstr>Peak 2033-Fast-Medium</vt:lpstr>
      <vt:lpstr>Peak 2033-Nominal-Medium</vt:lpstr>
      <vt:lpstr>Peak 2033-No Change-Medium</vt:lpstr>
      <vt:lpstr>Peak 2031-Fast-Medium</vt:lpstr>
      <vt:lpstr>Peak 2031-Nominal-Medium</vt:lpstr>
      <vt:lpstr>Peak 2031-No Change-Medium</vt:lpstr>
      <vt:lpstr>Peak 2035-Fast-High</vt:lpstr>
      <vt:lpstr>Peak 2035-Nominal-High</vt:lpstr>
      <vt:lpstr>Peak 2035-No Change-High</vt:lpstr>
      <vt:lpstr>Peak 2033-Fast-High</vt:lpstr>
      <vt:lpstr>Peak 2033-Nominal-High</vt:lpstr>
      <vt:lpstr>Peak 2033-No Change-High</vt:lpstr>
      <vt:lpstr>Peak 2031-Fast-High</vt:lpstr>
      <vt:lpstr>Peak 2031-Nominal-High</vt:lpstr>
      <vt:lpstr>Peak 2031-No Change-High</vt:lpstr>
      <vt:lpstr>Output-Calculation-sheet</vt:lpstr>
      <vt:lpstr>Rough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2026-03-02T20:29:33Z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