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poorv\Desktop\US AI Project\Sensitivity\Electricity Prices\PPA Prices\Without Nuclear-CC\Without Nuclear-NCC\SSP2-45\"/>
    </mc:Choice>
  </mc:AlternateContent>
  <xr:revisionPtr revIDLastSave="0" documentId="13_ncr:1_{78F5032F-49B4-41F3-A81F-0A3A39FDB83B}" xr6:coauthVersionLast="47" xr6:coauthVersionMax="47" xr10:uidLastSave="{00000000-0000-0000-0000-000000000000}"/>
  <bookViews>
    <workbookView xWindow="-120" yWindow="-120" windowWidth="29040" windowHeight="15720" firstSheet="16" activeTab="19" xr2:uid="{00000000-000D-0000-FFFF-FFFF00000000}"/>
  </bookViews>
  <sheets>
    <sheet name="Low" sheetId="14" r:id="rId1"/>
    <sheet name="Peak 2035-Fast-Medium" sheetId="15" r:id="rId2"/>
    <sheet name="Peak 2035-Nominal-Medium" sheetId="16" r:id="rId3"/>
    <sheet name="Peak 2035-No Change-Medium" sheetId="17" r:id="rId4"/>
    <sheet name="Peak 2033-Fast-Medium" sheetId="18" r:id="rId5"/>
    <sheet name="Peak 2033-Nominal-Medium" sheetId="19" r:id="rId6"/>
    <sheet name="Peak 2033-No Change-Medium" sheetId="20" r:id="rId7"/>
    <sheet name="Peak 2031-Fast-Medium" sheetId="21" r:id="rId8"/>
    <sheet name="Peak 2031-Nominal-Medium" sheetId="22" r:id="rId9"/>
    <sheet name="Peak 2031-No Change-Medium" sheetId="23" r:id="rId10"/>
    <sheet name="Peak 2035-Fast-High" sheetId="24" r:id="rId11"/>
    <sheet name="Peak 2035-Nominal-High" sheetId="25" r:id="rId12"/>
    <sheet name="Peak 2035-No Change-High" sheetId="26" r:id="rId13"/>
    <sheet name="Peak 2033-Fast-High" sheetId="27" r:id="rId14"/>
    <sheet name="Peak 2033-Nominal-High" sheetId="28" r:id="rId15"/>
    <sheet name="Peak 2033-No Change-High" sheetId="29" r:id="rId16"/>
    <sheet name="Peak 2031-Fast-High" sheetId="30" r:id="rId17"/>
    <sheet name="Peak 2031-Nominal-High" sheetId="31" r:id="rId18"/>
    <sheet name="Peak 2031-No Change-High" sheetId="32" r:id="rId19"/>
    <sheet name="Output-Calculation-sheet" sheetId="3" r:id="rId20"/>
    <sheet name="Rough" sheetId="4" r:id="rId21"/>
    <sheet name="Template" sheetId="12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4" l="1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Y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Y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Y100" i="32"/>
  <c r="X100" i="32"/>
  <c r="W100" i="32"/>
  <c r="V100" i="32"/>
  <c r="U100" i="32"/>
  <c r="T100" i="32"/>
  <c r="S100" i="32"/>
  <c r="R100" i="32"/>
  <c r="Q100" i="32"/>
  <c r="P100" i="32"/>
  <c r="O100" i="32"/>
  <c r="N100" i="32"/>
  <c r="M100" i="32"/>
  <c r="L100" i="32"/>
  <c r="K100" i="32"/>
  <c r="J100" i="32"/>
  <c r="I100" i="32"/>
  <c r="H100" i="32"/>
  <c r="G100" i="32"/>
  <c r="F100" i="32"/>
  <c r="E100" i="32"/>
  <c r="D100" i="32"/>
  <c r="C100" i="32"/>
  <c r="B100" i="32"/>
  <c r="Y99" i="32"/>
  <c r="X99" i="32"/>
  <c r="W99" i="32"/>
  <c r="V99" i="32"/>
  <c r="U99" i="32"/>
  <c r="T99" i="32"/>
  <c r="S99" i="32"/>
  <c r="R99" i="32"/>
  <c r="Q99" i="32"/>
  <c r="P99" i="32"/>
  <c r="O99" i="32"/>
  <c r="N99" i="32"/>
  <c r="M99" i="32"/>
  <c r="L99" i="32"/>
  <c r="K99" i="32"/>
  <c r="J99" i="32"/>
  <c r="I99" i="32"/>
  <c r="H99" i="32"/>
  <c r="G99" i="32"/>
  <c r="F99" i="32"/>
  <c r="E99" i="32"/>
  <c r="D99" i="32"/>
  <c r="C99" i="32"/>
  <c r="B99" i="32"/>
  <c r="Y98" i="32"/>
  <c r="X98" i="32"/>
  <c r="W98" i="32"/>
  <c r="V98" i="32"/>
  <c r="U98" i="32"/>
  <c r="T98" i="32"/>
  <c r="S98" i="32"/>
  <c r="R98" i="32"/>
  <c r="Q98" i="32"/>
  <c r="P98" i="32"/>
  <c r="O98" i="32"/>
  <c r="N98" i="32"/>
  <c r="M98" i="32"/>
  <c r="L98" i="32"/>
  <c r="K98" i="32"/>
  <c r="J98" i="32"/>
  <c r="I98" i="32"/>
  <c r="H98" i="32"/>
  <c r="G98" i="32"/>
  <c r="F98" i="32"/>
  <c r="E98" i="32"/>
  <c r="D98" i="32"/>
  <c r="C98" i="32"/>
  <c r="B98" i="32"/>
  <c r="Y97" i="32"/>
  <c r="X97" i="32"/>
  <c r="W97" i="32"/>
  <c r="V97" i="32"/>
  <c r="U97" i="32"/>
  <c r="T97" i="32"/>
  <c r="S97" i="32"/>
  <c r="R97" i="32"/>
  <c r="Q97" i="32"/>
  <c r="P97" i="32"/>
  <c r="O97" i="32"/>
  <c r="N97" i="32"/>
  <c r="M97" i="32"/>
  <c r="L97" i="32"/>
  <c r="K97" i="32"/>
  <c r="J97" i="32"/>
  <c r="I97" i="32"/>
  <c r="H97" i="32"/>
  <c r="G97" i="32"/>
  <c r="F97" i="32"/>
  <c r="E97" i="32"/>
  <c r="D97" i="32"/>
  <c r="C97" i="32"/>
  <c r="B97" i="32"/>
  <c r="Y96" i="32"/>
  <c r="X96" i="32"/>
  <c r="W96" i="32"/>
  <c r="V96" i="32"/>
  <c r="U96" i="32"/>
  <c r="T96" i="32"/>
  <c r="S96" i="32"/>
  <c r="R96" i="32"/>
  <c r="Q96" i="32"/>
  <c r="P96" i="32"/>
  <c r="O96" i="32"/>
  <c r="N96" i="32"/>
  <c r="M96" i="32"/>
  <c r="L96" i="32"/>
  <c r="K96" i="32"/>
  <c r="J96" i="32"/>
  <c r="I96" i="32"/>
  <c r="H96" i="32"/>
  <c r="G96" i="32"/>
  <c r="F96" i="32"/>
  <c r="E96" i="32"/>
  <c r="D96" i="32"/>
  <c r="C96" i="32"/>
  <c r="B96" i="32"/>
  <c r="Y95" i="32"/>
  <c r="X95" i="32"/>
  <c r="W95" i="32"/>
  <c r="V95" i="32"/>
  <c r="U95" i="32"/>
  <c r="T95" i="32"/>
  <c r="S95" i="32"/>
  <c r="R95" i="32"/>
  <c r="Q95" i="32"/>
  <c r="P95" i="32"/>
  <c r="O95" i="32"/>
  <c r="N95" i="32"/>
  <c r="M95" i="32"/>
  <c r="L95" i="32"/>
  <c r="K95" i="32"/>
  <c r="J95" i="32"/>
  <c r="I95" i="32"/>
  <c r="H95" i="32"/>
  <c r="G95" i="32"/>
  <c r="F95" i="32"/>
  <c r="E95" i="32"/>
  <c r="D95" i="32"/>
  <c r="C95" i="32"/>
  <c r="B95" i="32"/>
  <c r="Y94" i="32"/>
  <c r="X94" i="32"/>
  <c r="W94" i="32"/>
  <c r="V94" i="32"/>
  <c r="U94" i="32"/>
  <c r="T94" i="32"/>
  <c r="S94" i="32"/>
  <c r="R94" i="32"/>
  <c r="Q94" i="32"/>
  <c r="P94" i="32"/>
  <c r="O94" i="32"/>
  <c r="N94" i="32"/>
  <c r="M94" i="32"/>
  <c r="L94" i="32"/>
  <c r="K94" i="32"/>
  <c r="J94" i="32"/>
  <c r="I94" i="32"/>
  <c r="H94" i="32"/>
  <c r="G94" i="32"/>
  <c r="F94" i="32"/>
  <c r="E94" i="32"/>
  <c r="D94" i="32"/>
  <c r="C94" i="32"/>
  <c r="B94" i="32"/>
  <c r="Y93" i="32"/>
  <c r="X93" i="32"/>
  <c r="W93" i="32"/>
  <c r="V93" i="32"/>
  <c r="U93" i="32"/>
  <c r="T93" i="32"/>
  <c r="S93" i="32"/>
  <c r="R93" i="32"/>
  <c r="Q93" i="32"/>
  <c r="P93" i="32"/>
  <c r="O93" i="32"/>
  <c r="N93" i="32"/>
  <c r="M93" i="32"/>
  <c r="L93" i="32"/>
  <c r="K93" i="32"/>
  <c r="J93" i="32"/>
  <c r="I93" i="32"/>
  <c r="H93" i="32"/>
  <c r="G93" i="32"/>
  <c r="F93" i="32"/>
  <c r="E93" i="32"/>
  <c r="D93" i="32"/>
  <c r="C93" i="32"/>
  <c r="B93" i="32"/>
  <c r="Y89" i="32"/>
  <c r="X89" i="32"/>
  <c r="W89" i="32"/>
  <c r="V89" i="32"/>
  <c r="U89" i="32"/>
  <c r="T89" i="32"/>
  <c r="S89" i="32"/>
  <c r="R89" i="32"/>
  <c r="Q89" i="32"/>
  <c r="P89" i="32"/>
  <c r="O89" i="32"/>
  <c r="N89" i="32"/>
  <c r="M89" i="32"/>
  <c r="L89" i="32"/>
  <c r="K89" i="32"/>
  <c r="J89" i="32"/>
  <c r="I89" i="32"/>
  <c r="H89" i="32"/>
  <c r="G89" i="32"/>
  <c r="F89" i="32"/>
  <c r="E89" i="32"/>
  <c r="D89" i="32"/>
  <c r="C89" i="32"/>
  <c r="B89" i="32"/>
  <c r="Y88" i="32"/>
  <c r="X88" i="32"/>
  <c r="W88" i="32"/>
  <c r="V88" i="32"/>
  <c r="U88" i="32"/>
  <c r="T88" i="32"/>
  <c r="S88" i="32"/>
  <c r="R88" i="32"/>
  <c r="Q88" i="32"/>
  <c r="P88" i="32"/>
  <c r="O88" i="32"/>
  <c r="N88" i="32"/>
  <c r="M88" i="32"/>
  <c r="L88" i="32"/>
  <c r="K88" i="32"/>
  <c r="J88" i="32"/>
  <c r="I88" i="32"/>
  <c r="H88" i="32"/>
  <c r="G88" i="32"/>
  <c r="F88" i="32"/>
  <c r="E88" i="32"/>
  <c r="D88" i="32"/>
  <c r="C88" i="32"/>
  <c r="B88" i="32"/>
  <c r="Y87" i="32"/>
  <c r="X87" i="32"/>
  <c r="W87" i="32"/>
  <c r="V87" i="32"/>
  <c r="U87" i="32"/>
  <c r="T87" i="32"/>
  <c r="S87" i="32"/>
  <c r="R87" i="32"/>
  <c r="Q87" i="32"/>
  <c r="P87" i="32"/>
  <c r="O87" i="32"/>
  <c r="N87" i="32"/>
  <c r="M87" i="32"/>
  <c r="L87" i="32"/>
  <c r="K87" i="32"/>
  <c r="J87" i="32"/>
  <c r="I87" i="32"/>
  <c r="H87" i="32"/>
  <c r="G87" i="32"/>
  <c r="F87" i="32"/>
  <c r="E87" i="32"/>
  <c r="D87" i="32"/>
  <c r="C87" i="32"/>
  <c r="B87" i="32"/>
  <c r="Y86" i="32"/>
  <c r="X86" i="32"/>
  <c r="W86" i="32"/>
  <c r="V86" i="32"/>
  <c r="U86" i="32"/>
  <c r="T86" i="32"/>
  <c r="S86" i="32"/>
  <c r="R86" i="32"/>
  <c r="Q86" i="32"/>
  <c r="P86" i="32"/>
  <c r="O86" i="32"/>
  <c r="N86" i="32"/>
  <c r="M86" i="32"/>
  <c r="L86" i="32"/>
  <c r="K86" i="32"/>
  <c r="J86" i="32"/>
  <c r="I86" i="32"/>
  <c r="H86" i="32"/>
  <c r="G86" i="32"/>
  <c r="F86" i="32"/>
  <c r="E86" i="32"/>
  <c r="D86" i="32"/>
  <c r="C86" i="32"/>
  <c r="B86" i="32"/>
  <c r="Y85" i="32"/>
  <c r="X85" i="32"/>
  <c r="W85" i="32"/>
  <c r="V85" i="32"/>
  <c r="U85" i="32"/>
  <c r="T85" i="32"/>
  <c r="S85" i="32"/>
  <c r="R85" i="32"/>
  <c r="Q85" i="32"/>
  <c r="P85" i="32"/>
  <c r="O85" i="32"/>
  <c r="N85" i="32"/>
  <c r="M85" i="32"/>
  <c r="L85" i="32"/>
  <c r="K85" i="32"/>
  <c r="J85" i="32"/>
  <c r="I85" i="32"/>
  <c r="H85" i="32"/>
  <c r="G85" i="32"/>
  <c r="F85" i="32"/>
  <c r="E85" i="32"/>
  <c r="D85" i="32"/>
  <c r="C85" i="32"/>
  <c r="B85" i="32"/>
  <c r="Y84" i="32"/>
  <c r="X84" i="32"/>
  <c r="W84" i="32"/>
  <c r="V84" i="32"/>
  <c r="U84" i="32"/>
  <c r="T84" i="32"/>
  <c r="S84" i="32"/>
  <c r="R84" i="32"/>
  <c r="Q84" i="32"/>
  <c r="P84" i="32"/>
  <c r="O84" i="32"/>
  <c r="N84" i="32"/>
  <c r="M84" i="32"/>
  <c r="L84" i="32"/>
  <c r="K84" i="32"/>
  <c r="J84" i="32"/>
  <c r="I84" i="32"/>
  <c r="H84" i="32"/>
  <c r="G84" i="32"/>
  <c r="F84" i="32"/>
  <c r="E84" i="32"/>
  <c r="D84" i="32"/>
  <c r="C84" i="32"/>
  <c r="B84" i="32"/>
  <c r="Y83" i="32"/>
  <c r="X83" i="32"/>
  <c r="W83" i="32"/>
  <c r="V83" i="32"/>
  <c r="U83" i="32"/>
  <c r="T83" i="32"/>
  <c r="S83" i="32"/>
  <c r="R83" i="32"/>
  <c r="Q83" i="32"/>
  <c r="P83" i="32"/>
  <c r="O83" i="32"/>
  <c r="N83" i="32"/>
  <c r="M83" i="32"/>
  <c r="L83" i="32"/>
  <c r="K83" i="32"/>
  <c r="J83" i="32"/>
  <c r="I83" i="32"/>
  <c r="H83" i="32"/>
  <c r="G83" i="32"/>
  <c r="F83" i="32"/>
  <c r="E83" i="32"/>
  <c r="D83" i="32"/>
  <c r="C83" i="32"/>
  <c r="B83" i="32"/>
  <c r="Y82" i="32"/>
  <c r="X82" i="32"/>
  <c r="W82" i="32"/>
  <c r="V82" i="32"/>
  <c r="U82" i="32"/>
  <c r="T82" i="32"/>
  <c r="S82" i="32"/>
  <c r="R82" i="32"/>
  <c r="Q82" i="32"/>
  <c r="P82" i="32"/>
  <c r="O82" i="32"/>
  <c r="N82" i="32"/>
  <c r="M82" i="32"/>
  <c r="L82" i="32"/>
  <c r="K82" i="32"/>
  <c r="J82" i="32"/>
  <c r="I82" i="32"/>
  <c r="H82" i="32"/>
  <c r="G82" i="32"/>
  <c r="F82" i="32"/>
  <c r="E82" i="32"/>
  <c r="D82" i="32"/>
  <c r="C82" i="32"/>
  <c r="B82" i="32"/>
  <c r="Y78" i="32"/>
  <c r="X78" i="32"/>
  <c r="W78" i="32"/>
  <c r="V78" i="32"/>
  <c r="U78" i="32"/>
  <c r="T78" i="32"/>
  <c r="S78" i="32"/>
  <c r="R78" i="32"/>
  <c r="Q78" i="32"/>
  <c r="P78" i="32"/>
  <c r="O78" i="32"/>
  <c r="N78" i="32"/>
  <c r="M78" i="32"/>
  <c r="L78" i="32"/>
  <c r="K78" i="32"/>
  <c r="J78" i="32"/>
  <c r="I78" i="32"/>
  <c r="H78" i="32"/>
  <c r="G78" i="32"/>
  <c r="F78" i="32"/>
  <c r="E78" i="32"/>
  <c r="D78" i="32"/>
  <c r="C78" i="32"/>
  <c r="B78" i="32"/>
  <c r="Y77" i="32"/>
  <c r="X77" i="32"/>
  <c r="W77" i="32"/>
  <c r="V77" i="32"/>
  <c r="U77" i="32"/>
  <c r="T77" i="32"/>
  <c r="S77" i="32"/>
  <c r="R77" i="32"/>
  <c r="Q77" i="32"/>
  <c r="P77" i="32"/>
  <c r="O77" i="32"/>
  <c r="N77" i="32"/>
  <c r="M77" i="32"/>
  <c r="L77" i="32"/>
  <c r="K77" i="32"/>
  <c r="J77" i="32"/>
  <c r="I77" i="32"/>
  <c r="H77" i="32"/>
  <c r="G77" i="32"/>
  <c r="F77" i="32"/>
  <c r="E77" i="32"/>
  <c r="D77" i="32"/>
  <c r="C77" i="32"/>
  <c r="B77" i="32"/>
  <c r="Y76" i="32"/>
  <c r="X76" i="32"/>
  <c r="W76" i="32"/>
  <c r="V76" i="32"/>
  <c r="U76" i="32"/>
  <c r="T76" i="32"/>
  <c r="S76" i="32"/>
  <c r="R76" i="32"/>
  <c r="Q76" i="32"/>
  <c r="P76" i="32"/>
  <c r="O76" i="32"/>
  <c r="N76" i="32"/>
  <c r="M76" i="32"/>
  <c r="L76" i="32"/>
  <c r="K76" i="32"/>
  <c r="J76" i="32"/>
  <c r="I76" i="32"/>
  <c r="H76" i="32"/>
  <c r="G76" i="32"/>
  <c r="F76" i="32"/>
  <c r="E76" i="32"/>
  <c r="D76" i="32"/>
  <c r="C76" i="32"/>
  <c r="B76" i="32"/>
  <c r="Y75" i="32"/>
  <c r="X75" i="32"/>
  <c r="W75" i="32"/>
  <c r="V75" i="32"/>
  <c r="U75" i="32"/>
  <c r="T75" i="32"/>
  <c r="S75" i="32"/>
  <c r="R75" i="32"/>
  <c r="Q75" i="32"/>
  <c r="P75" i="32"/>
  <c r="O75" i="32"/>
  <c r="N75" i="32"/>
  <c r="M75" i="32"/>
  <c r="L75" i="32"/>
  <c r="K75" i="32"/>
  <c r="J75" i="32"/>
  <c r="I75" i="32"/>
  <c r="H75" i="32"/>
  <c r="G75" i="32"/>
  <c r="F75" i="32"/>
  <c r="E75" i="32"/>
  <c r="D75" i="32"/>
  <c r="C75" i="32"/>
  <c r="B75" i="32"/>
  <c r="Y74" i="32"/>
  <c r="X74" i="32"/>
  <c r="W74" i="32"/>
  <c r="V74" i="32"/>
  <c r="U74" i="32"/>
  <c r="T74" i="32"/>
  <c r="S74" i="32"/>
  <c r="R74" i="32"/>
  <c r="Q74" i="32"/>
  <c r="P74" i="32"/>
  <c r="O74" i="32"/>
  <c r="N74" i="32"/>
  <c r="M74" i="32"/>
  <c r="L74" i="32"/>
  <c r="K74" i="32"/>
  <c r="J74" i="32"/>
  <c r="I74" i="32"/>
  <c r="H74" i="32"/>
  <c r="G74" i="32"/>
  <c r="F74" i="32"/>
  <c r="E74" i="32"/>
  <c r="D74" i="32"/>
  <c r="C74" i="32"/>
  <c r="B74" i="32"/>
  <c r="Y73" i="32"/>
  <c r="X73" i="32"/>
  <c r="W73" i="32"/>
  <c r="V73" i="32"/>
  <c r="U73" i="32"/>
  <c r="T73" i="32"/>
  <c r="S73" i="32"/>
  <c r="R73" i="32"/>
  <c r="Q73" i="32"/>
  <c r="P73" i="32"/>
  <c r="O73" i="32"/>
  <c r="N73" i="32"/>
  <c r="M73" i="32"/>
  <c r="L73" i="32"/>
  <c r="K73" i="32"/>
  <c r="J73" i="32"/>
  <c r="I73" i="32"/>
  <c r="H73" i="32"/>
  <c r="G73" i="32"/>
  <c r="F73" i="32"/>
  <c r="E73" i="32"/>
  <c r="D73" i="32"/>
  <c r="C73" i="32"/>
  <c r="B73" i="32"/>
  <c r="Y72" i="32"/>
  <c r="X72" i="32"/>
  <c r="W72" i="32"/>
  <c r="V72" i="32"/>
  <c r="U72" i="32"/>
  <c r="T72" i="32"/>
  <c r="S72" i="32"/>
  <c r="R72" i="32"/>
  <c r="Q72" i="32"/>
  <c r="P72" i="32"/>
  <c r="O72" i="32"/>
  <c r="N72" i="32"/>
  <c r="M72" i="32"/>
  <c r="L72" i="32"/>
  <c r="K72" i="32"/>
  <c r="J72" i="32"/>
  <c r="I72" i="32"/>
  <c r="H72" i="32"/>
  <c r="G72" i="32"/>
  <c r="F72" i="32"/>
  <c r="E72" i="32"/>
  <c r="D72" i="32"/>
  <c r="C72" i="32"/>
  <c r="B72" i="32"/>
  <c r="Y71" i="32"/>
  <c r="X71" i="32"/>
  <c r="W71" i="32"/>
  <c r="V71" i="32"/>
  <c r="U71" i="32"/>
  <c r="T71" i="32"/>
  <c r="S71" i="32"/>
  <c r="R71" i="32"/>
  <c r="Q71" i="32"/>
  <c r="P71" i="32"/>
  <c r="O71" i="32"/>
  <c r="N71" i="32"/>
  <c r="M71" i="32"/>
  <c r="L71" i="32"/>
  <c r="K71" i="32"/>
  <c r="J71" i="32"/>
  <c r="I71" i="32"/>
  <c r="H71" i="32"/>
  <c r="G71" i="32"/>
  <c r="F71" i="32"/>
  <c r="E71" i="32"/>
  <c r="D71" i="32"/>
  <c r="C71" i="32"/>
  <c r="B71" i="32"/>
  <c r="Y67" i="32"/>
  <c r="X67" i="32"/>
  <c r="W67" i="32"/>
  <c r="V67" i="32"/>
  <c r="U67" i="32"/>
  <c r="T67" i="32"/>
  <c r="S67" i="32"/>
  <c r="R67" i="32"/>
  <c r="Q67" i="32"/>
  <c r="P67" i="32"/>
  <c r="O67" i="32"/>
  <c r="N67" i="32"/>
  <c r="M67" i="32"/>
  <c r="L67" i="32"/>
  <c r="K67" i="32"/>
  <c r="J67" i="32"/>
  <c r="I67" i="32"/>
  <c r="H67" i="32"/>
  <c r="G67" i="32"/>
  <c r="F67" i="32"/>
  <c r="E67" i="32"/>
  <c r="D67" i="32"/>
  <c r="C67" i="32"/>
  <c r="B67" i="32"/>
  <c r="Y66" i="32"/>
  <c r="X66" i="32"/>
  <c r="W66" i="32"/>
  <c r="V66" i="32"/>
  <c r="U66" i="32"/>
  <c r="T66" i="32"/>
  <c r="S66" i="32"/>
  <c r="R66" i="32"/>
  <c r="Q66" i="32"/>
  <c r="P66" i="32"/>
  <c r="O66" i="32"/>
  <c r="N66" i="32"/>
  <c r="M66" i="32"/>
  <c r="L66" i="32"/>
  <c r="K66" i="32"/>
  <c r="J66" i="32"/>
  <c r="I66" i="32"/>
  <c r="H66" i="32"/>
  <c r="G66" i="32"/>
  <c r="F66" i="32"/>
  <c r="E66" i="32"/>
  <c r="D66" i="32"/>
  <c r="C66" i="32"/>
  <c r="B66" i="32"/>
  <c r="Y65" i="32"/>
  <c r="X65" i="32"/>
  <c r="W65" i="32"/>
  <c r="V65" i="32"/>
  <c r="U65" i="32"/>
  <c r="T65" i="32"/>
  <c r="S65" i="32"/>
  <c r="R65" i="32"/>
  <c r="Q65" i="32"/>
  <c r="P65" i="32"/>
  <c r="O65" i="32"/>
  <c r="N65" i="32"/>
  <c r="M65" i="32"/>
  <c r="L65" i="32"/>
  <c r="K65" i="32"/>
  <c r="J65" i="32"/>
  <c r="I65" i="32"/>
  <c r="H65" i="32"/>
  <c r="G65" i="32"/>
  <c r="F65" i="32"/>
  <c r="E65" i="32"/>
  <c r="D65" i="32"/>
  <c r="C65" i="32"/>
  <c r="B65" i="32"/>
  <c r="Y64" i="32"/>
  <c r="X64" i="32"/>
  <c r="W64" i="32"/>
  <c r="V64" i="32"/>
  <c r="U64" i="32"/>
  <c r="T64" i="32"/>
  <c r="S64" i="32"/>
  <c r="R64" i="32"/>
  <c r="Q64" i="32"/>
  <c r="P64" i="32"/>
  <c r="O64" i="32"/>
  <c r="N64" i="32"/>
  <c r="M64" i="32"/>
  <c r="L64" i="32"/>
  <c r="K64" i="32"/>
  <c r="J64" i="32"/>
  <c r="I64" i="32"/>
  <c r="H64" i="32"/>
  <c r="G64" i="32"/>
  <c r="F64" i="32"/>
  <c r="E64" i="32"/>
  <c r="D64" i="32"/>
  <c r="C64" i="32"/>
  <c r="B64" i="32"/>
  <c r="Y63" i="32"/>
  <c r="X63" i="32"/>
  <c r="W63" i="32"/>
  <c r="V63" i="32"/>
  <c r="U63" i="32"/>
  <c r="T63" i="32"/>
  <c r="S63" i="32"/>
  <c r="R63" i="32"/>
  <c r="Q63" i="32"/>
  <c r="P63" i="32"/>
  <c r="O63" i="32"/>
  <c r="N63" i="32"/>
  <c r="M63" i="32"/>
  <c r="L63" i="32"/>
  <c r="K63" i="32"/>
  <c r="J63" i="32"/>
  <c r="I63" i="32"/>
  <c r="H63" i="32"/>
  <c r="G63" i="32"/>
  <c r="F63" i="32"/>
  <c r="E63" i="32"/>
  <c r="D63" i="32"/>
  <c r="C63" i="32"/>
  <c r="B63" i="32"/>
  <c r="Y62" i="32"/>
  <c r="X62" i="32"/>
  <c r="W62" i="32"/>
  <c r="V62" i="32"/>
  <c r="U62" i="32"/>
  <c r="T62" i="32"/>
  <c r="S62" i="32"/>
  <c r="R62" i="32"/>
  <c r="Q62" i="32"/>
  <c r="P62" i="32"/>
  <c r="O62" i="32"/>
  <c r="N62" i="32"/>
  <c r="M62" i="32"/>
  <c r="L62" i="32"/>
  <c r="K62" i="32"/>
  <c r="J62" i="32"/>
  <c r="I62" i="32"/>
  <c r="H62" i="32"/>
  <c r="G62" i="32"/>
  <c r="F62" i="32"/>
  <c r="E62" i="32"/>
  <c r="D62" i="32"/>
  <c r="C62" i="32"/>
  <c r="B62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B61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B60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B56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B55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B54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B53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B52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B51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B50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B49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B45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B44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B43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B42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B41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B40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B39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B38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B33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B32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B31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B30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B29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B28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B22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B21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B19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B18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B17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B16" i="32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Y99" i="31"/>
  <c r="X99" i="31"/>
  <c r="W99" i="31"/>
  <c r="V99" i="31"/>
  <c r="U99" i="31"/>
  <c r="T99" i="31"/>
  <c r="S99" i="31"/>
  <c r="R99" i="31"/>
  <c r="Q99" i="31"/>
  <c r="P99" i="31"/>
  <c r="O99" i="31"/>
  <c r="N99" i="31"/>
  <c r="M99" i="31"/>
  <c r="L99" i="31"/>
  <c r="K99" i="31"/>
  <c r="J99" i="31"/>
  <c r="I99" i="31"/>
  <c r="H99" i="31"/>
  <c r="G99" i="31"/>
  <c r="F99" i="31"/>
  <c r="E99" i="31"/>
  <c r="D99" i="31"/>
  <c r="C99" i="31"/>
  <c r="B99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Y94" i="31"/>
  <c r="X94" i="31"/>
  <c r="W94" i="31"/>
  <c r="V94" i="31"/>
  <c r="U94" i="31"/>
  <c r="T94" i="31"/>
  <c r="S94" i="31"/>
  <c r="R94" i="31"/>
  <c r="Q94" i="31"/>
  <c r="P94" i="31"/>
  <c r="O94" i="31"/>
  <c r="N94" i="31"/>
  <c r="M94" i="31"/>
  <c r="L94" i="31"/>
  <c r="K94" i="31"/>
  <c r="J94" i="31"/>
  <c r="I94" i="31"/>
  <c r="H94" i="31"/>
  <c r="G94" i="31"/>
  <c r="F94" i="31"/>
  <c r="E94" i="31"/>
  <c r="D94" i="31"/>
  <c r="C94" i="31"/>
  <c r="B94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Y85" i="31"/>
  <c r="X85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Y84" i="31"/>
  <c r="X84" i="31"/>
  <c r="W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Y83" i="31"/>
  <c r="X83" i="31"/>
  <c r="W83" i="31"/>
  <c r="V83" i="31"/>
  <c r="U83" i="31"/>
  <c r="T83" i="31"/>
  <c r="S83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E83" i="31"/>
  <c r="D83" i="31"/>
  <c r="C83" i="31"/>
  <c r="B83" i="31"/>
  <c r="Y82" i="31"/>
  <c r="X82" i="31"/>
  <c r="W82" i="31"/>
  <c r="V82" i="31"/>
  <c r="U82" i="31"/>
  <c r="T82" i="31"/>
  <c r="S82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E82" i="31"/>
  <c r="D82" i="31"/>
  <c r="C82" i="31"/>
  <c r="B82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Y76" i="31"/>
  <c r="X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Y75" i="31"/>
  <c r="X75" i="31"/>
  <c r="W75" i="31"/>
  <c r="V75" i="31"/>
  <c r="U75" i="31"/>
  <c r="T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B75" i="31"/>
  <c r="Y74" i="31"/>
  <c r="X74" i="31"/>
  <c r="W74" i="31"/>
  <c r="V74" i="31"/>
  <c r="U74" i="3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B74" i="31"/>
  <c r="Y73" i="31"/>
  <c r="X73" i="31"/>
  <c r="W73" i="31"/>
  <c r="V73" i="31"/>
  <c r="U73" i="31"/>
  <c r="T73" i="31"/>
  <c r="S73" i="31"/>
  <c r="R73" i="31"/>
  <c r="Q73" i="31"/>
  <c r="P73" i="31"/>
  <c r="O73" i="31"/>
  <c r="N73" i="31"/>
  <c r="M73" i="31"/>
  <c r="L73" i="31"/>
  <c r="K73" i="31"/>
  <c r="J73" i="31"/>
  <c r="I73" i="31"/>
  <c r="H73" i="31"/>
  <c r="G73" i="31"/>
  <c r="F73" i="31"/>
  <c r="E73" i="31"/>
  <c r="D73" i="31"/>
  <c r="C73" i="31"/>
  <c r="B73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Y71" i="31"/>
  <c r="X71" i="31"/>
  <c r="W71" i="31"/>
  <c r="V71" i="31"/>
  <c r="U71" i="31"/>
  <c r="T71" i="31"/>
  <c r="S71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E71" i="31"/>
  <c r="D71" i="31"/>
  <c r="C71" i="31"/>
  <c r="B71" i="31"/>
  <c r="Y67" i="31"/>
  <c r="X67" i="31"/>
  <c r="W67" i="31"/>
  <c r="V67" i="31"/>
  <c r="U67" i="31"/>
  <c r="T67" i="31"/>
  <c r="S67" i="31"/>
  <c r="R67" i="31"/>
  <c r="Q67" i="31"/>
  <c r="P67" i="31"/>
  <c r="O67" i="31"/>
  <c r="N67" i="31"/>
  <c r="M67" i="31"/>
  <c r="L67" i="31"/>
  <c r="K67" i="31"/>
  <c r="J67" i="31"/>
  <c r="I67" i="31"/>
  <c r="H67" i="31"/>
  <c r="G67" i="31"/>
  <c r="F67" i="31"/>
  <c r="E67" i="31"/>
  <c r="D67" i="31"/>
  <c r="C67" i="31"/>
  <c r="B67" i="31"/>
  <c r="Y66" i="31"/>
  <c r="X66" i="31"/>
  <c r="W66" i="31"/>
  <c r="V66" i="31"/>
  <c r="U66" i="31"/>
  <c r="T66" i="31"/>
  <c r="S66" i="31"/>
  <c r="R66" i="31"/>
  <c r="Q66" i="31"/>
  <c r="P66" i="31"/>
  <c r="O66" i="31"/>
  <c r="N66" i="31"/>
  <c r="M66" i="31"/>
  <c r="L66" i="31"/>
  <c r="K66" i="31"/>
  <c r="J66" i="31"/>
  <c r="I66" i="31"/>
  <c r="H66" i="31"/>
  <c r="G66" i="31"/>
  <c r="F66" i="31"/>
  <c r="E66" i="31"/>
  <c r="D66" i="31"/>
  <c r="C66" i="31"/>
  <c r="B66" i="31"/>
  <c r="Y65" i="31"/>
  <c r="X65" i="31"/>
  <c r="W65" i="31"/>
  <c r="V65" i="31"/>
  <c r="U65" i="31"/>
  <c r="T65" i="31"/>
  <c r="S65" i="31"/>
  <c r="R65" i="31"/>
  <c r="Q65" i="31"/>
  <c r="P65" i="31"/>
  <c r="O65" i="31"/>
  <c r="N65" i="31"/>
  <c r="M65" i="31"/>
  <c r="L65" i="31"/>
  <c r="K65" i="31"/>
  <c r="J65" i="31"/>
  <c r="I65" i="31"/>
  <c r="H65" i="31"/>
  <c r="G65" i="31"/>
  <c r="F65" i="31"/>
  <c r="E65" i="31"/>
  <c r="D65" i="31"/>
  <c r="C65" i="31"/>
  <c r="B65" i="31"/>
  <c r="Y64" i="31"/>
  <c r="X64" i="31"/>
  <c r="W64" i="31"/>
  <c r="V64" i="31"/>
  <c r="U64" i="31"/>
  <c r="T64" i="31"/>
  <c r="S64" i="31"/>
  <c r="R64" i="31"/>
  <c r="Q64" i="31"/>
  <c r="P64" i="31"/>
  <c r="O64" i="31"/>
  <c r="N64" i="31"/>
  <c r="M64" i="31"/>
  <c r="L64" i="31"/>
  <c r="K64" i="31"/>
  <c r="J64" i="31"/>
  <c r="I64" i="31"/>
  <c r="H64" i="31"/>
  <c r="G64" i="31"/>
  <c r="F64" i="31"/>
  <c r="E64" i="31"/>
  <c r="D64" i="31"/>
  <c r="C64" i="31"/>
  <c r="B64" i="31"/>
  <c r="Y63" i="31"/>
  <c r="X63" i="31"/>
  <c r="W63" i="31"/>
  <c r="V63" i="31"/>
  <c r="U63" i="31"/>
  <c r="T63" i="31"/>
  <c r="S63" i="31"/>
  <c r="R63" i="31"/>
  <c r="Q63" i="31"/>
  <c r="P63" i="31"/>
  <c r="O63" i="31"/>
  <c r="N63" i="31"/>
  <c r="M63" i="31"/>
  <c r="L63" i="31"/>
  <c r="K63" i="31"/>
  <c r="J63" i="31"/>
  <c r="I63" i="31"/>
  <c r="H63" i="31"/>
  <c r="G63" i="31"/>
  <c r="F63" i="31"/>
  <c r="E63" i="31"/>
  <c r="D63" i="31"/>
  <c r="C63" i="31"/>
  <c r="B63" i="31"/>
  <c r="Y62" i="31"/>
  <c r="X62" i="31"/>
  <c r="W62" i="31"/>
  <c r="V62" i="31"/>
  <c r="U62" i="31"/>
  <c r="T62" i="31"/>
  <c r="S62" i="31"/>
  <c r="R62" i="31"/>
  <c r="Q62" i="31"/>
  <c r="P62" i="31"/>
  <c r="O62" i="31"/>
  <c r="N62" i="31"/>
  <c r="M62" i="31"/>
  <c r="L62" i="31"/>
  <c r="K62" i="31"/>
  <c r="J62" i="31"/>
  <c r="I62" i="31"/>
  <c r="H62" i="31"/>
  <c r="G62" i="31"/>
  <c r="F62" i="31"/>
  <c r="E62" i="31"/>
  <c r="D62" i="31"/>
  <c r="C62" i="31"/>
  <c r="B62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B61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B60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B55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B54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B53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B51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B50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B49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B33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B30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B22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B99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B94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B83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B82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B78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B77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B76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B75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B74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B73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B72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B71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J67" i="30"/>
  <c r="I67" i="30"/>
  <c r="H67" i="30"/>
  <c r="G67" i="30"/>
  <c r="F67" i="30"/>
  <c r="E67" i="30"/>
  <c r="D67" i="30"/>
  <c r="C67" i="30"/>
  <c r="B67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J66" i="30"/>
  <c r="I66" i="30"/>
  <c r="H66" i="30"/>
  <c r="G66" i="30"/>
  <c r="F66" i="30"/>
  <c r="E66" i="30"/>
  <c r="D66" i="30"/>
  <c r="C66" i="30"/>
  <c r="B66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J65" i="30"/>
  <c r="I65" i="30"/>
  <c r="H65" i="30"/>
  <c r="G65" i="30"/>
  <c r="F65" i="30"/>
  <c r="E65" i="30"/>
  <c r="D65" i="30"/>
  <c r="C65" i="30"/>
  <c r="B65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J64" i="30"/>
  <c r="I64" i="30"/>
  <c r="H64" i="30"/>
  <c r="G64" i="30"/>
  <c r="F64" i="30"/>
  <c r="E64" i="30"/>
  <c r="D64" i="30"/>
  <c r="C64" i="30"/>
  <c r="B64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J63" i="30"/>
  <c r="I63" i="30"/>
  <c r="H63" i="30"/>
  <c r="G63" i="30"/>
  <c r="F63" i="30"/>
  <c r="E63" i="30"/>
  <c r="D63" i="30"/>
  <c r="C63" i="30"/>
  <c r="B63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J62" i="30"/>
  <c r="I62" i="30"/>
  <c r="H62" i="30"/>
  <c r="G62" i="30"/>
  <c r="F62" i="30"/>
  <c r="E62" i="30"/>
  <c r="D62" i="30"/>
  <c r="C62" i="30"/>
  <c r="B62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B61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B60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B55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B54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B51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B50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B49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B42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B18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Y99" i="29"/>
  <c r="X99" i="29"/>
  <c r="W99" i="29"/>
  <c r="V99" i="29"/>
  <c r="U99" i="29"/>
  <c r="T99" i="29"/>
  <c r="S99" i="29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D99" i="29"/>
  <c r="C99" i="29"/>
  <c r="B99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Y94" i="29"/>
  <c r="X94" i="29"/>
  <c r="W94" i="29"/>
  <c r="V94" i="29"/>
  <c r="U94" i="29"/>
  <c r="T94" i="29"/>
  <c r="S94" i="29"/>
  <c r="R94" i="29"/>
  <c r="Q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C94" i="29"/>
  <c r="B94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Y82" i="29"/>
  <c r="X82" i="29"/>
  <c r="W82" i="29"/>
  <c r="V82" i="29"/>
  <c r="U82" i="29"/>
  <c r="T82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C82" i="29"/>
  <c r="B82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B76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B75" i="29"/>
  <c r="Y74" i="29"/>
  <c r="X74" i="29"/>
  <c r="W74" i="29"/>
  <c r="V74" i="29"/>
  <c r="U74" i="29"/>
  <c r="T74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B74" i="29"/>
  <c r="Y73" i="29"/>
  <c r="X73" i="29"/>
  <c r="W73" i="29"/>
  <c r="V73" i="29"/>
  <c r="U73" i="29"/>
  <c r="T73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C73" i="29"/>
  <c r="B73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C71" i="29"/>
  <c r="B71" i="29"/>
  <c r="Y67" i="29"/>
  <c r="X67" i="29"/>
  <c r="W67" i="29"/>
  <c r="V67" i="29"/>
  <c r="U67" i="29"/>
  <c r="T67" i="29"/>
  <c r="S67" i="29"/>
  <c r="R67" i="29"/>
  <c r="Q67" i="29"/>
  <c r="P67" i="29"/>
  <c r="O67" i="29"/>
  <c r="N67" i="29"/>
  <c r="M67" i="29"/>
  <c r="L67" i="29"/>
  <c r="K67" i="29"/>
  <c r="J67" i="29"/>
  <c r="I67" i="29"/>
  <c r="H67" i="29"/>
  <c r="G67" i="29"/>
  <c r="F67" i="29"/>
  <c r="E67" i="29"/>
  <c r="D67" i="29"/>
  <c r="C67" i="29"/>
  <c r="B67" i="29"/>
  <c r="Y66" i="29"/>
  <c r="X66" i="29"/>
  <c r="W66" i="29"/>
  <c r="V66" i="29"/>
  <c r="U66" i="29"/>
  <c r="T66" i="29"/>
  <c r="S66" i="29"/>
  <c r="R66" i="29"/>
  <c r="Q66" i="29"/>
  <c r="P66" i="29"/>
  <c r="O66" i="29"/>
  <c r="N66" i="29"/>
  <c r="M66" i="29"/>
  <c r="L66" i="29"/>
  <c r="K66" i="29"/>
  <c r="J66" i="29"/>
  <c r="I66" i="29"/>
  <c r="H66" i="29"/>
  <c r="G66" i="29"/>
  <c r="F66" i="29"/>
  <c r="E66" i="29"/>
  <c r="D66" i="29"/>
  <c r="C66" i="29"/>
  <c r="B66" i="29"/>
  <c r="Y65" i="29"/>
  <c r="X65" i="29"/>
  <c r="W65" i="29"/>
  <c r="V65" i="29"/>
  <c r="U65" i="29"/>
  <c r="T65" i="29"/>
  <c r="S65" i="29"/>
  <c r="R65" i="29"/>
  <c r="Q65" i="29"/>
  <c r="P65" i="29"/>
  <c r="O65" i="29"/>
  <c r="N65" i="29"/>
  <c r="M65" i="29"/>
  <c r="L65" i="29"/>
  <c r="K65" i="29"/>
  <c r="J65" i="29"/>
  <c r="I65" i="29"/>
  <c r="H65" i="29"/>
  <c r="G65" i="29"/>
  <c r="F65" i="29"/>
  <c r="E65" i="29"/>
  <c r="D65" i="29"/>
  <c r="C65" i="29"/>
  <c r="B65" i="29"/>
  <c r="Y64" i="29"/>
  <c r="X64" i="29"/>
  <c r="W64" i="29"/>
  <c r="V64" i="29"/>
  <c r="U64" i="29"/>
  <c r="T64" i="29"/>
  <c r="S64" i="29"/>
  <c r="R64" i="29"/>
  <c r="Q64" i="29"/>
  <c r="P64" i="29"/>
  <c r="O64" i="29"/>
  <c r="N64" i="29"/>
  <c r="M64" i="29"/>
  <c r="L64" i="29"/>
  <c r="K64" i="29"/>
  <c r="J64" i="29"/>
  <c r="I64" i="29"/>
  <c r="H64" i="29"/>
  <c r="G64" i="29"/>
  <c r="F64" i="29"/>
  <c r="E64" i="29"/>
  <c r="D64" i="29"/>
  <c r="C64" i="29"/>
  <c r="B64" i="29"/>
  <c r="Y63" i="29"/>
  <c r="X63" i="29"/>
  <c r="W63" i="29"/>
  <c r="V63" i="29"/>
  <c r="U63" i="29"/>
  <c r="T63" i="29"/>
  <c r="S63" i="29"/>
  <c r="R63" i="29"/>
  <c r="Q63" i="29"/>
  <c r="P63" i="29"/>
  <c r="O63" i="29"/>
  <c r="N63" i="29"/>
  <c r="M63" i="29"/>
  <c r="L63" i="29"/>
  <c r="K63" i="29"/>
  <c r="J63" i="29"/>
  <c r="I63" i="29"/>
  <c r="H63" i="29"/>
  <c r="G63" i="29"/>
  <c r="F63" i="29"/>
  <c r="E63" i="29"/>
  <c r="D63" i="29"/>
  <c r="C63" i="29"/>
  <c r="B63" i="29"/>
  <c r="Y62" i="29"/>
  <c r="X62" i="29"/>
  <c r="W62" i="29"/>
  <c r="V62" i="29"/>
  <c r="U62" i="29"/>
  <c r="T62" i="29"/>
  <c r="S62" i="29"/>
  <c r="R62" i="29"/>
  <c r="Q62" i="29"/>
  <c r="P62" i="29"/>
  <c r="O62" i="29"/>
  <c r="N62" i="29"/>
  <c r="M62" i="29"/>
  <c r="L62" i="29"/>
  <c r="K62" i="29"/>
  <c r="J62" i="29"/>
  <c r="I62" i="29"/>
  <c r="H62" i="29"/>
  <c r="G62" i="29"/>
  <c r="F62" i="29"/>
  <c r="E62" i="29"/>
  <c r="D62" i="29"/>
  <c r="C62" i="29"/>
  <c r="B62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B61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B60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B55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54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51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B50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B49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B45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44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B43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B42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B41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Y100" i="28"/>
  <c r="X100" i="28"/>
  <c r="W100" i="28"/>
  <c r="V100" i="28"/>
  <c r="U100" i="28"/>
  <c r="T100" i="28"/>
  <c r="S100" i="28"/>
  <c r="R100" i="28"/>
  <c r="Q100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B100" i="28"/>
  <c r="Y99" i="28"/>
  <c r="X99" i="28"/>
  <c r="W99" i="28"/>
  <c r="V99" i="28"/>
  <c r="U99" i="28"/>
  <c r="T99" i="28"/>
  <c r="S99" i="28"/>
  <c r="R99" i="28"/>
  <c r="Q99" i="28"/>
  <c r="P99" i="28"/>
  <c r="O99" i="28"/>
  <c r="N99" i="28"/>
  <c r="M99" i="28"/>
  <c r="L99" i="28"/>
  <c r="K99" i="28"/>
  <c r="J99" i="28"/>
  <c r="I99" i="28"/>
  <c r="H99" i="28"/>
  <c r="G99" i="28"/>
  <c r="F99" i="28"/>
  <c r="E99" i="28"/>
  <c r="D99" i="28"/>
  <c r="C99" i="28"/>
  <c r="B99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B98" i="28"/>
  <c r="Y97" i="28"/>
  <c r="X97" i="28"/>
  <c r="W97" i="28"/>
  <c r="V97" i="28"/>
  <c r="U97" i="28"/>
  <c r="T97" i="28"/>
  <c r="S97" i="28"/>
  <c r="R97" i="28"/>
  <c r="Q97" i="28"/>
  <c r="P97" i="28"/>
  <c r="O97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B97" i="28"/>
  <c r="Y96" i="28"/>
  <c r="X96" i="28"/>
  <c r="W96" i="28"/>
  <c r="V96" i="28"/>
  <c r="U96" i="28"/>
  <c r="T96" i="28"/>
  <c r="S96" i="28"/>
  <c r="R96" i="28"/>
  <c r="Q96" i="28"/>
  <c r="P96" i="28"/>
  <c r="O96" i="28"/>
  <c r="N96" i="28"/>
  <c r="M96" i="28"/>
  <c r="L96" i="28"/>
  <c r="K96" i="28"/>
  <c r="J96" i="28"/>
  <c r="I96" i="28"/>
  <c r="H96" i="28"/>
  <c r="G96" i="28"/>
  <c r="F96" i="28"/>
  <c r="E96" i="28"/>
  <c r="D96" i="28"/>
  <c r="C96" i="28"/>
  <c r="B96" i="28"/>
  <c r="Y95" i="28"/>
  <c r="X95" i="28"/>
  <c r="W95" i="28"/>
  <c r="V95" i="28"/>
  <c r="U95" i="28"/>
  <c r="T95" i="28"/>
  <c r="S95" i="28"/>
  <c r="R95" i="28"/>
  <c r="Q95" i="28"/>
  <c r="P95" i="28"/>
  <c r="O95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B95" i="28"/>
  <c r="Y94" i="28"/>
  <c r="X94" i="28"/>
  <c r="W94" i="28"/>
  <c r="V94" i="28"/>
  <c r="U94" i="28"/>
  <c r="T94" i="28"/>
  <c r="S94" i="28"/>
  <c r="R94" i="28"/>
  <c r="Q94" i="28"/>
  <c r="P94" i="28"/>
  <c r="O94" i="28"/>
  <c r="N94" i="28"/>
  <c r="M94" i="28"/>
  <c r="L94" i="28"/>
  <c r="K94" i="28"/>
  <c r="J94" i="28"/>
  <c r="I94" i="28"/>
  <c r="H94" i="28"/>
  <c r="G94" i="28"/>
  <c r="F94" i="28"/>
  <c r="E94" i="28"/>
  <c r="D94" i="28"/>
  <c r="C94" i="28"/>
  <c r="B94" i="28"/>
  <c r="Y93" i="28"/>
  <c r="X93" i="28"/>
  <c r="W93" i="28"/>
  <c r="V93" i="28"/>
  <c r="U93" i="28"/>
  <c r="T93" i="28"/>
  <c r="S93" i="28"/>
  <c r="R93" i="28"/>
  <c r="Q93" i="28"/>
  <c r="P93" i="28"/>
  <c r="O93" i="28"/>
  <c r="N93" i="28"/>
  <c r="M93" i="28"/>
  <c r="L93" i="28"/>
  <c r="K93" i="28"/>
  <c r="J93" i="28"/>
  <c r="I93" i="28"/>
  <c r="H93" i="28"/>
  <c r="G93" i="28"/>
  <c r="F93" i="28"/>
  <c r="E93" i="28"/>
  <c r="D93" i="28"/>
  <c r="C93" i="28"/>
  <c r="B93" i="28"/>
  <c r="Y89" i="28"/>
  <c r="X89" i="28"/>
  <c r="W89" i="28"/>
  <c r="V89" i="28"/>
  <c r="U89" i="28"/>
  <c r="T89" i="28"/>
  <c r="S89" i="28"/>
  <c r="R89" i="28"/>
  <c r="Q89" i="28"/>
  <c r="P89" i="28"/>
  <c r="O89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B89" i="28"/>
  <c r="Y88" i="28"/>
  <c r="X88" i="28"/>
  <c r="W88" i="28"/>
  <c r="V88" i="28"/>
  <c r="U88" i="28"/>
  <c r="T88" i="28"/>
  <c r="S88" i="28"/>
  <c r="R88" i="28"/>
  <c r="Q88" i="28"/>
  <c r="P88" i="28"/>
  <c r="O88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B88" i="28"/>
  <c r="Y87" i="28"/>
  <c r="X87" i="28"/>
  <c r="W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B87" i="28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B86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B84" i="28"/>
  <c r="Y83" i="28"/>
  <c r="X83" i="28"/>
  <c r="W83" i="28"/>
  <c r="V83" i="28"/>
  <c r="U83" i="28"/>
  <c r="T83" i="28"/>
  <c r="S83" i="28"/>
  <c r="R83" i="28"/>
  <c r="Q83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B83" i="28"/>
  <c r="Y82" i="28"/>
  <c r="X82" i="28"/>
  <c r="W82" i="28"/>
  <c r="V82" i="28"/>
  <c r="U82" i="28"/>
  <c r="T82" i="28"/>
  <c r="S82" i="28"/>
  <c r="R82" i="28"/>
  <c r="Q82" i="28"/>
  <c r="P82" i="28"/>
  <c r="O82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B82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B77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B76" i="28"/>
  <c r="Y75" i="28"/>
  <c r="X75" i="28"/>
  <c r="W75" i="28"/>
  <c r="V75" i="28"/>
  <c r="U75" i="28"/>
  <c r="T75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B75" i="28"/>
  <c r="Y74" i="28"/>
  <c r="X74" i="28"/>
  <c r="W74" i="28"/>
  <c r="V74" i="28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B74" i="28"/>
  <c r="Y73" i="28"/>
  <c r="X73" i="28"/>
  <c r="W73" i="28"/>
  <c r="V73" i="28"/>
  <c r="U73" i="28"/>
  <c r="T73" i="28"/>
  <c r="S73" i="28"/>
  <c r="R73" i="28"/>
  <c r="Q73" i="28"/>
  <c r="P73" i="28"/>
  <c r="O73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B73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B72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B71" i="28"/>
  <c r="Y67" i="28"/>
  <c r="X67" i="28"/>
  <c r="W67" i="28"/>
  <c r="V67" i="28"/>
  <c r="U67" i="28"/>
  <c r="T67" i="28"/>
  <c r="S67" i="28"/>
  <c r="R67" i="28"/>
  <c r="Q67" i="28"/>
  <c r="P67" i="28"/>
  <c r="O67" i="28"/>
  <c r="N67" i="28"/>
  <c r="M67" i="28"/>
  <c r="L67" i="28"/>
  <c r="K67" i="28"/>
  <c r="J67" i="28"/>
  <c r="I67" i="28"/>
  <c r="H67" i="28"/>
  <c r="G67" i="28"/>
  <c r="F67" i="28"/>
  <c r="E67" i="28"/>
  <c r="D67" i="28"/>
  <c r="C67" i="28"/>
  <c r="B67" i="28"/>
  <c r="Y66" i="28"/>
  <c r="X66" i="28"/>
  <c r="W66" i="28"/>
  <c r="V66" i="28"/>
  <c r="U66" i="28"/>
  <c r="T66" i="28"/>
  <c r="S66" i="28"/>
  <c r="R66" i="28"/>
  <c r="Q66" i="28"/>
  <c r="P66" i="28"/>
  <c r="O66" i="28"/>
  <c r="N66" i="28"/>
  <c r="M66" i="28"/>
  <c r="L66" i="28"/>
  <c r="K66" i="28"/>
  <c r="J66" i="28"/>
  <c r="I66" i="28"/>
  <c r="H66" i="28"/>
  <c r="G66" i="28"/>
  <c r="F66" i="28"/>
  <c r="E66" i="28"/>
  <c r="D66" i="28"/>
  <c r="C66" i="28"/>
  <c r="B66" i="28"/>
  <c r="Y65" i="28"/>
  <c r="X65" i="28"/>
  <c r="W65" i="28"/>
  <c r="V65" i="28"/>
  <c r="U65" i="28"/>
  <c r="T65" i="28"/>
  <c r="S65" i="28"/>
  <c r="R65" i="28"/>
  <c r="Q65" i="28"/>
  <c r="P65" i="28"/>
  <c r="O65" i="28"/>
  <c r="N65" i="28"/>
  <c r="M65" i="28"/>
  <c r="L65" i="28"/>
  <c r="K65" i="28"/>
  <c r="J65" i="28"/>
  <c r="I65" i="28"/>
  <c r="H65" i="28"/>
  <c r="G65" i="28"/>
  <c r="F65" i="28"/>
  <c r="E65" i="28"/>
  <c r="D65" i="28"/>
  <c r="C65" i="28"/>
  <c r="B65" i="28"/>
  <c r="Y64" i="28"/>
  <c r="X64" i="28"/>
  <c r="W64" i="28"/>
  <c r="V64" i="28"/>
  <c r="U64" i="28"/>
  <c r="T64" i="28"/>
  <c r="S64" i="28"/>
  <c r="R64" i="28"/>
  <c r="Q64" i="28"/>
  <c r="P64" i="28"/>
  <c r="O64" i="28"/>
  <c r="N64" i="28"/>
  <c r="M64" i="28"/>
  <c r="L64" i="28"/>
  <c r="K64" i="28"/>
  <c r="J64" i="28"/>
  <c r="I64" i="28"/>
  <c r="H64" i="28"/>
  <c r="G64" i="28"/>
  <c r="F64" i="28"/>
  <c r="E64" i="28"/>
  <c r="D64" i="28"/>
  <c r="C64" i="28"/>
  <c r="B64" i="28"/>
  <c r="Y63" i="28"/>
  <c r="X63" i="28"/>
  <c r="W63" i="28"/>
  <c r="V63" i="28"/>
  <c r="U63" i="28"/>
  <c r="T63" i="28"/>
  <c r="S63" i="28"/>
  <c r="R63" i="28"/>
  <c r="Q63" i="28"/>
  <c r="P63" i="28"/>
  <c r="O63" i="28"/>
  <c r="N63" i="28"/>
  <c r="M63" i="28"/>
  <c r="L63" i="28"/>
  <c r="K63" i="28"/>
  <c r="J63" i="28"/>
  <c r="I63" i="28"/>
  <c r="H63" i="28"/>
  <c r="G63" i="28"/>
  <c r="F63" i="28"/>
  <c r="E63" i="28"/>
  <c r="D63" i="28"/>
  <c r="C63" i="28"/>
  <c r="B63" i="28"/>
  <c r="Y62" i="28"/>
  <c r="X62" i="28"/>
  <c r="W62" i="28"/>
  <c r="V62" i="28"/>
  <c r="U62" i="28"/>
  <c r="T62" i="28"/>
  <c r="S62" i="28"/>
  <c r="R62" i="28"/>
  <c r="Q62" i="28"/>
  <c r="P62" i="28"/>
  <c r="O62" i="28"/>
  <c r="N62" i="28"/>
  <c r="M62" i="28"/>
  <c r="L62" i="28"/>
  <c r="K62" i="28"/>
  <c r="J62" i="28"/>
  <c r="I62" i="28"/>
  <c r="H62" i="28"/>
  <c r="G62" i="28"/>
  <c r="F62" i="28"/>
  <c r="E62" i="28"/>
  <c r="D62" i="28"/>
  <c r="C62" i="28"/>
  <c r="B62" i="28"/>
  <c r="Y61" i="28"/>
  <c r="X61" i="28"/>
  <c r="W61" i="28"/>
  <c r="V61" i="28"/>
  <c r="U61" i="28"/>
  <c r="T61" i="28"/>
  <c r="S61" i="28"/>
  <c r="R61" i="28"/>
  <c r="Q61" i="28"/>
  <c r="P61" i="28"/>
  <c r="O61" i="28"/>
  <c r="N61" i="28"/>
  <c r="M61" i="28"/>
  <c r="L61" i="28"/>
  <c r="K61" i="28"/>
  <c r="J61" i="28"/>
  <c r="I61" i="28"/>
  <c r="H61" i="28"/>
  <c r="G61" i="28"/>
  <c r="F61" i="28"/>
  <c r="E61" i="28"/>
  <c r="D61" i="28"/>
  <c r="C61" i="28"/>
  <c r="B61" i="28"/>
  <c r="Y60" i="28"/>
  <c r="X60" i="28"/>
  <c r="W60" i="28"/>
  <c r="V60" i="28"/>
  <c r="U60" i="28"/>
  <c r="T60" i="28"/>
  <c r="S60" i="28"/>
  <c r="R60" i="28"/>
  <c r="Q60" i="28"/>
  <c r="P60" i="28"/>
  <c r="O60" i="28"/>
  <c r="N60" i="28"/>
  <c r="M60" i="28"/>
  <c r="L60" i="28"/>
  <c r="K60" i="28"/>
  <c r="J60" i="28"/>
  <c r="I60" i="28"/>
  <c r="H60" i="28"/>
  <c r="G60" i="28"/>
  <c r="F60" i="28"/>
  <c r="E60" i="28"/>
  <c r="D60" i="28"/>
  <c r="C60" i="28"/>
  <c r="B60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56" i="28"/>
  <c r="Y55" i="28"/>
  <c r="X55" i="28"/>
  <c r="W55" i="28"/>
  <c r="V55" i="28"/>
  <c r="U55" i="28"/>
  <c r="T55" i="28"/>
  <c r="S55" i="28"/>
  <c r="R55" i="28"/>
  <c r="Q55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B55" i="28"/>
  <c r="Y54" i="28"/>
  <c r="X54" i="28"/>
  <c r="W54" i="28"/>
  <c r="V54" i="28"/>
  <c r="U54" i="28"/>
  <c r="T54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B54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53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52" i="28"/>
  <c r="Y51" i="28"/>
  <c r="X51" i="28"/>
  <c r="W51" i="28"/>
  <c r="V51" i="28"/>
  <c r="U51" i="28"/>
  <c r="T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B51" i="28"/>
  <c r="Y50" i="28"/>
  <c r="X50" i="28"/>
  <c r="W50" i="28"/>
  <c r="V50" i="28"/>
  <c r="U50" i="28"/>
  <c r="T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B50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B49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45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B44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B43" i="28"/>
  <c r="Y42" i="28"/>
  <c r="X42" i="28"/>
  <c r="W42" i="28"/>
  <c r="V42" i="28"/>
  <c r="U42" i="28"/>
  <c r="T42" i="28"/>
  <c r="S42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B42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B41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B40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Y99" i="27"/>
  <c r="X99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B98" i="27"/>
  <c r="Y97" i="27"/>
  <c r="X97" i="27"/>
  <c r="W97" i="27"/>
  <c r="V97" i="27"/>
  <c r="U97" i="27"/>
  <c r="T97" i="27"/>
  <c r="S97" i="27"/>
  <c r="R97" i="27"/>
  <c r="Q97" i="27"/>
  <c r="P97" i="27"/>
  <c r="O97" i="27"/>
  <c r="N97" i="27"/>
  <c r="M97" i="27"/>
  <c r="L97" i="27"/>
  <c r="K97" i="27"/>
  <c r="J97" i="27"/>
  <c r="I97" i="27"/>
  <c r="H97" i="27"/>
  <c r="G97" i="27"/>
  <c r="F97" i="27"/>
  <c r="E97" i="27"/>
  <c r="D97" i="27"/>
  <c r="C97" i="27"/>
  <c r="B97" i="27"/>
  <c r="Y96" i="27"/>
  <c r="X96" i="27"/>
  <c r="W96" i="27"/>
  <c r="V96" i="27"/>
  <c r="U96" i="27"/>
  <c r="T96" i="27"/>
  <c r="S96" i="27"/>
  <c r="R96" i="27"/>
  <c r="Q96" i="27"/>
  <c r="P96" i="27"/>
  <c r="O96" i="27"/>
  <c r="N96" i="27"/>
  <c r="M96" i="27"/>
  <c r="L96" i="27"/>
  <c r="K96" i="27"/>
  <c r="J96" i="27"/>
  <c r="I96" i="27"/>
  <c r="H96" i="27"/>
  <c r="G96" i="27"/>
  <c r="F96" i="27"/>
  <c r="E96" i="27"/>
  <c r="D96" i="27"/>
  <c r="C96" i="27"/>
  <c r="B96" i="27"/>
  <c r="Y95" i="27"/>
  <c r="X95" i="27"/>
  <c r="W95" i="27"/>
  <c r="V95" i="27"/>
  <c r="U95" i="27"/>
  <c r="T95" i="27"/>
  <c r="S95" i="27"/>
  <c r="R95" i="27"/>
  <c r="Q95" i="27"/>
  <c r="P95" i="27"/>
  <c r="O95" i="27"/>
  <c r="N95" i="27"/>
  <c r="M95" i="27"/>
  <c r="L95" i="27"/>
  <c r="K95" i="27"/>
  <c r="J95" i="27"/>
  <c r="I95" i="27"/>
  <c r="H95" i="27"/>
  <c r="G95" i="27"/>
  <c r="F95" i="27"/>
  <c r="E95" i="27"/>
  <c r="D95" i="27"/>
  <c r="C95" i="27"/>
  <c r="B95" i="27"/>
  <c r="Y94" i="27"/>
  <c r="X94" i="27"/>
  <c r="W94" i="27"/>
  <c r="V94" i="27"/>
  <c r="U94" i="27"/>
  <c r="T94" i="27"/>
  <c r="S94" i="27"/>
  <c r="R94" i="27"/>
  <c r="Q94" i="27"/>
  <c r="P94" i="27"/>
  <c r="O94" i="27"/>
  <c r="N94" i="27"/>
  <c r="M94" i="27"/>
  <c r="L94" i="27"/>
  <c r="K94" i="27"/>
  <c r="J94" i="27"/>
  <c r="I94" i="27"/>
  <c r="H94" i="27"/>
  <c r="G94" i="27"/>
  <c r="F94" i="27"/>
  <c r="E94" i="27"/>
  <c r="D94" i="27"/>
  <c r="C94" i="27"/>
  <c r="B94" i="27"/>
  <c r="Y93" i="27"/>
  <c r="X93" i="27"/>
  <c r="W93" i="27"/>
  <c r="V93" i="27"/>
  <c r="U93" i="27"/>
  <c r="T93" i="27"/>
  <c r="S93" i="27"/>
  <c r="R93" i="27"/>
  <c r="Q93" i="27"/>
  <c r="P93" i="27"/>
  <c r="O93" i="27"/>
  <c r="N93" i="27"/>
  <c r="M93" i="27"/>
  <c r="L93" i="27"/>
  <c r="K93" i="27"/>
  <c r="J93" i="27"/>
  <c r="I93" i="27"/>
  <c r="H93" i="27"/>
  <c r="G93" i="27"/>
  <c r="F93" i="27"/>
  <c r="E93" i="27"/>
  <c r="D93" i="27"/>
  <c r="C93" i="27"/>
  <c r="B93" i="27"/>
  <c r="Y89" i="27"/>
  <c r="X89" i="27"/>
  <c r="W89" i="27"/>
  <c r="V89" i="27"/>
  <c r="U89" i="27"/>
  <c r="T89" i="27"/>
  <c r="S89" i="27"/>
  <c r="R89" i="27"/>
  <c r="Q89" i="27"/>
  <c r="P89" i="27"/>
  <c r="O89" i="27"/>
  <c r="N89" i="27"/>
  <c r="M89" i="27"/>
  <c r="L89" i="27"/>
  <c r="K89" i="27"/>
  <c r="J89" i="27"/>
  <c r="I89" i="27"/>
  <c r="H89" i="27"/>
  <c r="G89" i="27"/>
  <c r="F89" i="27"/>
  <c r="E89" i="27"/>
  <c r="D89" i="27"/>
  <c r="C89" i="27"/>
  <c r="B89" i="27"/>
  <c r="Y88" i="27"/>
  <c r="X88" i="27"/>
  <c r="W88" i="27"/>
  <c r="V88" i="27"/>
  <c r="U88" i="27"/>
  <c r="T88" i="27"/>
  <c r="S88" i="27"/>
  <c r="R88" i="27"/>
  <c r="Q88" i="27"/>
  <c r="P88" i="27"/>
  <c r="O88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B88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Y86" i="27"/>
  <c r="X86" i="27"/>
  <c r="W86" i="27"/>
  <c r="V86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B86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B84" i="27"/>
  <c r="Y83" i="27"/>
  <c r="X83" i="27"/>
  <c r="W83" i="27"/>
  <c r="V83" i="27"/>
  <c r="U83" i="27"/>
  <c r="T83" i="27"/>
  <c r="S83" i="27"/>
  <c r="R83" i="27"/>
  <c r="Q83" i="27"/>
  <c r="P83" i="27"/>
  <c r="O83" i="27"/>
  <c r="N83" i="27"/>
  <c r="M83" i="27"/>
  <c r="L83" i="27"/>
  <c r="K83" i="27"/>
  <c r="J83" i="27"/>
  <c r="I83" i="27"/>
  <c r="H83" i="27"/>
  <c r="G83" i="27"/>
  <c r="F83" i="27"/>
  <c r="E83" i="27"/>
  <c r="D83" i="27"/>
  <c r="C83" i="27"/>
  <c r="B83" i="27"/>
  <c r="Y82" i="27"/>
  <c r="X82" i="27"/>
  <c r="W82" i="27"/>
  <c r="V82" i="27"/>
  <c r="U82" i="27"/>
  <c r="T82" i="27"/>
  <c r="S82" i="27"/>
  <c r="R82" i="27"/>
  <c r="Q82" i="27"/>
  <c r="P82" i="27"/>
  <c r="O82" i="27"/>
  <c r="N82" i="27"/>
  <c r="M82" i="27"/>
  <c r="L82" i="27"/>
  <c r="K82" i="27"/>
  <c r="J82" i="27"/>
  <c r="I82" i="27"/>
  <c r="H82" i="27"/>
  <c r="G82" i="27"/>
  <c r="F82" i="27"/>
  <c r="E82" i="27"/>
  <c r="D82" i="27"/>
  <c r="C82" i="27"/>
  <c r="B82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B77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B76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B75" i="27"/>
  <c r="Y74" i="27"/>
  <c r="X74" i="27"/>
  <c r="W74" i="27"/>
  <c r="V74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B74" i="27"/>
  <c r="Y73" i="27"/>
  <c r="X73" i="27"/>
  <c r="W73" i="27"/>
  <c r="V73" i="27"/>
  <c r="U73" i="27"/>
  <c r="T73" i="27"/>
  <c r="S73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E73" i="27"/>
  <c r="D73" i="27"/>
  <c r="C73" i="27"/>
  <c r="B73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B72" i="27"/>
  <c r="Y71" i="27"/>
  <c r="X71" i="27"/>
  <c r="W71" i="27"/>
  <c r="V71" i="27"/>
  <c r="U71" i="27"/>
  <c r="T71" i="27"/>
  <c r="S71" i="27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E71" i="27"/>
  <c r="D71" i="27"/>
  <c r="C71" i="27"/>
  <c r="B71" i="27"/>
  <c r="Y67" i="27"/>
  <c r="X67" i="27"/>
  <c r="W67" i="27"/>
  <c r="V67" i="27"/>
  <c r="U67" i="27"/>
  <c r="T67" i="27"/>
  <c r="S67" i="27"/>
  <c r="R67" i="27"/>
  <c r="Q67" i="27"/>
  <c r="P67" i="27"/>
  <c r="O67" i="27"/>
  <c r="N67" i="27"/>
  <c r="M67" i="27"/>
  <c r="L67" i="27"/>
  <c r="K67" i="27"/>
  <c r="J67" i="27"/>
  <c r="I67" i="27"/>
  <c r="H67" i="27"/>
  <c r="G67" i="27"/>
  <c r="F67" i="27"/>
  <c r="E67" i="27"/>
  <c r="D67" i="27"/>
  <c r="C67" i="27"/>
  <c r="B67" i="27"/>
  <c r="Y66" i="27"/>
  <c r="X66" i="27"/>
  <c r="W66" i="27"/>
  <c r="V66" i="27"/>
  <c r="U66" i="27"/>
  <c r="T66" i="27"/>
  <c r="S66" i="27"/>
  <c r="R66" i="27"/>
  <c r="Q66" i="27"/>
  <c r="P66" i="27"/>
  <c r="O66" i="27"/>
  <c r="N66" i="27"/>
  <c r="M66" i="27"/>
  <c r="L66" i="27"/>
  <c r="K66" i="27"/>
  <c r="J66" i="27"/>
  <c r="I66" i="27"/>
  <c r="H66" i="27"/>
  <c r="G66" i="27"/>
  <c r="F66" i="27"/>
  <c r="E66" i="27"/>
  <c r="D66" i="27"/>
  <c r="C66" i="27"/>
  <c r="B66" i="27"/>
  <c r="Y65" i="27"/>
  <c r="X65" i="27"/>
  <c r="W65" i="27"/>
  <c r="V65" i="27"/>
  <c r="U65" i="27"/>
  <c r="T65" i="27"/>
  <c r="S65" i="27"/>
  <c r="R65" i="27"/>
  <c r="Q65" i="27"/>
  <c r="P65" i="27"/>
  <c r="O65" i="27"/>
  <c r="N65" i="27"/>
  <c r="M65" i="27"/>
  <c r="L65" i="27"/>
  <c r="K65" i="27"/>
  <c r="J65" i="27"/>
  <c r="I65" i="27"/>
  <c r="H65" i="27"/>
  <c r="G65" i="27"/>
  <c r="F65" i="27"/>
  <c r="E65" i="27"/>
  <c r="D65" i="27"/>
  <c r="C65" i="27"/>
  <c r="B65" i="27"/>
  <c r="Y64" i="27"/>
  <c r="X64" i="27"/>
  <c r="W64" i="27"/>
  <c r="V64" i="27"/>
  <c r="U64" i="27"/>
  <c r="T64" i="27"/>
  <c r="S64" i="27"/>
  <c r="R64" i="27"/>
  <c r="Q64" i="27"/>
  <c r="P64" i="27"/>
  <c r="O64" i="27"/>
  <c r="N64" i="27"/>
  <c r="M64" i="27"/>
  <c r="L64" i="27"/>
  <c r="K64" i="27"/>
  <c r="J64" i="27"/>
  <c r="I64" i="27"/>
  <c r="H64" i="27"/>
  <c r="G64" i="27"/>
  <c r="F64" i="27"/>
  <c r="E64" i="27"/>
  <c r="D64" i="27"/>
  <c r="C64" i="27"/>
  <c r="B64" i="27"/>
  <c r="Y63" i="27"/>
  <c r="X63" i="27"/>
  <c r="W63" i="27"/>
  <c r="V63" i="27"/>
  <c r="U63" i="27"/>
  <c r="T63" i="27"/>
  <c r="S63" i="27"/>
  <c r="R63" i="27"/>
  <c r="Q63" i="27"/>
  <c r="P63" i="27"/>
  <c r="O63" i="27"/>
  <c r="N63" i="27"/>
  <c r="M63" i="27"/>
  <c r="L63" i="27"/>
  <c r="K63" i="27"/>
  <c r="J63" i="27"/>
  <c r="I63" i="27"/>
  <c r="H63" i="27"/>
  <c r="G63" i="27"/>
  <c r="F63" i="27"/>
  <c r="E63" i="27"/>
  <c r="D63" i="27"/>
  <c r="C63" i="27"/>
  <c r="B63" i="27"/>
  <c r="Y62" i="27"/>
  <c r="X62" i="27"/>
  <c r="W62" i="27"/>
  <c r="V62" i="27"/>
  <c r="U62" i="27"/>
  <c r="T62" i="27"/>
  <c r="S62" i="27"/>
  <c r="R62" i="27"/>
  <c r="Q62" i="27"/>
  <c r="P62" i="27"/>
  <c r="O62" i="27"/>
  <c r="N62" i="27"/>
  <c r="M62" i="27"/>
  <c r="L62" i="27"/>
  <c r="K62" i="27"/>
  <c r="J62" i="27"/>
  <c r="I62" i="27"/>
  <c r="H62" i="27"/>
  <c r="G62" i="27"/>
  <c r="F62" i="27"/>
  <c r="E62" i="27"/>
  <c r="D62" i="27"/>
  <c r="C62" i="27"/>
  <c r="B62" i="27"/>
  <c r="Y61" i="27"/>
  <c r="X61" i="27"/>
  <c r="W61" i="27"/>
  <c r="V61" i="27"/>
  <c r="U61" i="27"/>
  <c r="T61" i="27"/>
  <c r="S61" i="27"/>
  <c r="R61" i="27"/>
  <c r="Q61" i="27"/>
  <c r="P61" i="27"/>
  <c r="O61" i="27"/>
  <c r="N61" i="27"/>
  <c r="M61" i="27"/>
  <c r="L61" i="27"/>
  <c r="K61" i="27"/>
  <c r="J61" i="27"/>
  <c r="I61" i="27"/>
  <c r="H61" i="27"/>
  <c r="G61" i="27"/>
  <c r="F61" i="27"/>
  <c r="E61" i="27"/>
  <c r="D61" i="27"/>
  <c r="C61" i="27"/>
  <c r="B61" i="27"/>
  <c r="Y60" i="27"/>
  <c r="X60" i="27"/>
  <c r="W60" i="27"/>
  <c r="V60" i="27"/>
  <c r="U60" i="27"/>
  <c r="T60" i="27"/>
  <c r="S60" i="27"/>
  <c r="R60" i="27"/>
  <c r="Q60" i="27"/>
  <c r="P60" i="27"/>
  <c r="O60" i="27"/>
  <c r="N60" i="27"/>
  <c r="M60" i="27"/>
  <c r="L60" i="27"/>
  <c r="K60" i="27"/>
  <c r="J60" i="27"/>
  <c r="I60" i="27"/>
  <c r="H60" i="27"/>
  <c r="G60" i="27"/>
  <c r="F60" i="27"/>
  <c r="E60" i="27"/>
  <c r="D60" i="27"/>
  <c r="C60" i="27"/>
  <c r="B60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Y55" i="27"/>
  <c r="X55" i="27"/>
  <c r="W55" i="27"/>
  <c r="V55" i="27"/>
  <c r="U55" i="27"/>
  <c r="T55" i="27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B55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B54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52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51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50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49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B45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42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Y99" i="26"/>
  <c r="X99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Y98" i="26"/>
  <c r="X98" i="26"/>
  <c r="W98" i="26"/>
  <c r="V98" i="26"/>
  <c r="U98" i="26"/>
  <c r="T98" i="26"/>
  <c r="S98" i="26"/>
  <c r="R98" i="26"/>
  <c r="Q98" i="26"/>
  <c r="P98" i="26"/>
  <c r="O98" i="26"/>
  <c r="N98" i="26"/>
  <c r="M98" i="26"/>
  <c r="L98" i="26"/>
  <c r="K98" i="26"/>
  <c r="J98" i="26"/>
  <c r="I98" i="26"/>
  <c r="H98" i="26"/>
  <c r="G98" i="26"/>
  <c r="F98" i="26"/>
  <c r="E98" i="26"/>
  <c r="D98" i="26"/>
  <c r="C98" i="26"/>
  <c r="B98" i="26"/>
  <c r="Y97" i="26"/>
  <c r="X97" i="26"/>
  <c r="W97" i="26"/>
  <c r="V97" i="26"/>
  <c r="U97" i="26"/>
  <c r="T97" i="26"/>
  <c r="S97" i="26"/>
  <c r="R97" i="26"/>
  <c r="Q97" i="26"/>
  <c r="P97" i="26"/>
  <c r="O97" i="26"/>
  <c r="N97" i="26"/>
  <c r="M97" i="26"/>
  <c r="L97" i="26"/>
  <c r="K97" i="26"/>
  <c r="J97" i="26"/>
  <c r="I97" i="26"/>
  <c r="H97" i="26"/>
  <c r="G97" i="26"/>
  <c r="F97" i="26"/>
  <c r="E97" i="26"/>
  <c r="D97" i="26"/>
  <c r="C97" i="26"/>
  <c r="B97" i="26"/>
  <c r="Y96" i="26"/>
  <c r="X96" i="26"/>
  <c r="W96" i="26"/>
  <c r="V96" i="26"/>
  <c r="U96" i="26"/>
  <c r="T96" i="26"/>
  <c r="S96" i="26"/>
  <c r="R96" i="26"/>
  <c r="Q96" i="26"/>
  <c r="P96" i="26"/>
  <c r="O96" i="26"/>
  <c r="N96" i="26"/>
  <c r="M96" i="26"/>
  <c r="L96" i="26"/>
  <c r="K96" i="26"/>
  <c r="J96" i="26"/>
  <c r="I96" i="26"/>
  <c r="H96" i="26"/>
  <c r="G96" i="26"/>
  <c r="F96" i="26"/>
  <c r="E96" i="26"/>
  <c r="D96" i="26"/>
  <c r="C96" i="26"/>
  <c r="B96" i="26"/>
  <c r="Y95" i="26"/>
  <c r="X95" i="26"/>
  <c r="W95" i="26"/>
  <c r="V95" i="26"/>
  <c r="U95" i="26"/>
  <c r="T95" i="26"/>
  <c r="S95" i="26"/>
  <c r="R95" i="26"/>
  <c r="Q95" i="26"/>
  <c r="P95" i="26"/>
  <c r="O95" i="26"/>
  <c r="N95" i="26"/>
  <c r="M95" i="26"/>
  <c r="L95" i="26"/>
  <c r="K95" i="26"/>
  <c r="J95" i="26"/>
  <c r="I95" i="26"/>
  <c r="H95" i="26"/>
  <c r="G95" i="26"/>
  <c r="F95" i="26"/>
  <c r="E95" i="26"/>
  <c r="D95" i="26"/>
  <c r="C95" i="26"/>
  <c r="B95" i="26"/>
  <c r="Y94" i="26"/>
  <c r="X94" i="26"/>
  <c r="W94" i="26"/>
  <c r="V94" i="26"/>
  <c r="U94" i="26"/>
  <c r="T94" i="26"/>
  <c r="S94" i="26"/>
  <c r="R94" i="26"/>
  <c r="Q94" i="26"/>
  <c r="P94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B94" i="26"/>
  <c r="Y93" i="26"/>
  <c r="X93" i="26"/>
  <c r="W93" i="26"/>
  <c r="V93" i="26"/>
  <c r="U93" i="26"/>
  <c r="T93" i="26"/>
  <c r="S93" i="26"/>
  <c r="R93" i="26"/>
  <c r="Q93" i="26"/>
  <c r="P93" i="26"/>
  <c r="O93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B93" i="26"/>
  <c r="Y89" i="26"/>
  <c r="X89" i="26"/>
  <c r="W89" i="26"/>
  <c r="V89" i="26"/>
  <c r="U89" i="26"/>
  <c r="T89" i="26"/>
  <c r="S89" i="26"/>
  <c r="R89" i="26"/>
  <c r="Q89" i="26"/>
  <c r="P89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B89" i="26"/>
  <c r="Y88" i="26"/>
  <c r="X88" i="26"/>
  <c r="W88" i="26"/>
  <c r="V88" i="26"/>
  <c r="U88" i="26"/>
  <c r="T88" i="26"/>
  <c r="S88" i="26"/>
  <c r="R88" i="26"/>
  <c r="Q88" i="26"/>
  <c r="P88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B88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B87" i="26"/>
  <c r="Y86" i="26"/>
  <c r="X86" i="26"/>
  <c r="W86" i="26"/>
  <c r="V86" i="26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B86" i="26"/>
  <c r="Y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85" i="26"/>
  <c r="Y84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B84" i="26"/>
  <c r="Y83" i="26"/>
  <c r="X83" i="26"/>
  <c r="W83" i="26"/>
  <c r="V83" i="26"/>
  <c r="U83" i="26"/>
  <c r="T83" i="26"/>
  <c r="S83" i="26"/>
  <c r="R83" i="26"/>
  <c r="Q83" i="26"/>
  <c r="P83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B83" i="26"/>
  <c r="Y82" i="26"/>
  <c r="X82" i="26"/>
  <c r="W82" i="26"/>
  <c r="V82" i="26"/>
  <c r="U82" i="26"/>
  <c r="T82" i="26"/>
  <c r="S82" i="26"/>
  <c r="R82" i="26"/>
  <c r="Q82" i="26"/>
  <c r="P82" i="26"/>
  <c r="O82" i="26"/>
  <c r="N82" i="26"/>
  <c r="M82" i="26"/>
  <c r="L82" i="26"/>
  <c r="K82" i="26"/>
  <c r="J82" i="26"/>
  <c r="I82" i="26"/>
  <c r="H82" i="26"/>
  <c r="G82" i="26"/>
  <c r="F82" i="26"/>
  <c r="E82" i="26"/>
  <c r="D82" i="26"/>
  <c r="C82" i="26"/>
  <c r="B82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Y76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B76" i="26"/>
  <c r="Y75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B75" i="26"/>
  <c r="Y74" i="26"/>
  <c r="X74" i="26"/>
  <c r="W74" i="26"/>
  <c r="V74" i="26"/>
  <c r="U74" i="26"/>
  <c r="T74" i="26"/>
  <c r="S74" i="26"/>
  <c r="R74" i="26"/>
  <c r="Q74" i="26"/>
  <c r="P74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B74" i="26"/>
  <c r="Y73" i="26"/>
  <c r="X73" i="26"/>
  <c r="W73" i="26"/>
  <c r="V73" i="26"/>
  <c r="U73" i="26"/>
  <c r="T73" i="26"/>
  <c r="S73" i="26"/>
  <c r="R73" i="26"/>
  <c r="Q73" i="26"/>
  <c r="P73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B73" i="26"/>
  <c r="Y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B72" i="26"/>
  <c r="Y71" i="26"/>
  <c r="X71" i="26"/>
  <c r="W71" i="26"/>
  <c r="V71" i="26"/>
  <c r="U71" i="26"/>
  <c r="T71" i="26"/>
  <c r="S71" i="26"/>
  <c r="R71" i="26"/>
  <c r="Q71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B71" i="26"/>
  <c r="Y67" i="26"/>
  <c r="X67" i="26"/>
  <c r="W67" i="26"/>
  <c r="V67" i="26"/>
  <c r="U67" i="26"/>
  <c r="T67" i="26"/>
  <c r="S67" i="26"/>
  <c r="R67" i="26"/>
  <c r="Q67" i="26"/>
  <c r="P67" i="26"/>
  <c r="O67" i="26"/>
  <c r="N67" i="26"/>
  <c r="M67" i="26"/>
  <c r="L67" i="26"/>
  <c r="K67" i="26"/>
  <c r="J67" i="26"/>
  <c r="I67" i="26"/>
  <c r="H67" i="26"/>
  <c r="G67" i="26"/>
  <c r="F67" i="26"/>
  <c r="E67" i="26"/>
  <c r="D67" i="26"/>
  <c r="C67" i="26"/>
  <c r="B67" i="26"/>
  <c r="Y66" i="26"/>
  <c r="X66" i="26"/>
  <c r="W66" i="26"/>
  <c r="V66" i="26"/>
  <c r="U66" i="26"/>
  <c r="T66" i="26"/>
  <c r="S66" i="26"/>
  <c r="R66" i="26"/>
  <c r="Q66" i="26"/>
  <c r="P66" i="26"/>
  <c r="O66" i="26"/>
  <c r="N66" i="26"/>
  <c r="M66" i="26"/>
  <c r="L66" i="26"/>
  <c r="K66" i="26"/>
  <c r="J66" i="26"/>
  <c r="I66" i="26"/>
  <c r="H66" i="26"/>
  <c r="G66" i="26"/>
  <c r="F66" i="26"/>
  <c r="E66" i="26"/>
  <c r="D66" i="26"/>
  <c r="C66" i="26"/>
  <c r="B66" i="26"/>
  <c r="Y65" i="26"/>
  <c r="X65" i="26"/>
  <c r="W65" i="26"/>
  <c r="V65" i="26"/>
  <c r="U65" i="26"/>
  <c r="T65" i="26"/>
  <c r="S65" i="26"/>
  <c r="R65" i="26"/>
  <c r="Q65" i="26"/>
  <c r="P65" i="26"/>
  <c r="O65" i="26"/>
  <c r="N65" i="26"/>
  <c r="M65" i="26"/>
  <c r="L65" i="26"/>
  <c r="K65" i="26"/>
  <c r="J65" i="26"/>
  <c r="I65" i="26"/>
  <c r="H65" i="26"/>
  <c r="G65" i="26"/>
  <c r="F65" i="26"/>
  <c r="E65" i="26"/>
  <c r="D65" i="26"/>
  <c r="C65" i="26"/>
  <c r="B65" i="26"/>
  <c r="Y64" i="26"/>
  <c r="X64" i="26"/>
  <c r="W64" i="26"/>
  <c r="V64" i="26"/>
  <c r="U64" i="26"/>
  <c r="T64" i="26"/>
  <c r="S64" i="26"/>
  <c r="R64" i="26"/>
  <c r="Q64" i="26"/>
  <c r="P64" i="26"/>
  <c r="O64" i="26"/>
  <c r="N64" i="26"/>
  <c r="M64" i="26"/>
  <c r="L64" i="26"/>
  <c r="K64" i="26"/>
  <c r="J64" i="26"/>
  <c r="I64" i="26"/>
  <c r="H64" i="26"/>
  <c r="G64" i="26"/>
  <c r="F64" i="26"/>
  <c r="E64" i="26"/>
  <c r="D64" i="26"/>
  <c r="C64" i="26"/>
  <c r="B64" i="26"/>
  <c r="Y63" i="26"/>
  <c r="X63" i="26"/>
  <c r="W63" i="26"/>
  <c r="V63" i="26"/>
  <c r="U63" i="26"/>
  <c r="T63" i="26"/>
  <c r="S63" i="26"/>
  <c r="R63" i="26"/>
  <c r="Q63" i="26"/>
  <c r="P63" i="26"/>
  <c r="O63" i="26"/>
  <c r="N63" i="26"/>
  <c r="M63" i="26"/>
  <c r="L63" i="26"/>
  <c r="K63" i="26"/>
  <c r="J63" i="26"/>
  <c r="I63" i="26"/>
  <c r="H63" i="26"/>
  <c r="G63" i="26"/>
  <c r="F63" i="26"/>
  <c r="E63" i="26"/>
  <c r="D63" i="26"/>
  <c r="C63" i="26"/>
  <c r="B63" i="26"/>
  <c r="Y62" i="26"/>
  <c r="X62" i="26"/>
  <c r="W62" i="26"/>
  <c r="V62" i="26"/>
  <c r="U62" i="26"/>
  <c r="T62" i="26"/>
  <c r="S62" i="26"/>
  <c r="R62" i="26"/>
  <c r="Q62" i="26"/>
  <c r="P62" i="26"/>
  <c r="O62" i="26"/>
  <c r="N62" i="26"/>
  <c r="M62" i="26"/>
  <c r="L62" i="26"/>
  <c r="K62" i="26"/>
  <c r="J62" i="26"/>
  <c r="I62" i="26"/>
  <c r="H62" i="26"/>
  <c r="G62" i="26"/>
  <c r="F62" i="26"/>
  <c r="E62" i="26"/>
  <c r="D62" i="26"/>
  <c r="C62" i="26"/>
  <c r="B62" i="26"/>
  <c r="Y61" i="26"/>
  <c r="X61" i="26"/>
  <c r="W61" i="26"/>
  <c r="V61" i="26"/>
  <c r="U61" i="26"/>
  <c r="T61" i="26"/>
  <c r="S61" i="26"/>
  <c r="R61" i="26"/>
  <c r="Q61" i="26"/>
  <c r="P61" i="26"/>
  <c r="O61" i="26"/>
  <c r="N61" i="26"/>
  <c r="M61" i="26"/>
  <c r="L61" i="26"/>
  <c r="K61" i="26"/>
  <c r="J61" i="26"/>
  <c r="I61" i="26"/>
  <c r="H61" i="26"/>
  <c r="G61" i="26"/>
  <c r="F61" i="26"/>
  <c r="E61" i="26"/>
  <c r="D61" i="26"/>
  <c r="C61" i="26"/>
  <c r="B61" i="26"/>
  <c r="Y60" i="26"/>
  <c r="X60" i="26"/>
  <c r="W60" i="26"/>
  <c r="V60" i="26"/>
  <c r="U60" i="26"/>
  <c r="T60" i="26"/>
  <c r="S60" i="26"/>
  <c r="R60" i="26"/>
  <c r="Q60" i="26"/>
  <c r="P60" i="26"/>
  <c r="O60" i="26"/>
  <c r="N60" i="26"/>
  <c r="M60" i="26"/>
  <c r="L60" i="26"/>
  <c r="K60" i="26"/>
  <c r="J60" i="26"/>
  <c r="I60" i="26"/>
  <c r="H60" i="26"/>
  <c r="G60" i="26"/>
  <c r="F60" i="26"/>
  <c r="E60" i="26"/>
  <c r="D60" i="26"/>
  <c r="C60" i="26"/>
  <c r="B60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Y55" i="26"/>
  <c r="X55" i="26"/>
  <c r="W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B55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B54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B53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B52" i="26"/>
  <c r="Y51" i="26"/>
  <c r="X51" i="26"/>
  <c r="W51" i="26"/>
  <c r="V51" i="26"/>
  <c r="U51" i="26"/>
  <c r="T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B51" i="26"/>
  <c r="Y50" i="26"/>
  <c r="X50" i="26"/>
  <c r="W50" i="26"/>
  <c r="V50" i="26"/>
  <c r="U50" i="26"/>
  <c r="T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B50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B49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B45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B44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B43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B42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B41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B28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B22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0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B19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B18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B16" i="26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Y99" i="25"/>
  <c r="X99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B98" i="25"/>
  <c r="Y97" i="25"/>
  <c r="X97" i="25"/>
  <c r="W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Y96" i="25"/>
  <c r="X96" i="25"/>
  <c r="W96" i="25"/>
  <c r="V96" i="25"/>
  <c r="U96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Y95" i="25"/>
  <c r="X95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B95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B94" i="25"/>
  <c r="Y93" i="25"/>
  <c r="X93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B93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Y67" i="25"/>
  <c r="X67" i="25"/>
  <c r="W67" i="25"/>
  <c r="V67" i="25"/>
  <c r="U67" i="25"/>
  <c r="T67" i="25"/>
  <c r="S67" i="25"/>
  <c r="R67" i="25"/>
  <c r="Q67" i="25"/>
  <c r="P67" i="25"/>
  <c r="O67" i="25"/>
  <c r="N67" i="25"/>
  <c r="M67" i="25"/>
  <c r="L67" i="25"/>
  <c r="K67" i="25"/>
  <c r="J67" i="25"/>
  <c r="I67" i="25"/>
  <c r="H67" i="25"/>
  <c r="G67" i="25"/>
  <c r="F67" i="25"/>
  <c r="E67" i="25"/>
  <c r="D67" i="25"/>
  <c r="C67" i="25"/>
  <c r="B67" i="25"/>
  <c r="Y66" i="25"/>
  <c r="X66" i="25"/>
  <c r="W66" i="25"/>
  <c r="V66" i="25"/>
  <c r="U66" i="25"/>
  <c r="T66" i="25"/>
  <c r="S66" i="25"/>
  <c r="R66" i="25"/>
  <c r="Q66" i="25"/>
  <c r="P66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B66" i="25"/>
  <c r="Y65" i="25"/>
  <c r="X65" i="25"/>
  <c r="W65" i="25"/>
  <c r="V65" i="25"/>
  <c r="U65" i="25"/>
  <c r="T65" i="25"/>
  <c r="S65" i="25"/>
  <c r="R65" i="25"/>
  <c r="Q65" i="25"/>
  <c r="P65" i="25"/>
  <c r="O65" i="25"/>
  <c r="N65" i="25"/>
  <c r="M65" i="25"/>
  <c r="L65" i="25"/>
  <c r="K65" i="25"/>
  <c r="J65" i="25"/>
  <c r="I65" i="25"/>
  <c r="H65" i="25"/>
  <c r="G65" i="25"/>
  <c r="F65" i="25"/>
  <c r="E65" i="25"/>
  <c r="D65" i="25"/>
  <c r="C65" i="25"/>
  <c r="B65" i="25"/>
  <c r="Y64" i="25"/>
  <c r="X64" i="25"/>
  <c r="W64" i="25"/>
  <c r="V64" i="25"/>
  <c r="U64" i="25"/>
  <c r="T64" i="25"/>
  <c r="S64" i="25"/>
  <c r="R64" i="25"/>
  <c r="Q64" i="25"/>
  <c r="P64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B64" i="25"/>
  <c r="Y63" i="25"/>
  <c r="X63" i="25"/>
  <c r="W63" i="25"/>
  <c r="V63" i="25"/>
  <c r="U63" i="25"/>
  <c r="T63" i="25"/>
  <c r="S63" i="25"/>
  <c r="R63" i="25"/>
  <c r="Q63" i="25"/>
  <c r="P63" i="25"/>
  <c r="O63" i="25"/>
  <c r="N63" i="25"/>
  <c r="M63" i="25"/>
  <c r="L63" i="25"/>
  <c r="K63" i="25"/>
  <c r="J63" i="25"/>
  <c r="I63" i="25"/>
  <c r="H63" i="25"/>
  <c r="G63" i="25"/>
  <c r="F63" i="25"/>
  <c r="E63" i="25"/>
  <c r="D63" i="25"/>
  <c r="C63" i="25"/>
  <c r="B63" i="25"/>
  <c r="Y62" i="25"/>
  <c r="X62" i="25"/>
  <c r="W62" i="25"/>
  <c r="V62" i="25"/>
  <c r="U62" i="25"/>
  <c r="T62" i="25"/>
  <c r="S62" i="25"/>
  <c r="R62" i="25"/>
  <c r="Q62" i="25"/>
  <c r="P62" i="25"/>
  <c r="O62" i="25"/>
  <c r="N62" i="25"/>
  <c r="M62" i="25"/>
  <c r="L62" i="25"/>
  <c r="K62" i="25"/>
  <c r="J62" i="25"/>
  <c r="I62" i="25"/>
  <c r="H62" i="25"/>
  <c r="G62" i="25"/>
  <c r="F62" i="25"/>
  <c r="E62" i="25"/>
  <c r="D62" i="25"/>
  <c r="C62" i="25"/>
  <c r="B62" i="25"/>
  <c r="Y61" i="25"/>
  <c r="X61" i="25"/>
  <c r="W61" i="25"/>
  <c r="V61" i="25"/>
  <c r="U61" i="25"/>
  <c r="T61" i="25"/>
  <c r="S61" i="25"/>
  <c r="R61" i="25"/>
  <c r="Q61" i="25"/>
  <c r="P61" i="25"/>
  <c r="O61" i="25"/>
  <c r="N61" i="25"/>
  <c r="M61" i="25"/>
  <c r="L61" i="25"/>
  <c r="K61" i="25"/>
  <c r="J61" i="25"/>
  <c r="I61" i="25"/>
  <c r="H61" i="25"/>
  <c r="G61" i="25"/>
  <c r="F61" i="25"/>
  <c r="E61" i="25"/>
  <c r="D61" i="25"/>
  <c r="C61" i="25"/>
  <c r="B61" i="25"/>
  <c r="Y60" i="25"/>
  <c r="X60" i="25"/>
  <c r="W60" i="25"/>
  <c r="V60" i="25"/>
  <c r="U60" i="25"/>
  <c r="T60" i="25"/>
  <c r="S60" i="25"/>
  <c r="R60" i="25"/>
  <c r="Q60" i="25"/>
  <c r="P60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B60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B99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B98" i="24"/>
  <c r="Y97" i="24"/>
  <c r="X97" i="24"/>
  <c r="W97" i="24"/>
  <c r="V97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B97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B96" i="24"/>
  <c r="Y95" i="24"/>
  <c r="X95" i="24"/>
  <c r="W95" i="24"/>
  <c r="V95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B95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B94" i="24"/>
  <c r="Y93" i="24"/>
  <c r="X93" i="24"/>
  <c r="W93" i="24"/>
  <c r="V93" i="24"/>
  <c r="U93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B93" i="24"/>
  <c r="Y89" i="24"/>
  <c r="X89" i="24"/>
  <c r="W89" i="24"/>
  <c r="V89" i="24"/>
  <c r="U89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B89" i="24"/>
  <c r="Y88" i="24"/>
  <c r="X88" i="24"/>
  <c r="W88" i="24"/>
  <c r="V88" i="24"/>
  <c r="U88" i="24"/>
  <c r="T88" i="24"/>
  <c r="S88" i="24"/>
  <c r="R88" i="24"/>
  <c r="Q88" i="24"/>
  <c r="P88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B88" i="24"/>
  <c r="Y87" i="24"/>
  <c r="X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Y86" i="24"/>
  <c r="X86" i="24"/>
  <c r="W86" i="24"/>
  <c r="V86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Y83" i="24"/>
  <c r="X83" i="24"/>
  <c r="W83" i="24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B83" i="24"/>
  <c r="Y82" i="24"/>
  <c r="X82" i="24"/>
  <c r="W82" i="24"/>
  <c r="V82" i="24"/>
  <c r="U82" i="24"/>
  <c r="T82" i="24"/>
  <c r="S82" i="24"/>
  <c r="R82" i="24"/>
  <c r="Q82" i="24"/>
  <c r="P82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B82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B76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B75" i="24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B74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Y67" i="24"/>
  <c r="X67" i="24"/>
  <c r="W67" i="24"/>
  <c r="V67" i="24"/>
  <c r="U67" i="24"/>
  <c r="T67" i="24"/>
  <c r="S67" i="24"/>
  <c r="R67" i="24"/>
  <c r="Q67" i="24"/>
  <c r="P67" i="24"/>
  <c r="O67" i="24"/>
  <c r="N67" i="24"/>
  <c r="M67" i="24"/>
  <c r="L67" i="24"/>
  <c r="K67" i="24"/>
  <c r="J67" i="24"/>
  <c r="I67" i="24"/>
  <c r="H67" i="24"/>
  <c r="G67" i="24"/>
  <c r="F67" i="24"/>
  <c r="E67" i="24"/>
  <c r="D67" i="24"/>
  <c r="C67" i="24"/>
  <c r="B67" i="24"/>
  <c r="Y66" i="24"/>
  <c r="X66" i="24"/>
  <c r="W66" i="24"/>
  <c r="V66" i="24"/>
  <c r="U66" i="24"/>
  <c r="T66" i="24"/>
  <c r="S66" i="24"/>
  <c r="R66" i="24"/>
  <c r="Q66" i="24"/>
  <c r="P66" i="24"/>
  <c r="O66" i="24"/>
  <c r="N66" i="24"/>
  <c r="M66" i="24"/>
  <c r="L66" i="24"/>
  <c r="K66" i="24"/>
  <c r="J66" i="24"/>
  <c r="I66" i="24"/>
  <c r="H66" i="24"/>
  <c r="G66" i="24"/>
  <c r="F66" i="24"/>
  <c r="E66" i="24"/>
  <c r="D66" i="24"/>
  <c r="C66" i="24"/>
  <c r="B66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2" i="24"/>
  <c r="X62" i="24"/>
  <c r="W62" i="24"/>
  <c r="V62" i="24"/>
  <c r="U62" i="24"/>
  <c r="T62" i="24"/>
  <c r="S62" i="24"/>
  <c r="R62" i="24"/>
  <c r="Q62" i="24"/>
  <c r="P62" i="24"/>
  <c r="O62" i="24"/>
  <c r="N62" i="24"/>
  <c r="M62" i="24"/>
  <c r="L62" i="24"/>
  <c r="K62" i="24"/>
  <c r="J62" i="24"/>
  <c r="I62" i="24"/>
  <c r="H62" i="24"/>
  <c r="G62" i="24"/>
  <c r="F62" i="24"/>
  <c r="E62" i="24"/>
  <c r="D62" i="24"/>
  <c r="C62" i="24"/>
  <c r="B62" i="24"/>
  <c r="Y61" i="24"/>
  <c r="X61" i="24"/>
  <c r="W61" i="24"/>
  <c r="V61" i="24"/>
  <c r="U61" i="24"/>
  <c r="T61" i="24"/>
  <c r="S61" i="24"/>
  <c r="R61" i="24"/>
  <c r="Q61" i="24"/>
  <c r="P61" i="24"/>
  <c r="O61" i="24"/>
  <c r="N61" i="24"/>
  <c r="M61" i="24"/>
  <c r="L61" i="24"/>
  <c r="K61" i="24"/>
  <c r="J61" i="24"/>
  <c r="I61" i="24"/>
  <c r="H61" i="24"/>
  <c r="G61" i="24"/>
  <c r="F61" i="24"/>
  <c r="E61" i="24"/>
  <c r="D61" i="24"/>
  <c r="C61" i="24"/>
  <c r="B61" i="24"/>
  <c r="Y60" i="24"/>
  <c r="X60" i="24"/>
  <c r="W60" i="24"/>
  <c r="V60" i="24"/>
  <c r="U60" i="24"/>
  <c r="T60" i="24"/>
  <c r="S60" i="24"/>
  <c r="R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E60" i="24"/>
  <c r="D60" i="24"/>
  <c r="C60" i="24"/>
  <c r="B60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B54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Y51" i="24"/>
  <c r="X51" i="24"/>
  <c r="W51" i="24"/>
  <c r="V51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B51" i="24"/>
  <c r="Y50" i="24"/>
  <c r="X50" i="24"/>
  <c r="W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B50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B49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B100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B99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B98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B97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K96" i="23"/>
  <c r="J96" i="23"/>
  <c r="I96" i="23"/>
  <c r="H96" i="23"/>
  <c r="G96" i="23"/>
  <c r="F96" i="23"/>
  <c r="E96" i="23"/>
  <c r="D96" i="23"/>
  <c r="C96" i="23"/>
  <c r="B96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K95" i="23"/>
  <c r="J95" i="23"/>
  <c r="I95" i="23"/>
  <c r="H95" i="23"/>
  <c r="G95" i="23"/>
  <c r="F95" i="23"/>
  <c r="E95" i="23"/>
  <c r="D95" i="23"/>
  <c r="C95" i="23"/>
  <c r="B95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B94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B93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B89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B88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B86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B83" i="23"/>
  <c r="Y82" i="23"/>
  <c r="X82" i="23"/>
  <c r="W82" i="23"/>
  <c r="V82" i="23"/>
  <c r="U82" i="23"/>
  <c r="T82" i="23"/>
  <c r="S82" i="23"/>
  <c r="R82" i="23"/>
  <c r="Q82" i="23"/>
  <c r="P82" i="23"/>
  <c r="O82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B82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B75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B73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B71" i="23"/>
  <c r="Y67" i="23"/>
  <c r="X67" i="23"/>
  <c r="W67" i="23"/>
  <c r="V67" i="23"/>
  <c r="U67" i="23"/>
  <c r="T67" i="23"/>
  <c r="S67" i="23"/>
  <c r="R67" i="23"/>
  <c r="Q67" i="23"/>
  <c r="P67" i="23"/>
  <c r="O67" i="23"/>
  <c r="N67" i="23"/>
  <c r="M67" i="23"/>
  <c r="L67" i="23"/>
  <c r="K67" i="23"/>
  <c r="J67" i="23"/>
  <c r="I67" i="23"/>
  <c r="H67" i="23"/>
  <c r="G67" i="23"/>
  <c r="F67" i="23"/>
  <c r="E67" i="23"/>
  <c r="D67" i="23"/>
  <c r="C67" i="23"/>
  <c r="B67" i="23"/>
  <c r="Y66" i="23"/>
  <c r="X66" i="23"/>
  <c r="W66" i="23"/>
  <c r="V66" i="23"/>
  <c r="U66" i="23"/>
  <c r="T66" i="23"/>
  <c r="S66" i="23"/>
  <c r="R66" i="23"/>
  <c r="Q66" i="23"/>
  <c r="P66" i="23"/>
  <c r="O66" i="23"/>
  <c r="N66" i="23"/>
  <c r="M66" i="23"/>
  <c r="L66" i="23"/>
  <c r="K66" i="23"/>
  <c r="J66" i="23"/>
  <c r="I66" i="23"/>
  <c r="H66" i="23"/>
  <c r="G66" i="23"/>
  <c r="F66" i="23"/>
  <c r="E66" i="23"/>
  <c r="D66" i="23"/>
  <c r="C66" i="23"/>
  <c r="B66" i="23"/>
  <c r="Y65" i="23"/>
  <c r="X65" i="23"/>
  <c r="W65" i="23"/>
  <c r="V65" i="23"/>
  <c r="U65" i="23"/>
  <c r="T65" i="23"/>
  <c r="S65" i="23"/>
  <c r="R65" i="23"/>
  <c r="Q65" i="23"/>
  <c r="P65" i="23"/>
  <c r="O65" i="23"/>
  <c r="N65" i="23"/>
  <c r="M65" i="23"/>
  <c r="L65" i="23"/>
  <c r="K65" i="23"/>
  <c r="J65" i="23"/>
  <c r="I65" i="23"/>
  <c r="H65" i="23"/>
  <c r="G65" i="23"/>
  <c r="F65" i="23"/>
  <c r="E65" i="23"/>
  <c r="D65" i="23"/>
  <c r="C65" i="23"/>
  <c r="B65" i="23"/>
  <c r="Y64" i="23"/>
  <c r="X64" i="23"/>
  <c r="W64" i="23"/>
  <c r="V64" i="23"/>
  <c r="U64" i="23"/>
  <c r="T64" i="23"/>
  <c r="S64" i="23"/>
  <c r="R64" i="23"/>
  <c r="Q64" i="23"/>
  <c r="P64" i="23"/>
  <c r="O64" i="23"/>
  <c r="N64" i="23"/>
  <c r="M64" i="23"/>
  <c r="L64" i="23"/>
  <c r="K64" i="23"/>
  <c r="J64" i="23"/>
  <c r="I64" i="23"/>
  <c r="H64" i="23"/>
  <c r="G64" i="23"/>
  <c r="F64" i="23"/>
  <c r="E64" i="23"/>
  <c r="D64" i="23"/>
  <c r="C64" i="23"/>
  <c r="B64" i="23"/>
  <c r="Y63" i="23"/>
  <c r="X63" i="23"/>
  <c r="W63" i="23"/>
  <c r="V63" i="23"/>
  <c r="U63" i="23"/>
  <c r="T63" i="23"/>
  <c r="S63" i="23"/>
  <c r="R63" i="23"/>
  <c r="Q63" i="23"/>
  <c r="P63" i="23"/>
  <c r="O63" i="23"/>
  <c r="N63" i="23"/>
  <c r="M63" i="23"/>
  <c r="L63" i="23"/>
  <c r="K63" i="23"/>
  <c r="J63" i="23"/>
  <c r="I63" i="23"/>
  <c r="H63" i="23"/>
  <c r="G63" i="23"/>
  <c r="F63" i="23"/>
  <c r="E63" i="23"/>
  <c r="D63" i="23"/>
  <c r="C63" i="23"/>
  <c r="B63" i="23"/>
  <c r="Y62" i="23"/>
  <c r="X62" i="23"/>
  <c r="W62" i="23"/>
  <c r="V62" i="23"/>
  <c r="U62" i="23"/>
  <c r="T62" i="23"/>
  <c r="S62" i="23"/>
  <c r="R62" i="23"/>
  <c r="Q62" i="23"/>
  <c r="P62" i="23"/>
  <c r="O62" i="23"/>
  <c r="N62" i="23"/>
  <c r="M62" i="23"/>
  <c r="L62" i="23"/>
  <c r="K62" i="23"/>
  <c r="J62" i="23"/>
  <c r="I62" i="23"/>
  <c r="H62" i="23"/>
  <c r="G62" i="23"/>
  <c r="F62" i="23"/>
  <c r="E62" i="23"/>
  <c r="D62" i="23"/>
  <c r="C62" i="23"/>
  <c r="B62" i="23"/>
  <c r="Y61" i="23"/>
  <c r="X61" i="23"/>
  <c r="W61" i="23"/>
  <c r="V61" i="23"/>
  <c r="U61" i="23"/>
  <c r="T61" i="23"/>
  <c r="S61" i="23"/>
  <c r="R61" i="23"/>
  <c r="Q61" i="23"/>
  <c r="P61" i="23"/>
  <c r="O61" i="23"/>
  <c r="N61" i="23"/>
  <c r="M61" i="23"/>
  <c r="L61" i="23"/>
  <c r="K61" i="23"/>
  <c r="J61" i="23"/>
  <c r="I61" i="23"/>
  <c r="H61" i="23"/>
  <c r="G61" i="23"/>
  <c r="F61" i="23"/>
  <c r="E61" i="23"/>
  <c r="D61" i="23"/>
  <c r="C61" i="23"/>
  <c r="B61" i="23"/>
  <c r="Y60" i="23"/>
  <c r="X60" i="23"/>
  <c r="W60" i="23"/>
  <c r="V60" i="23"/>
  <c r="U60" i="23"/>
  <c r="T60" i="23"/>
  <c r="S60" i="23"/>
  <c r="R60" i="23"/>
  <c r="Q60" i="23"/>
  <c r="P60" i="23"/>
  <c r="O60" i="23"/>
  <c r="N60" i="23"/>
  <c r="M60" i="23"/>
  <c r="L60" i="23"/>
  <c r="K60" i="23"/>
  <c r="J60" i="23"/>
  <c r="I60" i="23"/>
  <c r="H60" i="23"/>
  <c r="G60" i="23"/>
  <c r="F60" i="23"/>
  <c r="E60" i="23"/>
  <c r="D60" i="23"/>
  <c r="C60" i="23"/>
  <c r="B60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B55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B54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B53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B51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B50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B49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B45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B43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B42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B41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AA95" i="23" l="1"/>
  <c r="AA99" i="23"/>
  <c r="AA95" i="24"/>
  <c r="AA99" i="24"/>
  <c r="AA40" i="23"/>
  <c r="AA44" i="23"/>
  <c r="AA40" i="24"/>
  <c r="AA44" i="24"/>
  <c r="AA73" i="23"/>
  <c r="AA77" i="23"/>
  <c r="AA73" i="24"/>
  <c r="AA77" i="24"/>
  <c r="AA51" i="23"/>
  <c r="AA55" i="23"/>
  <c r="AA51" i="24"/>
  <c r="AA55" i="24"/>
  <c r="AA84" i="23"/>
  <c r="AA88" i="23"/>
  <c r="AA84" i="24"/>
  <c r="AA88" i="24"/>
  <c r="AA29" i="23"/>
  <c r="AA29" i="24"/>
  <c r="AA33" i="24"/>
  <c r="AA33" i="23"/>
  <c r="AA18" i="23"/>
  <c r="AA22" i="23"/>
  <c r="AA18" i="24"/>
  <c r="AA22" i="24"/>
  <c r="AA18" i="25"/>
  <c r="AA22" i="25"/>
  <c r="AA18" i="14"/>
  <c r="AA19" i="23"/>
  <c r="AA23" i="23"/>
  <c r="AA30" i="23"/>
  <c r="AA34" i="23"/>
  <c r="AA41" i="23"/>
  <c r="AA45" i="23"/>
  <c r="AA52" i="23"/>
  <c r="AA56" i="23"/>
  <c r="AA74" i="23"/>
  <c r="AA78" i="23"/>
  <c r="AA85" i="23"/>
  <c r="AA89" i="23"/>
  <c r="AA96" i="23"/>
  <c r="AA100" i="23"/>
  <c r="AA19" i="24"/>
  <c r="AA23" i="24"/>
  <c r="AA30" i="24"/>
  <c r="AA34" i="24"/>
  <c r="AA41" i="24"/>
  <c r="AA45" i="24"/>
  <c r="AA52" i="24"/>
  <c r="AA56" i="24"/>
  <c r="AA74" i="24"/>
  <c r="AA78" i="24"/>
  <c r="AA85" i="24"/>
  <c r="AA89" i="24"/>
  <c r="AA96" i="24"/>
  <c r="AA100" i="24"/>
  <c r="AA19" i="25"/>
  <c r="AA23" i="25"/>
  <c r="AA30" i="25"/>
  <c r="AA34" i="25"/>
  <c r="AA41" i="25"/>
  <c r="AA45" i="25"/>
  <c r="AA52" i="25"/>
  <c r="AA56" i="25"/>
  <c r="AA74" i="25"/>
  <c r="AA78" i="25"/>
  <c r="AA85" i="25"/>
  <c r="AA89" i="25"/>
  <c r="AA96" i="25"/>
  <c r="AA100" i="25"/>
  <c r="AA19" i="26"/>
  <c r="AA23" i="26"/>
  <c r="AA30" i="26"/>
  <c r="AA34" i="26"/>
  <c r="AA41" i="26"/>
  <c r="AA45" i="26"/>
  <c r="AA52" i="26"/>
  <c r="AA56" i="26"/>
  <c r="AA74" i="26"/>
  <c r="AA78" i="26"/>
  <c r="AA85" i="26"/>
  <c r="AA89" i="26"/>
  <c r="AA96" i="26"/>
  <c r="AA100" i="26"/>
  <c r="AA19" i="27"/>
  <c r="AA23" i="27"/>
  <c r="AA30" i="27"/>
  <c r="AA34" i="27"/>
  <c r="AA41" i="27"/>
  <c r="AA45" i="27"/>
  <c r="AA52" i="27"/>
  <c r="AA56" i="27"/>
  <c r="AA74" i="27"/>
  <c r="AA78" i="27"/>
  <c r="AA85" i="27"/>
  <c r="AA89" i="27"/>
  <c r="AA29" i="25"/>
  <c r="AA33" i="25"/>
  <c r="AA40" i="25"/>
  <c r="AA44" i="25"/>
  <c r="AA51" i="25"/>
  <c r="AA55" i="25"/>
  <c r="AA73" i="25"/>
  <c r="AA77" i="25"/>
  <c r="AA84" i="25"/>
  <c r="AA88" i="25"/>
  <c r="AA95" i="25"/>
  <c r="AA99" i="25"/>
  <c r="AA18" i="26"/>
  <c r="AA22" i="26"/>
  <c r="AA29" i="26"/>
  <c r="AA33" i="26"/>
  <c r="AA40" i="26"/>
  <c r="AA44" i="26"/>
  <c r="AA51" i="26"/>
  <c r="AA55" i="26"/>
  <c r="AA73" i="26"/>
  <c r="AA77" i="26"/>
  <c r="AA84" i="26"/>
  <c r="AA88" i="26"/>
  <c r="AA95" i="26"/>
  <c r="AA99" i="26"/>
  <c r="AA18" i="27"/>
  <c r="AA22" i="27"/>
  <c r="AA29" i="27"/>
  <c r="AA33" i="27"/>
  <c r="AA40" i="27"/>
  <c r="AA44" i="27"/>
  <c r="AA51" i="27"/>
  <c r="AA55" i="27"/>
  <c r="AA73" i="27"/>
  <c r="AA77" i="27"/>
  <c r="AA84" i="27"/>
  <c r="AA88" i="27"/>
  <c r="AA95" i="27"/>
  <c r="AA99" i="27"/>
  <c r="AA18" i="28"/>
  <c r="AA22" i="28"/>
  <c r="AA29" i="28"/>
  <c r="AA33" i="28"/>
  <c r="AA40" i="28"/>
  <c r="AA44" i="28"/>
  <c r="AA51" i="28"/>
  <c r="AA55" i="28"/>
  <c r="AA73" i="28"/>
  <c r="AA77" i="28"/>
  <c r="AA84" i="28"/>
  <c r="AA88" i="28"/>
  <c r="AA95" i="28"/>
  <c r="AA72" i="26"/>
  <c r="AA17" i="23"/>
  <c r="AA21" i="23"/>
  <c r="AA39" i="23"/>
  <c r="AA43" i="23"/>
  <c r="AA50" i="23"/>
  <c r="AA72" i="23"/>
  <c r="AA83" i="23"/>
  <c r="AA87" i="23"/>
  <c r="AA94" i="23"/>
  <c r="AA98" i="23"/>
  <c r="AA21" i="24"/>
  <c r="AA28" i="24"/>
  <c r="AA32" i="24"/>
  <c r="AA50" i="24"/>
  <c r="AA54" i="24"/>
  <c r="AA87" i="24"/>
  <c r="AA94" i="24"/>
  <c r="AA98" i="26"/>
  <c r="AA17" i="27"/>
  <c r="AA39" i="24"/>
  <c r="AA28" i="23"/>
  <c r="AA54" i="23"/>
  <c r="AA83" i="24"/>
  <c r="AA17" i="25"/>
  <c r="AA21" i="27"/>
  <c r="AA32" i="23"/>
  <c r="AA76" i="23"/>
  <c r="AA17" i="24"/>
  <c r="AA43" i="24"/>
  <c r="AA72" i="24"/>
  <c r="AA76" i="24"/>
  <c r="AA98" i="24"/>
  <c r="AA21" i="25"/>
  <c r="AA28" i="25"/>
  <c r="AA39" i="25"/>
  <c r="AA76" i="26"/>
  <c r="AA32" i="25"/>
  <c r="AA43" i="25"/>
  <c r="AA50" i="25"/>
  <c r="AA54" i="25"/>
  <c r="AA72" i="25"/>
  <c r="AA76" i="25"/>
  <c r="AA83" i="25"/>
  <c r="AA87" i="25"/>
  <c r="AA94" i="25"/>
  <c r="AA98" i="25"/>
  <c r="AA17" i="26"/>
  <c r="AA21" i="26"/>
  <c r="AA28" i="26"/>
  <c r="AA32" i="26"/>
  <c r="AA39" i="26"/>
  <c r="AA43" i="26"/>
  <c r="AA50" i="26"/>
  <c r="AA54" i="26"/>
  <c r="AA96" i="27"/>
  <c r="AA100" i="27"/>
  <c r="AA19" i="28"/>
  <c r="AA23" i="28"/>
  <c r="AA30" i="28"/>
  <c r="AA34" i="28"/>
  <c r="AA41" i="28"/>
  <c r="AA45" i="28"/>
  <c r="AA52" i="28"/>
  <c r="AA56" i="28"/>
  <c r="AA74" i="28"/>
  <c r="AA78" i="28"/>
  <c r="AA85" i="28"/>
  <c r="AA89" i="28"/>
  <c r="AA96" i="28"/>
  <c r="AA100" i="28"/>
  <c r="AA19" i="29"/>
  <c r="AA23" i="29"/>
  <c r="AA30" i="29"/>
  <c r="AA34" i="29"/>
  <c r="AA41" i="29"/>
  <c r="AA45" i="29"/>
  <c r="AA52" i="29"/>
  <c r="AA56" i="29"/>
  <c r="AA74" i="29"/>
  <c r="AA78" i="29"/>
  <c r="AA85" i="29"/>
  <c r="AA89" i="29"/>
  <c r="AA96" i="29"/>
  <c r="AA100" i="29"/>
  <c r="AA19" i="30"/>
  <c r="AA23" i="30"/>
  <c r="AA30" i="30"/>
  <c r="AA34" i="30"/>
  <c r="AA41" i="30"/>
  <c r="AA45" i="30"/>
  <c r="AA52" i="30"/>
  <c r="AA56" i="30"/>
  <c r="AA74" i="30"/>
  <c r="AA78" i="30"/>
  <c r="AA85" i="30"/>
  <c r="AA89" i="30"/>
  <c r="AA96" i="30"/>
  <c r="AA100" i="30"/>
  <c r="AA19" i="31"/>
  <c r="AA23" i="31"/>
  <c r="AA30" i="31"/>
  <c r="AA34" i="31"/>
  <c r="AA41" i="31"/>
  <c r="AA45" i="31"/>
  <c r="AA52" i="31"/>
  <c r="AA56" i="31"/>
  <c r="AA74" i="31"/>
  <c r="AA78" i="31"/>
  <c r="AA85" i="31"/>
  <c r="AA89" i="31"/>
  <c r="AA96" i="31"/>
  <c r="AA100" i="31"/>
  <c r="AA19" i="32"/>
  <c r="AA23" i="32"/>
  <c r="AA30" i="32"/>
  <c r="AA34" i="32"/>
  <c r="AA41" i="32"/>
  <c r="AA45" i="32"/>
  <c r="AA52" i="32"/>
  <c r="AA56" i="32"/>
  <c r="AA74" i="32"/>
  <c r="AA78" i="32"/>
  <c r="AA85" i="32"/>
  <c r="AA89" i="32"/>
  <c r="AA96" i="32"/>
  <c r="AA100" i="32"/>
  <c r="AA99" i="28"/>
  <c r="AA18" i="29"/>
  <c r="AA22" i="29"/>
  <c r="AA29" i="29"/>
  <c r="AA33" i="29"/>
  <c r="AA40" i="29"/>
  <c r="AA44" i="29"/>
  <c r="AA51" i="29"/>
  <c r="AA55" i="29"/>
  <c r="AA73" i="29"/>
  <c r="AA77" i="29"/>
  <c r="AA84" i="29"/>
  <c r="AA88" i="29"/>
  <c r="AA95" i="29"/>
  <c r="AA99" i="29"/>
  <c r="AA18" i="30"/>
  <c r="AA22" i="30"/>
  <c r="AA29" i="30"/>
  <c r="AA33" i="30"/>
  <c r="AA40" i="30"/>
  <c r="AA44" i="30"/>
  <c r="AA51" i="30"/>
  <c r="AA55" i="30"/>
  <c r="AA73" i="30"/>
  <c r="AA77" i="30"/>
  <c r="AA84" i="30"/>
  <c r="AA88" i="30"/>
  <c r="AA95" i="30"/>
  <c r="AA99" i="30"/>
  <c r="AA18" i="31"/>
  <c r="AA22" i="31"/>
  <c r="AA29" i="31"/>
  <c r="AA33" i="31"/>
  <c r="AA40" i="31"/>
  <c r="AA44" i="31"/>
  <c r="AA51" i="31"/>
  <c r="AA55" i="31"/>
  <c r="AA73" i="31"/>
  <c r="AA77" i="31"/>
  <c r="AA84" i="31"/>
  <c r="AA88" i="31"/>
  <c r="AA95" i="31"/>
  <c r="AA99" i="31"/>
  <c r="AA18" i="32"/>
  <c r="AA22" i="32"/>
  <c r="AA29" i="32"/>
  <c r="AA33" i="32"/>
  <c r="AA40" i="32"/>
  <c r="AA44" i="32"/>
  <c r="AA51" i="32"/>
  <c r="AA55" i="32"/>
  <c r="AA73" i="32"/>
  <c r="AA77" i="32"/>
  <c r="AA84" i="32"/>
  <c r="AA88" i="32"/>
  <c r="AA95" i="32"/>
  <c r="AA99" i="32"/>
  <c r="AA83" i="26"/>
  <c r="AA87" i="26"/>
  <c r="AA94" i="26"/>
  <c r="AA28" i="27"/>
  <c r="AA32" i="27"/>
  <c r="AA39" i="27"/>
  <c r="AA43" i="27"/>
  <c r="AA50" i="27"/>
  <c r="AA54" i="27"/>
  <c r="AA72" i="27"/>
  <c r="AA76" i="27"/>
  <c r="AA83" i="27"/>
  <c r="AA87" i="27"/>
  <c r="AA94" i="27"/>
  <c r="AA98" i="27"/>
  <c r="AA17" i="28"/>
  <c r="AA21" i="28"/>
  <c r="AA28" i="28"/>
  <c r="AA32" i="28"/>
  <c r="AA39" i="28"/>
  <c r="AA43" i="28"/>
  <c r="AA50" i="28"/>
  <c r="AA54" i="28"/>
  <c r="AA72" i="28"/>
  <c r="AA76" i="28"/>
  <c r="AA83" i="28"/>
  <c r="AA87" i="28"/>
  <c r="AA94" i="28"/>
  <c r="AA98" i="28"/>
  <c r="AA17" i="29"/>
  <c r="AA21" i="29"/>
  <c r="AA28" i="29"/>
  <c r="AA32" i="29"/>
  <c r="AA39" i="29"/>
  <c r="AA43" i="29"/>
  <c r="AA50" i="29"/>
  <c r="AA54" i="29"/>
  <c r="AA72" i="29"/>
  <c r="AA76" i="29"/>
  <c r="AA83" i="29"/>
  <c r="AA87" i="29"/>
  <c r="AA94" i="29"/>
  <c r="AA98" i="29"/>
  <c r="AA17" i="30"/>
  <c r="AA21" i="30"/>
  <c r="AA28" i="30"/>
  <c r="AA32" i="30"/>
  <c r="AA39" i="30"/>
  <c r="AA43" i="30"/>
  <c r="AA50" i="30"/>
  <c r="AA54" i="30"/>
  <c r="AA72" i="30"/>
  <c r="AA76" i="30"/>
  <c r="AA83" i="30"/>
  <c r="AA87" i="30"/>
  <c r="AA94" i="30"/>
  <c r="AA98" i="30"/>
  <c r="AA17" i="31"/>
  <c r="AA21" i="31"/>
  <c r="AA28" i="31"/>
  <c r="AA32" i="31"/>
  <c r="AA39" i="31"/>
  <c r="AA43" i="31"/>
  <c r="AA50" i="31"/>
  <c r="AA54" i="31"/>
  <c r="AA72" i="31"/>
  <c r="AA76" i="31"/>
  <c r="AA83" i="31"/>
  <c r="AA87" i="31"/>
  <c r="AA94" i="31"/>
  <c r="AA98" i="31"/>
  <c r="AA17" i="32"/>
  <c r="AA21" i="32"/>
  <c r="AA28" i="32"/>
  <c r="AA32" i="32"/>
  <c r="AA39" i="32"/>
  <c r="AA43" i="32"/>
  <c r="AA50" i="32"/>
  <c r="AA54" i="32"/>
  <c r="AA72" i="32"/>
  <c r="AA76" i="32"/>
  <c r="AA83" i="32"/>
  <c r="AA87" i="32"/>
  <c r="AA94" i="32"/>
  <c r="AA98" i="32"/>
  <c r="AA31" i="23"/>
  <c r="AA75" i="23"/>
  <c r="AA82" i="23"/>
  <c r="AA97" i="23"/>
  <c r="AA16" i="24"/>
  <c r="AA20" i="24"/>
  <c r="AA31" i="24"/>
  <c r="AA38" i="24"/>
  <c r="AA49" i="24"/>
  <c r="AA82" i="24"/>
  <c r="AA86" i="24"/>
  <c r="AA38" i="25"/>
  <c r="AA42" i="23"/>
  <c r="AA49" i="23"/>
  <c r="AA53" i="23"/>
  <c r="AA86" i="23"/>
  <c r="AA93" i="23"/>
  <c r="AA27" i="24"/>
  <c r="AA53" i="24"/>
  <c r="AA71" i="24"/>
  <c r="AA75" i="24"/>
  <c r="AA27" i="25"/>
  <c r="AA75" i="25"/>
  <c r="AA97" i="25"/>
  <c r="AA16" i="26"/>
  <c r="AA20" i="26"/>
  <c r="AA27" i="26"/>
  <c r="AA49" i="26"/>
  <c r="AA82" i="26"/>
  <c r="AA16" i="23"/>
  <c r="AA20" i="23"/>
  <c r="AA27" i="23"/>
  <c r="AA38" i="23"/>
  <c r="AA71" i="23"/>
  <c r="AA42" i="24"/>
  <c r="AA93" i="24"/>
  <c r="AA97" i="24"/>
  <c r="AA16" i="25"/>
  <c r="AA20" i="25"/>
  <c r="AA31" i="25"/>
  <c r="AA42" i="25"/>
  <c r="AA49" i="25"/>
  <c r="AA53" i="25"/>
  <c r="AA71" i="25"/>
  <c r="AA82" i="25"/>
  <c r="AA86" i="25"/>
  <c r="AA93" i="25"/>
  <c r="AA31" i="26"/>
  <c r="AA38" i="26"/>
  <c r="AA42" i="26"/>
  <c r="AA53" i="26"/>
  <c r="AA71" i="26"/>
  <c r="AA75" i="26"/>
  <c r="AA97" i="26"/>
  <c r="AA93" i="26"/>
  <c r="AA17" i="14"/>
  <c r="AA86" i="26"/>
  <c r="AA16" i="27"/>
  <c r="AA20" i="27"/>
  <c r="AA27" i="27"/>
  <c r="AA31" i="27"/>
  <c r="AA38" i="27"/>
  <c r="AA42" i="27"/>
  <c r="AA49" i="27"/>
  <c r="AA53" i="27"/>
  <c r="AA71" i="27"/>
  <c r="AA75" i="27"/>
  <c r="AA82" i="27"/>
  <c r="AA86" i="27"/>
  <c r="AA93" i="27"/>
  <c r="AA97" i="27"/>
  <c r="AA16" i="28"/>
  <c r="AA20" i="28"/>
  <c r="AA27" i="28"/>
  <c r="AA31" i="28"/>
  <c r="AA38" i="28"/>
  <c r="AA42" i="28"/>
  <c r="AA49" i="28"/>
  <c r="AA53" i="28"/>
  <c r="AA71" i="28"/>
  <c r="AA75" i="28"/>
  <c r="AA82" i="28"/>
  <c r="AA86" i="28"/>
  <c r="AA93" i="28"/>
  <c r="AA97" i="28"/>
  <c r="AA16" i="29"/>
  <c r="AA20" i="29"/>
  <c r="AA27" i="29"/>
  <c r="AA31" i="29"/>
  <c r="AA38" i="29"/>
  <c r="AA42" i="29"/>
  <c r="AA49" i="29"/>
  <c r="AA53" i="29"/>
  <c r="AA71" i="29"/>
  <c r="AA75" i="29"/>
  <c r="AA82" i="29"/>
  <c r="AA86" i="29"/>
  <c r="AA93" i="29"/>
  <c r="AA97" i="29"/>
  <c r="AA16" i="30"/>
  <c r="AA20" i="30"/>
  <c r="AA27" i="30"/>
  <c r="AA31" i="30"/>
  <c r="AA38" i="30"/>
  <c r="AA42" i="30"/>
  <c r="AA49" i="30"/>
  <c r="AA53" i="30"/>
  <c r="AA71" i="30"/>
  <c r="AA75" i="30"/>
  <c r="AA82" i="30"/>
  <c r="AA86" i="30"/>
  <c r="AA93" i="30"/>
  <c r="AA97" i="30"/>
  <c r="AA16" i="31"/>
  <c r="AA20" i="31"/>
  <c r="AA27" i="31"/>
  <c r="AA31" i="31"/>
  <c r="AA38" i="31"/>
  <c r="AA42" i="31"/>
  <c r="AA49" i="31"/>
  <c r="AA53" i="31"/>
  <c r="AA71" i="31"/>
  <c r="AA75" i="31"/>
  <c r="AA82" i="31"/>
  <c r="AA86" i="31"/>
  <c r="AA93" i="31"/>
  <c r="AA97" i="31"/>
  <c r="AA16" i="32"/>
  <c r="AA20" i="32"/>
  <c r="AA27" i="32"/>
  <c r="AA31" i="32"/>
  <c r="AA38" i="32"/>
  <c r="AA42" i="32"/>
  <c r="AA49" i="32"/>
  <c r="AA53" i="32"/>
  <c r="AA71" i="32"/>
  <c r="AA75" i="32"/>
  <c r="AA82" i="32"/>
  <c r="AA86" i="32"/>
  <c r="AA93" i="32"/>
  <c r="AA97" i="32"/>
  <c r="AA16" i="14"/>
  <c r="AA63" i="23"/>
  <c r="AA67" i="23"/>
  <c r="AA63" i="24"/>
  <c r="AA67" i="24"/>
  <c r="AA63" i="25"/>
  <c r="AA67" i="25"/>
  <c r="AA63" i="26"/>
  <c r="AA67" i="26"/>
  <c r="AA63" i="27"/>
  <c r="AA67" i="27"/>
  <c r="AA63" i="28"/>
  <c r="AA67" i="28"/>
  <c r="AA63" i="29"/>
  <c r="AA67" i="29"/>
  <c r="AA63" i="30"/>
  <c r="AA67" i="30"/>
  <c r="AA63" i="31"/>
  <c r="AA67" i="31"/>
  <c r="AA63" i="32"/>
  <c r="AA67" i="32"/>
  <c r="AA62" i="23"/>
  <c r="AA66" i="23"/>
  <c r="AA62" i="27"/>
  <c r="AA66" i="31"/>
  <c r="AA62" i="32"/>
  <c r="AA62" i="24"/>
  <c r="AA66" i="24"/>
  <c r="AA66" i="25"/>
  <c r="AA66" i="26"/>
  <c r="AA62" i="28"/>
  <c r="AA62" i="29"/>
  <c r="AA62" i="30"/>
  <c r="AA62" i="31"/>
  <c r="AA62" i="25"/>
  <c r="AA62" i="26"/>
  <c r="AA66" i="27"/>
  <c r="AA66" i="28"/>
  <c r="AA66" i="29"/>
  <c r="AA66" i="30"/>
  <c r="AA66" i="32"/>
  <c r="AA61" i="23"/>
  <c r="AA65" i="23"/>
  <c r="AA61" i="24"/>
  <c r="AA65" i="24"/>
  <c r="AA61" i="25"/>
  <c r="AA65" i="25"/>
  <c r="AA61" i="26"/>
  <c r="AA65" i="26"/>
  <c r="AA61" i="27"/>
  <c r="AA65" i="27"/>
  <c r="AA61" i="28"/>
  <c r="AA65" i="28"/>
  <c r="AA61" i="29"/>
  <c r="AA65" i="29"/>
  <c r="AA61" i="30"/>
  <c r="AA65" i="30"/>
  <c r="AA61" i="31"/>
  <c r="AA65" i="31"/>
  <c r="AA61" i="32"/>
  <c r="AA65" i="32"/>
  <c r="AA60" i="24"/>
  <c r="AA64" i="24"/>
  <c r="AA60" i="25"/>
  <c r="AA64" i="25"/>
  <c r="AA60" i="26"/>
  <c r="AA64" i="26"/>
  <c r="AA60" i="27"/>
  <c r="AA64" i="27"/>
  <c r="AA60" i="28"/>
  <c r="AA64" i="28"/>
  <c r="AA60" i="29"/>
  <c r="AA64" i="29"/>
  <c r="AA60" i="30"/>
  <c r="AA64" i="30"/>
  <c r="AA60" i="31"/>
  <c r="AA64" i="31"/>
  <c r="AA60" i="32"/>
  <c r="AA64" i="32"/>
  <c r="AA60" i="23"/>
  <c r="AA64" i="23"/>
  <c r="N68" i="29"/>
  <c r="B68" i="31"/>
  <c r="V68" i="31"/>
  <c r="S68" i="31"/>
  <c r="C68" i="32"/>
  <c r="W68" i="32"/>
  <c r="T68" i="31"/>
  <c r="D68" i="32"/>
  <c r="X68" i="32"/>
  <c r="L68" i="29"/>
  <c r="P68" i="30"/>
  <c r="M68" i="29"/>
  <c r="Q68" i="30"/>
  <c r="U68" i="31"/>
  <c r="E68" i="32"/>
  <c r="Y68" i="32"/>
  <c r="F68" i="32"/>
  <c r="G68" i="27"/>
  <c r="L68" i="28"/>
  <c r="I68" i="26"/>
  <c r="R68" i="23"/>
  <c r="B68" i="24"/>
  <c r="V68" i="24"/>
  <c r="F68" i="25"/>
  <c r="O68" i="29"/>
  <c r="S68" i="30"/>
  <c r="U68" i="23"/>
  <c r="E68" i="24"/>
  <c r="Y68" i="24"/>
  <c r="I68" i="25"/>
  <c r="M68" i="28"/>
  <c r="O68" i="28"/>
  <c r="F68" i="26"/>
  <c r="V68" i="30"/>
  <c r="H68" i="25"/>
  <c r="C68" i="23"/>
  <c r="W68" i="23"/>
  <c r="G68" i="24"/>
  <c r="I68" i="27"/>
  <c r="G68" i="25"/>
  <c r="D68" i="23"/>
  <c r="X68" i="23"/>
  <c r="H68" i="24"/>
  <c r="G68" i="30"/>
  <c r="H68" i="27"/>
  <c r="B68" i="30"/>
  <c r="N68" i="28"/>
  <c r="G68" i="26"/>
  <c r="H68" i="26"/>
  <c r="H68" i="32"/>
  <c r="K68" i="32"/>
  <c r="L68" i="32"/>
  <c r="M68" i="32"/>
  <c r="O68" i="32"/>
  <c r="P68" i="32"/>
  <c r="G68" i="32"/>
  <c r="N68" i="32"/>
  <c r="Q68" i="32"/>
  <c r="R68" i="32"/>
  <c r="S68" i="32"/>
  <c r="T68" i="32"/>
  <c r="U68" i="32"/>
  <c r="I68" i="32"/>
  <c r="J68" i="32"/>
  <c r="B68" i="32"/>
  <c r="V68" i="32"/>
  <c r="F68" i="31"/>
  <c r="G68" i="31"/>
  <c r="H68" i="31"/>
  <c r="I68" i="31"/>
  <c r="K68" i="31"/>
  <c r="L68" i="31"/>
  <c r="M68" i="31"/>
  <c r="W68" i="31"/>
  <c r="X68" i="31"/>
  <c r="N68" i="31"/>
  <c r="E68" i="31"/>
  <c r="J68" i="31"/>
  <c r="O68" i="31"/>
  <c r="C68" i="31"/>
  <c r="Y68" i="31"/>
  <c r="P68" i="31"/>
  <c r="Q68" i="31"/>
  <c r="D68" i="31"/>
  <c r="R68" i="31"/>
  <c r="R68" i="30"/>
  <c r="T68" i="30"/>
  <c r="U68" i="30"/>
  <c r="F68" i="30"/>
  <c r="H68" i="30"/>
  <c r="I68" i="30"/>
  <c r="J68" i="30"/>
  <c r="C68" i="30"/>
  <c r="D68" i="30"/>
  <c r="Y68" i="30"/>
  <c r="K68" i="30"/>
  <c r="W68" i="30"/>
  <c r="X68" i="30"/>
  <c r="E68" i="30"/>
  <c r="L68" i="30"/>
  <c r="M68" i="30"/>
  <c r="N68" i="30"/>
  <c r="O68" i="30"/>
  <c r="Q68" i="29"/>
  <c r="S68" i="29"/>
  <c r="T68" i="29"/>
  <c r="U68" i="29"/>
  <c r="B68" i="29"/>
  <c r="V68" i="29"/>
  <c r="C68" i="29"/>
  <c r="W68" i="29"/>
  <c r="D68" i="29"/>
  <c r="X68" i="29"/>
  <c r="E68" i="29"/>
  <c r="Y68" i="29"/>
  <c r="G68" i="29"/>
  <c r="P68" i="29"/>
  <c r="F68" i="29"/>
  <c r="H68" i="29"/>
  <c r="R68" i="29"/>
  <c r="I68" i="29"/>
  <c r="J68" i="29"/>
  <c r="K68" i="29"/>
  <c r="I68" i="28"/>
  <c r="J68" i="28"/>
  <c r="K68" i="28"/>
  <c r="Q68" i="28"/>
  <c r="R68" i="28"/>
  <c r="S68" i="28"/>
  <c r="U68" i="28"/>
  <c r="B68" i="28"/>
  <c r="V68" i="28"/>
  <c r="C68" i="28"/>
  <c r="W68" i="28"/>
  <c r="T68" i="28"/>
  <c r="D68" i="28"/>
  <c r="X68" i="28"/>
  <c r="P68" i="28"/>
  <c r="E68" i="28"/>
  <c r="Y68" i="28"/>
  <c r="F68" i="28"/>
  <c r="G68" i="28"/>
  <c r="H68" i="28"/>
  <c r="K68" i="27"/>
  <c r="O68" i="27"/>
  <c r="P68" i="27"/>
  <c r="Q68" i="27"/>
  <c r="J68" i="27"/>
  <c r="R68" i="27"/>
  <c r="S68" i="27"/>
  <c r="T68" i="27"/>
  <c r="U68" i="27"/>
  <c r="L68" i="27"/>
  <c r="M68" i="27"/>
  <c r="B68" i="27"/>
  <c r="V68" i="27"/>
  <c r="N68" i="27"/>
  <c r="C68" i="27"/>
  <c r="W68" i="27"/>
  <c r="D68" i="27"/>
  <c r="X68" i="27"/>
  <c r="E68" i="27"/>
  <c r="Y68" i="27"/>
  <c r="F68" i="27"/>
  <c r="K68" i="26"/>
  <c r="L68" i="26"/>
  <c r="M68" i="26"/>
  <c r="N68" i="26"/>
  <c r="O68" i="26"/>
  <c r="P68" i="26"/>
  <c r="S68" i="26"/>
  <c r="U68" i="26"/>
  <c r="J68" i="26"/>
  <c r="Q68" i="26"/>
  <c r="R68" i="26"/>
  <c r="T68" i="26"/>
  <c r="B68" i="26"/>
  <c r="V68" i="26"/>
  <c r="C68" i="26"/>
  <c r="W68" i="26"/>
  <c r="D68" i="26"/>
  <c r="X68" i="26"/>
  <c r="E68" i="26"/>
  <c r="Y68" i="26"/>
  <c r="B68" i="25"/>
  <c r="V68" i="25"/>
  <c r="C68" i="25"/>
  <c r="W68" i="25"/>
  <c r="D68" i="25"/>
  <c r="X68" i="25"/>
  <c r="E68" i="25"/>
  <c r="Y68" i="25"/>
  <c r="K68" i="25"/>
  <c r="L68" i="25"/>
  <c r="N68" i="25"/>
  <c r="O68" i="25"/>
  <c r="M68" i="25"/>
  <c r="P68" i="25"/>
  <c r="Q68" i="25"/>
  <c r="R68" i="25"/>
  <c r="S68" i="25"/>
  <c r="T68" i="25"/>
  <c r="J68" i="25"/>
  <c r="U68" i="25"/>
  <c r="C68" i="24"/>
  <c r="W68" i="24"/>
  <c r="D68" i="24"/>
  <c r="X68" i="24"/>
  <c r="I68" i="24"/>
  <c r="J68" i="24"/>
  <c r="K68" i="24"/>
  <c r="L68" i="24"/>
  <c r="M68" i="24"/>
  <c r="N68" i="24"/>
  <c r="F68" i="24"/>
  <c r="O68" i="24"/>
  <c r="P68" i="24"/>
  <c r="Q68" i="24"/>
  <c r="R68" i="24"/>
  <c r="S68" i="24"/>
  <c r="T68" i="24"/>
  <c r="U68" i="24"/>
  <c r="S68" i="23"/>
  <c r="T68" i="23"/>
  <c r="B68" i="23"/>
  <c r="E68" i="23"/>
  <c r="F68" i="23"/>
  <c r="G68" i="23"/>
  <c r="H68" i="23"/>
  <c r="I68" i="23"/>
  <c r="L68" i="23"/>
  <c r="V68" i="23"/>
  <c r="J68" i="23"/>
  <c r="K68" i="23"/>
  <c r="M68" i="23"/>
  <c r="Y68" i="23"/>
  <c r="N68" i="23"/>
  <c r="O68" i="23"/>
  <c r="P68" i="23"/>
  <c r="Q68" i="23"/>
  <c r="Y155" i="12" l="1"/>
  <c r="X155" i="12"/>
  <c r="W155" i="12"/>
  <c r="V155" i="12"/>
  <c r="U155" i="12"/>
  <c r="T155" i="12"/>
  <c r="S155" i="12"/>
  <c r="R155" i="12"/>
  <c r="Q155" i="12"/>
  <c r="P155" i="12"/>
  <c r="O155" i="12"/>
  <c r="N155" i="12"/>
  <c r="M155" i="12"/>
  <c r="L155" i="12"/>
  <c r="K155" i="12"/>
  <c r="J155" i="12"/>
  <c r="I155" i="12"/>
  <c r="H155" i="12"/>
  <c r="G155" i="12"/>
  <c r="F155" i="12"/>
  <c r="E155" i="12"/>
  <c r="D155" i="12"/>
  <c r="C155" i="12"/>
  <c r="B155" i="12"/>
  <c r="Y154" i="12"/>
  <c r="X154" i="12"/>
  <c r="W154" i="12"/>
  <c r="V154" i="12"/>
  <c r="U154" i="12"/>
  <c r="T154" i="12"/>
  <c r="S154" i="12"/>
  <c r="R154" i="12"/>
  <c r="Q154" i="12"/>
  <c r="P154" i="12"/>
  <c r="O154" i="12"/>
  <c r="N154" i="12"/>
  <c r="M154" i="12"/>
  <c r="L154" i="12"/>
  <c r="K154" i="12"/>
  <c r="J154" i="12"/>
  <c r="I154" i="12"/>
  <c r="H154" i="12"/>
  <c r="G154" i="12"/>
  <c r="F154" i="12"/>
  <c r="E154" i="12"/>
  <c r="D154" i="12"/>
  <c r="C154" i="12"/>
  <c r="B154" i="12"/>
  <c r="Y153" i="12"/>
  <c r="X153" i="12"/>
  <c r="W153" i="12"/>
  <c r="V153" i="12"/>
  <c r="U153" i="12"/>
  <c r="T153" i="12"/>
  <c r="S153" i="12"/>
  <c r="R153" i="12"/>
  <c r="Q153" i="12"/>
  <c r="P153" i="12"/>
  <c r="O153" i="12"/>
  <c r="N153" i="12"/>
  <c r="M153" i="12"/>
  <c r="L153" i="12"/>
  <c r="K153" i="12"/>
  <c r="J153" i="12"/>
  <c r="I153" i="12"/>
  <c r="H153" i="12"/>
  <c r="G153" i="12"/>
  <c r="F153" i="12"/>
  <c r="E153" i="12"/>
  <c r="D153" i="12"/>
  <c r="C153" i="12"/>
  <c r="B153" i="12"/>
  <c r="Y152" i="12"/>
  <c r="X152" i="12"/>
  <c r="W152" i="12"/>
  <c r="V152" i="12"/>
  <c r="U152" i="12"/>
  <c r="T152" i="12"/>
  <c r="S152" i="12"/>
  <c r="R152" i="12"/>
  <c r="Q152" i="12"/>
  <c r="P152" i="12"/>
  <c r="O152" i="12"/>
  <c r="N152" i="12"/>
  <c r="M152" i="12"/>
  <c r="L152" i="12"/>
  <c r="K152" i="12"/>
  <c r="J152" i="12"/>
  <c r="I152" i="12"/>
  <c r="H152" i="12"/>
  <c r="G152" i="12"/>
  <c r="F152" i="12"/>
  <c r="E152" i="12"/>
  <c r="D152" i="12"/>
  <c r="C152" i="12"/>
  <c r="B152" i="12"/>
  <c r="Y151" i="12"/>
  <c r="X151" i="12"/>
  <c r="W151" i="12"/>
  <c r="V151" i="12"/>
  <c r="U151" i="12"/>
  <c r="T151" i="12"/>
  <c r="S151" i="12"/>
  <c r="R151" i="12"/>
  <c r="Q151" i="12"/>
  <c r="P151" i="12"/>
  <c r="O151" i="12"/>
  <c r="N151" i="12"/>
  <c r="M151" i="12"/>
  <c r="L151" i="12"/>
  <c r="K151" i="12"/>
  <c r="J151" i="12"/>
  <c r="I151" i="12"/>
  <c r="H151" i="12"/>
  <c r="G151" i="12"/>
  <c r="F151" i="12"/>
  <c r="E151" i="12"/>
  <c r="D151" i="12"/>
  <c r="C151" i="12"/>
  <c r="B151" i="12"/>
  <c r="Y150" i="12"/>
  <c r="X150" i="12"/>
  <c r="W150" i="12"/>
  <c r="V150" i="12"/>
  <c r="U150" i="12"/>
  <c r="T150" i="12"/>
  <c r="S150" i="12"/>
  <c r="R150" i="12"/>
  <c r="Q150" i="12"/>
  <c r="P150" i="12"/>
  <c r="O150" i="12"/>
  <c r="N150" i="12"/>
  <c r="M150" i="12"/>
  <c r="L150" i="12"/>
  <c r="K150" i="12"/>
  <c r="J150" i="12"/>
  <c r="I150" i="12"/>
  <c r="H150" i="12"/>
  <c r="G150" i="12"/>
  <c r="F150" i="12"/>
  <c r="E150" i="12"/>
  <c r="D150" i="12"/>
  <c r="C150" i="12"/>
  <c r="B150" i="12"/>
  <c r="Y149" i="12"/>
  <c r="X149" i="12"/>
  <c r="W149" i="12"/>
  <c r="V149" i="12"/>
  <c r="U149" i="12"/>
  <c r="T149" i="12"/>
  <c r="S149" i="12"/>
  <c r="R149" i="12"/>
  <c r="Q149" i="12"/>
  <c r="P149" i="12"/>
  <c r="O149" i="12"/>
  <c r="N149" i="12"/>
  <c r="M149" i="12"/>
  <c r="L149" i="12"/>
  <c r="K149" i="12"/>
  <c r="J149" i="12"/>
  <c r="I149" i="12"/>
  <c r="H149" i="12"/>
  <c r="G149" i="12"/>
  <c r="F149" i="12"/>
  <c r="E149" i="12"/>
  <c r="D149" i="12"/>
  <c r="C149" i="12"/>
  <c r="B149" i="12"/>
  <c r="Y148" i="12"/>
  <c r="X148" i="12"/>
  <c r="W148" i="12"/>
  <c r="V148" i="12"/>
  <c r="U148" i="12"/>
  <c r="T148" i="12"/>
  <c r="S148" i="12"/>
  <c r="R148" i="12"/>
  <c r="Q148" i="12"/>
  <c r="P148" i="12"/>
  <c r="O148" i="12"/>
  <c r="N148" i="12"/>
  <c r="M148" i="12"/>
  <c r="L148" i="12"/>
  <c r="K148" i="12"/>
  <c r="J148" i="12"/>
  <c r="I148" i="12"/>
  <c r="H148" i="12"/>
  <c r="G148" i="12"/>
  <c r="F148" i="12"/>
  <c r="E148" i="12"/>
  <c r="D148" i="12"/>
  <c r="C148" i="12"/>
  <c r="B148" i="12"/>
  <c r="Y144" i="12"/>
  <c r="X144" i="12"/>
  <c r="W144" i="12"/>
  <c r="V144" i="12"/>
  <c r="U144" i="12"/>
  <c r="T144" i="12"/>
  <c r="S144" i="12"/>
  <c r="R144" i="12"/>
  <c r="Q144" i="12"/>
  <c r="P144" i="12"/>
  <c r="O144" i="12"/>
  <c r="N144" i="12"/>
  <c r="M144" i="12"/>
  <c r="L144" i="12"/>
  <c r="K144" i="12"/>
  <c r="J144" i="12"/>
  <c r="I144" i="12"/>
  <c r="H144" i="12"/>
  <c r="G144" i="12"/>
  <c r="F144" i="12"/>
  <c r="E144" i="12"/>
  <c r="D144" i="12"/>
  <c r="C144" i="12"/>
  <c r="B144" i="12"/>
  <c r="Y143" i="12"/>
  <c r="X143" i="12"/>
  <c r="W143" i="12"/>
  <c r="V143" i="12"/>
  <c r="U143" i="12"/>
  <c r="T143" i="12"/>
  <c r="S143" i="12"/>
  <c r="R143" i="12"/>
  <c r="Q143" i="12"/>
  <c r="P143" i="12"/>
  <c r="O143" i="12"/>
  <c r="N143" i="12"/>
  <c r="M143" i="12"/>
  <c r="L143" i="12"/>
  <c r="K143" i="12"/>
  <c r="J143" i="12"/>
  <c r="I143" i="12"/>
  <c r="H143" i="12"/>
  <c r="G143" i="12"/>
  <c r="F143" i="12"/>
  <c r="E143" i="12"/>
  <c r="D143" i="12"/>
  <c r="C143" i="12"/>
  <c r="B143" i="12"/>
  <c r="Y142" i="12"/>
  <c r="X142" i="12"/>
  <c r="W142" i="12"/>
  <c r="V142" i="12"/>
  <c r="U142" i="12"/>
  <c r="T142" i="12"/>
  <c r="S142" i="12"/>
  <c r="R142" i="12"/>
  <c r="Q142" i="12"/>
  <c r="P142" i="12"/>
  <c r="O142" i="12"/>
  <c r="N142" i="12"/>
  <c r="M142" i="12"/>
  <c r="L142" i="12"/>
  <c r="K142" i="12"/>
  <c r="J142" i="12"/>
  <c r="I142" i="12"/>
  <c r="H142" i="12"/>
  <c r="G142" i="12"/>
  <c r="F142" i="12"/>
  <c r="E142" i="12"/>
  <c r="D142" i="12"/>
  <c r="C142" i="12"/>
  <c r="B142" i="12"/>
  <c r="Y141" i="12"/>
  <c r="X141" i="12"/>
  <c r="W141" i="12"/>
  <c r="V141" i="12"/>
  <c r="U141" i="12"/>
  <c r="T141" i="12"/>
  <c r="S141" i="12"/>
  <c r="R141" i="12"/>
  <c r="Q141" i="12"/>
  <c r="P141" i="12"/>
  <c r="O141" i="12"/>
  <c r="N141" i="12"/>
  <c r="M141" i="12"/>
  <c r="L141" i="12"/>
  <c r="K141" i="12"/>
  <c r="J141" i="12"/>
  <c r="I141" i="12"/>
  <c r="H141" i="12"/>
  <c r="G141" i="12"/>
  <c r="F141" i="12"/>
  <c r="E141" i="12"/>
  <c r="D141" i="12"/>
  <c r="C141" i="12"/>
  <c r="B141" i="12"/>
  <c r="Y140" i="12"/>
  <c r="X140" i="12"/>
  <c r="W140" i="12"/>
  <c r="V140" i="12"/>
  <c r="U140" i="12"/>
  <c r="T140" i="12"/>
  <c r="S140" i="12"/>
  <c r="R140" i="12"/>
  <c r="Q140" i="12"/>
  <c r="P140" i="12"/>
  <c r="O140" i="12"/>
  <c r="N140" i="12"/>
  <c r="M140" i="12"/>
  <c r="L140" i="12"/>
  <c r="K140" i="12"/>
  <c r="J140" i="12"/>
  <c r="I140" i="12"/>
  <c r="H140" i="12"/>
  <c r="G140" i="12"/>
  <c r="F140" i="12"/>
  <c r="E140" i="12"/>
  <c r="D140" i="12"/>
  <c r="C140" i="12"/>
  <c r="B140" i="12"/>
  <c r="Y139" i="12"/>
  <c r="X139" i="12"/>
  <c r="W139" i="12"/>
  <c r="V139" i="12"/>
  <c r="U139" i="12"/>
  <c r="T139" i="12"/>
  <c r="S139" i="12"/>
  <c r="R139" i="12"/>
  <c r="Q139" i="12"/>
  <c r="P139" i="12"/>
  <c r="O139" i="12"/>
  <c r="N139" i="12"/>
  <c r="M139" i="12"/>
  <c r="L139" i="12"/>
  <c r="K139" i="12"/>
  <c r="J139" i="12"/>
  <c r="I139" i="12"/>
  <c r="H139" i="12"/>
  <c r="G139" i="12"/>
  <c r="F139" i="12"/>
  <c r="E139" i="12"/>
  <c r="D139" i="12"/>
  <c r="C139" i="12"/>
  <c r="B139" i="12"/>
  <c r="Y138" i="12"/>
  <c r="X138" i="12"/>
  <c r="W138" i="12"/>
  <c r="V138" i="12"/>
  <c r="U138" i="12"/>
  <c r="T138" i="12"/>
  <c r="S138" i="12"/>
  <c r="R138" i="12"/>
  <c r="Q138" i="12"/>
  <c r="P138" i="12"/>
  <c r="O138" i="12"/>
  <c r="N138" i="12"/>
  <c r="M138" i="12"/>
  <c r="L138" i="12"/>
  <c r="K138" i="12"/>
  <c r="J138" i="12"/>
  <c r="I138" i="12"/>
  <c r="H138" i="12"/>
  <c r="G138" i="12"/>
  <c r="F138" i="12"/>
  <c r="E138" i="12"/>
  <c r="D138" i="12"/>
  <c r="C138" i="12"/>
  <c r="B138" i="12"/>
  <c r="Y137" i="12"/>
  <c r="X137" i="12"/>
  <c r="W137" i="12"/>
  <c r="V137" i="12"/>
  <c r="U137" i="12"/>
  <c r="T137" i="12"/>
  <c r="S137" i="12"/>
  <c r="R137" i="12"/>
  <c r="Q137" i="12"/>
  <c r="P137" i="12"/>
  <c r="O137" i="12"/>
  <c r="N137" i="12"/>
  <c r="M137" i="12"/>
  <c r="L137" i="12"/>
  <c r="K137" i="12"/>
  <c r="J137" i="12"/>
  <c r="I137" i="12"/>
  <c r="H137" i="12"/>
  <c r="G137" i="12"/>
  <c r="F137" i="12"/>
  <c r="E137" i="12"/>
  <c r="D137" i="12"/>
  <c r="C137" i="12"/>
  <c r="B137" i="12"/>
  <c r="Y133" i="12"/>
  <c r="X133" i="12"/>
  <c r="W133" i="12"/>
  <c r="V133" i="12"/>
  <c r="U133" i="12"/>
  <c r="T133" i="12"/>
  <c r="S133" i="12"/>
  <c r="R133" i="12"/>
  <c r="Q133" i="12"/>
  <c r="P133" i="12"/>
  <c r="O133" i="12"/>
  <c r="N133" i="12"/>
  <c r="M133" i="12"/>
  <c r="L133" i="12"/>
  <c r="K133" i="12"/>
  <c r="J133" i="12"/>
  <c r="I133" i="12"/>
  <c r="H133" i="12"/>
  <c r="G133" i="12"/>
  <c r="F133" i="12"/>
  <c r="E133" i="12"/>
  <c r="D133" i="12"/>
  <c r="C133" i="12"/>
  <c r="B133" i="12"/>
  <c r="Y132" i="12"/>
  <c r="X132" i="12"/>
  <c r="W132" i="12"/>
  <c r="V132" i="12"/>
  <c r="U132" i="12"/>
  <c r="T132" i="12"/>
  <c r="S132" i="12"/>
  <c r="R132" i="12"/>
  <c r="Q132" i="12"/>
  <c r="P132" i="12"/>
  <c r="O132" i="12"/>
  <c r="N132" i="12"/>
  <c r="M132" i="12"/>
  <c r="L132" i="12"/>
  <c r="K132" i="12"/>
  <c r="J132" i="12"/>
  <c r="I132" i="12"/>
  <c r="H132" i="12"/>
  <c r="G132" i="12"/>
  <c r="F132" i="12"/>
  <c r="E132" i="12"/>
  <c r="D132" i="12"/>
  <c r="C132" i="12"/>
  <c r="B132" i="12"/>
  <c r="Y131" i="12"/>
  <c r="X131" i="12"/>
  <c r="W131" i="12"/>
  <c r="V131" i="12"/>
  <c r="U131" i="12"/>
  <c r="T131" i="12"/>
  <c r="S131" i="12"/>
  <c r="R131" i="12"/>
  <c r="Q131" i="12"/>
  <c r="P131" i="12"/>
  <c r="O131" i="12"/>
  <c r="N131" i="12"/>
  <c r="M131" i="12"/>
  <c r="L131" i="12"/>
  <c r="K131" i="12"/>
  <c r="J131" i="12"/>
  <c r="I131" i="12"/>
  <c r="H131" i="12"/>
  <c r="G131" i="12"/>
  <c r="F131" i="12"/>
  <c r="E131" i="12"/>
  <c r="D131" i="12"/>
  <c r="C131" i="12"/>
  <c r="B131" i="12"/>
  <c r="Y130" i="12"/>
  <c r="X130" i="12"/>
  <c r="W130" i="12"/>
  <c r="V130" i="12"/>
  <c r="U130" i="12"/>
  <c r="T130" i="12"/>
  <c r="S130" i="12"/>
  <c r="R130" i="12"/>
  <c r="Q130" i="12"/>
  <c r="P130" i="12"/>
  <c r="O130" i="12"/>
  <c r="N130" i="12"/>
  <c r="M130" i="12"/>
  <c r="L130" i="12"/>
  <c r="K130" i="12"/>
  <c r="J130" i="12"/>
  <c r="I130" i="12"/>
  <c r="H130" i="12"/>
  <c r="G130" i="12"/>
  <c r="F130" i="12"/>
  <c r="E130" i="12"/>
  <c r="D130" i="12"/>
  <c r="C130" i="12"/>
  <c r="B130" i="12"/>
  <c r="Y129" i="12"/>
  <c r="X129" i="12"/>
  <c r="W129" i="12"/>
  <c r="V129" i="12"/>
  <c r="U129" i="12"/>
  <c r="T129" i="12"/>
  <c r="S129" i="12"/>
  <c r="R129" i="12"/>
  <c r="Q129" i="12"/>
  <c r="P129" i="12"/>
  <c r="O129" i="12"/>
  <c r="N129" i="12"/>
  <c r="M129" i="12"/>
  <c r="L129" i="12"/>
  <c r="K129" i="12"/>
  <c r="J129" i="12"/>
  <c r="I129" i="12"/>
  <c r="H129" i="12"/>
  <c r="G129" i="12"/>
  <c r="F129" i="12"/>
  <c r="E129" i="12"/>
  <c r="D129" i="12"/>
  <c r="C129" i="12"/>
  <c r="B129" i="12"/>
  <c r="Y128" i="12"/>
  <c r="X128" i="12"/>
  <c r="W128" i="12"/>
  <c r="V128" i="12"/>
  <c r="U128" i="12"/>
  <c r="T128" i="12"/>
  <c r="S128" i="12"/>
  <c r="R128" i="12"/>
  <c r="Q128" i="12"/>
  <c r="P128" i="12"/>
  <c r="O128" i="12"/>
  <c r="N128" i="12"/>
  <c r="M128" i="12"/>
  <c r="L128" i="12"/>
  <c r="K128" i="12"/>
  <c r="J128" i="12"/>
  <c r="I128" i="12"/>
  <c r="H128" i="12"/>
  <c r="G128" i="12"/>
  <c r="F128" i="12"/>
  <c r="E128" i="12"/>
  <c r="D128" i="12"/>
  <c r="C128" i="12"/>
  <c r="B128" i="12"/>
  <c r="Y127" i="12"/>
  <c r="X127" i="12"/>
  <c r="W127" i="12"/>
  <c r="V127" i="12"/>
  <c r="U127" i="12"/>
  <c r="T127" i="12"/>
  <c r="S127" i="12"/>
  <c r="R127" i="12"/>
  <c r="Q127" i="12"/>
  <c r="P127" i="12"/>
  <c r="O127" i="12"/>
  <c r="N127" i="12"/>
  <c r="M127" i="12"/>
  <c r="L127" i="12"/>
  <c r="K127" i="12"/>
  <c r="J127" i="12"/>
  <c r="I127" i="12"/>
  <c r="H127" i="12"/>
  <c r="G127" i="12"/>
  <c r="F127" i="12"/>
  <c r="E127" i="12"/>
  <c r="D127" i="12"/>
  <c r="C127" i="12"/>
  <c r="B127" i="12"/>
  <c r="Y126" i="12"/>
  <c r="X126" i="12"/>
  <c r="W126" i="12"/>
  <c r="V126" i="12"/>
  <c r="U126" i="12"/>
  <c r="T126" i="12"/>
  <c r="S126" i="12"/>
  <c r="R126" i="12"/>
  <c r="Q126" i="12"/>
  <c r="P126" i="12"/>
  <c r="O126" i="12"/>
  <c r="N126" i="12"/>
  <c r="M126" i="12"/>
  <c r="L126" i="12"/>
  <c r="K126" i="12"/>
  <c r="J126" i="12"/>
  <c r="I126" i="12"/>
  <c r="H126" i="12"/>
  <c r="G126" i="12"/>
  <c r="F126" i="12"/>
  <c r="E126" i="12"/>
  <c r="D126" i="12"/>
  <c r="C126" i="12"/>
  <c r="B126" i="12"/>
  <c r="Y122" i="12"/>
  <c r="X122" i="12"/>
  <c r="W122" i="12"/>
  <c r="V122" i="12"/>
  <c r="U122" i="12"/>
  <c r="T122" i="12"/>
  <c r="S122" i="12"/>
  <c r="R122" i="12"/>
  <c r="Q122" i="12"/>
  <c r="P122" i="12"/>
  <c r="O122" i="12"/>
  <c r="N122" i="12"/>
  <c r="M122" i="12"/>
  <c r="L122" i="12"/>
  <c r="K122" i="12"/>
  <c r="J122" i="12"/>
  <c r="I122" i="12"/>
  <c r="H122" i="12"/>
  <c r="G122" i="12"/>
  <c r="F122" i="12"/>
  <c r="E122" i="12"/>
  <c r="D122" i="12"/>
  <c r="C122" i="12"/>
  <c r="B122" i="12"/>
  <c r="Y121" i="12"/>
  <c r="X121" i="12"/>
  <c r="W121" i="12"/>
  <c r="V121" i="12"/>
  <c r="U121" i="12"/>
  <c r="T121" i="12"/>
  <c r="S121" i="12"/>
  <c r="R121" i="12"/>
  <c r="Q121" i="12"/>
  <c r="P121" i="12"/>
  <c r="O121" i="12"/>
  <c r="N121" i="12"/>
  <c r="M121" i="12"/>
  <c r="L121" i="12"/>
  <c r="K121" i="12"/>
  <c r="J121" i="12"/>
  <c r="I121" i="12"/>
  <c r="H121" i="12"/>
  <c r="G121" i="12"/>
  <c r="F121" i="12"/>
  <c r="E121" i="12"/>
  <c r="D121" i="12"/>
  <c r="C121" i="12"/>
  <c r="B121" i="12"/>
  <c r="Y120" i="12"/>
  <c r="X120" i="12"/>
  <c r="W120" i="12"/>
  <c r="V120" i="12"/>
  <c r="U120" i="12"/>
  <c r="T120" i="12"/>
  <c r="S120" i="12"/>
  <c r="R120" i="12"/>
  <c r="Q120" i="12"/>
  <c r="P120" i="12"/>
  <c r="O120" i="12"/>
  <c r="N120" i="12"/>
  <c r="M120" i="12"/>
  <c r="L120" i="12"/>
  <c r="K120" i="12"/>
  <c r="J120" i="12"/>
  <c r="I120" i="12"/>
  <c r="H120" i="12"/>
  <c r="G120" i="12"/>
  <c r="F120" i="12"/>
  <c r="E120" i="12"/>
  <c r="D120" i="12"/>
  <c r="C120" i="12"/>
  <c r="B120" i="12"/>
  <c r="Y119" i="12"/>
  <c r="X119" i="12"/>
  <c r="W119" i="12"/>
  <c r="V119" i="12"/>
  <c r="U119" i="12"/>
  <c r="T119" i="12"/>
  <c r="S119" i="12"/>
  <c r="R119" i="12"/>
  <c r="Q119" i="12"/>
  <c r="P119" i="12"/>
  <c r="O119" i="12"/>
  <c r="N119" i="12"/>
  <c r="M119" i="12"/>
  <c r="L119" i="12"/>
  <c r="K119" i="12"/>
  <c r="J119" i="12"/>
  <c r="I119" i="12"/>
  <c r="H119" i="12"/>
  <c r="G119" i="12"/>
  <c r="F119" i="12"/>
  <c r="E119" i="12"/>
  <c r="D119" i="12"/>
  <c r="C119" i="12"/>
  <c r="B119" i="12"/>
  <c r="Y118" i="12"/>
  <c r="X118" i="12"/>
  <c r="W118" i="12"/>
  <c r="V118" i="12"/>
  <c r="U118" i="12"/>
  <c r="T118" i="12"/>
  <c r="S118" i="12"/>
  <c r="R118" i="12"/>
  <c r="Q118" i="12"/>
  <c r="P118" i="12"/>
  <c r="O118" i="12"/>
  <c r="N118" i="12"/>
  <c r="M118" i="12"/>
  <c r="L118" i="12"/>
  <c r="K118" i="12"/>
  <c r="J118" i="12"/>
  <c r="I118" i="12"/>
  <c r="H118" i="12"/>
  <c r="G118" i="12"/>
  <c r="F118" i="12"/>
  <c r="E118" i="12"/>
  <c r="D118" i="12"/>
  <c r="C118" i="12"/>
  <c r="B118" i="12"/>
  <c r="Y117" i="12"/>
  <c r="X117" i="12"/>
  <c r="W117" i="12"/>
  <c r="V117" i="12"/>
  <c r="U117" i="12"/>
  <c r="T117" i="12"/>
  <c r="S117" i="12"/>
  <c r="R117" i="12"/>
  <c r="Q117" i="12"/>
  <c r="P117" i="12"/>
  <c r="O117" i="12"/>
  <c r="N117" i="12"/>
  <c r="M117" i="12"/>
  <c r="L117" i="12"/>
  <c r="K117" i="12"/>
  <c r="J117" i="12"/>
  <c r="I117" i="12"/>
  <c r="H117" i="12"/>
  <c r="G117" i="12"/>
  <c r="F117" i="12"/>
  <c r="E117" i="12"/>
  <c r="D117" i="12"/>
  <c r="C117" i="12"/>
  <c r="B117" i="12"/>
  <c r="Y116" i="12"/>
  <c r="X116" i="12"/>
  <c r="W116" i="12"/>
  <c r="V116" i="12"/>
  <c r="U116" i="12"/>
  <c r="T116" i="12"/>
  <c r="S116" i="12"/>
  <c r="R116" i="12"/>
  <c r="Q116" i="12"/>
  <c r="P116" i="12"/>
  <c r="O116" i="12"/>
  <c r="N116" i="12"/>
  <c r="M116" i="12"/>
  <c r="L116" i="12"/>
  <c r="K116" i="12"/>
  <c r="J116" i="12"/>
  <c r="I116" i="12"/>
  <c r="H116" i="12"/>
  <c r="G116" i="12"/>
  <c r="F116" i="12"/>
  <c r="E116" i="12"/>
  <c r="D116" i="12"/>
  <c r="C116" i="12"/>
  <c r="B116" i="12"/>
  <c r="Y115" i="12"/>
  <c r="X115" i="12"/>
  <c r="W115" i="12"/>
  <c r="V115" i="12"/>
  <c r="U115" i="12"/>
  <c r="T115" i="12"/>
  <c r="S115" i="12"/>
  <c r="R115" i="12"/>
  <c r="Q115" i="12"/>
  <c r="P115" i="12"/>
  <c r="O115" i="12"/>
  <c r="N115" i="12"/>
  <c r="M115" i="12"/>
  <c r="L115" i="12"/>
  <c r="K115" i="12"/>
  <c r="J115" i="12"/>
  <c r="I115" i="12"/>
  <c r="H115" i="12"/>
  <c r="G115" i="12"/>
  <c r="F115" i="12"/>
  <c r="E115" i="12"/>
  <c r="D115" i="12"/>
  <c r="C115" i="12"/>
  <c r="B115" i="12"/>
  <c r="Y111" i="12"/>
  <c r="X111" i="12"/>
  <c r="W111" i="12"/>
  <c r="V111" i="12"/>
  <c r="U111" i="12"/>
  <c r="T111" i="12"/>
  <c r="S111" i="12"/>
  <c r="R111" i="12"/>
  <c r="Q111" i="12"/>
  <c r="P111" i="12"/>
  <c r="O111" i="12"/>
  <c r="N111" i="12"/>
  <c r="M111" i="12"/>
  <c r="L111" i="12"/>
  <c r="K111" i="12"/>
  <c r="J111" i="12"/>
  <c r="I111" i="12"/>
  <c r="H111" i="12"/>
  <c r="G111" i="12"/>
  <c r="F111" i="12"/>
  <c r="E111" i="12"/>
  <c r="D111" i="12"/>
  <c r="C111" i="12"/>
  <c r="B111" i="12"/>
  <c r="Y110" i="12"/>
  <c r="X110" i="12"/>
  <c r="W110" i="12"/>
  <c r="V110" i="12"/>
  <c r="U110" i="12"/>
  <c r="T110" i="12"/>
  <c r="S110" i="12"/>
  <c r="R110" i="12"/>
  <c r="Q110" i="12"/>
  <c r="P110" i="12"/>
  <c r="O110" i="12"/>
  <c r="N110" i="12"/>
  <c r="M110" i="12"/>
  <c r="L110" i="12"/>
  <c r="K110" i="12"/>
  <c r="J110" i="12"/>
  <c r="I110" i="12"/>
  <c r="H110" i="12"/>
  <c r="G110" i="12"/>
  <c r="F110" i="12"/>
  <c r="E110" i="12"/>
  <c r="D110" i="12"/>
  <c r="C110" i="12"/>
  <c r="B110" i="12"/>
  <c r="Y109" i="12"/>
  <c r="X109" i="12"/>
  <c r="W109" i="12"/>
  <c r="V109" i="12"/>
  <c r="U109" i="12"/>
  <c r="T109" i="12"/>
  <c r="S109" i="12"/>
  <c r="R109" i="12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Y108" i="12"/>
  <c r="X108" i="12"/>
  <c r="W108" i="12"/>
  <c r="V108" i="12"/>
  <c r="U108" i="12"/>
  <c r="T108" i="12"/>
  <c r="S108" i="12"/>
  <c r="R108" i="12"/>
  <c r="Q108" i="12"/>
  <c r="P108" i="12"/>
  <c r="O108" i="12"/>
  <c r="N108" i="12"/>
  <c r="M108" i="12"/>
  <c r="L108" i="12"/>
  <c r="K108" i="12"/>
  <c r="J108" i="12"/>
  <c r="I108" i="12"/>
  <c r="H108" i="12"/>
  <c r="G108" i="12"/>
  <c r="F108" i="12"/>
  <c r="E108" i="12"/>
  <c r="D108" i="12"/>
  <c r="C108" i="12"/>
  <c r="B108" i="12"/>
  <c r="Y107" i="12"/>
  <c r="X107" i="12"/>
  <c r="W107" i="12"/>
  <c r="V107" i="12"/>
  <c r="U107" i="12"/>
  <c r="T107" i="12"/>
  <c r="S107" i="12"/>
  <c r="R107" i="12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Y106" i="12"/>
  <c r="X106" i="12"/>
  <c r="W106" i="12"/>
  <c r="V106" i="12"/>
  <c r="U106" i="12"/>
  <c r="T106" i="12"/>
  <c r="S106" i="12"/>
  <c r="R106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Y105" i="12"/>
  <c r="X105" i="12"/>
  <c r="W105" i="12"/>
  <c r="V105" i="12"/>
  <c r="U105" i="12"/>
  <c r="T105" i="12"/>
  <c r="S105" i="12"/>
  <c r="R105" i="12"/>
  <c r="Q105" i="12"/>
  <c r="P105" i="12"/>
  <c r="O105" i="12"/>
  <c r="N105" i="12"/>
  <c r="M105" i="12"/>
  <c r="L105" i="12"/>
  <c r="K105" i="12"/>
  <c r="J105" i="12"/>
  <c r="I105" i="12"/>
  <c r="H105" i="12"/>
  <c r="G105" i="12"/>
  <c r="F105" i="12"/>
  <c r="E105" i="12"/>
  <c r="D105" i="12"/>
  <c r="C105" i="12"/>
  <c r="B105" i="12"/>
  <c r="Y104" i="12"/>
  <c r="X104" i="12"/>
  <c r="W104" i="12"/>
  <c r="V104" i="12"/>
  <c r="U104" i="12"/>
  <c r="T104" i="12"/>
  <c r="S104" i="12"/>
  <c r="R104" i="12"/>
  <c r="Q104" i="12"/>
  <c r="P104" i="12"/>
  <c r="O104" i="12"/>
  <c r="N104" i="12"/>
  <c r="M104" i="12"/>
  <c r="L104" i="12"/>
  <c r="K104" i="12"/>
  <c r="J104" i="12"/>
  <c r="I104" i="12"/>
  <c r="H104" i="12"/>
  <c r="G104" i="12"/>
  <c r="F104" i="12"/>
  <c r="E104" i="12"/>
  <c r="D104" i="12"/>
  <c r="C104" i="12"/>
  <c r="B104" i="12"/>
  <c r="AA104" i="12" l="1"/>
  <c r="AA108" i="12"/>
  <c r="AA115" i="12"/>
  <c r="AA119" i="12"/>
  <c r="AA126" i="12"/>
  <c r="AA130" i="12"/>
  <c r="AA137" i="12"/>
  <c r="AA141" i="12"/>
  <c r="AA148" i="12"/>
  <c r="AA152" i="12"/>
  <c r="AA107" i="12"/>
  <c r="AA111" i="12"/>
  <c r="AA118" i="12"/>
  <c r="AA122" i="12"/>
  <c r="AA129" i="12"/>
  <c r="AA133" i="12"/>
  <c r="AA140" i="12"/>
  <c r="AA144" i="12"/>
  <c r="AA151" i="12"/>
  <c r="AA155" i="12"/>
  <c r="AA154" i="12"/>
  <c r="AA110" i="12"/>
  <c r="AA132" i="12"/>
  <c r="AA139" i="12"/>
  <c r="AA121" i="12"/>
  <c r="AA128" i="12"/>
  <c r="AA143" i="12"/>
  <c r="AA150" i="12"/>
  <c r="AA106" i="12"/>
  <c r="AA117" i="12"/>
  <c r="AA105" i="12"/>
  <c r="AA109" i="12"/>
  <c r="AA116" i="12"/>
  <c r="AA120" i="12"/>
  <c r="AA127" i="12"/>
  <c r="AA131" i="12"/>
  <c r="AA138" i="12"/>
  <c r="AA142" i="12"/>
  <c r="AA149" i="12"/>
  <c r="AA153" i="12"/>
  <c r="B61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V61" i="22"/>
  <c r="W61" i="22"/>
  <c r="X61" i="22"/>
  <c r="Y61" i="22"/>
  <c r="B62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V62" i="22"/>
  <c r="W62" i="22"/>
  <c r="X62" i="22"/>
  <c r="Y62" i="22"/>
  <c r="B63" i="22"/>
  <c r="C63" i="22"/>
  <c r="D63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Y63" i="22"/>
  <c r="B64" i="22"/>
  <c r="C64" i="22"/>
  <c r="D64" i="22"/>
  <c r="E64" i="22"/>
  <c r="F64" i="22"/>
  <c r="G64" i="22"/>
  <c r="H64" i="22"/>
  <c r="I64" i="22"/>
  <c r="J64" i="22"/>
  <c r="K64" i="22"/>
  <c r="L64" i="22"/>
  <c r="M64" i="22"/>
  <c r="N64" i="22"/>
  <c r="O64" i="22"/>
  <c r="P64" i="22"/>
  <c r="Q64" i="22"/>
  <c r="R64" i="22"/>
  <c r="S64" i="22"/>
  <c r="T64" i="22"/>
  <c r="U64" i="22"/>
  <c r="V64" i="22"/>
  <c r="W64" i="22"/>
  <c r="X64" i="22"/>
  <c r="Y64" i="22"/>
  <c r="B65" i="22"/>
  <c r="C65" i="22"/>
  <c r="D65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B66" i="22"/>
  <c r="C66" i="22"/>
  <c r="D66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Y66" i="22"/>
  <c r="B67" i="22"/>
  <c r="C67" i="22"/>
  <c r="D67" i="22"/>
  <c r="E67" i="22"/>
  <c r="F67" i="22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Y67" i="22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B61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B66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B67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B61" i="19"/>
  <c r="C61" i="19"/>
  <c r="D61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U61" i="19"/>
  <c r="V61" i="19"/>
  <c r="W61" i="19"/>
  <c r="X61" i="19"/>
  <c r="Y61" i="19"/>
  <c r="B62" i="19"/>
  <c r="C62" i="19"/>
  <c r="D62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U62" i="19"/>
  <c r="V62" i="19"/>
  <c r="W62" i="19"/>
  <c r="X62" i="19"/>
  <c r="Y62" i="19"/>
  <c r="B63" i="19"/>
  <c r="C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B64" i="19"/>
  <c r="C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B65" i="19"/>
  <c r="C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B66" i="19"/>
  <c r="C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B67" i="19"/>
  <c r="C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B61" i="18"/>
  <c r="C61" i="18"/>
  <c r="D61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B62" i="18"/>
  <c r="C62" i="18"/>
  <c r="D62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B63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B64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B65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B66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B67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B61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B62" i="16"/>
  <c r="C62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B63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B64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B65" i="16"/>
  <c r="C65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B66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B67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AA67" i="14" l="1"/>
  <c r="AA63" i="14"/>
  <c r="AA66" i="15"/>
  <c r="AA62" i="15"/>
  <c r="AA65" i="16"/>
  <c r="AA61" i="16"/>
  <c r="AA64" i="17"/>
  <c r="AA67" i="18"/>
  <c r="AA63" i="18"/>
  <c r="AA66" i="19"/>
  <c r="AA62" i="19"/>
  <c r="AA65" i="20"/>
  <c r="AA61" i="20"/>
  <c r="AA64" i="21"/>
  <c r="AA67" i="22"/>
  <c r="AA63" i="22"/>
  <c r="AA64" i="14"/>
  <c r="AA67" i="15"/>
  <c r="AA63" i="15"/>
  <c r="AA66" i="16"/>
  <c r="AA62" i="16"/>
  <c r="AA65" i="17"/>
  <c r="AA61" i="17"/>
  <c r="AA64" i="18"/>
  <c r="AA67" i="19"/>
  <c r="AA63" i="19"/>
  <c r="AA66" i="20"/>
  <c r="AA62" i="20"/>
  <c r="AA65" i="21"/>
  <c r="AA61" i="21"/>
  <c r="AA64" i="22"/>
  <c r="AA65" i="14"/>
  <c r="AA61" i="14"/>
  <c r="AA64" i="15"/>
  <c r="AA67" i="16"/>
  <c r="AA63" i="16"/>
  <c r="AA66" i="17"/>
  <c r="AA62" i="17"/>
  <c r="AA65" i="18"/>
  <c r="AA61" i="18"/>
  <c r="AA64" i="19"/>
  <c r="AA67" i="20"/>
  <c r="AA63" i="20"/>
  <c r="AA66" i="21"/>
  <c r="AA62" i="21"/>
  <c r="AA65" i="22"/>
  <c r="AA61" i="22"/>
  <c r="AA66" i="14"/>
  <c r="AA62" i="14"/>
  <c r="AA65" i="15"/>
  <c r="AA61" i="15"/>
  <c r="AA64" i="16"/>
  <c r="AA67" i="17"/>
  <c r="AA63" i="17"/>
  <c r="AA66" i="18"/>
  <c r="AA62" i="18"/>
  <c r="AA65" i="19"/>
  <c r="AA61" i="19"/>
  <c r="AA64" i="20"/>
  <c r="AA67" i="21"/>
  <c r="AA63" i="21"/>
  <c r="AA66" i="22"/>
  <c r="AA62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Y99" i="22"/>
  <c r="X99" i="22"/>
  <c r="W99" i="22"/>
  <c r="V99" i="22"/>
  <c r="U99" i="22"/>
  <c r="T99" i="22"/>
  <c r="S99" i="22"/>
  <c r="R99" i="22"/>
  <c r="Q99" i="22"/>
  <c r="P99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B99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B98" i="22"/>
  <c r="Y97" i="22"/>
  <c r="X97" i="22"/>
  <c r="W97" i="22"/>
  <c r="V97" i="22"/>
  <c r="U97" i="22"/>
  <c r="T97" i="22"/>
  <c r="S97" i="22"/>
  <c r="R97" i="22"/>
  <c r="Q97" i="22"/>
  <c r="P97" i="22"/>
  <c r="O97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B97" i="22"/>
  <c r="Y96" i="22"/>
  <c r="X96" i="22"/>
  <c r="W96" i="22"/>
  <c r="V96" i="22"/>
  <c r="U96" i="22"/>
  <c r="T96" i="22"/>
  <c r="S96" i="22"/>
  <c r="R96" i="22"/>
  <c r="Q96" i="22"/>
  <c r="P96" i="22"/>
  <c r="O96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B96" i="22"/>
  <c r="Y95" i="22"/>
  <c r="X95" i="22"/>
  <c r="W95" i="22"/>
  <c r="V95" i="22"/>
  <c r="U95" i="22"/>
  <c r="T95" i="22"/>
  <c r="S95" i="22"/>
  <c r="R95" i="22"/>
  <c r="Q95" i="22"/>
  <c r="P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B95" i="22"/>
  <c r="Y94" i="22"/>
  <c r="X94" i="22"/>
  <c r="W94" i="22"/>
  <c r="V94" i="22"/>
  <c r="U94" i="22"/>
  <c r="T94" i="22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B94" i="22"/>
  <c r="Y93" i="22"/>
  <c r="X93" i="22"/>
  <c r="W93" i="22"/>
  <c r="V93" i="22"/>
  <c r="U93" i="22"/>
  <c r="T93" i="22"/>
  <c r="S93" i="22"/>
  <c r="R93" i="22"/>
  <c r="Q93" i="22"/>
  <c r="P93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B93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Y88" i="22"/>
  <c r="X88" i="22"/>
  <c r="W88" i="22"/>
  <c r="V88" i="22"/>
  <c r="U88" i="22"/>
  <c r="T88" i="22"/>
  <c r="S88" i="22"/>
  <c r="R88" i="22"/>
  <c r="Q88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B88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Y82" i="22"/>
  <c r="X82" i="22"/>
  <c r="W82" i="22"/>
  <c r="V82" i="22"/>
  <c r="U82" i="22"/>
  <c r="T82" i="22"/>
  <c r="S82" i="22"/>
  <c r="R82" i="22"/>
  <c r="Q82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B82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B75" i="22"/>
  <c r="Y74" i="22"/>
  <c r="X74" i="22"/>
  <c r="W74" i="22"/>
  <c r="V74" i="22"/>
  <c r="U74" i="22"/>
  <c r="T74" i="22"/>
  <c r="S74" i="22"/>
  <c r="R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Y73" i="22"/>
  <c r="X73" i="22"/>
  <c r="W73" i="22"/>
  <c r="V73" i="22"/>
  <c r="U73" i="22"/>
  <c r="T73" i="22"/>
  <c r="S73" i="22"/>
  <c r="R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B73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B71" i="22"/>
  <c r="Y60" i="22"/>
  <c r="Y68" i="22" s="1"/>
  <c r="X60" i="22"/>
  <c r="X68" i="22" s="1"/>
  <c r="W60" i="22"/>
  <c r="W68" i="22" s="1"/>
  <c r="V60" i="22"/>
  <c r="V68" i="22" s="1"/>
  <c r="U60" i="22"/>
  <c r="U68" i="22" s="1"/>
  <c r="T60" i="22"/>
  <c r="T68" i="22" s="1"/>
  <c r="S60" i="22"/>
  <c r="S68" i="22" s="1"/>
  <c r="R60" i="22"/>
  <c r="R68" i="22" s="1"/>
  <c r="Q60" i="22"/>
  <c r="Q68" i="22" s="1"/>
  <c r="P60" i="22"/>
  <c r="P68" i="22" s="1"/>
  <c r="O60" i="22"/>
  <c r="O68" i="22" s="1"/>
  <c r="N60" i="22"/>
  <c r="N68" i="22" s="1"/>
  <c r="M60" i="22"/>
  <c r="M68" i="22" s="1"/>
  <c r="L60" i="22"/>
  <c r="L68" i="22" s="1"/>
  <c r="K60" i="22"/>
  <c r="K68" i="22" s="1"/>
  <c r="J60" i="22"/>
  <c r="J68" i="22" s="1"/>
  <c r="I60" i="22"/>
  <c r="I68" i="22" s="1"/>
  <c r="H60" i="22"/>
  <c r="H68" i="22" s="1"/>
  <c r="G60" i="22"/>
  <c r="G68" i="22" s="1"/>
  <c r="F60" i="22"/>
  <c r="F68" i="22" s="1"/>
  <c r="E60" i="22"/>
  <c r="E68" i="22" s="1"/>
  <c r="D60" i="22"/>
  <c r="D68" i="22" s="1"/>
  <c r="C60" i="22"/>
  <c r="C68" i="22" s="1"/>
  <c r="B60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B55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B54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B51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B50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B49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B45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B41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Y60" i="21"/>
  <c r="Y68" i="21" s="1"/>
  <c r="X60" i="21"/>
  <c r="X68" i="21" s="1"/>
  <c r="W60" i="21"/>
  <c r="W68" i="21" s="1"/>
  <c r="V60" i="21"/>
  <c r="V68" i="21" s="1"/>
  <c r="U60" i="21"/>
  <c r="U68" i="21" s="1"/>
  <c r="T60" i="21"/>
  <c r="T68" i="21" s="1"/>
  <c r="S60" i="21"/>
  <c r="S68" i="21" s="1"/>
  <c r="R60" i="21"/>
  <c r="R68" i="21" s="1"/>
  <c r="Q60" i="21"/>
  <c r="Q68" i="21" s="1"/>
  <c r="P60" i="21"/>
  <c r="P68" i="21" s="1"/>
  <c r="O60" i="21"/>
  <c r="O68" i="21" s="1"/>
  <c r="N60" i="21"/>
  <c r="N68" i="21" s="1"/>
  <c r="M60" i="21"/>
  <c r="M68" i="21" s="1"/>
  <c r="L60" i="21"/>
  <c r="L68" i="21" s="1"/>
  <c r="K60" i="21"/>
  <c r="K68" i="21" s="1"/>
  <c r="J60" i="21"/>
  <c r="J68" i="21" s="1"/>
  <c r="I60" i="21"/>
  <c r="I68" i="21" s="1"/>
  <c r="H60" i="21"/>
  <c r="H68" i="21" s="1"/>
  <c r="G60" i="21"/>
  <c r="G68" i="21" s="1"/>
  <c r="F60" i="21"/>
  <c r="F68" i="21" s="1"/>
  <c r="E60" i="21"/>
  <c r="E68" i="21" s="1"/>
  <c r="D60" i="21"/>
  <c r="D68" i="21" s="1"/>
  <c r="C60" i="21"/>
  <c r="C68" i="21" s="1"/>
  <c r="B60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Y60" i="20"/>
  <c r="Y68" i="20" s="1"/>
  <c r="X60" i="20"/>
  <c r="X68" i="20" s="1"/>
  <c r="W60" i="20"/>
  <c r="W68" i="20" s="1"/>
  <c r="V60" i="20"/>
  <c r="V68" i="20" s="1"/>
  <c r="U60" i="20"/>
  <c r="U68" i="20" s="1"/>
  <c r="T60" i="20"/>
  <c r="T68" i="20" s="1"/>
  <c r="S60" i="20"/>
  <c r="S68" i="20" s="1"/>
  <c r="R60" i="20"/>
  <c r="R68" i="20" s="1"/>
  <c r="Q60" i="20"/>
  <c r="Q68" i="20" s="1"/>
  <c r="P60" i="20"/>
  <c r="P68" i="20" s="1"/>
  <c r="O60" i="20"/>
  <c r="O68" i="20" s="1"/>
  <c r="N60" i="20"/>
  <c r="N68" i="20" s="1"/>
  <c r="M60" i="20"/>
  <c r="M68" i="20" s="1"/>
  <c r="L60" i="20"/>
  <c r="L68" i="20" s="1"/>
  <c r="K60" i="20"/>
  <c r="K68" i="20" s="1"/>
  <c r="J60" i="20"/>
  <c r="J68" i="20" s="1"/>
  <c r="I60" i="20"/>
  <c r="I68" i="20" s="1"/>
  <c r="H60" i="20"/>
  <c r="H68" i="20" s="1"/>
  <c r="G60" i="20"/>
  <c r="G68" i="20" s="1"/>
  <c r="F60" i="20"/>
  <c r="F68" i="20" s="1"/>
  <c r="E60" i="20"/>
  <c r="E68" i="20" s="1"/>
  <c r="D60" i="20"/>
  <c r="D68" i="20" s="1"/>
  <c r="C60" i="20"/>
  <c r="C68" i="20" s="1"/>
  <c r="B60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100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B99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B98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B96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B95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B94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B83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B75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B74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B73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Y60" i="19"/>
  <c r="Y68" i="19" s="1"/>
  <c r="X60" i="19"/>
  <c r="X68" i="19" s="1"/>
  <c r="W60" i="19"/>
  <c r="W68" i="19" s="1"/>
  <c r="V60" i="19"/>
  <c r="V68" i="19" s="1"/>
  <c r="U60" i="19"/>
  <c r="U68" i="19" s="1"/>
  <c r="T60" i="19"/>
  <c r="T68" i="19" s="1"/>
  <c r="S60" i="19"/>
  <c r="S68" i="19" s="1"/>
  <c r="R60" i="19"/>
  <c r="R68" i="19" s="1"/>
  <c r="Q60" i="19"/>
  <c r="Q68" i="19" s="1"/>
  <c r="P60" i="19"/>
  <c r="P68" i="19" s="1"/>
  <c r="O60" i="19"/>
  <c r="O68" i="19" s="1"/>
  <c r="N60" i="19"/>
  <c r="N68" i="19" s="1"/>
  <c r="M60" i="19"/>
  <c r="M68" i="19" s="1"/>
  <c r="L60" i="19"/>
  <c r="L68" i="19" s="1"/>
  <c r="K60" i="19"/>
  <c r="K68" i="19" s="1"/>
  <c r="J60" i="19"/>
  <c r="J68" i="19" s="1"/>
  <c r="I60" i="19"/>
  <c r="I68" i="19" s="1"/>
  <c r="H60" i="19"/>
  <c r="H68" i="19" s="1"/>
  <c r="G60" i="19"/>
  <c r="G68" i="19" s="1"/>
  <c r="F60" i="19"/>
  <c r="F68" i="19" s="1"/>
  <c r="E60" i="19"/>
  <c r="E68" i="19" s="1"/>
  <c r="D60" i="19"/>
  <c r="D68" i="19" s="1"/>
  <c r="C60" i="19"/>
  <c r="C68" i="19" s="1"/>
  <c r="B60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B55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54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53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51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49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B45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B43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B42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B33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Y99" i="18"/>
  <c r="X99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Y97" i="18"/>
  <c r="X97" i="18"/>
  <c r="W97" i="18"/>
  <c r="V97" i="18"/>
  <c r="U97" i="18"/>
  <c r="T97" i="18"/>
  <c r="S97" i="18"/>
  <c r="R97" i="18"/>
  <c r="Q97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Y96" i="18"/>
  <c r="X96" i="18"/>
  <c r="W96" i="18"/>
  <c r="V96" i="18"/>
  <c r="U96" i="18"/>
  <c r="T96" i="18"/>
  <c r="S96" i="18"/>
  <c r="R96" i="18"/>
  <c r="Q96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Y95" i="18"/>
  <c r="X95" i="18"/>
  <c r="W95" i="18"/>
  <c r="V95" i="18"/>
  <c r="U95" i="18"/>
  <c r="T95" i="18"/>
  <c r="S95" i="18"/>
  <c r="R95" i="18"/>
  <c r="Q95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Y82" i="18"/>
  <c r="X82" i="18"/>
  <c r="W82" i="18"/>
  <c r="V82" i="18"/>
  <c r="U82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Y71" i="18"/>
  <c r="X71" i="18"/>
  <c r="W71" i="18"/>
  <c r="V71" i="18"/>
  <c r="U71" i="18"/>
  <c r="T71" i="18"/>
  <c r="S71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B71" i="18"/>
  <c r="Y60" i="18"/>
  <c r="Y68" i="18" s="1"/>
  <c r="X60" i="18"/>
  <c r="X68" i="18" s="1"/>
  <c r="W60" i="18"/>
  <c r="W68" i="18" s="1"/>
  <c r="V60" i="18"/>
  <c r="V68" i="18" s="1"/>
  <c r="U60" i="18"/>
  <c r="U68" i="18" s="1"/>
  <c r="T60" i="18"/>
  <c r="T68" i="18" s="1"/>
  <c r="S60" i="18"/>
  <c r="S68" i="18" s="1"/>
  <c r="R60" i="18"/>
  <c r="R68" i="18" s="1"/>
  <c r="Q60" i="18"/>
  <c r="Q68" i="18" s="1"/>
  <c r="P60" i="18"/>
  <c r="P68" i="18" s="1"/>
  <c r="O60" i="18"/>
  <c r="O68" i="18" s="1"/>
  <c r="N60" i="18"/>
  <c r="N68" i="18" s="1"/>
  <c r="M60" i="18"/>
  <c r="M68" i="18" s="1"/>
  <c r="L60" i="18"/>
  <c r="L68" i="18" s="1"/>
  <c r="K60" i="18"/>
  <c r="K68" i="18" s="1"/>
  <c r="J60" i="18"/>
  <c r="J68" i="18" s="1"/>
  <c r="I60" i="18"/>
  <c r="I68" i="18" s="1"/>
  <c r="H60" i="18"/>
  <c r="H68" i="18" s="1"/>
  <c r="G60" i="18"/>
  <c r="G68" i="18" s="1"/>
  <c r="F60" i="18"/>
  <c r="F68" i="18" s="1"/>
  <c r="E60" i="18"/>
  <c r="E68" i="18" s="1"/>
  <c r="D60" i="18"/>
  <c r="D68" i="18" s="1"/>
  <c r="C60" i="18"/>
  <c r="C68" i="18" s="1"/>
  <c r="B60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Y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B98" i="17"/>
  <c r="Y97" i="17"/>
  <c r="X97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B97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B95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B94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Y82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Y60" i="17"/>
  <c r="Y68" i="17" s="1"/>
  <c r="X60" i="17"/>
  <c r="X68" i="17" s="1"/>
  <c r="W60" i="17"/>
  <c r="W68" i="17" s="1"/>
  <c r="V60" i="17"/>
  <c r="V68" i="17" s="1"/>
  <c r="U60" i="17"/>
  <c r="U68" i="17" s="1"/>
  <c r="T60" i="17"/>
  <c r="T68" i="17" s="1"/>
  <c r="S60" i="17"/>
  <c r="S68" i="17" s="1"/>
  <c r="R60" i="17"/>
  <c r="R68" i="17" s="1"/>
  <c r="Q60" i="17"/>
  <c r="Q68" i="17" s="1"/>
  <c r="P60" i="17"/>
  <c r="P68" i="17" s="1"/>
  <c r="O60" i="17"/>
  <c r="O68" i="17" s="1"/>
  <c r="N60" i="17"/>
  <c r="N68" i="17" s="1"/>
  <c r="M60" i="17"/>
  <c r="M68" i="17" s="1"/>
  <c r="L60" i="17"/>
  <c r="L68" i="17" s="1"/>
  <c r="K60" i="17"/>
  <c r="K68" i="17" s="1"/>
  <c r="J60" i="17"/>
  <c r="J68" i="17" s="1"/>
  <c r="I60" i="17"/>
  <c r="I68" i="17" s="1"/>
  <c r="H60" i="17"/>
  <c r="H68" i="17" s="1"/>
  <c r="G60" i="17"/>
  <c r="G68" i="17" s="1"/>
  <c r="F60" i="17"/>
  <c r="F68" i="17" s="1"/>
  <c r="E60" i="17"/>
  <c r="E68" i="17" s="1"/>
  <c r="D60" i="17"/>
  <c r="D68" i="17" s="1"/>
  <c r="C60" i="17"/>
  <c r="C68" i="17" s="1"/>
  <c r="B60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Y60" i="16"/>
  <c r="Y68" i="16" s="1"/>
  <c r="X60" i="16"/>
  <c r="X68" i="16" s="1"/>
  <c r="W60" i="16"/>
  <c r="W68" i="16" s="1"/>
  <c r="V60" i="16"/>
  <c r="V68" i="16" s="1"/>
  <c r="U60" i="16"/>
  <c r="U68" i="16" s="1"/>
  <c r="T60" i="16"/>
  <c r="T68" i="16" s="1"/>
  <c r="S60" i="16"/>
  <c r="S68" i="16" s="1"/>
  <c r="R60" i="16"/>
  <c r="R68" i="16" s="1"/>
  <c r="Q60" i="16"/>
  <c r="Q68" i="16" s="1"/>
  <c r="P60" i="16"/>
  <c r="P68" i="16" s="1"/>
  <c r="O60" i="16"/>
  <c r="O68" i="16" s="1"/>
  <c r="N60" i="16"/>
  <c r="N68" i="16" s="1"/>
  <c r="M60" i="16"/>
  <c r="M68" i="16" s="1"/>
  <c r="L60" i="16"/>
  <c r="L68" i="16" s="1"/>
  <c r="K60" i="16"/>
  <c r="K68" i="16" s="1"/>
  <c r="J60" i="16"/>
  <c r="J68" i="16" s="1"/>
  <c r="I60" i="16"/>
  <c r="I68" i="16" s="1"/>
  <c r="H60" i="16"/>
  <c r="H68" i="16" s="1"/>
  <c r="G60" i="16"/>
  <c r="G68" i="16" s="1"/>
  <c r="F60" i="16"/>
  <c r="F68" i="16" s="1"/>
  <c r="E60" i="16"/>
  <c r="E68" i="16" s="1"/>
  <c r="D60" i="16"/>
  <c r="D68" i="16" s="1"/>
  <c r="C60" i="16"/>
  <c r="C68" i="16" s="1"/>
  <c r="B60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Y60" i="15"/>
  <c r="Y68" i="15" s="1"/>
  <c r="X60" i="15"/>
  <c r="X68" i="15" s="1"/>
  <c r="W60" i="15"/>
  <c r="W68" i="15" s="1"/>
  <c r="V60" i="15"/>
  <c r="V68" i="15" s="1"/>
  <c r="U60" i="15"/>
  <c r="U68" i="15" s="1"/>
  <c r="T60" i="15"/>
  <c r="T68" i="15" s="1"/>
  <c r="S60" i="15"/>
  <c r="S68" i="15" s="1"/>
  <c r="R60" i="15"/>
  <c r="R68" i="15" s="1"/>
  <c r="Q60" i="15"/>
  <c r="Q68" i="15" s="1"/>
  <c r="P60" i="15"/>
  <c r="P68" i="15" s="1"/>
  <c r="O60" i="15"/>
  <c r="O68" i="15" s="1"/>
  <c r="N60" i="15"/>
  <c r="N68" i="15" s="1"/>
  <c r="M60" i="15"/>
  <c r="M68" i="15" s="1"/>
  <c r="L60" i="15"/>
  <c r="L68" i="15" s="1"/>
  <c r="K60" i="15"/>
  <c r="K68" i="15" s="1"/>
  <c r="J60" i="15"/>
  <c r="J68" i="15" s="1"/>
  <c r="I60" i="15"/>
  <c r="I68" i="15" s="1"/>
  <c r="H60" i="15"/>
  <c r="H68" i="15" s="1"/>
  <c r="G60" i="15"/>
  <c r="G68" i="15" s="1"/>
  <c r="F60" i="15"/>
  <c r="F68" i="15" s="1"/>
  <c r="E60" i="15"/>
  <c r="E68" i="15" s="1"/>
  <c r="D60" i="15"/>
  <c r="D68" i="15" s="1"/>
  <c r="C60" i="15"/>
  <c r="C68" i="15" s="1"/>
  <c r="B60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B100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B99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B96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B94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Y60" i="14"/>
  <c r="Y68" i="14" s="1"/>
  <c r="X60" i="14"/>
  <c r="X68" i="14" s="1"/>
  <c r="W60" i="14"/>
  <c r="W68" i="14" s="1"/>
  <c r="V60" i="14"/>
  <c r="V68" i="14" s="1"/>
  <c r="U60" i="14"/>
  <c r="U68" i="14" s="1"/>
  <c r="T60" i="14"/>
  <c r="T68" i="14" s="1"/>
  <c r="S60" i="14"/>
  <c r="S68" i="14" s="1"/>
  <c r="R60" i="14"/>
  <c r="R68" i="14" s="1"/>
  <c r="Q60" i="14"/>
  <c r="Q68" i="14" s="1"/>
  <c r="P60" i="14"/>
  <c r="P68" i="14" s="1"/>
  <c r="O60" i="14"/>
  <c r="O68" i="14" s="1"/>
  <c r="N60" i="14"/>
  <c r="N68" i="14" s="1"/>
  <c r="M60" i="14"/>
  <c r="M68" i="14" s="1"/>
  <c r="L60" i="14"/>
  <c r="L68" i="14" s="1"/>
  <c r="K60" i="14"/>
  <c r="K68" i="14" s="1"/>
  <c r="J60" i="14"/>
  <c r="J68" i="14" s="1"/>
  <c r="I60" i="14"/>
  <c r="I68" i="14" s="1"/>
  <c r="H60" i="14"/>
  <c r="H68" i="14" s="1"/>
  <c r="G60" i="14"/>
  <c r="G68" i="14" s="1"/>
  <c r="F60" i="14"/>
  <c r="F68" i="14" s="1"/>
  <c r="E60" i="14"/>
  <c r="E68" i="14" s="1"/>
  <c r="D60" i="14"/>
  <c r="D68" i="14" s="1"/>
  <c r="C60" i="14"/>
  <c r="C68" i="14" s="1"/>
  <c r="B60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A39" i="14" l="1"/>
  <c r="AA32" i="14"/>
  <c r="AA43" i="14"/>
  <c r="AA50" i="14"/>
  <c r="AA54" i="14"/>
  <c r="AA71" i="14"/>
  <c r="AA75" i="14"/>
  <c r="AA82" i="14"/>
  <c r="AA86" i="14"/>
  <c r="AA93" i="14"/>
  <c r="AA97" i="14"/>
  <c r="AA16" i="15"/>
  <c r="AA20" i="15"/>
  <c r="AA27" i="15"/>
  <c r="AA31" i="15"/>
  <c r="AA38" i="15"/>
  <c r="AA42" i="15"/>
  <c r="AA49" i="15"/>
  <c r="AA53" i="15"/>
  <c r="AA74" i="15"/>
  <c r="AA78" i="15"/>
  <c r="AA85" i="15"/>
  <c r="AA89" i="15"/>
  <c r="AA96" i="15"/>
  <c r="AA100" i="15"/>
  <c r="AA19" i="16"/>
  <c r="AA23" i="16"/>
  <c r="AA30" i="16"/>
  <c r="AA34" i="16"/>
  <c r="AA41" i="16"/>
  <c r="AA45" i="16"/>
  <c r="AA52" i="16"/>
  <c r="AA56" i="16"/>
  <c r="AA73" i="16"/>
  <c r="AA77" i="16"/>
  <c r="AA84" i="16"/>
  <c r="AA88" i="16"/>
  <c r="AA95" i="16"/>
  <c r="AA21" i="14"/>
  <c r="AA28" i="14"/>
  <c r="AA99" i="16"/>
  <c r="AA18" i="17"/>
  <c r="AA22" i="17"/>
  <c r="AA29" i="17"/>
  <c r="AA33" i="17"/>
  <c r="AA40" i="17"/>
  <c r="AA44" i="17"/>
  <c r="AA51" i="17"/>
  <c r="AA55" i="17"/>
  <c r="AA72" i="17"/>
  <c r="AA76" i="17"/>
  <c r="AA83" i="17"/>
  <c r="AA87" i="17"/>
  <c r="AA94" i="17"/>
  <c r="AA98" i="17"/>
  <c r="AA17" i="18"/>
  <c r="AA21" i="18"/>
  <c r="AA28" i="18"/>
  <c r="AA32" i="18"/>
  <c r="AA39" i="18"/>
  <c r="AA43" i="18"/>
  <c r="AA50" i="18"/>
  <c r="AA54" i="18"/>
  <c r="AA71" i="18"/>
  <c r="AA75" i="18"/>
  <c r="AA82" i="18"/>
  <c r="AA86" i="18"/>
  <c r="AA93" i="18"/>
  <c r="AA97" i="18"/>
  <c r="AA16" i="19"/>
  <c r="AA20" i="19"/>
  <c r="AA27" i="19"/>
  <c r="AA31" i="19"/>
  <c r="AA38" i="19"/>
  <c r="AA42" i="19"/>
  <c r="AA49" i="19"/>
  <c r="AA53" i="19"/>
  <c r="AA74" i="19"/>
  <c r="AA78" i="19"/>
  <c r="AA85" i="19"/>
  <c r="AA89" i="19"/>
  <c r="AA96" i="19"/>
  <c r="AA100" i="19"/>
  <c r="AA19" i="20"/>
  <c r="AA23" i="20"/>
  <c r="AA30" i="20"/>
  <c r="AA34" i="20"/>
  <c r="AA41" i="20"/>
  <c r="AA45" i="20"/>
  <c r="AA52" i="20"/>
  <c r="AA56" i="20"/>
  <c r="AA73" i="20"/>
  <c r="AA77" i="20"/>
  <c r="AA84" i="20"/>
  <c r="AA88" i="20"/>
  <c r="AA95" i="20"/>
  <c r="AA99" i="20"/>
  <c r="AA18" i="21"/>
  <c r="AA22" i="21"/>
  <c r="AA29" i="21"/>
  <c r="AA33" i="21"/>
  <c r="AA40" i="21"/>
  <c r="AA44" i="21"/>
  <c r="AA51" i="21"/>
  <c r="AA55" i="21"/>
  <c r="AA72" i="21"/>
  <c r="AA76" i="21"/>
  <c r="AA83" i="21"/>
  <c r="AA87" i="21"/>
  <c r="AA94" i="21"/>
  <c r="AA98" i="21"/>
  <c r="AA17" i="22"/>
  <c r="AA21" i="22"/>
  <c r="AA28" i="22"/>
  <c r="AA32" i="22"/>
  <c r="AA39" i="22"/>
  <c r="AA43" i="22"/>
  <c r="AA50" i="22"/>
  <c r="AA54" i="22"/>
  <c r="AA71" i="22"/>
  <c r="AA75" i="22"/>
  <c r="AA82" i="22"/>
  <c r="AA86" i="22"/>
  <c r="AA93" i="22"/>
  <c r="AA97" i="22"/>
  <c r="AA31" i="14"/>
  <c r="AA38" i="14"/>
  <c r="AA42" i="14"/>
  <c r="AA53" i="14"/>
  <c r="AA74" i="14"/>
  <c r="AA78" i="14"/>
  <c r="AA85" i="14"/>
  <c r="AA89" i="14"/>
  <c r="AA96" i="14"/>
  <c r="AA30" i="15"/>
  <c r="AA34" i="15"/>
  <c r="AA41" i="15"/>
  <c r="AA45" i="15"/>
  <c r="AA52" i="15"/>
  <c r="AA56" i="15"/>
  <c r="AA73" i="15"/>
  <c r="AA77" i="15"/>
  <c r="AA84" i="15"/>
  <c r="AA88" i="15"/>
  <c r="AA95" i="15"/>
  <c r="AA99" i="15"/>
  <c r="AA18" i="16"/>
  <c r="AA22" i="16"/>
  <c r="AA29" i="16"/>
  <c r="AA33" i="16"/>
  <c r="AA40" i="16"/>
  <c r="AA44" i="16"/>
  <c r="AA51" i="16"/>
  <c r="AA55" i="16"/>
  <c r="AA72" i="16"/>
  <c r="AA76" i="16"/>
  <c r="AA83" i="16"/>
  <c r="AA87" i="16"/>
  <c r="AA94" i="16"/>
  <c r="AA27" i="14"/>
  <c r="AA20" i="14"/>
  <c r="AA100" i="14"/>
  <c r="AA23" i="15"/>
  <c r="AA49" i="14"/>
  <c r="AA19" i="15"/>
  <c r="AA98" i="16"/>
  <c r="AA17" i="17"/>
  <c r="AA21" i="17"/>
  <c r="AA28" i="17"/>
  <c r="AA32" i="17"/>
  <c r="AA39" i="17"/>
  <c r="AA43" i="17"/>
  <c r="AA50" i="17"/>
  <c r="AA54" i="17"/>
  <c r="AA71" i="17"/>
  <c r="AA75" i="17"/>
  <c r="AA82" i="17"/>
  <c r="AA86" i="17"/>
  <c r="AA93" i="17"/>
  <c r="AA97" i="17"/>
  <c r="AA16" i="18"/>
  <c r="AA20" i="18"/>
  <c r="AA27" i="18"/>
  <c r="AA31" i="18"/>
  <c r="AA38" i="18"/>
  <c r="AA42" i="18"/>
  <c r="AA49" i="18"/>
  <c r="AA53" i="18"/>
  <c r="AA74" i="18"/>
  <c r="AA78" i="18"/>
  <c r="AA85" i="18"/>
  <c r="AA89" i="18"/>
  <c r="AA96" i="18"/>
  <c r="AA100" i="18"/>
  <c r="AA19" i="19"/>
  <c r="AA23" i="19"/>
  <c r="AA30" i="19"/>
  <c r="AA34" i="19"/>
  <c r="AA41" i="19"/>
  <c r="AA45" i="19"/>
  <c r="AA52" i="19"/>
  <c r="AA56" i="19"/>
  <c r="AA73" i="19"/>
  <c r="AA77" i="19"/>
  <c r="AA84" i="19"/>
  <c r="AA88" i="19"/>
  <c r="AA95" i="19"/>
  <c r="AA99" i="19"/>
  <c r="AA18" i="20"/>
  <c r="AA22" i="20"/>
  <c r="AA29" i="20"/>
  <c r="AA33" i="20"/>
  <c r="AA40" i="20"/>
  <c r="AA44" i="20"/>
  <c r="AA51" i="20"/>
  <c r="AA55" i="20"/>
  <c r="AA72" i="20"/>
  <c r="AA76" i="20"/>
  <c r="AA83" i="20"/>
  <c r="AA87" i="20"/>
  <c r="AA94" i="20"/>
  <c r="AA98" i="20"/>
  <c r="AA17" i="21"/>
  <c r="AA21" i="21"/>
  <c r="AA28" i="21"/>
  <c r="AA32" i="21"/>
  <c r="AA39" i="21"/>
  <c r="AA43" i="21"/>
  <c r="AA50" i="21"/>
  <c r="AA54" i="21"/>
  <c r="AA71" i="21"/>
  <c r="AA75" i="21"/>
  <c r="AA82" i="21"/>
  <c r="AA86" i="21"/>
  <c r="AA93" i="21"/>
  <c r="AA97" i="21"/>
  <c r="AA16" i="22"/>
  <c r="AA20" i="22"/>
  <c r="AA27" i="22"/>
  <c r="AA31" i="22"/>
  <c r="AA38" i="22"/>
  <c r="AA42" i="22"/>
  <c r="AA49" i="22"/>
  <c r="AA53" i="22"/>
  <c r="AA74" i="22"/>
  <c r="AA78" i="22"/>
  <c r="AA85" i="22"/>
  <c r="AA89" i="22"/>
  <c r="AA96" i="22"/>
  <c r="AA100" i="22"/>
  <c r="AA30" i="14"/>
  <c r="AA45" i="14"/>
  <c r="AA52" i="14"/>
  <c r="AA73" i="14"/>
  <c r="AA77" i="14"/>
  <c r="AA84" i="14"/>
  <c r="AA88" i="14"/>
  <c r="AA95" i="14"/>
  <c r="AA99" i="14"/>
  <c r="AA18" i="15"/>
  <c r="AA22" i="15"/>
  <c r="AA29" i="15"/>
  <c r="AA33" i="15"/>
  <c r="AA40" i="15"/>
  <c r="AA44" i="15"/>
  <c r="AA51" i="15"/>
  <c r="AA55" i="15"/>
  <c r="AA72" i="15"/>
  <c r="AA76" i="15"/>
  <c r="AA83" i="15"/>
  <c r="AA87" i="15"/>
  <c r="AA94" i="15"/>
  <c r="AA98" i="15"/>
  <c r="AA17" i="16"/>
  <c r="AA21" i="16"/>
  <c r="AA28" i="16"/>
  <c r="AA32" i="16"/>
  <c r="AA39" i="16"/>
  <c r="AA43" i="16"/>
  <c r="AA50" i="16"/>
  <c r="AA54" i="16"/>
  <c r="AA71" i="16"/>
  <c r="AA75" i="16"/>
  <c r="AA82" i="16"/>
  <c r="AA86" i="16"/>
  <c r="AA93" i="16"/>
  <c r="AA97" i="16"/>
  <c r="AA19" i="14"/>
  <c r="AA23" i="14"/>
  <c r="AA34" i="14"/>
  <c r="AA41" i="14"/>
  <c r="AA56" i="14"/>
  <c r="AA22" i="14"/>
  <c r="AA29" i="14"/>
  <c r="AA33" i="14"/>
  <c r="AA40" i="14"/>
  <c r="AA44" i="14"/>
  <c r="AA51" i="14"/>
  <c r="AA55" i="14"/>
  <c r="AA72" i="14"/>
  <c r="AA76" i="14"/>
  <c r="AA83" i="14"/>
  <c r="AA87" i="14"/>
  <c r="AA94" i="14"/>
  <c r="AA98" i="14"/>
  <c r="AA17" i="15"/>
  <c r="AA21" i="15"/>
  <c r="AA28" i="15"/>
  <c r="AA32" i="15"/>
  <c r="AA39" i="15"/>
  <c r="AA43" i="15"/>
  <c r="AA50" i="15"/>
  <c r="AA54" i="15"/>
  <c r="AA71" i="15"/>
  <c r="AA75" i="15"/>
  <c r="AA82" i="15"/>
  <c r="AA86" i="15"/>
  <c r="AA93" i="15"/>
  <c r="AA97" i="15"/>
  <c r="AA16" i="16"/>
  <c r="AA20" i="16"/>
  <c r="AA27" i="16"/>
  <c r="AA31" i="16"/>
  <c r="AA38" i="16"/>
  <c r="AA42" i="16"/>
  <c r="AA49" i="16"/>
  <c r="AA53" i="16"/>
  <c r="AA74" i="16"/>
  <c r="AA78" i="16"/>
  <c r="AA85" i="16"/>
  <c r="AA89" i="16"/>
  <c r="AA96" i="16"/>
  <c r="AA16" i="17"/>
  <c r="AA20" i="17"/>
  <c r="AA27" i="17"/>
  <c r="AA31" i="17"/>
  <c r="AA38" i="17"/>
  <c r="AA42" i="17"/>
  <c r="AA49" i="17"/>
  <c r="AA53" i="17"/>
  <c r="AA74" i="17"/>
  <c r="AA78" i="17"/>
  <c r="AA85" i="17"/>
  <c r="AA89" i="17"/>
  <c r="AA96" i="17"/>
  <c r="AA100" i="17"/>
  <c r="AA19" i="18"/>
  <c r="AA23" i="18"/>
  <c r="AA30" i="18"/>
  <c r="AA34" i="18"/>
  <c r="AA41" i="18"/>
  <c r="AA45" i="18"/>
  <c r="AA52" i="18"/>
  <c r="AA56" i="18"/>
  <c r="AA73" i="18"/>
  <c r="AA77" i="18"/>
  <c r="AA84" i="18"/>
  <c r="AA88" i="18"/>
  <c r="AA95" i="18"/>
  <c r="AA99" i="18"/>
  <c r="AA18" i="19"/>
  <c r="AA22" i="19"/>
  <c r="AA29" i="19"/>
  <c r="AA33" i="19"/>
  <c r="AA40" i="19"/>
  <c r="AA44" i="19"/>
  <c r="AA51" i="19"/>
  <c r="AA55" i="19"/>
  <c r="AA72" i="19"/>
  <c r="AA76" i="19"/>
  <c r="AA83" i="19"/>
  <c r="AA87" i="19"/>
  <c r="AA94" i="19"/>
  <c r="AA98" i="19"/>
  <c r="AA17" i="20"/>
  <c r="AA21" i="20"/>
  <c r="AA28" i="20"/>
  <c r="AA32" i="20"/>
  <c r="AA39" i="20"/>
  <c r="AA43" i="20"/>
  <c r="AA50" i="20"/>
  <c r="AA54" i="20"/>
  <c r="AA71" i="20"/>
  <c r="AA75" i="20"/>
  <c r="AA82" i="20"/>
  <c r="AA86" i="20"/>
  <c r="AA93" i="20"/>
  <c r="AA97" i="20"/>
  <c r="AA16" i="21"/>
  <c r="AA20" i="21"/>
  <c r="AA27" i="21"/>
  <c r="AA31" i="21"/>
  <c r="AA38" i="21"/>
  <c r="AA42" i="21"/>
  <c r="AA49" i="21"/>
  <c r="AA53" i="21"/>
  <c r="AA74" i="21"/>
  <c r="AA78" i="21"/>
  <c r="AA85" i="21"/>
  <c r="AA89" i="21"/>
  <c r="AA96" i="21"/>
  <c r="AA100" i="21"/>
  <c r="AA19" i="22"/>
  <c r="AA23" i="22"/>
  <c r="AA30" i="22"/>
  <c r="AA34" i="22"/>
  <c r="AA41" i="22"/>
  <c r="AA45" i="22"/>
  <c r="AA52" i="22"/>
  <c r="AA56" i="22"/>
  <c r="AA73" i="22"/>
  <c r="AA77" i="22"/>
  <c r="AA84" i="22"/>
  <c r="AA88" i="22"/>
  <c r="AA95" i="22"/>
  <c r="AA99" i="22"/>
  <c r="AA100" i="16"/>
  <c r="AA19" i="17"/>
  <c r="AA23" i="17"/>
  <c r="AA30" i="17"/>
  <c r="AA34" i="17"/>
  <c r="AA41" i="17"/>
  <c r="AA45" i="17"/>
  <c r="AA52" i="17"/>
  <c r="AA56" i="17"/>
  <c r="AA73" i="17"/>
  <c r="AA77" i="17"/>
  <c r="AA84" i="17"/>
  <c r="AA88" i="17"/>
  <c r="AA95" i="17"/>
  <c r="AA99" i="17"/>
  <c r="AA18" i="18"/>
  <c r="AA22" i="18"/>
  <c r="AA29" i="18"/>
  <c r="AA33" i="18"/>
  <c r="AA40" i="18"/>
  <c r="AA44" i="18"/>
  <c r="AA51" i="18"/>
  <c r="AA55" i="18"/>
  <c r="AA72" i="18"/>
  <c r="AA76" i="18"/>
  <c r="AA83" i="18"/>
  <c r="AA87" i="18"/>
  <c r="AA94" i="18"/>
  <c r="AA98" i="18"/>
  <c r="AA17" i="19"/>
  <c r="AA21" i="19"/>
  <c r="AA28" i="19"/>
  <c r="AA32" i="19"/>
  <c r="AA39" i="19"/>
  <c r="AA43" i="19"/>
  <c r="AA50" i="19"/>
  <c r="AA54" i="19"/>
  <c r="AA71" i="19"/>
  <c r="AA75" i="19"/>
  <c r="AA82" i="19"/>
  <c r="AA86" i="19"/>
  <c r="AA93" i="19"/>
  <c r="AA97" i="19"/>
  <c r="AA16" i="20"/>
  <c r="AA20" i="20"/>
  <c r="AA27" i="20"/>
  <c r="AA31" i="20"/>
  <c r="AA38" i="20"/>
  <c r="AA42" i="20"/>
  <c r="AA49" i="20"/>
  <c r="AA53" i="20"/>
  <c r="AA74" i="20"/>
  <c r="AA78" i="20"/>
  <c r="AA85" i="20"/>
  <c r="AA89" i="20"/>
  <c r="AA96" i="20"/>
  <c r="AA100" i="20"/>
  <c r="AA19" i="21"/>
  <c r="AA23" i="21"/>
  <c r="AA30" i="21"/>
  <c r="AA34" i="21"/>
  <c r="AA41" i="21"/>
  <c r="AA45" i="21"/>
  <c r="AA52" i="21"/>
  <c r="AA56" i="21"/>
  <c r="AA73" i="21"/>
  <c r="AA77" i="21"/>
  <c r="AA84" i="21"/>
  <c r="AA88" i="21"/>
  <c r="AA95" i="21"/>
  <c r="AA99" i="21"/>
  <c r="AA18" i="22"/>
  <c r="AA22" i="22"/>
  <c r="AA29" i="22"/>
  <c r="AA33" i="22"/>
  <c r="AA40" i="22"/>
  <c r="AA44" i="22"/>
  <c r="AA51" i="22"/>
  <c r="AA55" i="22"/>
  <c r="AA72" i="22"/>
  <c r="AA76" i="22"/>
  <c r="AA83" i="22"/>
  <c r="AA87" i="22"/>
  <c r="AA94" i="22"/>
  <c r="AA98" i="22"/>
  <c r="AA60" i="15"/>
  <c r="AA60" i="19"/>
  <c r="AA60" i="14"/>
  <c r="AA60" i="18"/>
  <c r="AA60" i="22"/>
  <c r="AA60" i="17"/>
  <c r="AA60" i="21"/>
  <c r="AA60" i="16"/>
  <c r="AA60" i="20"/>
  <c r="B68" i="14"/>
  <c r="B68" i="20"/>
  <c r="B68" i="16"/>
  <c r="B68" i="15"/>
  <c r="B68" i="22"/>
  <c r="B68" i="19"/>
  <c r="B68" i="17"/>
  <c r="B68" i="18"/>
  <c r="B68" i="21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B38" i="12"/>
  <c r="B16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B17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B18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AA17" i="12" l="1"/>
  <c r="AA44" i="12"/>
  <c r="AA40" i="12"/>
  <c r="AA42" i="12"/>
  <c r="AA18" i="12"/>
  <c r="AA45" i="12"/>
  <c r="AA41" i="12"/>
  <c r="AA16" i="12"/>
  <c r="AA43" i="12"/>
  <c r="AA39" i="12"/>
  <c r="AA38" i="12"/>
  <c r="Y100" i="12"/>
  <c r="X100" i="12"/>
  <c r="W100" i="12"/>
  <c r="V100" i="12"/>
  <c r="U100" i="12"/>
  <c r="T100" i="12"/>
  <c r="S100" i="12"/>
  <c r="R100" i="12"/>
  <c r="Q100" i="12"/>
  <c r="P100" i="12"/>
  <c r="O100" i="12"/>
  <c r="N100" i="12"/>
  <c r="M100" i="12"/>
  <c r="L100" i="12"/>
  <c r="K100" i="12"/>
  <c r="J100" i="12"/>
  <c r="I100" i="12"/>
  <c r="H100" i="12"/>
  <c r="G100" i="12"/>
  <c r="F100" i="12"/>
  <c r="E100" i="12"/>
  <c r="D100" i="12"/>
  <c r="C100" i="12"/>
  <c r="B100" i="12"/>
  <c r="Y99" i="12"/>
  <c r="X99" i="12"/>
  <c r="W99" i="12"/>
  <c r="V99" i="12"/>
  <c r="U99" i="12"/>
  <c r="T99" i="12"/>
  <c r="S99" i="12"/>
  <c r="R99" i="12"/>
  <c r="Q99" i="12"/>
  <c r="P99" i="12"/>
  <c r="O99" i="12"/>
  <c r="N99" i="12"/>
  <c r="M99" i="12"/>
  <c r="L99" i="12"/>
  <c r="K99" i="12"/>
  <c r="J99" i="12"/>
  <c r="I99" i="12"/>
  <c r="H99" i="12"/>
  <c r="G99" i="12"/>
  <c r="F99" i="12"/>
  <c r="E99" i="12"/>
  <c r="D99" i="12"/>
  <c r="C99" i="12"/>
  <c r="B99" i="12"/>
  <c r="Y98" i="12"/>
  <c r="X98" i="12"/>
  <c r="W98" i="12"/>
  <c r="V98" i="12"/>
  <c r="U98" i="12"/>
  <c r="T98" i="12"/>
  <c r="S98" i="12"/>
  <c r="R98" i="12"/>
  <c r="Q98" i="12"/>
  <c r="P98" i="12"/>
  <c r="O98" i="12"/>
  <c r="N98" i="12"/>
  <c r="M98" i="12"/>
  <c r="L98" i="12"/>
  <c r="K98" i="12"/>
  <c r="J98" i="12"/>
  <c r="I98" i="12"/>
  <c r="H98" i="12"/>
  <c r="G98" i="12"/>
  <c r="F98" i="12"/>
  <c r="E98" i="12"/>
  <c r="D98" i="12"/>
  <c r="C98" i="12"/>
  <c r="B98" i="12"/>
  <c r="Y97" i="12"/>
  <c r="X97" i="12"/>
  <c r="W97" i="12"/>
  <c r="V97" i="12"/>
  <c r="U97" i="12"/>
  <c r="T97" i="12"/>
  <c r="S97" i="12"/>
  <c r="R97" i="12"/>
  <c r="Q97" i="12"/>
  <c r="P97" i="12"/>
  <c r="O97" i="12"/>
  <c r="N97" i="12"/>
  <c r="M97" i="12"/>
  <c r="L97" i="12"/>
  <c r="K97" i="12"/>
  <c r="J97" i="12"/>
  <c r="I97" i="12"/>
  <c r="H97" i="12"/>
  <c r="G97" i="12"/>
  <c r="F97" i="12"/>
  <c r="E97" i="12"/>
  <c r="D97" i="12"/>
  <c r="C97" i="12"/>
  <c r="B97" i="12"/>
  <c r="Y96" i="12"/>
  <c r="X96" i="12"/>
  <c r="W96" i="12"/>
  <c r="V96" i="12"/>
  <c r="U96" i="12"/>
  <c r="T96" i="12"/>
  <c r="S96" i="12"/>
  <c r="R96" i="12"/>
  <c r="Q96" i="12"/>
  <c r="P96" i="12"/>
  <c r="O96" i="12"/>
  <c r="N96" i="12"/>
  <c r="M96" i="12"/>
  <c r="L96" i="12"/>
  <c r="K96" i="12"/>
  <c r="J96" i="12"/>
  <c r="I96" i="12"/>
  <c r="H96" i="12"/>
  <c r="G96" i="12"/>
  <c r="F96" i="12"/>
  <c r="E96" i="12"/>
  <c r="D96" i="12"/>
  <c r="C96" i="12"/>
  <c r="B96" i="12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89" i="12"/>
  <c r="X89" i="12"/>
  <c r="W89" i="12"/>
  <c r="V89" i="12"/>
  <c r="U89" i="12"/>
  <c r="T89" i="12"/>
  <c r="S89" i="12"/>
  <c r="R89" i="12"/>
  <c r="Q89" i="12"/>
  <c r="P89" i="12"/>
  <c r="O89" i="12"/>
  <c r="N89" i="12"/>
  <c r="M89" i="12"/>
  <c r="L89" i="12"/>
  <c r="K89" i="12"/>
  <c r="J89" i="12"/>
  <c r="I89" i="12"/>
  <c r="H89" i="12"/>
  <c r="G89" i="12"/>
  <c r="F89" i="12"/>
  <c r="E89" i="12"/>
  <c r="D89" i="12"/>
  <c r="C89" i="12"/>
  <c r="B89" i="12"/>
  <c r="Y88" i="12"/>
  <c r="X88" i="12"/>
  <c r="W88" i="12"/>
  <c r="V88" i="12"/>
  <c r="U88" i="12"/>
  <c r="T88" i="12"/>
  <c r="S88" i="12"/>
  <c r="R88" i="12"/>
  <c r="Q88" i="12"/>
  <c r="P88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C88" i="12"/>
  <c r="B88" i="12"/>
  <c r="Y87" i="12"/>
  <c r="X87" i="12"/>
  <c r="W87" i="12"/>
  <c r="V87" i="12"/>
  <c r="U87" i="12"/>
  <c r="T87" i="12"/>
  <c r="S87" i="12"/>
  <c r="R87" i="12"/>
  <c r="Q87" i="12"/>
  <c r="P87" i="12"/>
  <c r="O87" i="12"/>
  <c r="N87" i="12"/>
  <c r="M87" i="12"/>
  <c r="L87" i="12"/>
  <c r="K87" i="12"/>
  <c r="J87" i="12"/>
  <c r="I87" i="12"/>
  <c r="H87" i="12"/>
  <c r="G87" i="12"/>
  <c r="F87" i="12"/>
  <c r="E87" i="12"/>
  <c r="D87" i="12"/>
  <c r="C87" i="12"/>
  <c r="B87" i="12"/>
  <c r="Y86" i="12"/>
  <c r="X86" i="12"/>
  <c r="W86" i="12"/>
  <c r="V86" i="12"/>
  <c r="U86" i="12"/>
  <c r="T86" i="12"/>
  <c r="S86" i="12"/>
  <c r="R86" i="12"/>
  <c r="Q86" i="12"/>
  <c r="P86" i="12"/>
  <c r="O86" i="12"/>
  <c r="N86" i="12"/>
  <c r="M86" i="12"/>
  <c r="L86" i="12"/>
  <c r="K86" i="12"/>
  <c r="J86" i="12"/>
  <c r="I86" i="12"/>
  <c r="H86" i="12"/>
  <c r="G86" i="12"/>
  <c r="F86" i="12"/>
  <c r="E86" i="12"/>
  <c r="D86" i="12"/>
  <c r="C86" i="12"/>
  <c r="B86" i="12"/>
  <c r="Y85" i="12"/>
  <c r="X85" i="12"/>
  <c r="W85" i="12"/>
  <c r="V85" i="12"/>
  <c r="U85" i="12"/>
  <c r="T85" i="12"/>
  <c r="S85" i="12"/>
  <c r="R85" i="12"/>
  <c r="Q85" i="12"/>
  <c r="P85" i="12"/>
  <c r="O85" i="12"/>
  <c r="N85" i="12"/>
  <c r="M85" i="12"/>
  <c r="L85" i="12"/>
  <c r="K85" i="12"/>
  <c r="J85" i="12"/>
  <c r="I85" i="12"/>
  <c r="H85" i="12"/>
  <c r="G85" i="12"/>
  <c r="F85" i="12"/>
  <c r="E85" i="12"/>
  <c r="D85" i="12"/>
  <c r="C85" i="12"/>
  <c r="B85" i="12"/>
  <c r="Y84" i="12"/>
  <c r="X84" i="12"/>
  <c r="W84" i="12"/>
  <c r="V84" i="12"/>
  <c r="U84" i="12"/>
  <c r="T84" i="12"/>
  <c r="S84" i="12"/>
  <c r="R84" i="12"/>
  <c r="Q84" i="12"/>
  <c r="P84" i="12"/>
  <c r="O84" i="12"/>
  <c r="N84" i="12"/>
  <c r="M84" i="12"/>
  <c r="L84" i="12"/>
  <c r="K84" i="12"/>
  <c r="J84" i="12"/>
  <c r="I84" i="12"/>
  <c r="H84" i="12"/>
  <c r="G84" i="12"/>
  <c r="F84" i="12"/>
  <c r="E84" i="12"/>
  <c r="D84" i="12"/>
  <c r="C84" i="12"/>
  <c r="B84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2" i="12"/>
  <c r="X82" i="12"/>
  <c r="W82" i="12"/>
  <c r="V82" i="12"/>
  <c r="U82" i="12"/>
  <c r="T82" i="12"/>
  <c r="S82" i="12"/>
  <c r="R82" i="12"/>
  <c r="Q82" i="12"/>
  <c r="P82" i="12"/>
  <c r="O82" i="12"/>
  <c r="N82" i="12"/>
  <c r="M82" i="12"/>
  <c r="L82" i="12"/>
  <c r="K82" i="12"/>
  <c r="J82" i="12"/>
  <c r="I82" i="12"/>
  <c r="H82" i="12"/>
  <c r="G82" i="12"/>
  <c r="F82" i="12"/>
  <c r="E82" i="12"/>
  <c r="D82" i="12"/>
  <c r="C82" i="12"/>
  <c r="B82" i="12"/>
  <c r="Y78" i="12"/>
  <c r="X78" i="12"/>
  <c r="W78" i="12"/>
  <c r="V78" i="12"/>
  <c r="U78" i="12"/>
  <c r="T78" i="12"/>
  <c r="S78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B78" i="12"/>
  <c r="Y77" i="12"/>
  <c r="X77" i="12"/>
  <c r="W77" i="12"/>
  <c r="V77" i="12"/>
  <c r="U77" i="12"/>
  <c r="T77" i="12"/>
  <c r="S77" i="12"/>
  <c r="R77" i="12"/>
  <c r="Q77" i="12"/>
  <c r="P77" i="12"/>
  <c r="O77" i="12"/>
  <c r="N77" i="12"/>
  <c r="M77" i="12"/>
  <c r="L77" i="12"/>
  <c r="K77" i="12"/>
  <c r="J77" i="12"/>
  <c r="I77" i="12"/>
  <c r="H77" i="12"/>
  <c r="G77" i="12"/>
  <c r="F77" i="12"/>
  <c r="E77" i="12"/>
  <c r="D77" i="12"/>
  <c r="C77" i="12"/>
  <c r="B77" i="12"/>
  <c r="Y76" i="12"/>
  <c r="X76" i="12"/>
  <c r="W76" i="12"/>
  <c r="V76" i="12"/>
  <c r="U76" i="12"/>
  <c r="T76" i="12"/>
  <c r="S76" i="12"/>
  <c r="R76" i="12"/>
  <c r="Q76" i="12"/>
  <c r="P76" i="12"/>
  <c r="O76" i="12"/>
  <c r="N76" i="12"/>
  <c r="M76" i="12"/>
  <c r="L76" i="12"/>
  <c r="K76" i="12"/>
  <c r="J76" i="12"/>
  <c r="I76" i="12"/>
  <c r="H76" i="12"/>
  <c r="G76" i="12"/>
  <c r="F76" i="12"/>
  <c r="E76" i="12"/>
  <c r="D76" i="12"/>
  <c r="C76" i="12"/>
  <c r="B76" i="12"/>
  <c r="Y75" i="12"/>
  <c r="X75" i="12"/>
  <c r="W75" i="12"/>
  <c r="V75" i="12"/>
  <c r="U75" i="12"/>
  <c r="T75" i="12"/>
  <c r="S75" i="12"/>
  <c r="R75" i="12"/>
  <c r="Q75" i="12"/>
  <c r="P75" i="12"/>
  <c r="O75" i="12"/>
  <c r="N75" i="12"/>
  <c r="M75" i="12"/>
  <c r="L75" i="12"/>
  <c r="K75" i="12"/>
  <c r="J75" i="12"/>
  <c r="I75" i="12"/>
  <c r="H75" i="12"/>
  <c r="G75" i="12"/>
  <c r="F75" i="12"/>
  <c r="E75" i="12"/>
  <c r="D75" i="12"/>
  <c r="C75" i="12"/>
  <c r="B75" i="12"/>
  <c r="Y74" i="12"/>
  <c r="X74" i="12"/>
  <c r="W74" i="12"/>
  <c r="V74" i="12"/>
  <c r="U74" i="12"/>
  <c r="T74" i="12"/>
  <c r="S74" i="12"/>
  <c r="R74" i="12"/>
  <c r="Q74" i="12"/>
  <c r="P74" i="12"/>
  <c r="O74" i="12"/>
  <c r="N74" i="12"/>
  <c r="M74" i="12"/>
  <c r="L74" i="12"/>
  <c r="K74" i="12"/>
  <c r="J74" i="12"/>
  <c r="I74" i="12"/>
  <c r="H74" i="12"/>
  <c r="G74" i="12"/>
  <c r="F74" i="12"/>
  <c r="E74" i="12"/>
  <c r="D74" i="12"/>
  <c r="C74" i="12"/>
  <c r="B74" i="12"/>
  <c r="Y73" i="12"/>
  <c r="X73" i="12"/>
  <c r="W73" i="12"/>
  <c r="V73" i="12"/>
  <c r="U73" i="12"/>
  <c r="T73" i="12"/>
  <c r="S73" i="12"/>
  <c r="R73" i="12"/>
  <c r="Q73" i="12"/>
  <c r="P73" i="12"/>
  <c r="O73" i="12"/>
  <c r="N73" i="12"/>
  <c r="M73" i="12"/>
  <c r="L73" i="12"/>
  <c r="K73" i="12"/>
  <c r="J73" i="12"/>
  <c r="I73" i="12"/>
  <c r="H73" i="12"/>
  <c r="G73" i="12"/>
  <c r="F73" i="12"/>
  <c r="E73" i="12"/>
  <c r="D73" i="12"/>
  <c r="C73" i="12"/>
  <c r="B73" i="12"/>
  <c r="Y72" i="12"/>
  <c r="X72" i="12"/>
  <c r="W72" i="12"/>
  <c r="V72" i="12"/>
  <c r="U72" i="12"/>
  <c r="T72" i="12"/>
  <c r="S72" i="12"/>
  <c r="R72" i="12"/>
  <c r="Q72" i="12"/>
  <c r="P72" i="12"/>
  <c r="O72" i="12"/>
  <c r="N72" i="12"/>
  <c r="M72" i="12"/>
  <c r="L72" i="12"/>
  <c r="K72" i="12"/>
  <c r="J72" i="12"/>
  <c r="I72" i="12"/>
  <c r="H72" i="12"/>
  <c r="G72" i="12"/>
  <c r="F72" i="12"/>
  <c r="E72" i="12"/>
  <c r="D72" i="12"/>
  <c r="C72" i="12"/>
  <c r="B72" i="12"/>
  <c r="Y71" i="12"/>
  <c r="X71" i="12"/>
  <c r="W71" i="12"/>
  <c r="V71" i="12"/>
  <c r="U71" i="12"/>
  <c r="T71" i="12"/>
  <c r="S71" i="12"/>
  <c r="R71" i="12"/>
  <c r="Q71" i="12"/>
  <c r="P71" i="12"/>
  <c r="O71" i="12"/>
  <c r="N71" i="12"/>
  <c r="M71" i="12"/>
  <c r="L71" i="12"/>
  <c r="K71" i="12"/>
  <c r="J71" i="12"/>
  <c r="I71" i="12"/>
  <c r="H71" i="12"/>
  <c r="G71" i="12"/>
  <c r="F71" i="12"/>
  <c r="E71" i="12"/>
  <c r="D71" i="12"/>
  <c r="C71" i="12"/>
  <c r="B71" i="12"/>
  <c r="Y60" i="12"/>
  <c r="Y61" i="12" s="1"/>
  <c r="Y62" i="12" s="1"/>
  <c r="Y63" i="12" s="1"/>
  <c r="Y64" i="12" s="1"/>
  <c r="Y65" i="12" s="1"/>
  <c r="Y66" i="12" s="1"/>
  <c r="Y67" i="12" s="1"/>
  <c r="X60" i="12"/>
  <c r="X61" i="12" s="1"/>
  <c r="X62" i="12" s="1"/>
  <c r="X63" i="12" s="1"/>
  <c r="X64" i="12" s="1"/>
  <c r="X65" i="12" s="1"/>
  <c r="X66" i="12" s="1"/>
  <c r="X67" i="12" s="1"/>
  <c r="W60" i="12"/>
  <c r="W61" i="12" s="1"/>
  <c r="W62" i="12" s="1"/>
  <c r="W63" i="12" s="1"/>
  <c r="W64" i="12" s="1"/>
  <c r="W65" i="12" s="1"/>
  <c r="W66" i="12" s="1"/>
  <c r="W67" i="12" s="1"/>
  <c r="V60" i="12"/>
  <c r="V61" i="12" s="1"/>
  <c r="V62" i="12" s="1"/>
  <c r="V63" i="12" s="1"/>
  <c r="V64" i="12" s="1"/>
  <c r="V65" i="12" s="1"/>
  <c r="V66" i="12" s="1"/>
  <c r="V67" i="12" s="1"/>
  <c r="U60" i="12"/>
  <c r="U61" i="12" s="1"/>
  <c r="U62" i="12" s="1"/>
  <c r="U63" i="12" s="1"/>
  <c r="U64" i="12" s="1"/>
  <c r="U65" i="12" s="1"/>
  <c r="U66" i="12" s="1"/>
  <c r="U67" i="12" s="1"/>
  <c r="T60" i="12"/>
  <c r="T61" i="12" s="1"/>
  <c r="T62" i="12" s="1"/>
  <c r="T63" i="12" s="1"/>
  <c r="T64" i="12" s="1"/>
  <c r="T65" i="12" s="1"/>
  <c r="T66" i="12" s="1"/>
  <c r="T67" i="12" s="1"/>
  <c r="S60" i="12"/>
  <c r="S61" i="12" s="1"/>
  <c r="S62" i="12" s="1"/>
  <c r="S63" i="12" s="1"/>
  <c r="S64" i="12" s="1"/>
  <c r="S65" i="12" s="1"/>
  <c r="S66" i="12" s="1"/>
  <c r="S67" i="12" s="1"/>
  <c r="R60" i="12"/>
  <c r="R61" i="12" s="1"/>
  <c r="R62" i="12" s="1"/>
  <c r="R63" i="12" s="1"/>
  <c r="R64" i="12" s="1"/>
  <c r="R65" i="12" s="1"/>
  <c r="R66" i="12" s="1"/>
  <c r="R67" i="12" s="1"/>
  <c r="Q60" i="12"/>
  <c r="Q61" i="12" s="1"/>
  <c r="Q62" i="12" s="1"/>
  <c r="Q63" i="12" s="1"/>
  <c r="Q64" i="12" s="1"/>
  <c r="Q65" i="12" s="1"/>
  <c r="Q66" i="12" s="1"/>
  <c r="Q67" i="12" s="1"/>
  <c r="P60" i="12"/>
  <c r="P61" i="12" s="1"/>
  <c r="P62" i="12" s="1"/>
  <c r="P63" i="12" s="1"/>
  <c r="P64" i="12" s="1"/>
  <c r="P65" i="12" s="1"/>
  <c r="P66" i="12" s="1"/>
  <c r="P67" i="12" s="1"/>
  <c r="O60" i="12"/>
  <c r="O61" i="12" s="1"/>
  <c r="O62" i="12" s="1"/>
  <c r="O63" i="12" s="1"/>
  <c r="O64" i="12" s="1"/>
  <c r="O65" i="12" s="1"/>
  <c r="O66" i="12" s="1"/>
  <c r="O67" i="12" s="1"/>
  <c r="N60" i="12"/>
  <c r="N61" i="12" s="1"/>
  <c r="N62" i="12" s="1"/>
  <c r="N63" i="12" s="1"/>
  <c r="N64" i="12" s="1"/>
  <c r="N65" i="12" s="1"/>
  <c r="N66" i="12" s="1"/>
  <c r="N67" i="12" s="1"/>
  <c r="M60" i="12"/>
  <c r="M61" i="12" s="1"/>
  <c r="M62" i="12" s="1"/>
  <c r="M63" i="12" s="1"/>
  <c r="M64" i="12" s="1"/>
  <c r="M65" i="12" s="1"/>
  <c r="M66" i="12" s="1"/>
  <c r="M67" i="12" s="1"/>
  <c r="L60" i="12"/>
  <c r="L61" i="12" s="1"/>
  <c r="L62" i="12" s="1"/>
  <c r="L63" i="12" s="1"/>
  <c r="L64" i="12" s="1"/>
  <c r="L65" i="12" s="1"/>
  <c r="L66" i="12" s="1"/>
  <c r="L67" i="12" s="1"/>
  <c r="K60" i="12"/>
  <c r="K61" i="12" s="1"/>
  <c r="K62" i="12" s="1"/>
  <c r="K63" i="12" s="1"/>
  <c r="K64" i="12" s="1"/>
  <c r="K65" i="12" s="1"/>
  <c r="K66" i="12" s="1"/>
  <c r="K67" i="12" s="1"/>
  <c r="J60" i="12"/>
  <c r="J61" i="12" s="1"/>
  <c r="J62" i="12" s="1"/>
  <c r="J63" i="12" s="1"/>
  <c r="J64" i="12" s="1"/>
  <c r="J65" i="12" s="1"/>
  <c r="J66" i="12" s="1"/>
  <c r="J67" i="12" s="1"/>
  <c r="I60" i="12"/>
  <c r="I61" i="12" s="1"/>
  <c r="I62" i="12" s="1"/>
  <c r="I63" i="12" s="1"/>
  <c r="I64" i="12" s="1"/>
  <c r="I65" i="12" s="1"/>
  <c r="I66" i="12" s="1"/>
  <c r="I67" i="12" s="1"/>
  <c r="H60" i="12"/>
  <c r="H61" i="12" s="1"/>
  <c r="H62" i="12" s="1"/>
  <c r="H63" i="12" s="1"/>
  <c r="H64" i="12" s="1"/>
  <c r="H65" i="12" s="1"/>
  <c r="H66" i="12" s="1"/>
  <c r="H67" i="12" s="1"/>
  <c r="G60" i="12"/>
  <c r="G61" i="12" s="1"/>
  <c r="G62" i="12" s="1"/>
  <c r="G63" i="12" s="1"/>
  <c r="G64" i="12" s="1"/>
  <c r="G65" i="12" s="1"/>
  <c r="G66" i="12" s="1"/>
  <c r="G67" i="12" s="1"/>
  <c r="F60" i="12"/>
  <c r="F61" i="12" s="1"/>
  <c r="F62" i="12" s="1"/>
  <c r="F63" i="12" s="1"/>
  <c r="F64" i="12" s="1"/>
  <c r="F65" i="12" s="1"/>
  <c r="F66" i="12" s="1"/>
  <c r="F67" i="12" s="1"/>
  <c r="E60" i="12"/>
  <c r="E61" i="12" s="1"/>
  <c r="E62" i="12" s="1"/>
  <c r="E63" i="12" s="1"/>
  <c r="E64" i="12" s="1"/>
  <c r="E65" i="12" s="1"/>
  <c r="E66" i="12" s="1"/>
  <c r="E67" i="12" s="1"/>
  <c r="D60" i="12"/>
  <c r="D61" i="12" s="1"/>
  <c r="D62" i="12" s="1"/>
  <c r="D63" i="12" s="1"/>
  <c r="D64" i="12" s="1"/>
  <c r="D65" i="12" s="1"/>
  <c r="D66" i="12" s="1"/>
  <c r="D67" i="12" s="1"/>
  <c r="C60" i="12"/>
  <c r="C61" i="12" s="1"/>
  <c r="C62" i="12" s="1"/>
  <c r="C63" i="12" s="1"/>
  <c r="C64" i="12" s="1"/>
  <c r="C65" i="12" s="1"/>
  <c r="C66" i="12" s="1"/>
  <c r="C67" i="12" s="1"/>
  <c r="B60" i="12"/>
  <c r="Y56" i="12"/>
  <c r="X56" i="12"/>
  <c r="W56" i="12"/>
  <c r="V56" i="12"/>
  <c r="U56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B56" i="12"/>
  <c r="Y55" i="12"/>
  <c r="X55" i="12"/>
  <c r="W55" i="12"/>
  <c r="V55" i="12"/>
  <c r="U55" i="12"/>
  <c r="T55" i="12"/>
  <c r="S55" i="12"/>
  <c r="R55" i="12"/>
  <c r="Q55" i="12"/>
  <c r="P55" i="12"/>
  <c r="O55" i="12"/>
  <c r="N55" i="12"/>
  <c r="M55" i="12"/>
  <c r="L55" i="12"/>
  <c r="K55" i="12"/>
  <c r="J55" i="12"/>
  <c r="I55" i="12"/>
  <c r="H55" i="12"/>
  <c r="G55" i="12"/>
  <c r="F55" i="12"/>
  <c r="E55" i="12"/>
  <c r="D55" i="12"/>
  <c r="C55" i="12"/>
  <c r="B55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3" i="12"/>
  <c r="X53" i="12"/>
  <c r="W53" i="12"/>
  <c r="V53" i="12"/>
  <c r="U53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B53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B52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50" i="12"/>
  <c r="X50" i="12"/>
  <c r="W50" i="12"/>
  <c r="V50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B50" i="12"/>
  <c r="Y49" i="12"/>
  <c r="X49" i="12"/>
  <c r="W49" i="12"/>
  <c r="V49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B49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B33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B32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B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B30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B29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B28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AA27" i="12" l="1"/>
  <c r="AA31" i="12"/>
  <c r="AA20" i="12"/>
  <c r="AA96" i="12"/>
  <c r="AA100" i="12"/>
  <c r="AA85" i="12"/>
  <c r="AA89" i="12"/>
  <c r="AA74" i="12"/>
  <c r="AA78" i="12"/>
  <c r="AA60" i="12"/>
  <c r="AA53" i="12"/>
  <c r="AA49" i="12"/>
  <c r="AA99" i="12"/>
  <c r="AA19" i="12"/>
  <c r="AA94" i="12"/>
  <c r="AA29" i="12"/>
  <c r="AA56" i="12"/>
  <c r="AA77" i="12"/>
  <c r="AA83" i="12"/>
  <c r="AA28" i="12"/>
  <c r="AA50" i="12"/>
  <c r="AA82" i="12"/>
  <c r="AA93" i="12"/>
  <c r="AA34" i="12"/>
  <c r="AA33" i="12"/>
  <c r="AA55" i="12"/>
  <c r="AA87" i="12"/>
  <c r="AA21" i="12"/>
  <c r="AA54" i="12"/>
  <c r="AA30" i="12"/>
  <c r="AA52" i="12"/>
  <c r="AA88" i="12"/>
  <c r="AA22" i="12"/>
  <c r="AA72" i="12"/>
  <c r="AA32" i="12"/>
  <c r="AA75" i="12"/>
  <c r="AA97" i="12"/>
  <c r="AA23" i="12"/>
  <c r="AA73" i="12"/>
  <c r="AA84" i="12"/>
  <c r="AA95" i="12"/>
  <c r="AA51" i="12"/>
  <c r="AA76" i="12"/>
  <c r="AA98" i="12"/>
  <c r="AA71" i="12"/>
  <c r="AA86" i="12"/>
  <c r="B61" i="12"/>
  <c r="AA61" i="12" s="1"/>
  <c r="B62" i="12" l="1"/>
  <c r="AA62" i="12" s="1"/>
  <c r="B63" i="12" l="1"/>
  <c r="AA63" i="12" s="1"/>
  <c r="B64" i="12" l="1"/>
  <c r="AA64" i="12" s="1"/>
  <c r="B65" i="12" l="1"/>
  <c r="AA65" i="12" s="1"/>
  <c r="B66" i="12" l="1"/>
  <c r="AA66" i="12" s="1"/>
  <c r="B67" i="12" l="1"/>
  <c r="AA67" i="12" s="1"/>
</calcChain>
</file>

<file path=xl/sharedStrings.xml><?xml version="1.0" encoding="utf-8"?>
<sst xmlns="http://schemas.openxmlformats.org/spreadsheetml/2006/main" count="887" uniqueCount="55">
  <si>
    <t>Country</t>
  </si>
  <si>
    <t>Year</t>
  </si>
  <si>
    <t>Yearly AI energy met (kWh)</t>
  </si>
  <si>
    <t>Battery Capacity (MWh)</t>
  </si>
  <si>
    <t>Solar Capacity (MW)</t>
  </si>
  <si>
    <t>Wind Capacity (MW)</t>
  </si>
  <si>
    <t>Total cost of energy ($bn)</t>
  </si>
  <si>
    <t>DAC Capacity (ktCO2/yr)</t>
  </si>
  <si>
    <t>Heat Pump Capacity (MW)</t>
  </si>
  <si>
    <t>Battery Storage Capacity (MWh)</t>
  </si>
  <si>
    <t>Battery Interface Capacity (MW)</t>
  </si>
  <si>
    <t>Emissions avoided (kgCO2)</t>
  </si>
  <si>
    <t>Total Solar Capacity (GW)</t>
  </si>
  <si>
    <t>Total Wind Capacity (GW)</t>
  </si>
  <si>
    <t>Total DAC Capacity (ktCO2/yr)</t>
  </si>
  <si>
    <t>Total Battery Storage Capacity (GWh)</t>
  </si>
  <si>
    <t>Total Battery Interface Capacity (GW)</t>
  </si>
  <si>
    <t>Total Heat Pump Capacity (GW)</t>
  </si>
  <si>
    <t>Total avoided emissions (GtCO2)</t>
  </si>
  <si>
    <t>DAC Units</t>
  </si>
  <si>
    <t>LCOE ($/kWh)</t>
  </si>
  <si>
    <t>Virginia</t>
  </si>
  <si>
    <t>Oregon</t>
  </si>
  <si>
    <t>Iowa</t>
  </si>
  <si>
    <t>Ohio</t>
  </si>
  <si>
    <t>Texas</t>
  </si>
  <si>
    <t>Nebraska</t>
  </si>
  <si>
    <t>Georgia</t>
  </si>
  <si>
    <t>Oklahoma</t>
  </si>
  <si>
    <t>Illinois</t>
  </si>
  <si>
    <t>New Mexico</t>
  </si>
  <si>
    <t>New York</t>
  </si>
  <si>
    <t>Alabama</t>
  </si>
  <si>
    <t>Tennessee</t>
  </si>
  <si>
    <t>Washington</t>
  </si>
  <si>
    <t>Utah</t>
  </si>
  <si>
    <t>South Carolina</t>
  </si>
  <si>
    <t>Arizona</t>
  </si>
  <si>
    <t>North Carolina</t>
  </si>
  <si>
    <t>Colorado</t>
  </si>
  <si>
    <t>Nevada</t>
  </si>
  <si>
    <t>California</t>
  </si>
  <si>
    <t>Wyoming</t>
  </si>
  <si>
    <t>Pennsylvania</t>
  </si>
  <si>
    <t>Missouri</t>
  </si>
  <si>
    <t>Nuclear Capacity (MW)</t>
  </si>
  <si>
    <t>Solar Power Supplied (kWh)</t>
  </si>
  <si>
    <t>Wind Power Supplied (kWh)</t>
  </si>
  <si>
    <t>Nuclear Power Supplied (kWh)</t>
  </si>
  <si>
    <t>Grid Power Supplied (kWh)</t>
  </si>
  <si>
    <t>Total Nuclear Capacity (GW)</t>
  </si>
  <si>
    <t>Total Solar Power Supplied (GWh)</t>
  </si>
  <si>
    <t>Total Wind Power Supplied (GWh)</t>
  </si>
  <si>
    <t>Total Nuclear Power Supplied (GWh)</t>
  </si>
  <si>
    <t>Total Grid Power Supplied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</si>
</sst>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3A6B-A3EE-4D1F-BF04-F42DFD58B23E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47482374016.820206</v>
      </c>
      <c r="C5" s="2">
        <v>22376083984.886803</v>
      </c>
      <c r="D5" s="2">
        <v>19943139966.144821</v>
      </c>
      <c r="E5" s="2">
        <v>15822857797.140764</v>
      </c>
      <c r="F5" s="2">
        <v>10185741361.774887</v>
      </c>
      <c r="G5" s="2">
        <v>7156781420.9095917</v>
      </c>
      <c r="H5" s="2">
        <v>6981165550.2798777</v>
      </c>
      <c r="I5" s="2">
        <v>6520391236.2514362</v>
      </c>
      <c r="J5" s="2">
        <v>6346498487.6791048</v>
      </c>
      <c r="K5" s="2">
        <v>6285657151.7463951</v>
      </c>
      <c r="L5" s="2">
        <v>5042435889.3677855</v>
      </c>
      <c r="M5" s="2">
        <v>4816395659.8444042</v>
      </c>
      <c r="N5" s="2">
        <v>4727278429.9693136</v>
      </c>
      <c r="O5" s="2">
        <v>4347692550.0726767</v>
      </c>
      <c r="P5" s="2">
        <v>4303458215.925952</v>
      </c>
      <c r="Q5" s="2">
        <v>4233907376.0726027</v>
      </c>
      <c r="R5" s="2">
        <v>4073213638.1334333</v>
      </c>
      <c r="S5" s="2">
        <v>2707266441.2915902</v>
      </c>
      <c r="T5" s="2">
        <v>1497278308.965919</v>
      </c>
      <c r="U5" s="2">
        <v>1304078247.2502892</v>
      </c>
      <c r="V5" s="2">
        <v>1004166331.9476683</v>
      </c>
      <c r="W5" s="2">
        <v>869385498.16685879</v>
      </c>
      <c r="X5" s="2">
        <v>521631298.90011561</v>
      </c>
      <c r="Y5" s="2">
        <v>507281221.86737269</v>
      </c>
    </row>
    <row r="6" spans="1:27" x14ac:dyDescent="0.25">
      <c r="A6" s="2">
        <v>2029</v>
      </c>
      <c r="B6" s="2">
        <v>59675573046.160248</v>
      </c>
      <c r="C6" s="2">
        <v>28122132938.300613</v>
      </c>
      <c r="D6" s="2">
        <v>25064422966.675678</v>
      </c>
      <c r="E6" s="2">
        <v>19886076166.659061</v>
      </c>
      <c r="F6" s="2">
        <v>12801380833.413492</v>
      </c>
      <c r="G6" s="2">
        <v>8994601497.9706326</v>
      </c>
      <c r="H6" s="2">
        <v>8773888487.4519062</v>
      </c>
      <c r="I6" s="2">
        <v>8194789994.5067539</v>
      </c>
      <c r="J6" s="2">
        <v>7976242593.8239288</v>
      </c>
      <c r="K6" s="2">
        <v>7899777554.7045231</v>
      </c>
      <c r="L6" s="2">
        <v>6337304262.4185677</v>
      </c>
      <c r="M6" s="2">
        <v>6053218209.2756681</v>
      </c>
      <c r="N6" s="2">
        <v>5941216190.1854153</v>
      </c>
      <c r="O6" s="2">
        <v>5464154851.6971903</v>
      </c>
      <c r="P6" s="2">
        <v>5408561396.3744621</v>
      </c>
      <c r="Q6" s="2">
        <v>5321150303.0997238</v>
      </c>
      <c r="R6" s="2">
        <v>5119191342.6431026</v>
      </c>
      <c r="S6" s="2">
        <v>3402476805.7191963</v>
      </c>
      <c r="T6" s="2">
        <v>1881770719.0772562</v>
      </c>
      <c r="U6" s="2">
        <v>1638957998.9013531</v>
      </c>
      <c r="V6" s="2">
        <v>1262030438.3140209</v>
      </c>
      <c r="W6" s="2">
        <v>1092638665.9342346</v>
      </c>
      <c r="X6" s="2">
        <v>655583199.56054127</v>
      </c>
      <c r="Y6" s="2">
        <v>637548105.74062967</v>
      </c>
    </row>
    <row r="7" spans="1:27" x14ac:dyDescent="0.25">
      <c r="A7" s="2">
        <v>2030</v>
      </c>
      <c r="B7" s="2">
        <v>69197025813.426071</v>
      </c>
      <c r="C7" s="2">
        <v>32609120608.778099</v>
      </c>
      <c r="D7" s="2">
        <v>29063541990.323341</v>
      </c>
      <c r="E7" s="2">
        <v>23058971294.128273</v>
      </c>
      <c r="F7" s="2">
        <v>14843887285.204849</v>
      </c>
      <c r="G7" s="2">
        <v>10429722586.075815</v>
      </c>
      <c r="H7" s="2">
        <v>10173794019.216312</v>
      </c>
      <c r="I7" s="2">
        <v>9502298274.4859619</v>
      </c>
      <c r="J7" s="2">
        <v>9248880848.3171558</v>
      </c>
      <c r="K7" s="2">
        <v>9160215536.6044827</v>
      </c>
      <c r="L7" s="2">
        <v>7348443998.9358234</v>
      </c>
      <c r="M7" s="2">
        <v>7019030992.0869789</v>
      </c>
      <c r="N7" s="2">
        <v>6889158647.1637192</v>
      </c>
      <c r="O7" s="2">
        <v>6335980452.6548462</v>
      </c>
      <c r="P7" s="2">
        <v>6271516861.1607399</v>
      </c>
      <c r="Q7" s="2">
        <v>6170159012.8995571</v>
      </c>
      <c r="R7" s="2">
        <v>5935976772.3845053</v>
      </c>
      <c r="S7" s="2">
        <v>3945354243.5665627</v>
      </c>
      <c r="T7" s="2">
        <v>2182014019.74332</v>
      </c>
      <c r="U7" s="2">
        <v>1900459654.8971953</v>
      </c>
      <c r="V7" s="2">
        <v>1463391943.4639392</v>
      </c>
      <c r="W7" s="2">
        <v>1266973103.264796</v>
      </c>
      <c r="X7" s="2">
        <v>760183861.95887816</v>
      </c>
      <c r="Y7" s="2">
        <v>739271203.91638815</v>
      </c>
    </row>
    <row r="8" spans="1:27" x14ac:dyDescent="0.25">
      <c r="A8" s="2">
        <v>2031</v>
      </c>
      <c r="B8" s="2">
        <v>74354273968.014771</v>
      </c>
      <c r="C8" s="2">
        <v>35039475455.75985</v>
      </c>
      <c r="D8" s="2">
        <v>31229645179.491394</v>
      </c>
      <c r="E8" s="2">
        <v>24777554365.516338</v>
      </c>
      <c r="F8" s="2">
        <v>15950200879.013847</v>
      </c>
      <c r="G8" s="2">
        <v>11207048879.043095</v>
      </c>
      <c r="H8" s="2">
        <v>10932045978.949944</v>
      </c>
      <c r="I8" s="2">
        <v>10210503716.329327</v>
      </c>
      <c r="J8" s="2">
        <v>9938199112.0183029</v>
      </c>
      <c r="K8" s="2">
        <v>9842925582.5414886</v>
      </c>
      <c r="L8" s="2">
        <v>7896122873.96136</v>
      </c>
      <c r="M8" s="2">
        <v>7542158745.1286116</v>
      </c>
      <c r="N8" s="2">
        <v>7402607025.9358072</v>
      </c>
      <c r="O8" s="2">
        <v>6808200509.9889326</v>
      </c>
      <c r="P8" s="2">
        <v>6738932452.7773619</v>
      </c>
      <c r="Q8" s="2">
        <v>6630020413.1365166</v>
      </c>
      <c r="R8" s="2">
        <v>6378384591.1483231</v>
      </c>
      <c r="S8" s="2">
        <v>4239401143.0199275</v>
      </c>
      <c r="T8" s="2">
        <v>2344639329.7812047</v>
      </c>
      <c r="U8" s="2">
        <v>2042100743.2658684</v>
      </c>
      <c r="V8" s="2">
        <v>1572458414.3295853</v>
      </c>
      <c r="W8" s="2">
        <v>1361400495.5105782</v>
      </c>
      <c r="X8" s="2">
        <v>816840297.30634737</v>
      </c>
      <c r="Y8" s="2">
        <v>794369020.72744846</v>
      </c>
    </row>
    <row r="9" spans="1:27" x14ac:dyDescent="0.25">
      <c r="A9" s="2">
        <v>2032</v>
      </c>
      <c r="B9" s="2">
        <v>74577219289.632523</v>
      </c>
      <c r="C9" s="2">
        <v>35144538510.079529</v>
      </c>
      <c r="D9" s="2">
        <v>31323284763.566212</v>
      </c>
      <c r="E9" s="2">
        <v>24851847873.234505</v>
      </c>
      <c r="F9" s="2">
        <v>15998026275.928745</v>
      </c>
      <c r="G9" s="2">
        <v>11240652315.448095</v>
      </c>
      <c r="H9" s="2">
        <v>10964824841.235189</v>
      </c>
      <c r="I9" s="2">
        <v>10241119092.062746</v>
      </c>
      <c r="J9" s="2">
        <v>9967998004.2552624</v>
      </c>
      <c r="K9" s="2">
        <v>9872438804.7485027</v>
      </c>
      <c r="L9" s="2">
        <v>7919798764.5285378</v>
      </c>
      <c r="M9" s="2">
        <v>7564773302.6703634</v>
      </c>
      <c r="N9" s="2">
        <v>7424803148.850235</v>
      </c>
      <c r="O9" s="2">
        <v>6828614352.6819639</v>
      </c>
      <c r="P9" s="2">
        <v>6759138600.7614174</v>
      </c>
      <c r="Q9" s="2">
        <v>6649899997.1127481</v>
      </c>
      <c r="R9" s="2">
        <v>6397509665.3126812</v>
      </c>
      <c r="S9" s="2">
        <v>4252112647.0244422</v>
      </c>
      <c r="T9" s="2">
        <v>2351669542.5929193</v>
      </c>
      <c r="U9" s="2">
        <v>2048223818.4125521</v>
      </c>
      <c r="V9" s="2">
        <v>1577173304.6540346</v>
      </c>
      <c r="W9" s="2">
        <v>1365482545.608367</v>
      </c>
      <c r="X9" s="2">
        <v>819289527.36502075</v>
      </c>
      <c r="Y9" s="2">
        <v>796750872.46720779</v>
      </c>
    </row>
    <row r="10" spans="1:27" x14ac:dyDescent="0.25">
      <c r="A10" s="2">
        <v>2033</v>
      </c>
      <c r="B10" s="2">
        <v>74420939184.705917</v>
      </c>
      <c r="C10" s="2">
        <v>35070891460.507713</v>
      </c>
      <c r="D10" s="2">
        <v>31257645332.703491</v>
      </c>
      <c r="E10" s="2">
        <v>24799769645.724232</v>
      </c>
      <c r="F10" s="2">
        <v>15964501652.071281</v>
      </c>
      <c r="G10" s="2">
        <v>11217096994.66737</v>
      </c>
      <c r="H10" s="2">
        <v>10941847530.026588</v>
      </c>
      <c r="I10" s="2">
        <v>10219658340.622581</v>
      </c>
      <c r="J10" s="2">
        <v>9947109591.0259724</v>
      </c>
      <c r="K10" s="2">
        <v>9851750640.3601856</v>
      </c>
      <c r="L10" s="2">
        <v>7903202450.0814772</v>
      </c>
      <c r="M10" s="2">
        <v>7548920960.9398966</v>
      </c>
      <c r="N10" s="2">
        <v>7409244121.2247171</v>
      </c>
      <c r="O10" s="2">
        <v>6814304666.9936857</v>
      </c>
      <c r="P10" s="2">
        <v>6744974504.8109093</v>
      </c>
      <c r="Q10" s="2">
        <v>6635964815.8442688</v>
      </c>
      <c r="R10" s="2">
        <v>6384103379.9712934</v>
      </c>
      <c r="S10" s="2">
        <v>4243202143.0264869</v>
      </c>
      <c r="T10" s="2">
        <v>2346741507.3782816</v>
      </c>
      <c r="U10" s="2">
        <v>2043931668.1245193</v>
      </c>
      <c r="V10" s="2">
        <v>1573868263.0892437</v>
      </c>
      <c r="W10" s="2">
        <v>1362621112.0830121</v>
      </c>
      <c r="X10" s="2">
        <v>817572667.24980772</v>
      </c>
      <c r="Y10" s="2">
        <v>795081243.17376411</v>
      </c>
    </row>
    <row r="11" spans="1:27" x14ac:dyDescent="0.25">
      <c r="A11" s="2">
        <v>2034</v>
      </c>
      <c r="B11" s="2">
        <v>74360558532.438553</v>
      </c>
      <c r="C11" s="2">
        <v>35042437058.760262</v>
      </c>
      <c r="D11" s="2">
        <v>31232284768.402542</v>
      </c>
      <c r="E11" s="2">
        <v>24779648611.460304</v>
      </c>
      <c r="F11" s="2">
        <v>15951549020.279264</v>
      </c>
      <c r="G11" s="2">
        <v>11207996120.094915</v>
      </c>
      <c r="H11" s="2">
        <v>10932969976.234459</v>
      </c>
      <c r="I11" s="2">
        <v>10211366727.491701</v>
      </c>
      <c r="J11" s="2">
        <v>9939039107.4784546</v>
      </c>
      <c r="K11" s="2">
        <v>9843757525.3020153</v>
      </c>
      <c r="L11" s="2">
        <v>7896790269.2602625</v>
      </c>
      <c r="M11" s="2">
        <v>7542796222.7072182</v>
      </c>
      <c r="N11" s="2">
        <v>7403232708.3381186</v>
      </c>
      <c r="O11" s="2">
        <v>6808775952.0238237</v>
      </c>
      <c r="P11" s="2">
        <v>6739502040.1445274</v>
      </c>
      <c r="Q11" s="2">
        <v>6630580795.0512838</v>
      </c>
      <c r="R11" s="2">
        <v>6378923704.3255959</v>
      </c>
      <c r="S11" s="2">
        <v>4239759465.2545447</v>
      </c>
      <c r="T11" s="2">
        <v>2344837503.1494884</v>
      </c>
      <c r="U11" s="2">
        <v>2042273345.498343</v>
      </c>
      <c r="V11" s="2">
        <v>1572591321.5006354</v>
      </c>
      <c r="W11" s="2">
        <v>1361515563.6655612</v>
      </c>
      <c r="X11" s="2">
        <v>816909338.19933724</v>
      </c>
      <c r="Y11" s="2">
        <v>794436162.30547214</v>
      </c>
    </row>
    <row r="12" spans="1:27" x14ac:dyDescent="0.25">
      <c r="A12" s="2">
        <v>2035</v>
      </c>
      <c r="B12" s="2">
        <v>74350086702.879089</v>
      </c>
      <c r="C12" s="2">
        <v>35037502205.721634</v>
      </c>
      <c r="D12" s="2">
        <v>31227886480.26025</v>
      </c>
      <c r="E12" s="2">
        <v>24776159016.143593</v>
      </c>
      <c r="F12" s="2">
        <v>15949302642.550983</v>
      </c>
      <c r="G12" s="2">
        <v>11206417753.452852</v>
      </c>
      <c r="H12" s="2">
        <v>10931430340.163544</v>
      </c>
      <c r="I12" s="2">
        <v>10209928711.236177</v>
      </c>
      <c r="J12" s="2">
        <v>9937639441.7743149</v>
      </c>
      <c r="K12" s="2">
        <v>9842371277.631691</v>
      </c>
      <c r="L12" s="2">
        <v>7895678203.3559914</v>
      </c>
      <c r="M12" s="2">
        <v>7541734008.0331373</v>
      </c>
      <c r="N12" s="2">
        <v>7402190147.7032776</v>
      </c>
      <c r="O12" s="2">
        <v>6807817105.792902</v>
      </c>
      <c r="P12" s="2">
        <v>6738552949.4158821</v>
      </c>
      <c r="Q12" s="2">
        <v>6629647043.1626968</v>
      </c>
      <c r="R12" s="2">
        <v>6378025392.0600224</v>
      </c>
      <c r="S12" s="2">
        <v>4239162400.9052505</v>
      </c>
      <c r="T12" s="2">
        <v>2344507291.284997</v>
      </c>
      <c r="U12" s="2">
        <v>2041985742.2472382</v>
      </c>
      <c r="V12" s="2">
        <v>1572369861.2452195</v>
      </c>
      <c r="W12" s="2">
        <v>1361323828.1648245</v>
      </c>
      <c r="X12" s="2">
        <v>816794296.89889526</v>
      </c>
      <c r="Y12" s="2">
        <v>794324285.79120541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-4.194856891003929E-11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166.83929134037018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2.6189433920045656E-12</v>
      </c>
      <c r="Y16" s="2">
        <f>Y5/'Output-Calculation-sheet'!Y4*'Output-Calculation-sheet'!Y22</f>
        <v>0</v>
      </c>
      <c r="AA16" s="2">
        <f t="shared" ref="AA16:AA23" si="0">SUM(B16:Y16)/1000</f>
        <v>0.16683929134033085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1198.2869570625605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815.6137377066799</v>
      </c>
      <c r="N17" s="2">
        <f>N6/'Output-Calculation-sheet'!N5*'Output-Calculation-sheet'!N23</f>
        <v>334.49074651807086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75.181683356766953</v>
      </c>
      <c r="Y17" s="2">
        <f>Y6/'Output-Calculation-sheet'!Y5*'Output-Calculation-sheet'!Y23</f>
        <v>0</v>
      </c>
      <c r="AA17" s="2">
        <f t="shared" si="0"/>
        <v>2.4235731246440784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1470.7765724522401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999.65205418056678</v>
      </c>
      <c r="N18" s="2">
        <f>N7/'Output-Calculation-sheet'!N6*'Output-Calculation-sheet'!N24</f>
        <v>553.36483867057564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98.308450374399342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93.84897659574041</v>
      </c>
      <c r="Y18" s="2">
        <f>Y7/'Output-Calculation-sheet'!Y6*'Output-Calculation-sheet'!Y24</f>
        <v>0</v>
      </c>
      <c r="AA18" s="2">
        <f t="shared" si="0"/>
        <v>3.2159508922735225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1633.987285825016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1119.031106213632</v>
      </c>
      <c r="N19" s="2">
        <f>N8/'Output-Calculation-sheet'!N7*'Output-Calculation-sheet'!N25</f>
        <v>752.71093357494578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199.65315220023558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106.20029477675062</v>
      </c>
      <c r="Y19" s="2">
        <f>Y8/'Output-Calculation-sheet'!Y7*'Output-Calculation-sheet'!Y25</f>
        <v>0</v>
      </c>
      <c r="AA19" s="2">
        <f t="shared" si="0"/>
        <v>3.8115827725905795</v>
      </c>
    </row>
    <row r="20" spans="1:27" x14ac:dyDescent="0.25">
      <c r="A20" s="2">
        <v>2032</v>
      </c>
      <c r="B20" s="2">
        <f>B9/'Output-Calculation-sheet'!B8*'Output-Calculation-sheet'!B26</f>
        <v>1.601555838739616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1692.9603105105843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1157.7647306337458</v>
      </c>
      <c r="N20" s="2">
        <f>N9/'Output-Calculation-sheet'!N8*'Output-Calculation-sheet'!N26</f>
        <v>843.18341111833604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290.09832742885385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111.44033753160828</v>
      </c>
      <c r="Y20" s="2">
        <f>Y9/'Output-Calculation-sheet'!Y8*'Output-Calculation-sheet'!Y26</f>
        <v>0</v>
      </c>
      <c r="AA20" s="2">
        <f t="shared" si="0"/>
        <v>4.0970486730618676</v>
      </c>
    </row>
    <row r="21" spans="1:27" x14ac:dyDescent="0.25">
      <c r="A21" s="2">
        <v>2033</v>
      </c>
      <c r="B21" s="2">
        <f>B10/'Output-Calculation-sheet'!B9*'Output-Calculation-sheet'!B27</f>
        <v>2488.3969366627175</v>
      </c>
      <c r="C21" s="2">
        <f>C10/'Output-Calculation-sheet'!C9*'Output-Calculation-sheet'!C27</f>
        <v>3882.9725268054121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1742.1417672687523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1192.5854205984876</v>
      </c>
      <c r="N21" s="2">
        <f>N10/'Output-Calculation-sheet'!N9*'Output-Calculation-sheet'!N27</f>
        <v>931.80153013270763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355.47296216189005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114.79293656844108</v>
      </c>
      <c r="Y21" s="2">
        <f>Y10/'Output-Calculation-sheet'!Y9*'Output-Calculation-sheet'!Y27</f>
        <v>0</v>
      </c>
      <c r="AA21" s="2">
        <f t="shared" si="0"/>
        <v>10.708164080198406</v>
      </c>
    </row>
    <row r="22" spans="1:27" x14ac:dyDescent="0.25">
      <c r="A22" s="2">
        <v>2034</v>
      </c>
      <c r="B22" s="2">
        <f>B11/'Output-Calculation-sheet'!B10*'Output-Calculation-sheet'!B28</f>
        <v>4249.2137626026861</v>
      </c>
      <c r="C22" s="2">
        <f>C11/'Output-Calculation-sheet'!C10*'Output-Calculation-sheet'!C28</f>
        <v>4116.7772803768758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1798.6323837236971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1231.3593423066332</v>
      </c>
      <c r="N22" s="2">
        <f>N11/'Output-Calculation-sheet'!N10*'Output-Calculation-sheet'!N28</f>
        <v>987.40427996443918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402.7935574493734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119.30290673736782</v>
      </c>
      <c r="Y22" s="2">
        <f>Y11/'Output-Calculation-sheet'!Y10*'Output-Calculation-sheet'!Y28</f>
        <v>0</v>
      </c>
      <c r="AA22" s="2">
        <f t="shared" si="0"/>
        <v>12.905483513161075</v>
      </c>
    </row>
    <row r="23" spans="1:27" x14ac:dyDescent="0.25">
      <c r="A23" s="2">
        <v>2035</v>
      </c>
      <c r="B23" s="2">
        <f>B12/'Output-Calculation-sheet'!B11*'Output-Calculation-sheet'!B29</f>
        <v>5292.9880202336508</v>
      </c>
      <c r="C23" s="2">
        <f>C12/'Output-Calculation-sheet'!C11*'Output-Calculation-sheet'!C29</f>
        <v>4337.2051284306444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1850.4430142067799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1264.8512905072685</v>
      </c>
      <c r="N23" s="2">
        <f>N12/'Output-Calculation-sheet'!N11*'Output-Calculation-sheet'!N29</f>
        <v>1033.9063252785868</v>
      </c>
      <c r="O23" s="2">
        <f>O12/'Output-Calculation-sheet'!O11*'Output-Calculation-sheet'!O29</f>
        <v>737.43090713543586</v>
      </c>
      <c r="P23" s="2">
        <f>P12/'Output-Calculation-sheet'!P11*'Output-Calculation-sheet'!P29</f>
        <v>0</v>
      </c>
      <c r="Q23" s="2">
        <f>Q12/'Output-Calculation-sheet'!Q11*'Output-Calculation-sheet'!Q29</f>
        <v>14.11161288583822</v>
      </c>
      <c r="R23" s="2">
        <f>R12/'Output-Calculation-sheet'!R11*'Output-Calculation-sheet'!R29</f>
        <v>0</v>
      </c>
      <c r="S23" s="2">
        <f>S12/'Output-Calculation-sheet'!S11*'Output-Calculation-sheet'!S29</f>
        <v>454.04701614188065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123.98941774847279</v>
      </c>
      <c r="Y23" s="2">
        <f>Y12/'Output-Calculation-sheet'!Y11*'Output-Calculation-sheet'!Y29</f>
        <v>0</v>
      </c>
      <c r="AA23" s="2">
        <f t="shared" si="0"/>
        <v>15.108972732568558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7767.3524482403018</v>
      </c>
      <c r="C27" s="2">
        <f>C5/'Output-Calculation-sheet'!C4*'Output-Calculation-sheet'!C13</f>
        <v>0</v>
      </c>
      <c r="D27" s="2">
        <f>D5/'Output-Calculation-sheet'!D4*'Output-Calculation-sheet'!D13</f>
        <v>2508.4440930495589</v>
      </c>
      <c r="E27" s="2">
        <f>E5/'Output-Calculation-sheet'!E4*'Output-Calculation-sheet'!E13</f>
        <v>2559.0040049067302</v>
      </c>
      <c r="F27" s="2">
        <f>F5/'Output-Calculation-sheet'!F4*'Output-Calculation-sheet'!F13</f>
        <v>1453.6721457266285</v>
      </c>
      <c r="G27" s="2">
        <f>G5/'Output-Calculation-sheet'!G4*'Output-Calculation-sheet'!G13</f>
        <v>881.57385553298104</v>
      </c>
      <c r="H27" s="2">
        <f>H5/'Output-Calculation-sheet'!H4*'Output-Calculation-sheet'!H13</f>
        <v>0</v>
      </c>
      <c r="I27" s="2">
        <f>I5/'Output-Calculation-sheet'!I4*'Output-Calculation-sheet'!I13</f>
        <v>880.92221667640217</v>
      </c>
      <c r="J27" s="2">
        <f>J5/'Output-Calculation-sheet'!J4*'Output-Calculation-sheet'!J13</f>
        <v>809.85999384997717</v>
      </c>
      <c r="K27" s="2">
        <f>K5/'Output-Calculation-sheet'!K4*'Output-Calculation-sheet'!K13</f>
        <v>987.23652079089163</v>
      </c>
      <c r="L27" s="2">
        <f>L5/'Output-Calculation-sheet'!L4*'Output-Calculation-sheet'!L13</f>
        <v>818.59324025197543</v>
      </c>
      <c r="M27" s="2">
        <f>M5/'Output-Calculation-sheet'!M4*'Output-Calculation-sheet'!M13</f>
        <v>0</v>
      </c>
      <c r="N27" s="2">
        <f>N5/'Output-Calculation-sheet'!N4*'Output-Calculation-sheet'!N13</f>
        <v>531.7424221506368</v>
      </c>
      <c r="O27" s="2">
        <f>O5/'Output-Calculation-sheet'!O4*'Output-Calculation-sheet'!O13</f>
        <v>0</v>
      </c>
      <c r="P27" s="2">
        <f>P5/'Output-Calculation-sheet'!P4*'Output-Calculation-sheet'!P13</f>
        <v>639.73661476328834</v>
      </c>
      <c r="Q27" s="2">
        <f>Q5/'Output-Calculation-sheet'!Q4*'Output-Calculation-sheet'!Q13</f>
        <v>690.16247815688143</v>
      </c>
      <c r="R27" s="2">
        <f>R5/'Output-Calculation-sheet'!R4*'Output-Calculation-sheet'!R13</f>
        <v>622.85910497459372</v>
      </c>
      <c r="S27" s="2">
        <f>S5/'Output-Calculation-sheet'!S4*'Output-Calculation-sheet'!S13</f>
        <v>373.90881084994254</v>
      </c>
      <c r="T27" s="2">
        <f>T5/'Output-Calculation-sheet'!T4*'Output-Calculation-sheet'!T13</f>
        <v>228.96088798507736</v>
      </c>
      <c r="U27" s="2">
        <f>U5/'Output-Calculation-sheet'!U4*'Output-Calculation-sheet'!U13</f>
        <v>174.84506419519056</v>
      </c>
      <c r="V27" s="2">
        <f>V5/'Output-Calculation-sheet'!V4*'Output-Calculation-sheet'!V13</f>
        <v>167.49514752833585</v>
      </c>
      <c r="W27" s="2">
        <f>W5/'Output-Calculation-sheet'!W4*'Output-Calculation-sheet'!W13</f>
        <v>117.22389748869278</v>
      </c>
      <c r="X27" s="2">
        <f>X5/'Output-Calculation-sheet'!X4*'Output-Calculation-sheet'!X13</f>
        <v>0</v>
      </c>
      <c r="Y27" s="2">
        <f>Y5/'Output-Calculation-sheet'!Y4*'Output-Calculation-sheet'!Y13</f>
        <v>76.946460461310934</v>
      </c>
      <c r="AA27" s="2">
        <f t="shared" ref="AA27:AA34" si="1">SUM(B27:Y27)/1000</f>
        <v>22.290539407579395</v>
      </c>
    </row>
    <row r="28" spans="1:27" x14ac:dyDescent="0.25">
      <c r="A28" s="2">
        <v>2029</v>
      </c>
      <c r="B28" s="2">
        <f>B6/'Output-Calculation-sheet'!B5*'Output-Calculation-sheet'!B14</f>
        <v>9986.1168010163328</v>
      </c>
      <c r="C28" s="2">
        <f>C6/'Output-Calculation-sheet'!C5*'Output-Calculation-sheet'!C14</f>
        <v>0</v>
      </c>
      <c r="D28" s="2">
        <f>D6/'Output-Calculation-sheet'!D5*'Output-Calculation-sheet'!D14</f>
        <v>3176.6483318236401</v>
      </c>
      <c r="E28" s="2">
        <f>E6/'Output-Calculation-sheet'!E5*'Output-Calculation-sheet'!E14</f>
        <v>3262.0763007555647</v>
      </c>
      <c r="F28" s="2">
        <f>F6/'Output-Calculation-sheet'!F5*'Output-Calculation-sheet'!F14</f>
        <v>1839.4775331131684</v>
      </c>
      <c r="G28" s="2">
        <f>G6/'Output-Calculation-sheet'!G5*'Output-Calculation-sheet'!G14</f>
        <v>1114.4757636676652</v>
      </c>
      <c r="H28" s="2">
        <f>H6/'Output-Calculation-sheet'!H5*'Output-Calculation-sheet'!H14</f>
        <v>0</v>
      </c>
      <c r="I28" s="2">
        <f>I6/'Output-Calculation-sheet'!I5*'Output-Calculation-sheet'!I14</f>
        <v>1119.3702930951426</v>
      </c>
      <c r="J28" s="2">
        <f>J6/'Output-Calculation-sheet'!J5*'Output-Calculation-sheet'!J14</f>
        <v>1025.7885415410747</v>
      </c>
      <c r="K28" s="2">
        <f>K6/'Output-Calculation-sheet'!K5*'Output-Calculation-sheet'!K14</f>
        <v>1258.1189405912507</v>
      </c>
      <c r="L28" s="2">
        <f>L6/'Output-Calculation-sheet'!L5*'Output-Calculation-sheet'!L14</f>
        <v>1040.512020743447</v>
      </c>
      <c r="M28" s="2">
        <f>M6/'Output-Calculation-sheet'!M5*'Output-Calculation-sheet'!M14</f>
        <v>0</v>
      </c>
      <c r="N28" s="2">
        <f>N6/'Output-Calculation-sheet'!N5*'Output-Calculation-sheet'!N14</f>
        <v>659.645636085109</v>
      </c>
      <c r="O28" s="2">
        <f>O6/'Output-Calculation-sheet'!O5*'Output-Calculation-sheet'!O14</f>
        <v>0</v>
      </c>
      <c r="P28" s="2">
        <f>P6/'Output-Calculation-sheet'!P5*'Output-Calculation-sheet'!P14</f>
        <v>823.82951210825001</v>
      </c>
      <c r="Q28" s="2">
        <f>Q6/'Output-Calculation-sheet'!Q5*'Output-Calculation-sheet'!Q14</f>
        <v>894.28105681467332</v>
      </c>
      <c r="R28" s="2">
        <f>R6/'Output-Calculation-sheet'!R5*'Output-Calculation-sheet'!R14</f>
        <v>795.14817601668403</v>
      </c>
      <c r="S28" s="2">
        <f>S6/'Output-Calculation-sheet'!S5*'Output-Calculation-sheet'!S14</f>
        <v>487.40003429656247</v>
      </c>
      <c r="T28" s="2">
        <f>T6/'Output-Calculation-sheet'!T5*'Output-Calculation-sheet'!T14</f>
        <v>290.72442837629222</v>
      </c>
      <c r="U28" s="2">
        <f>U6/'Output-Calculation-sheet'!U5*'Output-Calculation-sheet'!U14</f>
        <v>223.02662421677257</v>
      </c>
      <c r="V28" s="2">
        <f>V6/'Output-Calculation-sheet'!V5*'Output-Calculation-sheet'!V14</f>
        <v>213.32080505191783</v>
      </c>
      <c r="W28" s="2">
        <f>W6/'Output-Calculation-sheet'!W5*'Output-Calculation-sheet'!W14</f>
        <v>148.86047311330856</v>
      </c>
      <c r="X28" s="2">
        <f>X6/'Output-Calculation-sheet'!X5*'Output-Calculation-sheet'!X14</f>
        <v>0</v>
      </c>
      <c r="Y28" s="2">
        <f>Y6/'Output-Calculation-sheet'!Y5*'Output-Calculation-sheet'!Y14</f>
        <v>97.882575211919558</v>
      </c>
      <c r="AA28" s="2">
        <f t="shared" si="1"/>
        <v>28.456703847638774</v>
      </c>
    </row>
    <row r="29" spans="1:27" x14ac:dyDescent="0.25">
      <c r="A29" s="2">
        <v>2030</v>
      </c>
      <c r="B29" s="2">
        <f>B7/'Output-Calculation-sheet'!B6*'Output-Calculation-sheet'!B15</f>
        <v>11830.709434223494</v>
      </c>
      <c r="C29" s="2">
        <f>C7/'Output-Calculation-sheet'!C6*'Output-Calculation-sheet'!C15</f>
        <v>0</v>
      </c>
      <c r="D29" s="2">
        <f>D7/'Output-Calculation-sheet'!D6*'Output-Calculation-sheet'!D15</f>
        <v>3718.9357180861302</v>
      </c>
      <c r="E29" s="2">
        <f>E7/'Output-Calculation-sheet'!E6*'Output-Calculation-sheet'!E15</f>
        <v>3833.7398823455878</v>
      </c>
      <c r="F29" s="2">
        <f>F7/'Output-Calculation-sheet'!F6*'Output-Calculation-sheet'!F15</f>
        <v>2150.4038298534542</v>
      </c>
      <c r="G29" s="2">
        <f>G7/'Output-Calculation-sheet'!G6*'Output-Calculation-sheet'!G15</f>
        <v>1300.6886889959335</v>
      </c>
      <c r="H29" s="2">
        <f>H7/'Output-Calculation-sheet'!H6*'Output-Calculation-sheet'!H15</f>
        <v>0</v>
      </c>
      <c r="I29" s="2">
        <f>I7/'Output-Calculation-sheet'!I6*'Output-Calculation-sheet'!I15</f>
        <v>1310.5779120784298</v>
      </c>
      <c r="J29" s="2">
        <f>J7/'Output-Calculation-sheet'!J6*'Output-Calculation-sheet'!J15</f>
        <v>1198.8514490088405</v>
      </c>
      <c r="K29" s="2">
        <f>K7/'Output-Calculation-sheet'!K6*'Output-Calculation-sheet'!K15</f>
        <v>1476.111119461493</v>
      </c>
      <c r="L29" s="2">
        <f>L7/'Output-Calculation-sheet'!L6*'Output-Calculation-sheet'!L15</f>
        <v>1223.8014033400248</v>
      </c>
      <c r="M29" s="2">
        <f>M7/'Output-Calculation-sheet'!M6*'Output-Calculation-sheet'!M15</f>
        <v>0</v>
      </c>
      <c r="N29" s="2">
        <f>N7/'Output-Calculation-sheet'!N6*'Output-Calculation-sheet'!N15</f>
        <v>693.97524996341235</v>
      </c>
      <c r="O29" s="2">
        <f>O7/'Output-Calculation-sheet'!O6*'Output-Calculation-sheet'!O15</f>
        <v>0</v>
      </c>
      <c r="P29" s="2">
        <f>P7/'Output-Calculation-sheet'!P6*'Output-Calculation-sheet'!P15</f>
        <v>972.84668675131184</v>
      </c>
      <c r="Q29" s="2">
        <f>Q7/'Output-Calculation-sheet'!Q6*'Output-Calculation-sheet'!Q15</f>
        <v>1062.695977937911</v>
      </c>
      <c r="R29" s="2">
        <f>R7/'Output-Calculation-sheet'!R6*'Output-Calculation-sheet'!R15</f>
        <v>935.73718189972612</v>
      </c>
      <c r="S29" s="2">
        <f>S7/'Output-Calculation-sheet'!S6*'Output-Calculation-sheet'!S15</f>
        <v>535.02660145774632</v>
      </c>
      <c r="T29" s="2">
        <f>T7/'Output-Calculation-sheet'!T6*'Output-Calculation-sheet'!T15</f>
        <v>341.16965035132546</v>
      </c>
      <c r="U29" s="2">
        <f>U7/'Output-Calculation-sheet'!U6*'Output-Calculation-sheet'!U15</f>
        <v>262.14500162767894</v>
      </c>
      <c r="V29" s="2">
        <f>V7/'Output-Calculation-sheet'!V6*'Output-Calculation-sheet'!V15</f>
        <v>250.91898135313869</v>
      </c>
      <c r="W29" s="2">
        <f>W7/'Output-Calculation-sheet'!W6*'Output-Calculation-sheet'!W15</f>
        <v>174.72698871886533</v>
      </c>
      <c r="X29" s="2">
        <f>X7/'Output-Calculation-sheet'!X6*'Output-Calculation-sheet'!X15</f>
        <v>0</v>
      </c>
      <c r="Y29" s="2">
        <f>Y7/'Output-Calculation-sheet'!Y6*'Output-Calculation-sheet'!Y15</f>
        <v>115.09028179345307</v>
      </c>
      <c r="AA29" s="2">
        <f t="shared" si="1"/>
        <v>33.388152039247963</v>
      </c>
    </row>
    <row r="30" spans="1:27" x14ac:dyDescent="0.25">
      <c r="A30" s="2">
        <v>2031</v>
      </c>
      <c r="B30" s="2">
        <f>B8/'Output-Calculation-sheet'!B7*'Output-Calculation-sheet'!B16</f>
        <v>12842.950650425488</v>
      </c>
      <c r="C30" s="2">
        <f>C8/'Output-Calculation-sheet'!C7*'Output-Calculation-sheet'!C16</f>
        <v>0</v>
      </c>
      <c r="D30" s="2">
        <f>D8/'Output-Calculation-sheet'!D7*'Output-Calculation-sheet'!D16</f>
        <v>4009.1072058499267</v>
      </c>
      <c r="E30" s="2">
        <f>E8/'Output-Calculation-sheet'!E7*'Output-Calculation-sheet'!E16</f>
        <v>4146.7754378433419</v>
      </c>
      <c r="F30" s="2">
        <f>F8/'Output-Calculation-sheet'!F7*'Output-Calculation-sheet'!F16</f>
        <v>2323.1803448033611</v>
      </c>
      <c r="G30" s="2">
        <f>G8/'Output-Calculation-sheet'!G7*'Output-Calculation-sheet'!G16</f>
        <v>1401.1317850306016</v>
      </c>
      <c r="H30" s="2">
        <f>H8/'Output-Calculation-sheet'!H7*'Output-Calculation-sheet'!H16</f>
        <v>0</v>
      </c>
      <c r="I30" s="2">
        <f>I8/'Output-Calculation-sheet'!I7*'Output-Calculation-sheet'!I16</f>
        <v>1418.1009018193804</v>
      </c>
      <c r="J30" s="2">
        <f>J8/'Output-Calculation-sheet'!J7*'Output-Calculation-sheet'!J16</f>
        <v>1294.3794650493919</v>
      </c>
      <c r="K30" s="2">
        <f>K8/'Output-Calculation-sheet'!K7*'Output-Calculation-sheet'!K16</f>
        <v>1600.795589844877</v>
      </c>
      <c r="L30" s="2">
        <f>L8/'Output-Calculation-sheet'!L7*'Output-Calculation-sheet'!L16</f>
        <v>1321.0745052669374</v>
      </c>
      <c r="M30" s="2">
        <f>M8/'Output-Calculation-sheet'!M7*'Output-Calculation-sheet'!M16</f>
        <v>0</v>
      </c>
      <c r="N30" s="2">
        <f>N8/'Output-Calculation-sheet'!N7*'Output-Calculation-sheet'!N16</f>
        <v>648.1928487608177</v>
      </c>
      <c r="O30" s="2">
        <f>O8/'Output-Calculation-sheet'!O7*'Output-Calculation-sheet'!O16</f>
        <v>0</v>
      </c>
      <c r="P30" s="2">
        <f>P8/'Output-Calculation-sheet'!P7*'Output-Calculation-sheet'!P16</f>
        <v>1052.9586098223765</v>
      </c>
      <c r="Q30" s="2">
        <f>Q8/'Output-Calculation-sheet'!Q7*'Output-Calculation-sheet'!Q16</f>
        <v>1154.9177187286427</v>
      </c>
      <c r="R30" s="2">
        <f>R8/'Output-Calculation-sheet'!R7*'Output-Calculation-sheet'!R16</f>
        <v>1011.8582519459521</v>
      </c>
      <c r="S30" s="2">
        <f>S8/'Output-Calculation-sheet'!S7*'Output-Calculation-sheet'!S16</f>
        <v>540.36997578783848</v>
      </c>
      <c r="T30" s="2">
        <f>T8/'Output-Calculation-sheet'!T7*'Output-Calculation-sheet'!T16</f>
        <v>369.14664853925569</v>
      </c>
      <c r="U30" s="2">
        <f>U8/'Output-Calculation-sheet'!U7*'Output-Calculation-sheet'!U16</f>
        <v>283.71548508401247</v>
      </c>
      <c r="V30" s="2">
        <f>V8/'Output-Calculation-sheet'!V7*'Output-Calculation-sheet'!V16</f>
        <v>271.68213034894239</v>
      </c>
      <c r="W30" s="2">
        <f>W8/'Output-Calculation-sheet'!W7*'Output-Calculation-sheet'!W16</f>
        <v>188.61143406205252</v>
      </c>
      <c r="X30" s="2">
        <f>X8/'Output-Calculation-sheet'!X7*'Output-Calculation-sheet'!X16</f>
        <v>0</v>
      </c>
      <c r="Y30" s="2">
        <f>Y8/'Output-Calculation-sheet'!Y7*'Output-Calculation-sheet'!Y16</f>
        <v>124.69224658128901</v>
      </c>
      <c r="AA30" s="2">
        <f t="shared" si="1"/>
        <v>36.0036412355945</v>
      </c>
    </row>
    <row r="31" spans="1:27" x14ac:dyDescent="0.25">
      <c r="A31" s="2">
        <v>2032</v>
      </c>
      <c r="B31" s="2">
        <f>B9/'Output-Calculation-sheet'!B8*'Output-Calculation-sheet'!B17</f>
        <v>13040.595618944653</v>
      </c>
      <c r="C31" s="2">
        <f>C9/'Output-Calculation-sheet'!C8*'Output-Calculation-sheet'!C17</f>
        <v>0</v>
      </c>
      <c r="D31" s="2">
        <f>D9/'Output-Calculation-sheet'!D8*'Output-Calculation-sheet'!D17</f>
        <v>4042.8590567623896</v>
      </c>
      <c r="E31" s="2">
        <f>E9/'Output-Calculation-sheet'!E8*'Output-Calculation-sheet'!E17</f>
        <v>4186.841596999363</v>
      </c>
      <c r="F31" s="2">
        <f>F9/'Output-Calculation-sheet'!F8*'Output-Calculation-sheet'!F17</f>
        <v>2339.0192321825893</v>
      </c>
      <c r="G31" s="2">
        <f>G9/'Output-Calculation-sheet'!G8*'Output-Calculation-sheet'!G17</f>
        <v>1410.0540804113145</v>
      </c>
      <c r="H31" s="2">
        <f>H9/'Output-Calculation-sheet'!H8*'Output-Calculation-sheet'!H17</f>
        <v>0</v>
      </c>
      <c r="I31" s="2">
        <f>I9/'Output-Calculation-sheet'!I8*'Output-Calculation-sheet'!I17</f>
        <v>1429.6211524165503</v>
      </c>
      <c r="J31" s="2">
        <f>J9/'Output-Calculation-sheet'!J8*'Output-Calculation-sheet'!J17</f>
        <v>1303.9095033183016</v>
      </c>
      <c r="K31" s="2">
        <f>K9/'Output-Calculation-sheet'!K8*'Output-Calculation-sheet'!K17</f>
        <v>1615.1265649310435</v>
      </c>
      <c r="L31" s="2">
        <f>L9/'Output-Calculation-sheet'!L8*'Output-Calculation-sheet'!L17</f>
        <v>1333.2626082902946</v>
      </c>
      <c r="M31" s="2">
        <f>M9/'Output-Calculation-sheet'!M8*'Output-Calculation-sheet'!M17</f>
        <v>0</v>
      </c>
      <c r="N31" s="2">
        <f>N9/'Output-Calculation-sheet'!N8*'Output-Calculation-sheet'!N17</f>
        <v>589.75796247796802</v>
      </c>
      <c r="O31" s="2">
        <f>O9/'Output-Calculation-sheet'!O8*'Output-Calculation-sheet'!O17</f>
        <v>0</v>
      </c>
      <c r="P31" s="2">
        <f>P9/'Output-Calculation-sheet'!P8*'Output-Calculation-sheet'!P17</f>
        <v>1072.5690392543218</v>
      </c>
      <c r="Q31" s="2">
        <f>Q9/'Output-Calculation-sheet'!Q8*'Output-Calculation-sheet'!Q17</f>
        <v>1175.4343775241064</v>
      </c>
      <c r="R31" s="2">
        <f>R9/'Output-Calculation-sheet'!R8*'Output-Calculation-sheet'!R17</f>
        <v>1020.5795440347856</v>
      </c>
      <c r="S31" s="2">
        <f>S9/'Output-Calculation-sheet'!S8*'Output-Calculation-sheet'!S17</f>
        <v>509.2183074763858</v>
      </c>
      <c r="T31" s="2">
        <f>T9/'Output-Calculation-sheet'!T8*'Output-Calculation-sheet'!T17</f>
        <v>371.90904444099948</v>
      </c>
      <c r="U31" s="2">
        <f>U9/'Output-Calculation-sheet'!U8*'Output-Calculation-sheet'!U17</f>
        <v>286.83434779360545</v>
      </c>
      <c r="V31" s="2">
        <f>V9/'Output-Calculation-sheet'!V8*'Output-Calculation-sheet'!V17</f>
        <v>274.87210881687298</v>
      </c>
      <c r="W31" s="2">
        <f>W9/'Output-Calculation-sheet'!W8*'Output-Calculation-sheet'!W17</f>
        <v>190.33698863332432</v>
      </c>
      <c r="X31" s="2">
        <f>X9/'Output-Calculation-sheet'!X8*'Output-Calculation-sheet'!X17</f>
        <v>0</v>
      </c>
      <c r="Y31" s="2">
        <f>Y9/'Output-Calculation-sheet'!Y8*'Output-Calculation-sheet'!Y17</f>
        <v>125.83161588229966</v>
      </c>
      <c r="AA31" s="2">
        <f t="shared" si="1"/>
        <v>36.318632750591178</v>
      </c>
    </row>
    <row r="32" spans="1:27" x14ac:dyDescent="0.25">
      <c r="A32" s="2">
        <v>2033</v>
      </c>
      <c r="B32" s="2">
        <f>B10/'Output-Calculation-sheet'!B9*'Output-Calculation-sheet'!B18</f>
        <v>12143.557211607791</v>
      </c>
      <c r="C32" s="2">
        <f>C10/'Output-Calculation-sheet'!C9*'Output-Calculation-sheet'!C18</f>
        <v>0</v>
      </c>
      <c r="D32" s="2">
        <f>D10/'Output-Calculation-sheet'!D9*'Output-Calculation-sheet'!D18</f>
        <v>4054.0565612284545</v>
      </c>
      <c r="E32" s="2">
        <f>E10/'Output-Calculation-sheet'!E9*'Output-Calculation-sheet'!E18</f>
        <v>4198.0690795749215</v>
      </c>
      <c r="F32" s="2">
        <f>F10/'Output-Calculation-sheet'!F9*'Output-Calculation-sheet'!F18</f>
        <v>2344.8956773110262</v>
      </c>
      <c r="G32" s="2">
        <f>G10/'Output-Calculation-sheet'!G9*'Output-Calculation-sheet'!G18</f>
        <v>1414.2427707339789</v>
      </c>
      <c r="H32" s="2">
        <f>H10/'Output-Calculation-sheet'!H9*'Output-Calculation-sheet'!H18</f>
        <v>0</v>
      </c>
      <c r="I32" s="2">
        <f>I10/'Output-Calculation-sheet'!I9*'Output-Calculation-sheet'!I18</f>
        <v>1433.7008893160789</v>
      </c>
      <c r="J32" s="2">
        <f>J10/'Output-Calculation-sheet'!J9*'Output-Calculation-sheet'!J18</f>
        <v>1307.6139348293493</v>
      </c>
      <c r="K32" s="2">
        <f>K10/'Output-Calculation-sheet'!K9*'Output-Calculation-sheet'!K18</f>
        <v>1623.4226839864109</v>
      </c>
      <c r="L32" s="2">
        <f>L10/'Output-Calculation-sheet'!L9*'Output-Calculation-sheet'!L18</f>
        <v>1337.9082770817886</v>
      </c>
      <c r="M32" s="2">
        <f>M10/'Output-Calculation-sheet'!M9*'Output-Calculation-sheet'!M18</f>
        <v>0</v>
      </c>
      <c r="N32" s="2">
        <f>N10/'Output-Calculation-sheet'!N9*'Output-Calculation-sheet'!N18</f>
        <v>529.56221738079591</v>
      </c>
      <c r="O32" s="2">
        <f>O10/'Output-Calculation-sheet'!O9*'Output-Calculation-sheet'!O18</f>
        <v>0</v>
      </c>
      <c r="P32" s="2">
        <f>P10/'Output-Calculation-sheet'!P9*'Output-Calculation-sheet'!P18</f>
        <v>1083.50415546207</v>
      </c>
      <c r="Q32" s="2">
        <f>Q10/'Output-Calculation-sheet'!Q9*'Output-Calculation-sheet'!Q18</f>
        <v>1188.3163227356417</v>
      </c>
      <c r="R32" s="2">
        <f>R10/'Output-Calculation-sheet'!R9*'Output-Calculation-sheet'!R18</f>
        <v>1026.4113755652218</v>
      </c>
      <c r="S32" s="2">
        <f>S10/'Output-Calculation-sheet'!S9*'Output-Calculation-sheet'!S18</f>
        <v>477.76040122397188</v>
      </c>
      <c r="T32" s="2">
        <f>T10/'Output-Calculation-sheet'!T9*'Output-Calculation-sheet'!T18</f>
        <v>373.35398680370878</v>
      </c>
      <c r="U32" s="2">
        <f>U10/'Output-Calculation-sheet'!U9*'Output-Calculation-sheet'!U18</f>
        <v>287.93885774464167</v>
      </c>
      <c r="V32" s="2">
        <f>V10/'Output-Calculation-sheet'!V9*'Output-Calculation-sheet'!V18</f>
        <v>276.23016108780695</v>
      </c>
      <c r="W32" s="2">
        <f>W10/'Output-Calculation-sheet'!W9*'Output-Calculation-sheet'!W18</f>
        <v>190.60534898019793</v>
      </c>
      <c r="X32" s="2">
        <f>X10/'Output-Calculation-sheet'!X9*'Output-Calculation-sheet'!X18</f>
        <v>0</v>
      </c>
      <c r="Y32" s="2">
        <f>Y10/'Output-Calculation-sheet'!Y9*'Output-Calculation-sheet'!Y18</f>
        <v>126.38129770556654</v>
      </c>
      <c r="AA32" s="2">
        <f t="shared" si="1"/>
        <v>35.417531210359428</v>
      </c>
    </row>
    <row r="33" spans="1:27" x14ac:dyDescent="0.25">
      <c r="A33" s="2">
        <v>2034</v>
      </c>
      <c r="B33" s="2">
        <f>B11/'Output-Calculation-sheet'!B10*'Output-Calculation-sheet'!B19</f>
        <v>11497.701742334566</v>
      </c>
      <c r="C33" s="2">
        <f>C11/'Output-Calculation-sheet'!C10*'Output-Calculation-sheet'!C19</f>
        <v>0</v>
      </c>
      <c r="D33" s="2">
        <f>D11/'Output-Calculation-sheet'!D10*'Output-Calculation-sheet'!D19</f>
        <v>4065.3549168175409</v>
      </c>
      <c r="E33" s="2">
        <f>E11/'Output-Calculation-sheet'!E10*'Output-Calculation-sheet'!E19</f>
        <v>4219.6927525476312</v>
      </c>
      <c r="F33" s="2">
        <f>F11/'Output-Calculation-sheet'!F10*'Output-Calculation-sheet'!F19</f>
        <v>2352.6336113273755</v>
      </c>
      <c r="G33" s="2">
        <f>G11/'Output-Calculation-sheet'!G10*'Output-Calculation-sheet'!G19</f>
        <v>1416.6860993947678</v>
      </c>
      <c r="H33" s="2">
        <f>H11/'Output-Calculation-sheet'!H10*'Output-Calculation-sheet'!H19</f>
        <v>0</v>
      </c>
      <c r="I33" s="2">
        <f>I11/'Output-Calculation-sheet'!I10*'Output-Calculation-sheet'!I19</f>
        <v>1442.8962597244056</v>
      </c>
      <c r="J33" s="2">
        <f>J11/'Output-Calculation-sheet'!J10*'Output-Calculation-sheet'!J19</f>
        <v>1311.347491311777</v>
      </c>
      <c r="K33" s="2">
        <f>K11/'Output-Calculation-sheet'!K10*'Output-Calculation-sheet'!K19</f>
        <v>1633.3702931313549</v>
      </c>
      <c r="L33" s="2">
        <f>L11/'Output-Calculation-sheet'!L10*'Output-Calculation-sheet'!L19</f>
        <v>1343.4252471571856</v>
      </c>
      <c r="M33" s="2">
        <f>M11/'Output-Calculation-sheet'!M10*'Output-Calculation-sheet'!M19</f>
        <v>0</v>
      </c>
      <c r="N33" s="2">
        <f>N11/'Output-Calculation-sheet'!N10*'Output-Calculation-sheet'!N19</f>
        <v>497.84764287183731</v>
      </c>
      <c r="O33" s="2">
        <f>O11/'Output-Calculation-sheet'!O10*'Output-Calculation-sheet'!O19</f>
        <v>0</v>
      </c>
      <c r="P33" s="2">
        <f>P11/'Output-Calculation-sheet'!P10*'Output-Calculation-sheet'!P19</f>
        <v>1095.0152641662698</v>
      </c>
      <c r="Q33" s="2">
        <f>Q11/'Output-Calculation-sheet'!Q10*'Output-Calculation-sheet'!Q19</f>
        <v>1202.986494725714</v>
      </c>
      <c r="R33" s="2">
        <f>R11/'Output-Calculation-sheet'!R10*'Output-Calculation-sheet'!R19</f>
        <v>1032.3586332011398</v>
      </c>
      <c r="S33" s="2">
        <f>S11/'Output-Calculation-sheet'!S10*'Output-Calculation-sheet'!S19</f>
        <v>476.13938140822722</v>
      </c>
      <c r="T33" s="2">
        <f>T11/'Output-Calculation-sheet'!T10*'Output-Calculation-sheet'!T19</f>
        <v>375.16750824872406</v>
      </c>
      <c r="U33" s="2">
        <f>U11/'Output-Calculation-sheet'!U10*'Output-Calculation-sheet'!U19</f>
        <v>290.31567671709382</v>
      </c>
      <c r="V33" s="2">
        <f>V11/'Output-Calculation-sheet'!V10*'Output-Calculation-sheet'!V19</f>
        <v>278.31575745482019</v>
      </c>
      <c r="W33" s="2">
        <f>W11/'Output-Calculation-sheet'!W10*'Output-Calculation-sheet'!W19</f>
        <v>191.2137698782702</v>
      </c>
      <c r="X33" s="2">
        <f>X11/'Output-Calculation-sheet'!X10*'Output-Calculation-sheet'!X19</f>
        <v>0</v>
      </c>
      <c r="Y33" s="2">
        <f>Y11/'Output-Calculation-sheet'!Y10*'Output-Calculation-sheet'!Y19</f>
        <v>126.95859137331236</v>
      </c>
      <c r="AA33" s="2">
        <f t="shared" si="1"/>
        <v>34.849427133792013</v>
      </c>
    </row>
    <row r="34" spans="1:27" x14ac:dyDescent="0.25">
      <c r="A34" s="2">
        <v>2035</v>
      </c>
      <c r="B34" s="2">
        <f>B12/'Output-Calculation-sheet'!B11*'Output-Calculation-sheet'!B20</f>
        <v>11063.673108192213</v>
      </c>
      <c r="C34" s="2">
        <f>C12/'Output-Calculation-sheet'!C11*'Output-Calculation-sheet'!C20</f>
        <v>0</v>
      </c>
      <c r="D34" s="2">
        <f>D12/'Output-Calculation-sheet'!D11*'Output-Calculation-sheet'!D20</f>
        <v>4091.6954395140483</v>
      </c>
      <c r="E34" s="2">
        <f>E12/'Output-Calculation-sheet'!E11*'Output-Calculation-sheet'!E20</f>
        <v>4245.2887314455538</v>
      </c>
      <c r="F34" s="2">
        <f>F12/'Output-Calculation-sheet'!F11*'Output-Calculation-sheet'!F20</f>
        <v>2363.4360525490747</v>
      </c>
      <c r="G34" s="2">
        <f>G12/'Output-Calculation-sheet'!G11*'Output-Calculation-sheet'!G20</f>
        <v>1420.0549568103995</v>
      </c>
      <c r="H34" s="2">
        <f>H12/'Output-Calculation-sheet'!H11*'Output-Calculation-sheet'!H20</f>
        <v>0</v>
      </c>
      <c r="I34" s="2">
        <f>I12/'Output-Calculation-sheet'!I11*'Output-Calculation-sheet'!I20</f>
        <v>1450.4313756755796</v>
      </c>
      <c r="J34" s="2">
        <f>J12/'Output-Calculation-sheet'!J11*'Output-Calculation-sheet'!J20</f>
        <v>1313.6181818199773</v>
      </c>
      <c r="K34" s="2">
        <f>K12/'Output-Calculation-sheet'!K11*'Output-Calculation-sheet'!K20</f>
        <v>1643.2616445059487</v>
      </c>
      <c r="L34" s="2">
        <f>L12/'Output-Calculation-sheet'!L11*'Output-Calculation-sheet'!L20</f>
        <v>1349.2220693881986</v>
      </c>
      <c r="M34" s="2">
        <f>M12/'Output-Calculation-sheet'!M11*'Output-Calculation-sheet'!M20</f>
        <v>0</v>
      </c>
      <c r="N34" s="2">
        <f>N12/'Output-Calculation-sheet'!N11*'Output-Calculation-sheet'!N20</f>
        <v>474.67211937382234</v>
      </c>
      <c r="O34" s="2">
        <f>O12/'Output-Calculation-sheet'!O11*'Output-Calculation-sheet'!O20</f>
        <v>0</v>
      </c>
      <c r="P34" s="2">
        <f>P12/'Output-Calculation-sheet'!P11*'Output-Calculation-sheet'!P20</f>
        <v>1107.9119963778858</v>
      </c>
      <c r="Q34" s="2">
        <f>Q12/'Output-Calculation-sheet'!Q11*'Output-Calculation-sheet'!Q20</f>
        <v>1214.8678737221312</v>
      </c>
      <c r="R34" s="2">
        <f>R12/'Output-Calculation-sheet'!R11*'Output-Calculation-sheet'!R20</f>
        <v>1041.7587813570071</v>
      </c>
      <c r="S34" s="2">
        <f>S12/'Output-Calculation-sheet'!S11*'Output-Calculation-sheet'!S20</f>
        <v>448.00423712320713</v>
      </c>
      <c r="T34" s="2">
        <f>T12/'Output-Calculation-sheet'!T11*'Output-Calculation-sheet'!T20</f>
        <v>377.078674719753</v>
      </c>
      <c r="U34" s="2">
        <f>U12/'Output-Calculation-sheet'!U11*'Output-Calculation-sheet'!U20</f>
        <v>292.49194714760546</v>
      </c>
      <c r="V34" s="2">
        <f>V12/'Output-Calculation-sheet'!V11*'Output-Calculation-sheet'!V20</f>
        <v>280.90128924376484</v>
      </c>
      <c r="W34" s="2">
        <f>W12/'Output-Calculation-sheet'!W11*'Output-Calculation-sheet'!W20</f>
        <v>191.94980128879641</v>
      </c>
      <c r="X34" s="2">
        <f>X12/'Output-Calculation-sheet'!X11*'Output-Calculation-sheet'!X20</f>
        <v>0</v>
      </c>
      <c r="Y34" s="2">
        <f>Y12/'Output-Calculation-sheet'!Y11*'Output-Calculation-sheet'!Y20</f>
        <v>127.78111339123025</v>
      </c>
      <c r="AA34" s="2">
        <f t="shared" si="1"/>
        <v>34.498099393646207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2.6030023518575942</v>
      </c>
      <c r="C60" s="2">
        <f>C5*'Output-Calculation-sheet'!C49/10^9</f>
        <v>1.2306846727733693</v>
      </c>
      <c r="D60" s="2">
        <f>D5*'Output-Calculation-sheet'!D49/10^9</f>
        <v>0.57413446174174321</v>
      </c>
      <c r="E60" s="2">
        <f>E5*'Output-Calculation-sheet'!E49/10^9</f>
        <v>0.63760524886632308</v>
      </c>
      <c r="F60" s="2">
        <f>F5*'Output-Calculation-sheet'!F49/10^9</f>
        <v>0.29600388595547339</v>
      </c>
      <c r="G60" s="2">
        <f>G5*'Output-Calculation-sheet'!G49/10^9</f>
        <v>0.20388500721213013</v>
      </c>
      <c r="H60" s="2">
        <f>H5*'Output-Calculation-sheet'!H49/10^9</f>
        <v>0.38396412176655587</v>
      </c>
      <c r="I60" s="2">
        <f>I5*'Output-Calculation-sheet'!I49/10^9</f>
        <v>0.20128181925521768</v>
      </c>
      <c r="J60" s="2">
        <f>J5*'Output-Calculation-sheet'!J49/10^9</f>
        <v>0.18176482149555434</v>
      </c>
      <c r="K60" s="2">
        <f>K5*'Output-Calculation-sheet'!K49/10^9</f>
        <v>0.23430051995925716</v>
      </c>
      <c r="L60" s="2">
        <f>L5*'Output-Calculation-sheet'!L49/10^9</f>
        <v>0.19356083197796428</v>
      </c>
      <c r="M60" s="2">
        <f>M5*'Output-Calculation-sheet'!M49/10^9</f>
        <v>0.26490173858261379</v>
      </c>
      <c r="N60" s="2">
        <f>N5*'Output-Calculation-sheet'!N49/10^9</f>
        <v>0.27687088309935232</v>
      </c>
      <c r="O60" s="2">
        <f>O5*'Output-Calculation-sheet'!O49/10^9</f>
        <v>0.23912308331137666</v>
      </c>
      <c r="P60" s="2">
        <f>P5*'Output-Calculation-sheet'!P49/10^9</f>
        <v>0.20416855719057561</v>
      </c>
      <c r="Q60" s="2">
        <f>Q5*'Output-Calculation-sheet'!Q49/10^9</f>
        <v>0.21076152346728094</v>
      </c>
      <c r="R60" s="2">
        <f>R5*'Output-Calculation-sheet'!R49/10^9</f>
        <v>0.16891230147137304</v>
      </c>
      <c r="S60" s="2">
        <f>S5*'Output-Calculation-sheet'!S49/10^9</f>
        <v>0.15495041768362749</v>
      </c>
      <c r="T60" s="2">
        <f>T5*'Output-Calculation-sheet'!T49/10^9</f>
        <v>5.2994219549718377E-2</v>
      </c>
      <c r="U60" s="2">
        <f>U5*'Output-Calculation-sheet'!U49/10^9</f>
        <v>5.2958039129158536E-2</v>
      </c>
      <c r="V60" s="2">
        <f>V5*'Output-Calculation-sheet'!V49/10^9</f>
        <v>3.9655571055001067E-2</v>
      </c>
      <c r="W60" s="2">
        <f>W5*'Output-Calculation-sheet'!W49/10^9</f>
        <v>2.4864186676647852E-2</v>
      </c>
      <c r="X60" s="2">
        <f>X5*'Output-Calculation-sheet'!X49/10^9</f>
        <v>3.1297877934006936E-2</v>
      </c>
      <c r="Y60" s="2">
        <f>Y5*'Output-Calculation-sheet'!Y49/10^9</f>
        <v>2.0687647661177526E-2</v>
      </c>
      <c r="AA60" s="2">
        <f t="shared" ref="AA60:AA67" si="4">SUM(B60:Y60)</f>
        <v>8.4823337896730919</v>
      </c>
    </row>
    <row r="61" spans="1:27" x14ac:dyDescent="0.25">
      <c r="A61" s="2">
        <v>2029</v>
      </c>
      <c r="B61" s="2">
        <f>B6*'Output-Calculation-sheet'!B50/10^9</f>
        <v>3.2488502266690045</v>
      </c>
      <c r="C61" s="2">
        <f>C6*'Output-Calculation-sheet'!C50/10^9</f>
        <v>1.546717378976479</v>
      </c>
      <c r="D61" s="2">
        <f>D6*'Output-Calculation-sheet'!D50/10^9</f>
        <v>0.71432311627095724</v>
      </c>
      <c r="E61" s="2">
        <f>E6*'Output-Calculation-sheet'!E50/10^9</f>
        <v>0.79392046787055015</v>
      </c>
      <c r="F61" s="2">
        <f>F6*'Output-Calculation-sheet'!F50/10^9</f>
        <v>0.36781979543001769</v>
      </c>
      <c r="G61" s="2">
        <f>G6*'Output-Calculation-sheet'!G50/10^9</f>
        <v>0.25369837858027039</v>
      </c>
      <c r="H61" s="2">
        <f>H6*'Output-Calculation-sheet'!H50/10^9</f>
        <v>0.4794524114103636</v>
      </c>
      <c r="I61" s="2">
        <f>I6*'Output-Calculation-sheet'!I50/10^9</f>
        <v>0.25042211292656791</v>
      </c>
      <c r="J61" s="2">
        <f>J6*'Output-Calculation-sheet'!J50/10^9</f>
        <v>0.22610099217323909</v>
      </c>
      <c r="K61" s="2">
        <f>K6*'Output-Calculation-sheet'!K50/10^9</f>
        <v>0.29160800309743679</v>
      </c>
      <c r="L61" s="2">
        <f>L6*'Output-Calculation-sheet'!L50/10^9</f>
        <v>0.24090027427131411</v>
      </c>
      <c r="M61" s="2">
        <f>M6*'Output-Calculation-sheet'!M50/10^9</f>
        <v>0.33121769295146108</v>
      </c>
      <c r="N61" s="2">
        <f>N6*'Output-Calculation-sheet'!N50/10^9</f>
        <v>0.34553774099942219</v>
      </c>
      <c r="O61" s="2">
        <f>O6*'Output-Calculation-sheet'!O50/10^9</f>
        <v>0.30052850811790005</v>
      </c>
      <c r="P61" s="2">
        <f>P6*'Output-Calculation-sheet'!P50/10^9</f>
        <v>0.25473466952973672</v>
      </c>
      <c r="Q61" s="2">
        <f>Q6*'Output-Calculation-sheet'!Q50/10^9</f>
        <v>0.2628676884646739</v>
      </c>
      <c r="R61" s="2">
        <f>R6*'Output-Calculation-sheet'!R50/10^9</f>
        <v>0.21048186134820526</v>
      </c>
      <c r="S61" s="2">
        <f>S6*'Output-Calculation-sheet'!S50/10^9</f>
        <v>0.19364604232150351</v>
      </c>
      <c r="T61" s="2">
        <f>T6*'Output-Calculation-sheet'!T50/10^9</f>
        <v>6.594051048316249E-2</v>
      </c>
      <c r="U61" s="2">
        <f>U6*'Output-Calculation-sheet'!U50/10^9</f>
        <v>6.6050567023226758E-2</v>
      </c>
      <c r="V61" s="2">
        <f>V6*'Output-Calculation-sheet'!V50/10^9</f>
        <v>4.9354350979073425E-2</v>
      </c>
      <c r="W61" s="2">
        <f>W6*'Output-Calculation-sheet'!W50/10^9</f>
        <v>3.0909941080926359E-2</v>
      </c>
      <c r="X61" s="2">
        <f>X6*'Output-Calculation-sheet'!X50/10^9</f>
        <v>3.9308253709684722E-2</v>
      </c>
      <c r="Y61" s="2">
        <f>Y6*'Output-Calculation-sheet'!Y50/10^9</f>
        <v>2.5777386996943121E-2</v>
      </c>
      <c r="AA61" s="2">
        <f t="shared" si="4"/>
        <v>10.59016837168212</v>
      </c>
    </row>
    <row r="62" spans="1:27" x14ac:dyDescent="0.25">
      <c r="A62" s="2">
        <v>2030</v>
      </c>
      <c r="B62" s="2">
        <f>B7*'Output-Calculation-sheet'!B51/10^9</f>
        <v>3.7404346673749691</v>
      </c>
      <c r="C62" s="2">
        <f>C7*'Output-Calculation-sheet'!C51/10^9</f>
        <v>1.7935017116018583</v>
      </c>
      <c r="D62" s="2">
        <f>D7*'Output-Calculation-sheet'!D51/10^9</f>
        <v>0.81982951616511912</v>
      </c>
      <c r="E62" s="2">
        <f>E7*'Output-Calculation-sheet'!E51/10^9</f>
        <v>0.91187467305970749</v>
      </c>
      <c r="F62" s="2">
        <f>F7*'Output-Calculation-sheet'!F51/10^9</f>
        <v>0.42160533642298503</v>
      </c>
      <c r="G62" s="2">
        <f>G7*'Output-Calculation-sheet'!G51/10^9</f>
        <v>0.29120878918573884</v>
      </c>
      <c r="H62" s="2">
        <f>H7*'Output-Calculation-sheet'!H51/10^9</f>
        <v>0.55129485924653587</v>
      </c>
      <c r="I62" s="2">
        <f>I7*'Output-Calculation-sheet'!I51/10^9</f>
        <v>0.2873925439154249</v>
      </c>
      <c r="J62" s="2">
        <f>J7*'Output-Calculation-sheet'!J51/10^9</f>
        <v>0.25944196497399941</v>
      </c>
      <c r="K62" s="2">
        <f>K7*'Output-Calculation-sheet'!K51/10^9</f>
        <v>0.3347773398065505</v>
      </c>
      <c r="L62" s="2">
        <f>L7*'Output-Calculation-sheet'!L51/10^9</f>
        <v>0.27655737855649193</v>
      </c>
      <c r="M62" s="2">
        <f>M7*'Output-Calculation-sheet'!M51/10^9</f>
        <v>0.38085388630818751</v>
      </c>
      <c r="N62" s="2">
        <f>N7*'Output-Calculation-sheet'!N51/10^9</f>
        <v>0.39738602034525933</v>
      </c>
      <c r="O62" s="2">
        <f>O7*'Output-Calculation-sheet'!O51/10^9</f>
        <v>0.34847891477839488</v>
      </c>
      <c r="P62" s="2">
        <f>P7*'Output-Calculation-sheet'!P51/10^9</f>
        <v>0.29317486345406502</v>
      </c>
      <c r="Q62" s="2">
        <f>Q7*'Output-Calculation-sheet'!Q51/10^9</f>
        <v>0.30240709729572812</v>
      </c>
      <c r="R62" s="2">
        <f>R7*'Output-Calculation-sheet'!R51/10^9</f>
        <v>0.24194044310961177</v>
      </c>
      <c r="S62" s="2">
        <f>S7*'Output-Calculation-sheet'!S51/10^9</f>
        <v>0.22312911213951095</v>
      </c>
      <c r="T62" s="2">
        <f>T7*'Output-Calculation-sheet'!T51/10^9</f>
        <v>7.5685582147283409E-2</v>
      </c>
      <c r="U62" s="2">
        <f>U7*'Output-Calculation-sheet'!U51/10^9</f>
        <v>7.5993096827623882E-2</v>
      </c>
      <c r="V62" s="2">
        <f>V7*'Output-Calculation-sheet'!V51/10^9</f>
        <v>5.6658399910069913E-2</v>
      </c>
      <c r="W62" s="2">
        <f>W7*'Output-Calculation-sheet'!W51/10^9</f>
        <v>3.5443871213578323E-2</v>
      </c>
      <c r="X62" s="2">
        <f>X7*'Output-Calculation-sheet'!X51/10^9</f>
        <v>4.524551320939222E-2</v>
      </c>
      <c r="Y62" s="2">
        <f>Y7*'Output-Calculation-sheet'!Y51/10^9</f>
        <v>2.9628796001244406E-2</v>
      </c>
      <c r="AA62" s="2">
        <f t="shared" si="4"/>
        <v>12.193944377049331</v>
      </c>
    </row>
    <row r="63" spans="1:27" x14ac:dyDescent="0.25">
      <c r="A63" s="2">
        <v>2031</v>
      </c>
      <c r="B63" s="2">
        <f>B8*'Output-Calculation-sheet'!B52/10^9</f>
        <v>4.0051073642067063</v>
      </c>
      <c r="C63" s="2">
        <f>C8*'Output-Calculation-sheet'!C52/10^9</f>
        <v>1.9271712340080613</v>
      </c>
      <c r="D63" s="2">
        <f>D8*'Output-Calculation-sheet'!D52/10^9</f>
        <v>0.87651002148249213</v>
      </c>
      <c r="E63" s="2">
        <f>E8*'Output-Calculation-sheet'!E52/10^9</f>
        <v>0.97527017208245992</v>
      </c>
      <c r="F63" s="2">
        <f>F8*'Output-Calculation-sheet'!F52/10^9</f>
        <v>0.45046900475565754</v>
      </c>
      <c r="G63" s="2">
        <f>G8*'Output-Calculation-sheet'!G52/10^9</f>
        <v>0.31136689959674357</v>
      </c>
      <c r="H63" s="2">
        <f>H8*'Output-Calculation-sheet'!H52/10^9</f>
        <v>0.58712839189222776</v>
      </c>
      <c r="I63" s="2">
        <f>I8*'Output-Calculation-sheet'!I52/10^9</f>
        <v>0.30725100152985457</v>
      </c>
      <c r="J63" s="2">
        <f>J8*'Output-Calculation-sheet'!J52/10^9</f>
        <v>0.27735099980177985</v>
      </c>
      <c r="K63" s="2">
        <f>K8*'Output-Calculation-sheet'!K52/10^9</f>
        <v>0.35796811069044865</v>
      </c>
      <c r="L63" s="2">
        <f>L8*'Output-Calculation-sheet'!L52/10^9</f>
        <v>0.29571408614924677</v>
      </c>
      <c r="M63" s="2">
        <f>M8*'Output-Calculation-sheet'!M52/10^9</f>
        <v>0.40563708475733351</v>
      </c>
      <c r="N63" s="2">
        <f>N8*'Output-Calculation-sheet'!N52/10^9</f>
        <v>0.42397087712787213</v>
      </c>
      <c r="O63" s="2">
        <f>O8*'Output-Calculation-sheet'!O52/10^9</f>
        <v>0.37445101717770424</v>
      </c>
      <c r="P63" s="2">
        <f>P8*'Output-Calculation-sheet'!P52/10^9</f>
        <v>0.31386656680984559</v>
      </c>
      <c r="Q63" s="2">
        <f>Q8*'Output-Calculation-sheet'!Q52/10^9</f>
        <v>0.323677017430893</v>
      </c>
      <c r="R63" s="2">
        <f>R8*'Output-Calculation-sheet'!R52/10^9</f>
        <v>0.25885756595128456</v>
      </c>
      <c r="S63" s="2">
        <f>S8*'Output-Calculation-sheet'!S52/10^9</f>
        <v>0.23862213807265892</v>
      </c>
      <c r="T63" s="2">
        <f>T8*'Output-Calculation-sheet'!T52/10^9</f>
        <v>8.0920059913283077E-2</v>
      </c>
      <c r="U63" s="2">
        <f>U8*'Output-Calculation-sheet'!U52/10^9</f>
        <v>8.1344665094252477E-2</v>
      </c>
      <c r="V63" s="2">
        <f>V8*'Output-Calculation-sheet'!V52/10^9</f>
        <v>6.0582308210947455E-2</v>
      </c>
      <c r="W63" s="2">
        <f>W8*'Output-Calculation-sheet'!W52/10^9</f>
        <v>3.7877570032281697E-2</v>
      </c>
      <c r="X63" s="2">
        <f>X8*'Output-Calculation-sheet'!X52/10^9</f>
        <v>4.8237562199653673E-2</v>
      </c>
      <c r="Y63" s="2">
        <f>Y8*'Output-Calculation-sheet'!Y52/10^9</f>
        <v>3.1699857587226168E-2</v>
      </c>
      <c r="AA63" s="2">
        <f t="shared" si="4"/>
        <v>13.051051576560909</v>
      </c>
    </row>
    <row r="64" spans="1:27" x14ac:dyDescent="0.25">
      <c r="A64" s="2">
        <v>2032</v>
      </c>
      <c r="B64" s="2">
        <f>B9*'Output-Calculation-sheet'!B53/10^9</f>
        <v>4.0028010333961497</v>
      </c>
      <c r="C64" s="2">
        <f>C9*'Output-Calculation-sheet'!C53/10^9</f>
        <v>1.932949702247335</v>
      </c>
      <c r="D64" s="2">
        <f>D9*'Output-Calculation-sheet'!D53/10^9</f>
        <v>0.87468072271376085</v>
      </c>
      <c r="E64" s="2">
        <f>E9*'Output-Calculation-sheet'!E53/10^9</f>
        <v>0.97358427931687663</v>
      </c>
      <c r="F64" s="2">
        <f>F9*'Output-Calculation-sheet'!F53/10^9</f>
        <v>0.44924006853927928</v>
      </c>
      <c r="G64" s="2">
        <f>G9*'Output-Calculation-sheet'!G53/10^9</f>
        <v>0.31074540341594808</v>
      </c>
      <c r="H64" s="2">
        <f>H9*'Output-Calculation-sheet'!H53/10^9</f>
        <v>0.58344260602138664</v>
      </c>
      <c r="I64" s="2">
        <f>I9*'Output-Calculation-sheet'!I53/10^9</f>
        <v>0.30659675959595734</v>
      </c>
      <c r="J64" s="2">
        <f>J9*'Output-Calculation-sheet'!J53/10^9</f>
        <v>0.27674435673497905</v>
      </c>
      <c r="K64" s="2">
        <f>K9*'Output-Calculation-sheet'!K53/10^9</f>
        <v>0.35726340368871562</v>
      </c>
      <c r="L64" s="2">
        <f>L9*'Output-Calculation-sheet'!L53/10^9</f>
        <v>0.29513265834714747</v>
      </c>
      <c r="M64" s="2">
        <f>M9*'Output-Calculation-sheet'!M53/10^9</f>
        <v>0.40311032467133895</v>
      </c>
      <c r="N64" s="2">
        <f>N9*'Output-Calculation-sheet'!N53/10^9</f>
        <v>0.42187157254282909</v>
      </c>
      <c r="O64" s="2">
        <f>O9*'Output-Calculation-sheet'!O53/10^9</f>
        <v>0.3755737784932231</v>
      </c>
      <c r="P64" s="2">
        <f>P9*'Output-Calculation-sheet'!P53/10^9</f>
        <v>0.31363070661851267</v>
      </c>
      <c r="Q64" s="2">
        <f>Q9*'Output-Calculation-sheet'!Q53/10^9</f>
        <v>0.32335756833142842</v>
      </c>
      <c r="R64" s="2">
        <f>R9*'Output-Calculation-sheet'!R53/10^9</f>
        <v>0.25850961889554303</v>
      </c>
      <c r="S64" s="2">
        <f>S9*'Output-Calculation-sheet'!S53/10^9</f>
        <v>0.2379024612864595</v>
      </c>
      <c r="T64" s="2">
        <f>T9*'Output-Calculation-sheet'!T53/10^9</f>
        <v>8.0752820606261252E-2</v>
      </c>
      <c r="U64" s="2">
        <f>U9*'Output-Calculation-sheet'!U53/10^9</f>
        <v>8.1273124796898327E-2</v>
      </c>
      <c r="V64" s="2">
        <f>V9*'Output-Calculation-sheet'!V53/10^9</f>
        <v>6.0461732595738581E-2</v>
      </c>
      <c r="W64" s="2">
        <f>W9*'Output-Calculation-sheet'!W53/10^9</f>
        <v>3.7781630019510147E-2</v>
      </c>
      <c r="X64" s="2">
        <f>X9*'Output-Calculation-sheet'!X53/10^9</f>
        <v>4.7983330329582193E-2</v>
      </c>
      <c r="Y64" s="2">
        <f>Y9*'Output-Calculation-sheet'!Y53/10^9</f>
        <v>3.1656281172479921E-2</v>
      </c>
      <c r="AA64" s="2">
        <f t="shared" si="4"/>
        <v>13.037045944377338</v>
      </c>
    </row>
    <row r="65" spans="1:27" x14ac:dyDescent="0.25">
      <c r="A65" s="2">
        <v>2033</v>
      </c>
      <c r="B65" s="2">
        <f>B10*'Output-Calculation-sheet'!B54/10^9</f>
        <v>3.9758733239725652</v>
      </c>
      <c r="C65" s="2">
        <f>C10*'Output-Calculation-sheet'!C54/10^9</f>
        <v>1.9246809244080538</v>
      </c>
      <c r="D65" s="2">
        <f>D10*'Output-Calculation-sheet'!D54/10^9</f>
        <v>0.86837983827043352</v>
      </c>
      <c r="E65" s="2">
        <f>E10*'Output-Calculation-sheet'!E54/10^9</f>
        <v>0.96691795531705249</v>
      </c>
      <c r="F65" s="2">
        <f>F10*'Output-Calculation-sheet'!F54/10^9</f>
        <v>0.44571427107144262</v>
      </c>
      <c r="G65" s="2">
        <f>G10*'Output-Calculation-sheet'!G54/10^9</f>
        <v>0.30853632415714594</v>
      </c>
      <c r="H65" s="2">
        <f>H10*'Output-Calculation-sheet'!H54/10^9</f>
        <v>0.5766144488133611</v>
      </c>
      <c r="I65" s="2">
        <f>I10*'Output-Calculation-sheet'!I54/10^9</f>
        <v>0.30437501988419896</v>
      </c>
      <c r="J65" s="2">
        <f>J10*'Output-Calculation-sheet'!J54/10^9</f>
        <v>0.27472300307048153</v>
      </c>
      <c r="K65" s="2">
        <f>K10*'Output-Calculation-sheet'!K54/10^9</f>
        <v>0.35472814909679484</v>
      </c>
      <c r="L65" s="2">
        <f>L10*'Output-Calculation-sheet'!L54/10^9</f>
        <v>0.29304040994392788</v>
      </c>
      <c r="M65" s="2">
        <f>M10*'Output-Calculation-sheet'!M54/10^9</f>
        <v>0.39840998021462781</v>
      </c>
      <c r="N65" s="2">
        <f>N10*'Output-Calculation-sheet'!N54/10^9</f>
        <v>0.41739409060391514</v>
      </c>
      <c r="O65" s="2">
        <f>O10*'Output-Calculation-sheet'!O54/10^9</f>
        <v>0.37478674580321819</v>
      </c>
      <c r="P65" s="2">
        <f>P10*'Output-Calculation-sheet'!P54/10^9</f>
        <v>0.31178433081661511</v>
      </c>
      <c r="Q65" s="2">
        <f>Q10*'Output-Calculation-sheet'!Q54/10^9</f>
        <v>0.32137583467990277</v>
      </c>
      <c r="R65" s="2">
        <f>R10*'Output-Calculation-sheet'!R54/10^9</f>
        <v>0.25683783685611167</v>
      </c>
      <c r="S65" s="2">
        <f>S10*'Output-Calculation-sheet'!S54/10^9</f>
        <v>0.2357591420341992</v>
      </c>
      <c r="T65" s="2">
        <f>T10*'Output-Calculation-sheet'!T54/10^9</f>
        <v>8.017215014584983E-2</v>
      </c>
      <c r="U65" s="2">
        <f>U10*'Output-Calculation-sheet'!U54/10^9</f>
        <v>8.0785583649975762E-2</v>
      </c>
      <c r="V65" s="2">
        <f>V10*'Output-Calculation-sheet'!V54/10^9</f>
        <v>6.0030950337612125E-2</v>
      </c>
      <c r="W65" s="2">
        <f>W10*'Output-Calculation-sheet'!W54/10^9</f>
        <v>3.7492272986828945E-2</v>
      </c>
      <c r="X65" s="2">
        <f>X10*'Output-Calculation-sheet'!X54/10^9</f>
        <v>4.7467878733073392E-2</v>
      </c>
      <c r="Y65" s="2">
        <f>Y10*'Output-Calculation-sheet'!Y54/10^9</f>
        <v>3.1450792138612252E-2</v>
      </c>
      <c r="AA65" s="2">
        <f t="shared" si="4"/>
        <v>12.947331257006002</v>
      </c>
    </row>
    <row r="66" spans="1:27" x14ac:dyDescent="0.25">
      <c r="A66" s="2">
        <v>2034</v>
      </c>
      <c r="B66" s="2">
        <f>B11*'Output-Calculation-sheet'!B55/10^9</f>
        <v>3.9477861255694306</v>
      </c>
      <c r="C66" s="2">
        <f>C11*'Output-Calculation-sheet'!C55/10^9</f>
        <v>1.9073577693715396</v>
      </c>
      <c r="D66" s="2">
        <f>D11*'Output-Calculation-sheet'!D55/10^9</f>
        <v>0.86319261978552186</v>
      </c>
      <c r="E66" s="2">
        <f>E11*'Output-Calculation-sheet'!E55/10^9</f>
        <v>0.96148625614392136</v>
      </c>
      <c r="F66" s="2">
        <f>F11*'Output-Calculation-sheet'!F55/10^9</f>
        <v>0.44275895002134491</v>
      </c>
      <c r="G66" s="2">
        <f>G11*'Output-Calculation-sheet'!G55/10^9</f>
        <v>0.3067226049869638</v>
      </c>
      <c r="H66" s="2">
        <f>H11*'Output-Calculation-sheet'!H55/10^9</f>
        <v>0.57036784876253466</v>
      </c>
      <c r="I66" s="2">
        <f>I11*'Output-Calculation-sheet'!I55/10^9</f>
        <v>0.30254050067045379</v>
      </c>
      <c r="J66" s="2">
        <f>J11*'Output-Calculation-sheet'!J55/10^9</f>
        <v>0.27305463214653247</v>
      </c>
      <c r="K66" s="2">
        <f>K11*'Output-Calculation-sheet'!K55/10^9</f>
        <v>0.35264199567560278</v>
      </c>
      <c r="L66" s="2">
        <f>L11*'Output-Calculation-sheet'!L55/10^9</f>
        <v>0.29132156599520914</v>
      </c>
      <c r="M66" s="2">
        <f>M11*'Output-Calculation-sheet'!M55/10^9</f>
        <v>0.39411096808773716</v>
      </c>
      <c r="N66" s="2">
        <f>N11*'Output-Calculation-sheet'!N55/10^9</f>
        <v>0.41325788797298246</v>
      </c>
      <c r="O66" s="2">
        <f>O11*'Output-Calculation-sheet'!O55/10^9</f>
        <v>0.37448266648870432</v>
      </c>
      <c r="P66" s="2">
        <f>P11*'Output-Calculation-sheet'!P55/10^9</f>
        <v>0.31032951524846197</v>
      </c>
      <c r="Q66" s="2">
        <f>Q11*'Output-Calculation-sheet'!Q55/10^9</f>
        <v>0.31979497779403387</v>
      </c>
      <c r="R66" s="2">
        <f>R11*'Output-Calculation-sheet'!R55/10^9</f>
        <v>0.25549241204111189</v>
      </c>
      <c r="S66" s="2">
        <f>S11*'Output-Calculation-sheet'!S55/10^9</f>
        <v>0.23374481989163226</v>
      </c>
      <c r="T66" s="2">
        <f>T11*'Output-Calculation-sheet'!T55/10^9</f>
        <v>7.9693740898417173E-2</v>
      </c>
      <c r="U66" s="2">
        <f>U11*'Output-Calculation-sheet'!U55/10^9</f>
        <v>8.0400721990496415E-2</v>
      </c>
      <c r="V66" s="2">
        <f>V11*'Output-Calculation-sheet'!V55/10^9</f>
        <v>5.9676174550565467E-2</v>
      </c>
      <c r="W66" s="2">
        <f>W11*'Output-Calculation-sheet'!W55/10^9</f>
        <v>3.7251101313420153E-2</v>
      </c>
      <c r="X66" s="2">
        <f>X11*'Output-Calculation-sheet'!X55/10^9</f>
        <v>4.7000315312435065E-2</v>
      </c>
      <c r="Y66" s="2">
        <f>Y11*'Output-Calculation-sheet'!Y55/10^9</f>
        <v>3.1285420237803035E-2</v>
      </c>
      <c r="AA66" s="2">
        <f t="shared" si="4"/>
        <v>12.855751590956856</v>
      </c>
    </row>
    <row r="67" spans="1:27" x14ac:dyDescent="0.25">
      <c r="A67" s="2">
        <v>2035</v>
      </c>
      <c r="B67" s="2">
        <f>B12*'Output-Calculation-sheet'!B56/10^9</f>
        <v>3.9182269207629132</v>
      </c>
      <c r="C67" s="2">
        <f>C12*'Output-Calculation-sheet'!C56/10^9</f>
        <v>1.8904568599416616</v>
      </c>
      <c r="D67" s="2">
        <f>D12*'Output-Calculation-sheet'!D56/10^9</f>
        <v>0.85856622256768977</v>
      </c>
      <c r="E67" s="2">
        <f>E12*'Output-Calculation-sheet'!E56/10^9</f>
        <v>0.95667436925941496</v>
      </c>
      <c r="F67" s="2">
        <f>F12*'Output-Calculation-sheet'!F56/10^9</f>
        <v>0.44009063241011398</v>
      </c>
      <c r="G67" s="2">
        <f>G12*'Output-Calculation-sheet'!G56/10^9</f>
        <v>0.30511303881167762</v>
      </c>
      <c r="H67" s="2">
        <f>H12*'Output-Calculation-sheet'!H56/10^9</f>
        <v>0.56433335347130398</v>
      </c>
      <c r="I67" s="2">
        <f>I12*'Output-Calculation-sheet'!I56/10^9</f>
        <v>0.30090079527063363</v>
      </c>
      <c r="J67" s="2">
        <f>J12*'Output-Calculation-sheet'!J56/10^9</f>
        <v>0.27156631530983277</v>
      </c>
      <c r="K67" s="2">
        <f>K12*'Output-Calculation-sheet'!K56/10^9</f>
        <v>0.35078307917838802</v>
      </c>
      <c r="L67" s="2">
        <f>L12*'Output-Calculation-sheet'!L56/10^9</f>
        <v>0.28979328604029314</v>
      </c>
      <c r="M67" s="2">
        <f>M12*'Output-Calculation-sheet'!M56/10^9</f>
        <v>0.38995829517607494</v>
      </c>
      <c r="N67" s="2">
        <f>N12*'Output-Calculation-sheet'!N56/10^9</f>
        <v>0.40926509148445012</v>
      </c>
      <c r="O67" s="2">
        <f>O12*'Output-Calculation-sheet'!O56/10^9</f>
        <v>0.37225799790768377</v>
      </c>
      <c r="P67" s="2">
        <f>P12*'Output-Calculation-sheet'!P56/10^9</f>
        <v>0.30906927818301294</v>
      </c>
      <c r="Q67" s="2">
        <f>Q12*'Output-Calculation-sheet'!Q56/10^9</f>
        <v>0.31840531646588494</v>
      </c>
      <c r="R67" s="2">
        <f>R12*'Output-Calculation-sheet'!R56/10^9</f>
        <v>0.25431023824847049</v>
      </c>
      <c r="S67" s="2">
        <f>S12*'Output-Calculation-sheet'!S56/10^9</f>
        <v>0.23174948432336676</v>
      </c>
      <c r="T67" s="2">
        <f>T12*'Output-Calculation-sheet'!T56/10^9</f>
        <v>7.9267079337206281E-2</v>
      </c>
      <c r="U67" s="2">
        <f>U12*'Output-Calculation-sheet'!U56/10^9</f>
        <v>8.0067424466686146E-2</v>
      </c>
      <c r="V67" s="2">
        <f>V12*'Output-Calculation-sheet'!V56/10^9</f>
        <v>5.9358780357873488E-2</v>
      </c>
      <c r="W67" s="2">
        <f>W12*'Output-Calculation-sheet'!W56/10^9</f>
        <v>3.7034219139004877E-2</v>
      </c>
      <c r="X67" s="2">
        <f>X12*'Output-Calculation-sheet'!X56/10^9</f>
        <v>4.6547126189246286E-2</v>
      </c>
      <c r="Y67" s="2">
        <f>Y12*'Output-Calculation-sheet'!Y56/10^9</f>
        <v>3.1140238432880836E-2</v>
      </c>
      <c r="AA67" s="2">
        <f t="shared" si="4"/>
        <v>12.764935442735764</v>
      </c>
    </row>
    <row r="68" spans="1:27" x14ac:dyDescent="0.25">
      <c r="B68" s="2">
        <f>SUM(B60:B67)</f>
        <v>29.442082013809326</v>
      </c>
      <c r="C68" s="2">
        <f t="shared" ref="C68:Y68" si="5">SUM(C60:C67)</f>
        <v>14.15352025332836</v>
      </c>
      <c r="D68" s="2">
        <f t="shared" si="5"/>
        <v>6.4496165189977184</v>
      </c>
      <c r="E68" s="2">
        <f t="shared" si="5"/>
        <v>7.1773334219163054</v>
      </c>
      <c r="F68" s="2">
        <f t="shared" si="5"/>
        <v>3.313701944606315</v>
      </c>
      <c r="G68" s="2">
        <f t="shared" si="5"/>
        <v>2.2912764459466182</v>
      </c>
      <c r="H68" s="2">
        <f t="shared" si="5"/>
        <v>4.2965980413842688</v>
      </c>
      <c r="I68" s="2">
        <f t="shared" si="5"/>
        <v>2.2607605530483088</v>
      </c>
      <c r="J68" s="2">
        <f t="shared" si="5"/>
        <v>2.0407470857063985</v>
      </c>
      <c r="K68" s="2">
        <f t="shared" si="5"/>
        <v>2.6340706011931947</v>
      </c>
      <c r="L68" s="2">
        <f t="shared" si="5"/>
        <v>2.1760204912815944</v>
      </c>
      <c r="M68" s="2">
        <f t="shared" si="5"/>
        <v>2.9681999707493745</v>
      </c>
      <c r="N68" s="2">
        <f t="shared" si="5"/>
        <v>3.1055541641760827</v>
      </c>
      <c r="O68" s="2">
        <f t="shared" si="5"/>
        <v>2.7596827120782055</v>
      </c>
      <c r="P68" s="2">
        <f t="shared" si="5"/>
        <v>2.3107584878508258</v>
      </c>
      <c r="Q68" s="2">
        <f t="shared" si="5"/>
        <v>2.3826470239298256</v>
      </c>
      <c r="R68" s="2">
        <f t="shared" si="5"/>
        <v>1.905342277921712</v>
      </c>
      <c r="S68" s="2">
        <f t="shared" si="5"/>
        <v>1.7495036177529586</v>
      </c>
      <c r="T68" s="2">
        <f t="shared" si="5"/>
        <v>0.5954261630811819</v>
      </c>
      <c r="U68" s="2">
        <f t="shared" si="5"/>
        <v>0.59887322297831835</v>
      </c>
      <c r="V68" s="2">
        <f t="shared" si="5"/>
        <v>0.44577826799688153</v>
      </c>
      <c r="W68" s="2">
        <f t="shared" si="5"/>
        <v>0.27865479246219838</v>
      </c>
      <c r="X68" s="2">
        <f t="shared" si="5"/>
        <v>0.35308785761707451</v>
      </c>
      <c r="Y68" s="2">
        <f t="shared" si="5"/>
        <v>0.23332642022836728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6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6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5166698868.2872877</v>
      </c>
      <c r="C93" s="2">
        <f>C5/'Output-Calculation-sheet'!C4*'Output-Calculation-sheet'!C76</f>
        <v>0</v>
      </c>
      <c r="D93" s="2">
        <f>D5/'Output-Calculation-sheet'!D4*'Output-Calculation-sheet'!D76</f>
        <v>3382261267.11344</v>
      </c>
      <c r="E93" s="2">
        <f>E5/'Output-Calculation-sheet'!E4*'Output-Calculation-sheet'!E76</f>
        <v>4938653478.229394</v>
      </c>
      <c r="F93" s="2">
        <f>F5/'Output-Calculation-sheet'!F4*'Output-Calculation-sheet'!F76</f>
        <v>2473677707.3452468</v>
      </c>
      <c r="G93" s="2">
        <f>G5/'Output-Calculation-sheet'!G4*'Output-Calculation-sheet'!G76</f>
        <v>1890216482.605041</v>
      </c>
      <c r="H93" s="2">
        <f>H5/'Output-Calculation-sheet'!H4*'Output-Calculation-sheet'!H76</f>
        <v>0</v>
      </c>
      <c r="I93" s="2">
        <f>I5/'Output-Calculation-sheet'!I4*'Output-Calculation-sheet'!I76</f>
        <v>1284121374.0559783</v>
      </c>
      <c r="J93" s="2">
        <f>J5/'Output-Calculation-sheet'!J4*'Output-Calculation-sheet'!J76</f>
        <v>921319254.4987607</v>
      </c>
      <c r="K93" s="2">
        <f>K5/'Output-Calculation-sheet'!K4*'Output-Calculation-sheet'!K76</f>
        <v>1159907931.8636699</v>
      </c>
      <c r="L93" s="2">
        <f>L5/'Output-Calculation-sheet'!L4*'Output-Calculation-sheet'!L76</f>
        <v>764893260.31702852</v>
      </c>
      <c r="M93" s="2">
        <f>M5/'Output-Calculation-sheet'!M4*'Output-Calculation-sheet'!M76</f>
        <v>0</v>
      </c>
      <c r="N93" s="2">
        <f>N5/'Output-Calculation-sheet'!N4*'Output-Calculation-sheet'!N76</f>
        <v>362084769.57252681</v>
      </c>
      <c r="O93" s="2">
        <f>O5/'Output-Calculation-sheet'!O4*'Output-Calculation-sheet'!O76</f>
        <v>0</v>
      </c>
      <c r="P93" s="2">
        <f>P5/'Output-Calculation-sheet'!P4*'Output-Calculation-sheet'!P76</f>
        <v>953182509.43389416</v>
      </c>
      <c r="Q93" s="2">
        <f>Q5/'Output-Calculation-sheet'!Q4*'Output-Calculation-sheet'!Q76</f>
        <v>428514733.1689766</v>
      </c>
      <c r="R93" s="2">
        <f>R5/'Output-Calculation-sheet'!R4*'Output-Calculation-sheet'!R76</f>
        <v>683864041.83713698</v>
      </c>
      <c r="S93" s="2">
        <f>S5/'Output-Calculation-sheet'!S4*'Output-Calculation-sheet'!S76</f>
        <v>226578952.45081681</v>
      </c>
      <c r="T93" s="2">
        <f>T5/'Output-Calculation-sheet'!T4*'Output-Calculation-sheet'!T76</f>
        <v>367470389.11232895</v>
      </c>
      <c r="U93" s="2">
        <f>U5/'Output-Calculation-sheet'!U4*'Output-Calculation-sheet'!U76</f>
        <v>191645742.72473788</v>
      </c>
      <c r="V93" s="2">
        <f>V5/'Output-Calculation-sheet'!V4*'Output-Calculation-sheet'!V76</f>
        <v>114658172.92489965</v>
      </c>
      <c r="W93" s="2">
        <f>W5/'Output-Calculation-sheet'!W4*'Output-Calculation-sheet'!W76</f>
        <v>382093897.66213459</v>
      </c>
      <c r="X93" s="2">
        <f>X5/'Output-Calculation-sheet'!X4*'Output-Calculation-sheet'!X76</f>
        <v>0</v>
      </c>
      <c r="Y93" s="2">
        <f>Y5/'Output-Calculation-sheet'!Y4*'Output-Calculation-sheet'!Y76</f>
        <v>160223995.02543083</v>
      </c>
      <c r="AA93" s="2">
        <f t="shared" ref="AA93:AA100" si="8">SUM(B93:Y93)/10^9</f>
        <v>25.852066828228729</v>
      </c>
    </row>
    <row r="94" spans="1:27" x14ac:dyDescent="0.25">
      <c r="A94" s="2">
        <v>2029</v>
      </c>
      <c r="B94" s="2">
        <f>B6/'Output-Calculation-sheet'!B5*'Output-Calculation-sheet'!B77</f>
        <v>6483803951.3405371</v>
      </c>
      <c r="C94" s="2">
        <f>C6/'Output-Calculation-sheet'!C5*'Output-Calculation-sheet'!C77</f>
        <v>0</v>
      </c>
      <c r="D94" s="2">
        <f>D6/'Output-Calculation-sheet'!D5*'Output-Calculation-sheet'!D77</f>
        <v>4183755034.5319667</v>
      </c>
      <c r="E94" s="2">
        <f>E6/'Output-Calculation-sheet'!E5*'Output-Calculation-sheet'!E77</f>
        <v>6236078697.1118441</v>
      </c>
      <c r="F94" s="2">
        <f>F6/'Output-Calculation-sheet'!F5*'Output-Calculation-sheet'!F77</f>
        <v>3056980394.0820041</v>
      </c>
      <c r="G94" s="2">
        <f>G6/'Output-Calculation-sheet'!G5*'Output-Calculation-sheet'!G77</f>
        <v>2366144131.6700892</v>
      </c>
      <c r="H94" s="2">
        <f>H6/'Output-Calculation-sheet'!H5*'Output-Calculation-sheet'!H77</f>
        <v>578691509.33443701</v>
      </c>
      <c r="I94" s="2">
        <f>I6/'Output-Calculation-sheet'!I5*'Output-Calculation-sheet'!I77</f>
        <v>1585282021.8689518</v>
      </c>
      <c r="J94" s="2">
        <f>J6/'Output-Calculation-sheet'!J5*'Output-Calculation-sheet'!J77</f>
        <v>1149313602.3131347</v>
      </c>
      <c r="K94" s="2">
        <f>K6/'Output-Calculation-sheet'!K5*'Output-Calculation-sheet'!K77</f>
        <v>1433019638.7929976</v>
      </c>
      <c r="L94" s="2">
        <f>L6/'Output-Calculation-sheet'!L5*'Output-Calculation-sheet'!L77</f>
        <v>955745090.06310523</v>
      </c>
      <c r="M94" s="2">
        <f>M6/'Output-Calculation-sheet'!M5*'Output-Calculation-sheet'!M77</f>
        <v>420914126.90367013</v>
      </c>
      <c r="N94" s="2">
        <f>N6/'Output-Calculation-sheet'!N5*'Output-Calculation-sheet'!N77</f>
        <v>496197688.83224708</v>
      </c>
      <c r="O94" s="2">
        <f>O6/'Output-Calculation-sheet'!O5*'Output-Calculation-sheet'!O77</f>
        <v>0</v>
      </c>
      <c r="P94" s="2">
        <f>P6/'Output-Calculation-sheet'!P5*'Output-Calculation-sheet'!P77</f>
        <v>1200699051.8224945</v>
      </c>
      <c r="Q94" s="2">
        <f>Q6/'Output-Calculation-sheet'!Q5*'Output-Calculation-sheet'!Q77</f>
        <v>546946457.78205466</v>
      </c>
      <c r="R94" s="2">
        <f>R6/'Output-Calculation-sheet'!R5*'Output-Calculation-sheet'!R77</f>
        <v>853146813.48067367</v>
      </c>
      <c r="S94" s="2">
        <f>S6/'Output-Calculation-sheet'!S5*'Output-Calculation-sheet'!S77</f>
        <v>288028925.55036956</v>
      </c>
      <c r="T94" s="2">
        <f>T6/'Output-Calculation-sheet'!T5*'Output-Calculation-sheet'!T77</f>
        <v>456482423.23705053</v>
      </c>
      <c r="U94" s="2">
        <f>U6/'Output-Calculation-sheet'!U5*'Output-Calculation-sheet'!U77</f>
        <v>233134100.97975045</v>
      </c>
      <c r="V94" s="2">
        <f>V6/'Output-Calculation-sheet'!V5*'Output-Calculation-sheet'!V77</f>
        <v>139524099.20560518</v>
      </c>
      <c r="W94" s="2">
        <f>W6/'Output-Calculation-sheet'!W5*'Output-Calculation-sheet'!W77</f>
        <v>479951691.62245387</v>
      </c>
      <c r="X94" s="2">
        <f>X6/'Output-Calculation-sheet'!X5*'Output-Calculation-sheet'!X77</f>
        <v>39253853.524414994</v>
      </c>
      <c r="Y94" s="2">
        <f>Y6/'Output-Calculation-sheet'!Y5*'Output-Calculation-sheet'!Y77</f>
        <v>202431471.96919379</v>
      </c>
      <c r="AA94" s="2">
        <f t="shared" si="8"/>
        <v>33.385524776019054</v>
      </c>
    </row>
    <row r="95" spans="1:27" x14ac:dyDescent="0.25">
      <c r="A95" s="2">
        <v>2030</v>
      </c>
      <c r="B95" s="2">
        <f>B7/'Output-Calculation-sheet'!B6*'Output-Calculation-sheet'!B78</f>
        <v>7490231198.1634388</v>
      </c>
      <c r="C95" s="2">
        <f>C7/'Output-Calculation-sheet'!C6*'Output-Calculation-sheet'!C78</f>
        <v>0</v>
      </c>
      <c r="D95" s="2">
        <f>D7/'Output-Calculation-sheet'!D6*'Output-Calculation-sheet'!D78</f>
        <v>4777398542.612875</v>
      </c>
      <c r="E95" s="2">
        <f>E7/'Output-Calculation-sheet'!E6*'Output-Calculation-sheet'!E78</f>
        <v>7261089434.371089</v>
      </c>
      <c r="F95" s="2">
        <f>F7/'Output-Calculation-sheet'!F6*'Output-Calculation-sheet'!F78</f>
        <v>3484805674.115046</v>
      </c>
      <c r="G95" s="2">
        <f>G7/'Output-Calculation-sheet'!G6*'Output-Calculation-sheet'!G78</f>
        <v>2732821526.6813569</v>
      </c>
      <c r="H95" s="2">
        <f>H7/'Output-Calculation-sheet'!H6*'Output-Calculation-sheet'!H78</f>
        <v>698972468.57457602</v>
      </c>
      <c r="I95" s="2">
        <f>I7/'Output-Calculation-sheet'!I6*'Output-Calculation-sheet'!I78</f>
        <v>1803579586.4029312</v>
      </c>
      <c r="J95" s="2">
        <f>J7/'Output-Calculation-sheet'!J6*'Output-Calculation-sheet'!J78</f>
        <v>1322717893.5691361</v>
      </c>
      <c r="K95" s="2">
        <f>K7/'Output-Calculation-sheet'!K6*'Output-Calculation-sheet'!K78</f>
        <v>1630463658.1772506</v>
      </c>
      <c r="L95" s="2">
        <f>L7/'Output-Calculation-sheet'!L6*'Output-Calculation-sheet'!L78</f>
        <v>1102919596.586875</v>
      </c>
      <c r="M95" s="2">
        <f>M7/'Output-Calculation-sheet'!M6*'Output-Calculation-sheet'!M78</f>
        <v>512802693.68533051</v>
      </c>
      <c r="N95" s="2">
        <f>N7/'Output-Calculation-sheet'!N6*'Output-Calculation-sheet'!N78</f>
        <v>598410626.64983177</v>
      </c>
      <c r="O95" s="2">
        <f>O7/'Output-Calculation-sheet'!O6*'Output-Calculation-sheet'!O78</f>
        <v>0</v>
      </c>
      <c r="P95" s="2">
        <f>P7/'Output-Calculation-sheet'!P6*'Output-Calculation-sheet'!P78</f>
        <v>1387863981.0433834</v>
      </c>
      <c r="Q95" s="2">
        <f>Q7/'Output-Calculation-sheet'!Q6*'Output-Calculation-sheet'!Q78</f>
        <v>640734673.92309952</v>
      </c>
      <c r="R95" s="2">
        <f>R7/'Output-Calculation-sheet'!R6*'Output-Calculation-sheet'!R78</f>
        <v>980608309.26141131</v>
      </c>
      <c r="S95" s="2">
        <f>S7/'Output-Calculation-sheet'!S6*'Output-Calculation-sheet'!S78</f>
        <v>347427940.09338623</v>
      </c>
      <c r="T95" s="2">
        <f>T7/'Output-Calculation-sheet'!T6*'Output-Calculation-sheet'!T78</f>
        <v>523255521.03963649</v>
      </c>
      <c r="U95" s="2">
        <f>U7/'Output-Calculation-sheet'!U6*'Output-Calculation-sheet'!U78</f>
        <v>260974448.24190748</v>
      </c>
      <c r="V95" s="2">
        <f>V7/'Output-Calculation-sheet'!V6*'Output-Calculation-sheet'!V78</f>
        <v>156411948.37681869</v>
      </c>
      <c r="W95" s="2">
        <f>W7/'Output-Calculation-sheet'!W6*'Output-Calculation-sheet'!W78</f>
        <v>556497573.44567442</v>
      </c>
      <c r="X95" s="2">
        <f>X7/'Output-Calculation-sheet'!X6*'Output-Calculation-sheet'!X78</f>
        <v>48527266.120741032</v>
      </c>
      <c r="Y95" s="2">
        <f>Y7/'Output-Calculation-sheet'!Y6*'Output-Calculation-sheet'!Y78</f>
        <v>236160450.29105684</v>
      </c>
      <c r="AA95" s="2">
        <f t="shared" si="8"/>
        <v>38.554675011426852</v>
      </c>
    </row>
    <row r="96" spans="1:27" x14ac:dyDescent="0.25">
      <c r="A96" s="2">
        <v>2031</v>
      </c>
      <c r="B96" s="2">
        <f>B8/'Output-Calculation-sheet'!B7*'Output-Calculation-sheet'!B79</f>
        <v>8102651445.8684139</v>
      </c>
      <c r="C96" s="2">
        <f>C8/'Output-Calculation-sheet'!C7*'Output-Calculation-sheet'!C79</f>
        <v>0</v>
      </c>
      <c r="D96" s="2">
        <f>D8/'Output-Calculation-sheet'!D7*'Output-Calculation-sheet'!D79</f>
        <v>4932017233.4537468</v>
      </c>
      <c r="E96" s="2">
        <f>E8/'Output-Calculation-sheet'!E7*'Output-Calculation-sheet'!E79</f>
        <v>7725293008.5338821</v>
      </c>
      <c r="F96" s="2">
        <f>F8/'Output-Calculation-sheet'!F7*'Output-Calculation-sheet'!F79</f>
        <v>3697922168.9413099</v>
      </c>
      <c r="G96" s="2">
        <f>G8/'Output-Calculation-sheet'!G7*'Output-Calculation-sheet'!G79</f>
        <v>2819114632.3424587</v>
      </c>
      <c r="H96" s="2">
        <f>H8/'Output-Calculation-sheet'!H7*'Output-Calculation-sheet'!H79</f>
        <v>761906273.92923081</v>
      </c>
      <c r="I96" s="2">
        <f>I8/'Output-Calculation-sheet'!I7*'Output-Calculation-sheet'!I79</f>
        <v>1933305174.7316353</v>
      </c>
      <c r="J96" s="2">
        <f>J8/'Output-Calculation-sheet'!J7*'Output-Calculation-sheet'!J79</f>
        <v>1376175267.1285353</v>
      </c>
      <c r="K96" s="2">
        <f>K8/'Output-Calculation-sheet'!K7*'Output-Calculation-sheet'!K79</f>
        <v>1715161135.1309474</v>
      </c>
      <c r="L96" s="2">
        <f>L8/'Output-Calculation-sheet'!L7*'Output-Calculation-sheet'!L79</f>
        <v>1193509907.4859457</v>
      </c>
      <c r="M96" s="2">
        <f>M8/'Output-Calculation-sheet'!M7*'Output-Calculation-sheet'!M79</f>
        <v>564821465.07339334</v>
      </c>
      <c r="N96" s="2">
        <f>N8/'Output-Calculation-sheet'!N7*'Output-Calculation-sheet'!N79</f>
        <v>629496633.09521925</v>
      </c>
      <c r="O96" s="2">
        <f>O8/'Output-Calculation-sheet'!O7*'Output-Calculation-sheet'!O79</f>
        <v>0</v>
      </c>
      <c r="P96" s="2">
        <f>P8/'Output-Calculation-sheet'!P7*'Output-Calculation-sheet'!P79</f>
        <v>1455875012.0038989</v>
      </c>
      <c r="Q96" s="2">
        <f>Q8/'Output-Calculation-sheet'!Q7*'Output-Calculation-sheet'!Q79</f>
        <v>675891080.38978672</v>
      </c>
      <c r="R96" s="2">
        <f>R8/'Output-Calculation-sheet'!R7*'Output-Calculation-sheet'!R79</f>
        <v>1042809943.3130857</v>
      </c>
      <c r="S96" s="2">
        <f>S8/'Output-Calculation-sheet'!S7*'Output-Calculation-sheet'!S79</f>
        <v>381967320.62249845</v>
      </c>
      <c r="T96" s="2">
        <f>T8/'Output-Calculation-sheet'!T7*'Output-Calculation-sheet'!T79</f>
        <v>546598460.12127054</v>
      </c>
      <c r="U96" s="2">
        <f>U8/'Output-Calculation-sheet'!U7*'Output-Calculation-sheet'!U79</f>
        <v>277527111.4713285</v>
      </c>
      <c r="V96" s="2">
        <f>V8/'Output-Calculation-sheet'!V7*'Output-Calculation-sheet'!V79</f>
        <v>168239609.06438413</v>
      </c>
      <c r="W96" s="2">
        <f>W8/'Output-Calculation-sheet'!W7*'Output-Calculation-sheet'!W79</f>
        <v>585885728.81877542</v>
      </c>
      <c r="X96" s="2">
        <f>X8/'Output-Calculation-sheet'!X7*'Output-Calculation-sheet'!X79</f>
        <v>54623910.934045292</v>
      </c>
      <c r="Y96" s="2">
        <f>Y8/'Output-Calculation-sheet'!Y7*'Output-Calculation-sheet'!Y79</f>
        <v>249220729.33978513</v>
      </c>
      <c r="AA96" s="2">
        <f t="shared" si="8"/>
        <v>40.890013251793576</v>
      </c>
    </row>
    <row r="97" spans="1:27" x14ac:dyDescent="0.25">
      <c r="A97" s="2">
        <v>2032</v>
      </c>
      <c r="B97" s="2">
        <f>B9/'Output-Calculation-sheet'!B8*'Output-Calculation-sheet'!B80</f>
        <v>8199855241.3979759</v>
      </c>
      <c r="C97" s="2">
        <f>C9/'Output-Calculation-sheet'!C8*'Output-Calculation-sheet'!C80</f>
        <v>0</v>
      </c>
      <c r="D97" s="2">
        <f>D9/'Output-Calculation-sheet'!D8*'Output-Calculation-sheet'!D80</f>
        <v>4760273869.205514</v>
      </c>
      <c r="E97" s="2">
        <f>E9/'Output-Calculation-sheet'!E8*'Output-Calculation-sheet'!E80</f>
        <v>7679871930.1115055</v>
      </c>
      <c r="F97" s="2">
        <f>F9/'Output-Calculation-sheet'!F8*'Output-Calculation-sheet'!F80</f>
        <v>3663421139.1551633</v>
      </c>
      <c r="G97" s="2">
        <f>G9/'Output-Calculation-sheet'!G8*'Output-Calculation-sheet'!G80</f>
        <v>2712673168.5495982</v>
      </c>
      <c r="H97" s="2">
        <f>H9/'Output-Calculation-sheet'!H8*'Output-Calculation-sheet'!H80</f>
        <v>774688350.90840352</v>
      </c>
      <c r="I97" s="2">
        <f>I9/'Output-Calculation-sheet'!I8*'Output-Calculation-sheet'!I80</f>
        <v>1934343938.9482803</v>
      </c>
      <c r="J97" s="2">
        <f>J9/'Output-Calculation-sheet'!J8*'Output-Calculation-sheet'!J80</f>
        <v>1337777178.5463781</v>
      </c>
      <c r="K97" s="2">
        <f>K9/'Output-Calculation-sheet'!K8*'Output-Calculation-sheet'!K80</f>
        <v>1682807985.1314087</v>
      </c>
      <c r="L97" s="2">
        <f>L9/'Output-Calculation-sheet'!L8*'Output-Calculation-sheet'!L80</f>
        <v>1208229686.0363002</v>
      </c>
      <c r="M97" s="2">
        <f>M9/'Output-Calculation-sheet'!M8*'Output-Calculation-sheet'!M80</f>
        <v>575313797.08636475</v>
      </c>
      <c r="N97" s="2">
        <f>N9/'Output-Calculation-sheet'!N8*'Output-Calculation-sheet'!N80</f>
        <v>612361251.00256276</v>
      </c>
      <c r="O97" s="2">
        <f>O9/'Output-Calculation-sheet'!O8*'Output-Calculation-sheet'!O80</f>
        <v>0</v>
      </c>
      <c r="P97" s="2">
        <f>P9/'Output-Calculation-sheet'!P8*'Output-Calculation-sheet'!P80</f>
        <v>1433027405.5863943</v>
      </c>
      <c r="Q97" s="2">
        <f>Q9/'Output-Calculation-sheet'!Q8*'Output-Calculation-sheet'!Q80</f>
        <v>668148280.05759263</v>
      </c>
      <c r="R97" s="2">
        <f>R9/'Output-Calculation-sheet'!R8*'Output-Calculation-sheet'!R80</f>
        <v>1035576684.7557788</v>
      </c>
      <c r="S97" s="2">
        <f>S9/'Output-Calculation-sheet'!S8*'Output-Calculation-sheet'!S80</f>
        <v>390196599.44774473</v>
      </c>
      <c r="T97" s="2">
        <f>T9/'Output-Calculation-sheet'!T8*'Output-Calculation-sheet'!T80</f>
        <v>532529190.8104918</v>
      </c>
      <c r="U97" s="2">
        <f>U9/'Output-Calculation-sheet'!U8*'Output-Calculation-sheet'!U80</f>
        <v>275722311.80667275</v>
      </c>
      <c r="V97" s="2">
        <f>V9/'Output-Calculation-sheet'!V8*'Output-Calculation-sheet'!V80</f>
        <v>169028113.07761329</v>
      </c>
      <c r="W97" s="2">
        <f>W9/'Output-Calculation-sheet'!W8*'Output-Calculation-sheet'!W80</f>
        <v>575452332.36583257</v>
      </c>
      <c r="X97" s="2">
        <f>X9/'Output-Calculation-sheet'!X8*'Output-Calculation-sheet'!X80</f>
        <v>56972056.06353426</v>
      </c>
      <c r="Y97" s="2">
        <f>Y9/'Output-Calculation-sheet'!Y8*'Output-Calculation-sheet'!Y80</f>
        <v>245030434.75185865</v>
      </c>
      <c r="AA97" s="2">
        <f t="shared" si="8"/>
        <v>40.523300944802976</v>
      </c>
    </row>
    <row r="98" spans="1:27" x14ac:dyDescent="0.25">
      <c r="A98" s="2">
        <v>2033</v>
      </c>
      <c r="B98" s="2">
        <f>B10/'Output-Calculation-sheet'!B9*'Output-Calculation-sheet'!B81</f>
        <v>8577613354.1287985</v>
      </c>
      <c r="C98" s="2">
        <f>C10/'Output-Calculation-sheet'!C9*'Output-Calculation-sheet'!C81</f>
        <v>1123411965.5693016</v>
      </c>
      <c r="D98" s="2">
        <f>D10/'Output-Calculation-sheet'!D9*'Output-Calculation-sheet'!D81</f>
        <v>4573015750.9352255</v>
      </c>
      <c r="E98" s="2">
        <f>E10/'Output-Calculation-sheet'!E9*'Output-Calculation-sheet'!E81</f>
        <v>7592798378.6931801</v>
      </c>
      <c r="F98" s="2">
        <f>F10/'Output-Calculation-sheet'!F9*'Output-Calculation-sheet'!F81</f>
        <v>3614858201.0472159</v>
      </c>
      <c r="G98" s="2">
        <f>G10/'Output-Calculation-sheet'!G9*'Output-Calculation-sheet'!G81</f>
        <v>2595740273.5821357</v>
      </c>
      <c r="H98" s="2">
        <f>H10/'Output-Calculation-sheet'!H9*'Output-Calculation-sheet'!H81</f>
        <v>782289369.26140821</v>
      </c>
      <c r="I98" s="2">
        <f>I10/'Output-Calculation-sheet'!I9*'Output-Calculation-sheet'!I81</f>
        <v>1926631233.1845798</v>
      </c>
      <c r="J98" s="2">
        <f>J10/'Output-Calculation-sheet'!J9*'Output-Calculation-sheet'!J81</f>
        <v>1295522631.3587601</v>
      </c>
      <c r="K98" s="2">
        <f>K10/'Output-Calculation-sheet'!K9*'Output-Calculation-sheet'!K81</f>
        <v>1645269648.6964417</v>
      </c>
      <c r="L98" s="2">
        <f>L10/'Output-Calculation-sheet'!L9*'Output-Calculation-sheet'!L81</f>
        <v>1216417869.4920976</v>
      </c>
      <c r="M98" s="2">
        <f>M10/'Output-Calculation-sheet'!M9*'Output-Calculation-sheet'!M81</f>
        <v>583278371.9414469</v>
      </c>
      <c r="N98" s="2">
        <f>N10/'Output-Calculation-sheet'!N9*'Output-Calculation-sheet'!N81</f>
        <v>593546822.08932936</v>
      </c>
      <c r="O98" s="2">
        <f>O10/'Output-Calculation-sheet'!O9*'Output-Calculation-sheet'!O81</f>
        <v>0</v>
      </c>
      <c r="P98" s="2">
        <f>P10/'Output-Calculation-sheet'!P9*'Output-Calculation-sheet'!P81</f>
        <v>1399712094.1756244</v>
      </c>
      <c r="Q98" s="2">
        <f>Q10/'Output-Calculation-sheet'!Q9*'Output-Calculation-sheet'!Q81</f>
        <v>657005750.9231981</v>
      </c>
      <c r="R98" s="2">
        <f>R10/'Output-Calculation-sheet'!R9*'Output-Calculation-sheet'!R81</f>
        <v>1025228273.3027734</v>
      </c>
      <c r="S98" s="2">
        <f>S10/'Output-Calculation-sheet'!S9*'Output-Calculation-sheet'!S81</f>
        <v>389296960.08642423</v>
      </c>
      <c r="T98" s="2">
        <f>T10/'Output-Calculation-sheet'!T9*'Output-Calculation-sheet'!T81</f>
        <v>516719979.55359441</v>
      </c>
      <c r="U98" s="2">
        <f>U10/'Output-Calculation-sheet'!U9*'Output-Calculation-sheet'!U81</f>
        <v>272363656.6428864</v>
      </c>
      <c r="V98" s="2">
        <f>V10/'Output-Calculation-sheet'!V9*'Output-Calculation-sheet'!V81</f>
        <v>168782554.38396761</v>
      </c>
      <c r="W98" s="2">
        <f>W10/'Output-Calculation-sheet'!W9*'Output-Calculation-sheet'!W81</f>
        <v>561142125.96089792</v>
      </c>
      <c r="X98" s="2">
        <f>X10/'Output-Calculation-sheet'!X9*'Output-Calculation-sheet'!X81</f>
        <v>58373615.93632067</v>
      </c>
      <c r="Y98" s="2">
        <f>Y10/'Output-Calculation-sheet'!Y9*'Output-Calculation-sheet'!Y81</f>
        <v>239554798.80985659</v>
      </c>
      <c r="AA98" s="2">
        <f t="shared" si="8"/>
        <v>41.408573679755463</v>
      </c>
    </row>
    <row r="99" spans="1:27" x14ac:dyDescent="0.25">
      <c r="A99" s="2">
        <v>2034</v>
      </c>
      <c r="B99" s="2">
        <f>B11/'Output-Calculation-sheet'!B10*'Output-Calculation-sheet'!B82</f>
        <v>8818120251.1129742</v>
      </c>
      <c r="C99" s="2">
        <f>C11/'Output-Calculation-sheet'!C10*'Output-Calculation-sheet'!C82</f>
        <v>1195953841.3716931</v>
      </c>
      <c r="D99" s="2">
        <f>D11/'Output-Calculation-sheet'!D10*'Output-Calculation-sheet'!D82</f>
        <v>4399837568.2250996</v>
      </c>
      <c r="E99" s="2">
        <f>E11/'Output-Calculation-sheet'!E10*'Output-Calculation-sheet'!E82</f>
        <v>7524466319.7522144</v>
      </c>
      <c r="F99" s="2">
        <f>F11/'Output-Calculation-sheet'!F10*'Output-Calculation-sheet'!F82</f>
        <v>3573430677.9656382</v>
      </c>
      <c r="G99" s="2">
        <f>G11/'Output-Calculation-sheet'!G10*'Output-Calculation-sheet'!G82</f>
        <v>2482303177.9635353</v>
      </c>
      <c r="H99" s="2">
        <f>H11/'Output-Calculation-sheet'!H10*'Output-Calculation-sheet'!H82</f>
        <v>792085674.25772488</v>
      </c>
      <c r="I99" s="2">
        <f>I11/'Output-Calculation-sheet'!I10*'Output-Calculation-sheet'!I82</f>
        <v>1924234076.8028498</v>
      </c>
      <c r="J99" s="2">
        <f>J11/'Output-Calculation-sheet'!J10*'Output-Calculation-sheet'!J82</f>
        <v>1257169724.3861573</v>
      </c>
      <c r="K99" s="2">
        <f>K11/'Output-Calculation-sheet'!K10*'Output-Calculation-sheet'!K82</f>
        <v>1611915384.2862418</v>
      </c>
      <c r="L99" s="2">
        <f>L11/'Output-Calculation-sheet'!L10*'Output-Calculation-sheet'!L82</f>
        <v>1225702781.1469893</v>
      </c>
      <c r="M99" s="2">
        <f>M11/'Output-Calculation-sheet'!M10*'Output-Calculation-sheet'!M82</f>
        <v>592505100.11066592</v>
      </c>
      <c r="N99" s="2">
        <f>N11/'Output-Calculation-sheet'!N10*'Output-Calculation-sheet'!N82</f>
        <v>578259353.81891513</v>
      </c>
      <c r="O99" s="2">
        <f>O11/'Output-Calculation-sheet'!O10*'Output-Calculation-sheet'!O82</f>
        <v>0</v>
      </c>
      <c r="P99" s="2">
        <f>P11/'Output-Calculation-sheet'!P10*'Output-Calculation-sheet'!P82</f>
        <v>1367716244.6247408</v>
      </c>
      <c r="Q99" s="2">
        <f>Q11/'Output-Calculation-sheet'!Q10*'Output-Calculation-sheet'!Q82</f>
        <v>647623732.61516082</v>
      </c>
      <c r="R99" s="2">
        <f>R11/'Output-Calculation-sheet'!R10*'Output-Calculation-sheet'!R82</f>
        <v>1016335836.9527892</v>
      </c>
      <c r="S99" s="2">
        <f>S11/'Output-Calculation-sheet'!S10*'Output-Calculation-sheet'!S82</f>
        <v>395999366.03449434</v>
      </c>
      <c r="T99" s="2">
        <f>T11/'Output-Calculation-sheet'!T10*'Output-Calculation-sheet'!T82</f>
        <v>502150578.89316243</v>
      </c>
      <c r="U99" s="2">
        <f>U11/'Output-Calculation-sheet'!U10*'Output-Calculation-sheet'!U82</f>
        <v>269919115.78175032</v>
      </c>
      <c r="V99" s="2">
        <f>V11/'Output-Calculation-sheet'!V10*'Output-Calculation-sheet'!V82</f>
        <v>168855312.84551033</v>
      </c>
      <c r="W99" s="2">
        <f>W11/'Output-Calculation-sheet'!W10*'Output-Calculation-sheet'!W82</f>
        <v>547358887.67286777</v>
      </c>
      <c r="X99" s="2">
        <f>X11/'Output-Calculation-sheet'!X10*'Output-Calculation-sheet'!X82</f>
        <v>60228306.634760171</v>
      </c>
      <c r="Y99" s="2">
        <f>Y11/'Output-Calculation-sheet'!Y10*'Output-Calculation-sheet'!Y82</f>
        <v>234201133.08034396</v>
      </c>
      <c r="AA99" s="2">
        <f t="shared" si="8"/>
        <v>41.186372446336279</v>
      </c>
    </row>
    <row r="100" spans="1:27" x14ac:dyDescent="0.25">
      <c r="A100" s="2">
        <v>2035</v>
      </c>
      <c r="B100" s="2">
        <f>B12/'Output-Calculation-sheet'!B11*'Output-Calculation-sheet'!B83</f>
        <v>8923221557.2877884</v>
      </c>
      <c r="C100" s="2">
        <f>C12/'Output-Calculation-sheet'!C11*'Output-Calculation-sheet'!C83</f>
        <v>1262503810.6920326</v>
      </c>
      <c r="D100" s="2">
        <f>D12/'Output-Calculation-sheet'!D11*'Output-Calculation-sheet'!D83</f>
        <v>4243933459.5068502</v>
      </c>
      <c r="E100" s="2">
        <f>E12/'Output-Calculation-sheet'!E11*'Output-Calculation-sheet'!E83</f>
        <v>7466423563.4875021</v>
      </c>
      <c r="F100" s="2">
        <f>F12/'Output-Calculation-sheet'!F11*'Output-Calculation-sheet'!F83</f>
        <v>3538388418.6429825</v>
      </c>
      <c r="G100" s="2">
        <f>G12/'Output-Calculation-sheet'!G11*'Output-Calculation-sheet'!G83</f>
        <v>2373105421.9584413</v>
      </c>
      <c r="H100" s="2">
        <f>H12/'Output-Calculation-sheet'!H11*'Output-Calculation-sheet'!H83</f>
        <v>799637598.89734197</v>
      </c>
      <c r="I100" s="2">
        <f>I12/'Output-Calculation-sheet'!I11*'Output-Calculation-sheet'!I83</f>
        <v>1922766710.1005497</v>
      </c>
      <c r="J100" s="2">
        <f>J12/'Output-Calculation-sheet'!J11*'Output-Calculation-sheet'!J83</f>
        <v>1221570007.4378474</v>
      </c>
      <c r="K100" s="2">
        <f>K12/'Output-Calculation-sheet'!K11*'Output-Calculation-sheet'!K83</f>
        <v>1581216867.2055032</v>
      </c>
      <c r="L100" s="2">
        <f>L12/'Output-Calculation-sheet'!L11*'Output-Calculation-sheet'!L83</f>
        <v>1235460331.4309638</v>
      </c>
      <c r="M100" s="2">
        <f>M12/'Output-Calculation-sheet'!M11*'Output-Calculation-sheet'!M83</f>
        <v>599367492.97561049</v>
      </c>
      <c r="N100" s="2">
        <f>N12/'Output-Calculation-sheet'!N11*'Output-Calculation-sheet'!N83</f>
        <v>564622744.15621293</v>
      </c>
      <c r="O100" s="2">
        <f>O12/'Output-Calculation-sheet'!O11*'Output-Calculation-sheet'!O83</f>
        <v>152328240.18754053</v>
      </c>
      <c r="P100" s="2">
        <f>P12/'Output-Calculation-sheet'!P11*'Output-Calculation-sheet'!P83</f>
        <v>1337491904.335968</v>
      </c>
      <c r="Q100" s="2">
        <f>Q12/'Output-Calculation-sheet'!Q11*'Output-Calculation-sheet'!Q83</f>
        <v>641430483.5804441</v>
      </c>
      <c r="R100" s="2">
        <f>R12/'Output-Calculation-sheet'!R11*'Output-Calculation-sheet'!R83</f>
        <v>1010380031.8726175</v>
      </c>
      <c r="S100" s="2">
        <f>S12/'Output-Calculation-sheet'!S11*'Output-Calculation-sheet'!S83</f>
        <v>391878247.88032329</v>
      </c>
      <c r="T100" s="2">
        <f>T12/'Output-Calculation-sheet'!T11*'Output-Calculation-sheet'!T83</f>
        <v>488454041.00102025</v>
      </c>
      <c r="U100" s="2">
        <f>U12/'Output-Calculation-sheet'!U11*'Output-Calculation-sheet'!U83</f>
        <v>267572337.28728208</v>
      </c>
      <c r="V100" s="2">
        <f>V12/'Output-Calculation-sheet'!V11*'Output-Calculation-sheet'!V83</f>
        <v>169118027.68970433</v>
      </c>
      <c r="W100" s="2">
        <f>W12/'Output-Calculation-sheet'!W11*'Output-Calculation-sheet'!W83</f>
        <v>533652679.25850493</v>
      </c>
      <c r="X100" s="2">
        <f>X12/'Output-Calculation-sheet'!X11*'Output-Calculation-sheet'!X83</f>
        <v>62097179.599719018</v>
      </c>
      <c r="Y100" s="2">
        <f>Y12/'Output-Calculation-sheet'!Y11*'Output-Calculation-sheet'!Y83</f>
        <v>229124664.48589474</v>
      </c>
      <c r="AA100" s="2">
        <f t="shared" si="8"/>
        <v>41.015745820958649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5481-5A0D-4CA1-B51E-105EA4D850A2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94207140886.089371</v>
      </c>
      <c r="C8" s="2">
        <v>44395145358.495842</v>
      </c>
      <c r="D8" s="2">
        <v>39568076268.386688</v>
      </c>
      <c r="E8" s="2">
        <v>31393253277.263615</v>
      </c>
      <c r="F8" s="2">
        <v>20208963670.562801</v>
      </c>
      <c r="G8" s="2">
        <v>14199372494.975513</v>
      </c>
      <c r="H8" s="2">
        <v>13850942800.613852</v>
      </c>
      <c r="I8" s="2">
        <v>12936746077.783787</v>
      </c>
      <c r="J8" s="2">
        <v>12591735134.185644</v>
      </c>
      <c r="K8" s="2">
        <v>12471023218.983589</v>
      </c>
      <c r="L8" s="2">
        <v>10004416966.819479</v>
      </c>
      <c r="M8" s="2">
        <v>9555943102.7896423</v>
      </c>
      <c r="N8" s="2">
        <v>9379130556.9964046</v>
      </c>
      <c r="O8" s="2">
        <v>8626015296.728981</v>
      </c>
      <c r="P8" s="2">
        <v>8538252411.3373051</v>
      </c>
      <c r="Q8" s="2">
        <v>8400260453.1742783</v>
      </c>
      <c r="R8" s="2">
        <v>8081436933.436512</v>
      </c>
      <c r="S8" s="2">
        <v>5371336971.4958153</v>
      </c>
      <c r="T8" s="2">
        <v>2970666726.7409744</v>
      </c>
      <c r="U8" s="2">
        <v>2587349215.5567608</v>
      </c>
      <c r="V8" s="2">
        <v>1992310642.9630184</v>
      </c>
      <c r="W8" s="2">
        <v>1724899477.0378394</v>
      </c>
      <c r="X8" s="2">
        <v>1034939686.2227043</v>
      </c>
      <c r="Y8" s="2">
        <v>1006468495.4547161</v>
      </c>
    </row>
    <row r="9" spans="1:27" x14ac:dyDescent="0.25">
      <c r="A9" s="2">
        <v>2032</v>
      </c>
      <c r="B9" s="2">
        <v>99380644319.444046</v>
      </c>
      <c r="C9" s="2">
        <v>46833160510.809753</v>
      </c>
      <c r="D9" s="2">
        <v>41741006860.487541</v>
      </c>
      <c r="E9" s="2">
        <v>33117253200.055855</v>
      </c>
      <c r="F9" s="2">
        <v>21318764286.002502</v>
      </c>
      <c r="G9" s="2">
        <v>14979148865.039249</v>
      </c>
      <c r="H9" s="2">
        <v>14611584716.504498</v>
      </c>
      <c r="I9" s="2">
        <v>13647183732.725233</v>
      </c>
      <c r="J9" s="2">
        <v>13283226079.94495</v>
      </c>
      <c r="K9" s="2">
        <v>13155885118.347147</v>
      </c>
      <c r="L9" s="2">
        <v>10553822086.640865</v>
      </c>
      <c r="M9" s="2">
        <v>10080719717.239727</v>
      </c>
      <c r="N9" s="2">
        <v>9894197288.4788322</v>
      </c>
      <c r="O9" s="2">
        <v>9099723758.04146</v>
      </c>
      <c r="P9" s="2">
        <v>9007141263.5986614</v>
      </c>
      <c r="Q9" s="2">
        <v>8861571303.7829247</v>
      </c>
      <c r="R9" s="2">
        <v>8525239190.1266584</v>
      </c>
      <c r="S9" s="2">
        <v>5666310685.8275042</v>
      </c>
      <c r="T9" s="2">
        <v>3133804620.1702003</v>
      </c>
      <c r="U9" s="2">
        <v>2729436746.5450511</v>
      </c>
      <c r="V9" s="2">
        <v>2101720883.5746212</v>
      </c>
      <c r="W9" s="2">
        <v>1819624497.6966991</v>
      </c>
      <c r="X9" s="2">
        <v>1091774698.6180203</v>
      </c>
      <c r="Y9" s="2">
        <v>1061739976.6590368</v>
      </c>
    </row>
    <row r="10" spans="1:27" x14ac:dyDescent="0.25">
      <c r="A10" s="2">
        <v>2033</v>
      </c>
      <c r="B10" s="2">
        <v>100059653533.55692</v>
      </c>
      <c r="C10" s="2">
        <v>47153143820.745338</v>
      </c>
      <c r="D10" s="2">
        <v>42026198493.714592</v>
      </c>
      <c r="E10" s="2">
        <v>33343523820.687645</v>
      </c>
      <c r="F10" s="2">
        <v>21464422804.145798</v>
      </c>
      <c r="G10" s="2">
        <v>15081492537.376862</v>
      </c>
      <c r="H10" s="2">
        <v>14711417040.225468</v>
      </c>
      <c r="I10" s="2">
        <v>13740426874.432243</v>
      </c>
      <c r="J10" s="2">
        <v>13373982514.089565</v>
      </c>
      <c r="K10" s="2">
        <v>13245771506.952703</v>
      </c>
      <c r="L10" s="2">
        <v>10625930116.227619</v>
      </c>
      <c r="M10" s="2">
        <v>10149595317.913971</v>
      </c>
      <c r="N10" s="2">
        <v>9961798491.6219006</v>
      </c>
      <c r="O10" s="2">
        <v>9161896793.0414276</v>
      </c>
      <c r="P10" s="2">
        <v>9068681737.1252861</v>
      </c>
      <c r="Q10" s="2">
        <v>8922117183.7980118</v>
      </c>
      <c r="R10" s="2">
        <v>8583487111.5630026</v>
      </c>
      <c r="S10" s="2">
        <v>5705025238.2642536</v>
      </c>
      <c r="T10" s="2">
        <v>3155216055.2328</v>
      </c>
      <c r="U10" s="2">
        <v>2748085374.8864527</v>
      </c>
      <c r="V10" s="2">
        <v>2116080700.3700678</v>
      </c>
      <c r="W10" s="2">
        <v>1832056916.5909669</v>
      </c>
      <c r="X10" s="2">
        <v>1099234149.954581</v>
      </c>
      <c r="Y10" s="2">
        <v>1068994218.4893286</v>
      </c>
    </row>
    <row r="11" spans="1:27" x14ac:dyDescent="0.25">
      <c r="A11" s="2">
        <v>2034</v>
      </c>
      <c r="B11" s="2">
        <v>96236313831.443115</v>
      </c>
      <c r="C11" s="2">
        <v>45351393759.829163</v>
      </c>
      <c r="D11" s="2">
        <v>40420352105.529305</v>
      </c>
      <c r="E11" s="2">
        <v>32069447667.812908</v>
      </c>
      <c r="F11" s="2">
        <v>20644254264.760185</v>
      </c>
      <c r="G11" s="2">
        <v>14505219612.686512</v>
      </c>
      <c r="H11" s="2">
        <v>14149284923.453903</v>
      </c>
      <c r="I11" s="2">
        <v>13215396877.447594</v>
      </c>
      <c r="J11" s="2">
        <v>12862954577.096498</v>
      </c>
      <c r="K11" s="2">
        <v>12739642589.859501</v>
      </c>
      <c r="L11" s="2">
        <v>10219906918.559492</v>
      </c>
      <c r="M11" s="2">
        <v>9761773160.1413097</v>
      </c>
      <c r="N11" s="2">
        <v>9581152163.8320274</v>
      </c>
      <c r="O11" s="2">
        <v>8811815191.5320148</v>
      </c>
      <c r="P11" s="2">
        <v>8722161939.1154175</v>
      </c>
      <c r="Q11" s="2">
        <v>8581197705.7559795</v>
      </c>
      <c r="R11" s="2">
        <v>8255506892.790658</v>
      </c>
      <c r="S11" s="2">
        <v>5487032783.5162277</v>
      </c>
      <c r="T11" s="2">
        <v>3034653347.021215</v>
      </c>
      <c r="U11" s="2">
        <v>2643079375.4895229</v>
      </c>
      <c r="V11" s="2">
        <v>2035223980.7144437</v>
      </c>
      <c r="W11" s="2">
        <v>1762052916.9930139</v>
      </c>
      <c r="X11" s="2">
        <v>1057231750.195809</v>
      </c>
      <c r="Y11" s="2">
        <v>1028147304.7479206</v>
      </c>
    </row>
    <row r="12" spans="1:27" x14ac:dyDescent="0.25">
      <c r="A12" s="2">
        <v>2035</v>
      </c>
      <c r="B12" s="2">
        <v>88070102034.673233</v>
      </c>
      <c r="C12" s="2">
        <v>41503063831.376846</v>
      </c>
      <c r="D12" s="2">
        <v>36990449784.333801</v>
      </c>
      <c r="E12" s="2">
        <v>29348168231.450893</v>
      </c>
      <c r="F12" s="2">
        <v>18892469039.406723</v>
      </c>
      <c r="G12" s="2">
        <v>13274367236.905298</v>
      </c>
      <c r="H12" s="2">
        <v>12948635679.342735</v>
      </c>
      <c r="I12" s="2">
        <v>12093993473.856842</v>
      </c>
      <c r="J12" s="2">
        <v>11771457955.636333</v>
      </c>
      <c r="K12" s="2">
        <v>11658609708.798014</v>
      </c>
      <c r="L12" s="2">
        <v>9352688286.4493084</v>
      </c>
      <c r="M12" s="2">
        <v>8933429846.0222721</v>
      </c>
      <c r="N12" s="2">
        <v>8768135593.3514519</v>
      </c>
      <c r="O12" s="2">
        <v>8064081344.4721575</v>
      </c>
      <c r="P12" s="2">
        <v>7982035692.7455215</v>
      </c>
      <c r="Q12" s="2">
        <v>7853033095.6910496</v>
      </c>
      <c r="R12" s="2">
        <v>7554979045.3265419</v>
      </c>
      <c r="S12" s="2">
        <v>5021426090.3453493</v>
      </c>
      <c r="T12" s="2">
        <v>2777145333.934216</v>
      </c>
      <c r="U12" s="2">
        <v>2418798694.7713718</v>
      </c>
      <c r="V12" s="2">
        <v>1862523370.9478531</v>
      </c>
      <c r="W12" s="2">
        <v>1612532463.1809134</v>
      </c>
      <c r="X12" s="2">
        <v>967519477.90854859</v>
      </c>
      <c r="Y12" s="2">
        <v>940903017.07128298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-4.5195892169162742E-11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179.75465711761834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2.8216810779890991E-12</v>
      </c>
      <c r="Y16" s="2">
        <f>Y5/'Output-Calculation-sheet'!Y4*'Output-Calculation-sheet'!Y22</f>
        <v>0</v>
      </c>
      <c r="AA16" s="2">
        <f t="shared" ref="AA16:AA23" si="0">SUM(B16:Y16)/1000</f>
        <v>0.17975465711757596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1365.8555704711405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929.66927532141654</v>
      </c>
      <c r="N17" s="2">
        <f>N6/'Output-Calculation-sheet'!N5*'Output-Calculation-sheet'!N23</f>
        <v>381.26597866232555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85.6951003305266</v>
      </c>
      <c r="Y17" s="2">
        <f>Y6/'Output-Calculation-sheet'!Y5*'Output-Calculation-sheet'!Y23</f>
        <v>0</v>
      </c>
      <c r="AA17" s="2">
        <f t="shared" si="0"/>
        <v>2.7624859247854094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1764.8877932355176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1199.5524955666799</v>
      </c>
      <c r="N18" s="2">
        <f>N7/'Output-Calculation-sheet'!N6*'Output-Calculation-sheet'!N24</f>
        <v>664.02121659247052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117.96719317359887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112.61595833370302</v>
      </c>
      <c r="Y18" s="2">
        <f>Y7/'Output-Calculation-sheet'!Y6*'Output-Calculation-sheet'!Y24</f>
        <v>0</v>
      </c>
      <c r="AA18" s="2">
        <f t="shared" si="0"/>
        <v>3.8590446569019701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2070.2679513488902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1417.8165618876633</v>
      </c>
      <c r="N19" s="2">
        <f>N8/'Output-Calculation-sheet'!N7*'Output-Calculation-sheet'!N25</f>
        <v>953.68754452903011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252.96128432066277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134.55616736277162</v>
      </c>
      <c r="Y19" s="2">
        <f>Y8/'Output-Calculation-sheet'!Y7*'Output-Calculation-sheet'!Y25</f>
        <v>0</v>
      </c>
      <c r="AA19" s="2">
        <f t="shared" si="0"/>
        <v>4.8292895094490174</v>
      </c>
    </row>
    <row r="20" spans="1:27" x14ac:dyDescent="0.25">
      <c r="A20" s="2">
        <v>2032</v>
      </c>
      <c r="B20" s="2">
        <f>B9/'Output-Calculation-sheet'!B8*'Output-Calculation-sheet'!B26</f>
        <v>2.1342127352506033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2256.0171600441686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1542.8224060467808</v>
      </c>
      <c r="N20" s="2">
        <f>N9/'Output-Calculation-sheet'!N8*'Output-Calculation-sheet'!N26</f>
        <v>1123.6153811389959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386.5813041903055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148.50396210209956</v>
      </c>
      <c r="Y20" s="2">
        <f>Y9/'Output-Calculation-sheet'!Y8*'Output-Calculation-sheet'!Y26</f>
        <v>0</v>
      </c>
      <c r="AA20" s="2">
        <f t="shared" si="0"/>
        <v>5.4596744262576014</v>
      </c>
    </row>
    <row r="21" spans="1:27" x14ac:dyDescent="0.25">
      <c r="A21" s="2">
        <v>2033</v>
      </c>
      <c r="B21" s="2">
        <f>B10/'Output-Calculation-sheet'!B9*'Output-Calculation-sheet'!B27</f>
        <v>3345.6731138325231</v>
      </c>
      <c r="C21" s="2">
        <f>C10/'Output-Calculation-sheet'!C9*'Output-Calculation-sheet'!C27</f>
        <v>5220.6931270804916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2342.3260113206638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1603.442328214787</v>
      </c>
      <c r="N21" s="2">
        <f>N10/'Output-Calculation-sheet'!N9*'Output-Calculation-sheet'!N27</f>
        <v>1252.8159317596678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477.936745009199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154.34018418701015</v>
      </c>
      <c r="Y21" s="2">
        <f>Y10/'Output-Calculation-sheet'!Y9*'Output-Calculation-sheet'!Y27</f>
        <v>0</v>
      </c>
      <c r="AA21" s="2">
        <f t="shared" si="0"/>
        <v>14.397227441404343</v>
      </c>
    </row>
    <row r="22" spans="1:27" x14ac:dyDescent="0.25">
      <c r="A22" s="2">
        <v>2034</v>
      </c>
      <c r="B22" s="2">
        <f>B11/'Output-Calculation-sheet'!B10*'Output-Calculation-sheet'!B28</f>
        <v>5499.2683926161071</v>
      </c>
      <c r="C22" s="2">
        <f>C11/'Output-Calculation-sheet'!C10*'Output-Calculation-sheet'!C28</f>
        <v>5327.8710938632275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2327.7629157656347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1593.6066974780217</v>
      </c>
      <c r="N22" s="2">
        <f>N11/'Output-Calculation-sheet'!N10*'Output-Calculation-sheet'!N28</f>
        <v>1277.8837335348305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521.28934974407741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154.40002335071492</v>
      </c>
      <c r="Y22" s="2">
        <f>Y11/'Output-Calculation-sheet'!Y10*'Output-Calculation-sheet'!Y28</f>
        <v>0</v>
      </c>
      <c r="AA22" s="2">
        <f t="shared" si="0"/>
        <v>16.702082206352614</v>
      </c>
    </row>
    <row r="23" spans="1:27" x14ac:dyDescent="0.25">
      <c r="A23" s="2">
        <v>2035</v>
      </c>
      <c r="B23" s="2">
        <f>B12/'Output-Calculation-sheet'!B11*'Output-Calculation-sheet'!B29</f>
        <v>6269.7168985578264</v>
      </c>
      <c r="C23" s="2">
        <f>C12/'Output-Calculation-sheet'!C11*'Output-Calculation-sheet'!C29</f>
        <v>5137.5608979808158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2191.9100877689857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1498.2575966431209</v>
      </c>
      <c r="N23" s="2">
        <f>N12/'Output-Calculation-sheet'!N11*'Output-Calculation-sheet'!N29</f>
        <v>1224.6957549015635</v>
      </c>
      <c r="O23" s="2">
        <f>O12/'Output-Calculation-sheet'!O11*'Output-Calculation-sheet'!O29</f>
        <v>873.51095492972127</v>
      </c>
      <c r="P23" s="2">
        <f>P12/'Output-Calculation-sheet'!P11*'Output-Calculation-sheet'!P29</f>
        <v>0</v>
      </c>
      <c r="Q23" s="2">
        <f>Q12/'Output-Calculation-sheet'!Q11*'Output-Calculation-sheet'!Q29</f>
        <v>16.715665600985183</v>
      </c>
      <c r="R23" s="2">
        <f>R12/'Output-Calculation-sheet'!R11*'Output-Calculation-sheet'!R29</f>
        <v>0</v>
      </c>
      <c r="S23" s="2">
        <f>S12/'Output-Calculation-sheet'!S11*'Output-Calculation-sheet'!S29</f>
        <v>537.83349574232432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146.86950824907208</v>
      </c>
      <c r="Y23" s="2">
        <f>Y12/'Output-Calculation-sheet'!Y11*'Output-Calculation-sheet'!Y29</f>
        <v>0</v>
      </c>
      <c r="AA23" s="2">
        <f t="shared" si="0"/>
        <v>17.897070860374416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8368.6388549606927</v>
      </c>
      <c r="C27" s="2">
        <f>C5/'Output-Calculation-sheet'!C4*'Output-Calculation-sheet'!C13</f>
        <v>0</v>
      </c>
      <c r="D27" s="2">
        <f>D5/'Output-Calculation-sheet'!D4*'Output-Calculation-sheet'!D13</f>
        <v>2702.6278056105175</v>
      </c>
      <c r="E27" s="2">
        <f>E5/'Output-Calculation-sheet'!E4*'Output-Calculation-sheet'!E13</f>
        <v>2757.101662138964</v>
      </c>
      <c r="F27" s="2">
        <f>F5/'Output-Calculation-sheet'!F4*'Output-Calculation-sheet'!F13</f>
        <v>1566.2038361421328</v>
      </c>
      <c r="G27" s="2">
        <f>G5/'Output-Calculation-sheet'!G4*'Output-Calculation-sheet'!G13</f>
        <v>949.81826434336756</v>
      </c>
      <c r="H27" s="2">
        <f>H5/'Output-Calculation-sheet'!H4*'Output-Calculation-sheet'!H13</f>
        <v>0</v>
      </c>
      <c r="I27" s="2">
        <f>I5/'Output-Calculation-sheet'!I4*'Output-Calculation-sheet'!I13</f>
        <v>949.1161808096399</v>
      </c>
      <c r="J27" s="2">
        <f>J5/'Output-Calculation-sheet'!J4*'Output-Calculation-sheet'!J13</f>
        <v>872.55288810108993</v>
      </c>
      <c r="K27" s="2">
        <f>K5/'Output-Calculation-sheet'!K4*'Output-Calculation-sheet'!K13</f>
        <v>1063.6604894629943</v>
      </c>
      <c r="L27" s="2">
        <f>L5/'Output-Calculation-sheet'!L4*'Output-Calculation-sheet'!L13</f>
        <v>881.96219270735446</v>
      </c>
      <c r="M27" s="2">
        <f>M5/'Output-Calculation-sheet'!M4*'Output-Calculation-sheet'!M13</f>
        <v>0</v>
      </c>
      <c r="N27" s="2">
        <f>N5/'Output-Calculation-sheet'!N4*'Output-Calculation-sheet'!N13</f>
        <v>572.90567468054985</v>
      </c>
      <c r="O27" s="2">
        <f>O5/'Output-Calculation-sheet'!O4*'Output-Calculation-sheet'!O13</f>
        <v>0</v>
      </c>
      <c r="P27" s="2">
        <f>P5/'Output-Calculation-sheet'!P4*'Output-Calculation-sheet'!P13</f>
        <v>689.25991538622191</v>
      </c>
      <c r="Q27" s="2">
        <f>Q5/'Output-Calculation-sheet'!Q4*'Output-Calculation-sheet'!Q13</f>
        <v>743.58934648937327</v>
      </c>
      <c r="R27" s="2">
        <f>R5/'Output-Calculation-sheet'!R4*'Output-Calculation-sheet'!R13</f>
        <v>671.07588355119867</v>
      </c>
      <c r="S27" s="2">
        <f>S5/'Output-Calculation-sheet'!S4*'Output-Calculation-sheet'!S13</f>
        <v>402.85384544380736</v>
      </c>
      <c r="T27" s="2">
        <f>T5/'Output-Calculation-sheet'!T4*'Output-Calculation-sheet'!T13</f>
        <v>246.68521175349937</v>
      </c>
      <c r="U27" s="2">
        <f>U5/'Output-Calculation-sheet'!U4*'Output-Calculation-sheet'!U13</f>
        <v>188.38017298332596</v>
      </c>
      <c r="V27" s="2">
        <f>V5/'Output-Calculation-sheet'!V4*'Output-Calculation-sheet'!V13</f>
        <v>180.46128445485468</v>
      </c>
      <c r="W27" s="2">
        <f>W5/'Output-Calculation-sheet'!W4*'Output-Calculation-sheet'!W13</f>
        <v>126.29843563697831</v>
      </c>
      <c r="X27" s="2">
        <f>X5/'Output-Calculation-sheet'!X4*'Output-Calculation-sheet'!X13</f>
        <v>0</v>
      </c>
      <c r="Y27" s="2">
        <f>Y5/'Output-Calculation-sheet'!Y4*'Output-Calculation-sheet'!Y13</f>
        <v>82.903041037375289</v>
      </c>
      <c r="AA27" s="2">
        <f t="shared" ref="AA27:AA34" si="1">SUM(B27:Y27)/1000</f>
        <v>24.016094985693933</v>
      </c>
    </row>
    <row r="28" spans="1:27" x14ac:dyDescent="0.25">
      <c r="A28" s="2">
        <v>2029</v>
      </c>
      <c r="B28" s="2">
        <f>B6/'Output-Calculation-sheet'!B5*'Output-Calculation-sheet'!B14</f>
        <v>11382.576752299157</v>
      </c>
      <c r="C28" s="2">
        <f>C6/'Output-Calculation-sheet'!C5*'Output-Calculation-sheet'!C14</f>
        <v>0</v>
      </c>
      <c r="D28" s="2">
        <f>D6/'Output-Calculation-sheet'!D5*'Output-Calculation-sheet'!D14</f>
        <v>3620.8712728420778</v>
      </c>
      <c r="E28" s="2">
        <f>E6/'Output-Calculation-sheet'!E5*'Output-Calculation-sheet'!E14</f>
        <v>3718.2455007363183</v>
      </c>
      <c r="F28" s="2">
        <f>F6/'Output-Calculation-sheet'!F5*'Output-Calculation-sheet'!F14</f>
        <v>2096.7103251445646</v>
      </c>
      <c r="G28" s="2">
        <f>G6/'Output-Calculation-sheet'!G5*'Output-Calculation-sheet'!G14</f>
        <v>1270.3242082281017</v>
      </c>
      <c r="H28" s="2">
        <f>H6/'Output-Calculation-sheet'!H5*'Output-Calculation-sheet'!H14</f>
        <v>0</v>
      </c>
      <c r="I28" s="2">
        <f>I6/'Output-Calculation-sheet'!I5*'Output-Calculation-sheet'!I14</f>
        <v>1275.9031893260374</v>
      </c>
      <c r="J28" s="2">
        <f>J6/'Output-Calculation-sheet'!J5*'Output-Calculation-sheet'!J14</f>
        <v>1169.2349527227605</v>
      </c>
      <c r="K28" s="2">
        <f>K6/'Output-Calculation-sheet'!K5*'Output-Calculation-sheet'!K14</f>
        <v>1434.0544668317659</v>
      </c>
      <c r="L28" s="2">
        <f>L6/'Output-Calculation-sheet'!L5*'Output-Calculation-sheet'!L14</f>
        <v>1186.0173652882559</v>
      </c>
      <c r="M28" s="2">
        <f>M6/'Output-Calculation-sheet'!M5*'Output-Calculation-sheet'!M14</f>
        <v>0</v>
      </c>
      <c r="N28" s="2">
        <f>N6/'Output-Calculation-sheet'!N5*'Output-Calculation-sheet'!N14</f>
        <v>751.8905728494766</v>
      </c>
      <c r="O28" s="2">
        <f>O6/'Output-Calculation-sheet'!O5*'Output-Calculation-sheet'!O14</f>
        <v>0</v>
      </c>
      <c r="P28" s="2">
        <f>P6/'Output-Calculation-sheet'!P5*'Output-Calculation-sheet'!P14</f>
        <v>939.03394474886909</v>
      </c>
      <c r="Q28" s="2">
        <f>Q6/'Output-Calculation-sheet'!Q5*'Output-Calculation-sheet'!Q14</f>
        <v>1019.3374431875496</v>
      </c>
      <c r="R28" s="2">
        <f>R6/'Output-Calculation-sheet'!R5*'Output-Calculation-sheet'!R14</f>
        <v>906.34180666096779</v>
      </c>
      <c r="S28" s="2">
        <f>S6/'Output-Calculation-sheet'!S5*'Output-Calculation-sheet'!S14</f>
        <v>555.55812234133214</v>
      </c>
      <c r="T28" s="2">
        <f>T6/'Output-Calculation-sheet'!T5*'Output-Calculation-sheet'!T14</f>
        <v>331.37937255296811</v>
      </c>
      <c r="U28" s="2">
        <f>U6/'Output-Calculation-sheet'!U5*'Output-Calculation-sheet'!U14</f>
        <v>254.21469811921583</v>
      </c>
      <c r="V28" s="2">
        <f>V6/'Output-Calculation-sheet'!V5*'Output-Calculation-sheet'!V14</f>
        <v>243.151615863193</v>
      </c>
      <c r="W28" s="2">
        <f>W6/'Output-Calculation-sheet'!W5*'Output-Calculation-sheet'!W14</f>
        <v>169.6771422124115</v>
      </c>
      <c r="X28" s="2">
        <f>X6/'Output-Calculation-sheet'!X5*'Output-Calculation-sheet'!X14</f>
        <v>0</v>
      </c>
      <c r="Y28" s="2">
        <f>Y6/'Output-Calculation-sheet'!Y5*'Output-Calculation-sheet'!Y14</f>
        <v>111.57048803484622</v>
      </c>
      <c r="AA28" s="2">
        <f t="shared" si="1"/>
        <v>32.436093239989866</v>
      </c>
    </row>
    <row r="29" spans="1:27" x14ac:dyDescent="0.25">
      <c r="A29" s="2">
        <v>2030</v>
      </c>
      <c r="B29" s="2">
        <f>B7/'Output-Calculation-sheet'!B6*'Output-Calculation-sheet'!B15</f>
        <v>14196.496637802778</v>
      </c>
      <c r="C29" s="2">
        <f>C7/'Output-Calculation-sheet'!C6*'Output-Calculation-sheet'!C15</f>
        <v>0</v>
      </c>
      <c r="D29" s="2">
        <f>D7/'Output-Calculation-sheet'!D6*'Output-Calculation-sheet'!D15</f>
        <v>4462.6113684516886</v>
      </c>
      <c r="E29" s="2">
        <f>E7/'Output-Calculation-sheet'!E6*'Output-Calculation-sheet'!E15</f>
        <v>4600.3729237478128</v>
      </c>
      <c r="F29" s="2">
        <f>F7/'Output-Calculation-sheet'!F6*'Output-Calculation-sheet'!F15</f>
        <v>2580.4201269724185</v>
      </c>
      <c r="G29" s="2">
        <f>G7/'Output-Calculation-sheet'!G6*'Output-Calculation-sheet'!G15</f>
        <v>1560.7874323025187</v>
      </c>
      <c r="H29" s="2">
        <f>H7/'Output-Calculation-sheet'!H6*'Output-Calculation-sheet'!H15</f>
        <v>0</v>
      </c>
      <c r="I29" s="2">
        <f>I7/'Output-Calculation-sheet'!I6*'Output-Calculation-sheet'!I15</f>
        <v>1572.6542035237796</v>
      </c>
      <c r="J29" s="2">
        <f>J7/'Output-Calculation-sheet'!J6*'Output-Calculation-sheet'!J15</f>
        <v>1438.5857973863817</v>
      </c>
      <c r="K29" s="2">
        <f>K7/'Output-Calculation-sheet'!K6*'Output-Calculation-sheet'!K15</f>
        <v>1771.2890897175346</v>
      </c>
      <c r="L29" s="2">
        <f>L7/'Output-Calculation-sheet'!L6*'Output-Calculation-sheet'!L15</f>
        <v>1468.5249945871315</v>
      </c>
      <c r="M29" s="2">
        <f>M7/'Output-Calculation-sheet'!M6*'Output-Calculation-sheet'!M15</f>
        <v>0</v>
      </c>
      <c r="N29" s="2">
        <f>N7/'Output-Calculation-sheet'!N6*'Output-Calculation-sheet'!N15</f>
        <v>832.74949466042415</v>
      </c>
      <c r="O29" s="2">
        <f>O7/'Output-Calculation-sheet'!O6*'Output-Calculation-sheet'!O15</f>
        <v>0</v>
      </c>
      <c r="P29" s="2">
        <f>P7/'Output-Calculation-sheet'!P6*'Output-Calculation-sheet'!P15</f>
        <v>1167.3868582733101</v>
      </c>
      <c r="Q29" s="2">
        <f>Q7/'Output-Calculation-sheet'!Q6*'Output-Calculation-sheet'!Q15</f>
        <v>1275.2033140261374</v>
      </c>
      <c r="R29" s="2">
        <f>R7/'Output-Calculation-sheet'!R6*'Output-Calculation-sheet'!R15</f>
        <v>1122.8565649899601</v>
      </c>
      <c r="S29" s="2">
        <f>S7/'Output-Calculation-sheet'!S6*'Output-Calculation-sheet'!S15</f>
        <v>642.01588171525168</v>
      </c>
      <c r="T29" s="2">
        <f>T7/'Output-Calculation-sheet'!T6*'Output-Calculation-sheet'!T15</f>
        <v>409.39335219594443</v>
      </c>
      <c r="U29" s="2">
        <f>U7/'Output-Calculation-sheet'!U6*'Output-Calculation-sheet'!U15</f>
        <v>314.56614287716297</v>
      </c>
      <c r="V29" s="2">
        <f>V7/'Output-Calculation-sheet'!V6*'Output-Calculation-sheet'!V15</f>
        <v>301.09525510247096</v>
      </c>
      <c r="W29" s="2">
        <f>W7/'Output-Calculation-sheet'!W6*'Output-Calculation-sheet'!W15</f>
        <v>209.6671481682437</v>
      </c>
      <c r="X29" s="2">
        <f>X7/'Output-Calculation-sheet'!X6*'Output-Calculation-sheet'!X15</f>
        <v>0</v>
      </c>
      <c r="Y29" s="2">
        <f>Y7/'Output-Calculation-sheet'!Y6*'Output-Calculation-sheet'!Y15</f>
        <v>138.10488775914817</v>
      </c>
      <c r="AA29" s="2">
        <f t="shared" si="1"/>
        <v>40.064781474260101</v>
      </c>
    </row>
    <row r="30" spans="1:27" x14ac:dyDescent="0.25">
      <c r="A30" s="2">
        <v>2031</v>
      </c>
      <c r="B30" s="2">
        <f>B8/'Output-Calculation-sheet'!B7*'Output-Calculation-sheet'!B16</f>
        <v>16272.066106626136</v>
      </c>
      <c r="C30" s="2">
        <f>C8/'Output-Calculation-sheet'!C7*'Output-Calculation-sheet'!C16</f>
        <v>0</v>
      </c>
      <c r="D30" s="2">
        <f>D8/'Output-Calculation-sheet'!D7*'Output-Calculation-sheet'!D16</f>
        <v>5079.5536989764805</v>
      </c>
      <c r="E30" s="2">
        <f>E8/'Output-Calculation-sheet'!E7*'Output-Calculation-sheet'!E16</f>
        <v>5253.9798595025277</v>
      </c>
      <c r="F30" s="2">
        <f>F8/'Output-Calculation-sheet'!F7*'Output-Calculation-sheet'!F16</f>
        <v>2943.4781131859577</v>
      </c>
      <c r="G30" s="2">
        <f>G8/'Output-Calculation-sheet'!G7*'Output-Calculation-sheet'!G16</f>
        <v>1775.2391682169773</v>
      </c>
      <c r="H30" s="2">
        <f>H8/'Output-Calculation-sheet'!H7*'Output-Calculation-sheet'!H16</f>
        <v>0</v>
      </c>
      <c r="I30" s="2">
        <f>I8/'Output-Calculation-sheet'!I7*'Output-Calculation-sheet'!I16</f>
        <v>1796.7391021242158</v>
      </c>
      <c r="J30" s="2">
        <f>J8/'Output-Calculation-sheet'!J7*'Output-Calculation-sheet'!J16</f>
        <v>1639.9835828727792</v>
      </c>
      <c r="K30" s="2">
        <f>K8/'Output-Calculation-sheet'!K7*'Output-Calculation-sheet'!K16</f>
        <v>2028.2139494391372</v>
      </c>
      <c r="L30" s="2">
        <f>L8/'Output-Calculation-sheet'!L7*'Output-Calculation-sheet'!L16</f>
        <v>1673.806297836225</v>
      </c>
      <c r="M30" s="2">
        <f>M8/'Output-Calculation-sheet'!M7*'Output-Calculation-sheet'!M16</f>
        <v>0</v>
      </c>
      <c r="N30" s="2">
        <f>N8/'Output-Calculation-sheet'!N7*'Output-Calculation-sheet'!N16</f>
        <v>821.26274342796023</v>
      </c>
      <c r="O30" s="2">
        <f>O8/'Output-Calculation-sheet'!O7*'Output-Calculation-sheet'!O16</f>
        <v>0</v>
      </c>
      <c r="P30" s="2">
        <f>P8/'Output-Calculation-sheet'!P7*'Output-Calculation-sheet'!P16</f>
        <v>1334.1024639071723</v>
      </c>
      <c r="Q30" s="2">
        <f>Q8/'Output-Calculation-sheet'!Q7*'Output-Calculation-sheet'!Q16</f>
        <v>1463.2850330421313</v>
      </c>
      <c r="R30" s="2">
        <f>R8/'Output-Calculation-sheet'!R7*'Output-Calculation-sheet'!R16</f>
        <v>1282.0281580428098</v>
      </c>
      <c r="S30" s="2">
        <f>S8/'Output-Calculation-sheet'!S7*'Output-Calculation-sheet'!S16</f>
        <v>684.65076347267302</v>
      </c>
      <c r="T30" s="2">
        <f>T8/'Output-Calculation-sheet'!T7*'Output-Calculation-sheet'!T16</f>
        <v>467.71017280762089</v>
      </c>
      <c r="U30" s="2">
        <f>U8/'Output-Calculation-sheet'!U7*'Output-Calculation-sheet'!U16</f>
        <v>359.46857185872642</v>
      </c>
      <c r="V30" s="2">
        <f>V8/'Output-Calculation-sheet'!V7*'Output-Calculation-sheet'!V16</f>
        <v>344.22226677952284</v>
      </c>
      <c r="W30" s="2">
        <f>W8/'Output-Calculation-sheet'!W7*'Output-Calculation-sheet'!W16</f>
        <v>238.9713864875433</v>
      </c>
      <c r="X30" s="2">
        <f>X8/'Output-Calculation-sheet'!X7*'Output-Calculation-sheet'!X16</f>
        <v>0</v>
      </c>
      <c r="Y30" s="2">
        <f>Y8/'Output-Calculation-sheet'!Y7*'Output-Calculation-sheet'!Y16</f>
        <v>157.98553888293893</v>
      </c>
      <c r="AA30" s="2">
        <f t="shared" si="1"/>
        <v>45.616746977489527</v>
      </c>
    </row>
    <row r="31" spans="1:27" x14ac:dyDescent="0.25">
      <c r="A31" s="2">
        <v>2032</v>
      </c>
      <c r="B31" s="2">
        <f>B9/'Output-Calculation-sheet'!B8*'Output-Calculation-sheet'!B17</f>
        <v>17377.730187108253</v>
      </c>
      <c r="C31" s="2">
        <f>C9/'Output-Calculation-sheet'!C8*'Output-Calculation-sheet'!C17</f>
        <v>0</v>
      </c>
      <c r="D31" s="2">
        <f>D9/'Output-Calculation-sheet'!D8*'Output-Calculation-sheet'!D17</f>
        <v>5387.4620397599156</v>
      </c>
      <c r="E31" s="2">
        <f>E9/'Output-Calculation-sheet'!E8*'Output-Calculation-sheet'!E17</f>
        <v>5579.331323112101</v>
      </c>
      <c r="F31" s="2">
        <f>F9/'Output-Calculation-sheet'!F8*'Output-Calculation-sheet'!F17</f>
        <v>3116.9469790380331</v>
      </c>
      <c r="G31" s="2">
        <f>G9/'Output-Calculation-sheet'!G8*'Output-Calculation-sheet'!G17</f>
        <v>1879.0199523571976</v>
      </c>
      <c r="H31" s="2">
        <f>H9/'Output-Calculation-sheet'!H8*'Output-Calculation-sheet'!H17</f>
        <v>0</v>
      </c>
      <c r="I31" s="2">
        <f>I9/'Output-Calculation-sheet'!I8*'Output-Calculation-sheet'!I17</f>
        <v>1905.0947811299518</v>
      </c>
      <c r="J31" s="2">
        <f>J9/'Output-Calculation-sheet'!J8*'Output-Calculation-sheet'!J17</f>
        <v>1737.5730525800568</v>
      </c>
      <c r="K31" s="2">
        <f>K9/'Output-Calculation-sheet'!K8*'Output-Calculation-sheet'!K17</f>
        <v>2152.2969106279265</v>
      </c>
      <c r="L31" s="2">
        <f>L9/'Output-Calculation-sheet'!L8*'Output-Calculation-sheet'!L17</f>
        <v>1776.6886231615208</v>
      </c>
      <c r="M31" s="2">
        <f>M9/'Output-Calculation-sheet'!M8*'Output-Calculation-sheet'!M17</f>
        <v>0</v>
      </c>
      <c r="N31" s="2">
        <f>N9/'Output-Calculation-sheet'!N8*'Output-Calculation-sheet'!N17</f>
        <v>785.90388407966316</v>
      </c>
      <c r="O31" s="2">
        <f>O9/'Output-Calculation-sheet'!O8*'Output-Calculation-sheet'!O17</f>
        <v>0</v>
      </c>
      <c r="P31" s="2">
        <f>P9/'Output-Calculation-sheet'!P8*'Output-Calculation-sheet'!P17</f>
        <v>1429.291722237755</v>
      </c>
      <c r="Q31" s="2">
        <f>Q9/'Output-Calculation-sheet'!Q8*'Output-Calculation-sheet'!Q17</f>
        <v>1566.3687504879874</v>
      </c>
      <c r="R31" s="2">
        <f>R9/'Output-Calculation-sheet'!R8*'Output-Calculation-sheet'!R17</f>
        <v>1360.0111888258789</v>
      </c>
      <c r="S31" s="2">
        <f>S9/'Output-Calculation-sheet'!S8*'Output-Calculation-sheet'!S17</f>
        <v>678.57777453087658</v>
      </c>
      <c r="T31" s="2">
        <f>T9/'Output-Calculation-sheet'!T8*'Output-Calculation-sheet'!T17</f>
        <v>495.60121464482404</v>
      </c>
      <c r="U31" s="2">
        <f>U9/'Output-Calculation-sheet'!U8*'Output-Calculation-sheet'!U17</f>
        <v>382.23176686126186</v>
      </c>
      <c r="V31" s="2">
        <f>V9/'Output-Calculation-sheet'!V8*'Output-Calculation-sheet'!V17</f>
        <v>366.29104088173852</v>
      </c>
      <c r="W31" s="2">
        <f>W9/'Output-Calculation-sheet'!W8*'Output-Calculation-sheet'!W17</f>
        <v>253.64062576186834</v>
      </c>
      <c r="X31" s="2">
        <f>X9/'Output-Calculation-sheet'!X8*'Output-Calculation-sheet'!X17</f>
        <v>0</v>
      </c>
      <c r="Y31" s="2">
        <f>Y9/'Output-Calculation-sheet'!Y8*'Output-Calculation-sheet'!Y17</f>
        <v>167.68159474508812</v>
      </c>
      <c r="AA31" s="2">
        <f t="shared" si="1"/>
        <v>48.397743411931884</v>
      </c>
    </row>
    <row r="32" spans="1:27" x14ac:dyDescent="0.25">
      <c r="A32" s="2">
        <v>2033</v>
      </c>
      <c r="B32" s="2">
        <f>B10/'Output-Calculation-sheet'!B9*'Output-Calculation-sheet'!B18</f>
        <v>16327.127023251949</v>
      </c>
      <c r="C32" s="2">
        <f>C10/'Output-Calculation-sheet'!C9*'Output-Calculation-sheet'!C18</f>
        <v>0</v>
      </c>
      <c r="D32" s="2">
        <f>D10/'Output-Calculation-sheet'!D9*'Output-Calculation-sheet'!D18</f>
        <v>5450.717222409442</v>
      </c>
      <c r="E32" s="2">
        <f>E10/'Output-Calculation-sheet'!E9*'Output-Calculation-sheet'!E18</f>
        <v>5644.3434094490685</v>
      </c>
      <c r="F32" s="2">
        <f>F10/'Output-Calculation-sheet'!F9*'Output-Calculation-sheet'!F18</f>
        <v>3152.7343193257457</v>
      </c>
      <c r="G32" s="2">
        <f>G10/'Output-Calculation-sheet'!G9*'Output-Calculation-sheet'!G18</f>
        <v>1901.4627227529081</v>
      </c>
      <c r="H32" s="2">
        <f>H10/'Output-Calculation-sheet'!H9*'Output-Calculation-sheet'!H18</f>
        <v>0</v>
      </c>
      <c r="I32" s="2">
        <f>I10/'Output-Calculation-sheet'!I9*'Output-Calculation-sheet'!I18</f>
        <v>1927.6243464178231</v>
      </c>
      <c r="J32" s="2">
        <f>J10/'Output-Calculation-sheet'!J9*'Output-Calculation-sheet'!J18</f>
        <v>1758.0992487872861</v>
      </c>
      <c r="K32" s="2">
        <f>K10/'Output-Calculation-sheet'!K9*'Output-Calculation-sheet'!K18</f>
        <v>2182.7070859054656</v>
      </c>
      <c r="L32" s="2">
        <f>L10/'Output-Calculation-sheet'!L9*'Output-Calculation-sheet'!L18</f>
        <v>1798.8302772184484</v>
      </c>
      <c r="M32" s="2">
        <f>M10/'Output-Calculation-sheet'!M9*'Output-Calculation-sheet'!M18</f>
        <v>0</v>
      </c>
      <c r="N32" s="2">
        <f>N10/'Output-Calculation-sheet'!N9*'Output-Calculation-sheet'!N18</f>
        <v>712.00138799745218</v>
      </c>
      <c r="O32" s="2">
        <f>O10/'Output-Calculation-sheet'!O9*'Output-Calculation-sheet'!O18</f>
        <v>0</v>
      </c>
      <c r="P32" s="2">
        <f>P10/'Output-Calculation-sheet'!P9*'Output-Calculation-sheet'!P18</f>
        <v>1456.7815400532336</v>
      </c>
      <c r="Q32" s="2">
        <f>Q10/'Output-Calculation-sheet'!Q9*'Output-Calculation-sheet'!Q18</f>
        <v>1597.7024859373737</v>
      </c>
      <c r="R32" s="2">
        <f>R10/'Output-Calculation-sheet'!R9*'Output-Calculation-sheet'!R18</f>
        <v>1380.0197598562931</v>
      </c>
      <c r="S32" s="2">
        <f>S10/'Output-Calculation-sheet'!S9*'Output-Calculation-sheet'!S18</f>
        <v>642.35335837239688</v>
      </c>
      <c r="T32" s="2">
        <f>T10/'Output-Calculation-sheet'!T9*'Output-Calculation-sheet'!T18</f>
        <v>501.97795102038384</v>
      </c>
      <c r="U32" s="2">
        <f>U10/'Output-Calculation-sheet'!U9*'Output-Calculation-sheet'!U18</f>
        <v>387.13650567175154</v>
      </c>
      <c r="V32" s="2">
        <f>V10/'Output-Calculation-sheet'!V9*'Output-Calculation-sheet'!V18</f>
        <v>371.39405275934371</v>
      </c>
      <c r="W32" s="2">
        <f>W10/'Output-Calculation-sheet'!W9*'Output-Calculation-sheet'!W18</f>
        <v>256.2706865774241</v>
      </c>
      <c r="X32" s="2">
        <f>X10/'Output-Calculation-sheet'!X9*'Output-Calculation-sheet'!X18</f>
        <v>0</v>
      </c>
      <c r="Y32" s="2">
        <f>Y10/'Output-Calculation-sheet'!Y9*'Output-Calculation-sheet'!Y18</f>
        <v>169.92084486000525</v>
      </c>
      <c r="AA32" s="2">
        <f t="shared" si="1"/>
        <v>47.619204228623794</v>
      </c>
    </row>
    <row r="33" spans="1:27" x14ac:dyDescent="0.25">
      <c r="A33" s="2">
        <v>2034</v>
      </c>
      <c r="B33" s="2">
        <f>B11/'Output-Calculation-sheet'!B10*'Output-Calculation-sheet'!B19</f>
        <v>14880.152261537263</v>
      </c>
      <c r="C33" s="2">
        <f>C11/'Output-Calculation-sheet'!C10*'Output-Calculation-sheet'!C19</f>
        <v>0</v>
      </c>
      <c r="D33" s="2">
        <f>D11/'Output-Calculation-sheet'!D10*'Output-Calculation-sheet'!D19</f>
        <v>5261.3210461616363</v>
      </c>
      <c r="E33" s="2">
        <f>E11/'Output-Calculation-sheet'!E10*'Output-Calculation-sheet'!E19</f>
        <v>5461.0627464463014</v>
      </c>
      <c r="F33" s="2">
        <f>F11/'Output-Calculation-sheet'!F10*'Output-Calculation-sheet'!F19</f>
        <v>3044.74295269495</v>
      </c>
      <c r="G33" s="2">
        <f>G11/'Output-Calculation-sheet'!G10*'Output-Calculation-sheet'!G19</f>
        <v>1833.4537926113517</v>
      </c>
      <c r="H33" s="2">
        <f>H11/'Output-Calculation-sheet'!H10*'Output-Calculation-sheet'!H19</f>
        <v>0</v>
      </c>
      <c r="I33" s="2">
        <f>I11/'Output-Calculation-sheet'!I10*'Output-Calculation-sheet'!I19</f>
        <v>1867.3745869791762</v>
      </c>
      <c r="J33" s="2">
        <f>J11/'Output-Calculation-sheet'!J10*'Output-Calculation-sheet'!J19</f>
        <v>1697.1261540606026</v>
      </c>
      <c r="K33" s="2">
        <f>K11/'Output-Calculation-sheet'!K10*'Output-Calculation-sheet'!K19</f>
        <v>2113.8832095266466</v>
      </c>
      <c r="L33" s="2">
        <f>L11/'Output-Calculation-sheet'!L10*'Output-Calculation-sheet'!L19</f>
        <v>1738.6407020881099</v>
      </c>
      <c r="M33" s="2">
        <f>M11/'Output-Calculation-sheet'!M10*'Output-Calculation-sheet'!M19</f>
        <v>0</v>
      </c>
      <c r="N33" s="2">
        <f>N11/'Output-Calculation-sheet'!N10*'Output-Calculation-sheet'!N19</f>
        <v>644.30691411170562</v>
      </c>
      <c r="O33" s="2">
        <f>O11/'Output-Calculation-sheet'!O10*'Output-Calculation-sheet'!O19</f>
        <v>0</v>
      </c>
      <c r="P33" s="2">
        <f>P11/'Output-Calculation-sheet'!P10*'Output-Calculation-sheet'!P19</f>
        <v>1417.1522470014172</v>
      </c>
      <c r="Q33" s="2">
        <f>Q11/'Output-Calculation-sheet'!Q10*'Output-Calculation-sheet'!Q19</f>
        <v>1556.8869858731402</v>
      </c>
      <c r="R33" s="2">
        <f>R11/'Output-Calculation-sheet'!R10*'Output-Calculation-sheet'!R19</f>
        <v>1336.0629797852393</v>
      </c>
      <c r="S33" s="2">
        <f>S11/'Output-Calculation-sheet'!S10*'Output-Calculation-sheet'!S19</f>
        <v>616.21240938799963</v>
      </c>
      <c r="T33" s="2">
        <f>T11/'Output-Calculation-sheet'!T10*'Output-Calculation-sheet'!T19</f>
        <v>485.53613334459607</v>
      </c>
      <c r="U33" s="2">
        <f>U11/'Output-Calculation-sheet'!U10*'Output-Calculation-sheet'!U19</f>
        <v>375.72217215859325</v>
      </c>
      <c r="V33" s="2">
        <f>V11/'Output-Calculation-sheet'!V10*'Output-Calculation-sheet'!V19</f>
        <v>360.19205755392176</v>
      </c>
      <c r="W33" s="2">
        <f>W11/'Output-Calculation-sheet'!W10*'Output-Calculation-sheet'!W19</f>
        <v>247.46597833676995</v>
      </c>
      <c r="X33" s="2">
        <f>X11/'Output-Calculation-sheet'!X10*'Output-Calculation-sheet'!X19</f>
        <v>0</v>
      </c>
      <c r="Y33" s="2">
        <f>Y11/'Output-Calculation-sheet'!Y10*'Output-Calculation-sheet'!Y19</f>
        <v>164.30789499342077</v>
      </c>
      <c r="AA33" s="2">
        <f t="shared" si="1"/>
        <v>45.101603224652841</v>
      </c>
    </row>
    <row r="34" spans="1:27" x14ac:dyDescent="0.25">
      <c r="A34" s="2">
        <v>2035</v>
      </c>
      <c r="B34" s="2">
        <f>B12/'Output-Calculation-sheet'!B11*'Output-Calculation-sheet'!B20</f>
        <v>13105.281550115895</v>
      </c>
      <c r="C34" s="2">
        <f>C12/'Output-Calculation-sheet'!C11*'Output-Calculation-sheet'!C20</f>
        <v>0</v>
      </c>
      <c r="D34" s="2">
        <f>D12/'Output-Calculation-sheet'!D11*'Output-Calculation-sheet'!D20</f>
        <v>4846.746666118619</v>
      </c>
      <c r="E34" s="2">
        <f>E12/'Output-Calculation-sheet'!E11*'Output-Calculation-sheet'!E20</f>
        <v>5028.6829286317479</v>
      </c>
      <c r="F34" s="2">
        <f>F12/'Output-Calculation-sheet'!F11*'Output-Calculation-sheet'!F20</f>
        <v>2799.5670688621017</v>
      </c>
      <c r="G34" s="2">
        <f>G12/'Output-Calculation-sheet'!G11*'Output-Calculation-sheet'!G20</f>
        <v>1682.1014001089588</v>
      </c>
      <c r="H34" s="2">
        <f>H12/'Output-Calculation-sheet'!H11*'Output-Calculation-sheet'!H20</f>
        <v>0</v>
      </c>
      <c r="I34" s="2">
        <f>I12/'Output-Calculation-sheet'!I11*'Output-Calculation-sheet'!I20</f>
        <v>1718.0832587394045</v>
      </c>
      <c r="J34" s="2">
        <f>J12/'Output-Calculation-sheet'!J11*'Output-Calculation-sheet'!J20</f>
        <v>1556.0235695462534</v>
      </c>
      <c r="K34" s="2">
        <f>K12/'Output-Calculation-sheet'!K11*'Output-Calculation-sheet'!K20</f>
        <v>1946.4969997903136</v>
      </c>
      <c r="L34" s="2">
        <f>L12/'Output-Calculation-sheet'!L11*'Output-Calculation-sheet'!L20</f>
        <v>1598.1975353076527</v>
      </c>
      <c r="M34" s="2">
        <f>M12/'Output-Calculation-sheet'!M11*'Output-Calculation-sheet'!M20</f>
        <v>0</v>
      </c>
      <c r="N34" s="2">
        <f>N12/'Output-Calculation-sheet'!N11*'Output-Calculation-sheet'!N20</f>
        <v>562.26460304380953</v>
      </c>
      <c r="O34" s="2">
        <f>O12/'Output-Calculation-sheet'!O11*'Output-Calculation-sheet'!O20</f>
        <v>0</v>
      </c>
      <c r="P34" s="2">
        <f>P12/'Output-Calculation-sheet'!P11*'Output-Calculation-sheet'!P20</f>
        <v>1312.3578854234281</v>
      </c>
      <c r="Q34" s="2">
        <f>Q12/'Output-Calculation-sheet'!Q11*'Output-Calculation-sheet'!Q20</f>
        <v>1439.0506096506201</v>
      </c>
      <c r="R34" s="2">
        <f>R12/'Output-Calculation-sheet'!R11*'Output-Calculation-sheet'!R20</f>
        <v>1233.9972451716817</v>
      </c>
      <c r="S34" s="2">
        <f>S12/'Output-Calculation-sheet'!S11*'Output-Calculation-sheet'!S20</f>
        <v>530.67562695766094</v>
      </c>
      <c r="T34" s="2">
        <f>T12/'Output-Calculation-sheet'!T11*'Output-Calculation-sheet'!T20</f>
        <v>446.66198561920476</v>
      </c>
      <c r="U34" s="2">
        <f>U12/'Output-Calculation-sheet'!U11*'Output-Calculation-sheet'!U20</f>
        <v>346.46624868848147</v>
      </c>
      <c r="V34" s="2">
        <f>V12/'Output-Calculation-sheet'!V11*'Output-Calculation-sheet'!V20</f>
        <v>332.7367364645138</v>
      </c>
      <c r="W34" s="2">
        <f>W12/'Output-Calculation-sheet'!W11*'Output-Calculation-sheet'!W20</f>
        <v>227.37079853848959</v>
      </c>
      <c r="X34" s="2">
        <f>X12/'Output-Calculation-sheet'!X11*'Output-Calculation-sheet'!X20</f>
        <v>0</v>
      </c>
      <c r="Y34" s="2">
        <f>Y12/'Output-Calculation-sheet'!Y11*'Output-Calculation-sheet'!Y20</f>
        <v>151.36089537383174</v>
      </c>
      <c r="AA34" s="2">
        <f t="shared" si="1"/>
        <v>40.864123612152667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2.8045060097980503</v>
      </c>
      <c r="C60" s="2">
        <f>C5*'Output-Calculation-sheet'!C49/10^9</f>
        <v>1.3259544535164083</v>
      </c>
      <c r="D60" s="2">
        <f>D5*'Output-Calculation-sheet'!D49/10^9</f>
        <v>0.61857936748993636</v>
      </c>
      <c r="E60" s="2">
        <f>E5*'Output-Calculation-sheet'!E49/10^9</f>
        <v>0.6869635561597881</v>
      </c>
      <c r="F60" s="2">
        <f>F5*'Output-Calculation-sheet'!F49/10^9</f>
        <v>0.31891814330989038</v>
      </c>
      <c r="G60" s="2">
        <f>G5*'Output-Calculation-sheet'!G49/10^9</f>
        <v>0.21966815651398988</v>
      </c>
      <c r="H60" s="2">
        <f>H5*'Output-Calculation-sheet'!H49/10^9</f>
        <v>0.41368755824314674</v>
      </c>
      <c r="I60" s="2">
        <f>I5*'Output-Calculation-sheet'!I49/10^9</f>
        <v>0.21686345053107561</v>
      </c>
      <c r="J60" s="2">
        <f>J5*'Output-Calculation-sheet'!J49/10^9</f>
        <v>0.19583560264183736</v>
      </c>
      <c r="K60" s="2">
        <f>K5*'Output-Calculation-sheet'!K49/10^9</f>
        <v>0.25243819539986856</v>
      </c>
      <c r="L60" s="2">
        <f>L5*'Output-Calculation-sheet'!L49/10^9</f>
        <v>0.20854476606842864</v>
      </c>
      <c r="M60" s="2">
        <f>M5*'Output-Calculation-sheet'!M49/10^9</f>
        <v>0.28540831602811251</v>
      </c>
      <c r="N60" s="2">
        <f>N5*'Output-Calculation-sheet'!N49/10^9</f>
        <v>0.29830401614355023</v>
      </c>
      <c r="O60" s="2">
        <f>O5*'Output-Calculation-sheet'!O49/10^9</f>
        <v>0.2576340831000849</v>
      </c>
      <c r="P60" s="2">
        <f>P5*'Output-Calculation-sheet'!P49/10^9</f>
        <v>0.21997365666771079</v>
      </c>
      <c r="Q60" s="2">
        <f>Q5*'Output-Calculation-sheet'!Q49/10^9</f>
        <v>0.22707699775083393</v>
      </c>
      <c r="R60" s="2">
        <f>R5*'Output-Calculation-sheet'!R49/10^9</f>
        <v>0.18198814314064132</v>
      </c>
      <c r="S60" s="2">
        <f>S5*'Output-Calculation-sheet'!S49/10^9</f>
        <v>0.16694544179122026</v>
      </c>
      <c r="T60" s="2">
        <f>T5*'Output-Calculation-sheet'!T49/10^9</f>
        <v>5.7096608885381983E-2</v>
      </c>
      <c r="U60" s="2">
        <f>U5*'Output-Calculation-sheet'!U49/10^9</f>
        <v>5.7057627665551475E-2</v>
      </c>
      <c r="V60" s="2">
        <f>V5*'Output-Calculation-sheet'!V49/10^9</f>
        <v>4.2725388729041171E-2</v>
      </c>
      <c r="W60" s="2">
        <f>W5*'Output-Calculation-sheet'!W49/10^9</f>
        <v>2.6788973476584255E-2</v>
      </c>
      <c r="X60" s="2">
        <f>X5*'Output-Calculation-sheet'!X49/10^9</f>
        <v>3.3720709740123311E-2</v>
      </c>
      <c r="Y60" s="2">
        <f>Y5*'Output-Calculation-sheet'!Y49/10^9</f>
        <v>2.2289120158863019E-2</v>
      </c>
      <c r="AA60" s="2">
        <f t="shared" ref="AA60:AA67" si="4">SUM(B60:Y60)</f>
        <v>9.1389683429501201</v>
      </c>
    </row>
    <row r="61" spans="1:27" x14ac:dyDescent="0.25">
      <c r="A61" s="2">
        <v>2029</v>
      </c>
      <c r="B61" s="2">
        <f>B6*'Output-Calculation-sheet'!B50/10^9</f>
        <v>3.7031698906246322</v>
      </c>
      <c r="C61" s="2">
        <f>C6*'Output-Calculation-sheet'!C50/10^9</f>
        <v>1.7630105506599874</v>
      </c>
      <c r="D61" s="2">
        <f>D6*'Output-Calculation-sheet'!D50/10^9</f>
        <v>0.81421415940860753</v>
      </c>
      <c r="E61" s="2">
        <f>E6*'Output-Calculation-sheet'!E50/10^9</f>
        <v>0.90494241563828626</v>
      </c>
      <c r="F61" s="2">
        <f>F6*'Output-Calculation-sheet'!F50/10^9</f>
        <v>0.41925576637267542</v>
      </c>
      <c r="G61" s="2">
        <f>G6*'Output-Calculation-sheet'!G50/10^9</f>
        <v>0.28917559484482275</v>
      </c>
      <c r="H61" s="2">
        <f>H6*'Output-Calculation-sheet'!H50/10^9</f>
        <v>0.54649910277415858</v>
      </c>
      <c r="I61" s="2">
        <f>I6*'Output-Calculation-sheet'!I50/10^9</f>
        <v>0.28544117575006561</v>
      </c>
      <c r="J61" s="2">
        <f>J6*'Output-Calculation-sheet'!J50/10^9</f>
        <v>0.25771898611489874</v>
      </c>
      <c r="K61" s="2">
        <f>K6*'Output-Calculation-sheet'!K50/10^9</f>
        <v>0.33238650648502827</v>
      </c>
      <c r="L61" s="2">
        <f>L6*'Output-Calculation-sheet'!L50/10^9</f>
        <v>0.27458780186349097</v>
      </c>
      <c r="M61" s="2">
        <f>M6*'Output-Calculation-sheet'!M50/10^9</f>
        <v>0.37753522083336333</v>
      </c>
      <c r="N61" s="2">
        <f>N6*'Output-Calculation-sheet'!N50/10^9</f>
        <v>0.39385778637615176</v>
      </c>
      <c r="O61" s="2">
        <f>O6*'Output-Calculation-sheet'!O50/10^9</f>
        <v>0.34255445615835461</v>
      </c>
      <c r="P61" s="2">
        <f>P6*'Output-Calculation-sheet'!P50/10^9</f>
        <v>0.29035680086364407</v>
      </c>
      <c r="Q61" s="2">
        <f>Q6*'Output-Calculation-sheet'!Q50/10^9</f>
        <v>0.29962714228859144</v>
      </c>
      <c r="R61" s="2">
        <f>R6*'Output-Calculation-sheet'!R50/10^9</f>
        <v>0.23991567388025165</v>
      </c>
      <c r="S61" s="2">
        <f>S6*'Output-Calculation-sheet'!S50/10^9</f>
        <v>0.22072553159794348</v>
      </c>
      <c r="T61" s="2">
        <f>T6*'Output-Calculation-sheet'!T50/10^9</f>
        <v>7.5161640567231819E-2</v>
      </c>
      <c r="U61" s="2">
        <f>U6*'Output-Calculation-sheet'!U50/10^9</f>
        <v>7.528708742904365E-2</v>
      </c>
      <c r="V61" s="2">
        <f>V6*'Output-Calculation-sheet'!V50/10^9</f>
        <v>5.6256070229625151E-2</v>
      </c>
      <c r="W61" s="2">
        <f>W6*'Output-Calculation-sheet'!W50/10^9</f>
        <v>3.5232391506464379E-2</v>
      </c>
      <c r="X61" s="2">
        <f>X6*'Output-Calculation-sheet'!X50/10^9</f>
        <v>4.4805125331980646E-2</v>
      </c>
      <c r="Y61" s="2">
        <f>Y6*'Output-Calculation-sheet'!Y50/10^9</f>
        <v>2.9382100351215738E-2</v>
      </c>
      <c r="AA61" s="2">
        <f t="shared" si="4"/>
        <v>12.07109897795052</v>
      </c>
    </row>
    <row r="62" spans="1:27" x14ac:dyDescent="0.25">
      <c r="A62" s="2">
        <v>2030</v>
      </c>
      <c r="B62" s="2">
        <f>B7*'Output-Calculation-sheet'!B51/10^9</f>
        <v>4.4884094630623457</v>
      </c>
      <c r="C62" s="2">
        <f>C7*'Output-Calculation-sheet'!C51/10^9</f>
        <v>2.1521482849536713</v>
      </c>
      <c r="D62" s="2">
        <f>D7*'Output-Calculation-sheet'!D51/10^9</f>
        <v>0.98377084100650103</v>
      </c>
      <c r="E62" s="2">
        <f>E7*'Output-Calculation-sheet'!E51/10^9</f>
        <v>1.0942222697771222</v>
      </c>
      <c r="F62" s="2">
        <f>F7*'Output-Calculation-sheet'!F51/10^9</f>
        <v>0.50591376402960908</v>
      </c>
      <c r="G62" s="2">
        <f>G7*'Output-Calculation-sheet'!G51/10^9</f>
        <v>0.34944181661793161</v>
      </c>
      <c r="H62" s="2">
        <f>H7*'Output-Calculation-sheet'!H51/10^9</f>
        <v>0.66153730334136052</v>
      </c>
      <c r="I62" s="2">
        <f>I7*'Output-Calculation-sheet'!I51/10^9</f>
        <v>0.34486243670413541</v>
      </c>
      <c r="J62" s="2">
        <f>J7*'Output-Calculation-sheet'!J51/10^9</f>
        <v>0.31132257992946577</v>
      </c>
      <c r="K62" s="2">
        <f>K7*'Output-Calculation-sheet'!K51/10^9</f>
        <v>0.40172277118292637</v>
      </c>
      <c r="L62" s="2">
        <f>L7*'Output-Calculation-sheet'!L51/10^9</f>
        <v>0.33186056311038786</v>
      </c>
      <c r="M62" s="2">
        <f>M7*'Output-Calculation-sheet'!M51/10^9</f>
        <v>0.45701324561549239</v>
      </c>
      <c r="N62" s="2">
        <f>N7*'Output-Calculation-sheet'!N51/10^9</f>
        <v>0.4768513108285613</v>
      </c>
      <c r="O62" s="2">
        <f>O7*'Output-Calculation-sheet'!O51/10^9</f>
        <v>0.41816425037754734</v>
      </c>
      <c r="P62" s="2">
        <f>P7*'Output-Calculation-sheet'!P51/10^9</f>
        <v>0.35180104679724972</v>
      </c>
      <c r="Q62" s="2">
        <f>Q7*'Output-Calculation-sheet'!Q51/10^9</f>
        <v>0.36287945062596999</v>
      </c>
      <c r="R62" s="2">
        <f>R7*'Output-Calculation-sheet'!R51/10^9</f>
        <v>0.29032127838575</v>
      </c>
      <c r="S62" s="2">
        <f>S7*'Output-Calculation-sheet'!S51/10^9</f>
        <v>0.26774824518310003</v>
      </c>
      <c r="T62" s="2">
        <f>T7*'Output-Calculation-sheet'!T51/10^9</f>
        <v>9.0820429531965549E-2</v>
      </c>
      <c r="U62" s="2">
        <f>U7*'Output-Calculation-sheet'!U51/10^9</f>
        <v>9.1189437929120501E-2</v>
      </c>
      <c r="V62" s="2">
        <f>V7*'Output-Calculation-sheet'!V51/10^9</f>
        <v>6.7988381279975724E-2</v>
      </c>
      <c r="W62" s="2">
        <f>W7*'Output-Calculation-sheet'!W51/10^9</f>
        <v>4.2531582853239554E-2</v>
      </c>
      <c r="X62" s="2">
        <f>X7*'Output-Calculation-sheet'!X51/10^9</f>
        <v>5.4293259396151906E-2</v>
      </c>
      <c r="Y62" s="2">
        <f>Y7*'Output-Calculation-sheet'!Y51/10^9</f>
        <v>3.5553666933703897E-2</v>
      </c>
      <c r="AA62" s="2">
        <f t="shared" si="4"/>
        <v>14.632367679453283</v>
      </c>
    </row>
    <row r="63" spans="1:27" x14ac:dyDescent="0.25">
      <c r="A63" s="2">
        <v>2031</v>
      </c>
      <c r="B63" s="2">
        <f>B8*'Output-Calculation-sheet'!B52/10^9</f>
        <v>5.0744858847797216</v>
      </c>
      <c r="C63" s="2">
        <f>C8*'Output-Calculation-sheet'!C52/10^9</f>
        <v>2.4417331010711711</v>
      </c>
      <c r="D63" s="2">
        <f>D8*'Output-Calculation-sheet'!D52/10^9</f>
        <v>1.110541448059748</v>
      </c>
      <c r="E63" s="2">
        <f>E8*'Output-Calculation-sheet'!E52/10^9</f>
        <v>1.2356709251561806</v>
      </c>
      <c r="F63" s="2">
        <f>F8*'Output-Calculation-sheet'!F52/10^9</f>
        <v>0.57074589974596657</v>
      </c>
      <c r="G63" s="2">
        <f>G8*'Output-Calculation-sheet'!G52/10^9</f>
        <v>0.39450301660121834</v>
      </c>
      <c r="H63" s="2">
        <f>H8*'Output-Calculation-sheet'!H52/10^9</f>
        <v>0.74389385009673836</v>
      </c>
      <c r="I63" s="2">
        <f>I8*'Output-Calculation-sheet'!I52/10^9</f>
        <v>0.38928815848523451</v>
      </c>
      <c r="J63" s="2">
        <f>J8*'Output-Calculation-sheet'!J52/10^9</f>
        <v>0.35140474540123662</v>
      </c>
      <c r="K63" s="2">
        <f>K8*'Output-Calculation-sheet'!K52/10^9</f>
        <v>0.4535469238936975</v>
      </c>
      <c r="L63" s="2">
        <f>L8*'Output-Calculation-sheet'!L52/10^9</f>
        <v>0.37467084390935212</v>
      </c>
      <c r="M63" s="2">
        <f>M8*'Output-Calculation-sheet'!M52/10^9</f>
        <v>0.51394369083336489</v>
      </c>
      <c r="N63" s="2">
        <f>N8*'Output-Calculation-sheet'!N52/10^9</f>
        <v>0.53717267376406541</v>
      </c>
      <c r="O63" s="2">
        <f>O8*'Output-Calculation-sheet'!O52/10^9</f>
        <v>0.4744308275456261</v>
      </c>
      <c r="P63" s="2">
        <f>P8*'Output-Calculation-sheet'!P52/10^9</f>
        <v>0.39767010423110138</v>
      </c>
      <c r="Q63" s="2">
        <f>Q8*'Output-Calculation-sheet'!Q52/10^9</f>
        <v>0.41009998155342731</v>
      </c>
      <c r="R63" s="2">
        <f>R8*'Output-Calculation-sheet'!R52/10^9</f>
        <v>0.32797349612334514</v>
      </c>
      <c r="S63" s="2">
        <f>S8*'Output-Calculation-sheet'!S52/10^9</f>
        <v>0.30233513395102357</v>
      </c>
      <c r="T63" s="2">
        <f>T8*'Output-Calculation-sheet'!T52/10^9</f>
        <v>0.10252601603023881</v>
      </c>
      <c r="U63" s="2">
        <f>U8*'Output-Calculation-sheet'!U52/10^9</f>
        <v>0.10306399236932265</v>
      </c>
      <c r="V63" s="2">
        <f>V8*'Output-Calculation-sheet'!V52/10^9</f>
        <v>7.6758009193773291E-2</v>
      </c>
      <c r="W63" s="2">
        <f>W8*'Output-Calculation-sheet'!W52/10^9</f>
        <v>4.7991021713007141E-2</v>
      </c>
      <c r="X63" s="2">
        <f>X8*'Output-Calculation-sheet'!X52/10^9</f>
        <v>6.1117170212691731E-2</v>
      </c>
      <c r="Y63" s="2">
        <f>Y8*'Output-Calculation-sheet'!Y52/10^9</f>
        <v>4.0163837132932464E-2</v>
      </c>
      <c r="AA63" s="2">
        <f t="shared" si="4"/>
        <v>16.535730751854185</v>
      </c>
    </row>
    <row r="64" spans="1:27" x14ac:dyDescent="0.25">
      <c r="A64" s="2">
        <v>2032</v>
      </c>
      <c r="B64" s="2">
        <f>B9*'Output-Calculation-sheet'!B53/10^9</f>
        <v>5.3340812324541416</v>
      </c>
      <c r="C64" s="2">
        <f>C9*'Output-Calculation-sheet'!C53/10^9</f>
        <v>2.5758239402889944</v>
      </c>
      <c r="D64" s="2">
        <f>D9*'Output-Calculation-sheet'!D53/10^9</f>
        <v>1.1655882939198665</v>
      </c>
      <c r="E64" s="2">
        <f>E9*'Output-Calculation-sheet'!E53/10^9</f>
        <v>1.2973859028187633</v>
      </c>
      <c r="F64" s="2">
        <f>F9*'Output-Calculation-sheet'!F53/10^9</f>
        <v>0.5986515438736838</v>
      </c>
      <c r="G64" s="2">
        <f>G9*'Output-Calculation-sheet'!G53/10^9</f>
        <v>0.41409533239429336</v>
      </c>
      <c r="H64" s="2">
        <f>H9*'Output-Calculation-sheet'!H53/10^9</f>
        <v>0.77748812120005573</v>
      </c>
      <c r="I64" s="2">
        <f>I9*'Output-Calculation-sheet'!I53/10^9</f>
        <v>0.40856690293808978</v>
      </c>
      <c r="J64" s="2">
        <f>J9*'Output-Calculation-sheet'!J53/10^9</f>
        <v>0.36878597440432687</v>
      </c>
      <c r="K64" s="2">
        <f>K9*'Output-Calculation-sheet'!K53/10^9</f>
        <v>0.4760846219333093</v>
      </c>
      <c r="L64" s="2">
        <f>L9*'Output-Calculation-sheet'!L53/10^9</f>
        <v>0.39328998889513817</v>
      </c>
      <c r="M64" s="2">
        <f>M9*'Output-Calculation-sheet'!M53/10^9</f>
        <v>0.53717963983174621</v>
      </c>
      <c r="N64" s="2">
        <f>N9*'Output-Calculation-sheet'!N53/10^9</f>
        <v>0.56218063771642712</v>
      </c>
      <c r="O64" s="2">
        <f>O9*'Output-Calculation-sheet'!O53/10^9</f>
        <v>0.50048479216137032</v>
      </c>
      <c r="P64" s="2">
        <f>P9*'Output-Calculation-sheet'!P53/10^9</f>
        <v>0.41794025037406163</v>
      </c>
      <c r="Q64" s="2">
        <f>Q9*'Output-Calculation-sheet'!Q53/10^9</f>
        <v>0.43090214133008548</v>
      </c>
      <c r="R64" s="2">
        <f>R9*'Output-Calculation-sheet'!R53/10^9</f>
        <v>0.34448659702419943</v>
      </c>
      <c r="S64" s="2">
        <f>S9*'Output-Calculation-sheet'!S53/10^9</f>
        <v>0.31702576353791051</v>
      </c>
      <c r="T64" s="2">
        <f>T9*'Output-Calculation-sheet'!T53/10^9</f>
        <v>0.10761017129500787</v>
      </c>
      <c r="U64" s="2">
        <f>U9*'Output-Calculation-sheet'!U53/10^9</f>
        <v>0.10830352197501653</v>
      </c>
      <c r="V64" s="2">
        <f>V9*'Output-Calculation-sheet'!V53/10^9</f>
        <v>8.0570528095162491E-2</v>
      </c>
      <c r="W64" s="2">
        <f>W9*'Output-Calculation-sheet'!W53/10^9</f>
        <v>5.034731477712448E-2</v>
      </c>
      <c r="X64" s="2">
        <f>X9*'Output-Calculation-sheet'!X53/10^9</f>
        <v>6.3941969547388552E-2</v>
      </c>
      <c r="Y64" s="2">
        <f>Y9*'Output-Calculation-sheet'!Y53/10^9</f>
        <v>4.2184753596945783E-2</v>
      </c>
      <c r="AA64" s="2">
        <f t="shared" si="4"/>
        <v>17.372999936383106</v>
      </c>
    </row>
    <row r="65" spans="1:27" x14ac:dyDescent="0.25">
      <c r="A65" s="2">
        <v>2033</v>
      </c>
      <c r="B65" s="2">
        <f>B10*'Output-Calculation-sheet'!B54/10^9</f>
        <v>5.3455991236907456</v>
      </c>
      <c r="C65" s="2">
        <f>C10*'Output-Calculation-sheet'!C54/10^9</f>
        <v>2.5877516270110865</v>
      </c>
      <c r="D65" s="2">
        <f>D10*'Output-Calculation-sheet'!D54/10^9</f>
        <v>1.1675448698277415</v>
      </c>
      <c r="E65" s="2">
        <f>E10*'Output-Calculation-sheet'!E54/10^9</f>
        <v>1.3000302961008898</v>
      </c>
      <c r="F65" s="2">
        <f>F10*'Output-Calculation-sheet'!F54/10^9</f>
        <v>0.59926703461350095</v>
      </c>
      <c r="G65" s="2">
        <f>G10*'Output-Calculation-sheet'!G54/10^9</f>
        <v>0.41482999322354258</v>
      </c>
      <c r="H65" s="2">
        <f>H10*'Output-Calculation-sheet'!H54/10^9</f>
        <v>0.77526355623532284</v>
      </c>
      <c r="I65" s="2">
        <f>I10*'Output-Calculation-sheet'!I54/10^9</f>
        <v>0.40923508044280799</v>
      </c>
      <c r="J65" s="2">
        <f>J10*'Output-Calculation-sheet'!J54/10^9</f>
        <v>0.36936766461259352</v>
      </c>
      <c r="K65" s="2">
        <f>K10*'Output-Calculation-sheet'!K54/10^9</f>
        <v>0.47693533682949674</v>
      </c>
      <c r="L65" s="2">
        <f>L10*'Output-Calculation-sheet'!L54/10^9</f>
        <v>0.39399559064348261</v>
      </c>
      <c r="M65" s="2">
        <f>M10*'Output-Calculation-sheet'!M54/10^9</f>
        <v>0.53566597010615846</v>
      </c>
      <c r="N65" s="2">
        <f>N10*'Output-Calculation-sheet'!N54/10^9</f>
        <v>0.56119028529224346</v>
      </c>
      <c r="O65" s="2">
        <f>O10*'Output-Calculation-sheet'!O54/10^9</f>
        <v>0.50390430898708738</v>
      </c>
      <c r="P65" s="2">
        <f>P10*'Output-Calculation-sheet'!P54/10^9</f>
        <v>0.41919696876270579</v>
      </c>
      <c r="Q65" s="2">
        <f>Q10*'Output-Calculation-sheet'!Q54/10^9</f>
        <v>0.43209283602721865</v>
      </c>
      <c r="R65" s="2">
        <f>R10*'Output-Calculation-sheet'!R54/10^9</f>
        <v>0.34532089021811369</v>
      </c>
      <c r="S65" s="2">
        <f>S10*'Output-Calculation-sheet'!S54/10^9</f>
        <v>0.3169803865382893</v>
      </c>
      <c r="T65" s="2">
        <f>T10*'Output-Calculation-sheet'!T54/10^9</f>
        <v>0.10779221082824791</v>
      </c>
      <c r="U65" s="2">
        <f>U10*'Output-Calculation-sheet'!U54/10^9</f>
        <v>0.10861697795106506</v>
      </c>
      <c r="V65" s="2">
        <f>V10*'Output-Calculation-sheet'!V54/10^9</f>
        <v>8.0712178022419395E-2</v>
      </c>
      <c r="W65" s="2">
        <f>W10*'Output-Calculation-sheet'!W54/10^9</f>
        <v>5.0408714084309671E-2</v>
      </c>
      <c r="X65" s="2">
        <f>X10*'Output-Calculation-sheet'!X54/10^9</f>
        <v>6.3821009947430257E-2</v>
      </c>
      <c r="Y65" s="2">
        <f>Y10*'Output-Calculation-sheet'!Y54/10^9</f>
        <v>4.2285886193064615E-2</v>
      </c>
      <c r="AA65" s="2">
        <f t="shared" si="4"/>
        <v>17.407808796189563</v>
      </c>
    </row>
    <row r="66" spans="1:27" x14ac:dyDescent="0.25">
      <c r="A66" s="2">
        <v>2034</v>
      </c>
      <c r="B66" s="2">
        <f>B11*'Output-Calculation-sheet'!B55/10^9</f>
        <v>5.1091652889344923</v>
      </c>
      <c r="C66" s="2">
        <f>C11*'Output-Calculation-sheet'!C55/10^9</f>
        <v>2.4684736707835122</v>
      </c>
      <c r="D66" s="2">
        <f>D11*'Output-Calculation-sheet'!D55/10^9</f>
        <v>1.1171308754818849</v>
      </c>
      <c r="E66" s="2">
        <f>E11*'Output-Calculation-sheet'!E55/10^9</f>
        <v>1.2443410178330097</v>
      </c>
      <c r="F66" s="2">
        <f>F11*'Output-Calculation-sheet'!F55/10^9</f>
        <v>0.57301195831317886</v>
      </c>
      <c r="G66" s="2">
        <f>G11*'Output-Calculation-sheet'!G55/10^9</f>
        <v>0.39695577138311211</v>
      </c>
      <c r="H66" s="2">
        <f>H11*'Output-Calculation-sheet'!H55/10^9</f>
        <v>0.73816147129840959</v>
      </c>
      <c r="I66" s="2">
        <f>I11*'Output-Calculation-sheet'!I55/10^9</f>
        <v>0.3915433550239219</v>
      </c>
      <c r="J66" s="2">
        <f>J11*'Output-Calculation-sheet'!J55/10^9</f>
        <v>0.35338318849393402</v>
      </c>
      <c r="K66" s="2">
        <f>K11*'Output-Calculation-sheet'!K55/10^9</f>
        <v>0.45638395455541497</v>
      </c>
      <c r="L66" s="2">
        <f>L11*'Output-Calculation-sheet'!L55/10^9</f>
        <v>0.37702397889806472</v>
      </c>
      <c r="M66" s="2">
        <f>M11*'Output-Calculation-sheet'!M55/10^9</f>
        <v>0.51005247348646487</v>
      </c>
      <c r="N66" s="2">
        <f>N11*'Output-Calculation-sheet'!N55/10^9</f>
        <v>0.53483212855290918</v>
      </c>
      <c r="O66" s="2">
        <f>O11*'Output-Calculation-sheet'!O55/10^9</f>
        <v>0.4846498214630981</v>
      </c>
      <c r="P66" s="2">
        <f>P11*'Output-Calculation-sheet'!P55/10^9</f>
        <v>0.40162378026763335</v>
      </c>
      <c r="Q66" s="2">
        <f>Q11*'Output-Calculation-sheet'!Q55/10^9</f>
        <v>0.41387383919770532</v>
      </c>
      <c r="R66" s="2">
        <f>R11*'Output-Calculation-sheet'!R55/10^9</f>
        <v>0.33065442799242645</v>
      </c>
      <c r="S66" s="2">
        <f>S11*'Output-Calculation-sheet'!S55/10^9</f>
        <v>0.30250902208799718</v>
      </c>
      <c r="T66" s="2">
        <f>T11*'Output-Calculation-sheet'!T55/10^9</f>
        <v>0.1031384380491995</v>
      </c>
      <c r="U66" s="2">
        <f>U11*'Output-Calculation-sheet'!U55/10^9</f>
        <v>0.10405340232048796</v>
      </c>
      <c r="V66" s="2">
        <f>V11*'Output-Calculation-sheet'!V55/10^9</f>
        <v>7.7232005456264852E-2</v>
      </c>
      <c r="W66" s="2">
        <f>W11*'Output-Calculation-sheet'!W55/10^9</f>
        <v>4.8209813741532451E-2</v>
      </c>
      <c r="X66" s="2">
        <f>X11*'Output-Calculation-sheet'!X55/10^9</f>
        <v>6.0827099524960383E-2</v>
      </c>
      <c r="Y66" s="2">
        <f>Y11*'Output-Calculation-sheet'!Y55/10^9</f>
        <v>4.0489119228984627E-2</v>
      </c>
      <c r="AA66" s="2">
        <f t="shared" si="4"/>
        <v>16.637719902368598</v>
      </c>
    </row>
    <row r="67" spans="1:27" x14ac:dyDescent="0.25">
      <c r="A67" s="2">
        <v>2035</v>
      </c>
      <c r="B67" s="2">
        <f>B12*'Output-Calculation-sheet'!B56/10^9</f>
        <v>4.6412675493656232</v>
      </c>
      <c r="C67" s="2">
        <f>C12*'Output-Calculation-sheet'!C56/10^9</f>
        <v>2.2393077927744094</v>
      </c>
      <c r="D67" s="2">
        <f>D12*'Output-Calculation-sheet'!D56/10^9</f>
        <v>1.0169996859214474</v>
      </c>
      <c r="E67" s="2">
        <f>E12*'Output-Calculation-sheet'!E56/10^9</f>
        <v>1.1332119846925572</v>
      </c>
      <c r="F67" s="2">
        <f>F12*'Output-Calculation-sheet'!F56/10^9</f>
        <v>0.5213017041358976</v>
      </c>
      <c r="G67" s="2">
        <f>G12*'Output-Calculation-sheet'!G56/10^9</f>
        <v>0.36141634330082256</v>
      </c>
      <c r="H67" s="2">
        <f>H12*'Output-Calculation-sheet'!H56/10^9</f>
        <v>0.66847125841835053</v>
      </c>
      <c r="I67" s="2">
        <f>I12*'Output-Calculation-sheet'!I56/10^9</f>
        <v>0.35642680347772676</v>
      </c>
      <c r="J67" s="2">
        <f>J12*'Output-Calculation-sheet'!J56/10^9</f>
        <v>0.32167915545404574</v>
      </c>
      <c r="K67" s="2">
        <f>K12*'Output-Calculation-sheet'!K56/10^9</f>
        <v>0.41551399527932481</v>
      </c>
      <c r="L67" s="2">
        <f>L12*'Output-Calculation-sheet'!L56/10^9</f>
        <v>0.3432695966115607</v>
      </c>
      <c r="M67" s="2">
        <f>M12*'Output-Calculation-sheet'!M56/10^9</f>
        <v>0.46191831601582045</v>
      </c>
      <c r="N67" s="2">
        <f>N12*'Output-Calculation-sheet'!N56/10^9</f>
        <v>0.48478784578027467</v>
      </c>
      <c r="O67" s="2">
        <f>O12*'Output-Calculation-sheet'!O56/10^9</f>
        <v>0.44095173674738092</v>
      </c>
      <c r="P67" s="2">
        <f>P12*'Output-Calculation-sheet'!P56/10^9</f>
        <v>0.36610263783736402</v>
      </c>
      <c r="Q67" s="2">
        <f>Q12*'Output-Calculation-sheet'!Q56/10^9</f>
        <v>0.37716147960385676</v>
      </c>
      <c r="R67" s="2">
        <f>R12*'Output-Calculation-sheet'!R56/10^9</f>
        <v>0.3012387695055313</v>
      </c>
      <c r="S67" s="2">
        <f>S12*'Output-Calculation-sheet'!S56/10^9</f>
        <v>0.2745148208421857</v>
      </c>
      <c r="T67" s="2">
        <f>T12*'Output-Calculation-sheet'!T56/10^9</f>
        <v>9.3894440138534041E-2</v>
      </c>
      <c r="U67" s="2">
        <f>U12*'Output-Calculation-sheet'!U56/10^9</f>
        <v>9.4842475041276367E-2</v>
      </c>
      <c r="V67" s="2">
        <f>V12*'Output-Calculation-sheet'!V56/10^9</f>
        <v>7.0312410847117965E-2</v>
      </c>
      <c r="W67" s="2">
        <f>W12*'Output-Calculation-sheet'!W56/10^9</f>
        <v>4.3868240145849197E-2</v>
      </c>
      <c r="X67" s="2">
        <f>X12*'Output-Calculation-sheet'!X56/10^9</f>
        <v>5.5136588734455212E-2</v>
      </c>
      <c r="Y67" s="2">
        <f>Y12*'Output-Calculation-sheet'!Y56/10^9</f>
        <v>3.6886627814270843E-2</v>
      </c>
      <c r="AA67" s="2">
        <f t="shared" si="4"/>
        <v>15.120482258485684</v>
      </c>
    </row>
    <row r="68" spans="1:27" x14ac:dyDescent="0.25">
      <c r="B68" s="2">
        <f>SUM(B60:B67)</f>
        <v>36.500684442709755</v>
      </c>
      <c r="C68" s="2">
        <f t="shared" ref="C68:Y68" si="5">SUM(C60:C67)</f>
        <v>17.554203421059242</v>
      </c>
      <c r="D68" s="2">
        <f t="shared" si="5"/>
        <v>7.9943695411157325</v>
      </c>
      <c r="E68" s="2">
        <f t="shared" si="5"/>
        <v>8.8967683681765983</v>
      </c>
      <c r="F68" s="2">
        <f t="shared" si="5"/>
        <v>4.107065814394403</v>
      </c>
      <c r="G68" s="2">
        <f t="shared" si="5"/>
        <v>2.8400860248797333</v>
      </c>
      <c r="H68" s="2">
        <f t="shared" si="5"/>
        <v>5.3250022216075426</v>
      </c>
      <c r="I68" s="2">
        <f t="shared" si="5"/>
        <v>2.8022273633530577</v>
      </c>
      <c r="J68" s="2">
        <f t="shared" si="5"/>
        <v>2.5294978970523383</v>
      </c>
      <c r="K68" s="2">
        <f t="shared" si="5"/>
        <v>3.2650123055590665</v>
      </c>
      <c r="L68" s="2">
        <f t="shared" si="5"/>
        <v>2.6972431299999062</v>
      </c>
      <c r="M68" s="2">
        <f t="shared" si="5"/>
        <v>3.6787168727505231</v>
      </c>
      <c r="N68" s="2">
        <f t="shared" si="5"/>
        <v>3.8491766844541826</v>
      </c>
      <c r="O68" s="2">
        <f t="shared" si="5"/>
        <v>3.42277427654055</v>
      </c>
      <c r="P68" s="2">
        <f t="shared" si="5"/>
        <v>2.8646652458014712</v>
      </c>
      <c r="Q68" s="2">
        <f t="shared" si="5"/>
        <v>2.9537138683776885</v>
      </c>
      <c r="R68" s="2">
        <f t="shared" si="5"/>
        <v>2.3618992762702593</v>
      </c>
      <c r="S68" s="2">
        <f t="shared" si="5"/>
        <v>2.1687843455296703</v>
      </c>
      <c r="T68" s="2">
        <f t="shared" si="5"/>
        <v>0.73803995532580746</v>
      </c>
      <c r="U68" s="2">
        <f t="shared" si="5"/>
        <v>0.74241452268088426</v>
      </c>
      <c r="V68" s="2">
        <f t="shared" si="5"/>
        <v>0.55255497185337998</v>
      </c>
      <c r="W68" s="2">
        <f t="shared" si="5"/>
        <v>0.34537805229811114</v>
      </c>
      <c r="X68" s="2">
        <f t="shared" si="5"/>
        <v>0.43766293243518195</v>
      </c>
      <c r="Y68" s="2">
        <f t="shared" si="5"/>
        <v>0.28923511140998098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6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6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5566663440.2338829</v>
      </c>
      <c r="C93" s="2">
        <f>C5/'Output-Calculation-sheet'!C4*'Output-Calculation-sheet'!C76</f>
        <v>0</v>
      </c>
      <c r="D93" s="2">
        <f>D5/'Output-Calculation-sheet'!D4*'Output-Calculation-sheet'!D76</f>
        <v>3644088928.1400652</v>
      </c>
      <c r="E93" s="2">
        <f>E5/'Output-Calculation-sheet'!E4*'Output-Calculation-sheet'!E76</f>
        <v>5320964596.9471331</v>
      </c>
      <c r="F93" s="2">
        <f>F5/'Output-Calculation-sheet'!F4*'Output-Calculation-sheet'!F76</f>
        <v>2665170083.9234376</v>
      </c>
      <c r="G93" s="2">
        <f>G5/'Output-Calculation-sheet'!G4*'Output-Calculation-sheet'!G76</f>
        <v>2036541949.9149132</v>
      </c>
      <c r="H93" s="2">
        <f>H5/'Output-Calculation-sheet'!H4*'Output-Calculation-sheet'!H76</f>
        <v>0</v>
      </c>
      <c r="I93" s="2">
        <f>I5/'Output-Calculation-sheet'!I4*'Output-Calculation-sheet'!I76</f>
        <v>1383527797.5373662</v>
      </c>
      <c r="J93" s="2">
        <f>J5/'Output-Calculation-sheet'!J4*'Output-Calculation-sheet'!J76</f>
        <v>992640434.74279273</v>
      </c>
      <c r="K93" s="2">
        <f>K5/'Output-Calculation-sheet'!K4*'Output-Calculation-sheet'!K76</f>
        <v>1249698742.4550951</v>
      </c>
      <c r="L93" s="2">
        <f>L5/'Output-Calculation-sheet'!L4*'Output-Calculation-sheet'!L76</f>
        <v>824105189.10299039</v>
      </c>
      <c r="M93" s="2">
        <f>M5/'Output-Calculation-sheet'!M4*'Output-Calculation-sheet'!M76</f>
        <v>0</v>
      </c>
      <c r="N93" s="2">
        <f>N5/'Output-Calculation-sheet'!N4*'Output-Calculation-sheet'!N76</f>
        <v>390114481.30187786</v>
      </c>
      <c r="O93" s="2">
        <f>O5/'Output-Calculation-sheet'!O4*'Output-Calculation-sheet'!O76</f>
        <v>0</v>
      </c>
      <c r="P93" s="2">
        <f>P5/'Output-Calculation-sheet'!P4*'Output-Calculation-sheet'!P76</f>
        <v>1026970288.4571153</v>
      </c>
      <c r="Q93" s="2">
        <f>Q5/'Output-Calculation-sheet'!Q4*'Output-Calculation-sheet'!Q76</f>
        <v>461686922.25797492</v>
      </c>
      <c r="R93" s="2">
        <f>R5/'Output-Calculation-sheet'!R4*'Output-Calculation-sheet'!R76</f>
        <v>736803335.5207516</v>
      </c>
      <c r="S93" s="2">
        <f>S5/'Output-Calculation-sheet'!S4*'Output-Calculation-sheet'!S76</f>
        <v>244118885.78916904</v>
      </c>
      <c r="T93" s="2">
        <f>T5/'Output-Calculation-sheet'!T4*'Output-Calculation-sheet'!T76</f>
        <v>395917012.50400376</v>
      </c>
      <c r="U93" s="2">
        <f>U5/'Output-Calculation-sheet'!U4*'Output-Calculation-sheet'!U76</f>
        <v>206481425.89659199</v>
      </c>
      <c r="V93" s="2">
        <f>V5/'Output-Calculation-sheet'!V4*'Output-Calculation-sheet'!V76</f>
        <v>123534093.16394548</v>
      </c>
      <c r="W93" s="2">
        <f>W5/'Output-Calculation-sheet'!W4*'Output-Calculation-sheet'!W76</f>
        <v>411672556.32170188</v>
      </c>
      <c r="X93" s="2">
        <f>X5/'Output-Calculation-sheet'!X4*'Output-Calculation-sheet'!X76</f>
        <v>0</v>
      </c>
      <c r="Y93" s="2">
        <f>Y5/'Output-Calculation-sheet'!Y4*'Output-Calculation-sheet'!Y76</f>
        <v>172627257.38299939</v>
      </c>
      <c r="AA93" s="2">
        <f t="shared" ref="AA93:AA100" si="8">SUM(B93:Y93)/10^9</f>
        <v>27.853327421593804</v>
      </c>
    </row>
    <row r="94" spans="1:27" x14ac:dyDescent="0.25">
      <c r="A94" s="2">
        <v>2029</v>
      </c>
      <c r="B94" s="2">
        <f>B6/'Output-Calculation-sheet'!B5*'Output-Calculation-sheet'!B77</f>
        <v>7390499990.4951048</v>
      </c>
      <c r="C94" s="2">
        <f>C6/'Output-Calculation-sheet'!C5*'Output-Calculation-sheet'!C77</f>
        <v>0</v>
      </c>
      <c r="D94" s="2">
        <f>D6/'Output-Calculation-sheet'!D5*'Output-Calculation-sheet'!D77</f>
        <v>4768811915.8121033</v>
      </c>
      <c r="E94" s="2">
        <f>E6/'Output-Calculation-sheet'!E5*'Output-Calculation-sheet'!E77</f>
        <v>7108132802.5353241</v>
      </c>
      <c r="F94" s="2">
        <f>F6/'Output-Calculation-sheet'!F5*'Output-Calculation-sheet'!F77</f>
        <v>3484468954.1755366</v>
      </c>
      <c r="G94" s="2">
        <f>G6/'Output-Calculation-sheet'!G5*'Output-Calculation-sheet'!G77</f>
        <v>2697026053.5102057</v>
      </c>
      <c r="H94" s="2">
        <f>H6/'Output-Calculation-sheet'!H5*'Output-Calculation-sheet'!H77</f>
        <v>659615809.8443917</v>
      </c>
      <c r="I94" s="2">
        <f>I6/'Output-Calculation-sheet'!I5*'Output-Calculation-sheet'!I77</f>
        <v>1806968078.5354779</v>
      </c>
      <c r="J94" s="2">
        <f>J6/'Output-Calculation-sheet'!J5*'Output-Calculation-sheet'!J77</f>
        <v>1310033775.0364845</v>
      </c>
      <c r="K94" s="2">
        <f>K6/'Output-Calculation-sheet'!K5*'Output-Calculation-sheet'!K77</f>
        <v>1633413302.8018677</v>
      </c>
      <c r="L94" s="2">
        <f>L6/'Output-Calculation-sheet'!L5*'Output-Calculation-sheet'!L77</f>
        <v>1089396615.325907</v>
      </c>
      <c r="M94" s="2">
        <f>M6/'Output-Calculation-sheet'!M5*'Output-Calculation-sheet'!M77</f>
        <v>479774816.48526299</v>
      </c>
      <c r="N94" s="2">
        <f>N6/'Output-Calculation-sheet'!N5*'Output-Calculation-sheet'!N77</f>
        <v>565586042.10113823</v>
      </c>
      <c r="O94" s="2">
        <f>O6/'Output-Calculation-sheet'!O5*'Output-Calculation-sheet'!O77</f>
        <v>0</v>
      </c>
      <c r="P94" s="2">
        <f>P6/'Output-Calculation-sheet'!P5*'Output-Calculation-sheet'!P77</f>
        <v>1368604972.8951106</v>
      </c>
      <c r="Q94" s="2">
        <f>Q6/'Output-Calculation-sheet'!Q5*'Output-Calculation-sheet'!Q77</f>
        <v>623431525.90291893</v>
      </c>
      <c r="R94" s="2">
        <f>R6/'Output-Calculation-sheet'!R5*'Output-Calculation-sheet'!R77</f>
        <v>972450981.59025025</v>
      </c>
      <c r="S94" s="2">
        <f>S6/'Output-Calculation-sheet'!S5*'Output-Calculation-sheet'!S77</f>
        <v>328306930.23995799</v>
      </c>
      <c r="T94" s="2">
        <f>T6/'Output-Calculation-sheet'!T5*'Output-Calculation-sheet'!T77</f>
        <v>520316988.28541851</v>
      </c>
      <c r="U94" s="2">
        <f>U6/'Output-Calculation-sheet'!U5*'Output-Calculation-sheet'!U77</f>
        <v>265735605.8273018</v>
      </c>
      <c r="V94" s="2">
        <f>V6/'Output-Calculation-sheet'!V5*'Output-Calculation-sheet'!V77</f>
        <v>159035168.48927408</v>
      </c>
      <c r="W94" s="2">
        <f>W6/'Output-Calculation-sheet'!W5*'Output-Calculation-sheet'!W77</f>
        <v>547068202.39999545</v>
      </c>
      <c r="X94" s="2">
        <f>X6/'Output-Calculation-sheet'!X5*'Output-Calculation-sheet'!X77</f>
        <v>44743117.817296967</v>
      </c>
      <c r="Y94" s="2">
        <f>Y6/'Output-Calculation-sheet'!Y5*'Output-Calculation-sheet'!Y77</f>
        <v>230739516.93973136</v>
      </c>
      <c r="AA94" s="2">
        <f t="shared" si="8"/>
        <v>38.054161167046054</v>
      </c>
    </row>
    <row r="95" spans="1:27" x14ac:dyDescent="0.25">
      <c r="A95" s="2">
        <v>2030</v>
      </c>
      <c r="B95" s="2">
        <f>B7/'Output-Calculation-sheet'!B6*'Output-Calculation-sheet'!B78</f>
        <v>8988052881.553339</v>
      </c>
      <c r="C95" s="2">
        <f>C7/'Output-Calculation-sheet'!C6*'Output-Calculation-sheet'!C78</f>
        <v>0</v>
      </c>
      <c r="D95" s="2">
        <f>D7/'Output-Calculation-sheet'!D6*'Output-Calculation-sheet'!D78</f>
        <v>5732735025.2938633</v>
      </c>
      <c r="E95" s="2">
        <f>E7/'Output-Calculation-sheet'!E6*'Output-Calculation-sheet'!E78</f>
        <v>8713089634.6454163</v>
      </c>
      <c r="F95" s="2">
        <f>F7/'Output-Calculation-sheet'!F6*'Output-Calculation-sheet'!F78</f>
        <v>4181662334.8773317</v>
      </c>
      <c r="G95" s="2">
        <f>G7/'Output-Calculation-sheet'!G6*'Output-Calculation-sheet'!G78</f>
        <v>3279303902.3524408</v>
      </c>
      <c r="H95" s="2">
        <f>H7/'Output-Calculation-sheet'!H6*'Output-Calculation-sheet'!H78</f>
        <v>838746007.17779934</v>
      </c>
      <c r="I95" s="2">
        <f>I7/'Output-Calculation-sheet'!I6*'Output-Calculation-sheet'!I78</f>
        <v>2164241432.5814676</v>
      </c>
      <c r="J95" s="2">
        <f>J7/'Output-Calculation-sheet'!J6*'Output-Calculation-sheet'!J78</f>
        <v>1587221817.3574221</v>
      </c>
      <c r="K95" s="2">
        <f>K7/'Output-Calculation-sheet'!K6*'Output-Calculation-sheet'!K78</f>
        <v>1956507508.7056432</v>
      </c>
      <c r="L95" s="2">
        <f>L7/'Output-Calculation-sheet'!L6*'Output-Calculation-sheet'!L78</f>
        <v>1323470450.5055785</v>
      </c>
      <c r="M95" s="2">
        <f>M7/'Output-Calculation-sheet'!M6*'Output-Calculation-sheet'!M78</f>
        <v>615347858.65847147</v>
      </c>
      <c r="N95" s="2">
        <f>N7/'Output-Calculation-sheet'!N6*'Output-Calculation-sheet'!N78</f>
        <v>718074811.70019794</v>
      </c>
      <c r="O95" s="2">
        <f>O7/'Output-Calculation-sheet'!O6*'Output-Calculation-sheet'!O78</f>
        <v>0</v>
      </c>
      <c r="P95" s="2">
        <f>P7/'Output-Calculation-sheet'!P6*'Output-Calculation-sheet'!P78</f>
        <v>1665395169.2545445</v>
      </c>
      <c r="Q95" s="2">
        <f>Q7/'Output-Calculation-sheet'!Q6*'Output-Calculation-sheet'!Q78</f>
        <v>768862399.55820262</v>
      </c>
      <c r="R95" s="2">
        <f>R7/'Output-Calculation-sheet'!R6*'Output-Calculation-sheet'!R78</f>
        <v>1176700572.592907</v>
      </c>
      <c r="S95" s="2">
        <f>S7/'Output-Calculation-sheet'!S6*'Output-Calculation-sheet'!S78</f>
        <v>416903112.26363331</v>
      </c>
      <c r="T95" s="2">
        <f>T7/'Output-Calculation-sheet'!T6*'Output-Calculation-sheet'!T78</f>
        <v>627890938.10911441</v>
      </c>
      <c r="U95" s="2">
        <f>U7/'Output-Calculation-sheet'!U6*'Output-Calculation-sheet'!U78</f>
        <v>313161513.90728885</v>
      </c>
      <c r="V95" s="2">
        <f>V7/'Output-Calculation-sheet'!V6*'Output-Calculation-sheet'!V78</f>
        <v>187689648.84052458</v>
      </c>
      <c r="W95" s="2">
        <f>W7/'Output-Calculation-sheet'!W6*'Output-Calculation-sheet'!W78</f>
        <v>667780404.40357232</v>
      </c>
      <c r="X95" s="2">
        <f>X7/'Output-Calculation-sheet'!X6*'Output-Calculation-sheet'!X78</f>
        <v>58231264.503207512</v>
      </c>
      <c r="Y95" s="2">
        <f>Y7/'Output-Calculation-sheet'!Y6*'Output-Calculation-sheet'!Y78</f>
        <v>283385460.28698313</v>
      </c>
      <c r="AA95" s="2">
        <f t="shared" si="8"/>
        <v>46.264454149128937</v>
      </c>
    </row>
    <row r="96" spans="1:27" x14ac:dyDescent="0.25">
      <c r="A96" s="2">
        <v>2031</v>
      </c>
      <c r="B96" s="2">
        <f>B8/'Output-Calculation-sheet'!B7*'Output-Calculation-sheet'!B79</f>
        <v>10266089433.408558</v>
      </c>
      <c r="C96" s="2">
        <f>C8/'Output-Calculation-sheet'!C7*'Output-Calculation-sheet'!C79</f>
        <v>0</v>
      </c>
      <c r="D96" s="2">
        <f>D8/'Output-Calculation-sheet'!D7*'Output-Calculation-sheet'!D79</f>
        <v>6248884126.8824682</v>
      </c>
      <c r="E96" s="2">
        <f>E8/'Output-Calculation-sheet'!E7*'Output-Calculation-sheet'!E79</f>
        <v>9787974893.7410545</v>
      </c>
      <c r="F96" s="2">
        <f>F8/'Output-Calculation-sheet'!F7*'Output-Calculation-sheet'!F79</f>
        <v>4685281103.0756207</v>
      </c>
      <c r="G96" s="2">
        <f>G8/'Output-Calculation-sheet'!G7*'Output-Calculation-sheet'!G79</f>
        <v>3571828694.8423142</v>
      </c>
      <c r="H96" s="2">
        <f>H8/'Output-Calculation-sheet'!H7*'Output-Calculation-sheet'!H79</f>
        <v>965338074.86201799</v>
      </c>
      <c r="I96" s="2">
        <f>I8/'Output-Calculation-sheet'!I7*'Output-Calculation-sheet'!I79</f>
        <v>2449504826.7177868</v>
      </c>
      <c r="J96" s="2">
        <f>J8/'Output-Calculation-sheet'!J7*'Output-Calculation-sheet'!J79</f>
        <v>1743619167.4751565</v>
      </c>
      <c r="K96" s="2">
        <f>K8/'Output-Calculation-sheet'!K7*'Output-Calculation-sheet'!K79</f>
        <v>2173115519.4808807</v>
      </c>
      <c r="L96" s="2">
        <f>L8/'Output-Calculation-sheet'!L7*'Output-Calculation-sheet'!L79</f>
        <v>1512181479.3301523</v>
      </c>
      <c r="M96" s="2">
        <f>M8/'Output-Calculation-sheet'!M7*'Output-Calculation-sheet'!M79</f>
        <v>715630891.08429992</v>
      </c>
      <c r="N96" s="2">
        <f>N8/'Output-Calculation-sheet'!N7*'Output-Calculation-sheet'!N79</f>
        <v>797574568.83824646</v>
      </c>
      <c r="O96" s="2">
        <f>O8/'Output-Calculation-sheet'!O7*'Output-Calculation-sheet'!O79</f>
        <v>0</v>
      </c>
      <c r="P96" s="2">
        <f>P8/'Output-Calculation-sheet'!P7*'Output-Calculation-sheet'!P79</f>
        <v>1844599039.8263896</v>
      </c>
      <c r="Q96" s="2">
        <f>Q8/'Output-Calculation-sheet'!Q7*'Output-Calculation-sheet'!Q79</f>
        <v>856356505.63036287</v>
      </c>
      <c r="R96" s="2">
        <f>R8/'Output-Calculation-sheet'!R7*'Output-Calculation-sheet'!R79</f>
        <v>1321244065.800051</v>
      </c>
      <c r="S96" s="2">
        <f>S8/'Output-Calculation-sheet'!S7*'Output-Calculation-sheet'!S79</f>
        <v>483954011.88699883</v>
      </c>
      <c r="T96" s="2">
        <f>T8/'Output-Calculation-sheet'!T7*'Output-Calculation-sheet'!T79</f>
        <v>692542276.22362578</v>
      </c>
      <c r="U96" s="2">
        <f>U8/'Output-Calculation-sheet'!U7*'Output-Calculation-sheet'!U79</f>
        <v>351627879.53972584</v>
      </c>
      <c r="V96" s="2">
        <f>V8/'Output-Calculation-sheet'!V7*'Output-Calculation-sheet'!V79</f>
        <v>213160208.65951851</v>
      </c>
      <c r="W96" s="2">
        <f>W8/'Output-Calculation-sheet'!W7*'Output-Calculation-sheet'!W79</f>
        <v>742319391.3738271</v>
      </c>
      <c r="X96" s="2">
        <f>X8/'Output-Calculation-sheet'!X7*'Output-Calculation-sheet'!X79</f>
        <v>69208697.74515529</v>
      </c>
      <c r="Y96" s="2">
        <f>Y8/'Output-Calculation-sheet'!Y7*'Output-Calculation-sheet'!Y79</f>
        <v>315763588.3950243</v>
      </c>
      <c r="AA96" s="2">
        <f t="shared" si="8"/>
        <v>51.807798444819241</v>
      </c>
    </row>
    <row r="97" spans="1:27" x14ac:dyDescent="0.25">
      <c r="A97" s="2">
        <v>2032</v>
      </c>
      <c r="B97" s="2">
        <f>B9/'Output-Calculation-sheet'!B8*'Output-Calculation-sheet'!B80</f>
        <v>10927021749.785017</v>
      </c>
      <c r="C97" s="2">
        <f>C9/'Output-Calculation-sheet'!C8*'Output-Calculation-sheet'!C80</f>
        <v>0</v>
      </c>
      <c r="D97" s="2">
        <f>D9/'Output-Calculation-sheet'!D8*'Output-Calculation-sheet'!D80</f>
        <v>6343479802.0743952</v>
      </c>
      <c r="E97" s="2">
        <f>E9/'Output-Calculation-sheet'!E8*'Output-Calculation-sheet'!E80</f>
        <v>10234098669.476612</v>
      </c>
      <c r="F97" s="2">
        <f>F9/'Output-Calculation-sheet'!F8*'Output-Calculation-sheet'!F80</f>
        <v>4881827945.4584608</v>
      </c>
      <c r="G97" s="2">
        <f>G9/'Output-Calculation-sheet'!G8*'Output-Calculation-sheet'!G80</f>
        <v>3614873414.2465405</v>
      </c>
      <c r="H97" s="2">
        <f>H9/'Output-Calculation-sheet'!H8*'Output-Calculation-sheet'!H80</f>
        <v>1032339743.8706523</v>
      </c>
      <c r="I97" s="2">
        <f>I9/'Output-Calculation-sheet'!I8*'Output-Calculation-sheet'!I80</f>
        <v>2577681882.2046843</v>
      </c>
      <c r="J97" s="2">
        <f>J9/'Output-Calculation-sheet'!J8*'Output-Calculation-sheet'!J80</f>
        <v>1782704681.4853439</v>
      </c>
      <c r="K97" s="2">
        <f>K9/'Output-Calculation-sheet'!K8*'Output-Calculation-sheet'!K80</f>
        <v>2242488301.6724887</v>
      </c>
      <c r="L97" s="2">
        <f>L9/'Output-Calculation-sheet'!L8*'Output-Calculation-sheet'!L80</f>
        <v>1610071357.2845626</v>
      </c>
      <c r="M97" s="2">
        <f>M9/'Output-Calculation-sheet'!M8*'Output-Calculation-sheet'!M80</f>
        <v>766655774.84540391</v>
      </c>
      <c r="N97" s="2">
        <f>N9/'Output-Calculation-sheet'!N8*'Output-Calculation-sheet'!N80</f>
        <v>816024735.97933698</v>
      </c>
      <c r="O97" s="2">
        <f>O9/'Output-Calculation-sheet'!O8*'Output-Calculation-sheet'!O80</f>
        <v>0</v>
      </c>
      <c r="P97" s="2">
        <f>P9/'Output-Calculation-sheet'!P8*'Output-Calculation-sheet'!P80</f>
        <v>1909633910.3433862</v>
      </c>
      <c r="Q97" s="2">
        <f>Q9/'Output-Calculation-sheet'!Q8*'Output-Calculation-sheet'!Q80</f>
        <v>890365814.19284368</v>
      </c>
      <c r="R97" s="2">
        <f>R9/'Output-Calculation-sheet'!R8*'Output-Calculation-sheet'!R80</f>
        <v>1379996185.8799171</v>
      </c>
      <c r="S97" s="2">
        <f>S9/'Output-Calculation-sheet'!S8*'Output-Calculation-sheet'!S80</f>
        <v>519970975.50355691</v>
      </c>
      <c r="T97" s="2">
        <f>T9/'Output-Calculation-sheet'!T8*'Output-Calculation-sheet'!T80</f>
        <v>709641558.18311703</v>
      </c>
      <c r="U97" s="2">
        <f>U9/'Output-Calculation-sheet'!U8*'Output-Calculation-sheet'!U80</f>
        <v>367424010.46324688</v>
      </c>
      <c r="V97" s="2">
        <f>V9/'Output-Calculation-sheet'!V8*'Output-Calculation-sheet'!V80</f>
        <v>225244691.95499048</v>
      </c>
      <c r="W97" s="2">
        <f>W9/'Output-Calculation-sheet'!W8*'Output-Calculation-sheet'!W80</f>
        <v>766840385.17903697</v>
      </c>
      <c r="X97" s="2">
        <f>X9/'Output-Calculation-sheet'!X8*'Output-Calculation-sheet'!X80</f>
        <v>75920229.980800942</v>
      </c>
      <c r="Y97" s="2">
        <f>Y9/'Output-Calculation-sheet'!Y8*'Output-Calculation-sheet'!Y80</f>
        <v>326524409.40364265</v>
      </c>
      <c r="AA97" s="2">
        <f t="shared" si="8"/>
        <v>54.000830229468043</v>
      </c>
    </row>
    <row r="98" spans="1:27" x14ac:dyDescent="0.25">
      <c r="A98" s="2">
        <v>2033</v>
      </c>
      <c r="B98" s="2">
        <f>B10/'Output-Calculation-sheet'!B9*'Output-Calculation-sheet'!B81</f>
        <v>11532681927.444963</v>
      </c>
      <c r="C98" s="2">
        <f>C10/'Output-Calculation-sheet'!C9*'Output-Calculation-sheet'!C81</f>
        <v>1510437966.5423143</v>
      </c>
      <c r="D98" s="2">
        <f>D10/'Output-Calculation-sheet'!D9*'Output-Calculation-sheet'!D81</f>
        <v>6148462739.8536282</v>
      </c>
      <c r="E98" s="2">
        <f>E10/'Output-Calculation-sheet'!E9*'Output-Calculation-sheet'!E81</f>
        <v>10208588919.263777</v>
      </c>
      <c r="F98" s="2">
        <f>F10/'Output-Calculation-sheet'!F9*'Output-Calculation-sheet'!F81</f>
        <v>4860210891.3462048</v>
      </c>
      <c r="G98" s="2">
        <f>G10/'Output-Calculation-sheet'!G9*'Output-Calculation-sheet'!G81</f>
        <v>3489997241.1407709</v>
      </c>
      <c r="H98" s="2">
        <f>H10/'Output-Calculation-sheet'!H9*'Output-Calculation-sheet'!H81</f>
        <v>1051795423.5569164</v>
      </c>
      <c r="I98" s="2">
        <f>I10/'Output-Calculation-sheet'!I9*'Output-Calculation-sheet'!I81</f>
        <v>2590373835.5266013</v>
      </c>
      <c r="J98" s="2">
        <f>J10/'Output-Calculation-sheet'!J9*'Output-Calculation-sheet'!J81</f>
        <v>1741842377.4108915</v>
      </c>
      <c r="K98" s="2">
        <f>K10/'Output-Calculation-sheet'!K9*'Output-Calculation-sheet'!K81</f>
        <v>2212080535.6844325</v>
      </c>
      <c r="L98" s="2">
        <f>L10/'Output-Calculation-sheet'!L9*'Output-Calculation-sheet'!L81</f>
        <v>1635485280.1752868</v>
      </c>
      <c r="M98" s="2">
        <f>M10/'Output-Calculation-sheet'!M9*'Output-Calculation-sheet'!M81</f>
        <v>784223263.63320458</v>
      </c>
      <c r="N98" s="2">
        <f>N10/'Output-Calculation-sheet'!N9*'Output-Calculation-sheet'!N81</f>
        <v>798029291.5519557</v>
      </c>
      <c r="O98" s="2">
        <f>O10/'Output-Calculation-sheet'!O9*'Output-Calculation-sheet'!O81</f>
        <v>0</v>
      </c>
      <c r="P98" s="2">
        <f>P10/'Output-Calculation-sheet'!P9*'Output-Calculation-sheet'!P81</f>
        <v>1881926091.2891662</v>
      </c>
      <c r="Q98" s="2">
        <f>Q10/'Output-Calculation-sheet'!Q9*'Output-Calculation-sheet'!Q81</f>
        <v>883350418.94284022</v>
      </c>
      <c r="R98" s="2">
        <f>R10/'Output-Calculation-sheet'!R9*'Output-Calculation-sheet'!R81</f>
        <v>1378429067.7235112</v>
      </c>
      <c r="S98" s="2">
        <f>S10/'Output-Calculation-sheet'!S9*'Output-Calculation-sheet'!S81</f>
        <v>523413428.7292046</v>
      </c>
      <c r="T98" s="2">
        <f>T10/'Output-Calculation-sheet'!T9*'Output-Calculation-sheet'!T81</f>
        <v>694734878.30726802</v>
      </c>
      <c r="U98" s="2">
        <f>U10/'Output-Calculation-sheet'!U9*'Output-Calculation-sheet'!U81</f>
        <v>366195501.1234324</v>
      </c>
      <c r="V98" s="2">
        <f>V10/'Output-Calculation-sheet'!V9*'Output-Calculation-sheet'!V81</f>
        <v>226929733.74406448</v>
      </c>
      <c r="W98" s="2">
        <f>W10/'Output-Calculation-sheet'!W9*'Output-Calculation-sheet'!W81</f>
        <v>754460872.46195066</v>
      </c>
      <c r="X98" s="2">
        <f>X10/'Output-Calculation-sheet'!X9*'Output-Calculation-sheet'!X81</f>
        <v>78483876.313260809</v>
      </c>
      <c r="Y98" s="2">
        <f>Y10/'Output-Calculation-sheet'!Y9*'Output-Calculation-sheet'!Y81</f>
        <v>322083682.81572503</v>
      </c>
      <c r="AA98" s="2">
        <f t="shared" si="8"/>
        <v>55.674217244581378</v>
      </c>
    </row>
    <row r="99" spans="1:27" x14ac:dyDescent="0.25">
      <c r="A99" s="2">
        <v>2034</v>
      </c>
      <c r="B99" s="2">
        <f>B11/'Output-Calculation-sheet'!B10*'Output-Calculation-sheet'!B82</f>
        <v>11412278291.579994</v>
      </c>
      <c r="C99" s="2">
        <f>C11/'Output-Calculation-sheet'!C10*'Output-Calculation-sheet'!C82</f>
        <v>1547785431.9230037</v>
      </c>
      <c r="D99" s="2">
        <f>D11/'Output-Calculation-sheet'!D10*'Output-Calculation-sheet'!D82</f>
        <v>5694203451.1262102</v>
      </c>
      <c r="E99" s="2">
        <f>E11/'Output-Calculation-sheet'!E10*'Output-Calculation-sheet'!E82</f>
        <v>9738050876.0690575</v>
      </c>
      <c r="F99" s="2">
        <f>F11/'Output-Calculation-sheet'!F10*'Output-Calculation-sheet'!F82</f>
        <v>4624680112.2343597</v>
      </c>
      <c r="G99" s="2">
        <f>G11/'Output-Calculation-sheet'!G10*'Output-Calculation-sheet'!G82</f>
        <v>3212559351.0042906</v>
      </c>
      <c r="H99" s="2">
        <f>H11/'Output-Calculation-sheet'!H10*'Output-Calculation-sheet'!H82</f>
        <v>1025105338.5512656</v>
      </c>
      <c r="I99" s="2">
        <f>I11/'Output-Calculation-sheet'!I10*'Output-Calculation-sheet'!I82</f>
        <v>2490314733.4426489</v>
      </c>
      <c r="J99" s="2">
        <f>J11/'Output-Calculation-sheet'!J10*'Output-Calculation-sheet'!J82</f>
        <v>1627010104.8613992</v>
      </c>
      <c r="K99" s="2">
        <f>K11/'Output-Calculation-sheet'!K10*'Output-Calculation-sheet'!K82</f>
        <v>2086116589.9423871</v>
      </c>
      <c r="L99" s="2">
        <f>L11/'Output-Calculation-sheet'!L10*'Output-Calculation-sheet'!L82</f>
        <v>1586286061.300595</v>
      </c>
      <c r="M99" s="2">
        <f>M11/'Output-Calculation-sheet'!M10*'Output-Calculation-sheet'!M82</f>
        <v>766811168.26343393</v>
      </c>
      <c r="N99" s="2">
        <f>N11/'Output-Calculation-sheet'!N10*'Output-Calculation-sheet'!N82</f>
        <v>748374538.17413747</v>
      </c>
      <c r="O99" s="2">
        <f>O11/'Output-Calculation-sheet'!O10*'Output-Calculation-sheet'!O82</f>
        <v>0</v>
      </c>
      <c r="P99" s="2">
        <f>P11/'Output-Calculation-sheet'!P10*'Output-Calculation-sheet'!P82</f>
        <v>1770077744.8121319</v>
      </c>
      <c r="Q99" s="2">
        <f>Q11/'Output-Calculation-sheet'!Q10*'Output-Calculation-sheet'!Q82</f>
        <v>838144871.51081574</v>
      </c>
      <c r="R99" s="2">
        <f>R11/'Output-Calculation-sheet'!R10*'Output-Calculation-sheet'!R82</f>
        <v>1315326518.4319956</v>
      </c>
      <c r="S99" s="2">
        <f>S11/'Output-Calculation-sheet'!S10*'Output-Calculation-sheet'!S82</f>
        <v>512496409.6406492</v>
      </c>
      <c r="T99" s="2">
        <f>T11/'Output-Calculation-sheet'!T10*'Output-Calculation-sheet'!T82</f>
        <v>649875709.04167128</v>
      </c>
      <c r="U99" s="2">
        <f>U11/'Output-Calculation-sheet'!U10*'Output-Calculation-sheet'!U82</f>
        <v>349325250.48405266</v>
      </c>
      <c r="V99" s="2">
        <f>V11/'Output-Calculation-sheet'!V10*'Output-Calculation-sheet'!V82</f>
        <v>218530000.30948183</v>
      </c>
      <c r="W99" s="2">
        <f>W11/'Output-Calculation-sheet'!W10*'Output-Calculation-sheet'!W82</f>
        <v>708383620.72733474</v>
      </c>
      <c r="X99" s="2">
        <f>X11/'Output-Calculation-sheet'!X10*'Output-Calculation-sheet'!X82</f>
        <v>77946566.475972503</v>
      </c>
      <c r="Y99" s="2">
        <f>Y11/'Output-Calculation-sheet'!Y10*'Output-Calculation-sheet'!Y82</f>
        <v>303099575.73768681</v>
      </c>
      <c r="AA99" s="2">
        <f t="shared" si="8"/>
        <v>53.302782315644585</v>
      </c>
    </row>
    <row r="100" spans="1:27" x14ac:dyDescent="0.25">
      <c r="A100" s="2">
        <v>2035</v>
      </c>
      <c r="B100" s="2">
        <f>B12/'Output-Calculation-sheet'!B11*'Output-Calculation-sheet'!B83</f>
        <v>10569846894.313032</v>
      </c>
      <c r="C100" s="2">
        <f>C12/'Output-Calculation-sheet'!C11*'Output-Calculation-sheet'!C83</f>
        <v>1495476930.2576416</v>
      </c>
      <c r="D100" s="2">
        <f>D12/'Output-Calculation-sheet'!D11*'Output-Calculation-sheet'!D83</f>
        <v>5027077564.828969</v>
      </c>
      <c r="E100" s="2">
        <f>E12/'Output-Calculation-sheet'!E11*'Output-Calculation-sheet'!E83</f>
        <v>8844222168.8084412</v>
      </c>
      <c r="F100" s="2">
        <f>F12/'Output-Calculation-sheet'!F11*'Output-Calculation-sheet'!F83</f>
        <v>4191336458.2011485</v>
      </c>
      <c r="G100" s="2">
        <f>G12/'Output-Calculation-sheet'!G11*'Output-Calculation-sheet'!G83</f>
        <v>2811020752.2168636</v>
      </c>
      <c r="H100" s="2">
        <f>H12/'Output-Calculation-sheet'!H11*'Output-Calculation-sheet'!H83</f>
        <v>947196809.69683337</v>
      </c>
      <c r="I100" s="2">
        <f>I12/'Output-Calculation-sheet'!I11*'Output-Calculation-sheet'!I83</f>
        <v>2277579863.8156939</v>
      </c>
      <c r="J100" s="2">
        <f>J12/'Output-Calculation-sheet'!J11*'Output-Calculation-sheet'!J83</f>
        <v>1446989505.5735254</v>
      </c>
      <c r="K100" s="2">
        <f>K12/'Output-Calculation-sheet'!K11*'Output-Calculation-sheet'!K83</f>
        <v>1873002937.9823506</v>
      </c>
      <c r="L100" s="2">
        <f>L12/'Output-Calculation-sheet'!L11*'Output-Calculation-sheet'!L83</f>
        <v>1463443047.2655096</v>
      </c>
      <c r="M100" s="2">
        <f>M12/'Output-Calculation-sheet'!M11*'Output-Calculation-sheet'!M83</f>
        <v>709970339.02025366</v>
      </c>
      <c r="N100" s="2">
        <f>N12/'Output-Calculation-sheet'!N11*'Output-Calculation-sheet'!N83</f>
        <v>668814051.12079453</v>
      </c>
      <c r="O100" s="2">
        <f>O12/'Output-Calculation-sheet'!O11*'Output-Calculation-sheet'!O83</f>
        <v>180437767.4728308</v>
      </c>
      <c r="P100" s="2">
        <f>P12/'Output-Calculation-sheet'!P11*'Output-Calculation-sheet'!P83</f>
        <v>1584302772.3175039</v>
      </c>
      <c r="Q100" s="2">
        <f>Q12/'Output-Calculation-sheet'!Q11*'Output-Calculation-sheet'!Q83</f>
        <v>759795322.94065225</v>
      </c>
      <c r="R100" s="2">
        <f>R12/'Output-Calculation-sheet'!R11*'Output-Calculation-sheet'!R83</f>
        <v>1196828093.239763</v>
      </c>
      <c r="S100" s="2">
        <f>S12/'Output-Calculation-sheet'!S11*'Output-Calculation-sheet'!S83</f>
        <v>464192562.59794796</v>
      </c>
      <c r="T100" s="2">
        <f>T12/'Output-Calculation-sheet'!T11*'Output-Calculation-sheet'!T83</f>
        <v>578589738.59868419</v>
      </c>
      <c r="U100" s="2">
        <f>U12/'Output-Calculation-sheet'!U11*'Output-Calculation-sheet'!U83</f>
        <v>316948158.25459445</v>
      </c>
      <c r="V100" s="2">
        <f>V12/'Output-Calculation-sheet'!V11*'Output-Calculation-sheet'!V83</f>
        <v>200325818.2341595</v>
      </c>
      <c r="W100" s="2">
        <f>W12/'Output-Calculation-sheet'!W11*'Output-Calculation-sheet'!W83</f>
        <v>632128999.40778852</v>
      </c>
      <c r="X100" s="2">
        <f>X12/'Output-Calculation-sheet'!X11*'Output-Calculation-sheet'!X83</f>
        <v>73556134.040135682</v>
      </c>
      <c r="Y100" s="2">
        <f>Y12/'Output-Calculation-sheet'!Y11*'Output-Calculation-sheet'!Y83</f>
        <v>271405636.15713477</v>
      </c>
      <c r="AA100" s="2">
        <f t="shared" si="8"/>
        <v>48.584488326362269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555C-D6E6-4B1E-921B-221CEBE3D456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95717261888.128738</v>
      </c>
      <c r="C8" s="2">
        <v>45106790365.061943</v>
      </c>
      <c r="D8" s="2">
        <v>40202344354.873215</v>
      </c>
      <c r="E8" s="2">
        <v>31896480640.395882</v>
      </c>
      <c r="F8" s="2">
        <v>20532909182.350151</v>
      </c>
      <c r="G8" s="2">
        <v>14426985502.001913</v>
      </c>
      <c r="H8" s="2">
        <v>14072970551.636932</v>
      </c>
      <c r="I8" s="2">
        <v>13144119444.243698</v>
      </c>
      <c r="J8" s="2">
        <v>12793578046.510546</v>
      </c>
      <c r="K8" s="2">
        <v>12670931144.250944</v>
      </c>
      <c r="L8" s="2">
        <v>10164785703.548477</v>
      </c>
      <c r="M8" s="2">
        <v>9709122896.1480312</v>
      </c>
      <c r="N8" s="2">
        <v>9529476081.781147</v>
      </c>
      <c r="O8" s="2">
        <v>8764288539.5105858</v>
      </c>
      <c r="P8" s="2">
        <v>8675118833.2008457</v>
      </c>
      <c r="Q8" s="2">
        <v>8534914892.4622488</v>
      </c>
      <c r="R8" s="2">
        <v>8210980697.5827503</v>
      </c>
      <c r="S8" s="2">
        <v>5457438393.2499704</v>
      </c>
      <c r="T8" s="2">
        <v>3018285900.5309463</v>
      </c>
      <c r="U8" s="2">
        <v>2628823888.848743</v>
      </c>
      <c r="V8" s="2">
        <v>2024246970.8913107</v>
      </c>
      <c r="W8" s="2">
        <v>1752549259.2324944</v>
      </c>
      <c r="X8" s="2">
        <v>1051529555.5394973</v>
      </c>
      <c r="Y8" s="2">
        <v>1022601977.466604</v>
      </c>
    </row>
    <row r="9" spans="1:27" x14ac:dyDescent="0.25">
      <c r="A9" s="2">
        <v>2032</v>
      </c>
      <c r="B9" s="2">
        <v>105051615904.83611</v>
      </c>
      <c r="C9" s="2">
        <v>49505607689.328857</v>
      </c>
      <c r="D9" s="2">
        <v>44122879764.134705</v>
      </c>
      <c r="E9" s="2">
        <v>35007027644.263268</v>
      </c>
      <c r="F9" s="2">
        <v>22535279909.638256</v>
      </c>
      <c r="G9" s="2">
        <v>15833906128.575884</v>
      </c>
      <c r="H9" s="2">
        <v>15445367615.702646</v>
      </c>
      <c r="I9" s="2">
        <v>14425934883.906567</v>
      </c>
      <c r="J9" s="2">
        <v>14041208664.758686</v>
      </c>
      <c r="K9" s="2">
        <v>13906601228.085955</v>
      </c>
      <c r="L9" s="2">
        <v>11156056310.221098</v>
      </c>
      <c r="M9" s="2">
        <v>10655957234.245672</v>
      </c>
      <c r="N9" s="2">
        <v>10458791250.084379</v>
      </c>
      <c r="O9" s="2">
        <v>9618982565.6307545</v>
      </c>
      <c r="P9" s="2">
        <v>9521117023.3783417</v>
      </c>
      <c r="Q9" s="2">
        <v>9367240384.6166725</v>
      </c>
      <c r="R9" s="2">
        <v>9011716104.5897713</v>
      </c>
      <c r="S9" s="2">
        <v>5989648163.7979927</v>
      </c>
      <c r="T9" s="2">
        <v>3312629350.8494573</v>
      </c>
      <c r="U9" s="2">
        <v>2885186976.7813182</v>
      </c>
      <c r="V9" s="2">
        <v>2221651675.8611522</v>
      </c>
      <c r="W9" s="2">
        <v>1923457984.5208771</v>
      </c>
      <c r="X9" s="2">
        <v>1154074790.712527</v>
      </c>
      <c r="Y9" s="2">
        <v>1122326193.2200234</v>
      </c>
    </row>
    <row r="10" spans="1:27" x14ac:dyDescent="0.25">
      <c r="A10" s="2">
        <v>2033</v>
      </c>
      <c r="B10" s="2">
        <v>112844557527.96516</v>
      </c>
      <c r="C10" s="2">
        <v>53178033928.730553</v>
      </c>
      <c r="D10" s="2">
        <v>47396004344.700195</v>
      </c>
      <c r="E10" s="2">
        <v>37603919852.738564</v>
      </c>
      <c r="F10" s="2">
        <v>24206992612.808578</v>
      </c>
      <c r="G10" s="2">
        <v>17008497352.74016</v>
      </c>
      <c r="H10" s="2">
        <v>16591136266.096128</v>
      </c>
      <c r="I10" s="2">
        <v>15496079949.653904</v>
      </c>
      <c r="J10" s="2">
        <v>15082813960.404604</v>
      </c>
      <c r="K10" s="2">
        <v>14938221071.466389</v>
      </c>
      <c r="L10" s="2">
        <v>11983635161.065706</v>
      </c>
      <c r="M10" s="2">
        <v>11446437722.811041</v>
      </c>
      <c r="N10" s="2">
        <v>11234645566.635149</v>
      </c>
      <c r="O10" s="2">
        <v>10332538173.150026</v>
      </c>
      <c r="P10" s="2">
        <v>10227412766.771584</v>
      </c>
      <c r="Q10" s="2">
        <v>10062121247.308611</v>
      </c>
      <c r="R10" s="2">
        <v>9680223456.1653786</v>
      </c>
      <c r="S10" s="2">
        <v>6433972395.0962858</v>
      </c>
      <c r="T10" s="2">
        <v>3558366904.9830275</v>
      </c>
      <c r="U10" s="2">
        <v>3099215989.9307852</v>
      </c>
      <c r="V10" s="2">
        <v>2386458296.566505</v>
      </c>
      <c r="W10" s="2">
        <v>2066143993.2871888</v>
      </c>
      <c r="X10" s="2">
        <v>1239686395.9723141</v>
      </c>
      <c r="Y10" s="2">
        <v>1205582623.2191138</v>
      </c>
    </row>
    <row r="11" spans="1:27" x14ac:dyDescent="0.25">
      <c r="A11" s="2">
        <v>2034</v>
      </c>
      <c r="B11" s="2">
        <v>119624550102.04453</v>
      </c>
      <c r="C11" s="2">
        <v>56373107603.875069</v>
      </c>
      <c r="D11" s="2">
        <v>50243678743.338921</v>
      </c>
      <c r="E11" s="2">
        <v>39863260515.177338</v>
      </c>
      <c r="F11" s="2">
        <v>25661411272.875217</v>
      </c>
      <c r="G11" s="2">
        <v>18030411818.745747</v>
      </c>
      <c r="H11" s="2">
        <v>17587974599.675434</v>
      </c>
      <c r="I11" s="2">
        <v>16427124470.431583</v>
      </c>
      <c r="J11" s="2">
        <v>15989028392.788029</v>
      </c>
      <c r="K11" s="2">
        <v>15835747989.496073</v>
      </c>
      <c r="L11" s="2">
        <v>12703642923.800446</v>
      </c>
      <c r="M11" s="2">
        <v>12134169275.492155</v>
      </c>
      <c r="N11" s="2">
        <v>11909652099.36335</v>
      </c>
      <c r="O11" s="2">
        <v>10953343762.89225</v>
      </c>
      <c r="P11" s="2">
        <v>10841902150.484854</v>
      </c>
      <c r="Q11" s="2">
        <v>10666679489.466917</v>
      </c>
      <c r="R11" s="2">
        <v>10261836292.318024</v>
      </c>
      <c r="S11" s="2">
        <v>6820542080.1231775</v>
      </c>
      <c r="T11" s="2">
        <v>3772162782.4284759</v>
      </c>
      <c r="U11" s="2">
        <v>3285424894.0863218</v>
      </c>
      <c r="V11" s="2">
        <v>2529842876.9443512</v>
      </c>
      <c r="W11" s="2">
        <v>2190283262.7242126</v>
      </c>
      <c r="X11" s="2">
        <v>1314169957.6345284</v>
      </c>
      <c r="Y11" s="2">
        <v>1278017142.1000006</v>
      </c>
    </row>
    <row r="12" spans="1:27" x14ac:dyDescent="0.25">
      <c r="A12" s="2">
        <v>2035</v>
      </c>
      <c r="B12" s="2">
        <v>125545401740.44113</v>
      </c>
      <c r="C12" s="2">
        <v>59163310837.518898</v>
      </c>
      <c r="D12" s="2">
        <v>52730504126.195564</v>
      </c>
      <c r="E12" s="2">
        <v>41836304101.395889</v>
      </c>
      <c r="F12" s="2">
        <v>26931530231.307777</v>
      </c>
      <c r="G12" s="2">
        <v>18922832256.414433</v>
      </c>
      <c r="H12" s="2">
        <v>18458496479.471298</v>
      </c>
      <c r="I12" s="2">
        <v>17240189737.986874</v>
      </c>
      <c r="J12" s="2">
        <v>16780409968.518538</v>
      </c>
      <c r="K12" s="2">
        <v>16619542907.419373</v>
      </c>
      <c r="L12" s="2">
        <v>13332413397.376537</v>
      </c>
      <c r="M12" s="2">
        <v>12734753486.459663</v>
      </c>
      <c r="N12" s="2">
        <v>12499123767.888721</v>
      </c>
      <c r="O12" s="2">
        <v>11495482674.253836</v>
      </c>
      <c r="P12" s="2">
        <v>11378525227.071344</v>
      </c>
      <c r="Q12" s="2">
        <v>11194629869.866154</v>
      </c>
      <c r="R12" s="2">
        <v>10769748841.811413</v>
      </c>
      <c r="S12" s="2">
        <v>7158126779.2121334</v>
      </c>
      <c r="T12" s="2">
        <v>3958867068.2258997</v>
      </c>
      <c r="U12" s="2">
        <v>3448037947.5973797</v>
      </c>
      <c r="V12" s="2">
        <v>2655058180.408936</v>
      </c>
      <c r="W12" s="2">
        <v>2298691965.064918</v>
      </c>
      <c r="X12" s="2">
        <v>1379215179.0389516</v>
      </c>
      <c r="Y12" s="2">
        <v>1341272969.4635878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-4.5195892169162742E-11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179.75465711761834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2.8216810779890991E-12</v>
      </c>
      <c r="Y16" s="2">
        <f>Y5/'Output-Calculation-sheet'!Y4*'Output-Calculation-sheet'!Y22</f>
        <v>0</v>
      </c>
      <c r="AA16" s="2">
        <f t="shared" ref="AA16:AA23" si="0">SUM(B16:Y16)/1000</f>
        <v>0.17975465711757596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1365.8555704711405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929.66927532141654</v>
      </c>
      <c r="N17" s="2">
        <f>N6/'Output-Calculation-sheet'!N5*'Output-Calculation-sheet'!N23</f>
        <v>381.26597866232555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85.6951003305266</v>
      </c>
      <c r="Y17" s="2">
        <f>Y6/'Output-Calculation-sheet'!Y5*'Output-Calculation-sheet'!Y23</f>
        <v>0</v>
      </c>
      <c r="AA17" s="2">
        <f t="shared" si="0"/>
        <v>2.7624859247854094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1764.8877932355176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1199.5524955666799</v>
      </c>
      <c r="N18" s="2">
        <f>N7/'Output-Calculation-sheet'!N6*'Output-Calculation-sheet'!N24</f>
        <v>664.02121659247052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117.96719317359887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112.61595833370302</v>
      </c>
      <c r="Y18" s="2">
        <f>Y7/'Output-Calculation-sheet'!Y6*'Output-Calculation-sheet'!Y24</f>
        <v>0</v>
      </c>
      <c r="AA18" s="2">
        <f t="shared" si="0"/>
        <v>3.8590446569019701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2103.4539188220056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1440.5438684061221</v>
      </c>
      <c r="N19" s="2">
        <f>N8/'Output-Calculation-sheet'!N7*'Output-Calculation-sheet'!N25</f>
        <v>968.97495880389931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257.01620143801142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136.71307492176587</v>
      </c>
      <c r="Y19" s="2">
        <f>Y8/'Output-Calculation-sheet'!Y7*'Output-Calculation-sheet'!Y25</f>
        <v>0</v>
      </c>
      <c r="AA19" s="2">
        <f t="shared" si="0"/>
        <v>4.9067020223918041</v>
      </c>
    </row>
    <row r="20" spans="1:27" x14ac:dyDescent="0.25">
      <c r="A20" s="2">
        <v>2032</v>
      </c>
      <c r="B20" s="2">
        <f>B9/'Output-Calculation-sheet'!B8*'Output-Calculation-sheet'!B26</f>
        <v>2.2559976146068341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2384.7525823024871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1630.8606964594915</v>
      </c>
      <c r="N20" s="2">
        <f>N9/'Output-Calculation-sheet'!N8*'Output-Calculation-sheet'!N26</f>
        <v>1187.7324025467753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408.6408471377253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156.97806443023649</v>
      </c>
      <c r="Y20" s="2">
        <f>Y9/'Output-Calculation-sheet'!Y8*'Output-Calculation-sheet'!Y26</f>
        <v>0</v>
      </c>
      <c r="AA20" s="2">
        <f t="shared" si="0"/>
        <v>5.771220590491323</v>
      </c>
    </row>
    <row r="21" spans="1:27" x14ac:dyDescent="0.25">
      <c r="A21" s="2">
        <v>2033</v>
      </c>
      <c r="B21" s="2">
        <f>B10/'Output-Calculation-sheet'!B9*'Output-Calculation-sheet'!B27</f>
        <v>3773.1591988475648</v>
      </c>
      <c r="C21" s="2">
        <f>C10/'Output-Calculation-sheet'!C9*'Output-Calculation-sheet'!C27</f>
        <v>5887.7558047621278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2641.6116086698171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1808.3186745027688</v>
      </c>
      <c r="N21" s="2">
        <f>N10/'Output-Calculation-sheet'!N9*'Output-Calculation-sheet'!N27</f>
        <v>1412.8917549768735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539.00407019530269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174.06066459671345</v>
      </c>
      <c r="Y21" s="2">
        <f>Y10/'Output-Calculation-sheet'!Y9*'Output-Calculation-sheet'!Y27</f>
        <v>0</v>
      </c>
      <c r="AA21" s="2">
        <f t="shared" si="0"/>
        <v>16.236801776551168</v>
      </c>
    </row>
    <row r="22" spans="1:27" x14ac:dyDescent="0.25">
      <c r="A22" s="2">
        <v>2034</v>
      </c>
      <c r="B22" s="2">
        <f>B11/'Output-Calculation-sheet'!B10*'Output-Calculation-sheet'!B28</f>
        <v>6835.7512997568492</v>
      </c>
      <c r="C22" s="2">
        <f>C11/'Output-Calculation-sheet'!C10*'Output-Calculation-sheet'!C28</f>
        <v>6622.6994492056083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2893.477321153458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1980.899689895725</v>
      </c>
      <c r="N22" s="2">
        <f>N11/'Output-Calculation-sheet'!N10*'Output-Calculation-sheet'!N28</f>
        <v>1588.4468203402794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647.97789372256864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191.92374056870582</v>
      </c>
      <c r="Y22" s="2">
        <f>Y11/'Output-Calculation-sheet'!Y10*'Output-Calculation-sheet'!Y28</f>
        <v>0</v>
      </c>
      <c r="AA22" s="2">
        <f t="shared" si="0"/>
        <v>20.761176214643193</v>
      </c>
    </row>
    <row r="23" spans="1:27" x14ac:dyDescent="0.25">
      <c r="A23" s="2">
        <v>2035</v>
      </c>
      <c r="B23" s="2">
        <f>B12/'Output-Calculation-sheet'!B11*'Output-Calculation-sheet'!B29</f>
        <v>8937.586180136137</v>
      </c>
      <c r="C23" s="2">
        <f>C12/'Output-Calculation-sheet'!C11*'Output-Calculation-sheet'!C29</f>
        <v>7323.6788876325745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3124.6044479378802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2135.7912337511957</v>
      </c>
      <c r="N23" s="2">
        <f>N12/'Output-Calculation-sheet'!N11*'Output-Calculation-sheet'!N29</f>
        <v>1745.8242582527748</v>
      </c>
      <c r="O23" s="2">
        <f>O12/'Output-Calculation-sheet'!O11*'Output-Calculation-sheet'!O29</f>
        <v>1245.2044590359728</v>
      </c>
      <c r="P23" s="2">
        <f>P12/'Output-Calculation-sheet'!P11*'Output-Calculation-sheet'!P29</f>
        <v>0</v>
      </c>
      <c r="Q23" s="2">
        <f>Q12/'Output-Calculation-sheet'!Q11*'Output-Calculation-sheet'!Q29</f>
        <v>23.828460564384805</v>
      </c>
      <c r="R23" s="2">
        <f>R12/'Output-Calculation-sheet'!R11*'Output-Calculation-sheet'!R29</f>
        <v>0</v>
      </c>
      <c r="S23" s="2">
        <f>S12/'Output-Calculation-sheet'!S11*'Output-Calculation-sheet'!S29</f>
        <v>766.69063317142854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209.36493759586457</v>
      </c>
      <c r="Y23" s="2">
        <f>Y12/'Output-Calculation-sheet'!Y11*'Output-Calculation-sheet'!Y29</f>
        <v>0</v>
      </c>
      <c r="AA23" s="2">
        <f t="shared" si="0"/>
        <v>25.512573498078211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8368.6388549606927</v>
      </c>
      <c r="C27" s="2">
        <f>C5/'Output-Calculation-sheet'!C4*'Output-Calculation-sheet'!C13</f>
        <v>0</v>
      </c>
      <c r="D27" s="2">
        <f>D5/'Output-Calculation-sheet'!D4*'Output-Calculation-sheet'!D13</f>
        <v>2702.6278056105175</v>
      </c>
      <c r="E27" s="2">
        <f>E5/'Output-Calculation-sheet'!E4*'Output-Calculation-sheet'!E13</f>
        <v>2757.101662138964</v>
      </c>
      <c r="F27" s="2">
        <f>F5/'Output-Calculation-sheet'!F4*'Output-Calculation-sheet'!F13</f>
        <v>1566.2038361421328</v>
      </c>
      <c r="G27" s="2">
        <f>G5/'Output-Calculation-sheet'!G4*'Output-Calculation-sheet'!G13</f>
        <v>949.81826434336756</v>
      </c>
      <c r="H27" s="2">
        <f>H5/'Output-Calculation-sheet'!H4*'Output-Calculation-sheet'!H13</f>
        <v>0</v>
      </c>
      <c r="I27" s="2">
        <f>I5/'Output-Calculation-sheet'!I4*'Output-Calculation-sheet'!I13</f>
        <v>949.1161808096399</v>
      </c>
      <c r="J27" s="2">
        <f>J5/'Output-Calculation-sheet'!J4*'Output-Calculation-sheet'!J13</f>
        <v>872.55288810108993</v>
      </c>
      <c r="K27" s="2">
        <f>K5/'Output-Calculation-sheet'!K4*'Output-Calculation-sheet'!K13</f>
        <v>1063.6604894629943</v>
      </c>
      <c r="L27" s="2">
        <f>L5/'Output-Calculation-sheet'!L4*'Output-Calculation-sheet'!L13</f>
        <v>881.96219270735446</v>
      </c>
      <c r="M27" s="2">
        <f>M5/'Output-Calculation-sheet'!M4*'Output-Calculation-sheet'!M13</f>
        <v>0</v>
      </c>
      <c r="N27" s="2">
        <f>N5/'Output-Calculation-sheet'!N4*'Output-Calculation-sheet'!N13</f>
        <v>572.90567468054985</v>
      </c>
      <c r="O27" s="2">
        <f>O5/'Output-Calculation-sheet'!O4*'Output-Calculation-sheet'!O13</f>
        <v>0</v>
      </c>
      <c r="P27" s="2">
        <f>P5/'Output-Calculation-sheet'!P4*'Output-Calculation-sheet'!P13</f>
        <v>689.25991538622191</v>
      </c>
      <c r="Q27" s="2">
        <f>Q5/'Output-Calculation-sheet'!Q4*'Output-Calculation-sheet'!Q13</f>
        <v>743.58934648937327</v>
      </c>
      <c r="R27" s="2">
        <f>R5/'Output-Calculation-sheet'!R4*'Output-Calculation-sheet'!R13</f>
        <v>671.07588355119867</v>
      </c>
      <c r="S27" s="2">
        <f>S5/'Output-Calculation-sheet'!S4*'Output-Calculation-sheet'!S13</f>
        <v>402.85384544380736</v>
      </c>
      <c r="T27" s="2">
        <f>T5/'Output-Calculation-sheet'!T4*'Output-Calculation-sheet'!T13</f>
        <v>246.68521175349937</v>
      </c>
      <c r="U27" s="2">
        <f>U5/'Output-Calculation-sheet'!U4*'Output-Calculation-sheet'!U13</f>
        <v>188.38017298332596</v>
      </c>
      <c r="V27" s="2">
        <f>V5/'Output-Calculation-sheet'!V4*'Output-Calculation-sheet'!V13</f>
        <v>180.46128445485468</v>
      </c>
      <c r="W27" s="2">
        <f>W5/'Output-Calculation-sheet'!W4*'Output-Calculation-sheet'!W13</f>
        <v>126.29843563697831</v>
      </c>
      <c r="X27" s="2">
        <f>X5/'Output-Calculation-sheet'!X4*'Output-Calculation-sheet'!X13</f>
        <v>0</v>
      </c>
      <c r="Y27" s="2">
        <f>Y5/'Output-Calculation-sheet'!Y4*'Output-Calculation-sheet'!Y13</f>
        <v>82.903041037375289</v>
      </c>
      <c r="AA27" s="2">
        <f t="shared" ref="AA27:AA34" si="1">SUM(B27:Y27)/1000</f>
        <v>24.016094985693933</v>
      </c>
    </row>
    <row r="28" spans="1:27" x14ac:dyDescent="0.25">
      <c r="A28" s="2">
        <v>2029</v>
      </c>
      <c r="B28" s="2">
        <f>B6/'Output-Calculation-sheet'!B5*'Output-Calculation-sheet'!B14</f>
        <v>11382.576752299157</v>
      </c>
      <c r="C28" s="2">
        <f>C6/'Output-Calculation-sheet'!C5*'Output-Calculation-sheet'!C14</f>
        <v>0</v>
      </c>
      <c r="D28" s="2">
        <f>D6/'Output-Calculation-sheet'!D5*'Output-Calculation-sheet'!D14</f>
        <v>3620.8712728420778</v>
      </c>
      <c r="E28" s="2">
        <f>E6/'Output-Calculation-sheet'!E5*'Output-Calculation-sheet'!E14</f>
        <v>3718.2455007363183</v>
      </c>
      <c r="F28" s="2">
        <f>F6/'Output-Calculation-sheet'!F5*'Output-Calculation-sheet'!F14</f>
        <v>2096.7103251445646</v>
      </c>
      <c r="G28" s="2">
        <f>G6/'Output-Calculation-sheet'!G5*'Output-Calculation-sheet'!G14</f>
        <v>1270.3242082281017</v>
      </c>
      <c r="H28" s="2">
        <f>H6/'Output-Calculation-sheet'!H5*'Output-Calculation-sheet'!H14</f>
        <v>0</v>
      </c>
      <c r="I28" s="2">
        <f>I6/'Output-Calculation-sheet'!I5*'Output-Calculation-sheet'!I14</f>
        <v>1275.9031893260374</v>
      </c>
      <c r="J28" s="2">
        <f>J6/'Output-Calculation-sheet'!J5*'Output-Calculation-sheet'!J14</f>
        <v>1169.2349527227605</v>
      </c>
      <c r="K28" s="2">
        <f>K6/'Output-Calculation-sheet'!K5*'Output-Calculation-sheet'!K14</f>
        <v>1434.0544668317659</v>
      </c>
      <c r="L28" s="2">
        <f>L6/'Output-Calculation-sheet'!L5*'Output-Calculation-sheet'!L14</f>
        <v>1186.0173652882559</v>
      </c>
      <c r="M28" s="2">
        <f>M6/'Output-Calculation-sheet'!M5*'Output-Calculation-sheet'!M14</f>
        <v>0</v>
      </c>
      <c r="N28" s="2">
        <f>N6/'Output-Calculation-sheet'!N5*'Output-Calculation-sheet'!N14</f>
        <v>751.8905728494766</v>
      </c>
      <c r="O28" s="2">
        <f>O6/'Output-Calculation-sheet'!O5*'Output-Calculation-sheet'!O14</f>
        <v>0</v>
      </c>
      <c r="P28" s="2">
        <f>P6/'Output-Calculation-sheet'!P5*'Output-Calculation-sheet'!P14</f>
        <v>939.03394474886909</v>
      </c>
      <c r="Q28" s="2">
        <f>Q6/'Output-Calculation-sheet'!Q5*'Output-Calculation-sheet'!Q14</f>
        <v>1019.3374431875496</v>
      </c>
      <c r="R28" s="2">
        <f>R6/'Output-Calculation-sheet'!R5*'Output-Calculation-sheet'!R14</f>
        <v>906.34180666096779</v>
      </c>
      <c r="S28" s="2">
        <f>S6/'Output-Calculation-sheet'!S5*'Output-Calculation-sheet'!S14</f>
        <v>555.55812234133214</v>
      </c>
      <c r="T28" s="2">
        <f>T6/'Output-Calculation-sheet'!T5*'Output-Calculation-sheet'!T14</f>
        <v>331.37937255296811</v>
      </c>
      <c r="U28" s="2">
        <f>U6/'Output-Calculation-sheet'!U5*'Output-Calculation-sheet'!U14</f>
        <v>254.21469811921583</v>
      </c>
      <c r="V28" s="2">
        <f>V6/'Output-Calculation-sheet'!V5*'Output-Calculation-sheet'!V14</f>
        <v>243.151615863193</v>
      </c>
      <c r="W28" s="2">
        <f>W6/'Output-Calculation-sheet'!W5*'Output-Calculation-sheet'!W14</f>
        <v>169.6771422124115</v>
      </c>
      <c r="X28" s="2">
        <f>X6/'Output-Calculation-sheet'!X5*'Output-Calculation-sheet'!X14</f>
        <v>0</v>
      </c>
      <c r="Y28" s="2">
        <f>Y6/'Output-Calculation-sheet'!Y5*'Output-Calculation-sheet'!Y14</f>
        <v>111.57048803484622</v>
      </c>
      <c r="AA28" s="2">
        <f t="shared" si="1"/>
        <v>32.436093239989866</v>
      </c>
    </row>
    <row r="29" spans="1:27" x14ac:dyDescent="0.25">
      <c r="A29" s="2">
        <v>2030</v>
      </c>
      <c r="B29" s="2">
        <f>B7/'Output-Calculation-sheet'!B6*'Output-Calculation-sheet'!B15</f>
        <v>14196.496637802778</v>
      </c>
      <c r="C29" s="2">
        <f>C7/'Output-Calculation-sheet'!C6*'Output-Calculation-sheet'!C15</f>
        <v>0</v>
      </c>
      <c r="D29" s="2">
        <f>D7/'Output-Calculation-sheet'!D6*'Output-Calculation-sheet'!D15</f>
        <v>4462.6113684516886</v>
      </c>
      <c r="E29" s="2">
        <f>E7/'Output-Calculation-sheet'!E6*'Output-Calculation-sheet'!E15</f>
        <v>4600.3729237478128</v>
      </c>
      <c r="F29" s="2">
        <f>F7/'Output-Calculation-sheet'!F6*'Output-Calculation-sheet'!F15</f>
        <v>2580.4201269724185</v>
      </c>
      <c r="G29" s="2">
        <f>G7/'Output-Calculation-sheet'!G6*'Output-Calculation-sheet'!G15</f>
        <v>1560.7874323025187</v>
      </c>
      <c r="H29" s="2">
        <f>H7/'Output-Calculation-sheet'!H6*'Output-Calculation-sheet'!H15</f>
        <v>0</v>
      </c>
      <c r="I29" s="2">
        <f>I7/'Output-Calculation-sheet'!I6*'Output-Calculation-sheet'!I15</f>
        <v>1572.6542035237796</v>
      </c>
      <c r="J29" s="2">
        <f>J7/'Output-Calculation-sheet'!J6*'Output-Calculation-sheet'!J15</f>
        <v>1438.5857973863817</v>
      </c>
      <c r="K29" s="2">
        <f>K7/'Output-Calculation-sheet'!K6*'Output-Calculation-sheet'!K15</f>
        <v>1771.2890897175346</v>
      </c>
      <c r="L29" s="2">
        <f>L7/'Output-Calculation-sheet'!L6*'Output-Calculation-sheet'!L15</f>
        <v>1468.5249945871315</v>
      </c>
      <c r="M29" s="2">
        <f>M7/'Output-Calculation-sheet'!M6*'Output-Calculation-sheet'!M15</f>
        <v>0</v>
      </c>
      <c r="N29" s="2">
        <f>N7/'Output-Calculation-sheet'!N6*'Output-Calculation-sheet'!N15</f>
        <v>832.74949466042415</v>
      </c>
      <c r="O29" s="2">
        <f>O7/'Output-Calculation-sheet'!O6*'Output-Calculation-sheet'!O15</f>
        <v>0</v>
      </c>
      <c r="P29" s="2">
        <f>P7/'Output-Calculation-sheet'!P6*'Output-Calculation-sheet'!P15</f>
        <v>1167.3868582733101</v>
      </c>
      <c r="Q29" s="2">
        <f>Q7/'Output-Calculation-sheet'!Q6*'Output-Calculation-sheet'!Q15</f>
        <v>1275.2033140261374</v>
      </c>
      <c r="R29" s="2">
        <f>R7/'Output-Calculation-sheet'!R6*'Output-Calculation-sheet'!R15</f>
        <v>1122.8565649899601</v>
      </c>
      <c r="S29" s="2">
        <f>S7/'Output-Calculation-sheet'!S6*'Output-Calculation-sheet'!S15</f>
        <v>642.01588171525168</v>
      </c>
      <c r="T29" s="2">
        <f>T7/'Output-Calculation-sheet'!T6*'Output-Calculation-sheet'!T15</f>
        <v>409.39335219594443</v>
      </c>
      <c r="U29" s="2">
        <f>U7/'Output-Calculation-sheet'!U6*'Output-Calculation-sheet'!U15</f>
        <v>314.56614287716297</v>
      </c>
      <c r="V29" s="2">
        <f>V7/'Output-Calculation-sheet'!V6*'Output-Calculation-sheet'!V15</f>
        <v>301.09525510247096</v>
      </c>
      <c r="W29" s="2">
        <f>W7/'Output-Calculation-sheet'!W6*'Output-Calculation-sheet'!W15</f>
        <v>209.6671481682437</v>
      </c>
      <c r="X29" s="2">
        <f>X7/'Output-Calculation-sheet'!X6*'Output-Calculation-sheet'!X15</f>
        <v>0</v>
      </c>
      <c r="Y29" s="2">
        <f>Y7/'Output-Calculation-sheet'!Y6*'Output-Calculation-sheet'!Y15</f>
        <v>138.10488775914817</v>
      </c>
      <c r="AA29" s="2">
        <f t="shared" si="1"/>
        <v>40.064781474260101</v>
      </c>
    </row>
    <row r="30" spans="1:27" x14ac:dyDescent="0.25">
      <c r="A30" s="2">
        <v>2031</v>
      </c>
      <c r="B30" s="2">
        <f>B8/'Output-Calculation-sheet'!B7*'Output-Calculation-sheet'!B16</f>
        <v>16532.903963959066</v>
      </c>
      <c r="C30" s="2">
        <f>C8/'Output-Calculation-sheet'!C7*'Output-Calculation-sheet'!C16</f>
        <v>0</v>
      </c>
      <c r="D30" s="2">
        <f>D8/'Output-Calculation-sheet'!D7*'Output-Calculation-sheet'!D16</f>
        <v>5160.9778951643921</v>
      </c>
      <c r="E30" s="2">
        <f>E8/'Output-Calculation-sheet'!E7*'Output-Calculation-sheet'!E16</f>
        <v>5338.2000710013581</v>
      </c>
      <c r="F30" s="2">
        <f>F8/'Output-Calculation-sheet'!F7*'Output-Calculation-sheet'!F16</f>
        <v>2990.6614591187249</v>
      </c>
      <c r="G30" s="2">
        <f>G8/'Output-Calculation-sheet'!G7*'Output-Calculation-sheet'!G16</f>
        <v>1803.6958852593598</v>
      </c>
      <c r="H30" s="2">
        <f>H8/'Output-Calculation-sheet'!H7*'Output-Calculation-sheet'!H16</f>
        <v>0</v>
      </c>
      <c r="I30" s="2">
        <f>I8/'Output-Calculation-sheet'!I7*'Output-Calculation-sheet'!I16</f>
        <v>1825.5404586645218</v>
      </c>
      <c r="J30" s="2">
        <f>J8/'Output-Calculation-sheet'!J7*'Output-Calculation-sheet'!J16</f>
        <v>1666.2721808304486</v>
      </c>
      <c r="K30" s="2">
        <f>K8/'Output-Calculation-sheet'!K7*'Output-Calculation-sheet'!K16</f>
        <v>2060.7257999514109</v>
      </c>
      <c r="L30" s="2">
        <f>L8/'Output-Calculation-sheet'!L7*'Output-Calculation-sheet'!L16</f>
        <v>1700.6370669258479</v>
      </c>
      <c r="M30" s="2">
        <f>M8/'Output-Calculation-sheet'!M7*'Output-Calculation-sheet'!M16</f>
        <v>0</v>
      </c>
      <c r="N30" s="2">
        <f>N8/'Output-Calculation-sheet'!N7*'Output-Calculation-sheet'!N16</f>
        <v>834.42741550459834</v>
      </c>
      <c r="O30" s="2">
        <f>O8/'Output-Calculation-sheet'!O7*'Output-Calculation-sheet'!O16</f>
        <v>0</v>
      </c>
      <c r="P30" s="2">
        <f>P8/'Output-Calculation-sheet'!P7*'Output-Calculation-sheet'!P16</f>
        <v>1355.4878507331525</v>
      </c>
      <c r="Q30" s="2">
        <f>Q8/'Output-Calculation-sheet'!Q7*'Output-Calculation-sheet'!Q16</f>
        <v>1486.7411897578806</v>
      </c>
      <c r="R30" s="2">
        <f>R8/'Output-Calculation-sheet'!R7*'Output-Calculation-sheet'!R16</f>
        <v>1302.5788045060881</v>
      </c>
      <c r="S30" s="2">
        <f>S8/'Output-Calculation-sheet'!S7*'Output-Calculation-sheet'!S16</f>
        <v>695.62557373925893</v>
      </c>
      <c r="T30" s="2">
        <f>T8/'Output-Calculation-sheet'!T7*'Output-Calculation-sheet'!T16</f>
        <v>475.20747023307047</v>
      </c>
      <c r="U30" s="2">
        <f>U8/'Output-Calculation-sheet'!U7*'Output-Calculation-sheet'!U16</f>
        <v>365.23077878732147</v>
      </c>
      <c r="V30" s="2">
        <f>V8/'Output-Calculation-sheet'!V7*'Output-Calculation-sheet'!V16</f>
        <v>349.74007858809784</v>
      </c>
      <c r="W30" s="2">
        <f>W8/'Output-Calculation-sheet'!W7*'Output-Calculation-sheet'!W16</f>
        <v>242.80204843341062</v>
      </c>
      <c r="X30" s="2">
        <f>X8/'Output-Calculation-sheet'!X7*'Output-Calculation-sheet'!X16</f>
        <v>0</v>
      </c>
      <c r="Y30" s="2">
        <f>Y8/'Output-Calculation-sheet'!Y7*'Output-Calculation-sheet'!Y16</f>
        <v>160.51801442610508</v>
      </c>
      <c r="AA30" s="2">
        <f t="shared" si="1"/>
        <v>46.347974005584121</v>
      </c>
    </row>
    <row r="31" spans="1:27" x14ac:dyDescent="0.25">
      <c r="A31" s="2">
        <v>2032</v>
      </c>
      <c r="B31" s="2">
        <f>B9/'Output-Calculation-sheet'!B8*'Output-Calculation-sheet'!B17</f>
        <v>18369.358031590029</v>
      </c>
      <c r="C31" s="2">
        <f>C9/'Output-Calculation-sheet'!C8*'Output-Calculation-sheet'!C17</f>
        <v>0</v>
      </c>
      <c r="D31" s="2">
        <f>D9/'Output-Calculation-sheet'!D8*'Output-Calculation-sheet'!D17</f>
        <v>5694.8875384983976</v>
      </c>
      <c r="E31" s="2">
        <f>E9/'Output-Calculation-sheet'!E8*'Output-Calculation-sheet'!E17</f>
        <v>5897.7054855612187</v>
      </c>
      <c r="F31" s="2">
        <f>F9/'Output-Calculation-sheet'!F8*'Output-Calculation-sheet'!F17</f>
        <v>3294.8097597871815</v>
      </c>
      <c r="G31" s="2">
        <f>G9/'Output-Calculation-sheet'!G8*'Output-Calculation-sheet'!G17</f>
        <v>1986.2427303052934</v>
      </c>
      <c r="H31" s="2">
        <f>H9/'Output-Calculation-sheet'!H8*'Output-Calculation-sheet'!H17</f>
        <v>0</v>
      </c>
      <c r="I31" s="2">
        <f>I9/'Output-Calculation-sheet'!I8*'Output-Calculation-sheet'!I17</f>
        <v>2013.8054706736791</v>
      </c>
      <c r="J31" s="2">
        <f>J9/'Output-Calculation-sheet'!J8*'Output-Calculation-sheet'!J17</f>
        <v>1836.7244263329894</v>
      </c>
      <c r="K31" s="2">
        <f>K9/'Output-Calculation-sheet'!K8*'Output-Calculation-sheet'!K17</f>
        <v>2275.1137298091849</v>
      </c>
      <c r="L31" s="2">
        <f>L9/'Output-Calculation-sheet'!L8*'Output-Calculation-sheet'!L17</f>
        <v>1878.0720541810663</v>
      </c>
      <c r="M31" s="2">
        <f>M9/'Output-Calculation-sheet'!M8*'Output-Calculation-sheet'!M17</f>
        <v>0</v>
      </c>
      <c r="N31" s="2">
        <f>N9/'Output-Calculation-sheet'!N8*'Output-Calculation-sheet'!N17</f>
        <v>830.75002716904771</v>
      </c>
      <c r="O31" s="2">
        <f>O9/'Output-Calculation-sheet'!O8*'Output-Calculation-sheet'!O17</f>
        <v>0</v>
      </c>
      <c r="P31" s="2">
        <f>P9/'Output-Calculation-sheet'!P8*'Output-Calculation-sheet'!P17</f>
        <v>1510.8515953856142</v>
      </c>
      <c r="Q31" s="2">
        <f>Q9/'Output-Calculation-sheet'!Q8*'Output-Calculation-sheet'!Q17</f>
        <v>1655.750669241814</v>
      </c>
      <c r="R31" s="2">
        <f>R9/'Output-Calculation-sheet'!R8*'Output-Calculation-sheet'!R17</f>
        <v>1437.6176972205712</v>
      </c>
      <c r="S31" s="2">
        <f>S9/'Output-Calculation-sheet'!S8*'Output-Calculation-sheet'!S17</f>
        <v>717.29955284289622</v>
      </c>
      <c r="T31" s="2">
        <f>T9/'Output-Calculation-sheet'!T8*'Output-Calculation-sheet'!T17</f>
        <v>523.88177596723347</v>
      </c>
      <c r="U31" s="2">
        <f>U9/'Output-Calculation-sheet'!U8*'Output-Calculation-sheet'!U17</f>
        <v>404.04311155265788</v>
      </c>
      <c r="V31" s="2">
        <f>V9/'Output-Calculation-sheet'!V8*'Output-Calculation-sheet'!V17</f>
        <v>387.19275770042913</v>
      </c>
      <c r="W31" s="2">
        <f>W9/'Output-Calculation-sheet'!W8*'Output-Calculation-sheet'!W17</f>
        <v>268.11415621084728</v>
      </c>
      <c r="X31" s="2">
        <f>X9/'Output-Calculation-sheet'!X8*'Output-Calculation-sheet'!X17</f>
        <v>0</v>
      </c>
      <c r="Y31" s="2">
        <f>Y9/'Output-Calculation-sheet'!Y8*'Output-Calculation-sheet'!Y17</f>
        <v>177.25003300290462</v>
      </c>
      <c r="AA31" s="2">
        <f t="shared" si="1"/>
        <v>51.159470603033057</v>
      </c>
    </row>
    <row r="32" spans="1:27" x14ac:dyDescent="0.25">
      <c r="A32" s="2">
        <v>2033</v>
      </c>
      <c r="B32" s="2">
        <f>B10/'Output-Calculation-sheet'!B9*'Output-Calculation-sheet'!B18</f>
        <v>18413.290068247697</v>
      </c>
      <c r="C32" s="2">
        <f>C10/'Output-Calculation-sheet'!C9*'Output-Calculation-sheet'!C18</f>
        <v>0</v>
      </c>
      <c r="D32" s="2">
        <f>D10/'Output-Calculation-sheet'!D9*'Output-Calculation-sheet'!D18</f>
        <v>6147.1707271759915</v>
      </c>
      <c r="E32" s="2">
        <f>E10/'Output-Calculation-sheet'!E9*'Output-Calculation-sheet'!E18</f>
        <v>6365.5370779547884</v>
      </c>
      <c r="F32" s="2">
        <f>F10/'Output-Calculation-sheet'!F9*'Output-Calculation-sheet'!F18</f>
        <v>3555.5680706832586</v>
      </c>
      <c r="G32" s="2">
        <f>G10/'Output-Calculation-sheet'!G9*'Output-Calculation-sheet'!G18</f>
        <v>2144.4179749534287</v>
      </c>
      <c r="H32" s="2">
        <f>H10/'Output-Calculation-sheet'!H9*'Output-Calculation-sheet'!H18</f>
        <v>0</v>
      </c>
      <c r="I32" s="2">
        <f>I10/'Output-Calculation-sheet'!I9*'Output-Calculation-sheet'!I18</f>
        <v>2173.9223430221268</v>
      </c>
      <c r="J32" s="2">
        <f>J10/'Output-Calculation-sheet'!J9*'Output-Calculation-sheet'!J18</f>
        <v>1982.736545785807</v>
      </c>
      <c r="K32" s="2">
        <f>K10/'Output-Calculation-sheet'!K9*'Output-Calculation-sheet'!K18</f>
        <v>2461.5977231977213</v>
      </c>
      <c r="L32" s="2">
        <f>L10/'Output-Calculation-sheet'!L9*'Output-Calculation-sheet'!L18</f>
        <v>2028.6718925380521</v>
      </c>
      <c r="M32" s="2">
        <f>M10/'Output-Calculation-sheet'!M9*'Output-Calculation-sheet'!M18</f>
        <v>0</v>
      </c>
      <c r="N32" s="2">
        <f>N10/'Output-Calculation-sheet'!N9*'Output-Calculation-sheet'!N18</f>
        <v>802.97581243297191</v>
      </c>
      <c r="O32" s="2">
        <f>O10/'Output-Calculation-sheet'!O9*'Output-Calculation-sheet'!O18</f>
        <v>0</v>
      </c>
      <c r="P32" s="2">
        <f>P10/'Output-Calculation-sheet'!P9*'Output-Calculation-sheet'!P18</f>
        <v>1642.9186240094614</v>
      </c>
      <c r="Q32" s="2">
        <f>Q10/'Output-Calculation-sheet'!Q9*'Output-Calculation-sheet'!Q18</f>
        <v>1801.8454363972839</v>
      </c>
      <c r="R32" s="2">
        <f>R10/'Output-Calculation-sheet'!R9*'Output-Calculation-sheet'!R18</f>
        <v>1556.3487747697013</v>
      </c>
      <c r="S32" s="2">
        <f>S10/'Output-Calculation-sheet'!S9*'Output-Calculation-sheet'!S18</f>
        <v>724.42865772892139</v>
      </c>
      <c r="T32" s="2">
        <f>T10/'Output-Calculation-sheet'!T9*'Output-Calculation-sheet'!T18</f>
        <v>566.11708886931774</v>
      </c>
      <c r="U32" s="2">
        <f>U10/'Output-Calculation-sheet'!U9*'Output-Calculation-sheet'!U18</f>
        <v>436.60202831704146</v>
      </c>
      <c r="V32" s="2">
        <f>V10/'Output-Calculation-sheet'!V9*'Output-Calculation-sheet'!V18</f>
        <v>418.84811781894319</v>
      </c>
      <c r="W32" s="2">
        <f>W10/'Output-Calculation-sheet'!W9*'Output-Calculation-sheet'!W18</f>
        <v>289.01511461379192</v>
      </c>
      <c r="X32" s="2">
        <f>X10/'Output-Calculation-sheet'!X9*'Output-Calculation-sheet'!X18</f>
        <v>0</v>
      </c>
      <c r="Y32" s="2">
        <f>Y10/'Output-Calculation-sheet'!Y9*'Output-Calculation-sheet'!Y18</f>
        <v>191.6321102048862</v>
      </c>
      <c r="AA32" s="2">
        <f t="shared" si="1"/>
        <v>53.703644188721221</v>
      </c>
    </row>
    <row r="33" spans="1:27" x14ac:dyDescent="0.25">
      <c r="A33" s="2">
        <v>2034</v>
      </c>
      <c r="B33" s="2">
        <f>B11/'Output-Calculation-sheet'!B10*'Output-Calculation-sheet'!B19</f>
        <v>18496.464056738725</v>
      </c>
      <c r="C33" s="2">
        <f>C11/'Output-Calculation-sheet'!C10*'Output-Calculation-sheet'!C19</f>
        <v>0</v>
      </c>
      <c r="D33" s="2">
        <f>D11/'Output-Calculation-sheet'!D10*'Output-Calculation-sheet'!D19</f>
        <v>6539.9757953308772</v>
      </c>
      <c r="E33" s="2">
        <f>E11/'Output-Calculation-sheet'!E10*'Output-Calculation-sheet'!E19</f>
        <v>6788.2605652049651</v>
      </c>
      <c r="F33" s="2">
        <f>F11/'Output-Calculation-sheet'!F10*'Output-Calculation-sheet'!F19</f>
        <v>3784.7044570975786</v>
      </c>
      <c r="G33" s="2">
        <f>G11/'Output-Calculation-sheet'!G10*'Output-Calculation-sheet'!G19</f>
        <v>2279.0366374398704</v>
      </c>
      <c r="H33" s="2">
        <f>H11/'Output-Calculation-sheet'!H10*'Output-Calculation-sheet'!H19</f>
        <v>0</v>
      </c>
      <c r="I33" s="2">
        <f>I11/'Output-Calculation-sheet'!I10*'Output-Calculation-sheet'!I19</f>
        <v>2321.2011759992142</v>
      </c>
      <c r="J33" s="2">
        <f>J11/'Output-Calculation-sheet'!J10*'Output-Calculation-sheet'!J19</f>
        <v>2109.5773992496897</v>
      </c>
      <c r="K33" s="2">
        <f>K11/'Output-Calculation-sheet'!K10*'Output-Calculation-sheet'!K19</f>
        <v>2627.6185967678925</v>
      </c>
      <c r="L33" s="2">
        <f>L11/'Output-Calculation-sheet'!L10*'Output-Calculation-sheet'!L19</f>
        <v>2161.181195496275</v>
      </c>
      <c r="M33" s="2">
        <f>M11/'Output-Calculation-sheet'!M10*'Output-Calculation-sheet'!M19</f>
        <v>0</v>
      </c>
      <c r="N33" s="2">
        <f>N11/'Output-Calculation-sheet'!N10*'Output-Calculation-sheet'!N19</f>
        <v>800.89232078491023</v>
      </c>
      <c r="O33" s="2">
        <f>O11/'Output-Calculation-sheet'!O10*'Output-Calculation-sheet'!O19</f>
        <v>0</v>
      </c>
      <c r="P33" s="2">
        <f>P11/'Output-Calculation-sheet'!P10*'Output-Calculation-sheet'!P19</f>
        <v>1761.5616519827372</v>
      </c>
      <c r="Q33" s="2">
        <f>Q11/'Output-Calculation-sheet'!Q10*'Output-Calculation-sheet'!Q19</f>
        <v>1935.2560154268094</v>
      </c>
      <c r="R33" s="2">
        <f>R11/'Output-Calculation-sheet'!R10*'Output-Calculation-sheet'!R19</f>
        <v>1660.7653234177244</v>
      </c>
      <c r="S33" s="2">
        <f>S11/'Output-Calculation-sheet'!S10*'Output-Calculation-sheet'!S19</f>
        <v>765.97003049644923</v>
      </c>
      <c r="T33" s="2">
        <f>T11/'Output-Calculation-sheet'!T10*'Output-Calculation-sheet'!T19</f>
        <v>603.53560103479958</v>
      </c>
      <c r="U33" s="2">
        <f>U11/'Output-Calculation-sheet'!U10*'Output-Calculation-sheet'!U19</f>
        <v>467.03363853437253</v>
      </c>
      <c r="V33" s="2">
        <f>V11/'Output-Calculation-sheet'!V10*'Output-Calculation-sheet'!V19</f>
        <v>447.72925229332327</v>
      </c>
      <c r="W33" s="2">
        <f>W11/'Output-Calculation-sheet'!W10*'Output-Calculation-sheet'!W19</f>
        <v>307.60744198855906</v>
      </c>
      <c r="X33" s="2">
        <f>X11/'Output-Calculation-sheet'!X10*'Output-Calculation-sheet'!X19</f>
        <v>0</v>
      </c>
      <c r="Y33" s="2">
        <f>Y11/'Output-Calculation-sheet'!Y10*'Output-Calculation-sheet'!Y19</f>
        <v>204.23951452699978</v>
      </c>
      <c r="AA33" s="2">
        <f t="shared" si="1"/>
        <v>56.062610669811768</v>
      </c>
    </row>
    <row r="34" spans="1:27" x14ac:dyDescent="0.25">
      <c r="A34" s="2">
        <v>2035</v>
      </c>
      <c r="B34" s="2">
        <f>B12/'Output-Calculation-sheet'!B11*'Output-Calculation-sheet'!B20</f>
        <v>18681.797785168146</v>
      </c>
      <c r="C34" s="2">
        <f>C12/'Output-Calculation-sheet'!C11*'Output-Calculation-sheet'!C20</f>
        <v>0</v>
      </c>
      <c r="D34" s="2">
        <f>D12/'Output-Calculation-sheet'!D11*'Output-Calculation-sheet'!D20</f>
        <v>6909.1183418005376</v>
      </c>
      <c r="E34" s="2">
        <f>E12/'Output-Calculation-sheet'!E11*'Output-Calculation-sheet'!E20</f>
        <v>7168.4715234213863</v>
      </c>
      <c r="F34" s="2">
        <f>F12/'Output-Calculation-sheet'!F11*'Output-Calculation-sheet'!F20</f>
        <v>3990.8296259407857</v>
      </c>
      <c r="G34" s="2">
        <f>G12/'Output-Calculation-sheet'!G11*'Output-Calculation-sheet'!G20</f>
        <v>2397.8636468673108</v>
      </c>
      <c r="H34" s="2">
        <f>H12/'Output-Calculation-sheet'!H11*'Output-Calculation-sheet'!H20</f>
        <v>0</v>
      </c>
      <c r="I34" s="2">
        <f>I12/'Output-Calculation-sheet'!I11*'Output-Calculation-sheet'!I20</f>
        <v>2449.1563874542194</v>
      </c>
      <c r="J34" s="2">
        <f>J12/'Output-Calculation-sheet'!J11*'Output-Calculation-sheet'!J20</f>
        <v>2218.1375931569792</v>
      </c>
      <c r="K34" s="2">
        <f>K12/'Output-Calculation-sheet'!K11*'Output-Calculation-sheet'!K20</f>
        <v>2774.7639911786209</v>
      </c>
      <c r="L34" s="2">
        <f>L12/'Output-Calculation-sheet'!L11*'Output-Calculation-sheet'!L20</f>
        <v>2278.2572859037623</v>
      </c>
      <c r="M34" s="2">
        <f>M12/'Output-Calculation-sheet'!M11*'Output-Calculation-sheet'!M20</f>
        <v>0</v>
      </c>
      <c r="N34" s="2">
        <f>N12/'Output-Calculation-sheet'!N11*'Output-Calculation-sheet'!N20</f>
        <v>801.51758477324711</v>
      </c>
      <c r="O34" s="2">
        <f>O12/'Output-Calculation-sheet'!O11*'Output-Calculation-sheet'!O20</f>
        <v>0</v>
      </c>
      <c r="P34" s="2">
        <f>P12/'Output-Calculation-sheet'!P11*'Output-Calculation-sheet'!P20</f>
        <v>1870.7880897861774</v>
      </c>
      <c r="Q34" s="2">
        <f>Q12/'Output-Calculation-sheet'!Q11*'Output-Calculation-sheet'!Q20</f>
        <v>2051.3906846875857</v>
      </c>
      <c r="R34" s="2">
        <f>R12/'Output-Calculation-sheet'!R11*'Output-Calculation-sheet'!R20</f>
        <v>1759.0836880225629</v>
      </c>
      <c r="S34" s="2">
        <f>S12/'Output-Calculation-sheet'!S11*'Output-Calculation-sheet'!S20</f>
        <v>756.48697164027533</v>
      </c>
      <c r="T34" s="2">
        <f>T12/'Output-Calculation-sheet'!T11*'Output-Calculation-sheet'!T20</f>
        <v>636.72412238910442</v>
      </c>
      <c r="U34" s="2">
        <f>U12/'Output-Calculation-sheet'!U11*'Output-Calculation-sheet'!U20</f>
        <v>493.89342553474171</v>
      </c>
      <c r="V34" s="2">
        <f>V12/'Output-Calculation-sheet'!V11*'Output-Calculation-sheet'!V20</f>
        <v>474.32177649566478</v>
      </c>
      <c r="W34" s="2">
        <f>W12/'Output-Calculation-sheet'!W11*'Output-Calculation-sheet'!W20</f>
        <v>324.12087174965757</v>
      </c>
      <c r="X34" s="2">
        <f>X12/'Output-Calculation-sheet'!X11*'Output-Calculation-sheet'!X20</f>
        <v>0</v>
      </c>
      <c r="Y34" s="2">
        <f>Y12/'Output-Calculation-sheet'!Y11*'Output-Calculation-sheet'!Y20</f>
        <v>215.76748497485815</v>
      </c>
      <c r="AA34" s="2">
        <f t="shared" si="1"/>
        <v>58.252490880945615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2.8045060097980503</v>
      </c>
      <c r="C60" s="2">
        <f>C5*'Output-Calculation-sheet'!C49/10^9</f>
        <v>1.3259544535164083</v>
      </c>
      <c r="D60" s="2">
        <f>D5*'Output-Calculation-sheet'!D49/10^9</f>
        <v>0.61857936748993636</v>
      </c>
      <c r="E60" s="2">
        <f>E5*'Output-Calculation-sheet'!E49/10^9</f>
        <v>0.6869635561597881</v>
      </c>
      <c r="F60" s="2">
        <f>F5*'Output-Calculation-sheet'!F49/10^9</f>
        <v>0.31891814330989038</v>
      </c>
      <c r="G60" s="2">
        <f>G5*'Output-Calculation-sheet'!G49/10^9</f>
        <v>0.21966815651398988</v>
      </c>
      <c r="H60" s="2">
        <f>H5*'Output-Calculation-sheet'!H49/10^9</f>
        <v>0.41368755824314674</v>
      </c>
      <c r="I60" s="2">
        <f>I5*'Output-Calculation-sheet'!I49/10^9</f>
        <v>0.21686345053107561</v>
      </c>
      <c r="J60" s="2">
        <f>J5*'Output-Calculation-sheet'!J49/10^9</f>
        <v>0.19583560264183736</v>
      </c>
      <c r="K60" s="2">
        <f>K5*'Output-Calculation-sheet'!K49/10^9</f>
        <v>0.25243819539986856</v>
      </c>
      <c r="L60" s="2">
        <f>L5*'Output-Calculation-sheet'!L49/10^9</f>
        <v>0.20854476606842864</v>
      </c>
      <c r="M60" s="2">
        <f>M5*'Output-Calculation-sheet'!M49/10^9</f>
        <v>0.28540831602811251</v>
      </c>
      <c r="N60" s="2">
        <f>N5*'Output-Calculation-sheet'!N49/10^9</f>
        <v>0.29830401614355023</v>
      </c>
      <c r="O60" s="2">
        <f>O5*'Output-Calculation-sheet'!O49/10^9</f>
        <v>0.2576340831000849</v>
      </c>
      <c r="P60" s="2">
        <f>P5*'Output-Calculation-sheet'!P49/10^9</f>
        <v>0.21997365666771079</v>
      </c>
      <c r="Q60" s="2">
        <f>Q5*'Output-Calculation-sheet'!Q49/10^9</f>
        <v>0.22707699775083393</v>
      </c>
      <c r="R60" s="2">
        <f>R5*'Output-Calculation-sheet'!R49/10^9</f>
        <v>0.18198814314064132</v>
      </c>
      <c r="S60" s="2">
        <f>S5*'Output-Calculation-sheet'!S49/10^9</f>
        <v>0.16694544179122026</v>
      </c>
      <c r="T60" s="2">
        <f>T5*'Output-Calculation-sheet'!T49/10^9</f>
        <v>5.7096608885381983E-2</v>
      </c>
      <c r="U60" s="2">
        <f>U5*'Output-Calculation-sheet'!U49/10^9</f>
        <v>5.7057627665551475E-2</v>
      </c>
      <c r="V60" s="2">
        <f>V5*'Output-Calculation-sheet'!V49/10^9</f>
        <v>4.2725388729041171E-2</v>
      </c>
      <c r="W60" s="2">
        <f>W5*'Output-Calculation-sheet'!W49/10^9</f>
        <v>2.6788973476584255E-2</v>
      </c>
      <c r="X60" s="2">
        <f>X5*'Output-Calculation-sheet'!X49/10^9</f>
        <v>3.3720709740123311E-2</v>
      </c>
      <c r="Y60" s="2">
        <f>Y5*'Output-Calculation-sheet'!Y49/10^9</f>
        <v>2.2289120158863019E-2</v>
      </c>
      <c r="AA60" s="2">
        <f t="shared" ref="AA60:AA67" si="4">SUM(B60:Y60)</f>
        <v>9.1389683429501201</v>
      </c>
    </row>
    <row r="61" spans="1:27" x14ac:dyDescent="0.25">
      <c r="A61" s="2">
        <v>2029</v>
      </c>
      <c r="B61" s="2">
        <f>B6*'Output-Calculation-sheet'!B50/10^9</f>
        <v>3.7031698906246322</v>
      </c>
      <c r="C61" s="2">
        <f>C6*'Output-Calculation-sheet'!C50/10^9</f>
        <v>1.7630105506599874</v>
      </c>
      <c r="D61" s="2">
        <f>D6*'Output-Calculation-sheet'!D50/10^9</f>
        <v>0.81421415940860753</v>
      </c>
      <c r="E61" s="2">
        <f>E6*'Output-Calculation-sheet'!E50/10^9</f>
        <v>0.90494241563828626</v>
      </c>
      <c r="F61" s="2">
        <f>F6*'Output-Calculation-sheet'!F50/10^9</f>
        <v>0.41925576637267542</v>
      </c>
      <c r="G61" s="2">
        <f>G6*'Output-Calculation-sheet'!G50/10^9</f>
        <v>0.28917559484482275</v>
      </c>
      <c r="H61" s="2">
        <f>H6*'Output-Calculation-sheet'!H50/10^9</f>
        <v>0.54649910277415858</v>
      </c>
      <c r="I61" s="2">
        <f>I6*'Output-Calculation-sheet'!I50/10^9</f>
        <v>0.28544117575006561</v>
      </c>
      <c r="J61" s="2">
        <f>J6*'Output-Calculation-sheet'!J50/10^9</f>
        <v>0.25771898611489874</v>
      </c>
      <c r="K61" s="2">
        <f>K6*'Output-Calculation-sheet'!K50/10^9</f>
        <v>0.33238650648502827</v>
      </c>
      <c r="L61" s="2">
        <f>L6*'Output-Calculation-sheet'!L50/10^9</f>
        <v>0.27458780186349097</v>
      </c>
      <c r="M61" s="2">
        <f>M6*'Output-Calculation-sheet'!M50/10^9</f>
        <v>0.37753522083336333</v>
      </c>
      <c r="N61" s="2">
        <f>N6*'Output-Calculation-sheet'!N50/10^9</f>
        <v>0.39385778637615176</v>
      </c>
      <c r="O61" s="2">
        <f>O6*'Output-Calculation-sheet'!O50/10^9</f>
        <v>0.34255445615835461</v>
      </c>
      <c r="P61" s="2">
        <f>P6*'Output-Calculation-sheet'!P50/10^9</f>
        <v>0.29035680086364407</v>
      </c>
      <c r="Q61" s="2">
        <f>Q6*'Output-Calculation-sheet'!Q50/10^9</f>
        <v>0.29962714228859144</v>
      </c>
      <c r="R61" s="2">
        <f>R6*'Output-Calculation-sheet'!R50/10^9</f>
        <v>0.23991567388025165</v>
      </c>
      <c r="S61" s="2">
        <f>S6*'Output-Calculation-sheet'!S50/10^9</f>
        <v>0.22072553159794348</v>
      </c>
      <c r="T61" s="2">
        <f>T6*'Output-Calculation-sheet'!T50/10^9</f>
        <v>7.5161640567231819E-2</v>
      </c>
      <c r="U61" s="2">
        <f>U6*'Output-Calculation-sheet'!U50/10^9</f>
        <v>7.528708742904365E-2</v>
      </c>
      <c r="V61" s="2">
        <f>V6*'Output-Calculation-sheet'!V50/10^9</f>
        <v>5.6256070229625151E-2</v>
      </c>
      <c r="W61" s="2">
        <f>W6*'Output-Calculation-sheet'!W50/10^9</f>
        <v>3.5232391506464379E-2</v>
      </c>
      <c r="X61" s="2">
        <f>X6*'Output-Calculation-sheet'!X50/10^9</f>
        <v>4.4805125331980646E-2</v>
      </c>
      <c r="Y61" s="2">
        <f>Y6*'Output-Calculation-sheet'!Y50/10^9</f>
        <v>2.9382100351215738E-2</v>
      </c>
      <c r="AA61" s="2">
        <f t="shared" si="4"/>
        <v>12.07109897795052</v>
      </c>
    </row>
    <row r="62" spans="1:27" x14ac:dyDescent="0.25">
      <c r="A62" s="2">
        <v>2030</v>
      </c>
      <c r="B62" s="2">
        <f>B7*'Output-Calculation-sheet'!B51/10^9</f>
        <v>4.4884094630623457</v>
      </c>
      <c r="C62" s="2">
        <f>C7*'Output-Calculation-sheet'!C51/10^9</f>
        <v>2.1521482849536713</v>
      </c>
      <c r="D62" s="2">
        <f>D7*'Output-Calculation-sheet'!D51/10^9</f>
        <v>0.98377084100650103</v>
      </c>
      <c r="E62" s="2">
        <f>E7*'Output-Calculation-sheet'!E51/10^9</f>
        <v>1.0942222697771222</v>
      </c>
      <c r="F62" s="2">
        <f>F7*'Output-Calculation-sheet'!F51/10^9</f>
        <v>0.50591376402960908</v>
      </c>
      <c r="G62" s="2">
        <f>G7*'Output-Calculation-sheet'!G51/10^9</f>
        <v>0.34944181661793161</v>
      </c>
      <c r="H62" s="2">
        <f>H7*'Output-Calculation-sheet'!H51/10^9</f>
        <v>0.66153730334136052</v>
      </c>
      <c r="I62" s="2">
        <f>I7*'Output-Calculation-sheet'!I51/10^9</f>
        <v>0.34486243670413541</v>
      </c>
      <c r="J62" s="2">
        <f>J7*'Output-Calculation-sheet'!J51/10^9</f>
        <v>0.31132257992946577</v>
      </c>
      <c r="K62" s="2">
        <f>K7*'Output-Calculation-sheet'!K51/10^9</f>
        <v>0.40172277118292637</v>
      </c>
      <c r="L62" s="2">
        <f>L7*'Output-Calculation-sheet'!L51/10^9</f>
        <v>0.33186056311038786</v>
      </c>
      <c r="M62" s="2">
        <f>M7*'Output-Calculation-sheet'!M51/10^9</f>
        <v>0.45701324561549239</v>
      </c>
      <c r="N62" s="2">
        <f>N7*'Output-Calculation-sheet'!N51/10^9</f>
        <v>0.4768513108285613</v>
      </c>
      <c r="O62" s="2">
        <f>O7*'Output-Calculation-sheet'!O51/10^9</f>
        <v>0.41816425037754734</v>
      </c>
      <c r="P62" s="2">
        <f>P7*'Output-Calculation-sheet'!P51/10^9</f>
        <v>0.35180104679724972</v>
      </c>
      <c r="Q62" s="2">
        <f>Q7*'Output-Calculation-sheet'!Q51/10^9</f>
        <v>0.36287945062596999</v>
      </c>
      <c r="R62" s="2">
        <f>R7*'Output-Calculation-sheet'!R51/10^9</f>
        <v>0.29032127838575</v>
      </c>
      <c r="S62" s="2">
        <f>S7*'Output-Calculation-sheet'!S51/10^9</f>
        <v>0.26774824518310003</v>
      </c>
      <c r="T62" s="2">
        <f>T7*'Output-Calculation-sheet'!T51/10^9</f>
        <v>9.0820429531965549E-2</v>
      </c>
      <c r="U62" s="2">
        <f>U7*'Output-Calculation-sheet'!U51/10^9</f>
        <v>9.1189437929120501E-2</v>
      </c>
      <c r="V62" s="2">
        <f>V7*'Output-Calculation-sheet'!V51/10^9</f>
        <v>6.7988381279975724E-2</v>
      </c>
      <c r="W62" s="2">
        <f>W7*'Output-Calculation-sheet'!W51/10^9</f>
        <v>4.2531582853239554E-2</v>
      </c>
      <c r="X62" s="2">
        <f>X7*'Output-Calculation-sheet'!X51/10^9</f>
        <v>5.4293259396151906E-2</v>
      </c>
      <c r="Y62" s="2">
        <f>Y7*'Output-Calculation-sheet'!Y51/10^9</f>
        <v>3.5553666933703897E-2</v>
      </c>
      <c r="AA62" s="2">
        <f t="shared" si="4"/>
        <v>14.632367679453283</v>
      </c>
    </row>
    <row r="63" spans="1:27" x14ac:dyDescent="0.25">
      <c r="A63" s="2">
        <v>2031</v>
      </c>
      <c r="B63" s="2">
        <f>B8*'Output-Calculation-sheet'!B52/10^9</f>
        <v>5.1558288449532395</v>
      </c>
      <c r="C63" s="2">
        <f>C8*'Output-Calculation-sheet'!C52/10^9</f>
        <v>2.480873578137138</v>
      </c>
      <c r="D63" s="2">
        <f>D8*'Output-Calculation-sheet'!D52/10^9</f>
        <v>1.1283431979969216</v>
      </c>
      <c r="E63" s="2">
        <f>E8*'Output-Calculation-sheet'!E52/10^9</f>
        <v>1.2554784747552503</v>
      </c>
      <c r="F63" s="2">
        <f>F8*'Output-Calculation-sheet'!F52/10^9</f>
        <v>0.57989483858359026</v>
      </c>
      <c r="G63" s="2">
        <f>G8*'Output-Calculation-sheet'!G52/10^9</f>
        <v>0.40082681843974061</v>
      </c>
      <c r="H63" s="2">
        <f>H8*'Output-Calculation-sheet'!H52/10^9</f>
        <v>0.75581831480029349</v>
      </c>
      <c r="I63" s="2">
        <f>I8*'Output-Calculation-sheet'!I52/10^9</f>
        <v>0.39552836722572271</v>
      </c>
      <c r="J63" s="2">
        <f>J8*'Output-Calculation-sheet'!J52/10^9</f>
        <v>0.35703769085797599</v>
      </c>
      <c r="K63" s="2">
        <f>K8*'Output-Calculation-sheet'!K52/10^9</f>
        <v>0.46081718736566063</v>
      </c>
      <c r="L63" s="2">
        <f>L8*'Output-Calculation-sheet'!L52/10^9</f>
        <v>0.38067674011761782</v>
      </c>
      <c r="M63" s="2">
        <f>M8*'Output-Calculation-sheet'!M52/10^9</f>
        <v>0.52218210199936699</v>
      </c>
      <c r="N63" s="2">
        <f>N8*'Output-Calculation-sheet'!N52/10^9</f>
        <v>0.54578344072655716</v>
      </c>
      <c r="O63" s="2">
        <f>O8*'Output-Calculation-sheet'!O52/10^9</f>
        <v>0.48203585567781254</v>
      </c>
      <c r="P63" s="2">
        <f>P8*'Output-Calculation-sheet'!P52/10^9</f>
        <v>0.40404467382990378</v>
      </c>
      <c r="Q63" s="2">
        <f>Q8*'Output-Calculation-sheet'!Q52/10^9</f>
        <v>0.41667379951727584</v>
      </c>
      <c r="R63" s="2">
        <f>R8*'Output-Calculation-sheet'!R52/10^9</f>
        <v>0.33323084349584431</v>
      </c>
      <c r="S63" s="2">
        <f>S8*'Output-Calculation-sheet'!S52/10^9</f>
        <v>0.3071815036756485</v>
      </c>
      <c r="T63" s="2">
        <f>T8*'Output-Calculation-sheet'!T52/10^9</f>
        <v>0.10416948688187941</v>
      </c>
      <c r="U63" s="2">
        <f>U8*'Output-Calculation-sheet'!U52/10^9</f>
        <v>0.10471608687051473</v>
      </c>
      <c r="V63" s="2">
        <f>V8*'Output-Calculation-sheet'!V52/10^9</f>
        <v>7.7988424220362451E-2</v>
      </c>
      <c r="W63" s="2">
        <f>W8*'Output-Calculation-sheet'!W52/10^9</f>
        <v>4.8760307874507032E-2</v>
      </c>
      <c r="X63" s="2">
        <f>X8*'Output-Calculation-sheet'!X52/10^9</f>
        <v>6.2096865822337685E-2</v>
      </c>
      <c r="Y63" s="2">
        <f>Y8*'Output-Calculation-sheet'!Y52/10^9</f>
        <v>4.0807655142973409E-2</v>
      </c>
      <c r="AA63" s="2">
        <f t="shared" si="4"/>
        <v>16.800795098968134</v>
      </c>
    </row>
    <row r="64" spans="1:27" x14ac:dyDescent="0.25">
      <c r="A64" s="2">
        <v>2032</v>
      </c>
      <c r="B64" s="2">
        <f>B9*'Output-Calculation-sheet'!B53/10^9</f>
        <v>5.6384606547306593</v>
      </c>
      <c r="C64" s="2">
        <f>C9*'Output-Calculation-sheet'!C53/10^9</f>
        <v>2.7228085415097132</v>
      </c>
      <c r="D64" s="2">
        <f>D9*'Output-Calculation-sheet'!D53/10^9</f>
        <v>1.2321004215112141</v>
      </c>
      <c r="E64" s="2">
        <f>E9*'Output-Calculation-sheet'!E53/10^9</f>
        <v>1.371418815772357</v>
      </c>
      <c r="F64" s="2">
        <f>F9*'Output-Calculation-sheet'!F53/10^9</f>
        <v>0.63281248052394579</v>
      </c>
      <c r="G64" s="2">
        <f>G9*'Output-Calculation-sheet'!G53/10^9</f>
        <v>0.43772491217547482</v>
      </c>
      <c r="H64" s="2">
        <f>H9*'Output-Calculation-sheet'!H53/10^9</f>
        <v>0.82185403443697302</v>
      </c>
      <c r="I64" s="2">
        <f>I9*'Output-Calculation-sheet'!I53/10^9</f>
        <v>0.43188101317716199</v>
      </c>
      <c r="J64" s="2">
        <f>J9*'Output-Calculation-sheet'!J53/10^9</f>
        <v>0.38983005996303643</v>
      </c>
      <c r="K64" s="2">
        <f>K9*'Output-Calculation-sheet'!K53/10^9</f>
        <v>0.50325150520031281</v>
      </c>
      <c r="L64" s="2">
        <f>L9*'Output-Calculation-sheet'!L53/10^9</f>
        <v>0.41573235045474338</v>
      </c>
      <c r="M64" s="2">
        <f>M9*'Output-Calculation-sheet'!M53/10^9</f>
        <v>0.56783279663705932</v>
      </c>
      <c r="N64" s="2">
        <f>N9*'Output-Calculation-sheet'!N53/10^9</f>
        <v>0.59426042995544448</v>
      </c>
      <c r="O64" s="2">
        <f>O9*'Output-Calculation-sheet'!O53/10^9</f>
        <v>0.52904402574960208</v>
      </c>
      <c r="P64" s="2">
        <f>P9*'Output-Calculation-sheet'!P53/10^9</f>
        <v>0.4417892332468687</v>
      </c>
      <c r="Q64" s="2">
        <f>Q9*'Output-Calculation-sheet'!Q53/10^9</f>
        <v>0.45549077039665525</v>
      </c>
      <c r="R64" s="2">
        <f>R9*'Output-Calculation-sheet'!R53/10^9</f>
        <v>0.36414408381803803</v>
      </c>
      <c r="S64" s="2">
        <f>S9*'Output-Calculation-sheet'!S53/10^9</f>
        <v>0.33511624895559222</v>
      </c>
      <c r="T64" s="2">
        <f>T9*'Output-Calculation-sheet'!T53/10^9</f>
        <v>0.113750745527467</v>
      </c>
      <c r="U64" s="2">
        <f>U9*'Output-Calculation-sheet'!U53/10^9</f>
        <v>0.11448366097415599</v>
      </c>
      <c r="V64" s="2">
        <f>V9*'Output-Calculation-sheet'!V53/10^9</f>
        <v>8.5168135391599661E-2</v>
      </c>
      <c r="W64" s="2">
        <f>W9*'Output-Calculation-sheet'!W53/10^9</f>
        <v>5.3220290631296935E-2</v>
      </c>
      <c r="X64" s="2">
        <f>X9*'Output-Calculation-sheet'!X53/10^9</f>
        <v>6.7590699085221695E-2</v>
      </c>
      <c r="Y64" s="2">
        <f>Y9*'Output-Calculation-sheet'!Y53/10^9</f>
        <v>4.4591948082585077E-2</v>
      </c>
      <c r="AA64" s="2">
        <f t="shared" si="4"/>
        <v>18.364357857907176</v>
      </c>
    </row>
    <row r="65" spans="1:27" x14ac:dyDescent="0.25">
      <c r="A65" s="2">
        <v>2033</v>
      </c>
      <c r="B65" s="2">
        <f>B10*'Output-Calculation-sheet'!B54/10^9</f>
        <v>6.0286213926621128</v>
      </c>
      <c r="C65" s="2">
        <f>C10*'Output-Calculation-sheet'!C54/10^9</f>
        <v>2.9183959471177432</v>
      </c>
      <c r="D65" s="2">
        <f>D10*'Output-Calculation-sheet'!D54/10^9</f>
        <v>1.316725369087671</v>
      </c>
      <c r="E65" s="2">
        <f>E10*'Output-Calculation-sheet'!E54/10^9</f>
        <v>1.4661388317445585</v>
      </c>
      <c r="F65" s="2">
        <f>F10*'Output-Calculation-sheet'!F54/10^9</f>
        <v>0.67583707292547546</v>
      </c>
      <c r="G65" s="2">
        <f>G10*'Output-Calculation-sheet'!G54/10^9</f>
        <v>0.46783399083967825</v>
      </c>
      <c r="H65" s="2">
        <f>H10*'Output-Calculation-sheet'!H54/10^9</f>
        <v>0.87432116623901979</v>
      </c>
      <c r="I65" s="2">
        <f>I10*'Output-Calculation-sheet'!I54/10^9</f>
        <v>0.46152420028121088</v>
      </c>
      <c r="J65" s="2">
        <f>J10*'Output-Calculation-sheet'!J54/10^9</f>
        <v>0.41656281234641079</v>
      </c>
      <c r="K65" s="2">
        <f>K10*'Output-Calculation-sheet'!K54/10^9</f>
        <v>0.5378747092695676</v>
      </c>
      <c r="L65" s="2">
        <f>L10*'Output-Calculation-sheet'!L54/10^9</f>
        <v>0.44433751791097792</v>
      </c>
      <c r="M65" s="2">
        <f>M10*'Output-Calculation-sheet'!M54/10^9</f>
        <v>0.60410952111827587</v>
      </c>
      <c r="N65" s="2">
        <f>N10*'Output-Calculation-sheet'!N54/10^9</f>
        <v>0.63289515000726793</v>
      </c>
      <c r="O65" s="2">
        <f>O10*'Output-Calculation-sheet'!O54/10^9</f>
        <v>0.56828958302371957</v>
      </c>
      <c r="P65" s="2">
        <f>P10*'Output-Calculation-sheet'!P54/10^9</f>
        <v>0.47275894715373401</v>
      </c>
      <c r="Q65" s="2">
        <f>Q10*'Output-Calculation-sheet'!Q54/10^9</f>
        <v>0.4873025557313439</v>
      </c>
      <c r="R65" s="2">
        <f>R10*'Output-Calculation-sheet'!R54/10^9</f>
        <v>0.38944351380107012</v>
      </c>
      <c r="S65" s="2">
        <f>S10*'Output-Calculation-sheet'!S54/10^9</f>
        <v>0.35748186407581983</v>
      </c>
      <c r="T65" s="2">
        <f>T10*'Output-Calculation-sheet'!T54/10^9</f>
        <v>0.12156512546583442</v>
      </c>
      <c r="U65" s="2">
        <f>U10*'Output-Calculation-sheet'!U54/10^9</f>
        <v>0.12249527540890515</v>
      </c>
      <c r="V65" s="2">
        <f>V10*'Output-Calculation-sheet'!V54/10^9</f>
        <v>9.1025000531345546E-2</v>
      </c>
      <c r="W65" s="2">
        <f>W10*'Output-Calculation-sheet'!W54/10^9</f>
        <v>5.6849577582136379E-2</v>
      </c>
      <c r="X65" s="2">
        <f>X10*'Output-Calculation-sheet'!X54/10^9</f>
        <v>7.1975600296180831E-2</v>
      </c>
      <c r="Y65" s="2">
        <f>Y10*'Output-Calculation-sheet'!Y54/10^9</f>
        <v>4.7688873073440913E-2</v>
      </c>
      <c r="AA65" s="2">
        <f t="shared" si="4"/>
        <v>19.632053597693499</v>
      </c>
    </row>
    <row r="66" spans="1:27" x14ac:dyDescent="0.25">
      <c r="A66" s="2">
        <v>2034</v>
      </c>
      <c r="B66" s="2">
        <f>B11*'Output-Calculation-sheet'!B55/10^9</f>
        <v>6.3508417431308635</v>
      </c>
      <c r="C66" s="2">
        <f>C11*'Output-Calculation-sheet'!C55/10^9</f>
        <v>3.0683849011862341</v>
      </c>
      <c r="D66" s="2">
        <f>D11*'Output-Calculation-sheet'!D55/10^9</f>
        <v>1.3886263206078961</v>
      </c>
      <c r="E66" s="2">
        <f>E11*'Output-Calculation-sheet'!E55/10^9</f>
        <v>1.5467522446101762</v>
      </c>
      <c r="F66" s="2">
        <f>F11*'Output-Calculation-sheet'!F55/10^9</f>
        <v>0.71227060750023785</v>
      </c>
      <c r="G66" s="2">
        <f>G11*'Output-Calculation-sheet'!G55/10^9</f>
        <v>0.49342762281279245</v>
      </c>
      <c r="H66" s="2">
        <f>H11*'Output-Calculation-sheet'!H55/10^9</f>
        <v>0.91755627778299942</v>
      </c>
      <c r="I66" s="2">
        <f>I11*'Output-Calculation-sheet'!I55/10^9</f>
        <v>0.48669983112838638</v>
      </c>
      <c r="J66" s="2">
        <f>J11*'Output-Calculation-sheet'!J55/10^9</f>
        <v>0.43926562909770328</v>
      </c>
      <c r="K66" s="2">
        <f>K11*'Output-Calculation-sheet'!K55/10^9</f>
        <v>0.56729859097788737</v>
      </c>
      <c r="L66" s="2">
        <f>L11*'Output-Calculation-sheet'!L55/10^9</f>
        <v>0.46865182235011832</v>
      </c>
      <c r="M66" s="2">
        <f>M11*'Output-Calculation-sheet'!M55/10^9</f>
        <v>0.63401012819464531</v>
      </c>
      <c r="N66" s="2">
        <f>N11*'Output-Calculation-sheet'!N55/10^9</f>
        <v>0.66481196349975791</v>
      </c>
      <c r="O66" s="2">
        <f>O11*'Output-Calculation-sheet'!O55/10^9</f>
        <v>0.60243388946820731</v>
      </c>
      <c r="P66" s="2">
        <f>P11*'Output-Calculation-sheet'!P55/10^9</f>
        <v>0.4992300942547187</v>
      </c>
      <c r="Q66" s="2">
        <f>Q11*'Output-Calculation-sheet'!Q55/10^9</f>
        <v>0.51445727544954323</v>
      </c>
      <c r="R66" s="2">
        <f>R11*'Output-Calculation-sheet'!R55/10^9</f>
        <v>0.41101311566361509</v>
      </c>
      <c r="S66" s="2">
        <f>S11*'Output-Calculation-sheet'!S55/10^9</f>
        <v>0.37602755372019081</v>
      </c>
      <c r="T66" s="2">
        <f>T11*'Output-Calculation-sheet'!T55/10^9</f>
        <v>0.1282040921836716</v>
      </c>
      <c r="U66" s="2">
        <f>U11*'Output-Calculation-sheet'!U55/10^9</f>
        <v>0.1293414195079915</v>
      </c>
      <c r="V66" s="2">
        <f>V11*'Output-Calculation-sheet'!V55/10^9</f>
        <v>9.6001639488873913E-2</v>
      </c>
      <c r="W66" s="2">
        <f>W11*'Output-Calculation-sheet'!W55/10^9</f>
        <v>5.9926207163702866E-2</v>
      </c>
      <c r="X66" s="2">
        <f>X11*'Output-Calculation-sheet'!X55/10^9</f>
        <v>7.5609862067558362E-2</v>
      </c>
      <c r="Y66" s="2">
        <f>Y11*'Output-Calculation-sheet'!Y55/10^9</f>
        <v>5.0329158287158129E-2</v>
      </c>
      <c r="AA66" s="2">
        <f t="shared" si="4"/>
        <v>20.681171990134938</v>
      </c>
    </row>
    <row r="67" spans="1:27" x14ac:dyDescent="0.25">
      <c r="A67" s="2">
        <v>2035</v>
      </c>
      <c r="B67" s="2">
        <f>B12*'Output-Calculation-sheet'!B56/10^9</f>
        <v>6.6162044281562737</v>
      </c>
      <c r="C67" s="2">
        <f>C12*'Output-Calculation-sheet'!C56/10^9</f>
        <v>3.1921706682442679</v>
      </c>
      <c r="D67" s="2">
        <f>D12*'Output-Calculation-sheet'!D56/10^9</f>
        <v>1.4497500421725757</v>
      </c>
      <c r="E67" s="2">
        <f>E12*'Output-Calculation-sheet'!E56/10^9</f>
        <v>1.615412615501435</v>
      </c>
      <c r="F67" s="2">
        <f>F12*'Output-Calculation-sheet'!F56/10^9</f>
        <v>0.74312428805806674</v>
      </c>
      <c r="G67" s="2">
        <f>G12*'Output-Calculation-sheet'!G56/10^9</f>
        <v>0.515205035159368</v>
      </c>
      <c r="H67" s="2">
        <f>H12*'Output-Calculation-sheet'!H56/10^9</f>
        <v>0.95291694628705392</v>
      </c>
      <c r="I67" s="2">
        <f>I12*'Output-Calculation-sheet'!I56/10^9</f>
        <v>0.5080923627868088</v>
      </c>
      <c r="J67" s="2">
        <f>J12*'Output-Calculation-sheet'!J56/10^9</f>
        <v>0.45855901003843802</v>
      </c>
      <c r="K67" s="2">
        <f>K12*'Output-Calculation-sheet'!K56/10^9</f>
        <v>0.59232214180450105</v>
      </c>
      <c r="L67" s="2">
        <f>L12*'Output-Calculation-sheet'!L56/10^9</f>
        <v>0.48933654459615211</v>
      </c>
      <c r="M67" s="2">
        <f>M12*'Output-Calculation-sheet'!M56/10^9</f>
        <v>0.65847227624015758</v>
      </c>
      <c r="N67" s="2">
        <f>N12*'Output-Calculation-sheet'!N56/10^9</f>
        <v>0.69107317297538562</v>
      </c>
      <c r="O67" s="2">
        <f>O12*'Output-Calculation-sheet'!O56/10^9</f>
        <v>0.62858406722749272</v>
      </c>
      <c r="P67" s="2">
        <f>P12*'Output-Calculation-sheet'!P56/10^9</f>
        <v>0.5218854263099596</v>
      </c>
      <c r="Q67" s="2">
        <f>Q12*'Output-Calculation-sheet'!Q56/10^9</f>
        <v>0.5376499899959617</v>
      </c>
      <c r="R67" s="2">
        <f>R12*'Output-Calculation-sheet'!R56/10^9</f>
        <v>0.42942089839385744</v>
      </c>
      <c r="S67" s="2">
        <f>S12*'Output-Calculation-sheet'!S56/10^9</f>
        <v>0.39132546312673622</v>
      </c>
      <c r="T67" s="2">
        <f>T12*'Output-Calculation-sheet'!T56/10^9</f>
        <v>0.1338480930082846</v>
      </c>
      <c r="U67" s="2">
        <f>U12*'Output-Calculation-sheet'!U56/10^9</f>
        <v>0.13519953259991679</v>
      </c>
      <c r="V67" s="2">
        <f>V12*'Output-Calculation-sheet'!V56/10^9</f>
        <v>0.10023151629442899</v>
      </c>
      <c r="W67" s="2">
        <f>W12*'Output-Calculation-sheet'!W56/10^9</f>
        <v>6.2534909186190077E-2</v>
      </c>
      <c r="X67" s="2">
        <f>X12*'Output-Calculation-sheet'!X56/10^9</f>
        <v>7.8598128347113869E-2</v>
      </c>
      <c r="Y67" s="2">
        <f>Y12*'Output-Calculation-sheet'!Y56/10^9</f>
        <v>5.2582504173431709E-2</v>
      </c>
      <c r="AA67" s="2">
        <f t="shared" si="4"/>
        <v>21.554500060683868</v>
      </c>
    </row>
    <row r="68" spans="1:27" x14ac:dyDescent="0.25">
      <c r="B68" s="2">
        <f>SUM(B60:B67)</f>
        <v>40.786042427118176</v>
      </c>
      <c r="C68" s="2">
        <f t="shared" ref="C68:Y68" si="5">SUM(C60:C67)</f>
        <v>19.623746925325165</v>
      </c>
      <c r="D68" s="2">
        <f t="shared" si="5"/>
        <v>8.9321097192813248</v>
      </c>
      <c r="E68" s="2">
        <f t="shared" si="5"/>
        <v>9.9413292239589754</v>
      </c>
      <c r="F68" s="2">
        <f t="shared" si="5"/>
        <v>4.5880269613034912</v>
      </c>
      <c r="G68" s="2">
        <f t="shared" si="5"/>
        <v>3.1733039474037987</v>
      </c>
      <c r="H68" s="2">
        <f t="shared" si="5"/>
        <v>5.9441907039050053</v>
      </c>
      <c r="I68" s="2">
        <f t="shared" si="5"/>
        <v>3.1308928375845673</v>
      </c>
      <c r="J68" s="2">
        <f t="shared" si="5"/>
        <v>2.8261323709897663</v>
      </c>
      <c r="K68" s="2">
        <f t="shared" si="5"/>
        <v>3.6481116076857525</v>
      </c>
      <c r="L68" s="2">
        <f t="shared" si="5"/>
        <v>3.013728106471917</v>
      </c>
      <c r="M68" s="2">
        <f t="shared" si="5"/>
        <v>4.106563606666473</v>
      </c>
      <c r="N68" s="2">
        <f t="shared" si="5"/>
        <v>4.2978372705126766</v>
      </c>
      <c r="O68" s="2">
        <f t="shared" si="5"/>
        <v>3.8287402107828212</v>
      </c>
      <c r="P68" s="2">
        <f t="shared" si="5"/>
        <v>3.201839879123789</v>
      </c>
      <c r="Q68" s="2">
        <f t="shared" si="5"/>
        <v>3.3011579817561754</v>
      </c>
      <c r="R68" s="2">
        <f t="shared" si="5"/>
        <v>2.639477550579068</v>
      </c>
      <c r="S68" s="2">
        <f t="shared" si="5"/>
        <v>2.4225518521262512</v>
      </c>
      <c r="T68" s="2">
        <f t="shared" si="5"/>
        <v>0.82461622205171636</v>
      </c>
      <c r="U68" s="2">
        <f t="shared" si="5"/>
        <v>0.8297701283851997</v>
      </c>
      <c r="V68" s="2">
        <f t="shared" si="5"/>
        <v>0.61738455616525256</v>
      </c>
      <c r="W68" s="2">
        <f t="shared" si="5"/>
        <v>0.38584424027412145</v>
      </c>
      <c r="X68" s="2">
        <f t="shared" si="5"/>
        <v>0.48869025008666833</v>
      </c>
      <c r="Y68" s="2">
        <f t="shared" si="5"/>
        <v>0.32322502620337185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6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6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5566663440.2338829</v>
      </c>
      <c r="C93" s="2">
        <f>C5/'Output-Calculation-sheet'!C4*'Output-Calculation-sheet'!C76</f>
        <v>0</v>
      </c>
      <c r="D93" s="2">
        <f>D5/'Output-Calculation-sheet'!D4*'Output-Calculation-sheet'!D76</f>
        <v>3644088928.1400652</v>
      </c>
      <c r="E93" s="2">
        <f>E5/'Output-Calculation-sheet'!E4*'Output-Calculation-sheet'!E76</f>
        <v>5320964596.9471331</v>
      </c>
      <c r="F93" s="2">
        <f>F5/'Output-Calculation-sheet'!F4*'Output-Calculation-sheet'!F76</f>
        <v>2665170083.9234376</v>
      </c>
      <c r="G93" s="2">
        <f>G5/'Output-Calculation-sheet'!G4*'Output-Calculation-sheet'!G76</f>
        <v>2036541949.9149132</v>
      </c>
      <c r="H93" s="2">
        <f>H5/'Output-Calculation-sheet'!H4*'Output-Calculation-sheet'!H76</f>
        <v>0</v>
      </c>
      <c r="I93" s="2">
        <f>I5/'Output-Calculation-sheet'!I4*'Output-Calculation-sheet'!I76</f>
        <v>1383527797.5373662</v>
      </c>
      <c r="J93" s="2">
        <f>J5/'Output-Calculation-sheet'!J4*'Output-Calculation-sheet'!J76</f>
        <v>992640434.74279273</v>
      </c>
      <c r="K93" s="2">
        <f>K5/'Output-Calculation-sheet'!K4*'Output-Calculation-sheet'!K76</f>
        <v>1249698742.4550951</v>
      </c>
      <c r="L93" s="2">
        <f>L5/'Output-Calculation-sheet'!L4*'Output-Calculation-sheet'!L76</f>
        <v>824105189.10299039</v>
      </c>
      <c r="M93" s="2">
        <f>M5/'Output-Calculation-sheet'!M4*'Output-Calculation-sheet'!M76</f>
        <v>0</v>
      </c>
      <c r="N93" s="2">
        <f>N5/'Output-Calculation-sheet'!N4*'Output-Calculation-sheet'!N76</f>
        <v>390114481.30187786</v>
      </c>
      <c r="O93" s="2">
        <f>O5/'Output-Calculation-sheet'!O4*'Output-Calculation-sheet'!O76</f>
        <v>0</v>
      </c>
      <c r="P93" s="2">
        <f>P5/'Output-Calculation-sheet'!P4*'Output-Calculation-sheet'!P76</f>
        <v>1026970288.4571153</v>
      </c>
      <c r="Q93" s="2">
        <f>Q5/'Output-Calculation-sheet'!Q4*'Output-Calculation-sheet'!Q76</f>
        <v>461686922.25797492</v>
      </c>
      <c r="R93" s="2">
        <f>R5/'Output-Calculation-sheet'!R4*'Output-Calculation-sheet'!R76</f>
        <v>736803335.5207516</v>
      </c>
      <c r="S93" s="2">
        <f>S5/'Output-Calculation-sheet'!S4*'Output-Calculation-sheet'!S76</f>
        <v>244118885.78916904</v>
      </c>
      <c r="T93" s="2">
        <f>T5/'Output-Calculation-sheet'!T4*'Output-Calculation-sheet'!T76</f>
        <v>395917012.50400376</v>
      </c>
      <c r="U93" s="2">
        <f>U5/'Output-Calculation-sheet'!U4*'Output-Calculation-sheet'!U76</f>
        <v>206481425.89659199</v>
      </c>
      <c r="V93" s="2">
        <f>V5/'Output-Calculation-sheet'!V4*'Output-Calculation-sheet'!V76</f>
        <v>123534093.16394548</v>
      </c>
      <c r="W93" s="2">
        <f>W5/'Output-Calculation-sheet'!W4*'Output-Calculation-sheet'!W76</f>
        <v>411672556.32170188</v>
      </c>
      <c r="X93" s="2">
        <f>X5/'Output-Calculation-sheet'!X4*'Output-Calculation-sheet'!X76</f>
        <v>0</v>
      </c>
      <c r="Y93" s="2">
        <f>Y5/'Output-Calculation-sheet'!Y4*'Output-Calculation-sheet'!Y76</f>
        <v>172627257.38299939</v>
      </c>
      <c r="AA93" s="2">
        <f t="shared" ref="AA93:AA100" si="8">SUM(B93:Y93)/10^9</f>
        <v>27.853327421593804</v>
      </c>
    </row>
    <row r="94" spans="1:27" x14ac:dyDescent="0.25">
      <c r="A94" s="2">
        <v>2029</v>
      </c>
      <c r="B94" s="2">
        <f>B6/'Output-Calculation-sheet'!B5*'Output-Calculation-sheet'!B77</f>
        <v>7390499990.4951048</v>
      </c>
      <c r="C94" s="2">
        <f>C6/'Output-Calculation-sheet'!C5*'Output-Calculation-sheet'!C77</f>
        <v>0</v>
      </c>
      <c r="D94" s="2">
        <f>D6/'Output-Calculation-sheet'!D5*'Output-Calculation-sheet'!D77</f>
        <v>4768811915.8121033</v>
      </c>
      <c r="E94" s="2">
        <f>E6/'Output-Calculation-sheet'!E5*'Output-Calculation-sheet'!E77</f>
        <v>7108132802.5353241</v>
      </c>
      <c r="F94" s="2">
        <f>F6/'Output-Calculation-sheet'!F5*'Output-Calculation-sheet'!F77</f>
        <v>3484468954.1755366</v>
      </c>
      <c r="G94" s="2">
        <f>G6/'Output-Calculation-sheet'!G5*'Output-Calculation-sheet'!G77</f>
        <v>2697026053.5102057</v>
      </c>
      <c r="H94" s="2">
        <f>H6/'Output-Calculation-sheet'!H5*'Output-Calculation-sheet'!H77</f>
        <v>659615809.8443917</v>
      </c>
      <c r="I94" s="2">
        <f>I6/'Output-Calculation-sheet'!I5*'Output-Calculation-sheet'!I77</f>
        <v>1806968078.5354779</v>
      </c>
      <c r="J94" s="2">
        <f>J6/'Output-Calculation-sheet'!J5*'Output-Calculation-sheet'!J77</f>
        <v>1310033775.0364845</v>
      </c>
      <c r="K94" s="2">
        <f>K6/'Output-Calculation-sheet'!K5*'Output-Calculation-sheet'!K77</f>
        <v>1633413302.8018677</v>
      </c>
      <c r="L94" s="2">
        <f>L6/'Output-Calculation-sheet'!L5*'Output-Calculation-sheet'!L77</f>
        <v>1089396615.325907</v>
      </c>
      <c r="M94" s="2">
        <f>M6/'Output-Calculation-sheet'!M5*'Output-Calculation-sheet'!M77</f>
        <v>479774816.48526299</v>
      </c>
      <c r="N94" s="2">
        <f>N6/'Output-Calculation-sheet'!N5*'Output-Calculation-sheet'!N77</f>
        <v>565586042.10113823</v>
      </c>
      <c r="O94" s="2">
        <f>O6/'Output-Calculation-sheet'!O5*'Output-Calculation-sheet'!O77</f>
        <v>0</v>
      </c>
      <c r="P94" s="2">
        <f>P6/'Output-Calculation-sheet'!P5*'Output-Calculation-sheet'!P77</f>
        <v>1368604972.8951106</v>
      </c>
      <c r="Q94" s="2">
        <f>Q6/'Output-Calculation-sheet'!Q5*'Output-Calculation-sheet'!Q77</f>
        <v>623431525.90291893</v>
      </c>
      <c r="R94" s="2">
        <f>R6/'Output-Calculation-sheet'!R5*'Output-Calculation-sheet'!R77</f>
        <v>972450981.59025025</v>
      </c>
      <c r="S94" s="2">
        <f>S6/'Output-Calculation-sheet'!S5*'Output-Calculation-sheet'!S77</f>
        <v>328306930.23995799</v>
      </c>
      <c r="T94" s="2">
        <f>T6/'Output-Calculation-sheet'!T5*'Output-Calculation-sheet'!T77</f>
        <v>520316988.28541851</v>
      </c>
      <c r="U94" s="2">
        <f>U6/'Output-Calculation-sheet'!U5*'Output-Calculation-sheet'!U77</f>
        <v>265735605.8273018</v>
      </c>
      <c r="V94" s="2">
        <f>V6/'Output-Calculation-sheet'!V5*'Output-Calculation-sheet'!V77</f>
        <v>159035168.48927408</v>
      </c>
      <c r="W94" s="2">
        <f>W6/'Output-Calculation-sheet'!W5*'Output-Calculation-sheet'!W77</f>
        <v>547068202.39999545</v>
      </c>
      <c r="X94" s="2">
        <f>X6/'Output-Calculation-sheet'!X5*'Output-Calculation-sheet'!X77</f>
        <v>44743117.817296967</v>
      </c>
      <c r="Y94" s="2">
        <f>Y6/'Output-Calculation-sheet'!Y5*'Output-Calculation-sheet'!Y77</f>
        <v>230739516.93973136</v>
      </c>
      <c r="AA94" s="2">
        <f t="shared" si="8"/>
        <v>38.054161167046054</v>
      </c>
    </row>
    <row r="95" spans="1:27" x14ac:dyDescent="0.25">
      <c r="A95" s="2">
        <v>2030</v>
      </c>
      <c r="B95" s="2">
        <f>B7/'Output-Calculation-sheet'!B6*'Output-Calculation-sheet'!B78</f>
        <v>8988052881.553339</v>
      </c>
      <c r="C95" s="2">
        <f>C7/'Output-Calculation-sheet'!C6*'Output-Calculation-sheet'!C78</f>
        <v>0</v>
      </c>
      <c r="D95" s="2">
        <f>D7/'Output-Calculation-sheet'!D6*'Output-Calculation-sheet'!D78</f>
        <v>5732735025.2938633</v>
      </c>
      <c r="E95" s="2">
        <f>E7/'Output-Calculation-sheet'!E6*'Output-Calculation-sheet'!E78</f>
        <v>8713089634.6454163</v>
      </c>
      <c r="F95" s="2">
        <f>F7/'Output-Calculation-sheet'!F6*'Output-Calculation-sheet'!F78</f>
        <v>4181662334.8773317</v>
      </c>
      <c r="G95" s="2">
        <f>G7/'Output-Calculation-sheet'!G6*'Output-Calculation-sheet'!G78</f>
        <v>3279303902.3524408</v>
      </c>
      <c r="H95" s="2">
        <f>H7/'Output-Calculation-sheet'!H6*'Output-Calculation-sheet'!H78</f>
        <v>838746007.17779934</v>
      </c>
      <c r="I95" s="2">
        <f>I7/'Output-Calculation-sheet'!I6*'Output-Calculation-sheet'!I78</f>
        <v>2164241432.5814676</v>
      </c>
      <c r="J95" s="2">
        <f>J7/'Output-Calculation-sheet'!J6*'Output-Calculation-sheet'!J78</f>
        <v>1587221817.3574221</v>
      </c>
      <c r="K95" s="2">
        <f>K7/'Output-Calculation-sheet'!K6*'Output-Calculation-sheet'!K78</f>
        <v>1956507508.7056432</v>
      </c>
      <c r="L95" s="2">
        <f>L7/'Output-Calculation-sheet'!L6*'Output-Calculation-sheet'!L78</f>
        <v>1323470450.5055785</v>
      </c>
      <c r="M95" s="2">
        <f>M7/'Output-Calculation-sheet'!M6*'Output-Calculation-sheet'!M78</f>
        <v>615347858.65847147</v>
      </c>
      <c r="N95" s="2">
        <f>N7/'Output-Calculation-sheet'!N6*'Output-Calculation-sheet'!N78</f>
        <v>718074811.70019794</v>
      </c>
      <c r="O95" s="2">
        <f>O7/'Output-Calculation-sheet'!O6*'Output-Calculation-sheet'!O78</f>
        <v>0</v>
      </c>
      <c r="P95" s="2">
        <f>P7/'Output-Calculation-sheet'!P6*'Output-Calculation-sheet'!P78</f>
        <v>1665395169.2545445</v>
      </c>
      <c r="Q95" s="2">
        <f>Q7/'Output-Calculation-sheet'!Q6*'Output-Calculation-sheet'!Q78</f>
        <v>768862399.55820262</v>
      </c>
      <c r="R95" s="2">
        <f>R7/'Output-Calculation-sheet'!R6*'Output-Calculation-sheet'!R78</f>
        <v>1176700572.592907</v>
      </c>
      <c r="S95" s="2">
        <f>S7/'Output-Calculation-sheet'!S6*'Output-Calculation-sheet'!S78</f>
        <v>416903112.26363331</v>
      </c>
      <c r="T95" s="2">
        <f>T7/'Output-Calculation-sheet'!T6*'Output-Calculation-sheet'!T78</f>
        <v>627890938.10911441</v>
      </c>
      <c r="U95" s="2">
        <f>U7/'Output-Calculation-sheet'!U6*'Output-Calculation-sheet'!U78</f>
        <v>313161513.90728885</v>
      </c>
      <c r="V95" s="2">
        <f>V7/'Output-Calculation-sheet'!V6*'Output-Calculation-sheet'!V78</f>
        <v>187689648.84052458</v>
      </c>
      <c r="W95" s="2">
        <f>W7/'Output-Calculation-sheet'!W6*'Output-Calculation-sheet'!W78</f>
        <v>667780404.40357232</v>
      </c>
      <c r="X95" s="2">
        <f>X7/'Output-Calculation-sheet'!X6*'Output-Calculation-sheet'!X78</f>
        <v>58231264.503207512</v>
      </c>
      <c r="Y95" s="2">
        <f>Y7/'Output-Calculation-sheet'!Y6*'Output-Calculation-sheet'!Y78</f>
        <v>283385460.28698313</v>
      </c>
      <c r="AA95" s="2">
        <f t="shared" si="8"/>
        <v>46.264454149128937</v>
      </c>
    </row>
    <row r="96" spans="1:27" x14ac:dyDescent="0.25">
      <c r="A96" s="2">
        <v>2031</v>
      </c>
      <c r="B96" s="2">
        <f>B8/'Output-Calculation-sheet'!B7*'Output-Calculation-sheet'!B79</f>
        <v>10430652725.706646</v>
      </c>
      <c r="C96" s="2">
        <f>C8/'Output-Calculation-sheet'!C7*'Output-Calculation-sheet'!C79</f>
        <v>0</v>
      </c>
      <c r="D96" s="2">
        <f>D8/'Output-Calculation-sheet'!D7*'Output-Calculation-sheet'!D79</f>
        <v>6349052448.206707</v>
      </c>
      <c r="E96" s="2">
        <f>E8/'Output-Calculation-sheet'!E7*'Output-Calculation-sheet'!E79</f>
        <v>9944874108.7628212</v>
      </c>
      <c r="F96" s="2">
        <f>F8/'Output-Calculation-sheet'!F7*'Output-Calculation-sheet'!F79</f>
        <v>4760385191.0212231</v>
      </c>
      <c r="G96" s="2">
        <f>G8/'Output-Calculation-sheet'!G7*'Output-Calculation-sheet'!G79</f>
        <v>3629084370.760663</v>
      </c>
      <c r="H96" s="2">
        <f>H8/'Output-Calculation-sheet'!H7*'Output-Calculation-sheet'!H79</f>
        <v>980812244.73073375</v>
      </c>
      <c r="I96" s="2">
        <f>I8/'Output-Calculation-sheet'!I7*'Output-Calculation-sheet'!I79</f>
        <v>2488769882.9399681</v>
      </c>
      <c r="J96" s="2">
        <f>J8/'Output-Calculation-sheet'!J7*'Output-Calculation-sheet'!J79</f>
        <v>1771569022.4394038</v>
      </c>
      <c r="K96" s="2">
        <f>K8/'Output-Calculation-sheet'!K7*'Output-Calculation-sheet'!K79</f>
        <v>2207950112.2193842</v>
      </c>
      <c r="L96" s="2">
        <f>L8/'Output-Calculation-sheet'!L7*'Output-Calculation-sheet'!L79</f>
        <v>1536421435.9762475</v>
      </c>
      <c r="M96" s="2">
        <f>M8/'Output-Calculation-sheet'!M7*'Output-Calculation-sheet'!M79</f>
        <v>727102306.39496374</v>
      </c>
      <c r="N96" s="2">
        <f>N8/'Output-Calculation-sheet'!N7*'Output-Calculation-sheet'!N79</f>
        <v>810359524.37098527</v>
      </c>
      <c r="O96" s="2">
        <f>O8/'Output-Calculation-sheet'!O7*'Output-Calculation-sheet'!O79</f>
        <v>0</v>
      </c>
      <c r="P96" s="2">
        <f>P8/'Output-Calculation-sheet'!P7*'Output-Calculation-sheet'!P79</f>
        <v>1874167581.2785878</v>
      </c>
      <c r="Q96" s="2">
        <f>Q8/'Output-Calculation-sheet'!Q7*'Output-Calculation-sheet'!Q79</f>
        <v>870083723.46355367</v>
      </c>
      <c r="R96" s="2">
        <f>R8/'Output-Calculation-sheet'!R7*'Output-Calculation-sheet'!R79</f>
        <v>1342423335.1613519</v>
      </c>
      <c r="S96" s="2">
        <f>S8/'Output-Calculation-sheet'!S7*'Output-Calculation-sheet'!S79</f>
        <v>491711694.69636714</v>
      </c>
      <c r="T96" s="2">
        <f>T8/'Output-Calculation-sheet'!T7*'Output-Calculation-sheet'!T79</f>
        <v>703643585.80895746</v>
      </c>
      <c r="U96" s="2">
        <f>U8/'Output-Calculation-sheet'!U7*'Output-Calculation-sheet'!U79</f>
        <v>357264401.79059815</v>
      </c>
      <c r="V96" s="2">
        <f>V8/'Output-Calculation-sheet'!V7*'Output-Calculation-sheet'!V79</f>
        <v>216577122.75826028</v>
      </c>
      <c r="W96" s="2">
        <f>W8/'Output-Calculation-sheet'!W7*'Output-Calculation-sheet'!W79</f>
        <v>754218617.82938993</v>
      </c>
      <c r="X96" s="2">
        <f>X8/'Output-Calculation-sheet'!X7*'Output-Calculation-sheet'!X79</f>
        <v>70318098.869164824</v>
      </c>
      <c r="Y96" s="2">
        <f>Y8/'Output-Calculation-sheet'!Y7*'Output-Calculation-sheet'!Y79</f>
        <v>320825213.46961617</v>
      </c>
      <c r="AA96" s="2">
        <f t="shared" si="8"/>
        <v>52.638266748655617</v>
      </c>
    </row>
    <row r="97" spans="1:27" x14ac:dyDescent="0.25">
      <c r="A97" s="2">
        <v>2032</v>
      </c>
      <c r="B97" s="2">
        <f>B9/'Output-Calculation-sheet'!B8*'Output-Calculation-sheet'!B80</f>
        <v>11550551917.860891</v>
      </c>
      <c r="C97" s="2">
        <f>C9/'Output-Calculation-sheet'!C8*'Output-Calculation-sheet'!C80</f>
        <v>0</v>
      </c>
      <c r="D97" s="2">
        <f>D9/'Output-Calculation-sheet'!D8*'Output-Calculation-sheet'!D80</f>
        <v>6705458675.8925238</v>
      </c>
      <c r="E97" s="2">
        <f>E9/'Output-Calculation-sheet'!E8*'Output-Calculation-sheet'!E80</f>
        <v>10818088471.053553</v>
      </c>
      <c r="F97" s="2">
        <f>F9/'Output-Calculation-sheet'!F8*'Output-Calculation-sheet'!F80</f>
        <v>5160400375.2615881</v>
      </c>
      <c r="G97" s="2">
        <f>G9/'Output-Calculation-sheet'!G8*'Output-Calculation-sheet'!G80</f>
        <v>3821149440.7038426</v>
      </c>
      <c r="H97" s="2">
        <f>H9/'Output-Calculation-sheet'!H8*'Output-Calculation-sheet'!H80</f>
        <v>1091248290.842268</v>
      </c>
      <c r="I97" s="2">
        <f>I9/'Output-Calculation-sheet'!I8*'Output-Calculation-sheet'!I80</f>
        <v>2724772503.4244008</v>
      </c>
      <c r="J97" s="2">
        <f>J9/'Output-Calculation-sheet'!J8*'Output-Calculation-sheet'!J80</f>
        <v>1884431407.6811693</v>
      </c>
      <c r="K97" s="2">
        <f>K9/'Output-Calculation-sheet'!K8*'Output-Calculation-sheet'!K80</f>
        <v>2370451724.7962279</v>
      </c>
      <c r="L97" s="2">
        <f>L9/'Output-Calculation-sheet'!L8*'Output-Calculation-sheet'!L80</f>
        <v>1701947083.9931281</v>
      </c>
      <c r="M97" s="2">
        <f>M9/'Output-Calculation-sheet'!M8*'Output-Calculation-sheet'!M80</f>
        <v>810403560.38953912</v>
      </c>
      <c r="N97" s="2">
        <f>N9/'Output-Calculation-sheet'!N8*'Output-Calculation-sheet'!N80</f>
        <v>862589669.44707525</v>
      </c>
      <c r="O97" s="2">
        <f>O9/'Output-Calculation-sheet'!O8*'Output-Calculation-sheet'!O80</f>
        <v>0</v>
      </c>
      <c r="P97" s="2">
        <f>P9/'Output-Calculation-sheet'!P8*'Output-Calculation-sheet'!P80</f>
        <v>2018603616.8513126</v>
      </c>
      <c r="Q97" s="2">
        <f>Q9/'Output-Calculation-sheet'!Q8*'Output-Calculation-sheet'!Q80</f>
        <v>941172882.98847437</v>
      </c>
      <c r="R97" s="2">
        <f>R9/'Output-Calculation-sheet'!R8*'Output-Calculation-sheet'!R80</f>
        <v>1458743100.952426</v>
      </c>
      <c r="S97" s="2">
        <f>S9/'Output-Calculation-sheet'!S8*'Output-Calculation-sheet'!S80</f>
        <v>549642151.89310598</v>
      </c>
      <c r="T97" s="2">
        <f>T9/'Output-Calculation-sheet'!T8*'Output-Calculation-sheet'!T80</f>
        <v>750135933.51976836</v>
      </c>
      <c r="U97" s="2">
        <f>U9/'Output-Calculation-sheet'!U8*'Output-Calculation-sheet'!U80</f>
        <v>388390378.0833872</v>
      </c>
      <c r="V97" s="2">
        <f>V9/'Output-Calculation-sheet'!V8*'Output-Calculation-sheet'!V80</f>
        <v>238097861.26763126</v>
      </c>
      <c r="W97" s="2">
        <f>W9/'Output-Calculation-sheet'!W8*'Output-Calculation-sheet'!W80</f>
        <v>810598705.16842139</v>
      </c>
      <c r="X97" s="2">
        <f>X9/'Output-Calculation-sheet'!X8*'Output-Calculation-sheet'!X80</f>
        <v>80252476.666520178</v>
      </c>
      <c r="Y97" s="2">
        <f>Y9/'Output-Calculation-sheet'!Y8*'Output-Calculation-sheet'!Y80</f>
        <v>345156917.3768546</v>
      </c>
      <c r="AA97" s="2">
        <f t="shared" si="8"/>
        <v>57.082287146114098</v>
      </c>
    </row>
    <row r="98" spans="1:27" x14ac:dyDescent="0.25">
      <c r="A98" s="2">
        <v>2033</v>
      </c>
      <c r="B98" s="2">
        <f>B10/'Output-Calculation-sheet'!B9*'Output-Calculation-sheet'!B81</f>
        <v>13006245207.283651</v>
      </c>
      <c r="C98" s="2">
        <f>C10/'Output-Calculation-sheet'!C9*'Output-Calculation-sheet'!C81</f>
        <v>1703430883.365442</v>
      </c>
      <c r="D98" s="2">
        <f>D10/'Output-Calculation-sheet'!D9*'Output-Calculation-sheet'!D81</f>
        <v>6934069156.2886248</v>
      </c>
      <c r="E98" s="2">
        <f>E10/'Output-Calculation-sheet'!E9*'Output-Calculation-sheet'!E81</f>
        <v>11512969102.904892</v>
      </c>
      <c r="F98" s="2">
        <f>F10/'Output-Calculation-sheet'!F9*'Output-Calculation-sheet'!F81</f>
        <v>5481213737.5893173</v>
      </c>
      <c r="G98" s="2">
        <f>G10/'Output-Calculation-sheet'!G9*'Output-Calculation-sheet'!G81</f>
        <v>3935924026.7434258</v>
      </c>
      <c r="H98" s="2">
        <f>H10/'Output-Calculation-sheet'!H9*'Output-Calculation-sheet'!H81</f>
        <v>1186186289.7757704</v>
      </c>
      <c r="I98" s="2">
        <f>I10/'Output-Calculation-sheet'!I9*'Output-Calculation-sheet'!I81</f>
        <v>2921353202.6071396</v>
      </c>
      <c r="J98" s="2">
        <f>J10/'Output-Calculation-sheet'!J9*'Output-Calculation-sheet'!J81</f>
        <v>1964402488.1264622</v>
      </c>
      <c r="K98" s="2">
        <f>K10/'Output-Calculation-sheet'!K9*'Output-Calculation-sheet'!K81</f>
        <v>2494724301.4570174</v>
      </c>
      <c r="L98" s="2">
        <f>L10/'Output-Calculation-sheet'!L9*'Output-Calculation-sheet'!L81</f>
        <v>1844455844.7625058</v>
      </c>
      <c r="M98" s="2">
        <f>M10/'Output-Calculation-sheet'!M9*'Output-Calculation-sheet'!M81</f>
        <v>884425680.70803034</v>
      </c>
      <c r="N98" s="2">
        <f>N10/'Output-Calculation-sheet'!N9*'Output-Calculation-sheet'!N81</f>
        <v>899995743.73236144</v>
      </c>
      <c r="O98" s="2">
        <f>O10/'Output-Calculation-sheet'!O9*'Output-Calculation-sheet'!O81</f>
        <v>0</v>
      </c>
      <c r="P98" s="2">
        <f>P10/'Output-Calculation-sheet'!P9*'Output-Calculation-sheet'!P81</f>
        <v>2122385093.0149207</v>
      </c>
      <c r="Q98" s="2">
        <f>Q10/'Output-Calculation-sheet'!Q9*'Output-Calculation-sheet'!Q81</f>
        <v>996218592.08534467</v>
      </c>
      <c r="R98" s="2">
        <f>R10/'Output-Calculation-sheet'!R9*'Output-Calculation-sheet'!R81</f>
        <v>1554554835.4190438</v>
      </c>
      <c r="S98" s="2">
        <f>S10/'Output-Calculation-sheet'!S9*'Output-Calculation-sheet'!S81</f>
        <v>590291437.99037695</v>
      </c>
      <c r="T98" s="2">
        <f>T10/'Output-Calculation-sheet'!T9*'Output-Calculation-sheet'!T81</f>
        <v>783503112.12637198</v>
      </c>
      <c r="U98" s="2">
        <f>U10/'Output-Calculation-sheet'!U9*'Output-Calculation-sheet'!U81</f>
        <v>412985332.58609259</v>
      </c>
      <c r="V98" s="2">
        <f>V10/'Output-Calculation-sheet'!V9*'Output-Calculation-sheet'!V81</f>
        <v>255925185.52645034</v>
      </c>
      <c r="W98" s="2">
        <f>W10/'Output-Calculation-sheet'!W9*'Output-Calculation-sheet'!W81</f>
        <v>850860464.91835117</v>
      </c>
      <c r="X98" s="2">
        <f>X10/'Output-Calculation-sheet'!X9*'Output-Calculation-sheet'!X81</f>
        <v>88511982.431353033</v>
      </c>
      <c r="Y98" s="2">
        <f>Y10/'Output-Calculation-sheet'!Y9*'Output-Calculation-sheet'!Y81</f>
        <v>363237222.90452325</v>
      </c>
      <c r="AA98" s="2">
        <f t="shared" si="8"/>
        <v>62.787868924347471</v>
      </c>
    </row>
    <row r="99" spans="1:27" x14ac:dyDescent="0.25">
      <c r="A99" s="2">
        <v>2034</v>
      </c>
      <c r="B99" s="2">
        <f>B11/'Output-Calculation-sheet'!B10*'Output-Calculation-sheet'!B82</f>
        <v>14185795381.36404</v>
      </c>
      <c r="C99" s="2">
        <f>C11/'Output-Calculation-sheet'!C10*'Output-Calculation-sheet'!C82</f>
        <v>1923942517.9208522</v>
      </c>
      <c r="D99" s="2">
        <f>D11/'Output-Calculation-sheet'!D10*'Output-Calculation-sheet'!D82</f>
        <v>7078061273.455862</v>
      </c>
      <c r="E99" s="2">
        <f>E11/'Output-Calculation-sheet'!E10*'Output-Calculation-sheet'!E82</f>
        <v>12104681783.229034</v>
      </c>
      <c r="F99" s="2">
        <f>F11/'Output-Calculation-sheet'!F10*'Output-Calculation-sheet'!F82</f>
        <v>5748612511.9139166</v>
      </c>
      <c r="G99" s="2">
        <f>G11/'Output-Calculation-sheet'!G10*'Output-Calculation-sheet'!G82</f>
        <v>3993305143.7641668</v>
      </c>
      <c r="H99" s="2">
        <f>H11/'Output-Calculation-sheet'!H10*'Output-Calculation-sheet'!H82</f>
        <v>1274235889.2317972</v>
      </c>
      <c r="I99" s="2">
        <f>I11/'Output-Calculation-sheet'!I10*'Output-Calculation-sheet'!I82</f>
        <v>3095533980.2638683</v>
      </c>
      <c r="J99" s="2">
        <f>J11/'Output-Calculation-sheet'!J10*'Output-Calculation-sheet'!J82</f>
        <v>2022421101.3154368</v>
      </c>
      <c r="K99" s="2">
        <f>K11/'Output-Calculation-sheet'!K10*'Output-Calculation-sheet'!K82</f>
        <v>2593103877.2885141</v>
      </c>
      <c r="L99" s="2">
        <f>L11/'Output-Calculation-sheet'!L10*'Output-Calculation-sheet'!L82</f>
        <v>1971799925.2193754</v>
      </c>
      <c r="M99" s="2">
        <f>M11/'Output-Calculation-sheet'!M10*'Output-Calculation-sheet'!M82</f>
        <v>953168688.25004661</v>
      </c>
      <c r="N99" s="2">
        <f>N11/'Output-Calculation-sheet'!N10*'Output-Calculation-sheet'!N82</f>
        <v>930251418.33369493</v>
      </c>
      <c r="O99" s="2">
        <f>O11/'Output-Calculation-sheet'!O10*'Output-Calculation-sheet'!O82</f>
        <v>0</v>
      </c>
      <c r="P99" s="2">
        <f>P11/'Output-Calculation-sheet'!P10*'Output-Calculation-sheet'!P82</f>
        <v>2200258358.187551</v>
      </c>
      <c r="Q99" s="2">
        <f>Q11/'Output-Calculation-sheet'!Q10*'Output-Calculation-sheet'!Q82</f>
        <v>1041838565.7458402</v>
      </c>
      <c r="R99" s="2">
        <f>R11/'Output-Calculation-sheet'!R10*'Output-Calculation-sheet'!R82</f>
        <v>1634989296.0395877</v>
      </c>
      <c r="S99" s="2">
        <f>S11/'Output-Calculation-sheet'!S10*'Output-Calculation-sheet'!S82</f>
        <v>637048012.24571645</v>
      </c>
      <c r="T99" s="2">
        <f>T11/'Output-Calculation-sheet'!T10*'Output-Calculation-sheet'!T82</f>
        <v>807814495.60214686</v>
      </c>
      <c r="U99" s="2">
        <f>U11/'Output-Calculation-sheet'!U10*'Output-Calculation-sheet'!U82</f>
        <v>434221493.57912689</v>
      </c>
      <c r="V99" s="2">
        <f>V11/'Output-Calculation-sheet'!V10*'Output-Calculation-sheet'!V82</f>
        <v>271639175.79603136</v>
      </c>
      <c r="W99" s="2">
        <f>W11/'Output-Calculation-sheet'!W10*'Output-Calculation-sheet'!W82</f>
        <v>880541539.41916454</v>
      </c>
      <c r="X99" s="2">
        <f>X11/'Output-Calculation-sheet'!X10*'Output-Calculation-sheet'!X82</f>
        <v>96889859.715728208</v>
      </c>
      <c r="Y99" s="2">
        <f>Y11/'Output-Calculation-sheet'!Y10*'Output-Calculation-sheet'!Y82</f>
        <v>376761629.16263735</v>
      </c>
      <c r="AA99" s="2">
        <f t="shared" si="8"/>
        <v>66.25691591704414</v>
      </c>
    </row>
    <row r="100" spans="1:27" x14ac:dyDescent="0.25">
      <c r="A100" s="2">
        <v>2035</v>
      </c>
      <c r="B100" s="2">
        <f>B12/'Output-Calculation-sheet'!B11*'Output-Calculation-sheet'!B83</f>
        <v>15067493326.612076</v>
      </c>
      <c r="C100" s="2">
        <f>C12/'Output-Calculation-sheet'!C11*'Output-Calculation-sheet'!C83</f>
        <v>2131827347.3651698</v>
      </c>
      <c r="D100" s="2">
        <f>D12/'Output-Calculation-sheet'!D11*'Output-Calculation-sheet'!D83</f>
        <v>7166183050.501482</v>
      </c>
      <c r="E100" s="2">
        <f>E12/'Output-Calculation-sheet'!E11*'Output-Calculation-sheet'!E83</f>
        <v>12607586452.297121</v>
      </c>
      <c r="F100" s="2">
        <f>F12/'Output-Calculation-sheet'!F11*'Output-Calculation-sheet'!F83</f>
        <v>5974820141.1990471</v>
      </c>
      <c r="G100" s="2">
        <f>G12/'Output-Calculation-sheet'!G11*'Output-Calculation-sheet'!G83</f>
        <v>4007157042.9070473</v>
      </c>
      <c r="H100" s="2">
        <f>H12/'Output-Calculation-sheet'!H11*'Output-Calculation-sheet'!H83</f>
        <v>1350244875.9947591</v>
      </c>
      <c r="I100" s="2">
        <f>I12/'Output-Calculation-sheet'!I11*'Output-Calculation-sheet'!I83</f>
        <v>3246728144.8828793</v>
      </c>
      <c r="J100" s="2">
        <f>J12/'Output-Calculation-sheet'!J11*'Output-Calculation-sheet'!J83</f>
        <v>2062707713.4520614</v>
      </c>
      <c r="K100" s="2">
        <f>K12/'Output-Calculation-sheet'!K11*'Output-Calculation-sheet'!K83</f>
        <v>2669996978.2871757</v>
      </c>
      <c r="L100" s="2">
        <f>L12/'Output-Calculation-sheet'!L11*'Output-Calculation-sheet'!L83</f>
        <v>2086162512.0051494</v>
      </c>
      <c r="M100" s="2">
        <f>M12/'Output-Calculation-sheet'!M11*'Output-Calculation-sheet'!M83</f>
        <v>1012074578.9644146</v>
      </c>
      <c r="N100" s="2">
        <f>N12/'Output-Calculation-sheet'!N11*'Output-Calculation-sheet'!N83</f>
        <v>953405603.01104689</v>
      </c>
      <c r="O100" s="2">
        <f>O12/'Output-Calculation-sheet'!O11*'Output-Calculation-sheet'!O83</f>
        <v>257217051.90719882</v>
      </c>
      <c r="P100" s="2">
        <f>P12/'Output-Calculation-sheet'!P11*'Output-Calculation-sheet'!P83</f>
        <v>2258450069.1368322</v>
      </c>
      <c r="Q100" s="2">
        <f>Q12/'Output-Calculation-sheet'!Q11*'Output-Calculation-sheet'!Q83</f>
        <v>1083100925.9139702</v>
      </c>
      <c r="R100" s="2">
        <f>R12/'Output-Calculation-sheet'!R11*'Output-Calculation-sheet'!R83</f>
        <v>1706098440.9996052</v>
      </c>
      <c r="S100" s="2">
        <f>S12/'Output-Calculation-sheet'!S11*'Output-Calculation-sheet'!S83</f>
        <v>661714252.73630834</v>
      </c>
      <c r="T100" s="2">
        <f>T12/'Output-Calculation-sheet'!T11*'Output-Calculation-sheet'!T83</f>
        <v>824789338.23274672</v>
      </c>
      <c r="U100" s="2">
        <f>U12/'Output-Calculation-sheet'!U11*'Output-Calculation-sheet'!U83</f>
        <v>451814894.49507034</v>
      </c>
      <c r="V100" s="2">
        <f>V12/'Output-Calculation-sheet'!V11*'Output-Calculation-sheet'!V83</f>
        <v>285567800.51519161</v>
      </c>
      <c r="W100" s="2">
        <f>W12/'Output-Calculation-sheet'!W11*'Output-Calculation-sheet'!W83</f>
        <v>901110448.93747795</v>
      </c>
      <c r="X100" s="2">
        <f>X12/'Output-Calculation-sheet'!X11*'Output-Calculation-sheet'!X83</f>
        <v>104855497.89537989</v>
      </c>
      <c r="Y100" s="2">
        <f>Y12/'Output-Calculation-sheet'!Y11*'Output-Calculation-sheet'!Y83</f>
        <v>386893268.4164784</v>
      </c>
      <c r="AA100" s="2">
        <f t="shared" si="8"/>
        <v>69.257999756665697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56EE-03EF-46A2-8B75-59E3C429CD27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95890563804.70253</v>
      </c>
      <c r="C8" s="2">
        <v>45188458948.832062</v>
      </c>
      <c r="D8" s="2">
        <v>40275133141.242821</v>
      </c>
      <c r="E8" s="2">
        <v>31954231156.007164</v>
      </c>
      <c r="F8" s="2">
        <v>20570085261.606327</v>
      </c>
      <c r="G8" s="2">
        <v>14453106435.557259</v>
      </c>
      <c r="H8" s="2">
        <v>14098450519.621555</v>
      </c>
      <c r="I8" s="2">
        <v>13167917670.879398</v>
      </c>
      <c r="J8" s="2">
        <v>12816741596.653549</v>
      </c>
      <c r="K8" s="2">
        <v>12693872634.727758</v>
      </c>
      <c r="L8" s="2">
        <v>10183189665.480083</v>
      </c>
      <c r="M8" s="2">
        <v>9726701852.8896008</v>
      </c>
      <c r="N8" s="2">
        <v>9546729777.0534477</v>
      </c>
      <c r="O8" s="2">
        <v>8780156816.2596455</v>
      </c>
      <c r="P8" s="2">
        <v>8690825662.7804089</v>
      </c>
      <c r="Q8" s="2">
        <v>8550367874.291029</v>
      </c>
      <c r="R8" s="2">
        <v>8225847176.875741</v>
      </c>
      <c r="S8" s="2">
        <v>5467319416.9491129</v>
      </c>
      <c r="T8" s="2">
        <v>3023750690.4863987</v>
      </c>
      <c r="U8" s="2">
        <v>2633583534.1758833</v>
      </c>
      <c r="V8" s="2">
        <v>2027911992.9861152</v>
      </c>
      <c r="W8" s="2">
        <v>1755722356.117254</v>
      </c>
      <c r="X8" s="2">
        <v>1053433413.6703532</v>
      </c>
      <c r="Y8" s="2">
        <v>1024453460.4602802</v>
      </c>
    </row>
    <row r="9" spans="1:27" x14ac:dyDescent="0.25">
      <c r="A9" s="2">
        <v>2032</v>
      </c>
      <c r="B9" s="2">
        <v>105449872296.12009</v>
      </c>
      <c r="C9" s="2">
        <v>49693286141.457878</v>
      </c>
      <c r="D9" s="2">
        <v>44290152001.849152</v>
      </c>
      <c r="E9" s="2">
        <v>35139741190.638527</v>
      </c>
      <c r="F9" s="2">
        <v>22620712381.819519</v>
      </c>
      <c r="G9" s="2">
        <v>15893933328.161354</v>
      </c>
      <c r="H9" s="2">
        <v>15503921844.647169</v>
      </c>
      <c r="I9" s="2">
        <v>14480624387.902077</v>
      </c>
      <c r="J9" s="2">
        <v>14094439650.726171</v>
      </c>
      <c r="K9" s="2">
        <v>13959321909.937624</v>
      </c>
      <c r="L9" s="2">
        <v>11198349526.644291</v>
      </c>
      <c r="M9" s="2">
        <v>10696354547.863688</v>
      </c>
      <c r="N9" s="2">
        <v>10498441096.729521</v>
      </c>
      <c r="O9" s="2">
        <v>9655448651.862896</v>
      </c>
      <c r="P9" s="2">
        <v>9557212096.015379</v>
      </c>
      <c r="Q9" s="2">
        <v>9402752102.5444221</v>
      </c>
      <c r="R9" s="2">
        <v>9045880010.6294537</v>
      </c>
      <c r="S9" s="2">
        <v>6012355245.8569279</v>
      </c>
      <c r="T9" s="2">
        <v>3325187708.9438796</v>
      </c>
      <c r="U9" s="2">
        <v>2896124877.58042</v>
      </c>
      <c r="V9" s="2">
        <v>2230074078.2344766</v>
      </c>
      <c r="W9" s="2">
        <v>1930749918.386945</v>
      </c>
      <c r="X9" s="2">
        <v>1158449951.0321677</v>
      </c>
      <c r="Y9" s="2">
        <v>1126580992.879271</v>
      </c>
    </row>
    <row r="10" spans="1:27" x14ac:dyDescent="0.25">
      <c r="A10" s="2">
        <v>2033</v>
      </c>
      <c r="B10" s="2">
        <v>113453675266.20583</v>
      </c>
      <c r="C10" s="2">
        <v>53465080858.244415</v>
      </c>
      <c r="D10" s="2">
        <v>47651840758.972397</v>
      </c>
      <c r="E10" s="2">
        <v>37806900086.003311</v>
      </c>
      <c r="F10" s="2">
        <v>24337658272.836246</v>
      </c>
      <c r="G10" s="2">
        <v>17100306631.497854</v>
      </c>
      <c r="H10" s="2">
        <v>16680692693.26137</v>
      </c>
      <c r="I10" s="2">
        <v>15579725429.571627</v>
      </c>
      <c r="J10" s="2">
        <v>15164228693.442034</v>
      </c>
      <c r="K10" s="2">
        <v>15018855314.107071</v>
      </c>
      <c r="L10" s="2">
        <v>12048320998.868744</v>
      </c>
      <c r="M10" s="2">
        <v>11508223850.643597</v>
      </c>
      <c r="N10" s="2">
        <v>11295288472.659111</v>
      </c>
      <c r="O10" s="2">
        <v>10388311640.831484</v>
      </c>
      <c r="P10" s="2">
        <v>10282618783.517281</v>
      </c>
      <c r="Q10" s="2">
        <v>10116435045.601851</v>
      </c>
      <c r="R10" s="2">
        <v>9732475828.335144</v>
      </c>
      <c r="S10" s="2">
        <v>6468701998.3581247</v>
      </c>
      <c r="T10" s="2">
        <v>3577574427.6892648</v>
      </c>
      <c r="U10" s="2">
        <v>3115945085.91433</v>
      </c>
      <c r="V10" s="2">
        <v>2399340035.0557537</v>
      </c>
      <c r="W10" s="2">
        <v>2077296723.9428847</v>
      </c>
      <c r="X10" s="2">
        <v>1246378034.3657317</v>
      </c>
      <c r="Y10" s="2">
        <v>1212090174.6403286</v>
      </c>
    </row>
    <row r="11" spans="1:27" x14ac:dyDescent="0.25">
      <c r="A11" s="2">
        <v>2034</v>
      </c>
      <c r="B11" s="2">
        <v>120554896829.21654</v>
      </c>
      <c r="C11" s="2">
        <v>56811533797.453575</v>
      </c>
      <c r="D11" s="2">
        <v>50634435005.661926</v>
      </c>
      <c r="E11" s="2">
        <v>40173285956.636162</v>
      </c>
      <c r="F11" s="2">
        <v>25860985774.697533</v>
      </c>
      <c r="G11" s="2">
        <v>18170638340.900471</v>
      </c>
      <c r="H11" s="2">
        <v>17724760189.192249</v>
      </c>
      <c r="I11" s="2">
        <v>16554881870.353891</v>
      </c>
      <c r="J11" s="2">
        <v>16113378622.09465</v>
      </c>
      <c r="K11" s="2">
        <v>15958906123.021177</v>
      </c>
      <c r="L11" s="2">
        <v>12802441979.740366</v>
      </c>
      <c r="M11" s="2">
        <v>12228539408.234766</v>
      </c>
      <c r="N11" s="2">
        <v>12002276112.101103</v>
      </c>
      <c r="O11" s="2">
        <v>11038530353.042048</v>
      </c>
      <c r="P11" s="2">
        <v>10926222034.433577</v>
      </c>
      <c r="Q11" s="2">
        <v>10749636627.816469</v>
      </c>
      <c r="R11" s="2">
        <v>10341644875.097971</v>
      </c>
      <c r="S11" s="2">
        <v>6873586952.57092</v>
      </c>
      <c r="T11" s="2">
        <v>3801499731.2069554</v>
      </c>
      <c r="U11" s="2">
        <v>3310976374.0707836</v>
      </c>
      <c r="V11" s="2">
        <v>2549518027.5619864</v>
      </c>
      <c r="W11" s="2">
        <v>2207317582.7138538</v>
      </c>
      <c r="X11" s="2">
        <v>1324390549.6283133</v>
      </c>
      <c r="Y11" s="2">
        <v>1287956565.6080363</v>
      </c>
    </row>
    <row r="12" spans="1:27" x14ac:dyDescent="0.25">
      <c r="A12" s="2">
        <v>2035</v>
      </c>
      <c r="B12" s="2">
        <v>127067087414.75555</v>
      </c>
      <c r="C12" s="2">
        <v>59880405699.603859</v>
      </c>
      <c r="D12" s="2">
        <v>53369629507.259689</v>
      </c>
      <c r="E12" s="2">
        <v>42343385234.872787</v>
      </c>
      <c r="F12" s="2">
        <v>27257956553.357178</v>
      </c>
      <c r="G12" s="2">
        <v>19152188348.814949</v>
      </c>
      <c r="H12" s="2">
        <v>18682224543.365383</v>
      </c>
      <c r="I12" s="2">
        <v>17449151192.433403</v>
      </c>
      <c r="J12" s="2">
        <v>16983798616.005672</v>
      </c>
      <c r="K12" s="2">
        <v>16820981749.505829</v>
      </c>
      <c r="L12" s="2">
        <v>13494010255.481857</v>
      </c>
      <c r="M12" s="2">
        <v>12889106347.477501</v>
      </c>
      <c r="N12" s="2">
        <v>12650620655.193295</v>
      </c>
      <c r="O12" s="2">
        <v>11634814828.695513</v>
      </c>
      <c r="P12" s="2">
        <v>11516439787.006058</v>
      </c>
      <c r="Q12" s="2">
        <v>11330315507.620102</v>
      </c>
      <c r="R12" s="2">
        <v>10900284666.312817</v>
      </c>
      <c r="S12" s="2">
        <v>7244887575.0983324</v>
      </c>
      <c r="T12" s="2">
        <v>4006850914.8719845</v>
      </c>
      <c r="U12" s="2">
        <v>3489830238.4866862</v>
      </c>
      <c r="V12" s="2">
        <v>2687239080.2395201</v>
      </c>
      <c r="W12" s="2">
        <v>2326553492.3244557</v>
      </c>
      <c r="X12" s="2">
        <v>1395932095.3946743</v>
      </c>
      <c r="Y12" s="2">
        <v>1357530003.4503646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-4.5195892169162742E-11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179.75465711761834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2.8216810779890991E-12</v>
      </c>
      <c r="Y16" s="2">
        <f>Y5/'Output-Calculation-sheet'!Y4*'Output-Calculation-sheet'!Y22</f>
        <v>0</v>
      </c>
      <c r="AA16" s="2">
        <f t="shared" ref="AA16:AA23" si="0">SUM(B16:Y16)/1000</f>
        <v>0.17975465711757596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1365.8555704711405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929.66927532141654</v>
      </c>
      <c r="N17" s="2">
        <f>N6/'Output-Calculation-sheet'!N5*'Output-Calculation-sheet'!N23</f>
        <v>381.26597866232555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85.6951003305266</v>
      </c>
      <c r="Y17" s="2">
        <f>Y6/'Output-Calculation-sheet'!Y5*'Output-Calculation-sheet'!Y23</f>
        <v>0</v>
      </c>
      <c r="AA17" s="2">
        <f t="shared" si="0"/>
        <v>2.7624859247854094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1764.8877932355176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1199.5524955666799</v>
      </c>
      <c r="N18" s="2">
        <f>N7/'Output-Calculation-sheet'!N6*'Output-Calculation-sheet'!N24</f>
        <v>664.02121659247052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117.96719317359887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112.61595833370302</v>
      </c>
      <c r="Y18" s="2">
        <f>Y7/'Output-Calculation-sheet'!Y6*'Output-Calculation-sheet'!Y24</f>
        <v>0</v>
      </c>
      <c r="AA18" s="2">
        <f t="shared" si="0"/>
        <v>3.8590446569019701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2107.2623499071174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1443.1520605793914</v>
      </c>
      <c r="N19" s="2">
        <f>N8/'Output-Calculation-sheet'!N7*'Output-Calculation-sheet'!N25</f>
        <v>970.7293468229484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257.48154488203704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136.96060224794797</v>
      </c>
      <c r="Y19" s="2">
        <f>Y8/'Output-Calculation-sheet'!Y7*'Output-Calculation-sheet'!Y25</f>
        <v>0</v>
      </c>
      <c r="AA19" s="2">
        <f t="shared" si="0"/>
        <v>4.9155859044394425</v>
      </c>
    </row>
    <row r="20" spans="1:27" x14ac:dyDescent="0.25">
      <c r="A20" s="2">
        <v>2032</v>
      </c>
      <c r="B20" s="2">
        <f>B9/'Output-Calculation-sheet'!B8*'Output-Calculation-sheet'!B26</f>
        <v>2.2645502243025528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2393.7933090857214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1637.0433780876081</v>
      </c>
      <c r="N20" s="2">
        <f>N9/'Output-Calculation-sheet'!N8*'Output-Calculation-sheet'!N26</f>
        <v>1192.2351607040403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410.19002682154587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157.57317681296612</v>
      </c>
      <c r="Y20" s="2">
        <f>Y9/'Output-Calculation-sheet'!Y8*'Output-Calculation-sheet'!Y26</f>
        <v>0</v>
      </c>
      <c r="AA20" s="2">
        <f t="shared" si="0"/>
        <v>5.7930996017361842</v>
      </c>
    </row>
    <row r="21" spans="1:27" x14ac:dyDescent="0.25">
      <c r="A21" s="2">
        <v>2033</v>
      </c>
      <c r="B21" s="2">
        <f>B10/'Output-Calculation-sheet'!B9*'Output-Calculation-sheet'!B27</f>
        <v>3793.5261376487952</v>
      </c>
      <c r="C21" s="2">
        <f>C10/'Output-Calculation-sheet'!C9*'Output-Calculation-sheet'!C27</f>
        <v>5919.5370140439418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2655.8706258845768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1818.0797033477663</v>
      </c>
      <c r="N21" s="2">
        <f>N10/'Output-Calculation-sheet'!N9*'Output-Calculation-sheet'!N27</f>
        <v>1420.5183295235197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541.91353208989608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175.00021755928802</v>
      </c>
      <c r="Y21" s="2">
        <f>Y10/'Output-Calculation-sheet'!Y9*'Output-Calculation-sheet'!Y27</f>
        <v>0</v>
      </c>
      <c r="AA21" s="2">
        <f t="shared" si="0"/>
        <v>16.324445560097782</v>
      </c>
    </row>
    <row r="22" spans="1:27" x14ac:dyDescent="0.25">
      <c r="A22" s="2">
        <v>2034</v>
      </c>
      <c r="B22" s="2">
        <f>B11/'Output-Calculation-sheet'!B10*'Output-Calculation-sheet'!B28</f>
        <v>6888.9144576877725</v>
      </c>
      <c r="C22" s="2">
        <f>C11/'Output-Calculation-sheet'!C10*'Output-Calculation-sheet'!C28</f>
        <v>6674.2056555182462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2915.980537705454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1996.3055872786488</v>
      </c>
      <c r="N22" s="2">
        <f>N11/'Output-Calculation-sheet'!N10*'Output-Calculation-sheet'!N28</f>
        <v>1600.8005244865412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653.01736189352823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193.41637417737888</v>
      </c>
      <c r="Y22" s="2">
        <f>Y11/'Output-Calculation-sheet'!Y10*'Output-Calculation-sheet'!Y28</f>
        <v>0</v>
      </c>
      <c r="AA22" s="2">
        <f t="shared" si="0"/>
        <v>20.922640498747572</v>
      </c>
    </row>
    <row r="23" spans="1:27" x14ac:dyDescent="0.25">
      <c r="A23" s="2">
        <v>2035</v>
      </c>
      <c r="B23" s="2">
        <f>B12/'Output-Calculation-sheet'!B11*'Output-Calculation-sheet'!B29</f>
        <v>9045.9150927424416</v>
      </c>
      <c r="C23" s="2">
        <f>C12/'Output-Calculation-sheet'!C11*'Output-Calculation-sheet'!C29</f>
        <v>7412.4462745069231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3162.4765305503215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2161.6783063055905</v>
      </c>
      <c r="N23" s="2">
        <f>N12/'Output-Calculation-sheet'!N11*'Output-Calculation-sheet'!N29</f>
        <v>1766.984696841726</v>
      </c>
      <c r="O23" s="2">
        <f>O12/'Output-Calculation-sheet'!O11*'Output-Calculation-sheet'!O29</f>
        <v>1260.2970849755902</v>
      </c>
      <c r="P23" s="2">
        <f>P12/'Output-Calculation-sheet'!P11*'Output-Calculation-sheet'!P29</f>
        <v>0</v>
      </c>
      <c r="Q23" s="2">
        <f>Q12/'Output-Calculation-sheet'!Q11*'Output-Calculation-sheet'!Q29</f>
        <v>24.117275818301906</v>
      </c>
      <c r="R23" s="2">
        <f>R12/'Output-Calculation-sheet'!R11*'Output-Calculation-sheet'!R29</f>
        <v>0</v>
      </c>
      <c r="S23" s="2">
        <f>S12/'Output-Calculation-sheet'!S11*'Output-Calculation-sheet'!S29</f>
        <v>775.98338413605563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211.90256638853052</v>
      </c>
      <c r="Y23" s="2">
        <f>Y12/'Output-Calculation-sheet'!Y11*'Output-Calculation-sheet'!Y29</f>
        <v>0</v>
      </c>
      <c r="AA23" s="2">
        <f t="shared" si="0"/>
        <v>25.821801212265484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8368.6388549606927</v>
      </c>
      <c r="C27" s="2">
        <f>C5/'Output-Calculation-sheet'!C4*'Output-Calculation-sheet'!C13</f>
        <v>0</v>
      </c>
      <c r="D27" s="2">
        <f>D5/'Output-Calculation-sheet'!D4*'Output-Calculation-sheet'!D13</f>
        <v>2702.6278056105175</v>
      </c>
      <c r="E27" s="2">
        <f>E5/'Output-Calculation-sheet'!E4*'Output-Calculation-sheet'!E13</f>
        <v>2757.101662138964</v>
      </c>
      <c r="F27" s="2">
        <f>F5/'Output-Calculation-sheet'!F4*'Output-Calculation-sheet'!F13</f>
        <v>1566.2038361421328</v>
      </c>
      <c r="G27" s="2">
        <f>G5/'Output-Calculation-sheet'!G4*'Output-Calculation-sheet'!G13</f>
        <v>949.81826434336756</v>
      </c>
      <c r="H27" s="2">
        <f>H5/'Output-Calculation-sheet'!H4*'Output-Calculation-sheet'!H13</f>
        <v>0</v>
      </c>
      <c r="I27" s="2">
        <f>I5/'Output-Calculation-sheet'!I4*'Output-Calculation-sheet'!I13</f>
        <v>949.1161808096399</v>
      </c>
      <c r="J27" s="2">
        <f>J5/'Output-Calculation-sheet'!J4*'Output-Calculation-sheet'!J13</f>
        <v>872.55288810108993</v>
      </c>
      <c r="K27" s="2">
        <f>K5/'Output-Calculation-sheet'!K4*'Output-Calculation-sheet'!K13</f>
        <v>1063.6604894629943</v>
      </c>
      <c r="L27" s="2">
        <f>L5/'Output-Calculation-sheet'!L4*'Output-Calculation-sheet'!L13</f>
        <v>881.96219270735446</v>
      </c>
      <c r="M27" s="2">
        <f>M5/'Output-Calculation-sheet'!M4*'Output-Calculation-sheet'!M13</f>
        <v>0</v>
      </c>
      <c r="N27" s="2">
        <f>N5/'Output-Calculation-sheet'!N4*'Output-Calculation-sheet'!N13</f>
        <v>572.90567468054985</v>
      </c>
      <c r="O27" s="2">
        <f>O5/'Output-Calculation-sheet'!O4*'Output-Calculation-sheet'!O13</f>
        <v>0</v>
      </c>
      <c r="P27" s="2">
        <f>P5/'Output-Calculation-sheet'!P4*'Output-Calculation-sheet'!P13</f>
        <v>689.25991538622191</v>
      </c>
      <c r="Q27" s="2">
        <f>Q5/'Output-Calculation-sheet'!Q4*'Output-Calculation-sheet'!Q13</f>
        <v>743.58934648937327</v>
      </c>
      <c r="R27" s="2">
        <f>R5/'Output-Calculation-sheet'!R4*'Output-Calculation-sheet'!R13</f>
        <v>671.07588355119867</v>
      </c>
      <c r="S27" s="2">
        <f>S5/'Output-Calculation-sheet'!S4*'Output-Calculation-sheet'!S13</f>
        <v>402.85384544380736</v>
      </c>
      <c r="T27" s="2">
        <f>T5/'Output-Calculation-sheet'!T4*'Output-Calculation-sheet'!T13</f>
        <v>246.68521175349937</v>
      </c>
      <c r="U27" s="2">
        <f>U5/'Output-Calculation-sheet'!U4*'Output-Calculation-sheet'!U13</f>
        <v>188.38017298332596</v>
      </c>
      <c r="V27" s="2">
        <f>V5/'Output-Calculation-sheet'!V4*'Output-Calculation-sheet'!V13</f>
        <v>180.46128445485468</v>
      </c>
      <c r="W27" s="2">
        <f>W5/'Output-Calculation-sheet'!W4*'Output-Calculation-sheet'!W13</f>
        <v>126.29843563697831</v>
      </c>
      <c r="X27" s="2">
        <f>X5/'Output-Calculation-sheet'!X4*'Output-Calculation-sheet'!X13</f>
        <v>0</v>
      </c>
      <c r="Y27" s="2">
        <f>Y5/'Output-Calculation-sheet'!Y4*'Output-Calculation-sheet'!Y13</f>
        <v>82.903041037375289</v>
      </c>
      <c r="AA27" s="2">
        <f t="shared" ref="AA27:AA34" si="1">SUM(B27:Y27)/1000</f>
        <v>24.016094985693933</v>
      </c>
    </row>
    <row r="28" spans="1:27" x14ac:dyDescent="0.25">
      <c r="A28" s="2">
        <v>2029</v>
      </c>
      <c r="B28" s="2">
        <f>B6/'Output-Calculation-sheet'!B5*'Output-Calculation-sheet'!B14</f>
        <v>11382.576752299157</v>
      </c>
      <c r="C28" s="2">
        <f>C6/'Output-Calculation-sheet'!C5*'Output-Calculation-sheet'!C14</f>
        <v>0</v>
      </c>
      <c r="D28" s="2">
        <f>D6/'Output-Calculation-sheet'!D5*'Output-Calculation-sheet'!D14</f>
        <v>3620.8712728420778</v>
      </c>
      <c r="E28" s="2">
        <f>E6/'Output-Calculation-sheet'!E5*'Output-Calculation-sheet'!E14</f>
        <v>3718.2455007363183</v>
      </c>
      <c r="F28" s="2">
        <f>F6/'Output-Calculation-sheet'!F5*'Output-Calculation-sheet'!F14</f>
        <v>2096.7103251445646</v>
      </c>
      <c r="G28" s="2">
        <f>G6/'Output-Calculation-sheet'!G5*'Output-Calculation-sheet'!G14</f>
        <v>1270.3242082281017</v>
      </c>
      <c r="H28" s="2">
        <f>H6/'Output-Calculation-sheet'!H5*'Output-Calculation-sheet'!H14</f>
        <v>0</v>
      </c>
      <c r="I28" s="2">
        <f>I6/'Output-Calculation-sheet'!I5*'Output-Calculation-sheet'!I14</f>
        <v>1275.9031893260374</v>
      </c>
      <c r="J28" s="2">
        <f>J6/'Output-Calculation-sheet'!J5*'Output-Calculation-sheet'!J14</f>
        <v>1169.2349527227605</v>
      </c>
      <c r="K28" s="2">
        <f>K6/'Output-Calculation-sheet'!K5*'Output-Calculation-sheet'!K14</f>
        <v>1434.0544668317659</v>
      </c>
      <c r="L28" s="2">
        <f>L6/'Output-Calculation-sheet'!L5*'Output-Calculation-sheet'!L14</f>
        <v>1186.0173652882559</v>
      </c>
      <c r="M28" s="2">
        <f>M6/'Output-Calculation-sheet'!M5*'Output-Calculation-sheet'!M14</f>
        <v>0</v>
      </c>
      <c r="N28" s="2">
        <f>N6/'Output-Calculation-sheet'!N5*'Output-Calculation-sheet'!N14</f>
        <v>751.8905728494766</v>
      </c>
      <c r="O28" s="2">
        <f>O6/'Output-Calculation-sheet'!O5*'Output-Calculation-sheet'!O14</f>
        <v>0</v>
      </c>
      <c r="P28" s="2">
        <f>P6/'Output-Calculation-sheet'!P5*'Output-Calculation-sheet'!P14</f>
        <v>939.03394474886909</v>
      </c>
      <c r="Q28" s="2">
        <f>Q6/'Output-Calculation-sheet'!Q5*'Output-Calculation-sheet'!Q14</f>
        <v>1019.3374431875496</v>
      </c>
      <c r="R28" s="2">
        <f>R6/'Output-Calculation-sheet'!R5*'Output-Calculation-sheet'!R14</f>
        <v>906.34180666096779</v>
      </c>
      <c r="S28" s="2">
        <f>S6/'Output-Calculation-sheet'!S5*'Output-Calculation-sheet'!S14</f>
        <v>555.55812234133214</v>
      </c>
      <c r="T28" s="2">
        <f>T6/'Output-Calculation-sheet'!T5*'Output-Calculation-sheet'!T14</f>
        <v>331.37937255296811</v>
      </c>
      <c r="U28" s="2">
        <f>U6/'Output-Calculation-sheet'!U5*'Output-Calculation-sheet'!U14</f>
        <v>254.21469811921583</v>
      </c>
      <c r="V28" s="2">
        <f>V6/'Output-Calculation-sheet'!V5*'Output-Calculation-sheet'!V14</f>
        <v>243.151615863193</v>
      </c>
      <c r="W28" s="2">
        <f>W6/'Output-Calculation-sheet'!W5*'Output-Calculation-sheet'!W14</f>
        <v>169.6771422124115</v>
      </c>
      <c r="X28" s="2">
        <f>X6/'Output-Calculation-sheet'!X5*'Output-Calculation-sheet'!X14</f>
        <v>0</v>
      </c>
      <c r="Y28" s="2">
        <f>Y6/'Output-Calculation-sheet'!Y5*'Output-Calculation-sheet'!Y14</f>
        <v>111.57048803484622</v>
      </c>
      <c r="AA28" s="2">
        <f t="shared" si="1"/>
        <v>32.436093239989866</v>
      </c>
    </row>
    <row r="29" spans="1:27" x14ac:dyDescent="0.25">
      <c r="A29" s="2">
        <v>2030</v>
      </c>
      <c r="B29" s="2">
        <f>B7/'Output-Calculation-sheet'!B6*'Output-Calculation-sheet'!B15</f>
        <v>14196.496637802778</v>
      </c>
      <c r="C29" s="2">
        <f>C7/'Output-Calculation-sheet'!C6*'Output-Calculation-sheet'!C15</f>
        <v>0</v>
      </c>
      <c r="D29" s="2">
        <f>D7/'Output-Calculation-sheet'!D6*'Output-Calculation-sheet'!D15</f>
        <v>4462.6113684516886</v>
      </c>
      <c r="E29" s="2">
        <f>E7/'Output-Calculation-sheet'!E6*'Output-Calculation-sheet'!E15</f>
        <v>4600.3729237478128</v>
      </c>
      <c r="F29" s="2">
        <f>F7/'Output-Calculation-sheet'!F6*'Output-Calculation-sheet'!F15</f>
        <v>2580.4201269724185</v>
      </c>
      <c r="G29" s="2">
        <f>G7/'Output-Calculation-sheet'!G6*'Output-Calculation-sheet'!G15</f>
        <v>1560.7874323025187</v>
      </c>
      <c r="H29" s="2">
        <f>H7/'Output-Calculation-sheet'!H6*'Output-Calculation-sheet'!H15</f>
        <v>0</v>
      </c>
      <c r="I29" s="2">
        <f>I7/'Output-Calculation-sheet'!I6*'Output-Calculation-sheet'!I15</f>
        <v>1572.6542035237796</v>
      </c>
      <c r="J29" s="2">
        <f>J7/'Output-Calculation-sheet'!J6*'Output-Calculation-sheet'!J15</f>
        <v>1438.5857973863817</v>
      </c>
      <c r="K29" s="2">
        <f>K7/'Output-Calculation-sheet'!K6*'Output-Calculation-sheet'!K15</f>
        <v>1771.2890897175346</v>
      </c>
      <c r="L29" s="2">
        <f>L7/'Output-Calculation-sheet'!L6*'Output-Calculation-sheet'!L15</f>
        <v>1468.5249945871315</v>
      </c>
      <c r="M29" s="2">
        <f>M7/'Output-Calculation-sheet'!M6*'Output-Calculation-sheet'!M15</f>
        <v>0</v>
      </c>
      <c r="N29" s="2">
        <f>N7/'Output-Calculation-sheet'!N6*'Output-Calculation-sheet'!N15</f>
        <v>832.74949466042415</v>
      </c>
      <c r="O29" s="2">
        <f>O7/'Output-Calculation-sheet'!O6*'Output-Calculation-sheet'!O15</f>
        <v>0</v>
      </c>
      <c r="P29" s="2">
        <f>P7/'Output-Calculation-sheet'!P6*'Output-Calculation-sheet'!P15</f>
        <v>1167.3868582733101</v>
      </c>
      <c r="Q29" s="2">
        <f>Q7/'Output-Calculation-sheet'!Q6*'Output-Calculation-sheet'!Q15</f>
        <v>1275.2033140261374</v>
      </c>
      <c r="R29" s="2">
        <f>R7/'Output-Calculation-sheet'!R6*'Output-Calculation-sheet'!R15</f>
        <v>1122.8565649899601</v>
      </c>
      <c r="S29" s="2">
        <f>S7/'Output-Calculation-sheet'!S6*'Output-Calculation-sheet'!S15</f>
        <v>642.01588171525168</v>
      </c>
      <c r="T29" s="2">
        <f>T7/'Output-Calculation-sheet'!T6*'Output-Calculation-sheet'!T15</f>
        <v>409.39335219594443</v>
      </c>
      <c r="U29" s="2">
        <f>U7/'Output-Calculation-sheet'!U6*'Output-Calculation-sheet'!U15</f>
        <v>314.56614287716297</v>
      </c>
      <c r="V29" s="2">
        <f>V7/'Output-Calculation-sheet'!V6*'Output-Calculation-sheet'!V15</f>
        <v>301.09525510247096</v>
      </c>
      <c r="W29" s="2">
        <f>W7/'Output-Calculation-sheet'!W6*'Output-Calculation-sheet'!W15</f>
        <v>209.6671481682437</v>
      </c>
      <c r="X29" s="2">
        <f>X7/'Output-Calculation-sheet'!X6*'Output-Calculation-sheet'!X15</f>
        <v>0</v>
      </c>
      <c r="Y29" s="2">
        <f>Y7/'Output-Calculation-sheet'!Y6*'Output-Calculation-sheet'!Y15</f>
        <v>138.10488775914817</v>
      </c>
      <c r="AA29" s="2">
        <f t="shared" si="1"/>
        <v>40.064781474260101</v>
      </c>
    </row>
    <row r="30" spans="1:27" x14ac:dyDescent="0.25">
      <c r="A30" s="2">
        <v>2031</v>
      </c>
      <c r="B30" s="2">
        <f>B8/'Output-Calculation-sheet'!B7*'Output-Calculation-sheet'!B16</f>
        <v>16562.837790804566</v>
      </c>
      <c r="C30" s="2">
        <f>C8/'Output-Calculation-sheet'!C7*'Output-Calculation-sheet'!C16</f>
        <v>0</v>
      </c>
      <c r="D30" s="2">
        <f>D8/'Output-Calculation-sheet'!D7*'Output-Calculation-sheet'!D16</f>
        <v>5170.3221591245574</v>
      </c>
      <c r="E30" s="2">
        <f>E8/'Output-Calculation-sheet'!E7*'Output-Calculation-sheet'!E16</f>
        <v>5347.8652064754606</v>
      </c>
      <c r="F30" s="2">
        <f>F8/'Output-Calculation-sheet'!F7*'Output-Calculation-sheet'!F16</f>
        <v>2996.0762333450753</v>
      </c>
      <c r="G30" s="2">
        <f>G8/'Output-Calculation-sheet'!G7*'Output-Calculation-sheet'!G16</f>
        <v>1806.9615862172193</v>
      </c>
      <c r="H30" s="2">
        <f>H8/'Output-Calculation-sheet'!H7*'Output-Calculation-sheet'!H16</f>
        <v>0</v>
      </c>
      <c r="I30" s="2">
        <f>I8/'Output-Calculation-sheet'!I7*'Output-Calculation-sheet'!I16</f>
        <v>1828.845710549384</v>
      </c>
      <c r="J30" s="2">
        <f>J8/'Output-Calculation-sheet'!J7*'Output-Calculation-sheet'!J16</f>
        <v>1669.2890678242388</v>
      </c>
      <c r="K30" s="2">
        <f>K8/'Output-Calculation-sheet'!K7*'Output-Calculation-sheet'!K16</f>
        <v>2064.4568691819745</v>
      </c>
      <c r="L30" s="2">
        <f>L8/'Output-Calculation-sheet'!L7*'Output-Calculation-sheet'!L16</f>
        <v>1703.7161736332578</v>
      </c>
      <c r="M30" s="2">
        <f>M8/'Output-Calculation-sheet'!M7*'Output-Calculation-sheet'!M16</f>
        <v>0</v>
      </c>
      <c r="N30" s="2">
        <f>N8/'Output-Calculation-sheet'!N7*'Output-Calculation-sheet'!N16</f>
        <v>835.93819702400356</v>
      </c>
      <c r="O30" s="2">
        <f>O8/'Output-Calculation-sheet'!O7*'Output-Calculation-sheet'!O16</f>
        <v>0</v>
      </c>
      <c r="P30" s="2">
        <f>P8/'Output-Calculation-sheet'!P7*'Output-Calculation-sheet'!P16</f>
        <v>1357.9420438200707</v>
      </c>
      <c r="Q30" s="2">
        <f>Q8/'Output-Calculation-sheet'!Q7*'Output-Calculation-sheet'!Q16</f>
        <v>1489.4330249875109</v>
      </c>
      <c r="R30" s="2">
        <f>R8/'Output-Calculation-sheet'!R7*'Output-Calculation-sheet'!R16</f>
        <v>1304.9372025510838</v>
      </c>
      <c r="S30" s="2">
        <f>S8/'Output-Calculation-sheet'!S7*'Output-Calculation-sheet'!S16</f>
        <v>696.88504609323888</v>
      </c>
      <c r="T30" s="2">
        <f>T8/'Output-Calculation-sheet'!T7*'Output-Calculation-sheet'!T16</f>
        <v>476.06786222232131</v>
      </c>
      <c r="U30" s="2">
        <f>U8/'Output-Calculation-sheet'!U7*'Output-Calculation-sheet'!U16</f>
        <v>365.89205129665805</v>
      </c>
      <c r="V30" s="2">
        <f>V8/'Output-Calculation-sheet'!V7*'Output-Calculation-sheet'!V16</f>
        <v>350.373304243809</v>
      </c>
      <c r="W30" s="2">
        <f>W8/'Output-Calculation-sheet'!W7*'Output-Calculation-sheet'!W16</f>
        <v>243.24165629004494</v>
      </c>
      <c r="X30" s="2">
        <f>X8/'Output-Calculation-sheet'!X7*'Output-Calculation-sheet'!X16</f>
        <v>0</v>
      </c>
      <c r="Y30" s="2">
        <f>Y8/'Output-Calculation-sheet'!Y7*'Output-Calculation-sheet'!Y16</f>
        <v>160.80864204118646</v>
      </c>
      <c r="AA30" s="2">
        <f t="shared" si="1"/>
        <v>46.431889827725662</v>
      </c>
    </row>
    <row r="31" spans="1:27" x14ac:dyDescent="0.25">
      <c r="A31" s="2">
        <v>2032</v>
      </c>
      <c r="B31" s="2">
        <f>B9/'Output-Calculation-sheet'!B8*'Output-Calculation-sheet'!B17</f>
        <v>18438.99726728243</v>
      </c>
      <c r="C31" s="2">
        <f>C9/'Output-Calculation-sheet'!C8*'Output-Calculation-sheet'!C17</f>
        <v>0</v>
      </c>
      <c r="D31" s="2">
        <f>D9/'Output-Calculation-sheet'!D8*'Output-Calculation-sheet'!D17</f>
        <v>5716.4771669902138</v>
      </c>
      <c r="E31" s="2">
        <f>E9/'Output-Calculation-sheet'!E8*'Output-Calculation-sheet'!E17</f>
        <v>5920.0640079247687</v>
      </c>
      <c r="F31" s="2">
        <f>F9/'Output-Calculation-sheet'!F8*'Output-Calculation-sheet'!F17</f>
        <v>3307.300562842403</v>
      </c>
      <c r="G31" s="2">
        <f>G9/'Output-Calculation-sheet'!G8*'Output-Calculation-sheet'!G17</f>
        <v>1993.7726845584673</v>
      </c>
      <c r="H31" s="2">
        <f>H9/'Output-Calculation-sheet'!H8*'Output-Calculation-sheet'!H17</f>
        <v>0</v>
      </c>
      <c r="I31" s="2">
        <f>I9/'Output-Calculation-sheet'!I8*'Output-Calculation-sheet'!I17</f>
        <v>2021.4399167751553</v>
      </c>
      <c r="J31" s="2">
        <f>J9/'Output-Calculation-sheet'!J8*'Output-Calculation-sheet'!J17</f>
        <v>1843.6875485611818</v>
      </c>
      <c r="K31" s="2">
        <f>K9/'Output-Calculation-sheet'!K8*'Output-Calculation-sheet'!K17</f>
        <v>2283.7388097376574</v>
      </c>
      <c r="L31" s="2">
        <f>L9/'Output-Calculation-sheet'!L8*'Output-Calculation-sheet'!L17</f>
        <v>1885.1919275159703</v>
      </c>
      <c r="M31" s="2">
        <f>M9/'Output-Calculation-sheet'!M8*'Output-Calculation-sheet'!M17</f>
        <v>0</v>
      </c>
      <c r="N31" s="2">
        <f>N9/'Output-Calculation-sheet'!N8*'Output-Calculation-sheet'!N17</f>
        <v>833.89944571944045</v>
      </c>
      <c r="O31" s="2">
        <f>O9/'Output-Calculation-sheet'!O8*'Output-Calculation-sheet'!O17</f>
        <v>0</v>
      </c>
      <c r="P31" s="2">
        <f>P9/'Output-Calculation-sheet'!P8*'Output-Calculation-sheet'!P17</f>
        <v>1516.579315982402</v>
      </c>
      <c r="Q31" s="2">
        <f>Q9/'Output-Calculation-sheet'!Q8*'Output-Calculation-sheet'!Q17</f>
        <v>1662.0277101109004</v>
      </c>
      <c r="R31" s="2">
        <f>R9/'Output-Calculation-sheet'!R8*'Output-Calculation-sheet'!R17</f>
        <v>1443.0677841250856</v>
      </c>
      <c r="S31" s="2">
        <f>S9/'Output-Calculation-sheet'!S8*'Output-Calculation-sheet'!S17</f>
        <v>720.01887447278523</v>
      </c>
      <c r="T31" s="2">
        <f>T9/'Output-Calculation-sheet'!T8*'Output-Calculation-sheet'!T17</f>
        <v>525.86784028199031</v>
      </c>
      <c r="U31" s="2">
        <f>U9/'Output-Calculation-sheet'!U8*'Output-Calculation-sheet'!U17</f>
        <v>405.57486097073331</v>
      </c>
      <c r="V31" s="2">
        <f>V9/'Output-Calculation-sheet'!V8*'Output-Calculation-sheet'!V17</f>
        <v>388.6606265102983</v>
      </c>
      <c r="W31" s="2">
        <f>W9/'Output-Calculation-sheet'!W8*'Output-Calculation-sheet'!W17</f>
        <v>269.13059156393513</v>
      </c>
      <c r="X31" s="2">
        <f>X9/'Output-Calculation-sheet'!X8*'Output-Calculation-sheet'!X17</f>
        <v>0</v>
      </c>
      <c r="Y31" s="2">
        <f>Y9/'Output-Calculation-sheet'!Y8*'Output-Calculation-sheet'!Y17</f>
        <v>177.92199752140047</v>
      </c>
      <c r="AA31" s="2">
        <f t="shared" si="1"/>
        <v>51.353418939447224</v>
      </c>
    </row>
    <row r="32" spans="1:27" x14ac:dyDescent="0.25">
      <c r="A32" s="2">
        <v>2033</v>
      </c>
      <c r="B32" s="2">
        <f>B10/'Output-Calculation-sheet'!B9*'Output-Calculation-sheet'!B18</f>
        <v>18512.682204170258</v>
      </c>
      <c r="C32" s="2">
        <f>C10/'Output-Calculation-sheet'!C9*'Output-Calculation-sheet'!C18</f>
        <v>0</v>
      </c>
      <c r="D32" s="2">
        <f>D10/'Output-Calculation-sheet'!D9*'Output-Calculation-sheet'!D18</f>
        <v>6180.3522187068411</v>
      </c>
      <c r="E32" s="2">
        <f>E10/'Output-Calculation-sheet'!E9*'Output-Calculation-sheet'!E18</f>
        <v>6399.8972777956187</v>
      </c>
      <c r="F32" s="2">
        <f>F10/'Output-Calculation-sheet'!F9*'Output-Calculation-sheet'!F18</f>
        <v>3574.7604857081342</v>
      </c>
      <c r="G32" s="2">
        <f>G10/'Output-Calculation-sheet'!G9*'Output-Calculation-sheet'!G18</f>
        <v>2155.9932166430649</v>
      </c>
      <c r="H32" s="2">
        <f>H10/'Output-Calculation-sheet'!H9*'Output-Calculation-sheet'!H18</f>
        <v>0</v>
      </c>
      <c r="I32" s="2">
        <f>I10/'Output-Calculation-sheet'!I9*'Output-Calculation-sheet'!I18</f>
        <v>2185.6568447978489</v>
      </c>
      <c r="J32" s="2">
        <f>J10/'Output-Calculation-sheet'!J9*'Output-Calculation-sheet'!J18</f>
        <v>1993.4390557406787</v>
      </c>
      <c r="K32" s="2">
        <f>K10/'Output-Calculation-sheet'!K9*'Output-Calculation-sheet'!K18</f>
        <v>2474.8850528701423</v>
      </c>
      <c r="L32" s="2">
        <f>L10/'Output-Calculation-sheet'!L9*'Output-Calculation-sheet'!L18</f>
        <v>2039.6223544999323</v>
      </c>
      <c r="M32" s="2">
        <f>M10/'Output-Calculation-sheet'!M9*'Output-Calculation-sheet'!M18</f>
        <v>0</v>
      </c>
      <c r="N32" s="2">
        <f>N10/'Output-Calculation-sheet'!N9*'Output-Calculation-sheet'!N18</f>
        <v>807.31015359612366</v>
      </c>
      <c r="O32" s="2">
        <f>O10/'Output-Calculation-sheet'!O9*'Output-Calculation-sheet'!O18</f>
        <v>0</v>
      </c>
      <c r="P32" s="2">
        <f>P10/'Output-Calculation-sheet'!P9*'Output-Calculation-sheet'!P18</f>
        <v>1651.7868485680285</v>
      </c>
      <c r="Q32" s="2">
        <f>Q10/'Output-Calculation-sheet'!Q9*'Output-Calculation-sheet'!Q18</f>
        <v>1811.571523688694</v>
      </c>
      <c r="R32" s="2">
        <f>R10/'Output-Calculation-sheet'!R9*'Output-Calculation-sheet'!R18</f>
        <v>1564.7497084644117</v>
      </c>
      <c r="S32" s="2">
        <f>S10/'Output-Calculation-sheet'!S9*'Output-Calculation-sheet'!S18</f>
        <v>728.3390133116726</v>
      </c>
      <c r="T32" s="2">
        <f>T10/'Output-Calculation-sheet'!T9*'Output-Calculation-sheet'!T18</f>
        <v>569.17290271010495</v>
      </c>
      <c r="U32" s="2">
        <f>U10/'Output-Calculation-sheet'!U9*'Output-Calculation-sheet'!U18</f>
        <v>438.95873958274746</v>
      </c>
      <c r="V32" s="2">
        <f>V10/'Output-Calculation-sheet'!V9*'Output-Calculation-sheet'!V18</f>
        <v>421.10899617923991</v>
      </c>
      <c r="W32" s="2">
        <f>W10/'Output-Calculation-sheet'!W9*'Output-Calculation-sheet'!W18</f>
        <v>290.57517419298154</v>
      </c>
      <c r="X32" s="2">
        <f>X10/'Output-Calculation-sheet'!X9*'Output-Calculation-sheet'!X18</f>
        <v>0</v>
      </c>
      <c r="Y32" s="2">
        <f>Y10/'Output-Calculation-sheet'!Y9*'Output-Calculation-sheet'!Y18</f>
        <v>192.66651115517888</v>
      </c>
      <c r="AA32" s="2">
        <f t="shared" si="1"/>
        <v>53.993528282381703</v>
      </c>
    </row>
    <row r="33" spans="1:27" x14ac:dyDescent="0.25">
      <c r="A33" s="2">
        <v>2034</v>
      </c>
      <c r="B33" s="2">
        <f>B11/'Output-Calculation-sheet'!B10*'Output-Calculation-sheet'!B19</f>
        <v>18640.315170784816</v>
      </c>
      <c r="C33" s="2">
        <f>C11/'Output-Calculation-sheet'!C10*'Output-Calculation-sheet'!C19</f>
        <v>0</v>
      </c>
      <c r="D33" s="2">
        <f>D11/'Output-Calculation-sheet'!D10*'Output-Calculation-sheet'!D19</f>
        <v>6590.8386413919889</v>
      </c>
      <c r="E33" s="2">
        <f>E11/'Output-Calculation-sheet'!E10*'Output-Calculation-sheet'!E19</f>
        <v>6841.0543771327166</v>
      </c>
      <c r="F33" s="2">
        <f>F11/'Output-Calculation-sheet'!F10*'Output-Calculation-sheet'!F19</f>
        <v>3814.1389452688645</v>
      </c>
      <c r="G33" s="2">
        <f>G11/'Output-Calculation-sheet'!G10*'Output-Calculation-sheet'!G19</f>
        <v>2296.7612121608499</v>
      </c>
      <c r="H33" s="2">
        <f>H11/'Output-Calculation-sheet'!H10*'Output-Calculation-sheet'!H19</f>
        <v>0</v>
      </c>
      <c r="I33" s="2">
        <f>I11/'Output-Calculation-sheet'!I10*'Output-Calculation-sheet'!I19</f>
        <v>2339.2536737127393</v>
      </c>
      <c r="J33" s="2">
        <f>J11/'Output-Calculation-sheet'!J10*'Output-Calculation-sheet'!J19</f>
        <v>2125.9840517924476</v>
      </c>
      <c r="K33" s="2">
        <f>K11/'Output-Calculation-sheet'!K10*'Output-Calculation-sheet'!K19</f>
        <v>2648.0541709010777</v>
      </c>
      <c r="L33" s="2">
        <f>L11/'Output-Calculation-sheet'!L10*'Output-Calculation-sheet'!L19</f>
        <v>2177.9891822376294</v>
      </c>
      <c r="M33" s="2">
        <f>M11/'Output-Calculation-sheet'!M10*'Output-Calculation-sheet'!M19</f>
        <v>0</v>
      </c>
      <c r="N33" s="2">
        <f>N11/'Output-Calculation-sheet'!N10*'Output-Calculation-sheet'!N19</f>
        <v>807.1210384588644</v>
      </c>
      <c r="O33" s="2">
        <f>O11/'Output-Calculation-sheet'!O10*'Output-Calculation-sheet'!O19</f>
        <v>0</v>
      </c>
      <c r="P33" s="2">
        <f>P11/'Output-Calculation-sheet'!P10*'Output-Calculation-sheet'!P19</f>
        <v>1775.2617086703972</v>
      </c>
      <c r="Q33" s="2">
        <f>Q11/'Output-Calculation-sheet'!Q10*'Output-Calculation-sheet'!Q19</f>
        <v>1950.3069318035596</v>
      </c>
      <c r="R33" s="2">
        <f>R11/'Output-Calculation-sheet'!R10*'Output-Calculation-sheet'!R19</f>
        <v>1673.6814646439561</v>
      </c>
      <c r="S33" s="2">
        <f>S11/'Output-Calculation-sheet'!S10*'Output-Calculation-sheet'!S19</f>
        <v>771.92714975312629</v>
      </c>
      <c r="T33" s="2">
        <f>T11/'Output-Calculation-sheet'!T10*'Output-Calculation-sheet'!T19</f>
        <v>608.22943161285002</v>
      </c>
      <c r="U33" s="2">
        <f>U11/'Output-Calculation-sheet'!U10*'Output-Calculation-sheet'!U19</f>
        <v>470.66586299598208</v>
      </c>
      <c r="V33" s="2">
        <f>V11/'Output-Calculation-sheet'!V10*'Output-Calculation-sheet'!V19</f>
        <v>451.21134225040089</v>
      </c>
      <c r="W33" s="2">
        <f>W11/'Output-Calculation-sheet'!W10*'Output-Calculation-sheet'!W19</f>
        <v>309.99977346787239</v>
      </c>
      <c r="X33" s="2">
        <f>X11/'Output-Calculation-sheet'!X10*'Output-Calculation-sheet'!X19</f>
        <v>0</v>
      </c>
      <c r="Y33" s="2">
        <f>Y11/'Output-Calculation-sheet'!Y10*'Output-Calculation-sheet'!Y19</f>
        <v>205.82793064841724</v>
      </c>
      <c r="AA33" s="2">
        <f t="shared" si="1"/>
        <v>56.498622059688564</v>
      </c>
    </row>
    <row r="34" spans="1:27" x14ac:dyDescent="0.25">
      <c r="A34" s="2">
        <v>2035</v>
      </c>
      <c r="B34" s="2">
        <f>B12/'Output-Calculation-sheet'!B11*'Output-Calculation-sheet'!B20</f>
        <v>18908.232395006766</v>
      </c>
      <c r="C34" s="2">
        <f>C12/'Output-Calculation-sheet'!C11*'Output-Calculation-sheet'!C20</f>
        <v>0</v>
      </c>
      <c r="D34" s="2">
        <f>D12/'Output-Calculation-sheet'!D11*'Output-Calculation-sheet'!D20</f>
        <v>6992.8610058655813</v>
      </c>
      <c r="E34" s="2">
        <f>E12/'Output-Calculation-sheet'!E11*'Output-Calculation-sheet'!E20</f>
        <v>7255.3577038206749</v>
      </c>
      <c r="F34" s="2">
        <f>F12/'Output-Calculation-sheet'!F11*'Output-Calculation-sheet'!F20</f>
        <v>4039.200877983762</v>
      </c>
      <c r="G34" s="2">
        <f>G12/'Output-Calculation-sheet'!G11*'Output-Calculation-sheet'!G20</f>
        <v>2426.9271944749007</v>
      </c>
      <c r="H34" s="2">
        <f>H12/'Output-Calculation-sheet'!H11*'Output-Calculation-sheet'!H20</f>
        <v>0</v>
      </c>
      <c r="I34" s="2">
        <f>I12/'Output-Calculation-sheet'!I11*'Output-Calculation-sheet'!I20</f>
        <v>2478.8416338852257</v>
      </c>
      <c r="J34" s="2">
        <f>J12/'Output-Calculation-sheet'!J11*'Output-Calculation-sheet'!J20</f>
        <v>2245.0227530463353</v>
      </c>
      <c r="K34" s="2">
        <f>K12/'Output-Calculation-sheet'!K11*'Output-Calculation-sheet'!K20</f>
        <v>2808.3957973335714</v>
      </c>
      <c r="L34" s="2">
        <f>L12/'Output-Calculation-sheet'!L11*'Output-Calculation-sheet'!L20</f>
        <v>2305.871132578367</v>
      </c>
      <c r="M34" s="2">
        <f>M12/'Output-Calculation-sheet'!M11*'Output-Calculation-sheet'!M20</f>
        <v>0</v>
      </c>
      <c r="N34" s="2">
        <f>N12/'Output-Calculation-sheet'!N11*'Output-Calculation-sheet'!N20</f>
        <v>811.23245930909115</v>
      </c>
      <c r="O34" s="2">
        <f>O12/'Output-Calculation-sheet'!O11*'Output-Calculation-sheet'!O20</f>
        <v>0</v>
      </c>
      <c r="P34" s="2">
        <f>P12/'Output-Calculation-sheet'!P11*'Output-Calculation-sheet'!P20</f>
        <v>1893.4631650692306</v>
      </c>
      <c r="Q34" s="2">
        <f>Q12/'Output-Calculation-sheet'!Q11*'Output-Calculation-sheet'!Q20</f>
        <v>2076.2547718945771</v>
      </c>
      <c r="R34" s="2">
        <f>R12/'Output-Calculation-sheet'!R11*'Output-Calculation-sheet'!R20</f>
        <v>1780.4048388642175</v>
      </c>
      <c r="S34" s="2">
        <f>S12/'Output-Calculation-sheet'!S11*'Output-Calculation-sheet'!S20</f>
        <v>765.6560480986102</v>
      </c>
      <c r="T34" s="2">
        <f>T12/'Output-Calculation-sheet'!T11*'Output-Calculation-sheet'!T20</f>
        <v>644.44160118241825</v>
      </c>
      <c r="U34" s="2">
        <f>U12/'Output-Calculation-sheet'!U11*'Output-Calculation-sheet'!U20</f>
        <v>499.87971049504699</v>
      </c>
      <c r="V34" s="2">
        <f>V12/'Output-Calculation-sheet'!V11*'Output-Calculation-sheet'!V20</f>
        <v>480.07084131447061</v>
      </c>
      <c r="W34" s="2">
        <f>W12/'Output-Calculation-sheet'!W11*'Output-Calculation-sheet'!W20</f>
        <v>328.04941138910561</v>
      </c>
      <c r="X34" s="2">
        <f>X12/'Output-Calculation-sheet'!X11*'Output-Calculation-sheet'!X20</f>
        <v>0</v>
      </c>
      <c r="Y34" s="2">
        <f>Y12/'Output-Calculation-sheet'!Y11*'Output-Calculation-sheet'!Y20</f>
        <v>218.38271648726268</v>
      </c>
      <c r="AA34" s="2">
        <f t="shared" si="1"/>
        <v>58.958546058099223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2.8045060097980503</v>
      </c>
      <c r="C60" s="2">
        <f>C5*'Output-Calculation-sheet'!C49/10^9</f>
        <v>1.3259544535164083</v>
      </c>
      <c r="D60" s="2">
        <f>D5*'Output-Calculation-sheet'!D49/10^9</f>
        <v>0.61857936748993636</v>
      </c>
      <c r="E60" s="2">
        <f>E5*'Output-Calculation-sheet'!E49/10^9</f>
        <v>0.6869635561597881</v>
      </c>
      <c r="F60" s="2">
        <f>F5*'Output-Calculation-sheet'!F49/10^9</f>
        <v>0.31891814330989038</v>
      </c>
      <c r="G60" s="2">
        <f>G5*'Output-Calculation-sheet'!G49/10^9</f>
        <v>0.21966815651398988</v>
      </c>
      <c r="H60" s="2">
        <f>H5*'Output-Calculation-sheet'!H49/10^9</f>
        <v>0.41368755824314674</v>
      </c>
      <c r="I60" s="2">
        <f>I5*'Output-Calculation-sheet'!I49/10^9</f>
        <v>0.21686345053107561</v>
      </c>
      <c r="J60" s="2">
        <f>J5*'Output-Calculation-sheet'!J49/10^9</f>
        <v>0.19583560264183736</v>
      </c>
      <c r="K60" s="2">
        <f>K5*'Output-Calculation-sheet'!K49/10^9</f>
        <v>0.25243819539986856</v>
      </c>
      <c r="L60" s="2">
        <f>L5*'Output-Calculation-sheet'!L49/10^9</f>
        <v>0.20854476606842864</v>
      </c>
      <c r="M60" s="2">
        <f>M5*'Output-Calculation-sheet'!M49/10^9</f>
        <v>0.28540831602811251</v>
      </c>
      <c r="N60" s="2">
        <f>N5*'Output-Calculation-sheet'!N49/10^9</f>
        <v>0.29830401614355023</v>
      </c>
      <c r="O60" s="2">
        <f>O5*'Output-Calculation-sheet'!O49/10^9</f>
        <v>0.2576340831000849</v>
      </c>
      <c r="P60" s="2">
        <f>P5*'Output-Calculation-sheet'!P49/10^9</f>
        <v>0.21997365666771079</v>
      </c>
      <c r="Q60" s="2">
        <f>Q5*'Output-Calculation-sheet'!Q49/10^9</f>
        <v>0.22707699775083393</v>
      </c>
      <c r="R60" s="2">
        <f>R5*'Output-Calculation-sheet'!R49/10^9</f>
        <v>0.18198814314064132</v>
      </c>
      <c r="S60" s="2">
        <f>S5*'Output-Calculation-sheet'!S49/10^9</f>
        <v>0.16694544179122026</v>
      </c>
      <c r="T60" s="2">
        <f>T5*'Output-Calculation-sheet'!T49/10^9</f>
        <v>5.7096608885381983E-2</v>
      </c>
      <c r="U60" s="2">
        <f>U5*'Output-Calculation-sheet'!U49/10^9</f>
        <v>5.7057627665551475E-2</v>
      </c>
      <c r="V60" s="2">
        <f>V5*'Output-Calculation-sheet'!V49/10^9</f>
        <v>4.2725388729041171E-2</v>
      </c>
      <c r="W60" s="2">
        <f>W5*'Output-Calculation-sheet'!W49/10^9</f>
        <v>2.6788973476584255E-2</v>
      </c>
      <c r="X60" s="2">
        <f>X5*'Output-Calculation-sheet'!X49/10^9</f>
        <v>3.3720709740123311E-2</v>
      </c>
      <c r="Y60" s="2">
        <f>Y5*'Output-Calculation-sheet'!Y49/10^9</f>
        <v>2.2289120158863019E-2</v>
      </c>
      <c r="AA60" s="2">
        <f t="shared" ref="AA60:AA67" si="4">SUM(B60:Y60)</f>
        <v>9.1389683429501201</v>
      </c>
    </row>
    <row r="61" spans="1:27" x14ac:dyDescent="0.25">
      <c r="A61" s="2">
        <v>2029</v>
      </c>
      <c r="B61" s="2">
        <f>B6*'Output-Calculation-sheet'!B50/10^9</f>
        <v>3.7031698906246322</v>
      </c>
      <c r="C61" s="2">
        <f>C6*'Output-Calculation-sheet'!C50/10^9</f>
        <v>1.7630105506599874</v>
      </c>
      <c r="D61" s="2">
        <f>D6*'Output-Calculation-sheet'!D50/10^9</f>
        <v>0.81421415940860753</v>
      </c>
      <c r="E61" s="2">
        <f>E6*'Output-Calculation-sheet'!E50/10^9</f>
        <v>0.90494241563828626</v>
      </c>
      <c r="F61" s="2">
        <f>F6*'Output-Calculation-sheet'!F50/10^9</f>
        <v>0.41925576637267542</v>
      </c>
      <c r="G61" s="2">
        <f>G6*'Output-Calculation-sheet'!G50/10^9</f>
        <v>0.28917559484482275</v>
      </c>
      <c r="H61" s="2">
        <f>H6*'Output-Calculation-sheet'!H50/10^9</f>
        <v>0.54649910277415858</v>
      </c>
      <c r="I61" s="2">
        <f>I6*'Output-Calculation-sheet'!I50/10^9</f>
        <v>0.28544117575006561</v>
      </c>
      <c r="J61" s="2">
        <f>J6*'Output-Calculation-sheet'!J50/10^9</f>
        <v>0.25771898611489874</v>
      </c>
      <c r="K61" s="2">
        <f>K6*'Output-Calculation-sheet'!K50/10^9</f>
        <v>0.33238650648502827</v>
      </c>
      <c r="L61" s="2">
        <f>L6*'Output-Calculation-sheet'!L50/10^9</f>
        <v>0.27458780186349097</v>
      </c>
      <c r="M61" s="2">
        <f>M6*'Output-Calculation-sheet'!M50/10^9</f>
        <v>0.37753522083336333</v>
      </c>
      <c r="N61" s="2">
        <f>N6*'Output-Calculation-sheet'!N50/10^9</f>
        <v>0.39385778637615176</v>
      </c>
      <c r="O61" s="2">
        <f>O6*'Output-Calculation-sheet'!O50/10^9</f>
        <v>0.34255445615835461</v>
      </c>
      <c r="P61" s="2">
        <f>P6*'Output-Calculation-sheet'!P50/10^9</f>
        <v>0.29035680086364407</v>
      </c>
      <c r="Q61" s="2">
        <f>Q6*'Output-Calculation-sheet'!Q50/10^9</f>
        <v>0.29962714228859144</v>
      </c>
      <c r="R61" s="2">
        <f>R6*'Output-Calculation-sheet'!R50/10^9</f>
        <v>0.23991567388025165</v>
      </c>
      <c r="S61" s="2">
        <f>S6*'Output-Calculation-sheet'!S50/10^9</f>
        <v>0.22072553159794348</v>
      </c>
      <c r="T61" s="2">
        <f>T6*'Output-Calculation-sheet'!T50/10^9</f>
        <v>7.5161640567231819E-2</v>
      </c>
      <c r="U61" s="2">
        <f>U6*'Output-Calculation-sheet'!U50/10^9</f>
        <v>7.528708742904365E-2</v>
      </c>
      <c r="V61" s="2">
        <f>V6*'Output-Calculation-sheet'!V50/10^9</f>
        <v>5.6256070229625151E-2</v>
      </c>
      <c r="W61" s="2">
        <f>W6*'Output-Calculation-sheet'!W50/10^9</f>
        <v>3.5232391506464379E-2</v>
      </c>
      <c r="X61" s="2">
        <f>X6*'Output-Calculation-sheet'!X50/10^9</f>
        <v>4.4805125331980646E-2</v>
      </c>
      <c r="Y61" s="2">
        <f>Y6*'Output-Calculation-sheet'!Y50/10^9</f>
        <v>2.9382100351215738E-2</v>
      </c>
      <c r="AA61" s="2">
        <f t="shared" si="4"/>
        <v>12.07109897795052</v>
      </c>
    </row>
    <row r="62" spans="1:27" x14ac:dyDescent="0.25">
      <c r="A62" s="2">
        <v>2030</v>
      </c>
      <c r="B62" s="2">
        <f>B7*'Output-Calculation-sheet'!B51/10^9</f>
        <v>4.4884094630623457</v>
      </c>
      <c r="C62" s="2">
        <f>C7*'Output-Calculation-sheet'!C51/10^9</f>
        <v>2.1521482849536713</v>
      </c>
      <c r="D62" s="2">
        <f>D7*'Output-Calculation-sheet'!D51/10^9</f>
        <v>0.98377084100650103</v>
      </c>
      <c r="E62" s="2">
        <f>E7*'Output-Calculation-sheet'!E51/10^9</f>
        <v>1.0942222697771222</v>
      </c>
      <c r="F62" s="2">
        <f>F7*'Output-Calculation-sheet'!F51/10^9</f>
        <v>0.50591376402960908</v>
      </c>
      <c r="G62" s="2">
        <f>G7*'Output-Calculation-sheet'!G51/10^9</f>
        <v>0.34944181661793161</v>
      </c>
      <c r="H62" s="2">
        <f>H7*'Output-Calculation-sheet'!H51/10^9</f>
        <v>0.66153730334136052</v>
      </c>
      <c r="I62" s="2">
        <f>I7*'Output-Calculation-sheet'!I51/10^9</f>
        <v>0.34486243670413541</v>
      </c>
      <c r="J62" s="2">
        <f>J7*'Output-Calculation-sheet'!J51/10^9</f>
        <v>0.31132257992946577</v>
      </c>
      <c r="K62" s="2">
        <f>K7*'Output-Calculation-sheet'!K51/10^9</f>
        <v>0.40172277118292637</v>
      </c>
      <c r="L62" s="2">
        <f>L7*'Output-Calculation-sheet'!L51/10^9</f>
        <v>0.33186056311038786</v>
      </c>
      <c r="M62" s="2">
        <f>M7*'Output-Calculation-sheet'!M51/10^9</f>
        <v>0.45701324561549239</v>
      </c>
      <c r="N62" s="2">
        <f>N7*'Output-Calculation-sheet'!N51/10^9</f>
        <v>0.4768513108285613</v>
      </c>
      <c r="O62" s="2">
        <f>O7*'Output-Calculation-sheet'!O51/10^9</f>
        <v>0.41816425037754734</v>
      </c>
      <c r="P62" s="2">
        <f>P7*'Output-Calculation-sheet'!P51/10^9</f>
        <v>0.35180104679724972</v>
      </c>
      <c r="Q62" s="2">
        <f>Q7*'Output-Calculation-sheet'!Q51/10^9</f>
        <v>0.36287945062596999</v>
      </c>
      <c r="R62" s="2">
        <f>R7*'Output-Calculation-sheet'!R51/10^9</f>
        <v>0.29032127838575</v>
      </c>
      <c r="S62" s="2">
        <f>S7*'Output-Calculation-sheet'!S51/10^9</f>
        <v>0.26774824518310003</v>
      </c>
      <c r="T62" s="2">
        <f>T7*'Output-Calculation-sheet'!T51/10^9</f>
        <v>9.0820429531965549E-2</v>
      </c>
      <c r="U62" s="2">
        <f>U7*'Output-Calculation-sheet'!U51/10^9</f>
        <v>9.1189437929120501E-2</v>
      </c>
      <c r="V62" s="2">
        <f>V7*'Output-Calculation-sheet'!V51/10^9</f>
        <v>6.7988381279975724E-2</v>
      </c>
      <c r="W62" s="2">
        <f>W7*'Output-Calculation-sheet'!W51/10^9</f>
        <v>4.2531582853239554E-2</v>
      </c>
      <c r="X62" s="2">
        <f>X7*'Output-Calculation-sheet'!X51/10^9</f>
        <v>5.4293259396151906E-2</v>
      </c>
      <c r="Y62" s="2">
        <f>Y7*'Output-Calculation-sheet'!Y51/10^9</f>
        <v>3.5553666933703897E-2</v>
      </c>
      <c r="AA62" s="2">
        <f t="shared" si="4"/>
        <v>14.632367679453283</v>
      </c>
    </row>
    <row r="63" spans="1:27" x14ac:dyDescent="0.25">
      <c r="A63" s="2">
        <v>2031</v>
      </c>
      <c r="B63" s="2">
        <f>B8*'Output-Calculation-sheet'!B52/10^9</f>
        <v>5.1651637862452411</v>
      </c>
      <c r="C63" s="2">
        <f>C8*'Output-Calculation-sheet'!C52/10^9</f>
        <v>2.4853653504401412</v>
      </c>
      <c r="D63" s="2">
        <f>D8*'Output-Calculation-sheet'!D52/10^9</f>
        <v>1.1303861318931543</v>
      </c>
      <c r="E63" s="2">
        <f>E8*'Output-Calculation-sheet'!E52/10^9</f>
        <v>1.257751594792329</v>
      </c>
      <c r="F63" s="2">
        <f>F8*'Output-Calculation-sheet'!F52/10^9</f>
        <v>0.580944773412015</v>
      </c>
      <c r="G63" s="2">
        <f>G8*'Output-Calculation-sheet'!G52/10^9</f>
        <v>0.4015525397409932</v>
      </c>
      <c r="H63" s="2">
        <f>H8*'Output-Calculation-sheet'!H52/10^9</f>
        <v>0.7571867697681085</v>
      </c>
      <c r="I63" s="2">
        <f>I8*'Output-Calculation-sheet'!I52/10^9</f>
        <v>0.39624449535922113</v>
      </c>
      <c r="J63" s="2">
        <f>J8*'Output-Calculation-sheet'!J52/10^9</f>
        <v>0.35768412928396315</v>
      </c>
      <c r="K63" s="2">
        <f>K8*'Output-Calculation-sheet'!K52/10^9</f>
        <v>0.46165152487370537</v>
      </c>
      <c r="L63" s="2">
        <f>L8*'Output-Calculation-sheet'!L52/10^9</f>
        <v>0.38136597847814002</v>
      </c>
      <c r="M63" s="2">
        <f>M8*'Output-Calculation-sheet'!M52/10^9</f>
        <v>0.52312754441269871</v>
      </c>
      <c r="N63" s="2">
        <f>N8*'Output-Calculation-sheet'!N52/10^9</f>
        <v>0.54677161479721426</v>
      </c>
      <c r="O63" s="2">
        <f>O8*'Output-Calculation-sheet'!O52/10^9</f>
        <v>0.48290861087367148</v>
      </c>
      <c r="P63" s="2">
        <f>P8*'Output-Calculation-sheet'!P52/10^9</f>
        <v>0.40477622125379481</v>
      </c>
      <c r="Q63" s="2">
        <f>Q8*'Output-Calculation-sheet'!Q52/10^9</f>
        <v>0.4174282127403246</v>
      </c>
      <c r="R63" s="2">
        <f>R8*'Output-Calculation-sheet'!R52/10^9</f>
        <v>0.33383417817863986</v>
      </c>
      <c r="S63" s="2">
        <f>S8*'Output-Calculation-sheet'!S52/10^9</f>
        <v>0.30773767444644667</v>
      </c>
      <c r="T63" s="2">
        <f>T8*'Output-Calculation-sheet'!T52/10^9</f>
        <v>0.10435809206519772</v>
      </c>
      <c r="U63" s="2">
        <f>U8*'Output-Calculation-sheet'!U52/10^9</f>
        <v>0.10490568170631333</v>
      </c>
      <c r="V63" s="2">
        <f>V8*'Output-Calculation-sheet'!V52/10^9</f>
        <v>7.8129626999478272E-2</v>
      </c>
      <c r="W63" s="2">
        <f>W8*'Output-Calculation-sheet'!W52/10^9</f>
        <v>4.8848591373644897E-2</v>
      </c>
      <c r="X63" s="2">
        <f>X8*'Output-Calculation-sheet'!X52/10^9</f>
        <v>6.2209295969710837E-2</v>
      </c>
      <c r="Y63" s="2">
        <f>Y8*'Output-Calculation-sheet'!Y52/10^9</f>
        <v>4.0881539881291826E-2</v>
      </c>
      <c r="AA63" s="2">
        <f t="shared" si="4"/>
        <v>16.831213958985433</v>
      </c>
    </row>
    <row r="64" spans="1:27" x14ac:dyDescent="0.25">
      <c r="A64" s="2">
        <v>2032</v>
      </c>
      <c r="B64" s="2">
        <f>B9*'Output-Calculation-sheet'!B53/10^9</f>
        <v>5.6598363658361786</v>
      </c>
      <c r="C64" s="2">
        <f>C9*'Output-Calculation-sheet'!C53/10^9</f>
        <v>2.7331308568264157</v>
      </c>
      <c r="D64" s="2">
        <f>D9*'Output-Calculation-sheet'!D53/10^9</f>
        <v>1.2367713812422383</v>
      </c>
      <c r="E64" s="2">
        <f>E9*'Output-Calculation-sheet'!E53/10^9</f>
        <v>1.3766179391157163</v>
      </c>
      <c r="F64" s="2">
        <f>F9*'Output-Calculation-sheet'!F53/10^9</f>
        <v>0.63521150706610985</v>
      </c>
      <c r="G64" s="2">
        <f>G9*'Output-Calculation-sheet'!G53/10^9</f>
        <v>0.43938435113218749</v>
      </c>
      <c r="H64" s="2">
        <f>H9*'Output-Calculation-sheet'!H53/10^9</f>
        <v>0.82496972779492705</v>
      </c>
      <c r="I64" s="2">
        <f>I9*'Output-Calculation-sheet'!I53/10^9</f>
        <v>0.43351829759483163</v>
      </c>
      <c r="J64" s="2">
        <f>J9*'Output-Calculation-sheet'!J53/10^9</f>
        <v>0.39130792692926691</v>
      </c>
      <c r="K64" s="2">
        <f>K9*'Output-Calculation-sheet'!K53/10^9</f>
        <v>0.50515935903619147</v>
      </c>
      <c r="L64" s="2">
        <f>L9*'Output-Calculation-sheet'!L53/10^9</f>
        <v>0.41730841441345579</v>
      </c>
      <c r="M64" s="2">
        <f>M9*'Output-Calculation-sheet'!M53/10^9</f>
        <v>0.56998548166235408</v>
      </c>
      <c r="N64" s="2">
        <f>N9*'Output-Calculation-sheet'!N53/10^9</f>
        <v>0.59651330357645871</v>
      </c>
      <c r="O64" s="2">
        <f>O9*'Output-Calculation-sheet'!O53/10^9</f>
        <v>0.53104966043413893</v>
      </c>
      <c r="P64" s="2">
        <f>P9*'Output-Calculation-sheet'!P53/10^9</f>
        <v>0.44346408026588457</v>
      </c>
      <c r="Q64" s="2">
        <f>Q9*'Output-Calculation-sheet'!Q53/10^9</f>
        <v>0.45721756068844527</v>
      </c>
      <c r="R64" s="2">
        <f>R9*'Output-Calculation-sheet'!R53/10^9</f>
        <v>0.36552457385124376</v>
      </c>
      <c r="S64" s="2">
        <f>S9*'Output-Calculation-sheet'!S53/10^9</f>
        <v>0.33638669288755968</v>
      </c>
      <c r="T64" s="2">
        <f>T9*'Output-Calculation-sheet'!T53/10^9</f>
        <v>0.1141819807924311</v>
      </c>
      <c r="U64" s="2">
        <f>U9*'Output-Calculation-sheet'!U53/10^9</f>
        <v>0.11491767476145316</v>
      </c>
      <c r="V64" s="2">
        <f>V9*'Output-Calculation-sheet'!V53/10^9</f>
        <v>8.5491012426486671E-2</v>
      </c>
      <c r="W64" s="2">
        <f>W9*'Output-Calculation-sheet'!W53/10^9</f>
        <v>5.3422051648558254E-2</v>
      </c>
      <c r="X64" s="2">
        <f>X9*'Output-Calculation-sheet'!X53/10^9</f>
        <v>6.7846939102761503E-2</v>
      </c>
      <c r="Y64" s="2">
        <f>Y9*'Output-Calculation-sheet'!Y53/10^9</f>
        <v>4.4760998583814687E-2</v>
      </c>
      <c r="AA64" s="2">
        <f t="shared" si="4"/>
        <v>18.433978137669104</v>
      </c>
    </row>
    <row r="65" spans="1:27" x14ac:dyDescent="0.25">
      <c r="A65" s="2">
        <v>2033</v>
      </c>
      <c r="B65" s="2">
        <f>B10*'Output-Calculation-sheet'!B54/10^9</f>
        <v>6.0611629729372414</v>
      </c>
      <c r="C65" s="2">
        <f>C10*'Output-Calculation-sheet'!C54/10^9</f>
        <v>2.9341490040443783</v>
      </c>
      <c r="D65" s="2">
        <f>D10*'Output-Calculation-sheet'!D54/10^9</f>
        <v>1.3238328521269305</v>
      </c>
      <c r="E65" s="2">
        <f>E10*'Output-Calculation-sheet'!E54/10^9</f>
        <v>1.4740528259034504</v>
      </c>
      <c r="F65" s="2">
        <f>F10*'Output-Calculation-sheet'!F54/10^9</f>
        <v>0.67948513853269377</v>
      </c>
      <c r="G65" s="2">
        <f>G10*'Output-Calculation-sheet'!G54/10^9</f>
        <v>0.47035928748326467</v>
      </c>
      <c r="H65" s="2">
        <f>H10*'Output-Calculation-sheet'!H54/10^9</f>
        <v>0.87904061875797235</v>
      </c>
      <c r="I65" s="2">
        <f>I10*'Output-Calculation-sheet'!I54/10^9</f>
        <v>0.46401543763617997</v>
      </c>
      <c r="J65" s="2">
        <f>J10*'Output-Calculation-sheet'!J54/10^9</f>
        <v>0.41881135497575944</v>
      </c>
      <c r="K65" s="2">
        <f>K10*'Output-Calculation-sheet'!K54/10^9</f>
        <v>0.54077807504585629</v>
      </c>
      <c r="L65" s="2">
        <f>L10*'Output-Calculation-sheet'!L54/10^9</f>
        <v>0.44673598417159777</v>
      </c>
      <c r="M65" s="2">
        <f>M10*'Output-Calculation-sheet'!M54/10^9</f>
        <v>0.6073704123230822</v>
      </c>
      <c r="N65" s="2">
        <f>N10*'Output-Calculation-sheet'!N54/10^9</f>
        <v>0.63631142165351329</v>
      </c>
      <c r="O65" s="2">
        <f>O10*'Output-Calculation-sheet'!O54/10^9</f>
        <v>0.57135712365713776</v>
      </c>
      <c r="P65" s="2">
        <f>P10*'Output-Calculation-sheet'!P54/10^9</f>
        <v>0.47531082796156077</v>
      </c>
      <c r="Q65" s="2">
        <f>Q10*'Output-Calculation-sheet'!Q54/10^9</f>
        <v>0.48993294072365873</v>
      </c>
      <c r="R65" s="2">
        <f>R10*'Output-Calculation-sheet'!R54/10^9</f>
        <v>0.39154567058643586</v>
      </c>
      <c r="S65" s="2">
        <f>S10*'Output-Calculation-sheet'!S54/10^9</f>
        <v>0.35941149674289785</v>
      </c>
      <c r="T65" s="2">
        <f>T10*'Output-Calculation-sheet'!T54/10^9</f>
        <v>0.12222131550188771</v>
      </c>
      <c r="U65" s="2">
        <f>U10*'Output-Calculation-sheet'!U54/10^9</f>
        <v>0.12315648625271344</v>
      </c>
      <c r="V65" s="2">
        <f>V10*'Output-Calculation-sheet'!V54/10^9</f>
        <v>9.1516339623470278E-2</v>
      </c>
      <c r="W65" s="2">
        <f>W10*'Output-Calculation-sheet'!W54/10^9</f>
        <v>5.7156442945210585E-2</v>
      </c>
      <c r="X65" s="2">
        <f>X10*'Output-Calculation-sheet'!X54/10^9</f>
        <v>7.2364113626565044E-2</v>
      </c>
      <c r="Y65" s="2">
        <f>Y10*'Output-Calculation-sheet'!Y54/10^9</f>
        <v>4.7946290348514546E-2</v>
      </c>
      <c r="AA65" s="2">
        <f t="shared" si="4"/>
        <v>19.738024433561975</v>
      </c>
    </row>
    <row r="66" spans="1:27" x14ac:dyDescent="0.25">
      <c r="A66" s="2">
        <v>2034</v>
      </c>
      <c r="B66" s="2">
        <f>B11*'Output-Calculation-sheet'!B55/10^9</f>
        <v>6.4002336516100922</v>
      </c>
      <c r="C66" s="2">
        <f>C11*'Output-Calculation-sheet'!C55/10^9</f>
        <v>3.0922484128825163</v>
      </c>
      <c r="D66" s="2">
        <f>D11*'Output-Calculation-sheet'!D55/10^9</f>
        <v>1.3994259762934589</v>
      </c>
      <c r="E66" s="2">
        <f>E11*'Output-Calculation-sheet'!E55/10^9</f>
        <v>1.5587816807693213</v>
      </c>
      <c r="F66" s="2">
        <f>F11*'Output-Calculation-sheet'!F55/10^9</f>
        <v>0.71781009440307997</v>
      </c>
      <c r="G66" s="2">
        <f>G11*'Output-Calculation-sheet'!G55/10^9</f>
        <v>0.49726511915939142</v>
      </c>
      <c r="H66" s="2">
        <f>H11*'Output-Calculation-sheet'!H55/10^9</f>
        <v>0.92469231699320598</v>
      </c>
      <c r="I66" s="2">
        <f>I11*'Output-Calculation-sheet'!I55/10^9</f>
        <v>0.49048500394299005</v>
      </c>
      <c r="J66" s="2">
        <f>J11*'Output-Calculation-sheet'!J55/10^9</f>
        <v>0.44268189557512444</v>
      </c>
      <c r="K66" s="2">
        <f>K11*'Output-Calculation-sheet'!K55/10^9</f>
        <v>0.57171059827066584</v>
      </c>
      <c r="L66" s="2">
        <f>L11*'Output-Calculation-sheet'!L55/10^9</f>
        <v>0.47229663178710013</v>
      </c>
      <c r="M66" s="2">
        <f>M11*'Output-Calculation-sheet'!M55/10^9</f>
        <v>0.63894096594706817</v>
      </c>
      <c r="N66" s="2">
        <f>N11*'Output-Calculation-sheet'!N55/10^9</f>
        <v>0.66998235397478312</v>
      </c>
      <c r="O66" s="2">
        <f>O11*'Output-Calculation-sheet'!O55/10^9</f>
        <v>0.60711915179041576</v>
      </c>
      <c r="P66" s="2">
        <f>P11*'Output-Calculation-sheet'!P55/10^9</f>
        <v>0.50311271771202282</v>
      </c>
      <c r="Q66" s="2">
        <f>Q11*'Output-Calculation-sheet'!Q55/10^9</f>
        <v>0.51845832408108272</v>
      </c>
      <c r="R66" s="2">
        <f>R11*'Output-Calculation-sheet'!R55/10^9</f>
        <v>0.41420965606152027</v>
      </c>
      <c r="S66" s="2">
        <f>S11*'Output-Calculation-sheet'!S55/10^9</f>
        <v>0.37895200362308828</v>
      </c>
      <c r="T66" s="2">
        <f>T11*'Output-Calculation-sheet'!T55/10^9</f>
        <v>0.12920116391745359</v>
      </c>
      <c r="U66" s="2">
        <f>U11*'Output-Calculation-sheet'!U55/10^9</f>
        <v>0.13034733648928332</v>
      </c>
      <c r="V66" s="2">
        <f>V11*'Output-Calculation-sheet'!V55/10^9</f>
        <v>9.6748265587157503E-2</v>
      </c>
      <c r="W66" s="2">
        <f>W11*'Output-Calculation-sheet'!W55/10^9</f>
        <v>6.0392266602664391E-2</v>
      </c>
      <c r="X66" s="2">
        <f>X11*'Output-Calculation-sheet'!X55/10^9</f>
        <v>7.6197896778296872E-2</v>
      </c>
      <c r="Y66" s="2">
        <f>Y11*'Output-Calculation-sheet'!Y55/10^9</f>
        <v>5.0720579342901605E-2</v>
      </c>
      <c r="AA66" s="2">
        <f t="shared" si="4"/>
        <v>20.842014063594679</v>
      </c>
    </row>
    <row r="67" spans="1:27" x14ac:dyDescent="0.25">
      <c r="A67" s="2">
        <v>2035</v>
      </c>
      <c r="B67" s="2">
        <f>B12*'Output-Calculation-sheet'!B56/10^9</f>
        <v>6.6963967996576672</v>
      </c>
      <c r="C67" s="2">
        <f>C12*'Output-Calculation-sheet'!C56/10^9</f>
        <v>3.2308616940285222</v>
      </c>
      <c r="D67" s="2">
        <f>D12*'Output-Calculation-sheet'!D56/10^9</f>
        <v>1.4673218834342068</v>
      </c>
      <c r="E67" s="2">
        <f>E12*'Output-Calculation-sheet'!E56/10^9</f>
        <v>1.6349923866522527</v>
      </c>
      <c r="F67" s="2">
        <f>F12*'Output-Calculation-sheet'!F56/10^9</f>
        <v>0.75213140076547547</v>
      </c>
      <c r="G67" s="2">
        <f>G12*'Output-Calculation-sheet'!G56/10^9</f>
        <v>0.5214496296285267</v>
      </c>
      <c r="H67" s="2">
        <f>H12*'Output-Calculation-sheet'!H56/10^9</f>
        <v>0.96446687201809989</v>
      </c>
      <c r="I67" s="2">
        <f>I12*'Output-Calculation-sheet'!I56/10^9</f>
        <v>0.5142507473947906</v>
      </c>
      <c r="J67" s="2">
        <f>J12*'Output-Calculation-sheet'!J56/10^9</f>
        <v>0.46411702066033178</v>
      </c>
      <c r="K67" s="2">
        <f>K12*'Output-Calculation-sheet'!K56/10^9</f>
        <v>0.59950144192436194</v>
      </c>
      <c r="L67" s="2">
        <f>L12*'Output-Calculation-sheet'!L56/10^9</f>
        <v>0.4952675974225228</v>
      </c>
      <c r="M67" s="2">
        <f>M12*'Output-Calculation-sheet'!M56/10^9</f>
        <v>0.66645335572054665</v>
      </c>
      <c r="N67" s="2">
        <f>N12*'Output-Calculation-sheet'!N56/10^9</f>
        <v>0.69944939490499292</v>
      </c>
      <c r="O67" s="2">
        <f>O12*'Output-Calculation-sheet'!O56/10^9</f>
        <v>0.63620288366315869</v>
      </c>
      <c r="P67" s="2">
        <f>P12*'Output-Calculation-sheet'!P56/10^9</f>
        <v>0.52821099113224768</v>
      </c>
      <c r="Q67" s="2">
        <f>Q12*'Output-Calculation-sheet'!Q56/10^9</f>
        <v>0.54416663079865379</v>
      </c>
      <c r="R67" s="2">
        <f>R12*'Output-Calculation-sheet'!R56/10^9</f>
        <v>0.43462573760165341</v>
      </c>
      <c r="S67" s="2">
        <f>S12*'Output-Calculation-sheet'!S56/10^9</f>
        <v>0.39606856277817154</v>
      </c>
      <c r="T67" s="2">
        <f>T12*'Output-Calculation-sheet'!T56/10^9</f>
        <v>0.13547041228753701</v>
      </c>
      <c r="U67" s="2">
        <f>U12*'Output-Calculation-sheet'!U56/10^9</f>
        <v>0.13683823213872295</v>
      </c>
      <c r="V67" s="2">
        <f>V12*'Output-Calculation-sheet'!V56/10^9</f>
        <v>0.10144638247308341</v>
      </c>
      <c r="W67" s="2">
        <f>W12*'Output-Calculation-sheet'!W56/10^9</f>
        <v>6.3292869845314126E-2</v>
      </c>
      <c r="X67" s="2">
        <f>X12*'Output-Calculation-sheet'!X56/10^9</f>
        <v>7.9550784870377048E-2</v>
      </c>
      <c r="Y67" s="2">
        <f>Y12*'Output-Calculation-sheet'!Y56/10^9</f>
        <v>5.3219835706176444E-2</v>
      </c>
      <c r="AA67" s="2">
        <f t="shared" si="4"/>
        <v>21.815753547507384</v>
      </c>
    </row>
    <row r="68" spans="1:27" x14ac:dyDescent="0.25">
      <c r="B68" s="2">
        <f>SUM(B60:B67)</f>
        <v>40.978878939771455</v>
      </c>
      <c r="C68" s="2">
        <f t="shared" ref="C68:Y68" si="5">SUM(C60:C67)</f>
        <v>19.71686860735204</v>
      </c>
      <c r="D68" s="2">
        <f t="shared" si="5"/>
        <v>8.9743025928950324</v>
      </c>
      <c r="E68" s="2">
        <f t="shared" si="5"/>
        <v>9.9883246688082661</v>
      </c>
      <c r="F68" s="2">
        <f t="shared" si="5"/>
        <v>4.6096705878915492</v>
      </c>
      <c r="G68" s="2">
        <f t="shared" si="5"/>
        <v>3.1882964951211075</v>
      </c>
      <c r="H68" s="2">
        <f t="shared" si="5"/>
        <v>5.9720802696909807</v>
      </c>
      <c r="I68" s="2">
        <f t="shared" si="5"/>
        <v>3.1456810449132901</v>
      </c>
      <c r="J68" s="2">
        <f t="shared" si="5"/>
        <v>2.8394794961106475</v>
      </c>
      <c r="K68" s="2">
        <f t="shared" si="5"/>
        <v>3.665348472218604</v>
      </c>
      <c r="L68" s="2">
        <f t="shared" si="5"/>
        <v>3.0279677373151239</v>
      </c>
      <c r="M68" s="2">
        <f t="shared" si="5"/>
        <v>4.1258345425427185</v>
      </c>
      <c r="N68" s="2">
        <f t="shared" si="5"/>
        <v>4.318041202255225</v>
      </c>
      <c r="O68" s="2">
        <f t="shared" si="5"/>
        <v>3.8469902200545096</v>
      </c>
      <c r="P68" s="2">
        <f t="shared" si="5"/>
        <v>3.2170063426541153</v>
      </c>
      <c r="Q68" s="2">
        <f t="shared" si="5"/>
        <v>3.3167872596975605</v>
      </c>
      <c r="R68" s="2">
        <f t="shared" si="5"/>
        <v>2.6519649116861364</v>
      </c>
      <c r="S68" s="2">
        <f t="shared" si="5"/>
        <v>2.4339756490504278</v>
      </c>
      <c r="T68" s="2">
        <f t="shared" si="5"/>
        <v>0.82851164354908646</v>
      </c>
      <c r="U68" s="2">
        <f t="shared" si="5"/>
        <v>0.83369956437220172</v>
      </c>
      <c r="V68" s="2">
        <f t="shared" si="5"/>
        <v>0.62030146734831826</v>
      </c>
      <c r="W68" s="2">
        <f t="shared" si="5"/>
        <v>0.38766517025168046</v>
      </c>
      <c r="X68" s="2">
        <f t="shared" si="5"/>
        <v>0.4909881248159671</v>
      </c>
      <c r="Y68" s="2">
        <f t="shared" si="5"/>
        <v>0.32475413130648179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6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6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5566663440.2338829</v>
      </c>
      <c r="C93" s="2">
        <f>C5/'Output-Calculation-sheet'!C4*'Output-Calculation-sheet'!C76</f>
        <v>0</v>
      </c>
      <c r="D93" s="2">
        <f>D5/'Output-Calculation-sheet'!D4*'Output-Calculation-sheet'!D76</f>
        <v>3644088928.1400652</v>
      </c>
      <c r="E93" s="2">
        <f>E5/'Output-Calculation-sheet'!E4*'Output-Calculation-sheet'!E76</f>
        <v>5320964596.9471331</v>
      </c>
      <c r="F93" s="2">
        <f>F5/'Output-Calculation-sheet'!F4*'Output-Calculation-sheet'!F76</f>
        <v>2665170083.9234376</v>
      </c>
      <c r="G93" s="2">
        <f>G5/'Output-Calculation-sheet'!G4*'Output-Calculation-sheet'!G76</f>
        <v>2036541949.9149132</v>
      </c>
      <c r="H93" s="2">
        <f>H5/'Output-Calculation-sheet'!H4*'Output-Calculation-sheet'!H76</f>
        <v>0</v>
      </c>
      <c r="I93" s="2">
        <f>I5/'Output-Calculation-sheet'!I4*'Output-Calculation-sheet'!I76</f>
        <v>1383527797.5373662</v>
      </c>
      <c r="J93" s="2">
        <f>J5/'Output-Calculation-sheet'!J4*'Output-Calculation-sheet'!J76</f>
        <v>992640434.74279273</v>
      </c>
      <c r="K93" s="2">
        <f>K5/'Output-Calculation-sheet'!K4*'Output-Calculation-sheet'!K76</f>
        <v>1249698742.4550951</v>
      </c>
      <c r="L93" s="2">
        <f>L5/'Output-Calculation-sheet'!L4*'Output-Calculation-sheet'!L76</f>
        <v>824105189.10299039</v>
      </c>
      <c r="M93" s="2">
        <f>M5/'Output-Calculation-sheet'!M4*'Output-Calculation-sheet'!M76</f>
        <v>0</v>
      </c>
      <c r="N93" s="2">
        <f>N5/'Output-Calculation-sheet'!N4*'Output-Calculation-sheet'!N76</f>
        <v>390114481.30187786</v>
      </c>
      <c r="O93" s="2">
        <f>O5/'Output-Calculation-sheet'!O4*'Output-Calculation-sheet'!O76</f>
        <v>0</v>
      </c>
      <c r="P93" s="2">
        <f>P5/'Output-Calculation-sheet'!P4*'Output-Calculation-sheet'!P76</f>
        <v>1026970288.4571153</v>
      </c>
      <c r="Q93" s="2">
        <f>Q5/'Output-Calculation-sheet'!Q4*'Output-Calculation-sheet'!Q76</f>
        <v>461686922.25797492</v>
      </c>
      <c r="R93" s="2">
        <f>R5/'Output-Calculation-sheet'!R4*'Output-Calculation-sheet'!R76</f>
        <v>736803335.5207516</v>
      </c>
      <c r="S93" s="2">
        <f>S5/'Output-Calculation-sheet'!S4*'Output-Calculation-sheet'!S76</f>
        <v>244118885.78916904</v>
      </c>
      <c r="T93" s="2">
        <f>T5/'Output-Calculation-sheet'!T4*'Output-Calculation-sheet'!T76</f>
        <v>395917012.50400376</v>
      </c>
      <c r="U93" s="2">
        <f>U5/'Output-Calculation-sheet'!U4*'Output-Calculation-sheet'!U76</f>
        <v>206481425.89659199</v>
      </c>
      <c r="V93" s="2">
        <f>V5/'Output-Calculation-sheet'!V4*'Output-Calculation-sheet'!V76</f>
        <v>123534093.16394548</v>
      </c>
      <c r="W93" s="2">
        <f>W5/'Output-Calculation-sheet'!W4*'Output-Calculation-sheet'!W76</f>
        <v>411672556.32170188</v>
      </c>
      <c r="X93" s="2">
        <f>X5/'Output-Calculation-sheet'!X4*'Output-Calculation-sheet'!X76</f>
        <v>0</v>
      </c>
      <c r="Y93" s="2">
        <f>Y5/'Output-Calculation-sheet'!Y4*'Output-Calculation-sheet'!Y76</f>
        <v>172627257.38299939</v>
      </c>
      <c r="AA93" s="2">
        <f t="shared" ref="AA93:AA100" si="8">SUM(B93:Y93)/10^9</f>
        <v>27.853327421593804</v>
      </c>
    </row>
    <row r="94" spans="1:27" x14ac:dyDescent="0.25">
      <c r="A94" s="2">
        <v>2029</v>
      </c>
      <c r="B94" s="2">
        <f>B6/'Output-Calculation-sheet'!B5*'Output-Calculation-sheet'!B77</f>
        <v>7390499990.4951048</v>
      </c>
      <c r="C94" s="2">
        <f>C6/'Output-Calculation-sheet'!C5*'Output-Calculation-sheet'!C77</f>
        <v>0</v>
      </c>
      <c r="D94" s="2">
        <f>D6/'Output-Calculation-sheet'!D5*'Output-Calculation-sheet'!D77</f>
        <v>4768811915.8121033</v>
      </c>
      <c r="E94" s="2">
        <f>E6/'Output-Calculation-sheet'!E5*'Output-Calculation-sheet'!E77</f>
        <v>7108132802.5353241</v>
      </c>
      <c r="F94" s="2">
        <f>F6/'Output-Calculation-sheet'!F5*'Output-Calculation-sheet'!F77</f>
        <v>3484468954.1755366</v>
      </c>
      <c r="G94" s="2">
        <f>G6/'Output-Calculation-sheet'!G5*'Output-Calculation-sheet'!G77</f>
        <v>2697026053.5102057</v>
      </c>
      <c r="H94" s="2">
        <f>H6/'Output-Calculation-sheet'!H5*'Output-Calculation-sheet'!H77</f>
        <v>659615809.8443917</v>
      </c>
      <c r="I94" s="2">
        <f>I6/'Output-Calculation-sheet'!I5*'Output-Calculation-sheet'!I77</f>
        <v>1806968078.5354779</v>
      </c>
      <c r="J94" s="2">
        <f>J6/'Output-Calculation-sheet'!J5*'Output-Calculation-sheet'!J77</f>
        <v>1310033775.0364845</v>
      </c>
      <c r="K94" s="2">
        <f>K6/'Output-Calculation-sheet'!K5*'Output-Calculation-sheet'!K77</f>
        <v>1633413302.8018677</v>
      </c>
      <c r="L94" s="2">
        <f>L6/'Output-Calculation-sheet'!L5*'Output-Calculation-sheet'!L77</f>
        <v>1089396615.325907</v>
      </c>
      <c r="M94" s="2">
        <f>M6/'Output-Calculation-sheet'!M5*'Output-Calculation-sheet'!M77</f>
        <v>479774816.48526299</v>
      </c>
      <c r="N94" s="2">
        <f>N6/'Output-Calculation-sheet'!N5*'Output-Calculation-sheet'!N77</f>
        <v>565586042.10113823</v>
      </c>
      <c r="O94" s="2">
        <f>O6/'Output-Calculation-sheet'!O5*'Output-Calculation-sheet'!O77</f>
        <v>0</v>
      </c>
      <c r="P94" s="2">
        <f>P6/'Output-Calculation-sheet'!P5*'Output-Calculation-sheet'!P77</f>
        <v>1368604972.8951106</v>
      </c>
      <c r="Q94" s="2">
        <f>Q6/'Output-Calculation-sheet'!Q5*'Output-Calculation-sheet'!Q77</f>
        <v>623431525.90291893</v>
      </c>
      <c r="R94" s="2">
        <f>R6/'Output-Calculation-sheet'!R5*'Output-Calculation-sheet'!R77</f>
        <v>972450981.59025025</v>
      </c>
      <c r="S94" s="2">
        <f>S6/'Output-Calculation-sheet'!S5*'Output-Calculation-sheet'!S77</f>
        <v>328306930.23995799</v>
      </c>
      <c r="T94" s="2">
        <f>T6/'Output-Calculation-sheet'!T5*'Output-Calculation-sheet'!T77</f>
        <v>520316988.28541851</v>
      </c>
      <c r="U94" s="2">
        <f>U6/'Output-Calculation-sheet'!U5*'Output-Calculation-sheet'!U77</f>
        <v>265735605.8273018</v>
      </c>
      <c r="V94" s="2">
        <f>V6/'Output-Calculation-sheet'!V5*'Output-Calculation-sheet'!V77</f>
        <v>159035168.48927408</v>
      </c>
      <c r="W94" s="2">
        <f>W6/'Output-Calculation-sheet'!W5*'Output-Calculation-sheet'!W77</f>
        <v>547068202.39999545</v>
      </c>
      <c r="X94" s="2">
        <f>X6/'Output-Calculation-sheet'!X5*'Output-Calculation-sheet'!X77</f>
        <v>44743117.817296967</v>
      </c>
      <c r="Y94" s="2">
        <f>Y6/'Output-Calculation-sheet'!Y5*'Output-Calculation-sheet'!Y77</f>
        <v>230739516.93973136</v>
      </c>
      <c r="AA94" s="2">
        <f t="shared" si="8"/>
        <v>38.054161167046054</v>
      </c>
    </row>
    <row r="95" spans="1:27" x14ac:dyDescent="0.25">
      <c r="A95" s="2">
        <v>2030</v>
      </c>
      <c r="B95" s="2">
        <f>B7/'Output-Calculation-sheet'!B6*'Output-Calculation-sheet'!B78</f>
        <v>8988052881.553339</v>
      </c>
      <c r="C95" s="2">
        <f>C7/'Output-Calculation-sheet'!C6*'Output-Calculation-sheet'!C78</f>
        <v>0</v>
      </c>
      <c r="D95" s="2">
        <f>D7/'Output-Calculation-sheet'!D6*'Output-Calculation-sheet'!D78</f>
        <v>5732735025.2938633</v>
      </c>
      <c r="E95" s="2">
        <f>E7/'Output-Calculation-sheet'!E6*'Output-Calculation-sheet'!E78</f>
        <v>8713089634.6454163</v>
      </c>
      <c r="F95" s="2">
        <f>F7/'Output-Calculation-sheet'!F6*'Output-Calculation-sheet'!F78</f>
        <v>4181662334.8773317</v>
      </c>
      <c r="G95" s="2">
        <f>G7/'Output-Calculation-sheet'!G6*'Output-Calculation-sheet'!G78</f>
        <v>3279303902.3524408</v>
      </c>
      <c r="H95" s="2">
        <f>H7/'Output-Calculation-sheet'!H6*'Output-Calculation-sheet'!H78</f>
        <v>838746007.17779934</v>
      </c>
      <c r="I95" s="2">
        <f>I7/'Output-Calculation-sheet'!I6*'Output-Calculation-sheet'!I78</f>
        <v>2164241432.5814676</v>
      </c>
      <c r="J95" s="2">
        <f>J7/'Output-Calculation-sheet'!J6*'Output-Calculation-sheet'!J78</f>
        <v>1587221817.3574221</v>
      </c>
      <c r="K95" s="2">
        <f>K7/'Output-Calculation-sheet'!K6*'Output-Calculation-sheet'!K78</f>
        <v>1956507508.7056432</v>
      </c>
      <c r="L95" s="2">
        <f>L7/'Output-Calculation-sheet'!L6*'Output-Calculation-sheet'!L78</f>
        <v>1323470450.5055785</v>
      </c>
      <c r="M95" s="2">
        <f>M7/'Output-Calculation-sheet'!M6*'Output-Calculation-sheet'!M78</f>
        <v>615347858.65847147</v>
      </c>
      <c r="N95" s="2">
        <f>N7/'Output-Calculation-sheet'!N6*'Output-Calculation-sheet'!N78</f>
        <v>718074811.70019794</v>
      </c>
      <c r="O95" s="2">
        <f>O7/'Output-Calculation-sheet'!O6*'Output-Calculation-sheet'!O78</f>
        <v>0</v>
      </c>
      <c r="P95" s="2">
        <f>P7/'Output-Calculation-sheet'!P6*'Output-Calculation-sheet'!P78</f>
        <v>1665395169.2545445</v>
      </c>
      <c r="Q95" s="2">
        <f>Q7/'Output-Calculation-sheet'!Q6*'Output-Calculation-sheet'!Q78</f>
        <v>768862399.55820262</v>
      </c>
      <c r="R95" s="2">
        <f>R7/'Output-Calculation-sheet'!R6*'Output-Calculation-sheet'!R78</f>
        <v>1176700572.592907</v>
      </c>
      <c r="S95" s="2">
        <f>S7/'Output-Calculation-sheet'!S6*'Output-Calculation-sheet'!S78</f>
        <v>416903112.26363331</v>
      </c>
      <c r="T95" s="2">
        <f>T7/'Output-Calculation-sheet'!T6*'Output-Calculation-sheet'!T78</f>
        <v>627890938.10911441</v>
      </c>
      <c r="U95" s="2">
        <f>U7/'Output-Calculation-sheet'!U6*'Output-Calculation-sheet'!U78</f>
        <v>313161513.90728885</v>
      </c>
      <c r="V95" s="2">
        <f>V7/'Output-Calculation-sheet'!V6*'Output-Calculation-sheet'!V78</f>
        <v>187689648.84052458</v>
      </c>
      <c r="W95" s="2">
        <f>W7/'Output-Calculation-sheet'!W6*'Output-Calculation-sheet'!W78</f>
        <v>667780404.40357232</v>
      </c>
      <c r="X95" s="2">
        <f>X7/'Output-Calculation-sheet'!X6*'Output-Calculation-sheet'!X78</f>
        <v>58231264.503207512</v>
      </c>
      <c r="Y95" s="2">
        <f>Y7/'Output-Calculation-sheet'!Y6*'Output-Calculation-sheet'!Y78</f>
        <v>283385460.28698313</v>
      </c>
      <c r="AA95" s="2">
        <f t="shared" si="8"/>
        <v>46.264454149128937</v>
      </c>
    </row>
    <row r="96" spans="1:27" x14ac:dyDescent="0.25">
      <c r="A96" s="2">
        <v>2031</v>
      </c>
      <c r="B96" s="2">
        <f>B8/'Output-Calculation-sheet'!B7*'Output-Calculation-sheet'!B79</f>
        <v>10449538056.030798</v>
      </c>
      <c r="C96" s="2">
        <f>C8/'Output-Calculation-sheet'!C7*'Output-Calculation-sheet'!C79</f>
        <v>0</v>
      </c>
      <c r="D96" s="2">
        <f>D8/'Output-Calculation-sheet'!D7*'Output-Calculation-sheet'!D79</f>
        <v>6360547793.3095341</v>
      </c>
      <c r="E96" s="2">
        <f>E8/'Output-Calculation-sheet'!E7*'Output-Calculation-sheet'!E79</f>
        <v>9962879907.3945026</v>
      </c>
      <c r="F96" s="2">
        <f>F8/'Output-Calculation-sheet'!F7*'Output-Calculation-sheet'!F79</f>
        <v>4769004157.5582905</v>
      </c>
      <c r="G96" s="2">
        <f>G8/'Output-Calculation-sheet'!G7*'Output-Calculation-sheet'!G79</f>
        <v>3635655048.4467416</v>
      </c>
      <c r="H96" s="2">
        <f>H8/'Output-Calculation-sheet'!H7*'Output-Calculation-sheet'!H79</f>
        <v>982588064.87495756</v>
      </c>
      <c r="I96" s="2">
        <f>I8/'Output-Calculation-sheet'!I7*'Output-Calculation-sheet'!I79</f>
        <v>2493275951.9824443</v>
      </c>
      <c r="J96" s="2">
        <f>J8/'Output-Calculation-sheet'!J7*'Output-Calculation-sheet'!J79</f>
        <v>1774776555.7607217</v>
      </c>
      <c r="K96" s="2">
        <f>K8/'Output-Calculation-sheet'!K7*'Output-Calculation-sheet'!K79</f>
        <v>2211947740.0098042</v>
      </c>
      <c r="L96" s="2">
        <f>L8/'Output-Calculation-sheet'!L7*'Output-Calculation-sheet'!L79</f>
        <v>1539203220.3092649</v>
      </c>
      <c r="M96" s="2">
        <f>M8/'Output-Calculation-sheet'!M7*'Output-Calculation-sheet'!M79</f>
        <v>728418769.2853328</v>
      </c>
      <c r="N96" s="2">
        <f>N8/'Output-Calculation-sheet'!N7*'Output-Calculation-sheet'!N79</f>
        <v>811826729.51159453</v>
      </c>
      <c r="O96" s="2">
        <f>O8/'Output-Calculation-sheet'!O7*'Output-Calculation-sheet'!O79</f>
        <v>0</v>
      </c>
      <c r="P96" s="2">
        <f>P8/'Output-Calculation-sheet'!P7*'Output-Calculation-sheet'!P79</f>
        <v>1877560875.5225844</v>
      </c>
      <c r="Q96" s="2">
        <f>Q8/'Output-Calculation-sheet'!Q7*'Output-Calculation-sheet'!Q79</f>
        <v>871659062.89430463</v>
      </c>
      <c r="R96" s="2">
        <f>R8/'Output-Calculation-sheet'!R7*'Output-Calculation-sheet'!R79</f>
        <v>1344853874.1492805</v>
      </c>
      <c r="S96" s="2">
        <f>S8/'Output-Calculation-sheet'!S7*'Output-Calculation-sheet'!S79</f>
        <v>492601968.58648556</v>
      </c>
      <c r="T96" s="2">
        <f>T8/'Output-Calculation-sheet'!T7*'Output-Calculation-sheet'!T79</f>
        <v>704917575.26080859</v>
      </c>
      <c r="U96" s="2">
        <f>U8/'Output-Calculation-sheet'!U7*'Output-Calculation-sheet'!U79</f>
        <v>357911250.69049954</v>
      </c>
      <c r="V96" s="2">
        <f>V8/'Output-Calculation-sheet'!V7*'Output-Calculation-sheet'!V79</f>
        <v>216969248.79404172</v>
      </c>
      <c r="W96" s="2">
        <f>W8/'Output-Calculation-sheet'!W7*'Output-Calculation-sheet'!W79</f>
        <v>755584176.44867253</v>
      </c>
      <c r="X96" s="2">
        <f>X8/'Output-Calculation-sheet'!X7*'Output-Calculation-sheet'!X79</f>
        <v>70445414.058332011</v>
      </c>
      <c r="Y96" s="2">
        <f>Y8/'Output-Calculation-sheet'!Y7*'Output-Calculation-sheet'!Y79</f>
        <v>321406087.0057236</v>
      </c>
      <c r="AA96" s="2">
        <f t="shared" si="8"/>
        <v>52.733571527884713</v>
      </c>
    </row>
    <row r="97" spans="1:27" x14ac:dyDescent="0.25">
      <c r="A97" s="2">
        <v>2032</v>
      </c>
      <c r="B97" s="2">
        <f>B9/'Output-Calculation-sheet'!B8*'Output-Calculation-sheet'!B80</f>
        <v>11594340688.595392</v>
      </c>
      <c r="C97" s="2">
        <f>C9/'Output-Calculation-sheet'!C8*'Output-Calculation-sheet'!C80</f>
        <v>0</v>
      </c>
      <c r="D97" s="2">
        <f>D9/'Output-Calculation-sheet'!D8*'Output-Calculation-sheet'!D80</f>
        <v>6730879434.5468588</v>
      </c>
      <c r="E97" s="2">
        <f>E9/'Output-Calculation-sheet'!E8*'Output-Calculation-sheet'!E80</f>
        <v>10859100433.011145</v>
      </c>
      <c r="F97" s="2">
        <f>F9/'Output-Calculation-sheet'!F8*'Output-Calculation-sheet'!F80</f>
        <v>5179963733.8385172</v>
      </c>
      <c r="G97" s="2">
        <f>G9/'Output-Calculation-sheet'!G8*'Output-Calculation-sheet'!G80</f>
        <v>3835635626.1252074</v>
      </c>
      <c r="H97" s="2">
        <f>H9/'Output-Calculation-sheet'!H8*'Output-Calculation-sheet'!H80</f>
        <v>1095385272.4827914</v>
      </c>
      <c r="I97" s="2">
        <f>I9/'Output-Calculation-sheet'!I8*'Output-Calculation-sheet'!I80</f>
        <v>2735102264.2275724</v>
      </c>
      <c r="J97" s="2">
        <f>J9/'Output-Calculation-sheet'!J8*'Output-Calculation-sheet'!J80</f>
        <v>1891575389.6711762</v>
      </c>
      <c r="K97" s="2">
        <f>K9/'Output-Calculation-sheet'!K8*'Output-Calculation-sheet'!K80</f>
        <v>2379438236.2506104</v>
      </c>
      <c r="L97" s="2">
        <f>L9/'Output-Calculation-sheet'!L8*'Output-Calculation-sheet'!L80</f>
        <v>1708399257.9838774</v>
      </c>
      <c r="M97" s="2">
        <f>M9/'Output-Calculation-sheet'!M8*'Output-Calculation-sheet'!M80</f>
        <v>813475844.37741017</v>
      </c>
      <c r="N97" s="2">
        <f>N9/'Output-Calculation-sheet'!N8*'Output-Calculation-sheet'!N80</f>
        <v>865859793.81359661</v>
      </c>
      <c r="O97" s="2">
        <f>O9/'Output-Calculation-sheet'!O8*'Output-Calculation-sheet'!O80</f>
        <v>0</v>
      </c>
      <c r="P97" s="2">
        <f>P9/'Output-Calculation-sheet'!P8*'Output-Calculation-sheet'!P80</f>
        <v>2026256252.9859943</v>
      </c>
      <c r="Q97" s="2">
        <f>Q9/'Output-Calculation-sheet'!Q8*'Output-Calculation-sheet'!Q80</f>
        <v>944740920.59289217</v>
      </c>
      <c r="R97" s="2">
        <f>R9/'Output-Calculation-sheet'!R8*'Output-Calculation-sheet'!R80</f>
        <v>1464273275.4118266</v>
      </c>
      <c r="S97" s="2">
        <f>S9/'Output-Calculation-sheet'!S8*'Output-Calculation-sheet'!S80</f>
        <v>551725875.19450486</v>
      </c>
      <c r="T97" s="2">
        <f>T9/'Output-Calculation-sheet'!T8*'Output-Calculation-sheet'!T80</f>
        <v>752979739.65528405</v>
      </c>
      <c r="U97" s="2">
        <f>U9/'Output-Calculation-sheet'!U8*'Output-Calculation-sheet'!U80</f>
        <v>389862787.13728535</v>
      </c>
      <c r="V97" s="2">
        <f>V9/'Output-Calculation-sheet'!V8*'Output-Calculation-sheet'!V80</f>
        <v>239000503.21353695</v>
      </c>
      <c r="W97" s="2">
        <f>W9/'Output-Calculation-sheet'!W8*'Output-Calculation-sheet'!W80</f>
        <v>813671728.9607662</v>
      </c>
      <c r="X97" s="2">
        <f>X9/'Output-Calculation-sheet'!X8*'Output-Calculation-sheet'!X80</f>
        <v>80556718.171741381</v>
      </c>
      <c r="Y97" s="2">
        <f>Y9/'Output-Calculation-sheet'!Y8*'Output-Calculation-sheet'!Y80</f>
        <v>346465426.02907503</v>
      </c>
      <c r="AA97" s="2">
        <f t="shared" si="8"/>
        <v>57.298689202277053</v>
      </c>
    </row>
    <row r="98" spans="1:27" x14ac:dyDescent="0.25">
      <c r="A98" s="2">
        <v>2033</v>
      </c>
      <c r="B98" s="2">
        <f>B10/'Output-Calculation-sheet'!B9*'Output-Calculation-sheet'!B81</f>
        <v>13076450938.399223</v>
      </c>
      <c r="C98" s="2">
        <f>C10/'Output-Calculation-sheet'!C9*'Output-Calculation-sheet'!C81</f>
        <v>1712625743.8855669</v>
      </c>
      <c r="D98" s="2">
        <f>D10/'Output-Calculation-sheet'!D9*'Output-Calculation-sheet'!D81</f>
        <v>6971498205.7156305</v>
      </c>
      <c r="E98" s="2">
        <f>E10/'Output-Calculation-sheet'!E9*'Output-Calculation-sheet'!E81</f>
        <v>11575114356.996195</v>
      </c>
      <c r="F98" s="2">
        <f>F10/'Output-Calculation-sheet'!F9*'Output-Calculation-sheet'!F81</f>
        <v>5510800494.6983299</v>
      </c>
      <c r="G98" s="2">
        <f>G10/'Output-Calculation-sheet'!G9*'Output-Calculation-sheet'!G81</f>
        <v>3957169545.3007822</v>
      </c>
      <c r="H98" s="2">
        <f>H10/'Output-Calculation-sheet'!H9*'Output-Calculation-sheet'!H81</f>
        <v>1192589142.7426159</v>
      </c>
      <c r="I98" s="2">
        <f>I10/'Output-Calculation-sheet'!I9*'Output-Calculation-sheet'!I81</f>
        <v>2937122222.3485942</v>
      </c>
      <c r="J98" s="2">
        <f>J10/'Output-Calculation-sheet'!J9*'Output-Calculation-sheet'!J81</f>
        <v>1975006033.6298895</v>
      </c>
      <c r="K98" s="2">
        <f>K10/'Output-Calculation-sheet'!K9*'Output-Calculation-sheet'!K81</f>
        <v>2508190443.3545647</v>
      </c>
      <c r="L98" s="2">
        <f>L10/'Output-Calculation-sheet'!L9*'Output-Calculation-sheet'!L81</f>
        <v>1854411936.549813</v>
      </c>
      <c r="M98" s="2">
        <f>M10/'Output-Calculation-sheet'!M9*'Output-Calculation-sheet'!M81</f>
        <v>889199675.85743141</v>
      </c>
      <c r="N98" s="2">
        <f>N10/'Output-Calculation-sheet'!N9*'Output-Calculation-sheet'!N81</f>
        <v>904853783.71105158</v>
      </c>
      <c r="O98" s="2">
        <f>O10/'Output-Calculation-sheet'!O9*'Output-Calculation-sheet'!O81</f>
        <v>0</v>
      </c>
      <c r="P98" s="2">
        <f>P10/'Output-Calculation-sheet'!P9*'Output-Calculation-sheet'!P81</f>
        <v>2133841404.5628886</v>
      </c>
      <c r="Q98" s="2">
        <f>Q10/'Output-Calculation-sheet'!Q9*'Output-Calculation-sheet'!Q81</f>
        <v>1001596028.3472036</v>
      </c>
      <c r="R98" s="2">
        <f>R10/'Output-Calculation-sheet'!R9*'Output-Calculation-sheet'!R81</f>
        <v>1562946085.7023096</v>
      </c>
      <c r="S98" s="2">
        <f>S10/'Output-Calculation-sheet'!S9*'Output-Calculation-sheet'!S81</f>
        <v>593477741.28659427</v>
      </c>
      <c r="T98" s="2">
        <f>T10/'Output-Calculation-sheet'!T9*'Output-Calculation-sheet'!T81</f>
        <v>787732342.61845553</v>
      </c>
      <c r="U98" s="2">
        <f>U10/'Output-Calculation-sheet'!U9*'Output-Calculation-sheet'!U81</f>
        <v>415214564.52445227</v>
      </c>
      <c r="V98" s="2">
        <f>V10/'Output-Calculation-sheet'!V9*'Output-Calculation-sheet'!V81</f>
        <v>257306630.70716327</v>
      </c>
      <c r="W98" s="2">
        <f>W10/'Output-Calculation-sheet'!W9*'Output-Calculation-sheet'!W81</f>
        <v>855453280.14403021</v>
      </c>
      <c r="X98" s="2">
        <f>X10/'Output-Calculation-sheet'!X9*'Output-Calculation-sheet'!X81</f>
        <v>88989756.634441391</v>
      </c>
      <c r="Y98" s="2">
        <f>Y10/'Output-Calculation-sheet'!Y9*'Output-Calculation-sheet'!Y81</f>
        <v>365197922.12216681</v>
      </c>
      <c r="AA98" s="2">
        <f t="shared" si="8"/>
        <v>63.126788279839396</v>
      </c>
    </row>
    <row r="99" spans="1:27" x14ac:dyDescent="0.25">
      <c r="A99" s="2">
        <v>2034</v>
      </c>
      <c r="B99" s="2">
        <f>B11/'Output-Calculation-sheet'!B10*'Output-Calculation-sheet'!B82</f>
        <v>14296121466.554129</v>
      </c>
      <c r="C99" s="2">
        <f>C11/'Output-Calculation-sheet'!C10*'Output-Calculation-sheet'!C82</f>
        <v>1938905446.7117052</v>
      </c>
      <c r="D99" s="2">
        <f>D11/'Output-Calculation-sheet'!D10*'Output-Calculation-sheet'!D82</f>
        <v>7133108929.934947</v>
      </c>
      <c r="E99" s="2">
        <f>E11/'Output-Calculation-sheet'!E10*'Output-Calculation-sheet'!E82</f>
        <v>12198822585.187153</v>
      </c>
      <c r="F99" s="2">
        <f>F11/'Output-Calculation-sheet'!F10*'Output-Calculation-sheet'!F82</f>
        <v>5793320749.7436666</v>
      </c>
      <c r="G99" s="2">
        <f>G11/'Output-Calculation-sheet'!G10*'Output-Calculation-sheet'!G82</f>
        <v>4024361965.8623981</v>
      </c>
      <c r="H99" s="2">
        <f>H11/'Output-Calculation-sheet'!H10*'Output-Calculation-sheet'!H82</f>
        <v>1284145905.0954356</v>
      </c>
      <c r="I99" s="2">
        <f>I11/'Output-Calculation-sheet'!I10*'Output-Calculation-sheet'!I82</f>
        <v>3119608636.385304</v>
      </c>
      <c r="J99" s="2">
        <f>J11/'Output-Calculation-sheet'!J10*'Output-Calculation-sheet'!J82</f>
        <v>2038149919.9481287</v>
      </c>
      <c r="K99" s="2">
        <f>K11/'Output-Calculation-sheet'!K10*'Output-Calculation-sheet'!K82</f>
        <v>2613271022.7732363</v>
      </c>
      <c r="L99" s="2">
        <f>L11/'Output-Calculation-sheet'!L10*'Output-Calculation-sheet'!L82</f>
        <v>1987135051.7088878</v>
      </c>
      <c r="M99" s="2">
        <f>M11/'Output-Calculation-sheet'!M10*'Output-Calculation-sheet'!M82</f>
        <v>960581693.09562218</v>
      </c>
      <c r="N99" s="2">
        <f>N11/'Output-Calculation-sheet'!N10*'Output-Calculation-sheet'!N82</f>
        <v>937486190.47499537</v>
      </c>
      <c r="O99" s="2">
        <f>O11/'Output-Calculation-sheet'!O10*'Output-Calculation-sheet'!O82</f>
        <v>0</v>
      </c>
      <c r="P99" s="2">
        <f>P11/'Output-Calculation-sheet'!P10*'Output-Calculation-sheet'!P82</f>
        <v>2217370256.7127819</v>
      </c>
      <c r="Q99" s="2">
        <f>Q11/'Output-Calculation-sheet'!Q10*'Output-Calculation-sheet'!Q82</f>
        <v>1049941175.946308</v>
      </c>
      <c r="R99" s="2">
        <f>R11/'Output-Calculation-sheet'!R10*'Output-Calculation-sheet'!R82</f>
        <v>1647704971.3690593</v>
      </c>
      <c r="S99" s="2">
        <f>S11/'Output-Calculation-sheet'!S10*'Output-Calculation-sheet'!S82</f>
        <v>642002476.29794204</v>
      </c>
      <c r="T99" s="2">
        <f>T11/'Output-Calculation-sheet'!T10*'Output-Calculation-sheet'!T82</f>
        <v>814097048.56894553</v>
      </c>
      <c r="U99" s="2">
        <f>U11/'Output-Calculation-sheet'!U10*'Output-Calculation-sheet'!U82</f>
        <v>437598530.69295067</v>
      </c>
      <c r="V99" s="2">
        <f>V11/'Output-Calculation-sheet'!V10*'Output-Calculation-sheet'!V82</f>
        <v>273751774.0708667</v>
      </c>
      <c r="W99" s="2">
        <f>W11/'Output-Calculation-sheet'!W10*'Output-Calculation-sheet'!W82</f>
        <v>887389706.77811229</v>
      </c>
      <c r="X99" s="2">
        <f>X11/'Output-Calculation-sheet'!X10*'Output-Calculation-sheet'!X82</f>
        <v>97643393.700230479</v>
      </c>
      <c r="Y99" s="2">
        <f>Y11/'Output-Calculation-sheet'!Y10*'Output-Calculation-sheet'!Y82</f>
        <v>379691788.13348782</v>
      </c>
      <c r="AA99" s="2">
        <f t="shared" si="8"/>
        <v>66.772210685746302</v>
      </c>
    </row>
    <row r="100" spans="1:27" x14ac:dyDescent="0.25">
      <c r="A100" s="2">
        <v>2035</v>
      </c>
      <c r="B100" s="2">
        <f>B12/'Output-Calculation-sheet'!B11*'Output-Calculation-sheet'!B83</f>
        <v>15250120395.585388</v>
      </c>
      <c r="C100" s="2">
        <f>C12/'Output-Calculation-sheet'!C11*'Output-Calculation-sheet'!C83</f>
        <v>2157666375.2357726</v>
      </c>
      <c r="D100" s="2">
        <f>D12/'Output-Calculation-sheet'!D11*'Output-Calculation-sheet'!D83</f>
        <v>7253041493.2344761</v>
      </c>
      <c r="E100" s="2">
        <f>E12/'Output-Calculation-sheet'!E11*'Output-Calculation-sheet'!E83</f>
        <v>12760397972.481703</v>
      </c>
      <c r="F100" s="2">
        <f>F12/'Output-Calculation-sheet'!F11*'Output-Calculation-sheet'!F83</f>
        <v>6047238549.9135666</v>
      </c>
      <c r="G100" s="2">
        <f>G12/'Output-Calculation-sheet'!G11*'Output-Calculation-sheet'!G83</f>
        <v>4055726193.0502472</v>
      </c>
      <c r="H100" s="2">
        <f>H12/'Output-Calculation-sheet'!H11*'Output-Calculation-sheet'!H83</f>
        <v>1366610654.8774099</v>
      </c>
      <c r="I100" s="2">
        <f>I12/'Output-Calculation-sheet'!I11*'Output-Calculation-sheet'!I83</f>
        <v>3286080440.0523653</v>
      </c>
      <c r="J100" s="2">
        <f>J12/'Output-Calculation-sheet'!J11*'Output-Calculation-sheet'!J83</f>
        <v>2087708969.8449249</v>
      </c>
      <c r="K100" s="2">
        <f>K12/'Output-Calculation-sheet'!K11*'Output-Calculation-sheet'!K83</f>
        <v>2702358945.3206005</v>
      </c>
      <c r="L100" s="2">
        <f>L12/'Output-Calculation-sheet'!L11*'Output-Calculation-sheet'!L83</f>
        <v>2111448054.643924</v>
      </c>
      <c r="M100" s="2">
        <f>M12/'Output-Calculation-sheet'!M11*'Output-Calculation-sheet'!M83</f>
        <v>1024341530.7348338</v>
      </c>
      <c r="N100" s="2">
        <f>N12/'Output-Calculation-sheet'!N11*'Output-Calculation-sheet'!N83</f>
        <v>964961451.5550853</v>
      </c>
      <c r="O100" s="2">
        <f>O12/'Output-Calculation-sheet'!O11*'Output-Calculation-sheet'!O83</f>
        <v>260334677.06630883</v>
      </c>
      <c r="P100" s="2">
        <f>P12/'Output-Calculation-sheet'!P11*'Output-Calculation-sheet'!P83</f>
        <v>2285823840.4475889</v>
      </c>
      <c r="Q100" s="2">
        <f>Q12/'Output-Calculation-sheet'!Q11*'Output-Calculation-sheet'!Q83</f>
        <v>1096228759.6693425</v>
      </c>
      <c r="R100" s="2">
        <f>R12/'Output-Calculation-sheet'!R11*'Output-Calculation-sheet'!R83</f>
        <v>1726777378.823283</v>
      </c>
      <c r="S100" s="2">
        <f>S12/'Output-Calculation-sheet'!S11*'Output-Calculation-sheet'!S83</f>
        <v>669734626.91903031</v>
      </c>
      <c r="T100" s="2">
        <f>T12/'Output-Calculation-sheet'!T11*'Output-Calculation-sheet'!T83</f>
        <v>834786280.3980267</v>
      </c>
      <c r="U100" s="2">
        <f>U12/'Output-Calculation-sheet'!U11*'Output-Calculation-sheet'!U83</f>
        <v>457291162.38592023</v>
      </c>
      <c r="V100" s="2">
        <f>V12/'Output-Calculation-sheet'!V11*'Output-Calculation-sheet'!V83</f>
        <v>289029053.77548897</v>
      </c>
      <c r="W100" s="2">
        <f>W12/'Output-Calculation-sheet'!W11*'Output-Calculation-sheet'!W83</f>
        <v>912032448.80457044</v>
      </c>
      <c r="X100" s="2">
        <f>X12/'Output-Calculation-sheet'!X11*'Output-Calculation-sheet'!X83</f>
        <v>106126409.50829886</v>
      </c>
      <c r="Y100" s="2">
        <f>Y12/'Output-Calculation-sheet'!Y11*'Output-Calculation-sheet'!Y83</f>
        <v>391582647.20595574</v>
      </c>
      <c r="AA100" s="2">
        <f t="shared" si="8"/>
        <v>70.097448311534109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1A67-001A-4F21-99F2-1B56B27F1539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93326186619.668655</v>
      </c>
      <c r="C8" s="2">
        <v>43979995377.888481</v>
      </c>
      <c r="D8" s="2">
        <v>39198065404.296844</v>
      </c>
      <c r="E8" s="2">
        <v>31099687204.126213</v>
      </c>
      <c r="F8" s="2">
        <v>20019984654.767704</v>
      </c>
      <c r="G8" s="2">
        <v>14066590652.088776</v>
      </c>
      <c r="H8" s="2">
        <v>13721419209.945665</v>
      </c>
      <c r="I8" s="2">
        <v>12815771366.698929</v>
      </c>
      <c r="J8" s="2">
        <v>12473986705.735691</v>
      </c>
      <c r="K8" s="2">
        <v>12354403597.497787</v>
      </c>
      <c r="L8" s="2">
        <v>9910863190.2471905</v>
      </c>
      <c r="M8" s="2">
        <v>9466583116.2016277</v>
      </c>
      <c r="N8" s="2">
        <v>9291423988.2396526</v>
      </c>
      <c r="O8" s="2">
        <v>8545351294.9729757</v>
      </c>
      <c r="P8" s="2">
        <v>8458409102.0212994</v>
      </c>
      <c r="Q8" s="2">
        <v>8321707540.7765112</v>
      </c>
      <c r="R8" s="2">
        <v>8005865418.5984888</v>
      </c>
      <c r="S8" s="2">
        <v>5321108271.4533834</v>
      </c>
      <c r="T8" s="2">
        <v>2942887287.7045975</v>
      </c>
      <c r="U8" s="2">
        <v>2563154273.3397894</v>
      </c>
      <c r="V8" s="2">
        <v>1973680053.5571063</v>
      </c>
      <c r="W8" s="2">
        <v>1708769515.5598583</v>
      </c>
      <c r="X8" s="2">
        <v>1025261709.3359158</v>
      </c>
      <c r="Y8" s="2">
        <v>997056759.7120831</v>
      </c>
    </row>
    <row r="9" spans="1:27" x14ac:dyDescent="0.25">
      <c r="A9" s="2">
        <v>2032</v>
      </c>
      <c r="B9" s="2">
        <v>95557402043.580917</v>
      </c>
      <c r="C9" s="2">
        <v>45031456362.045464</v>
      </c>
      <c r="D9" s="2">
        <v>40135201392.441429</v>
      </c>
      <c r="E9" s="2">
        <v>31843209513.15913</v>
      </c>
      <c r="F9" s="2">
        <v>20498616646.131962</v>
      </c>
      <c r="G9" s="2">
        <v>14402890624.921759</v>
      </c>
      <c r="H9" s="2">
        <v>14049466923.970064</v>
      </c>
      <c r="I9" s="2">
        <v>13122167114.542389</v>
      </c>
      <c r="J9" s="2">
        <v>12772211164.953531</v>
      </c>
      <c r="K9" s="2">
        <v>12649769098.418884</v>
      </c>
      <c r="L9" s="2">
        <v>10147809235.246132</v>
      </c>
      <c r="M9" s="2">
        <v>9692907441.9419975</v>
      </c>
      <c r="N9" s="2">
        <v>9513560660.3095627</v>
      </c>
      <c r="O9" s="2">
        <v>8749651077.30303</v>
      </c>
      <c r="P9" s="2">
        <v>8660630295.5979824</v>
      </c>
      <c r="Q9" s="2">
        <v>8520660513.0428648</v>
      </c>
      <c r="R9" s="2">
        <v>8197267328.9383917</v>
      </c>
      <c r="S9" s="2">
        <v>5448323785.9579868</v>
      </c>
      <c r="T9" s="2">
        <v>3013244984.1346574</v>
      </c>
      <c r="U9" s="2">
        <v>2624433422.9084816</v>
      </c>
      <c r="V9" s="2">
        <v>2020866224.3079908</v>
      </c>
      <c r="W9" s="2">
        <v>1749622281.9389865</v>
      </c>
      <c r="X9" s="2">
        <v>1049773369.1633925</v>
      </c>
      <c r="Y9" s="2">
        <v>1020894103.7777059</v>
      </c>
    </row>
    <row r="10" spans="1:27" x14ac:dyDescent="0.25">
      <c r="A10" s="2">
        <v>2033</v>
      </c>
      <c r="B10" s="2">
        <v>91268704239.50705</v>
      </c>
      <c r="C10" s="2">
        <v>43010406146.321999</v>
      </c>
      <c r="D10" s="2">
        <v>38333899280.865356</v>
      </c>
      <c r="E10" s="2">
        <v>30414059077.994869</v>
      </c>
      <c r="F10" s="2">
        <v>19578621226.449829</v>
      </c>
      <c r="G10" s="2">
        <v>13756476594.460289</v>
      </c>
      <c r="H10" s="2">
        <v>13418914851.010202</v>
      </c>
      <c r="I10" s="2">
        <v>12533233048.88872</v>
      </c>
      <c r="J10" s="2">
        <v>12198983421.15905</v>
      </c>
      <c r="K10" s="2">
        <v>12082036659.128744</v>
      </c>
      <c r="L10" s="2">
        <v>9692366891.1406269</v>
      </c>
      <c r="M10" s="2">
        <v>9257881478.7791519</v>
      </c>
      <c r="N10" s="2">
        <v>9086583933.8579044</v>
      </c>
      <c r="O10" s="2">
        <v>8356959265.2702141</v>
      </c>
      <c r="P10" s="2">
        <v>8271933812.2665606</v>
      </c>
      <c r="Q10" s="2">
        <v>8138245993.0784159</v>
      </c>
      <c r="R10" s="2">
        <v>7829366971.2351627</v>
      </c>
      <c r="S10" s="2">
        <v>5203798361.8985844</v>
      </c>
      <c r="T10" s="2">
        <v>2878007976.1140633</v>
      </c>
      <c r="U10" s="2">
        <v>2506646609.7777476</v>
      </c>
      <c r="V10" s="2">
        <v>1930168022.4610627</v>
      </c>
      <c r="W10" s="2">
        <v>1671097739.8518305</v>
      </c>
      <c r="X10" s="2">
        <v>1002658643.911099</v>
      </c>
      <c r="Y10" s="2">
        <v>975075504.61710298</v>
      </c>
    </row>
    <row r="11" spans="1:27" x14ac:dyDescent="0.25">
      <c r="A11" s="2">
        <v>2034</v>
      </c>
      <c r="B11" s="2">
        <v>81245935846.720169</v>
      </c>
      <c r="C11" s="2">
        <v>38287173326.526123</v>
      </c>
      <c r="D11" s="2">
        <v>34124221962.819016</v>
      </c>
      <c r="E11" s="2">
        <v>27074107310.701916</v>
      </c>
      <c r="F11" s="2">
        <v>17428574420.834442</v>
      </c>
      <c r="G11" s="2">
        <v>12245794702.392992</v>
      </c>
      <c r="H11" s="2">
        <v>11945302655.51696</v>
      </c>
      <c r="I11" s="2">
        <v>11156882928.56502</v>
      </c>
      <c r="J11" s="2">
        <v>10859339273.950935</v>
      </c>
      <c r="K11" s="2">
        <v>10755235143.136696</v>
      </c>
      <c r="L11" s="2">
        <v>8627989464.7569637</v>
      </c>
      <c r="M11" s="2">
        <v>8241217523.2333775</v>
      </c>
      <c r="N11" s="2">
        <v>8088731197.7033157</v>
      </c>
      <c r="O11" s="2">
        <v>7439231026.6402969</v>
      </c>
      <c r="P11" s="2">
        <v>7363542732.8529186</v>
      </c>
      <c r="Q11" s="2">
        <v>7244535981.614892</v>
      </c>
      <c r="R11" s="2">
        <v>6969576833.2169933</v>
      </c>
      <c r="S11" s="2">
        <v>4632337791.9401855</v>
      </c>
      <c r="T11" s="2">
        <v>2561956514.4707818</v>
      </c>
      <c r="U11" s="2">
        <v>2231376585.7130075</v>
      </c>
      <c r="V11" s="2">
        <v>1718204598.530731</v>
      </c>
      <c r="W11" s="2">
        <v>1487584390.4753373</v>
      </c>
      <c r="X11" s="2">
        <v>892550634.28520286</v>
      </c>
      <c r="Y11" s="2">
        <v>867996566.33601546</v>
      </c>
    </row>
    <row r="12" spans="1:27" x14ac:dyDescent="0.25">
      <c r="A12" s="2">
        <v>2035</v>
      </c>
      <c r="B12" s="2">
        <v>66930967362.515701</v>
      </c>
      <c r="C12" s="2">
        <v>31541239836.97274</v>
      </c>
      <c r="D12" s="2">
        <v>28111771532.469616</v>
      </c>
      <c r="E12" s="2">
        <v>22303838018.440285</v>
      </c>
      <c r="F12" s="2">
        <v>14357780897.949215</v>
      </c>
      <c r="G12" s="2">
        <v>10088170897.560295</v>
      </c>
      <c r="H12" s="2">
        <v>9840623458.14007</v>
      </c>
      <c r="I12" s="2">
        <v>9191117800.2553501</v>
      </c>
      <c r="J12" s="2">
        <v>8945999266.8991623</v>
      </c>
      <c r="K12" s="2">
        <v>8860237559.4461727</v>
      </c>
      <c r="L12" s="2">
        <v>7107797765.5308161</v>
      </c>
      <c r="M12" s="2">
        <v>6789172348.4552994</v>
      </c>
      <c r="N12" s="2">
        <v>6663553052.290904</v>
      </c>
      <c r="O12" s="2">
        <v>6128490291.3254614</v>
      </c>
      <c r="P12" s="2">
        <v>6066137748.1685352</v>
      </c>
      <c r="Q12" s="2">
        <v>5968099158.2991457</v>
      </c>
      <c r="R12" s="2">
        <v>5741585898.335413</v>
      </c>
      <c r="S12" s="2">
        <v>3816152110.6660128</v>
      </c>
      <c r="T12" s="2">
        <v>2110557605.9550142</v>
      </c>
      <c r="U12" s="2">
        <v>1838223560.0510728</v>
      </c>
      <c r="V12" s="2">
        <v>1415468905.7105281</v>
      </c>
      <c r="W12" s="2">
        <v>1225482373.3673809</v>
      </c>
      <c r="X12" s="2">
        <v>735289424.02042902</v>
      </c>
      <c r="Y12" s="2">
        <v>715061611.96562576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-4.5195892169162742E-11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179.75465711761834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2.8216810779890991E-12</v>
      </c>
      <c r="Y16" s="2">
        <f>Y5/'Output-Calculation-sheet'!Y4*'Output-Calculation-sheet'!Y22</f>
        <v>0</v>
      </c>
      <c r="AA16" s="2">
        <f t="shared" ref="AA16:AA23" si="0">SUM(B16:Y16)/1000</f>
        <v>0.17975465711757596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1365.8555704711405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929.66927532141654</v>
      </c>
      <c r="N17" s="2">
        <f>N6/'Output-Calculation-sheet'!N5*'Output-Calculation-sheet'!N23</f>
        <v>381.26597866232555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85.6951003305266</v>
      </c>
      <c r="Y17" s="2">
        <f>Y6/'Output-Calculation-sheet'!Y5*'Output-Calculation-sheet'!Y23</f>
        <v>0</v>
      </c>
      <c r="AA17" s="2">
        <f t="shared" si="0"/>
        <v>2.7624859247854094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1764.8877932355176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1199.5524955666799</v>
      </c>
      <c r="N18" s="2">
        <f>N7/'Output-Calculation-sheet'!N6*'Output-Calculation-sheet'!N24</f>
        <v>664.02121659247052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117.96719317359887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112.61595833370302</v>
      </c>
      <c r="Y18" s="2">
        <f>Y7/'Output-Calculation-sheet'!Y6*'Output-Calculation-sheet'!Y24</f>
        <v>0</v>
      </c>
      <c r="AA18" s="2">
        <f t="shared" si="0"/>
        <v>3.8590446569019701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2050.9083638779134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1404.5582086731533</v>
      </c>
      <c r="N19" s="2">
        <f>N8/'Output-Calculation-sheet'!N7*'Output-Calculation-sheet'!N25</f>
        <v>944.76937650818945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250.59578080823789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133.29789937377933</v>
      </c>
      <c r="Y19" s="2">
        <f>Y8/'Output-Calculation-sheet'!Y7*'Output-Calculation-sheet'!Y25</f>
        <v>0</v>
      </c>
      <c r="AA19" s="2">
        <f t="shared" si="0"/>
        <v>4.7841296292412734</v>
      </c>
    </row>
    <row r="20" spans="1:27" x14ac:dyDescent="0.25">
      <c r="A20" s="2">
        <v>2032</v>
      </c>
      <c r="B20" s="2">
        <f>B9/'Output-Calculation-sheet'!B8*'Output-Calculation-sheet'!B26</f>
        <v>2.0521080919272237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2169.2266160663212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1483.4689586291242</v>
      </c>
      <c r="N20" s="2">
        <f>N9/'Output-Calculation-sheet'!N8*'Output-Calculation-sheet'!N26</f>
        <v>1080.3891185563916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371.70925344682377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142.79091173972793</v>
      </c>
      <c r="Y20" s="2">
        <f>Y9/'Output-Calculation-sheet'!Y8*'Output-Calculation-sheet'!Y26</f>
        <v>0</v>
      </c>
      <c r="AA20" s="2">
        <f t="shared" si="0"/>
        <v>5.2496369665303151</v>
      </c>
    </row>
    <row r="21" spans="1:27" x14ac:dyDescent="0.25">
      <c r="A21" s="2">
        <v>2033</v>
      </c>
      <c r="B21" s="2">
        <f>B10/'Output-Calculation-sheet'!B9*'Output-Calculation-sheet'!B27</f>
        <v>3051.7320330920838</v>
      </c>
      <c r="C21" s="2">
        <f>C10/'Output-Calculation-sheet'!C9*'Output-Calculation-sheet'!C27</f>
        <v>4762.0182572482918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2136.5360803296639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1462.5685623612783</v>
      </c>
      <c r="N21" s="2">
        <f>N10/'Output-Calculation-sheet'!N9*'Output-Calculation-sheet'!N27</f>
        <v>1142.7471783516469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435.94661669309346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140.78030580138991</v>
      </c>
      <c r="Y21" s="2">
        <f>Y10/'Output-Calculation-sheet'!Y9*'Output-Calculation-sheet'!Y27</f>
        <v>0</v>
      </c>
      <c r="AA21" s="2">
        <f t="shared" si="0"/>
        <v>13.132329033877449</v>
      </c>
    </row>
    <row r="22" spans="1:27" x14ac:dyDescent="0.25">
      <c r="A22" s="2">
        <v>2034</v>
      </c>
      <c r="B22" s="2">
        <f>B11/'Output-Calculation-sheet'!B10*'Output-Calculation-sheet'!B28</f>
        <v>4642.6675050432395</v>
      </c>
      <c r="C22" s="2">
        <f>C11/'Output-Calculation-sheet'!C10*'Output-Calculation-sheet'!C28</f>
        <v>4497.9681354978966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1965.1758155649331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1345.3764213680859</v>
      </c>
      <c r="N22" s="2">
        <f>N11/'Output-Calculation-sheet'!N10*'Output-Calculation-sheet'!N28</f>
        <v>1078.8324666734716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440.09001779791771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130.34969745262296</v>
      </c>
      <c r="Y22" s="2">
        <f>Y11/'Output-Calculation-sheet'!Y10*'Output-Calculation-sheet'!Y28</f>
        <v>0</v>
      </c>
      <c r="AA22" s="2">
        <f t="shared" si="0"/>
        <v>14.100460059398166</v>
      </c>
    </row>
    <row r="23" spans="1:27" x14ac:dyDescent="0.25">
      <c r="A23" s="2">
        <v>2035</v>
      </c>
      <c r="B23" s="2">
        <f>B12/'Output-Calculation-sheet'!B11*'Output-Calculation-sheet'!B29</f>
        <v>4764.8203807504997</v>
      </c>
      <c r="C23" s="2">
        <f>C12/'Output-Calculation-sheet'!C11*'Output-Calculation-sheet'!C29</f>
        <v>3904.4115181144248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1665.7941702880785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1138.6364723647275</v>
      </c>
      <c r="N23" s="2">
        <f>N12/'Output-Calculation-sheet'!N11*'Output-Calculation-sheet'!N29</f>
        <v>930.73664849458692</v>
      </c>
      <c r="O23" s="2">
        <f>O12/'Output-Calculation-sheet'!O11*'Output-Calculation-sheet'!O29</f>
        <v>663.84541251222151</v>
      </c>
      <c r="P23" s="2">
        <f>P12/'Output-Calculation-sheet'!P11*'Output-Calculation-sheet'!P29</f>
        <v>0</v>
      </c>
      <c r="Q23" s="2">
        <f>Q12/'Output-Calculation-sheet'!Q11*'Output-Calculation-sheet'!Q29</f>
        <v>12.703467384899762</v>
      </c>
      <c r="R23" s="2">
        <f>R12/'Output-Calculation-sheet'!R11*'Output-Calculation-sheet'!R29</f>
        <v>0</v>
      </c>
      <c r="S23" s="2">
        <f>S12/'Output-Calculation-sheet'!S11*'Output-Calculation-sheet'!S29</f>
        <v>408.7393487499869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111.61697370689149</v>
      </c>
      <c r="Y23" s="2">
        <f>Y12/'Output-Calculation-sheet'!Y11*'Output-Calculation-sheet'!Y29</f>
        <v>0</v>
      </c>
      <c r="AA23" s="2">
        <f t="shared" si="0"/>
        <v>13.601304392366316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8368.6388549606927</v>
      </c>
      <c r="C27" s="2">
        <f>C5/'Output-Calculation-sheet'!C4*'Output-Calculation-sheet'!C13</f>
        <v>0</v>
      </c>
      <c r="D27" s="2">
        <f>D5/'Output-Calculation-sheet'!D4*'Output-Calculation-sheet'!D13</f>
        <v>2702.6278056105175</v>
      </c>
      <c r="E27" s="2">
        <f>E5/'Output-Calculation-sheet'!E4*'Output-Calculation-sheet'!E13</f>
        <v>2757.101662138964</v>
      </c>
      <c r="F27" s="2">
        <f>F5/'Output-Calculation-sheet'!F4*'Output-Calculation-sheet'!F13</f>
        <v>1566.2038361421328</v>
      </c>
      <c r="G27" s="2">
        <f>G5/'Output-Calculation-sheet'!G4*'Output-Calculation-sheet'!G13</f>
        <v>949.81826434336756</v>
      </c>
      <c r="H27" s="2">
        <f>H5/'Output-Calculation-sheet'!H4*'Output-Calculation-sheet'!H13</f>
        <v>0</v>
      </c>
      <c r="I27" s="2">
        <f>I5/'Output-Calculation-sheet'!I4*'Output-Calculation-sheet'!I13</f>
        <v>949.1161808096399</v>
      </c>
      <c r="J27" s="2">
        <f>J5/'Output-Calculation-sheet'!J4*'Output-Calculation-sheet'!J13</f>
        <v>872.55288810108993</v>
      </c>
      <c r="K27" s="2">
        <f>K5/'Output-Calculation-sheet'!K4*'Output-Calculation-sheet'!K13</f>
        <v>1063.6604894629943</v>
      </c>
      <c r="L27" s="2">
        <f>L5/'Output-Calculation-sheet'!L4*'Output-Calculation-sheet'!L13</f>
        <v>881.96219270735446</v>
      </c>
      <c r="M27" s="2">
        <f>M5/'Output-Calculation-sheet'!M4*'Output-Calculation-sheet'!M13</f>
        <v>0</v>
      </c>
      <c r="N27" s="2">
        <f>N5/'Output-Calculation-sheet'!N4*'Output-Calculation-sheet'!N13</f>
        <v>572.90567468054985</v>
      </c>
      <c r="O27" s="2">
        <f>O5/'Output-Calculation-sheet'!O4*'Output-Calculation-sheet'!O13</f>
        <v>0</v>
      </c>
      <c r="P27" s="2">
        <f>P5/'Output-Calculation-sheet'!P4*'Output-Calculation-sheet'!P13</f>
        <v>689.25991538622191</v>
      </c>
      <c r="Q27" s="2">
        <f>Q5/'Output-Calculation-sheet'!Q4*'Output-Calculation-sheet'!Q13</f>
        <v>743.58934648937327</v>
      </c>
      <c r="R27" s="2">
        <f>R5/'Output-Calculation-sheet'!R4*'Output-Calculation-sheet'!R13</f>
        <v>671.07588355119867</v>
      </c>
      <c r="S27" s="2">
        <f>S5/'Output-Calculation-sheet'!S4*'Output-Calculation-sheet'!S13</f>
        <v>402.85384544380736</v>
      </c>
      <c r="T27" s="2">
        <f>T5/'Output-Calculation-sheet'!T4*'Output-Calculation-sheet'!T13</f>
        <v>246.68521175349937</v>
      </c>
      <c r="U27" s="2">
        <f>U5/'Output-Calculation-sheet'!U4*'Output-Calculation-sheet'!U13</f>
        <v>188.38017298332596</v>
      </c>
      <c r="V27" s="2">
        <f>V5/'Output-Calculation-sheet'!V4*'Output-Calculation-sheet'!V13</f>
        <v>180.46128445485468</v>
      </c>
      <c r="W27" s="2">
        <f>W5/'Output-Calculation-sheet'!W4*'Output-Calculation-sheet'!W13</f>
        <v>126.29843563697831</v>
      </c>
      <c r="X27" s="2">
        <f>X5/'Output-Calculation-sheet'!X4*'Output-Calculation-sheet'!X13</f>
        <v>0</v>
      </c>
      <c r="Y27" s="2">
        <f>Y5/'Output-Calculation-sheet'!Y4*'Output-Calculation-sheet'!Y13</f>
        <v>82.903041037375289</v>
      </c>
      <c r="AA27" s="2">
        <f t="shared" ref="AA27:AA34" si="1">SUM(B27:Y27)/1000</f>
        <v>24.016094985693933</v>
      </c>
    </row>
    <row r="28" spans="1:27" x14ac:dyDescent="0.25">
      <c r="A28" s="2">
        <v>2029</v>
      </c>
      <c r="B28" s="2">
        <f>B6/'Output-Calculation-sheet'!B5*'Output-Calculation-sheet'!B14</f>
        <v>11382.576752299157</v>
      </c>
      <c r="C28" s="2">
        <f>C6/'Output-Calculation-sheet'!C5*'Output-Calculation-sheet'!C14</f>
        <v>0</v>
      </c>
      <c r="D28" s="2">
        <f>D6/'Output-Calculation-sheet'!D5*'Output-Calculation-sheet'!D14</f>
        <v>3620.8712728420778</v>
      </c>
      <c r="E28" s="2">
        <f>E6/'Output-Calculation-sheet'!E5*'Output-Calculation-sheet'!E14</f>
        <v>3718.2455007363183</v>
      </c>
      <c r="F28" s="2">
        <f>F6/'Output-Calculation-sheet'!F5*'Output-Calculation-sheet'!F14</f>
        <v>2096.7103251445646</v>
      </c>
      <c r="G28" s="2">
        <f>G6/'Output-Calculation-sheet'!G5*'Output-Calculation-sheet'!G14</f>
        <v>1270.3242082281017</v>
      </c>
      <c r="H28" s="2">
        <f>H6/'Output-Calculation-sheet'!H5*'Output-Calculation-sheet'!H14</f>
        <v>0</v>
      </c>
      <c r="I28" s="2">
        <f>I6/'Output-Calculation-sheet'!I5*'Output-Calculation-sheet'!I14</f>
        <v>1275.9031893260374</v>
      </c>
      <c r="J28" s="2">
        <f>J6/'Output-Calculation-sheet'!J5*'Output-Calculation-sheet'!J14</f>
        <v>1169.2349527227605</v>
      </c>
      <c r="K28" s="2">
        <f>K6/'Output-Calculation-sheet'!K5*'Output-Calculation-sheet'!K14</f>
        <v>1434.0544668317659</v>
      </c>
      <c r="L28" s="2">
        <f>L6/'Output-Calculation-sheet'!L5*'Output-Calculation-sheet'!L14</f>
        <v>1186.0173652882559</v>
      </c>
      <c r="M28" s="2">
        <f>M6/'Output-Calculation-sheet'!M5*'Output-Calculation-sheet'!M14</f>
        <v>0</v>
      </c>
      <c r="N28" s="2">
        <f>N6/'Output-Calculation-sheet'!N5*'Output-Calculation-sheet'!N14</f>
        <v>751.8905728494766</v>
      </c>
      <c r="O28" s="2">
        <f>O6/'Output-Calculation-sheet'!O5*'Output-Calculation-sheet'!O14</f>
        <v>0</v>
      </c>
      <c r="P28" s="2">
        <f>P6/'Output-Calculation-sheet'!P5*'Output-Calculation-sheet'!P14</f>
        <v>939.03394474886909</v>
      </c>
      <c r="Q28" s="2">
        <f>Q6/'Output-Calculation-sheet'!Q5*'Output-Calculation-sheet'!Q14</f>
        <v>1019.3374431875496</v>
      </c>
      <c r="R28" s="2">
        <f>R6/'Output-Calculation-sheet'!R5*'Output-Calculation-sheet'!R14</f>
        <v>906.34180666096779</v>
      </c>
      <c r="S28" s="2">
        <f>S6/'Output-Calculation-sheet'!S5*'Output-Calculation-sheet'!S14</f>
        <v>555.55812234133214</v>
      </c>
      <c r="T28" s="2">
        <f>T6/'Output-Calculation-sheet'!T5*'Output-Calculation-sheet'!T14</f>
        <v>331.37937255296811</v>
      </c>
      <c r="U28" s="2">
        <f>U6/'Output-Calculation-sheet'!U5*'Output-Calculation-sheet'!U14</f>
        <v>254.21469811921583</v>
      </c>
      <c r="V28" s="2">
        <f>V6/'Output-Calculation-sheet'!V5*'Output-Calculation-sheet'!V14</f>
        <v>243.151615863193</v>
      </c>
      <c r="W28" s="2">
        <f>W6/'Output-Calculation-sheet'!W5*'Output-Calculation-sheet'!W14</f>
        <v>169.6771422124115</v>
      </c>
      <c r="X28" s="2">
        <f>X6/'Output-Calculation-sheet'!X5*'Output-Calculation-sheet'!X14</f>
        <v>0</v>
      </c>
      <c r="Y28" s="2">
        <f>Y6/'Output-Calculation-sheet'!Y5*'Output-Calculation-sheet'!Y14</f>
        <v>111.57048803484622</v>
      </c>
      <c r="AA28" s="2">
        <f t="shared" si="1"/>
        <v>32.436093239989866</v>
      </c>
    </row>
    <row r="29" spans="1:27" x14ac:dyDescent="0.25">
      <c r="A29" s="2">
        <v>2030</v>
      </c>
      <c r="B29" s="2">
        <f>B7/'Output-Calculation-sheet'!B6*'Output-Calculation-sheet'!B15</f>
        <v>14196.496637802778</v>
      </c>
      <c r="C29" s="2">
        <f>C7/'Output-Calculation-sheet'!C6*'Output-Calculation-sheet'!C15</f>
        <v>0</v>
      </c>
      <c r="D29" s="2">
        <f>D7/'Output-Calculation-sheet'!D6*'Output-Calculation-sheet'!D15</f>
        <v>4462.6113684516886</v>
      </c>
      <c r="E29" s="2">
        <f>E7/'Output-Calculation-sheet'!E6*'Output-Calculation-sheet'!E15</f>
        <v>4600.3729237478128</v>
      </c>
      <c r="F29" s="2">
        <f>F7/'Output-Calculation-sheet'!F6*'Output-Calculation-sheet'!F15</f>
        <v>2580.4201269724185</v>
      </c>
      <c r="G29" s="2">
        <f>G7/'Output-Calculation-sheet'!G6*'Output-Calculation-sheet'!G15</f>
        <v>1560.7874323025187</v>
      </c>
      <c r="H29" s="2">
        <f>H7/'Output-Calculation-sheet'!H6*'Output-Calculation-sheet'!H15</f>
        <v>0</v>
      </c>
      <c r="I29" s="2">
        <f>I7/'Output-Calculation-sheet'!I6*'Output-Calculation-sheet'!I15</f>
        <v>1572.6542035237796</v>
      </c>
      <c r="J29" s="2">
        <f>J7/'Output-Calculation-sheet'!J6*'Output-Calculation-sheet'!J15</f>
        <v>1438.5857973863817</v>
      </c>
      <c r="K29" s="2">
        <f>K7/'Output-Calculation-sheet'!K6*'Output-Calculation-sheet'!K15</f>
        <v>1771.2890897175346</v>
      </c>
      <c r="L29" s="2">
        <f>L7/'Output-Calculation-sheet'!L6*'Output-Calculation-sheet'!L15</f>
        <v>1468.5249945871315</v>
      </c>
      <c r="M29" s="2">
        <f>M7/'Output-Calculation-sheet'!M6*'Output-Calculation-sheet'!M15</f>
        <v>0</v>
      </c>
      <c r="N29" s="2">
        <f>N7/'Output-Calculation-sheet'!N6*'Output-Calculation-sheet'!N15</f>
        <v>832.74949466042415</v>
      </c>
      <c r="O29" s="2">
        <f>O7/'Output-Calculation-sheet'!O6*'Output-Calculation-sheet'!O15</f>
        <v>0</v>
      </c>
      <c r="P29" s="2">
        <f>P7/'Output-Calculation-sheet'!P6*'Output-Calculation-sheet'!P15</f>
        <v>1167.3868582733101</v>
      </c>
      <c r="Q29" s="2">
        <f>Q7/'Output-Calculation-sheet'!Q6*'Output-Calculation-sheet'!Q15</f>
        <v>1275.2033140261374</v>
      </c>
      <c r="R29" s="2">
        <f>R7/'Output-Calculation-sheet'!R6*'Output-Calculation-sheet'!R15</f>
        <v>1122.8565649899601</v>
      </c>
      <c r="S29" s="2">
        <f>S7/'Output-Calculation-sheet'!S6*'Output-Calculation-sheet'!S15</f>
        <v>642.01588171525168</v>
      </c>
      <c r="T29" s="2">
        <f>T7/'Output-Calculation-sheet'!T6*'Output-Calculation-sheet'!T15</f>
        <v>409.39335219594443</v>
      </c>
      <c r="U29" s="2">
        <f>U7/'Output-Calculation-sheet'!U6*'Output-Calculation-sheet'!U15</f>
        <v>314.56614287716297</v>
      </c>
      <c r="V29" s="2">
        <f>V7/'Output-Calculation-sheet'!V6*'Output-Calculation-sheet'!V15</f>
        <v>301.09525510247096</v>
      </c>
      <c r="W29" s="2">
        <f>W7/'Output-Calculation-sheet'!W6*'Output-Calculation-sheet'!W15</f>
        <v>209.6671481682437</v>
      </c>
      <c r="X29" s="2">
        <f>X7/'Output-Calculation-sheet'!X6*'Output-Calculation-sheet'!X15</f>
        <v>0</v>
      </c>
      <c r="Y29" s="2">
        <f>Y7/'Output-Calculation-sheet'!Y6*'Output-Calculation-sheet'!Y15</f>
        <v>138.10488775914817</v>
      </c>
      <c r="AA29" s="2">
        <f t="shared" si="1"/>
        <v>40.064781474260101</v>
      </c>
    </row>
    <row r="30" spans="1:27" x14ac:dyDescent="0.25">
      <c r="A30" s="2">
        <v>2031</v>
      </c>
      <c r="B30" s="2">
        <f>B8/'Output-Calculation-sheet'!B7*'Output-Calculation-sheet'!B16</f>
        <v>16119.901993319212</v>
      </c>
      <c r="C30" s="2">
        <f>C8/'Output-Calculation-sheet'!C7*'Output-Calculation-sheet'!C16</f>
        <v>0</v>
      </c>
      <c r="D30" s="2">
        <f>D8/'Output-Calculation-sheet'!D7*'Output-Calculation-sheet'!D16</f>
        <v>5032.0535364565585</v>
      </c>
      <c r="E30" s="2">
        <f>E8/'Output-Calculation-sheet'!E7*'Output-Calculation-sheet'!E16</f>
        <v>5204.8485948299931</v>
      </c>
      <c r="F30" s="2">
        <f>F8/'Output-Calculation-sheet'!F7*'Output-Calculation-sheet'!F16</f>
        <v>2915.9529215971106</v>
      </c>
      <c r="G30" s="2">
        <f>G8/'Output-Calculation-sheet'!G7*'Output-Calculation-sheet'!G16</f>
        <v>1758.6384678406766</v>
      </c>
      <c r="H30" s="2">
        <f>H8/'Output-Calculation-sheet'!H7*'Output-Calculation-sheet'!H16</f>
        <v>0</v>
      </c>
      <c r="I30" s="2">
        <f>I8/'Output-Calculation-sheet'!I7*'Output-Calculation-sheet'!I16</f>
        <v>1779.9373505502542</v>
      </c>
      <c r="J30" s="2">
        <f>J8/'Output-Calculation-sheet'!J7*'Output-Calculation-sheet'!J16</f>
        <v>1624.647690915941</v>
      </c>
      <c r="K30" s="2">
        <f>K8/'Output-Calculation-sheet'!K7*'Output-Calculation-sheet'!K16</f>
        <v>2009.2476193375487</v>
      </c>
      <c r="L30" s="2">
        <f>L8/'Output-Calculation-sheet'!L7*'Output-Calculation-sheet'!L16</f>
        <v>1658.1541213093562</v>
      </c>
      <c r="M30" s="2">
        <f>M8/'Output-Calculation-sheet'!M7*'Output-Calculation-sheet'!M16</f>
        <v>0</v>
      </c>
      <c r="N30" s="2">
        <f>N8/'Output-Calculation-sheet'!N7*'Output-Calculation-sheet'!N16</f>
        <v>813.58291246323472</v>
      </c>
      <c r="O30" s="2">
        <f>O8/'Output-Calculation-sheet'!O7*'Output-Calculation-sheet'!O16</f>
        <v>0</v>
      </c>
      <c r="P30" s="2">
        <f>P8/'Output-Calculation-sheet'!P7*'Output-Calculation-sheet'!P16</f>
        <v>1321.626941920548</v>
      </c>
      <c r="Q30" s="2">
        <f>Q8/'Output-Calculation-sheet'!Q7*'Output-Calculation-sheet'!Q16</f>
        <v>1449.6014929121241</v>
      </c>
      <c r="R30" s="2">
        <f>R8/'Output-Calculation-sheet'!R7*'Output-Calculation-sheet'!R16</f>
        <v>1270.039595765297</v>
      </c>
      <c r="S30" s="2">
        <f>S8/'Output-Calculation-sheet'!S7*'Output-Calculation-sheet'!S16</f>
        <v>678.24842490877643</v>
      </c>
      <c r="T30" s="2">
        <f>T8/'Output-Calculation-sheet'!T7*'Output-Calculation-sheet'!T16</f>
        <v>463.33649934393463</v>
      </c>
      <c r="U30" s="2">
        <f>U8/'Output-Calculation-sheet'!U7*'Output-Calculation-sheet'!U16</f>
        <v>356.10709236742105</v>
      </c>
      <c r="V30" s="2">
        <f>V8/'Output-Calculation-sheet'!V7*'Output-Calculation-sheet'!V16</f>
        <v>341.00335925654542</v>
      </c>
      <c r="W30" s="2">
        <f>W8/'Output-Calculation-sheet'!W7*'Output-Calculation-sheet'!W16</f>
        <v>236.73670596865108</v>
      </c>
      <c r="X30" s="2">
        <f>X8/'Output-Calculation-sheet'!X7*'Output-Calculation-sheet'!X16</f>
        <v>0</v>
      </c>
      <c r="Y30" s="2">
        <f>Y8/'Output-Calculation-sheet'!Y7*'Output-Calculation-sheet'!Y16</f>
        <v>156.50817704812869</v>
      </c>
      <c r="AA30" s="2">
        <f t="shared" si="1"/>
        <v>45.190173498111307</v>
      </c>
    </row>
    <row r="31" spans="1:27" x14ac:dyDescent="0.25">
      <c r="A31" s="2">
        <v>2032</v>
      </c>
      <c r="B31" s="2">
        <f>B9/'Output-Calculation-sheet'!B8*'Output-Calculation-sheet'!B17</f>
        <v>16709.196860876877</v>
      </c>
      <c r="C31" s="2">
        <f>C9/'Output-Calculation-sheet'!C8*'Output-Calculation-sheet'!C17</f>
        <v>0</v>
      </c>
      <c r="D31" s="2">
        <f>D9/'Output-Calculation-sheet'!D8*'Output-Calculation-sheet'!D17</f>
        <v>5180.2026405975375</v>
      </c>
      <c r="E31" s="2">
        <f>E9/'Output-Calculation-sheet'!E8*'Output-Calculation-sheet'!E17</f>
        <v>5364.6905796187921</v>
      </c>
      <c r="F31" s="2">
        <f>F9/'Output-Calculation-sheet'!F8*'Output-Calculation-sheet'!F17</f>
        <v>2997.0358681422622</v>
      </c>
      <c r="G31" s="2">
        <f>G9/'Output-Calculation-sheet'!G8*'Output-Calculation-sheet'!G17</f>
        <v>1806.7327522868234</v>
      </c>
      <c r="H31" s="2">
        <f>H9/'Output-Calculation-sheet'!H8*'Output-Calculation-sheet'!H17</f>
        <v>0</v>
      </c>
      <c r="I31" s="2">
        <f>I9/'Output-Calculation-sheet'!I8*'Output-Calculation-sheet'!I17</f>
        <v>1831.8044643220824</v>
      </c>
      <c r="J31" s="2">
        <f>J9/'Output-Calculation-sheet'!J8*'Output-Calculation-sheet'!J17</f>
        <v>1670.727412792583</v>
      </c>
      <c r="K31" s="2">
        <f>K9/'Output-Calculation-sheet'!K8*'Output-Calculation-sheet'!K17</f>
        <v>2069.496556542153</v>
      </c>
      <c r="L31" s="2">
        <f>L9/'Output-Calculation-sheet'!L8*'Output-Calculation-sheet'!L17</f>
        <v>1708.3381802595607</v>
      </c>
      <c r="M31" s="2">
        <f>M9/'Output-Calculation-sheet'!M8*'Output-Calculation-sheet'!M17</f>
        <v>0</v>
      </c>
      <c r="N31" s="2">
        <f>N9/'Output-Calculation-sheet'!N8*'Output-Calculation-sheet'!N17</f>
        <v>755.66961688453148</v>
      </c>
      <c r="O31" s="2">
        <f>O9/'Output-Calculation-sheet'!O8*'Output-Calculation-sheet'!O17</f>
        <v>0</v>
      </c>
      <c r="P31" s="2">
        <f>P9/'Output-Calculation-sheet'!P8*'Output-Calculation-sheet'!P17</f>
        <v>1374.3058789236816</v>
      </c>
      <c r="Q31" s="2">
        <f>Q9/'Output-Calculation-sheet'!Q8*'Output-Calculation-sheet'!Q17</f>
        <v>1506.109458877771</v>
      </c>
      <c r="R31" s="2">
        <f>R9/'Output-Calculation-sheet'!R8*'Output-Calculation-sheet'!R17</f>
        <v>1307.6906156561936</v>
      </c>
      <c r="S31" s="2">
        <f>S9/'Output-Calculation-sheet'!S8*'Output-Calculation-sheet'!S17</f>
        <v>652.47241716663598</v>
      </c>
      <c r="T31" s="2">
        <f>T9/'Output-Calculation-sheet'!T8*'Output-Calculation-sheet'!T17</f>
        <v>476.53509237549514</v>
      </c>
      <c r="U31" s="2">
        <f>U9/'Output-Calculation-sheet'!U8*'Output-Calculation-sheet'!U17</f>
        <v>367.52704583385031</v>
      </c>
      <c r="V31" s="2">
        <f>V9/'Output-Calculation-sheet'!V8*'Output-Calculation-sheet'!V17</f>
        <v>352.19957063258693</v>
      </c>
      <c r="W31" s="2">
        <f>W9/'Output-Calculation-sheet'!W8*'Output-Calculation-sheet'!W17</f>
        <v>243.88289506964117</v>
      </c>
      <c r="X31" s="2">
        <f>X9/'Output-Calculation-sheet'!X8*'Output-Calculation-sheet'!X17</f>
        <v>0</v>
      </c>
      <c r="Y31" s="2">
        <f>Y9/'Output-Calculation-sheet'!Y8*'Output-Calculation-sheet'!Y17</f>
        <v>161.23076756134708</v>
      </c>
      <c r="AA31" s="2">
        <f t="shared" si="1"/>
        <v>46.535848674420407</v>
      </c>
    </row>
    <row r="32" spans="1:27" x14ac:dyDescent="0.25">
      <c r="A32" s="2">
        <v>2033</v>
      </c>
      <c r="B32" s="2">
        <f>B10/'Output-Calculation-sheet'!B9*'Output-Calculation-sheet'!B18</f>
        <v>14892.673267815115</v>
      </c>
      <c r="C32" s="2">
        <f>C10/'Output-Calculation-sheet'!C9*'Output-Calculation-sheet'!C18</f>
        <v>0</v>
      </c>
      <c r="D32" s="2">
        <f>D10/'Output-Calculation-sheet'!D9*'Output-Calculation-sheet'!D18</f>
        <v>4971.8331065221546</v>
      </c>
      <c r="E32" s="2">
        <f>E10/'Output-Calculation-sheet'!E9*'Output-Calculation-sheet'!E18</f>
        <v>5148.4478615594226</v>
      </c>
      <c r="F32" s="2">
        <f>F10/'Output-Calculation-sheet'!F9*'Output-Calculation-sheet'!F18</f>
        <v>2875.7442782847925</v>
      </c>
      <c r="G32" s="2">
        <f>G10/'Output-Calculation-sheet'!G9*'Output-Calculation-sheet'!G18</f>
        <v>1734.4057543351541</v>
      </c>
      <c r="H32" s="2">
        <f>H10/'Output-Calculation-sheet'!H9*'Output-Calculation-sheet'!H18</f>
        <v>0</v>
      </c>
      <c r="I32" s="2">
        <f>I10/'Output-Calculation-sheet'!I9*'Output-Calculation-sheet'!I18</f>
        <v>1758.268894056077</v>
      </c>
      <c r="J32" s="2">
        <f>J10/'Output-Calculation-sheet'!J9*'Output-Calculation-sheet'!J18</f>
        <v>1603.6377770132215</v>
      </c>
      <c r="K32" s="2">
        <f>K10/'Output-Calculation-sheet'!K9*'Output-Calculation-sheet'!K18</f>
        <v>1990.9408081067597</v>
      </c>
      <c r="L32" s="2">
        <f>L10/'Output-Calculation-sheet'!L9*'Output-Calculation-sheet'!L18</f>
        <v>1640.7902960953304</v>
      </c>
      <c r="M32" s="2">
        <f>M10/'Output-Calculation-sheet'!M9*'Output-Calculation-sheet'!M18</f>
        <v>0</v>
      </c>
      <c r="N32" s="2">
        <f>N10/'Output-Calculation-sheet'!N9*'Output-Calculation-sheet'!N18</f>
        <v>649.44702289484269</v>
      </c>
      <c r="O32" s="2">
        <f>O10/'Output-Calculation-sheet'!O9*'Output-Calculation-sheet'!O18</f>
        <v>0</v>
      </c>
      <c r="P32" s="2">
        <f>P10/'Output-Calculation-sheet'!P9*'Output-Calculation-sheet'!P18</f>
        <v>1328.7929632506866</v>
      </c>
      <c r="Q32" s="2">
        <f>Q10/'Output-Calculation-sheet'!Q9*'Output-Calculation-sheet'!Q18</f>
        <v>1457.3330058837319</v>
      </c>
      <c r="R32" s="2">
        <f>R10/'Output-Calculation-sheet'!R9*'Output-Calculation-sheet'!R18</f>
        <v>1258.7752491543349</v>
      </c>
      <c r="S32" s="2">
        <f>S10/'Output-Calculation-sheet'!S9*'Output-Calculation-sheet'!S18</f>
        <v>585.91806599532913</v>
      </c>
      <c r="T32" s="2">
        <f>T10/'Output-Calculation-sheet'!T9*'Output-Calculation-sheet'!T18</f>
        <v>457.87563247026702</v>
      </c>
      <c r="U32" s="2">
        <f>U10/'Output-Calculation-sheet'!U9*'Output-Calculation-sheet'!U18</f>
        <v>353.12382152734102</v>
      </c>
      <c r="V32" s="2">
        <f>V10/'Output-Calculation-sheet'!V9*'Output-Calculation-sheet'!V18</f>
        <v>338.76445460843536</v>
      </c>
      <c r="W32" s="2">
        <f>W10/'Output-Calculation-sheet'!W9*'Output-Calculation-sheet'!W18</f>
        <v>233.75549157429583</v>
      </c>
      <c r="X32" s="2">
        <f>X10/'Output-Calculation-sheet'!X9*'Output-Calculation-sheet'!X18</f>
        <v>0</v>
      </c>
      <c r="Y32" s="2">
        <f>Y10/'Output-Calculation-sheet'!Y9*'Output-Calculation-sheet'!Y18</f>
        <v>154.99209507510361</v>
      </c>
      <c r="AA32" s="2">
        <f t="shared" si="1"/>
        <v>43.435519846222391</v>
      </c>
    </row>
    <row r="33" spans="1:27" x14ac:dyDescent="0.25">
      <c r="A33" s="2">
        <v>2034</v>
      </c>
      <c r="B33" s="2">
        <f>B11/'Output-Calculation-sheet'!B10*'Output-Calculation-sheet'!B19</f>
        <v>12562.325466328137</v>
      </c>
      <c r="C33" s="2">
        <f>C11/'Output-Calculation-sheet'!C10*'Output-Calculation-sheet'!C19</f>
        <v>0</v>
      </c>
      <c r="D33" s="2">
        <f>D11/'Output-Calculation-sheet'!D10*'Output-Calculation-sheet'!D19</f>
        <v>4441.7843448798376</v>
      </c>
      <c r="E33" s="2">
        <f>E11/'Output-Calculation-sheet'!E10*'Output-Calculation-sheet'!E19</f>
        <v>4610.4130123874711</v>
      </c>
      <c r="F33" s="2">
        <f>F11/'Output-Calculation-sheet'!F10*'Output-Calculation-sheet'!F19</f>
        <v>2570.474499238182</v>
      </c>
      <c r="G33" s="2">
        <f>G11/'Output-Calculation-sheet'!G10*'Output-Calculation-sheet'!G19</f>
        <v>1547.8634133195367</v>
      </c>
      <c r="H33" s="2">
        <f>H11/'Output-Calculation-sheet'!H10*'Output-Calculation-sheet'!H19</f>
        <v>0</v>
      </c>
      <c r="I33" s="2">
        <f>I11/'Output-Calculation-sheet'!I10*'Output-Calculation-sheet'!I19</f>
        <v>1576.5004898383345</v>
      </c>
      <c r="J33" s="2">
        <f>J11/'Output-Calculation-sheet'!J10*'Output-Calculation-sheet'!J19</f>
        <v>1432.7710315058625</v>
      </c>
      <c r="K33" s="2">
        <f>K11/'Output-Calculation-sheet'!K10*'Output-Calculation-sheet'!K19</f>
        <v>1784.611367487219</v>
      </c>
      <c r="L33" s="2">
        <f>L11/'Output-Calculation-sheet'!L10*'Output-Calculation-sheet'!L19</f>
        <v>1467.8190105011511</v>
      </c>
      <c r="M33" s="2">
        <f>M11/'Output-Calculation-sheet'!M10*'Output-Calculation-sheet'!M19</f>
        <v>0</v>
      </c>
      <c r="N33" s="2">
        <f>N11/'Output-Calculation-sheet'!N10*'Output-Calculation-sheet'!N19</f>
        <v>543.94558691434975</v>
      </c>
      <c r="O33" s="2">
        <f>O11/'Output-Calculation-sheet'!O10*'Output-Calculation-sheet'!O19</f>
        <v>0</v>
      </c>
      <c r="P33" s="2">
        <f>P11/'Output-Calculation-sheet'!P10*'Output-Calculation-sheet'!P19</f>
        <v>1196.4076340930437</v>
      </c>
      <c r="Q33" s="2">
        <f>Q11/'Output-Calculation-sheet'!Q10*'Output-Calculation-sheet'!Q19</f>
        <v>1314.3764046946962</v>
      </c>
      <c r="R33" s="2">
        <f>R11/'Output-Calculation-sheet'!R10*'Output-Calculation-sheet'!R19</f>
        <v>1127.9493449108304</v>
      </c>
      <c r="S33" s="2">
        <f>S11/'Output-Calculation-sheet'!S10*'Output-Calculation-sheet'!S19</f>
        <v>520.2272602499944</v>
      </c>
      <c r="T33" s="2">
        <f>T11/'Output-Calculation-sheet'!T10*'Output-Calculation-sheet'!T19</f>
        <v>409.90594891313162</v>
      </c>
      <c r="U33" s="2">
        <f>U11/'Output-Calculation-sheet'!U10*'Output-Calculation-sheet'!U19</f>
        <v>317.19730609022713</v>
      </c>
      <c r="V33" s="2">
        <f>V11/'Output-Calculation-sheet'!V10*'Output-Calculation-sheet'!V19</f>
        <v>304.08626053341879</v>
      </c>
      <c r="W33" s="2">
        <f>W11/'Output-Calculation-sheet'!W10*'Output-Calculation-sheet'!W19</f>
        <v>208.91910963474569</v>
      </c>
      <c r="X33" s="2">
        <f>X11/'Output-Calculation-sheet'!X10*'Output-Calculation-sheet'!X19</f>
        <v>0</v>
      </c>
      <c r="Y33" s="2">
        <f>Y11/'Output-Calculation-sheet'!Y10*'Output-Calculation-sheet'!Y19</f>
        <v>138.71425623311325</v>
      </c>
      <c r="AA33" s="2">
        <f t="shared" si="1"/>
        <v>38.076291747753267</v>
      </c>
    </row>
    <row r="34" spans="1:27" x14ac:dyDescent="0.25">
      <c r="A34" s="2">
        <v>2035</v>
      </c>
      <c r="B34" s="2">
        <f>B12/'Output-Calculation-sheet'!B11*'Output-Calculation-sheet'!B20</f>
        <v>9959.6702109196176</v>
      </c>
      <c r="C34" s="2">
        <f>C12/'Output-Calculation-sheet'!C11*'Output-Calculation-sheet'!C20</f>
        <v>0</v>
      </c>
      <c r="D34" s="2">
        <f>D12/'Output-Calculation-sheet'!D11*'Output-Calculation-sheet'!D20</f>
        <v>3683.4003303033714</v>
      </c>
      <c r="E34" s="2">
        <f>E12/'Output-Calculation-sheet'!E11*'Output-Calculation-sheet'!E20</f>
        <v>3821.6671174081516</v>
      </c>
      <c r="F34" s="2">
        <f>F12/'Output-Calculation-sheet'!F11*'Output-Calculation-sheet'!F20</f>
        <v>2127.597536351353</v>
      </c>
      <c r="G34" s="2">
        <f>G12/'Output-Calculation-sheet'!G11*'Output-Calculation-sheet'!G20</f>
        <v>1278.3529405564905</v>
      </c>
      <c r="H34" s="2">
        <f>H12/'Output-Calculation-sheet'!H11*'Output-Calculation-sheet'!H20</f>
        <v>0</v>
      </c>
      <c r="I34" s="2">
        <f>I12/'Output-Calculation-sheet'!I11*'Output-Calculation-sheet'!I20</f>
        <v>1305.6982092685541</v>
      </c>
      <c r="J34" s="2">
        <f>J12/'Output-Calculation-sheet'!J11*'Output-Calculation-sheet'!J20</f>
        <v>1182.5370965007294</v>
      </c>
      <c r="K34" s="2">
        <f>K12/'Output-Calculation-sheet'!K11*'Output-Calculation-sheet'!K20</f>
        <v>1479.2866609023406</v>
      </c>
      <c r="L34" s="2">
        <f>L12/'Output-Calculation-sheet'!L11*'Output-Calculation-sheet'!L20</f>
        <v>1214.5882042059609</v>
      </c>
      <c r="M34" s="2">
        <f>M12/'Output-Calculation-sheet'!M11*'Output-Calculation-sheet'!M20</f>
        <v>0</v>
      </c>
      <c r="N34" s="2">
        <f>N12/'Output-Calculation-sheet'!N11*'Output-Calculation-sheet'!N20</f>
        <v>427.30634944202706</v>
      </c>
      <c r="O34" s="2">
        <f>O12/'Output-Calculation-sheet'!O11*'Output-Calculation-sheet'!O20</f>
        <v>0</v>
      </c>
      <c r="P34" s="2">
        <f>P12/'Output-Calculation-sheet'!P11*'Output-Calculation-sheet'!P20</f>
        <v>997.35756820894744</v>
      </c>
      <c r="Q34" s="2">
        <f>Q12/'Output-Calculation-sheet'!Q11*'Output-Calculation-sheet'!Q20</f>
        <v>1093.6407153203243</v>
      </c>
      <c r="R34" s="2">
        <f>R12/'Output-Calculation-sheet'!R11*'Output-Calculation-sheet'!R20</f>
        <v>937.80553711069138</v>
      </c>
      <c r="S34" s="2">
        <f>S12/'Output-Calculation-sheet'!S11*'Output-Calculation-sheet'!S20</f>
        <v>403.29955623307956</v>
      </c>
      <c r="T34" s="2">
        <f>T12/'Output-Calculation-sheet'!T11*'Output-Calculation-sheet'!T20</f>
        <v>339.45139259388583</v>
      </c>
      <c r="U34" s="2">
        <f>U12/'Output-Calculation-sheet'!U11*'Output-Calculation-sheet'!U20</f>
        <v>263.30526078024025</v>
      </c>
      <c r="V34" s="2">
        <f>V12/'Output-Calculation-sheet'!V11*'Output-Calculation-sheet'!V20</f>
        <v>252.87119163150851</v>
      </c>
      <c r="W34" s="2">
        <f>W12/'Output-Calculation-sheet'!W11*'Output-Calculation-sheet'!W20</f>
        <v>172.7958426819738</v>
      </c>
      <c r="X34" s="2">
        <f>X12/'Output-Calculation-sheet'!X11*'Output-Calculation-sheet'!X20</f>
        <v>0</v>
      </c>
      <c r="Y34" s="2">
        <f>Y12/'Output-Calculation-sheet'!Y11*'Output-Calculation-sheet'!Y20</f>
        <v>115.03031010726671</v>
      </c>
      <c r="AA34" s="2">
        <f t="shared" si="1"/>
        <v>31.055662030526516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2.8045060097980503</v>
      </c>
      <c r="C60" s="2">
        <f>C5*'Output-Calculation-sheet'!C49/10^9</f>
        <v>1.3259544535164083</v>
      </c>
      <c r="D60" s="2">
        <f>D5*'Output-Calculation-sheet'!D49/10^9</f>
        <v>0.61857936748993636</v>
      </c>
      <c r="E60" s="2">
        <f>E5*'Output-Calculation-sheet'!E49/10^9</f>
        <v>0.6869635561597881</v>
      </c>
      <c r="F60" s="2">
        <f>F5*'Output-Calculation-sheet'!F49/10^9</f>
        <v>0.31891814330989038</v>
      </c>
      <c r="G60" s="2">
        <f>G5*'Output-Calculation-sheet'!G49/10^9</f>
        <v>0.21966815651398988</v>
      </c>
      <c r="H60" s="2">
        <f>H5*'Output-Calculation-sheet'!H49/10^9</f>
        <v>0.41368755824314674</v>
      </c>
      <c r="I60" s="2">
        <f>I5*'Output-Calculation-sheet'!I49/10^9</f>
        <v>0.21686345053107561</v>
      </c>
      <c r="J60" s="2">
        <f>J5*'Output-Calculation-sheet'!J49/10^9</f>
        <v>0.19583560264183736</v>
      </c>
      <c r="K60" s="2">
        <f>K5*'Output-Calculation-sheet'!K49/10^9</f>
        <v>0.25243819539986856</v>
      </c>
      <c r="L60" s="2">
        <f>L5*'Output-Calculation-sheet'!L49/10^9</f>
        <v>0.20854476606842864</v>
      </c>
      <c r="M60" s="2">
        <f>M5*'Output-Calculation-sheet'!M49/10^9</f>
        <v>0.28540831602811251</v>
      </c>
      <c r="N60" s="2">
        <f>N5*'Output-Calculation-sheet'!N49/10^9</f>
        <v>0.29830401614355023</v>
      </c>
      <c r="O60" s="2">
        <f>O5*'Output-Calculation-sheet'!O49/10^9</f>
        <v>0.2576340831000849</v>
      </c>
      <c r="P60" s="2">
        <f>P5*'Output-Calculation-sheet'!P49/10^9</f>
        <v>0.21997365666771079</v>
      </c>
      <c r="Q60" s="2">
        <f>Q5*'Output-Calculation-sheet'!Q49/10^9</f>
        <v>0.22707699775083393</v>
      </c>
      <c r="R60" s="2">
        <f>R5*'Output-Calculation-sheet'!R49/10^9</f>
        <v>0.18198814314064132</v>
      </c>
      <c r="S60" s="2">
        <f>S5*'Output-Calculation-sheet'!S49/10^9</f>
        <v>0.16694544179122026</v>
      </c>
      <c r="T60" s="2">
        <f>T5*'Output-Calculation-sheet'!T49/10^9</f>
        <v>5.7096608885381983E-2</v>
      </c>
      <c r="U60" s="2">
        <f>U5*'Output-Calculation-sheet'!U49/10^9</f>
        <v>5.7057627665551475E-2</v>
      </c>
      <c r="V60" s="2">
        <f>V5*'Output-Calculation-sheet'!V49/10^9</f>
        <v>4.2725388729041171E-2</v>
      </c>
      <c r="W60" s="2">
        <f>W5*'Output-Calculation-sheet'!W49/10^9</f>
        <v>2.6788973476584255E-2</v>
      </c>
      <c r="X60" s="2">
        <f>X5*'Output-Calculation-sheet'!X49/10^9</f>
        <v>3.3720709740123311E-2</v>
      </c>
      <c r="Y60" s="2">
        <f>Y5*'Output-Calculation-sheet'!Y49/10^9</f>
        <v>2.2289120158863019E-2</v>
      </c>
      <c r="AA60" s="2">
        <f t="shared" ref="AA60:AA67" si="4">SUM(B60:Y60)</f>
        <v>9.1389683429501201</v>
      </c>
    </row>
    <row r="61" spans="1:27" x14ac:dyDescent="0.25">
      <c r="A61" s="2">
        <v>2029</v>
      </c>
      <c r="B61" s="2">
        <f>B6*'Output-Calculation-sheet'!B50/10^9</f>
        <v>3.7031698906246322</v>
      </c>
      <c r="C61" s="2">
        <f>C6*'Output-Calculation-sheet'!C50/10^9</f>
        <v>1.7630105506599874</v>
      </c>
      <c r="D61" s="2">
        <f>D6*'Output-Calculation-sheet'!D50/10^9</f>
        <v>0.81421415940860753</v>
      </c>
      <c r="E61" s="2">
        <f>E6*'Output-Calculation-sheet'!E50/10^9</f>
        <v>0.90494241563828626</v>
      </c>
      <c r="F61" s="2">
        <f>F6*'Output-Calculation-sheet'!F50/10^9</f>
        <v>0.41925576637267542</v>
      </c>
      <c r="G61" s="2">
        <f>G6*'Output-Calculation-sheet'!G50/10^9</f>
        <v>0.28917559484482275</v>
      </c>
      <c r="H61" s="2">
        <f>H6*'Output-Calculation-sheet'!H50/10^9</f>
        <v>0.54649910277415858</v>
      </c>
      <c r="I61" s="2">
        <f>I6*'Output-Calculation-sheet'!I50/10^9</f>
        <v>0.28544117575006561</v>
      </c>
      <c r="J61" s="2">
        <f>J6*'Output-Calculation-sheet'!J50/10^9</f>
        <v>0.25771898611489874</v>
      </c>
      <c r="K61" s="2">
        <f>K6*'Output-Calculation-sheet'!K50/10^9</f>
        <v>0.33238650648502827</v>
      </c>
      <c r="L61" s="2">
        <f>L6*'Output-Calculation-sheet'!L50/10^9</f>
        <v>0.27458780186349097</v>
      </c>
      <c r="M61" s="2">
        <f>M6*'Output-Calculation-sheet'!M50/10^9</f>
        <v>0.37753522083336333</v>
      </c>
      <c r="N61" s="2">
        <f>N6*'Output-Calculation-sheet'!N50/10^9</f>
        <v>0.39385778637615176</v>
      </c>
      <c r="O61" s="2">
        <f>O6*'Output-Calculation-sheet'!O50/10^9</f>
        <v>0.34255445615835461</v>
      </c>
      <c r="P61" s="2">
        <f>P6*'Output-Calculation-sheet'!P50/10^9</f>
        <v>0.29035680086364407</v>
      </c>
      <c r="Q61" s="2">
        <f>Q6*'Output-Calculation-sheet'!Q50/10^9</f>
        <v>0.29962714228859144</v>
      </c>
      <c r="R61" s="2">
        <f>R6*'Output-Calculation-sheet'!R50/10^9</f>
        <v>0.23991567388025165</v>
      </c>
      <c r="S61" s="2">
        <f>S6*'Output-Calculation-sheet'!S50/10^9</f>
        <v>0.22072553159794348</v>
      </c>
      <c r="T61" s="2">
        <f>T6*'Output-Calculation-sheet'!T50/10^9</f>
        <v>7.5161640567231819E-2</v>
      </c>
      <c r="U61" s="2">
        <f>U6*'Output-Calculation-sheet'!U50/10^9</f>
        <v>7.528708742904365E-2</v>
      </c>
      <c r="V61" s="2">
        <f>V6*'Output-Calculation-sheet'!V50/10^9</f>
        <v>5.6256070229625151E-2</v>
      </c>
      <c r="W61" s="2">
        <f>W6*'Output-Calculation-sheet'!W50/10^9</f>
        <v>3.5232391506464379E-2</v>
      </c>
      <c r="X61" s="2">
        <f>X6*'Output-Calculation-sheet'!X50/10^9</f>
        <v>4.4805125331980646E-2</v>
      </c>
      <c r="Y61" s="2">
        <f>Y6*'Output-Calculation-sheet'!Y50/10^9</f>
        <v>2.9382100351215738E-2</v>
      </c>
      <c r="AA61" s="2">
        <f t="shared" si="4"/>
        <v>12.07109897795052</v>
      </c>
    </row>
    <row r="62" spans="1:27" x14ac:dyDescent="0.25">
      <c r="A62" s="2">
        <v>2030</v>
      </c>
      <c r="B62" s="2">
        <f>B7*'Output-Calculation-sheet'!B51/10^9</f>
        <v>4.4884094630623457</v>
      </c>
      <c r="C62" s="2">
        <f>C7*'Output-Calculation-sheet'!C51/10^9</f>
        <v>2.1521482849536713</v>
      </c>
      <c r="D62" s="2">
        <f>D7*'Output-Calculation-sheet'!D51/10^9</f>
        <v>0.98377084100650103</v>
      </c>
      <c r="E62" s="2">
        <f>E7*'Output-Calculation-sheet'!E51/10^9</f>
        <v>1.0942222697771222</v>
      </c>
      <c r="F62" s="2">
        <f>F7*'Output-Calculation-sheet'!F51/10^9</f>
        <v>0.50591376402960908</v>
      </c>
      <c r="G62" s="2">
        <f>G7*'Output-Calculation-sheet'!G51/10^9</f>
        <v>0.34944181661793161</v>
      </c>
      <c r="H62" s="2">
        <f>H7*'Output-Calculation-sheet'!H51/10^9</f>
        <v>0.66153730334136052</v>
      </c>
      <c r="I62" s="2">
        <f>I7*'Output-Calculation-sheet'!I51/10^9</f>
        <v>0.34486243670413541</v>
      </c>
      <c r="J62" s="2">
        <f>J7*'Output-Calculation-sheet'!J51/10^9</f>
        <v>0.31132257992946577</v>
      </c>
      <c r="K62" s="2">
        <f>K7*'Output-Calculation-sheet'!K51/10^9</f>
        <v>0.40172277118292637</v>
      </c>
      <c r="L62" s="2">
        <f>L7*'Output-Calculation-sheet'!L51/10^9</f>
        <v>0.33186056311038786</v>
      </c>
      <c r="M62" s="2">
        <f>M7*'Output-Calculation-sheet'!M51/10^9</f>
        <v>0.45701324561549239</v>
      </c>
      <c r="N62" s="2">
        <f>N7*'Output-Calculation-sheet'!N51/10^9</f>
        <v>0.4768513108285613</v>
      </c>
      <c r="O62" s="2">
        <f>O7*'Output-Calculation-sheet'!O51/10^9</f>
        <v>0.41816425037754734</v>
      </c>
      <c r="P62" s="2">
        <f>P7*'Output-Calculation-sheet'!P51/10^9</f>
        <v>0.35180104679724972</v>
      </c>
      <c r="Q62" s="2">
        <f>Q7*'Output-Calculation-sheet'!Q51/10^9</f>
        <v>0.36287945062596999</v>
      </c>
      <c r="R62" s="2">
        <f>R7*'Output-Calculation-sheet'!R51/10^9</f>
        <v>0.29032127838575</v>
      </c>
      <c r="S62" s="2">
        <f>S7*'Output-Calculation-sheet'!S51/10^9</f>
        <v>0.26774824518310003</v>
      </c>
      <c r="T62" s="2">
        <f>T7*'Output-Calculation-sheet'!T51/10^9</f>
        <v>9.0820429531965549E-2</v>
      </c>
      <c r="U62" s="2">
        <f>U7*'Output-Calculation-sheet'!U51/10^9</f>
        <v>9.1189437929120501E-2</v>
      </c>
      <c r="V62" s="2">
        <f>V7*'Output-Calculation-sheet'!V51/10^9</f>
        <v>6.7988381279975724E-2</v>
      </c>
      <c r="W62" s="2">
        <f>W7*'Output-Calculation-sheet'!W51/10^9</f>
        <v>4.2531582853239554E-2</v>
      </c>
      <c r="X62" s="2">
        <f>X7*'Output-Calculation-sheet'!X51/10^9</f>
        <v>5.4293259396151906E-2</v>
      </c>
      <c r="Y62" s="2">
        <f>Y7*'Output-Calculation-sheet'!Y51/10^9</f>
        <v>3.5553666933703897E-2</v>
      </c>
      <c r="AA62" s="2">
        <f t="shared" si="4"/>
        <v>14.632367679453283</v>
      </c>
    </row>
    <row r="63" spans="1:27" x14ac:dyDescent="0.25">
      <c r="A63" s="2">
        <v>2031</v>
      </c>
      <c r="B63" s="2">
        <f>B8*'Output-Calculation-sheet'!B52/10^9</f>
        <v>5.0270331126433314</v>
      </c>
      <c r="C63" s="2">
        <f>C8*'Output-Calculation-sheet'!C52/10^9</f>
        <v>2.4188998511432249</v>
      </c>
      <c r="D63" s="2">
        <f>D8*'Output-Calculation-sheet'!D52/10^9</f>
        <v>1.1001565004060641</v>
      </c>
      <c r="E63" s="2">
        <f>E8*'Output-Calculation-sheet'!E52/10^9</f>
        <v>1.2241158608248619</v>
      </c>
      <c r="F63" s="2">
        <f>F8*'Output-Calculation-sheet'!F52/10^9</f>
        <v>0.56540871372488466</v>
      </c>
      <c r="G63" s="2">
        <f>G8*'Output-Calculation-sheet'!G52/10^9</f>
        <v>0.39081392135512744</v>
      </c>
      <c r="H63" s="2">
        <f>H8*'Output-Calculation-sheet'!H52/10^9</f>
        <v>0.7369375147824202</v>
      </c>
      <c r="I63" s="2">
        <f>I8*'Output-Calculation-sheet'!I52/10^9</f>
        <v>0.38564782866671998</v>
      </c>
      <c r="J63" s="2">
        <f>J8*'Output-Calculation-sheet'!J52/10^9</f>
        <v>0.34811867274485464</v>
      </c>
      <c r="K63" s="2">
        <f>K8*'Output-Calculation-sheet'!K52/10^9</f>
        <v>0.44930569447236024</v>
      </c>
      <c r="L63" s="2">
        <f>L8*'Output-Calculation-sheet'!L52/10^9</f>
        <v>0.37116720421345589</v>
      </c>
      <c r="M63" s="2">
        <f>M8*'Output-Calculation-sheet'!M52/10^9</f>
        <v>0.50913767631173623</v>
      </c>
      <c r="N63" s="2">
        <f>N8*'Output-Calculation-sheet'!N52/10^9</f>
        <v>0.53214943927986347</v>
      </c>
      <c r="O63" s="2">
        <f>O8*'Output-Calculation-sheet'!O52/10^9</f>
        <v>0.46999430757785426</v>
      </c>
      <c r="P63" s="2">
        <f>P8*'Output-Calculation-sheet'!P52/10^9</f>
        <v>0.39395139276554531</v>
      </c>
      <c r="Q63" s="2">
        <f>Q8*'Output-Calculation-sheet'!Q52/10^9</f>
        <v>0.40626503523183805</v>
      </c>
      <c r="R63" s="2">
        <f>R8*'Output-Calculation-sheet'!R52/10^9</f>
        <v>0.32490653487215787</v>
      </c>
      <c r="S63" s="2">
        <f>S8*'Output-Calculation-sheet'!S52/10^9</f>
        <v>0.2995079233633986</v>
      </c>
      <c r="T63" s="2">
        <f>T8*'Output-Calculation-sheet'!T52/10^9</f>
        <v>0.10156726990556691</v>
      </c>
      <c r="U63" s="2">
        <f>U8*'Output-Calculation-sheet'!U52/10^9</f>
        <v>0.10210021549489344</v>
      </c>
      <c r="V63" s="2">
        <f>V8*'Output-Calculation-sheet'!V52/10^9</f>
        <v>7.604022607197175E-2</v>
      </c>
      <c r="W63" s="2">
        <f>W8*'Output-Calculation-sheet'!W52/10^9</f>
        <v>4.7542245803555823E-2</v>
      </c>
      <c r="X63" s="2">
        <f>X8*'Output-Calculation-sheet'!X52/10^9</f>
        <v>6.0545648443280073E-2</v>
      </c>
      <c r="Y63" s="2">
        <f>Y8*'Output-Calculation-sheet'!Y52/10^9</f>
        <v>3.9788255161700932E-2</v>
      </c>
      <c r="AA63" s="2">
        <f t="shared" si="4"/>
        <v>16.381101045260664</v>
      </c>
    </row>
    <row r="64" spans="1:27" x14ac:dyDescent="0.25">
      <c r="A64" s="2">
        <v>2032</v>
      </c>
      <c r="B64" s="2">
        <f>B9*'Output-Calculation-sheet'!B53/10^9</f>
        <v>5.1288754299514423</v>
      </c>
      <c r="C64" s="2">
        <f>C9*'Output-Calculation-sheet'!C53/10^9</f>
        <v>2.47673020779076</v>
      </c>
      <c r="D64" s="2">
        <f>D9*'Output-Calculation-sheet'!D53/10^9</f>
        <v>1.1207473042877061</v>
      </c>
      <c r="E64" s="2">
        <f>E9*'Output-Calculation-sheet'!E53/10^9</f>
        <v>1.2474745678125052</v>
      </c>
      <c r="F64" s="2">
        <f>F9*'Output-Calculation-sheet'!F53/10^9</f>
        <v>0.57562100400626626</v>
      </c>
      <c r="G64" s="2">
        <f>G9*'Output-Calculation-sheet'!G53/10^9</f>
        <v>0.39816479791356951</v>
      </c>
      <c r="H64" s="2">
        <f>H9*'Output-Calculation-sheet'!H53/10^9</f>
        <v>0.74757761423655977</v>
      </c>
      <c r="I64" s="2">
        <f>I9*'Output-Calculation-sheet'!I53/10^9</f>
        <v>0.39284905097075495</v>
      </c>
      <c r="J64" s="2">
        <f>J9*'Output-Calculation-sheet'!J53/10^9</f>
        <v>0.35459852233311767</v>
      </c>
      <c r="K64" s="2">
        <f>K9*'Output-Calculation-sheet'!K53/10^9</f>
        <v>0.45776931651414715</v>
      </c>
      <c r="L64" s="2">
        <f>L9*'Output-Calculation-sheet'!L53/10^9</f>
        <v>0.3781598504007207</v>
      </c>
      <c r="M64" s="2">
        <f>M9*'Output-Calculation-sheet'!M53/10^9</f>
        <v>0.51651396672405192</v>
      </c>
      <c r="N64" s="2">
        <f>N9*'Output-Calculation-sheet'!N53/10^9</f>
        <v>0.54055315888986233</v>
      </c>
      <c r="O64" s="2">
        <f>O9*'Output-Calculation-sheet'!O53/10^9</f>
        <v>0.48123079527977081</v>
      </c>
      <c r="P64" s="2">
        <f>P9*'Output-Calculation-sheet'!P53/10^9</f>
        <v>0.40186179923342735</v>
      </c>
      <c r="Q64" s="2">
        <f>Q9*'Output-Calculation-sheet'!Q53/10^9</f>
        <v>0.41432503725942088</v>
      </c>
      <c r="R64" s="2">
        <f>R9*'Output-Calculation-sheet'!R53/10^9</f>
        <v>0.33123395884469975</v>
      </c>
      <c r="S64" s="2">
        <f>S9*'Output-Calculation-sheet'!S53/10^9</f>
        <v>0.30482956265798938</v>
      </c>
      <c r="T64" s="2">
        <f>T9*'Output-Calculation-sheet'!T53/10^9</f>
        <v>0.10347033341183313</v>
      </c>
      <c r="U64" s="2">
        <f>U9*'Output-Calculation-sheet'!U53/10^9</f>
        <v>0.1041370104105635</v>
      </c>
      <c r="V64" s="2">
        <f>V9*'Output-Calculation-sheet'!V53/10^9</f>
        <v>7.7470924029285321E-2</v>
      </c>
      <c r="W64" s="2">
        <f>W9*'Output-Calculation-sheet'!W53/10^9</f>
        <v>4.8410418677785859E-2</v>
      </c>
      <c r="X64" s="2">
        <f>X9*'Output-Calculation-sheet'!X53/10^9</f>
        <v>6.1482077655465095E-2</v>
      </c>
      <c r="Y64" s="2">
        <f>Y9*'Output-Calculation-sheet'!Y53/10^9</f>
        <v>4.0561876884350784E-2</v>
      </c>
      <c r="AA64" s="2">
        <f t="shared" si="4"/>
        <v>16.704648586176059</v>
      </c>
    </row>
    <row r="65" spans="1:27" x14ac:dyDescent="0.25">
      <c r="A65" s="2">
        <v>2033</v>
      </c>
      <c r="B65" s="2">
        <f>B10*'Output-Calculation-sheet'!B54/10^9</f>
        <v>4.8759503773364239</v>
      </c>
      <c r="C65" s="2">
        <f>C10*'Output-Calculation-sheet'!C54/10^9</f>
        <v>2.3603993173109505</v>
      </c>
      <c r="D65" s="2">
        <f>D10*'Output-Calculation-sheet'!D54/10^9</f>
        <v>1.064967783192702</v>
      </c>
      <c r="E65" s="2">
        <f>E10*'Output-Calculation-sheet'!E54/10^9</f>
        <v>1.1858134263620912</v>
      </c>
      <c r="F65" s="2">
        <f>F10*'Output-Calculation-sheet'!F54/10^9</f>
        <v>0.546617180962787</v>
      </c>
      <c r="G65" s="2">
        <f>G10*'Output-Calculation-sheet'!G54/10^9</f>
        <v>0.37838424004235438</v>
      </c>
      <c r="H65" s="2">
        <f>H10*'Output-Calculation-sheet'!H54/10^9</f>
        <v>0.70715116156164082</v>
      </c>
      <c r="I65" s="2">
        <f>I10*'Output-Calculation-sheet'!I54/10^9</f>
        <v>0.3732808799786555</v>
      </c>
      <c r="J65" s="2">
        <f>J10*'Output-Calculation-sheet'!J54/10^9</f>
        <v>0.33691609901345865</v>
      </c>
      <c r="K65" s="2">
        <f>K10*'Output-Calculation-sheet'!K54/10^9</f>
        <v>0.43503318931503826</v>
      </c>
      <c r="L65" s="2">
        <f>L10*'Output-Calculation-sheet'!L54/10^9</f>
        <v>0.35938028730081711</v>
      </c>
      <c r="M65" s="2">
        <f>M10*'Output-Calculation-sheet'!M54/10^9</f>
        <v>0.48860392046422141</v>
      </c>
      <c r="N65" s="2">
        <f>N10*'Output-Calculation-sheet'!N54/10^9</f>
        <v>0.51188574377029039</v>
      </c>
      <c r="O65" s="2">
        <f>O10*'Output-Calculation-sheet'!O54/10^9</f>
        <v>0.45963274624503653</v>
      </c>
      <c r="P65" s="2">
        <f>P10*'Output-Calculation-sheet'!P54/10^9</f>
        <v>0.38236754584873905</v>
      </c>
      <c r="Q65" s="2">
        <f>Q10*'Output-Calculation-sheet'!Q54/10^9</f>
        <v>0.39413041983152802</v>
      </c>
      <c r="R65" s="2">
        <f>R10*'Output-Calculation-sheet'!R54/10^9</f>
        <v>0.3149820040749039</v>
      </c>
      <c r="S65" s="2">
        <f>S10*'Output-Calculation-sheet'!S54/10^9</f>
        <v>0.28913141438157575</v>
      </c>
      <c r="T65" s="2">
        <f>T10*'Output-Calculation-sheet'!T54/10^9</f>
        <v>9.8321901605491424E-2</v>
      </c>
      <c r="U65" s="2">
        <f>U10*'Output-Calculation-sheet'!U54/10^9</f>
        <v>9.907420709467267E-2</v>
      </c>
      <c r="V65" s="2">
        <f>V10*'Output-Calculation-sheet'!V54/10^9</f>
        <v>7.3621041491855055E-2</v>
      </c>
      <c r="W65" s="2">
        <f>W10*'Output-Calculation-sheet'!W54/10^9</f>
        <v>4.5979951502748174E-2</v>
      </c>
      <c r="X65" s="2">
        <f>X10*'Output-Calculation-sheet'!X54/10^9</f>
        <v>5.8213882173849124E-2</v>
      </c>
      <c r="Y65" s="2">
        <f>Y10*'Output-Calculation-sheet'!Y54/10^9</f>
        <v>3.8570771576437173E-2</v>
      </c>
      <c r="AA65" s="2">
        <f t="shared" si="4"/>
        <v>15.878409492438267</v>
      </c>
    </row>
    <row r="66" spans="1:27" x14ac:dyDescent="0.25">
      <c r="A66" s="2">
        <v>2034</v>
      </c>
      <c r="B66" s="2">
        <f>B11*'Output-Calculation-sheet'!B55/10^9</f>
        <v>4.3133293324399622</v>
      </c>
      <c r="C66" s="2">
        <f>C11*'Output-Calculation-sheet'!C55/10^9</f>
        <v>2.0839685718538878</v>
      </c>
      <c r="D66" s="2">
        <f>D11*'Output-Calculation-sheet'!D55/10^9</f>
        <v>0.94311949230267544</v>
      </c>
      <c r="E66" s="2">
        <f>E11*'Output-Calculation-sheet'!E55/10^9</f>
        <v>1.0505145768921977</v>
      </c>
      <c r="F66" s="2">
        <f>F11*'Output-Calculation-sheet'!F55/10^9</f>
        <v>0.48375598514773155</v>
      </c>
      <c r="G66" s="2">
        <f>G11*'Output-Calculation-sheet'!G55/10^9</f>
        <v>0.33512342536586559</v>
      </c>
      <c r="H66" s="2">
        <f>H11*'Output-Calculation-sheet'!H55/10^9</f>
        <v>0.62318076362185471</v>
      </c>
      <c r="I66" s="2">
        <f>I11*'Output-Calculation-sheet'!I55/10^9</f>
        <v>0.33055408127123725</v>
      </c>
      <c r="J66" s="2">
        <f>J11*'Output-Calculation-sheet'!J55/10^9</f>
        <v>0.29833798405843465</v>
      </c>
      <c r="K66" s="2">
        <f>K11*'Output-Calculation-sheet'!K55/10^9</f>
        <v>0.38529469819704204</v>
      </c>
      <c r="L66" s="2">
        <f>L11*'Output-Calculation-sheet'!L55/10^9</f>
        <v>0.31829633516385908</v>
      </c>
      <c r="M66" s="2">
        <f>M11*'Output-Calculation-sheet'!M55/10^9</f>
        <v>0.43060346858176052</v>
      </c>
      <c r="N66" s="2">
        <f>N11*'Output-Calculation-sheet'!N55/10^9</f>
        <v>0.45152328757397975</v>
      </c>
      <c r="O66" s="2">
        <f>O11*'Output-Calculation-sheet'!O55/10^9</f>
        <v>0.40915769458586704</v>
      </c>
      <c r="P66" s="2">
        <f>P11*'Output-Calculation-sheet'!P55/10^9</f>
        <v>0.33906431561056061</v>
      </c>
      <c r="Q66" s="2">
        <f>Q11*'Output-Calculation-sheet'!Q55/10^9</f>
        <v>0.34940622774670455</v>
      </c>
      <c r="R66" s="2">
        <f>R11*'Output-Calculation-sheet'!R55/10^9</f>
        <v>0.27914959929948302</v>
      </c>
      <c r="S66" s="2">
        <f>S11*'Output-Calculation-sheet'!S55/10^9</f>
        <v>0.25538830014481784</v>
      </c>
      <c r="T66" s="2">
        <f>T11*'Output-Calculation-sheet'!T55/10^9</f>
        <v>8.7072941465244913E-2</v>
      </c>
      <c r="U66" s="2">
        <f>U11*'Output-Calculation-sheet'!U55/10^9</f>
        <v>8.784538510452794E-2</v>
      </c>
      <c r="V66" s="2">
        <f>V11*'Output-Calculation-sheet'!V55/10^9</f>
        <v>6.520185895319576E-2</v>
      </c>
      <c r="W66" s="2">
        <f>W11*'Output-Calculation-sheet'!W55/10^9</f>
        <v>4.0700347701255461E-2</v>
      </c>
      <c r="X66" s="2">
        <f>X11*'Output-Calculation-sheet'!X55/10^9</f>
        <v>5.1352285109369171E-2</v>
      </c>
      <c r="Y66" s="2">
        <f>Y11*'Output-Calculation-sheet'!Y55/10^9</f>
        <v>3.4182277483424263E-2</v>
      </c>
      <c r="AA66" s="2">
        <f t="shared" si="4"/>
        <v>14.046123235674939</v>
      </c>
    </row>
    <row r="67" spans="1:27" x14ac:dyDescent="0.25">
      <c r="A67" s="2">
        <v>2035</v>
      </c>
      <c r="B67" s="2">
        <f>B12*'Output-Calculation-sheet'!B56/10^9</f>
        <v>3.5272415915334459</v>
      </c>
      <c r="C67" s="2">
        <f>C12*'Output-Calculation-sheet'!C56/10^9</f>
        <v>1.701815182793857</v>
      </c>
      <c r="D67" s="2">
        <f>D12*'Output-Calculation-sheet'!D56/10^9</f>
        <v>0.77289308418535052</v>
      </c>
      <c r="E67" s="2">
        <f>E12*'Output-Calculation-sheet'!E56/10^9</f>
        <v>0.86121138286416676</v>
      </c>
      <c r="F67" s="2">
        <f>F12*'Output-Calculation-sheet'!F56/10^9</f>
        <v>0.39617562077771734</v>
      </c>
      <c r="G67" s="2">
        <f>G12*'Output-Calculation-sheet'!G56/10^9</f>
        <v>0.27466694052680368</v>
      </c>
      <c r="H67" s="2">
        <f>H12*'Output-Calculation-sheet'!H56/10^9</f>
        <v>0.50802062159941297</v>
      </c>
      <c r="I67" s="2">
        <f>I12*'Output-Calculation-sheet'!I56/10^9</f>
        <v>0.27087502114283246</v>
      </c>
      <c r="J67" s="2">
        <f>J12*'Output-Calculation-sheet'!J56/10^9</f>
        <v>0.24446772011709331</v>
      </c>
      <c r="K67" s="2">
        <f>K12*'Output-Calculation-sheet'!K56/10^9</f>
        <v>0.3157797369845205</v>
      </c>
      <c r="L67" s="2">
        <f>L12*'Output-Calculation-sheet'!L56/10^9</f>
        <v>0.26087588905377768</v>
      </c>
      <c r="M67" s="2">
        <f>M12*'Output-Calculation-sheet'!M56/10^9</f>
        <v>0.35104580350356807</v>
      </c>
      <c r="N67" s="2">
        <f>N12*'Output-Calculation-sheet'!N56/10^9</f>
        <v>0.36842604622950625</v>
      </c>
      <c r="O67" s="2">
        <f>O12*'Output-Calculation-sheet'!O56/10^9</f>
        <v>0.33511175323793946</v>
      </c>
      <c r="P67" s="2">
        <f>P12*'Output-Calculation-sheet'!P56/10^9</f>
        <v>0.27822840144747912</v>
      </c>
      <c r="Q67" s="2">
        <f>Q12*'Output-Calculation-sheet'!Q56/10^9</f>
        <v>0.28663283110340187</v>
      </c>
      <c r="R67" s="2">
        <f>R12*'Output-Calculation-sheet'!R56/10^9</f>
        <v>0.22893356297192932</v>
      </c>
      <c r="S67" s="2">
        <f>S12*'Output-Calculation-sheet'!S56/10^9</f>
        <v>0.20862406298883926</v>
      </c>
      <c r="T67" s="2">
        <f>T12*'Output-Calculation-sheet'!T56/10^9</f>
        <v>7.1357311542113541E-2</v>
      </c>
      <c r="U67" s="2">
        <f>U12*'Output-Calculation-sheet'!U56/10^9</f>
        <v>7.207779320011129E-2</v>
      </c>
      <c r="V67" s="2">
        <f>V12*'Output-Calculation-sheet'!V56/10^9</f>
        <v>5.3435587865396844E-2</v>
      </c>
      <c r="W67" s="2">
        <f>W12*'Output-Calculation-sheet'!W56/10^9</f>
        <v>3.3338711794575558E-2</v>
      </c>
      <c r="X67" s="2">
        <f>X12*'Output-Calculation-sheet'!X56/10^9</f>
        <v>4.1902361139690543E-2</v>
      </c>
      <c r="Y67" s="2">
        <f>Y12*'Output-Calculation-sheet'!Y56/10^9</f>
        <v>2.8032869558595887E-2</v>
      </c>
      <c r="AA67" s="2">
        <f t="shared" si="4"/>
        <v>11.491169888162128</v>
      </c>
    </row>
    <row r="68" spans="1:27" x14ac:dyDescent="0.25">
      <c r="B68" s="2">
        <f>SUM(B60:B67)</f>
        <v>33.868515207389635</v>
      </c>
      <c r="C68" s="2">
        <f t="shared" ref="C68:Y68" si="5">SUM(C60:C67)</f>
        <v>16.282926420022747</v>
      </c>
      <c r="D68" s="2">
        <f t="shared" si="5"/>
        <v>7.4184485322795428</v>
      </c>
      <c r="E68" s="2">
        <f t="shared" si="5"/>
        <v>8.2552580563310194</v>
      </c>
      <c r="F68" s="2">
        <f t="shared" si="5"/>
        <v>3.8116661783315613</v>
      </c>
      <c r="G68" s="2">
        <f t="shared" si="5"/>
        <v>2.6354388931804649</v>
      </c>
      <c r="H68" s="2">
        <f t="shared" si="5"/>
        <v>4.9445916401605539</v>
      </c>
      <c r="I68" s="2">
        <f t="shared" si="5"/>
        <v>2.6003739250154769</v>
      </c>
      <c r="J68" s="2">
        <f t="shared" si="5"/>
        <v>2.3473161669531608</v>
      </c>
      <c r="K68" s="2">
        <f t="shared" si="5"/>
        <v>3.0297301085509312</v>
      </c>
      <c r="L68" s="2">
        <f t="shared" si="5"/>
        <v>2.5028726971749382</v>
      </c>
      <c r="M68" s="2">
        <f t="shared" si="5"/>
        <v>3.4158616180623071</v>
      </c>
      <c r="N68" s="2">
        <f t="shared" si="5"/>
        <v>3.5735507890917657</v>
      </c>
      <c r="O68" s="2">
        <f t="shared" si="5"/>
        <v>3.1734800865624551</v>
      </c>
      <c r="P68" s="2">
        <f t="shared" si="5"/>
        <v>2.657604959234356</v>
      </c>
      <c r="Q68" s="2">
        <f t="shared" si="5"/>
        <v>2.7403431418382889</v>
      </c>
      <c r="R68" s="2">
        <f t="shared" si="5"/>
        <v>2.1914307554698165</v>
      </c>
      <c r="S68" s="2">
        <f t="shared" si="5"/>
        <v>2.0129004821088845</v>
      </c>
      <c r="T68" s="2">
        <f t="shared" si="5"/>
        <v>0.68486843691482924</v>
      </c>
      <c r="U68" s="2">
        <f t="shared" si="5"/>
        <v>0.68876876432848455</v>
      </c>
      <c r="V68" s="2">
        <f t="shared" si="5"/>
        <v>0.51273947865034675</v>
      </c>
      <c r="W68" s="2">
        <f t="shared" si="5"/>
        <v>0.32052462331620901</v>
      </c>
      <c r="X68" s="2">
        <f t="shared" si="5"/>
        <v>0.4063153489899099</v>
      </c>
      <c r="Y68" s="2">
        <f t="shared" si="5"/>
        <v>0.2683609381082917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6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6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5566663440.2338829</v>
      </c>
      <c r="C93" s="2">
        <f>C5/'Output-Calculation-sheet'!C4*'Output-Calculation-sheet'!C76</f>
        <v>0</v>
      </c>
      <c r="D93" s="2">
        <f>D5/'Output-Calculation-sheet'!D4*'Output-Calculation-sheet'!D76</f>
        <v>3644088928.1400652</v>
      </c>
      <c r="E93" s="2">
        <f>E5/'Output-Calculation-sheet'!E4*'Output-Calculation-sheet'!E76</f>
        <v>5320964596.9471331</v>
      </c>
      <c r="F93" s="2">
        <f>F5/'Output-Calculation-sheet'!F4*'Output-Calculation-sheet'!F76</f>
        <v>2665170083.9234376</v>
      </c>
      <c r="G93" s="2">
        <f>G5/'Output-Calculation-sheet'!G4*'Output-Calculation-sheet'!G76</f>
        <v>2036541949.9149132</v>
      </c>
      <c r="H93" s="2">
        <f>H5/'Output-Calculation-sheet'!H4*'Output-Calculation-sheet'!H76</f>
        <v>0</v>
      </c>
      <c r="I93" s="2">
        <f>I5/'Output-Calculation-sheet'!I4*'Output-Calculation-sheet'!I76</f>
        <v>1383527797.5373662</v>
      </c>
      <c r="J93" s="2">
        <f>J5/'Output-Calculation-sheet'!J4*'Output-Calculation-sheet'!J76</f>
        <v>992640434.74279273</v>
      </c>
      <c r="K93" s="2">
        <f>K5/'Output-Calculation-sheet'!K4*'Output-Calculation-sheet'!K76</f>
        <v>1249698742.4550951</v>
      </c>
      <c r="L93" s="2">
        <f>L5/'Output-Calculation-sheet'!L4*'Output-Calculation-sheet'!L76</f>
        <v>824105189.10299039</v>
      </c>
      <c r="M93" s="2">
        <f>M5/'Output-Calculation-sheet'!M4*'Output-Calculation-sheet'!M76</f>
        <v>0</v>
      </c>
      <c r="N93" s="2">
        <f>N5/'Output-Calculation-sheet'!N4*'Output-Calculation-sheet'!N76</f>
        <v>390114481.30187786</v>
      </c>
      <c r="O93" s="2">
        <f>O5/'Output-Calculation-sheet'!O4*'Output-Calculation-sheet'!O76</f>
        <v>0</v>
      </c>
      <c r="P93" s="2">
        <f>P5/'Output-Calculation-sheet'!P4*'Output-Calculation-sheet'!P76</f>
        <v>1026970288.4571153</v>
      </c>
      <c r="Q93" s="2">
        <f>Q5/'Output-Calculation-sheet'!Q4*'Output-Calculation-sheet'!Q76</f>
        <v>461686922.25797492</v>
      </c>
      <c r="R93" s="2">
        <f>R5/'Output-Calculation-sheet'!R4*'Output-Calculation-sheet'!R76</f>
        <v>736803335.5207516</v>
      </c>
      <c r="S93" s="2">
        <f>S5/'Output-Calculation-sheet'!S4*'Output-Calculation-sheet'!S76</f>
        <v>244118885.78916904</v>
      </c>
      <c r="T93" s="2">
        <f>T5/'Output-Calculation-sheet'!T4*'Output-Calculation-sheet'!T76</f>
        <v>395917012.50400376</v>
      </c>
      <c r="U93" s="2">
        <f>U5/'Output-Calculation-sheet'!U4*'Output-Calculation-sheet'!U76</f>
        <v>206481425.89659199</v>
      </c>
      <c r="V93" s="2">
        <f>V5/'Output-Calculation-sheet'!V4*'Output-Calculation-sheet'!V76</f>
        <v>123534093.16394548</v>
      </c>
      <c r="W93" s="2">
        <f>W5/'Output-Calculation-sheet'!W4*'Output-Calculation-sheet'!W76</f>
        <v>411672556.32170188</v>
      </c>
      <c r="X93" s="2">
        <f>X5/'Output-Calculation-sheet'!X4*'Output-Calculation-sheet'!X76</f>
        <v>0</v>
      </c>
      <c r="Y93" s="2">
        <f>Y5/'Output-Calculation-sheet'!Y4*'Output-Calculation-sheet'!Y76</f>
        <v>172627257.38299939</v>
      </c>
      <c r="AA93" s="2">
        <f t="shared" ref="AA93:AA100" si="8">SUM(B93:Y93)/10^9</f>
        <v>27.853327421593804</v>
      </c>
    </row>
    <row r="94" spans="1:27" x14ac:dyDescent="0.25">
      <c r="A94" s="2">
        <v>2029</v>
      </c>
      <c r="B94" s="2">
        <f>B6/'Output-Calculation-sheet'!B5*'Output-Calculation-sheet'!B77</f>
        <v>7390499990.4951048</v>
      </c>
      <c r="C94" s="2">
        <f>C6/'Output-Calculation-sheet'!C5*'Output-Calculation-sheet'!C77</f>
        <v>0</v>
      </c>
      <c r="D94" s="2">
        <f>D6/'Output-Calculation-sheet'!D5*'Output-Calculation-sheet'!D77</f>
        <v>4768811915.8121033</v>
      </c>
      <c r="E94" s="2">
        <f>E6/'Output-Calculation-sheet'!E5*'Output-Calculation-sheet'!E77</f>
        <v>7108132802.5353241</v>
      </c>
      <c r="F94" s="2">
        <f>F6/'Output-Calculation-sheet'!F5*'Output-Calculation-sheet'!F77</f>
        <v>3484468954.1755366</v>
      </c>
      <c r="G94" s="2">
        <f>G6/'Output-Calculation-sheet'!G5*'Output-Calculation-sheet'!G77</f>
        <v>2697026053.5102057</v>
      </c>
      <c r="H94" s="2">
        <f>H6/'Output-Calculation-sheet'!H5*'Output-Calculation-sheet'!H77</f>
        <v>659615809.8443917</v>
      </c>
      <c r="I94" s="2">
        <f>I6/'Output-Calculation-sheet'!I5*'Output-Calculation-sheet'!I77</f>
        <v>1806968078.5354779</v>
      </c>
      <c r="J94" s="2">
        <f>J6/'Output-Calculation-sheet'!J5*'Output-Calculation-sheet'!J77</f>
        <v>1310033775.0364845</v>
      </c>
      <c r="K94" s="2">
        <f>K6/'Output-Calculation-sheet'!K5*'Output-Calculation-sheet'!K77</f>
        <v>1633413302.8018677</v>
      </c>
      <c r="L94" s="2">
        <f>L6/'Output-Calculation-sheet'!L5*'Output-Calculation-sheet'!L77</f>
        <v>1089396615.325907</v>
      </c>
      <c r="M94" s="2">
        <f>M6/'Output-Calculation-sheet'!M5*'Output-Calculation-sheet'!M77</f>
        <v>479774816.48526299</v>
      </c>
      <c r="N94" s="2">
        <f>N6/'Output-Calculation-sheet'!N5*'Output-Calculation-sheet'!N77</f>
        <v>565586042.10113823</v>
      </c>
      <c r="O94" s="2">
        <f>O6/'Output-Calculation-sheet'!O5*'Output-Calculation-sheet'!O77</f>
        <v>0</v>
      </c>
      <c r="P94" s="2">
        <f>P6/'Output-Calculation-sheet'!P5*'Output-Calculation-sheet'!P77</f>
        <v>1368604972.8951106</v>
      </c>
      <c r="Q94" s="2">
        <f>Q6/'Output-Calculation-sheet'!Q5*'Output-Calculation-sheet'!Q77</f>
        <v>623431525.90291893</v>
      </c>
      <c r="R94" s="2">
        <f>R6/'Output-Calculation-sheet'!R5*'Output-Calculation-sheet'!R77</f>
        <v>972450981.59025025</v>
      </c>
      <c r="S94" s="2">
        <f>S6/'Output-Calculation-sheet'!S5*'Output-Calculation-sheet'!S77</f>
        <v>328306930.23995799</v>
      </c>
      <c r="T94" s="2">
        <f>T6/'Output-Calculation-sheet'!T5*'Output-Calculation-sheet'!T77</f>
        <v>520316988.28541851</v>
      </c>
      <c r="U94" s="2">
        <f>U6/'Output-Calculation-sheet'!U5*'Output-Calculation-sheet'!U77</f>
        <v>265735605.8273018</v>
      </c>
      <c r="V94" s="2">
        <f>V6/'Output-Calculation-sheet'!V5*'Output-Calculation-sheet'!V77</f>
        <v>159035168.48927408</v>
      </c>
      <c r="W94" s="2">
        <f>W6/'Output-Calculation-sheet'!W5*'Output-Calculation-sheet'!W77</f>
        <v>547068202.39999545</v>
      </c>
      <c r="X94" s="2">
        <f>X6/'Output-Calculation-sheet'!X5*'Output-Calculation-sheet'!X77</f>
        <v>44743117.817296967</v>
      </c>
      <c r="Y94" s="2">
        <f>Y6/'Output-Calculation-sheet'!Y5*'Output-Calculation-sheet'!Y77</f>
        <v>230739516.93973136</v>
      </c>
      <c r="AA94" s="2">
        <f t="shared" si="8"/>
        <v>38.054161167046054</v>
      </c>
    </row>
    <row r="95" spans="1:27" x14ac:dyDescent="0.25">
      <c r="A95" s="2">
        <v>2030</v>
      </c>
      <c r="B95" s="2">
        <f>B7/'Output-Calculation-sheet'!B6*'Output-Calculation-sheet'!B78</f>
        <v>8988052881.553339</v>
      </c>
      <c r="C95" s="2">
        <f>C7/'Output-Calculation-sheet'!C6*'Output-Calculation-sheet'!C78</f>
        <v>0</v>
      </c>
      <c r="D95" s="2">
        <f>D7/'Output-Calculation-sheet'!D6*'Output-Calculation-sheet'!D78</f>
        <v>5732735025.2938633</v>
      </c>
      <c r="E95" s="2">
        <f>E7/'Output-Calculation-sheet'!E6*'Output-Calculation-sheet'!E78</f>
        <v>8713089634.6454163</v>
      </c>
      <c r="F95" s="2">
        <f>F7/'Output-Calculation-sheet'!F6*'Output-Calculation-sheet'!F78</f>
        <v>4181662334.8773317</v>
      </c>
      <c r="G95" s="2">
        <f>G7/'Output-Calculation-sheet'!G6*'Output-Calculation-sheet'!G78</f>
        <v>3279303902.3524408</v>
      </c>
      <c r="H95" s="2">
        <f>H7/'Output-Calculation-sheet'!H6*'Output-Calculation-sheet'!H78</f>
        <v>838746007.17779934</v>
      </c>
      <c r="I95" s="2">
        <f>I7/'Output-Calculation-sheet'!I6*'Output-Calculation-sheet'!I78</f>
        <v>2164241432.5814676</v>
      </c>
      <c r="J95" s="2">
        <f>J7/'Output-Calculation-sheet'!J6*'Output-Calculation-sheet'!J78</f>
        <v>1587221817.3574221</v>
      </c>
      <c r="K95" s="2">
        <f>K7/'Output-Calculation-sheet'!K6*'Output-Calculation-sheet'!K78</f>
        <v>1956507508.7056432</v>
      </c>
      <c r="L95" s="2">
        <f>L7/'Output-Calculation-sheet'!L6*'Output-Calculation-sheet'!L78</f>
        <v>1323470450.5055785</v>
      </c>
      <c r="M95" s="2">
        <f>M7/'Output-Calculation-sheet'!M6*'Output-Calculation-sheet'!M78</f>
        <v>615347858.65847147</v>
      </c>
      <c r="N95" s="2">
        <f>N7/'Output-Calculation-sheet'!N6*'Output-Calculation-sheet'!N78</f>
        <v>718074811.70019794</v>
      </c>
      <c r="O95" s="2">
        <f>O7/'Output-Calculation-sheet'!O6*'Output-Calculation-sheet'!O78</f>
        <v>0</v>
      </c>
      <c r="P95" s="2">
        <f>P7/'Output-Calculation-sheet'!P6*'Output-Calculation-sheet'!P78</f>
        <v>1665395169.2545445</v>
      </c>
      <c r="Q95" s="2">
        <f>Q7/'Output-Calculation-sheet'!Q6*'Output-Calculation-sheet'!Q78</f>
        <v>768862399.55820262</v>
      </c>
      <c r="R95" s="2">
        <f>R7/'Output-Calculation-sheet'!R6*'Output-Calculation-sheet'!R78</f>
        <v>1176700572.592907</v>
      </c>
      <c r="S95" s="2">
        <f>S7/'Output-Calculation-sheet'!S6*'Output-Calculation-sheet'!S78</f>
        <v>416903112.26363331</v>
      </c>
      <c r="T95" s="2">
        <f>T7/'Output-Calculation-sheet'!T6*'Output-Calculation-sheet'!T78</f>
        <v>627890938.10911441</v>
      </c>
      <c r="U95" s="2">
        <f>U7/'Output-Calculation-sheet'!U6*'Output-Calculation-sheet'!U78</f>
        <v>313161513.90728885</v>
      </c>
      <c r="V95" s="2">
        <f>V7/'Output-Calculation-sheet'!V6*'Output-Calculation-sheet'!V78</f>
        <v>187689648.84052458</v>
      </c>
      <c r="W95" s="2">
        <f>W7/'Output-Calculation-sheet'!W6*'Output-Calculation-sheet'!W78</f>
        <v>667780404.40357232</v>
      </c>
      <c r="X95" s="2">
        <f>X7/'Output-Calculation-sheet'!X6*'Output-Calculation-sheet'!X78</f>
        <v>58231264.503207512</v>
      </c>
      <c r="Y95" s="2">
        <f>Y7/'Output-Calculation-sheet'!Y6*'Output-Calculation-sheet'!Y78</f>
        <v>283385460.28698313</v>
      </c>
      <c r="AA95" s="2">
        <f t="shared" si="8"/>
        <v>46.264454149128937</v>
      </c>
    </row>
    <row r="96" spans="1:27" x14ac:dyDescent="0.25">
      <c r="A96" s="2">
        <v>2031</v>
      </c>
      <c r="B96" s="2">
        <f>B8/'Output-Calculation-sheet'!B7*'Output-Calculation-sheet'!B79</f>
        <v>10170088692.904678</v>
      </c>
      <c r="C96" s="2">
        <f>C8/'Output-Calculation-sheet'!C7*'Output-Calculation-sheet'!C79</f>
        <v>0</v>
      </c>
      <c r="D96" s="2">
        <f>D8/'Output-Calculation-sheet'!D7*'Output-Calculation-sheet'!D79</f>
        <v>6190449266.4231949</v>
      </c>
      <c r="E96" s="2">
        <f>E8/'Output-Calculation-sheet'!E7*'Output-Calculation-sheet'!E79</f>
        <v>9696445120.5077686</v>
      </c>
      <c r="F96" s="2">
        <f>F8/'Output-Calculation-sheet'!F7*'Output-Calculation-sheet'!F79</f>
        <v>4641467881.0808516</v>
      </c>
      <c r="G96" s="2">
        <f>G8/'Output-Calculation-sheet'!G7*'Output-Calculation-sheet'!G79</f>
        <v>3538427641.6095238</v>
      </c>
      <c r="H96" s="2">
        <f>H8/'Output-Calculation-sheet'!H7*'Output-Calculation-sheet'!H79</f>
        <v>956310959.85152924</v>
      </c>
      <c r="I96" s="2">
        <f>I8/'Output-Calculation-sheet'!I7*'Output-Calculation-sheet'!I79</f>
        <v>2426598901.4618187</v>
      </c>
      <c r="J96" s="2">
        <f>J8/'Output-Calculation-sheet'!J7*'Output-Calculation-sheet'!J79</f>
        <v>1727314153.543596</v>
      </c>
      <c r="K96" s="2">
        <f>K8/'Output-Calculation-sheet'!K7*'Output-Calculation-sheet'!K79</f>
        <v>2152794178.9720273</v>
      </c>
      <c r="L96" s="2">
        <f>L8/'Output-Calculation-sheet'!L7*'Output-Calculation-sheet'!L79</f>
        <v>1498040696.4416337</v>
      </c>
      <c r="M96" s="2">
        <f>M8/'Output-Calculation-sheet'!M7*'Output-Calculation-sheet'!M79</f>
        <v>708938849.68750751</v>
      </c>
      <c r="N96" s="2">
        <f>N8/'Output-Calculation-sheet'!N7*'Output-Calculation-sheet'!N79</f>
        <v>790116251.85082936</v>
      </c>
      <c r="O96" s="2">
        <f>O8/'Output-Calculation-sheet'!O7*'Output-Calculation-sheet'!O79</f>
        <v>0</v>
      </c>
      <c r="P96" s="2">
        <f>P8/'Output-Calculation-sheet'!P7*'Output-Calculation-sheet'!P79</f>
        <v>1827349738.1419716</v>
      </c>
      <c r="Q96" s="2">
        <f>Q8/'Output-Calculation-sheet'!Q7*'Output-Calculation-sheet'!Q79</f>
        <v>848348504.21861839</v>
      </c>
      <c r="R96" s="2">
        <f>R8/'Output-Calculation-sheet'!R7*'Output-Calculation-sheet'!R79</f>
        <v>1308888785.8732669</v>
      </c>
      <c r="S96" s="2">
        <f>S8/'Output-Calculation-sheet'!S7*'Output-Calculation-sheet'!S79</f>
        <v>479428438.26791632</v>
      </c>
      <c r="T96" s="2">
        <f>T8/'Output-Calculation-sheet'!T7*'Output-Calculation-sheet'!T79</f>
        <v>686066142.17287886</v>
      </c>
      <c r="U96" s="2">
        <f>U8/'Output-Calculation-sheet'!U7*'Output-Calculation-sheet'!U79</f>
        <v>348339720.30084664</v>
      </c>
      <c r="V96" s="2">
        <f>V8/'Output-Calculation-sheet'!V7*'Output-Calculation-sheet'!V79</f>
        <v>211166894.84611246</v>
      </c>
      <c r="W96" s="2">
        <f>W8/'Output-Calculation-sheet'!W7*'Output-Calculation-sheet'!W79</f>
        <v>735377779.2122997</v>
      </c>
      <c r="X96" s="2">
        <f>X8/'Output-Calculation-sheet'!X7*'Output-Calculation-sheet'!X79</f>
        <v>68561510.101219282</v>
      </c>
      <c r="Y96" s="2">
        <f>Y8/'Output-Calculation-sheet'!Y7*'Output-Calculation-sheet'!Y79</f>
        <v>312810805.00981081</v>
      </c>
      <c r="AA96" s="2">
        <f t="shared" si="8"/>
        <v>51.323330912479925</v>
      </c>
    </row>
    <row r="97" spans="1:27" x14ac:dyDescent="0.25">
      <c r="A97" s="2">
        <v>2032</v>
      </c>
      <c r="B97" s="2">
        <f>B9/'Output-Calculation-sheet'!B8*'Output-Calculation-sheet'!B80</f>
        <v>10506651648.653761</v>
      </c>
      <c r="C97" s="2">
        <f>C9/'Output-Calculation-sheet'!C8*'Output-Calculation-sheet'!C80</f>
        <v>0</v>
      </c>
      <c r="D97" s="2">
        <f>D9/'Output-Calculation-sheet'!D8*'Output-Calculation-sheet'!D80</f>
        <v>6099441736.9012794</v>
      </c>
      <c r="E97" s="2">
        <f>E9/'Output-Calculation-sheet'!E8*'Output-Calculation-sheet'!E80</f>
        <v>9840385799.5667706</v>
      </c>
      <c r="F97" s="2">
        <f>F9/'Output-Calculation-sheet'!F8*'Output-Calculation-sheet'!F80</f>
        <v>4694020640.4004164</v>
      </c>
      <c r="G97" s="2">
        <f>G9/'Output-Calculation-sheet'!G8*'Output-Calculation-sheet'!G80</f>
        <v>3475806728.2345538</v>
      </c>
      <c r="H97" s="2">
        <f>H9/'Output-Calculation-sheet'!H8*'Output-Calculation-sheet'!H80</f>
        <v>992624918.32440889</v>
      </c>
      <c r="I97" s="2">
        <f>I9/'Output-Calculation-sheet'!I8*'Output-Calculation-sheet'!I80</f>
        <v>2478516673.3930602</v>
      </c>
      <c r="J97" s="2">
        <f>J9/'Output-Calculation-sheet'!J8*'Output-Calculation-sheet'!J80</f>
        <v>1714122796.6494417</v>
      </c>
      <c r="K97" s="2">
        <f>K9/'Output-Calculation-sheet'!K8*'Output-Calculation-sheet'!K80</f>
        <v>2156218222.2541637</v>
      </c>
      <c r="L97" s="2">
        <f>L9/'Output-Calculation-sheet'!L8*'Output-Calculation-sheet'!L80</f>
        <v>1548130796.0970125</v>
      </c>
      <c r="M97" s="2">
        <f>M9/'Output-Calculation-sheet'!M8*'Output-Calculation-sheet'!M80</f>
        <v>737161995.75496101</v>
      </c>
      <c r="N97" s="2">
        <f>N9/'Output-Calculation-sheet'!N8*'Output-Calculation-sheet'!N80</f>
        <v>784631698.73238635</v>
      </c>
      <c r="O97" s="2">
        <f>O9/'Output-Calculation-sheet'!O8*'Output-Calculation-sheet'!O80</f>
        <v>0</v>
      </c>
      <c r="P97" s="2">
        <f>P9/'Output-Calculation-sheet'!P8*'Output-Calculation-sheet'!P80</f>
        <v>1836168970.088232</v>
      </c>
      <c r="Q97" s="2">
        <f>Q9/'Output-Calculation-sheet'!Q8*'Output-Calculation-sheet'!Q80</f>
        <v>856112824.13510692</v>
      </c>
      <c r="R97" s="2">
        <f>R9/'Output-Calculation-sheet'!R8*'Output-Calculation-sheet'!R80</f>
        <v>1326906776.0203187</v>
      </c>
      <c r="S97" s="2">
        <f>S9/'Output-Calculation-sheet'!S8*'Output-Calculation-sheet'!S80</f>
        <v>499967331.64130795</v>
      </c>
      <c r="T97" s="2">
        <f>T9/'Output-Calculation-sheet'!T8*'Output-Calculation-sheet'!T80</f>
        <v>682341155.52891278</v>
      </c>
      <c r="U97" s="2">
        <f>U9/'Output-Calculation-sheet'!U8*'Output-Calculation-sheet'!U80</f>
        <v>353288954.0889402</v>
      </c>
      <c r="V97" s="2">
        <f>V9/'Output-Calculation-sheet'!V8*'Output-Calculation-sheet'!V80</f>
        <v>216579372.51986995</v>
      </c>
      <c r="W97" s="2">
        <f>W9/'Output-Calculation-sheet'!W8*'Output-Calculation-sheet'!W80</f>
        <v>737339504.00109065</v>
      </c>
      <c r="X97" s="2">
        <f>X9/'Output-Calculation-sheet'!X8*'Output-Calculation-sheet'!X80</f>
        <v>72999526.106887132</v>
      </c>
      <c r="Y97" s="2">
        <f>Y9/'Output-Calculation-sheet'!Y8*'Output-Calculation-sheet'!Y80</f>
        <v>313962789.0329746</v>
      </c>
      <c r="AA97" s="2">
        <f t="shared" si="8"/>
        <v>51.923380858125867</v>
      </c>
    </row>
    <row r="98" spans="1:27" x14ac:dyDescent="0.25">
      <c r="A98" s="2">
        <v>2033</v>
      </c>
      <c r="B98" s="2">
        <f>B10/'Output-Calculation-sheet'!B9*'Output-Calculation-sheet'!B81</f>
        <v>10519454133.141506</v>
      </c>
      <c r="C98" s="2">
        <f>C10/'Output-Calculation-sheet'!C9*'Output-Calculation-sheet'!C81</f>
        <v>1377735292.619621</v>
      </c>
      <c r="D98" s="2">
        <f>D10/'Output-Calculation-sheet'!D9*'Output-Calculation-sheet'!D81</f>
        <v>5608276738.0673923</v>
      </c>
      <c r="E98" s="2">
        <f>E10/'Output-Calculation-sheet'!E9*'Output-Calculation-sheet'!E81</f>
        <v>9311692074.393631</v>
      </c>
      <c r="F98" s="2">
        <f>F10/'Output-Calculation-sheet'!F9*'Output-Calculation-sheet'!F81</f>
        <v>4433206939.2499228</v>
      </c>
      <c r="G98" s="2">
        <f>G10/'Output-Calculation-sheet'!G9*'Output-Calculation-sheet'!G81</f>
        <v>3183376263.5561023</v>
      </c>
      <c r="H98" s="2">
        <f>H10/'Output-Calculation-sheet'!H9*'Output-Calculation-sheet'!H81</f>
        <v>959387745.64004612</v>
      </c>
      <c r="I98" s="2">
        <f>I10/'Output-Calculation-sheet'!I9*'Output-Calculation-sheet'!I81</f>
        <v>2362791146.2350488</v>
      </c>
      <c r="J98" s="2">
        <f>J10/'Output-Calculation-sheet'!J9*'Output-Calculation-sheet'!J81</f>
        <v>1588809186.9360604</v>
      </c>
      <c r="K98" s="2">
        <f>K10/'Output-Calculation-sheet'!K9*'Output-Calculation-sheet'!K81</f>
        <v>2017733592.2679749</v>
      </c>
      <c r="L98" s="2">
        <f>L10/'Output-Calculation-sheet'!L9*'Output-Calculation-sheet'!L81</f>
        <v>1491796314.0290654</v>
      </c>
      <c r="M98" s="2">
        <f>M10/'Output-Calculation-sheet'!M9*'Output-Calculation-sheet'!M81</f>
        <v>715323695.20224094</v>
      </c>
      <c r="N98" s="2">
        <f>N10/'Output-Calculation-sheet'!N9*'Output-Calculation-sheet'!N81</f>
        <v>727916765.77904737</v>
      </c>
      <c r="O98" s="2">
        <f>O10/'Output-Calculation-sheet'!O9*'Output-Calculation-sheet'!O81</f>
        <v>0</v>
      </c>
      <c r="P98" s="2">
        <f>P10/'Output-Calculation-sheet'!P9*'Output-Calculation-sheet'!P81</f>
        <v>1716585554.3251419</v>
      </c>
      <c r="Q98" s="2">
        <f>Q10/'Output-Calculation-sheet'!Q9*'Output-Calculation-sheet'!Q81</f>
        <v>805741827.79176319</v>
      </c>
      <c r="R98" s="2">
        <f>R10/'Output-Calculation-sheet'!R9*'Output-Calculation-sheet'!R81</f>
        <v>1257324310.592427</v>
      </c>
      <c r="S98" s="2">
        <f>S10/'Output-Calculation-sheet'!S9*'Output-Calculation-sheet'!S81</f>
        <v>477427851.63303667</v>
      </c>
      <c r="T98" s="2">
        <f>T10/'Output-Calculation-sheet'!T9*'Output-Calculation-sheet'!T81</f>
        <v>633697498.38111353</v>
      </c>
      <c r="U98" s="2">
        <f>U10/'Output-Calculation-sheet'!U9*'Output-Calculation-sheet'!U81</f>
        <v>334022632.55552697</v>
      </c>
      <c r="V98" s="2">
        <f>V10/'Output-Calculation-sheet'!V9*'Output-Calculation-sheet'!V81</f>
        <v>206992349.27183786</v>
      </c>
      <c r="W98" s="2">
        <f>W10/'Output-Calculation-sheet'!W9*'Output-Calculation-sheet'!W81</f>
        <v>688176140.9049567</v>
      </c>
      <c r="X98" s="2">
        <f>X10/'Output-Calculation-sheet'!X9*'Output-Calculation-sheet'!X81</f>
        <v>71588511.871098593</v>
      </c>
      <c r="Y98" s="2">
        <f>Y10/'Output-Calculation-sheet'!Y9*'Output-Calculation-sheet'!Y81</f>
        <v>293786349.93395257</v>
      </c>
      <c r="AA98" s="2">
        <f t="shared" si="8"/>
        <v>50.782842914378499</v>
      </c>
    </row>
    <row r="99" spans="1:27" x14ac:dyDescent="0.25">
      <c r="A99" s="2">
        <v>2034</v>
      </c>
      <c r="B99" s="2">
        <f>B11/'Output-Calculation-sheet'!B10*'Output-Calculation-sheet'!B82</f>
        <v>9634629517.9864101</v>
      </c>
      <c r="C99" s="2">
        <f>C11/'Output-Calculation-sheet'!C10*'Output-Calculation-sheet'!C82</f>
        <v>1306692566.4542437</v>
      </c>
      <c r="D99" s="2">
        <f>D11/'Output-Calculation-sheet'!D10*'Output-Calculation-sheet'!D82</f>
        <v>4807238243.7534533</v>
      </c>
      <c r="E99" s="2">
        <f>E11/'Output-Calculation-sheet'!E10*'Output-Calculation-sheet'!E82</f>
        <v>8221190372.4299154</v>
      </c>
      <c r="F99" s="2">
        <f>F11/'Output-Calculation-sheet'!F10*'Output-Calculation-sheet'!F82</f>
        <v>3904310636.5056119</v>
      </c>
      <c r="G99" s="2">
        <f>G11/'Output-Calculation-sheet'!G10*'Output-Calculation-sheet'!G82</f>
        <v>2712150752.0812492</v>
      </c>
      <c r="H99" s="2">
        <f>H11/'Output-Calculation-sheet'!H10*'Output-Calculation-sheet'!H82</f>
        <v>865428436.06770337</v>
      </c>
      <c r="I99" s="2">
        <f>I11/'Output-Calculation-sheet'!I10*'Output-Calculation-sheet'!I82</f>
        <v>2102407532.2107494</v>
      </c>
      <c r="J99" s="2">
        <f>J11/'Output-Calculation-sheet'!J10*'Output-Calculation-sheet'!J82</f>
        <v>1373576702.377239</v>
      </c>
      <c r="K99" s="2">
        <f>K11/'Output-Calculation-sheet'!K10*'Output-Calculation-sheet'!K82</f>
        <v>1761169852.4955468</v>
      </c>
      <c r="L99" s="2">
        <f>L11/'Output-Calculation-sheet'!L10*'Output-Calculation-sheet'!L82</f>
        <v>1339196093.864373</v>
      </c>
      <c r="M99" s="2">
        <f>M11/'Output-Calculation-sheet'!M10*'Output-Calculation-sheet'!M82</f>
        <v>647367802.26638567</v>
      </c>
      <c r="N99" s="2">
        <f>N11/'Output-Calculation-sheet'!N10*'Output-Calculation-sheet'!N82</f>
        <v>631802978.49218905</v>
      </c>
      <c r="O99" s="2">
        <f>O11/'Output-Calculation-sheet'!O10*'Output-Calculation-sheet'!O82</f>
        <v>0</v>
      </c>
      <c r="P99" s="2">
        <f>P11/'Output-Calculation-sheet'!P10*'Output-Calculation-sheet'!P82</f>
        <v>1494359220.2689533</v>
      </c>
      <c r="Q99" s="2">
        <f>Q11/'Output-Calculation-sheet'!Q10*'Output-Calculation-sheet'!Q82</f>
        <v>707590115.93372583</v>
      </c>
      <c r="R99" s="2">
        <f>R11/'Output-Calculation-sheet'!R10*'Output-Calculation-sheet'!R82</f>
        <v>1110442926.161828</v>
      </c>
      <c r="S99" s="2">
        <f>S11/'Output-Calculation-sheet'!S10*'Output-Calculation-sheet'!S82</f>
        <v>432666721.75606775</v>
      </c>
      <c r="T99" s="2">
        <f>T11/'Output-Calculation-sheet'!T10*'Output-Calculation-sheet'!T82</f>
        <v>548646951.06277275</v>
      </c>
      <c r="U99" s="2">
        <f>U11/'Output-Calculation-sheet'!U10*'Output-Calculation-sheet'!U82</f>
        <v>294912136.18360603</v>
      </c>
      <c r="V99" s="2">
        <f>V11/'Output-Calculation-sheet'!V10*'Output-Calculation-sheet'!V82</f>
        <v>184490382.88005319</v>
      </c>
      <c r="W99" s="2">
        <f>W11/'Output-Calculation-sheet'!W10*'Output-Calculation-sheet'!W82</f>
        <v>598041299.72480428</v>
      </c>
      <c r="X99" s="2">
        <f>X11/'Output-Calculation-sheet'!X10*'Output-Calculation-sheet'!X82</f>
        <v>65805115.421096429</v>
      </c>
      <c r="Y99" s="2">
        <f>Y11/'Output-Calculation-sheet'!Y10*'Output-Calculation-sheet'!Y82</f>
        <v>255886865.41635102</v>
      </c>
      <c r="AA99" s="2">
        <f t="shared" si="8"/>
        <v>45.00000322179433</v>
      </c>
    </row>
    <row r="100" spans="1:27" x14ac:dyDescent="0.25">
      <c r="A100" s="2">
        <v>2035</v>
      </c>
      <c r="B100" s="2">
        <f>B12/'Output-Calculation-sheet'!B11*'Output-Calculation-sheet'!B83</f>
        <v>8032806379.9850044</v>
      </c>
      <c r="C100" s="2">
        <f>C12/'Output-Calculation-sheet'!C11*'Output-Calculation-sheet'!C83</f>
        <v>1136523238.8519597</v>
      </c>
      <c r="D100" s="2">
        <f>D12/'Output-Calculation-sheet'!D11*'Output-Calculation-sheet'!D83</f>
        <v>3820447083.0286465</v>
      </c>
      <c r="E100" s="2">
        <f>E12/'Output-Calculation-sheet'!E11*'Output-Calculation-sheet'!E83</f>
        <v>6721376853.7965784</v>
      </c>
      <c r="F100" s="2">
        <f>F12/'Output-Calculation-sheet'!F11*'Output-Calculation-sheet'!F83</f>
        <v>3185305764.4776926</v>
      </c>
      <c r="G100" s="2">
        <f>G12/'Output-Calculation-sheet'!G11*'Output-Calculation-sheet'!G83</f>
        <v>2136302035.2571948</v>
      </c>
      <c r="H100" s="2">
        <f>H12/'Output-Calculation-sheet'!H11*'Output-Calculation-sheet'!H83</f>
        <v>719844729.2673558</v>
      </c>
      <c r="I100" s="2">
        <f>I12/'Output-Calculation-sheet'!I11*'Output-Calculation-sheet'!I83</f>
        <v>1730900952.8631546</v>
      </c>
      <c r="J100" s="2">
        <f>J12/'Output-Calculation-sheet'!J11*'Output-Calculation-sheet'!J83</f>
        <v>1099674067.9750218</v>
      </c>
      <c r="K100" s="2">
        <f>K12/'Output-Calculation-sheet'!K11*'Output-Calculation-sheet'!K83</f>
        <v>1423433101.7652018</v>
      </c>
      <c r="L100" s="2">
        <f>L12/'Output-Calculation-sheet'!L11*'Output-Calculation-sheet'!L83</f>
        <v>1112178328.0649033</v>
      </c>
      <c r="M100" s="2">
        <f>M12/'Output-Calculation-sheet'!M11*'Output-Calculation-sheet'!M83</f>
        <v>539558834.28647053</v>
      </c>
      <c r="N100" s="2">
        <f>N12/'Output-Calculation-sheet'!N11*'Output-Calculation-sheet'!N83</f>
        <v>508281135.06140876</v>
      </c>
      <c r="O100" s="2">
        <f>O12/'Output-Calculation-sheet'!O11*'Output-Calculation-sheet'!O83</f>
        <v>137127970.18146479</v>
      </c>
      <c r="P100" s="2">
        <f>P12/'Output-Calculation-sheet'!P11*'Output-Calculation-sheet'!P83</f>
        <v>1204028548.8096564</v>
      </c>
      <c r="Q100" s="2">
        <f>Q12/'Output-Calculation-sheet'!Q11*'Output-Calculation-sheet'!Q83</f>
        <v>577424515.09720862</v>
      </c>
      <c r="R100" s="2">
        <f>R12/'Output-Calculation-sheet'!R11*'Output-Calculation-sheet'!R83</f>
        <v>909557956.63362765</v>
      </c>
      <c r="S100" s="2">
        <f>S12/'Output-Calculation-sheet'!S11*'Output-Calculation-sheet'!S83</f>
        <v>352774171.24978411</v>
      </c>
      <c r="T100" s="2">
        <f>T12/'Output-Calculation-sheet'!T11*'Output-Calculation-sheet'!T83</f>
        <v>439713024.23595178</v>
      </c>
      <c r="U100" s="2">
        <f>U12/'Output-Calculation-sheet'!U11*'Output-Calculation-sheet'!U83</f>
        <v>240872286.34521052</v>
      </c>
      <c r="V100" s="2">
        <f>V12/'Output-Calculation-sheet'!V11*'Output-Calculation-sheet'!V83</f>
        <v>152242367.07277855</v>
      </c>
      <c r="W100" s="2">
        <f>W12/'Output-Calculation-sheet'!W11*'Output-Calculation-sheet'!W83</f>
        <v>480401458.05219263</v>
      </c>
      <c r="X100" s="2">
        <f>X12/'Output-Calculation-sheet'!X11*'Output-Calculation-sheet'!X83</f>
        <v>55900732.405361488</v>
      </c>
      <c r="Y100" s="2">
        <f>Y12/'Output-Calculation-sheet'!Y11*'Output-Calculation-sheet'!Y83</f>
        <v>206261164.1858238</v>
      </c>
      <c r="AA100" s="2">
        <f t="shared" si="8"/>
        <v>36.922936698949663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AB08-AEFB-4927-89D0-2BCEF9329367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95147940954.793701</v>
      </c>
      <c r="C8" s="2">
        <v>44838497692.624252</v>
      </c>
      <c r="D8" s="2">
        <v>39963223053.66922</v>
      </c>
      <c r="E8" s="2">
        <v>31706762153.154606</v>
      </c>
      <c r="F8" s="2">
        <v>20410780584.130936</v>
      </c>
      <c r="G8" s="2">
        <v>14341174597.164181</v>
      </c>
      <c r="H8" s="2">
        <v>13989265307.97233</v>
      </c>
      <c r="I8" s="2">
        <v>13065938955.142265</v>
      </c>
      <c r="J8" s="2">
        <v>12717482558.084991</v>
      </c>
      <c r="K8" s="2">
        <v>12595565152.757164</v>
      </c>
      <c r="L8" s="2">
        <v>10104326125.310034</v>
      </c>
      <c r="M8" s="2">
        <v>9651373574.8651047</v>
      </c>
      <c r="N8" s="2">
        <v>9472795289.7269993</v>
      </c>
      <c r="O8" s="2">
        <v>8712159040.2655773</v>
      </c>
      <c r="P8" s="2">
        <v>8623519710.3938999</v>
      </c>
      <c r="Q8" s="2">
        <v>8484149694.8723841</v>
      </c>
      <c r="R8" s="2">
        <v>8162142242.5106936</v>
      </c>
      <c r="S8" s="2">
        <v>5424977854.1750555</v>
      </c>
      <c r="T8" s="2">
        <v>3000333304.3945193</v>
      </c>
      <c r="U8" s="2">
        <v>2613187791.0284567</v>
      </c>
      <c r="V8" s="2">
        <v>2012206862.8477337</v>
      </c>
      <c r="W8" s="2">
        <v>1742125194.01897</v>
      </c>
      <c r="X8" s="2">
        <v>1045275116.4113824</v>
      </c>
      <c r="Y8" s="2">
        <v>1016519597.9589037</v>
      </c>
    </row>
    <row r="9" spans="1:27" x14ac:dyDescent="0.25">
      <c r="A9" s="2">
        <v>2032</v>
      </c>
      <c r="B9" s="2">
        <v>102715346999.48003</v>
      </c>
      <c r="C9" s="2">
        <v>48404640218.34671</v>
      </c>
      <c r="D9" s="2">
        <v>43141620112.678291</v>
      </c>
      <c r="E9" s="2">
        <v>34228497685.920494</v>
      </c>
      <c r="F9" s="2">
        <v>22034112238.175911</v>
      </c>
      <c r="G9" s="2">
        <v>15481771968.430937</v>
      </c>
      <c r="H9" s="2">
        <v>15101874259.778946</v>
      </c>
      <c r="I9" s="2">
        <v>14105112944.999002</v>
      </c>
      <c r="J9" s="2">
        <v>13728942747.527975</v>
      </c>
      <c r="K9" s="2">
        <v>13597328878.979059</v>
      </c>
      <c r="L9" s="2">
        <v>10907954010.799246</v>
      </c>
      <c r="M9" s="2">
        <v>10418976762.039284</v>
      </c>
      <c r="N9" s="2">
        <v>10226195601.033945</v>
      </c>
      <c r="O9" s="2">
        <v>9405063629.9182129</v>
      </c>
      <c r="P9" s="2">
        <v>9309374543.6993484</v>
      </c>
      <c r="Q9" s="2">
        <v>9158920005.61936</v>
      </c>
      <c r="R9" s="2">
        <v>8811302318.1124477</v>
      </c>
      <c r="S9" s="2">
        <v>5856442894.7635717</v>
      </c>
      <c r="T9" s="2">
        <v>3238958966.2418542</v>
      </c>
      <c r="U9" s="2">
        <v>2821022588.9998045</v>
      </c>
      <c r="V9" s="2">
        <v>2172243813.9816308</v>
      </c>
      <c r="W9" s="2">
        <v>1880681725.9998682</v>
      </c>
      <c r="X9" s="2">
        <v>1128409035.5999217</v>
      </c>
      <c r="Y9" s="2">
        <v>1097366503.030566</v>
      </c>
    </row>
    <row r="10" spans="1:27" x14ac:dyDescent="0.25">
      <c r="A10" s="2">
        <v>2033</v>
      </c>
      <c r="B10" s="2">
        <v>107369966975.98744</v>
      </c>
      <c r="C10" s="2">
        <v>50598131375.195068</v>
      </c>
      <c r="D10" s="2">
        <v>45096613720.365585</v>
      </c>
      <c r="E10" s="2">
        <v>35779586727.128036</v>
      </c>
      <c r="F10" s="2">
        <v>23032603914.292618</v>
      </c>
      <c r="G10" s="2">
        <v>16183339622.934952</v>
      </c>
      <c r="H10" s="2">
        <v>15786226575.822096</v>
      </c>
      <c r="I10" s="2">
        <v>14744296303.694347</v>
      </c>
      <c r="J10" s="2">
        <v>14351079682.618052</v>
      </c>
      <c r="K10" s="2">
        <v>14213501636.761375</v>
      </c>
      <c r="L10" s="2">
        <v>11402255808.190315</v>
      </c>
      <c r="M10" s="2">
        <v>10891120202.995581</v>
      </c>
      <c r="N10" s="2">
        <v>10689603024.741385</v>
      </c>
      <c r="O10" s="2">
        <v>9831260866.5625286</v>
      </c>
      <c r="P10" s="2">
        <v>9731235560.4382763</v>
      </c>
      <c r="Q10" s="2">
        <v>9573963066.5322056</v>
      </c>
      <c r="R10" s="2">
        <v>9210592832.9869175</v>
      </c>
      <c r="S10" s="2">
        <v>6121831825.2938786</v>
      </c>
      <c r="T10" s="2">
        <v>3385734726.1235147</v>
      </c>
      <c r="U10" s="2">
        <v>2948859260.738874</v>
      </c>
      <c r="V10" s="2">
        <v>2270680607.9541492</v>
      </c>
      <c r="W10" s="2">
        <v>1965906173.8259144</v>
      </c>
      <c r="X10" s="2">
        <v>1179543704.2955494</v>
      </c>
      <c r="Y10" s="2">
        <v>1147094456.9903769</v>
      </c>
    </row>
    <row r="11" spans="1:27" x14ac:dyDescent="0.25">
      <c r="A11" s="2">
        <v>2034</v>
      </c>
      <c r="B11" s="2">
        <v>109490936327.56226</v>
      </c>
      <c r="C11" s="2">
        <v>51597638862.402779</v>
      </c>
      <c r="D11" s="2">
        <v>45987445097.654678</v>
      </c>
      <c r="E11" s="2">
        <v>36486371026.290787</v>
      </c>
      <c r="F11" s="2">
        <v>23487586330.37273</v>
      </c>
      <c r="G11" s="2">
        <v>16503022755.128218</v>
      </c>
      <c r="H11" s="2">
        <v>16098065199.66951</v>
      </c>
      <c r="I11" s="2">
        <v>15035552801.683838</v>
      </c>
      <c r="J11" s="2">
        <v>14634568641.645559</v>
      </c>
      <c r="K11" s="2">
        <v>14494272900.823244</v>
      </c>
      <c r="L11" s="2">
        <v>11627494166.635521</v>
      </c>
      <c r="M11" s="2">
        <v>11106261669.510485</v>
      </c>
      <c r="N11" s="2">
        <v>10900763752.778568</v>
      </c>
      <c r="O11" s="2">
        <v>10025466039.317953</v>
      </c>
      <c r="P11" s="2">
        <v>9923464849.1113396</v>
      </c>
      <c r="Q11" s="2">
        <v>9763085619.2267151</v>
      </c>
      <c r="R11" s="2">
        <v>9392537427.5397758</v>
      </c>
      <c r="S11" s="2">
        <v>6242761523.2591152</v>
      </c>
      <c r="T11" s="2">
        <v>3452615994.5910411</v>
      </c>
      <c r="U11" s="2">
        <v>3007110560.336772</v>
      </c>
      <c r="V11" s="2">
        <v>2315535273.6705227</v>
      </c>
      <c r="W11" s="2">
        <v>2004740373.5578463</v>
      </c>
      <c r="X11" s="2">
        <v>1202844224.1347089</v>
      </c>
      <c r="Y11" s="2">
        <v>1169753979.5287611</v>
      </c>
    </row>
    <row r="12" spans="1:27" x14ac:dyDescent="0.25">
      <c r="A12" s="2">
        <v>2035</v>
      </c>
      <c r="B12" s="2">
        <v>109270124194.74315</v>
      </c>
      <c r="C12" s="2">
        <v>51493581073.988655</v>
      </c>
      <c r="D12" s="2">
        <v>45894701477.264626</v>
      </c>
      <c r="E12" s="2">
        <v>36412788374.83696</v>
      </c>
      <c r="F12" s="2">
        <v>23440218537.144012</v>
      </c>
      <c r="G12" s="2">
        <v>16469740843.631723</v>
      </c>
      <c r="H12" s="2">
        <v>16065599972.590206</v>
      </c>
      <c r="I12" s="2">
        <v>15005230360.451611</v>
      </c>
      <c r="J12" s="2">
        <v>14605054871.620052</v>
      </c>
      <c r="K12" s="2">
        <v>14465042067.475376</v>
      </c>
      <c r="L12" s="2">
        <v>11604044812.082598</v>
      </c>
      <c r="M12" s="2">
        <v>11083863492.920279</v>
      </c>
      <c r="N12" s="2">
        <v>10878780007.143154</v>
      </c>
      <c r="O12" s="2">
        <v>10005247520.663364</v>
      </c>
      <c r="P12" s="2">
        <v>9903452037.8980694</v>
      </c>
      <c r="Q12" s="2">
        <v>9743396247.3865891</v>
      </c>
      <c r="R12" s="2">
        <v>9373595346.1993294</v>
      </c>
      <c r="S12" s="2">
        <v>6230171645.6594944</v>
      </c>
      <c r="T12" s="2">
        <v>3445653048.3678927</v>
      </c>
      <c r="U12" s="2">
        <v>3001046072.0903268</v>
      </c>
      <c r="V12" s="2">
        <v>2310865496.4309945</v>
      </c>
      <c r="W12" s="2">
        <v>2000697381.3935494</v>
      </c>
      <c r="X12" s="2">
        <v>1200418428.8361306</v>
      </c>
      <c r="Y12" s="2">
        <v>1167394917.8588464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-4.5195892169162742E-11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179.75465711761834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2.8216810779890991E-12</v>
      </c>
      <c r="Y16" s="2">
        <f>Y5/'Output-Calculation-sheet'!Y4*'Output-Calculation-sheet'!Y22</f>
        <v>0</v>
      </c>
      <c r="AA16" s="2">
        <f t="shared" ref="AA16:AA23" si="0">SUM(B16:Y16)/1000</f>
        <v>0.17975465711757596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1365.8555704711405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929.66927532141654</v>
      </c>
      <c r="N17" s="2">
        <f>N6/'Output-Calculation-sheet'!N5*'Output-Calculation-sheet'!N23</f>
        <v>381.26597866232555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85.6951003305266</v>
      </c>
      <c r="Y17" s="2">
        <f>Y6/'Output-Calculation-sheet'!Y5*'Output-Calculation-sheet'!Y23</f>
        <v>0</v>
      </c>
      <c r="AA17" s="2">
        <f t="shared" si="0"/>
        <v>2.7624859247854094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1764.8877932355176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1199.5524955666799</v>
      </c>
      <c r="N18" s="2">
        <f>N7/'Output-Calculation-sheet'!N6*'Output-Calculation-sheet'!N24</f>
        <v>664.02121659247052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117.96719317359887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112.61595833370302</v>
      </c>
      <c r="Y18" s="2">
        <f>Y7/'Output-Calculation-sheet'!Y6*'Output-Calculation-sheet'!Y24</f>
        <v>0</v>
      </c>
      <c r="AA18" s="2">
        <f t="shared" si="0"/>
        <v>3.8590446569019701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2090.9426922713483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1431.9755938494432</v>
      </c>
      <c r="N19" s="2">
        <f>N8/'Output-Calculation-sheet'!N7*'Output-Calculation-sheet'!N25</f>
        <v>963.21154981118013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255.48748341162317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135.89991317979573</v>
      </c>
      <c r="Y19" s="2">
        <f>Y8/'Output-Calculation-sheet'!Y7*'Output-Calculation-sheet'!Y25</f>
        <v>0</v>
      </c>
      <c r="AA19" s="2">
        <f t="shared" si="0"/>
        <v>4.8775172325233909</v>
      </c>
    </row>
    <row r="20" spans="1:27" x14ac:dyDescent="0.25">
      <c r="A20" s="2">
        <v>2032</v>
      </c>
      <c r="B20" s="2">
        <f>B9/'Output-Calculation-sheet'!B8*'Output-Calculation-sheet'!B26</f>
        <v>2.2058259248887251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2331.7174789676851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1594.591581498355</v>
      </c>
      <c r="N20" s="2">
        <f>N9/'Output-Calculation-sheet'!N8*'Output-Calculation-sheet'!N26</f>
        <v>1161.3181274682504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399.55298212581471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153.4869903749495</v>
      </c>
      <c r="Y20" s="2">
        <f>Y9/'Output-Calculation-sheet'!Y8*'Output-Calculation-sheet'!Y26</f>
        <v>0</v>
      </c>
      <c r="AA20" s="2">
        <f t="shared" si="0"/>
        <v>5.6428729863599436</v>
      </c>
    </row>
    <row r="21" spans="1:27" x14ac:dyDescent="0.25">
      <c r="A21" s="2">
        <v>2033</v>
      </c>
      <c r="B21" s="2">
        <f>B10/'Output-Calculation-sheet'!B9*'Output-Calculation-sheet'!B27</f>
        <v>3590.1064920654976</v>
      </c>
      <c r="C21" s="2">
        <f>C10/'Output-Calculation-sheet'!C9*'Output-Calculation-sheet'!C27</f>
        <v>5602.1146271349771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2513.4552999241823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1720.5891060834467</v>
      </c>
      <c r="N21" s="2">
        <f>N10/'Output-Calculation-sheet'!N9*'Output-Calculation-sheet'!N27</f>
        <v>1344.3461022470399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512.85458939790158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165.61620887153609</v>
      </c>
      <c r="Y21" s="2">
        <f>Y10/'Output-Calculation-sheet'!Y9*'Output-Calculation-sheet'!Y27</f>
        <v>0</v>
      </c>
      <c r="AA21" s="2">
        <f t="shared" si="0"/>
        <v>15.44908242572458</v>
      </c>
    </row>
    <row r="22" spans="1:27" x14ac:dyDescent="0.25">
      <c r="A22" s="2">
        <v>2034</v>
      </c>
      <c r="B22" s="2">
        <f>B11/'Output-Calculation-sheet'!B10*'Output-Calculation-sheet'!B28</f>
        <v>6256.68234216361</v>
      </c>
      <c r="C22" s="2">
        <f>C11/'Output-Calculation-sheet'!C10*'Output-Calculation-sheet'!C28</f>
        <v>6061.6785023725633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2648.3655810233549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1813.0940649945544</v>
      </c>
      <c r="N22" s="2">
        <f>N11/'Output-Calculation-sheet'!N10*'Output-Calculation-sheet'!N28</f>
        <v>1453.8865936568632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593.08650475779791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175.66553053223643</v>
      </c>
      <c r="Y22" s="2">
        <f>Y11/'Output-Calculation-sheet'!Y10*'Output-Calculation-sheet'!Y28</f>
        <v>0</v>
      </c>
      <c r="AA22" s="2">
        <f t="shared" si="0"/>
        <v>19.002459119500976</v>
      </c>
    </row>
    <row r="23" spans="1:27" x14ac:dyDescent="0.25">
      <c r="A23" s="2">
        <v>2035</v>
      </c>
      <c r="B23" s="2">
        <f>B12/'Output-Calculation-sheet'!B11*'Output-Calculation-sheet'!B29</f>
        <v>7778.9480010091547</v>
      </c>
      <c r="C23" s="2">
        <f>C12/'Output-Calculation-sheet'!C11*'Output-Calculation-sheet'!C29</f>
        <v>6374.2621435751653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2719.5413878359327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1858.9145451024524</v>
      </c>
      <c r="N23" s="2">
        <f>N12/'Output-Calculation-sheet'!N11*'Output-Calculation-sheet'!N29</f>
        <v>1519.501557817913</v>
      </c>
      <c r="O23" s="2">
        <f>O12/'Output-Calculation-sheet'!O11*'Output-Calculation-sheet'!O29</f>
        <v>1083.7804013564235</v>
      </c>
      <c r="P23" s="2">
        <f>P12/'Output-Calculation-sheet'!P11*'Output-Calculation-sheet'!P29</f>
        <v>0</v>
      </c>
      <c r="Q23" s="2">
        <f>Q12/'Output-Calculation-sheet'!Q11*'Output-Calculation-sheet'!Q29</f>
        <v>20.739420234784603</v>
      </c>
      <c r="R23" s="2">
        <f>R12/'Output-Calculation-sheet'!R11*'Output-Calculation-sheet'!R29</f>
        <v>0</v>
      </c>
      <c r="S23" s="2">
        <f>S12/'Output-Calculation-sheet'!S11*'Output-Calculation-sheet'!S29</f>
        <v>667.2994752829876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182.22358139744949</v>
      </c>
      <c r="Y23" s="2">
        <f>Y12/'Output-Calculation-sheet'!Y11*'Output-Calculation-sheet'!Y29</f>
        <v>0</v>
      </c>
      <c r="AA23" s="2">
        <f t="shared" si="0"/>
        <v>22.205210513612265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8368.6388549606927</v>
      </c>
      <c r="C27" s="2">
        <f>C5/'Output-Calculation-sheet'!C4*'Output-Calculation-sheet'!C13</f>
        <v>0</v>
      </c>
      <c r="D27" s="2">
        <f>D5/'Output-Calculation-sheet'!D4*'Output-Calculation-sheet'!D13</f>
        <v>2702.6278056105175</v>
      </c>
      <c r="E27" s="2">
        <f>E5/'Output-Calculation-sheet'!E4*'Output-Calculation-sheet'!E13</f>
        <v>2757.101662138964</v>
      </c>
      <c r="F27" s="2">
        <f>F5/'Output-Calculation-sheet'!F4*'Output-Calculation-sheet'!F13</f>
        <v>1566.2038361421328</v>
      </c>
      <c r="G27" s="2">
        <f>G5/'Output-Calculation-sheet'!G4*'Output-Calculation-sheet'!G13</f>
        <v>949.81826434336756</v>
      </c>
      <c r="H27" s="2">
        <f>H5/'Output-Calculation-sheet'!H4*'Output-Calculation-sheet'!H13</f>
        <v>0</v>
      </c>
      <c r="I27" s="2">
        <f>I5/'Output-Calculation-sheet'!I4*'Output-Calculation-sheet'!I13</f>
        <v>949.1161808096399</v>
      </c>
      <c r="J27" s="2">
        <f>J5/'Output-Calculation-sheet'!J4*'Output-Calculation-sheet'!J13</f>
        <v>872.55288810108993</v>
      </c>
      <c r="K27" s="2">
        <f>K5/'Output-Calculation-sheet'!K4*'Output-Calculation-sheet'!K13</f>
        <v>1063.6604894629943</v>
      </c>
      <c r="L27" s="2">
        <f>L5/'Output-Calculation-sheet'!L4*'Output-Calculation-sheet'!L13</f>
        <v>881.96219270735446</v>
      </c>
      <c r="M27" s="2">
        <f>M5/'Output-Calculation-sheet'!M4*'Output-Calculation-sheet'!M13</f>
        <v>0</v>
      </c>
      <c r="N27" s="2">
        <f>N5/'Output-Calculation-sheet'!N4*'Output-Calculation-sheet'!N13</f>
        <v>572.90567468054985</v>
      </c>
      <c r="O27" s="2">
        <f>O5/'Output-Calculation-sheet'!O4*'Output-Calculation-sheet'!O13</f>
        <v>0</v>
      </c>
      <c r="P27" s="2">
        <f>P5/'Output-Calculation-sheet'!P4*'Output-Calculation-sheet'!P13</f>
        <v>689.25991538622191</v>
      </c>
      <c r="Q27" s="2">
        <f>Q5/'Output-Calculation-sheet'!Q4*'Output-Calculation-sheet'!Q13</f>
        <v>743.58934648937327</v>
      </c>
      <c r="R27" s="2">
        <f>R5/'Output-Calculation-sheet'!R4*'Output-Calculation-sheet'!R13</f>
        <v>671.07588355119867</v>
      </c>
      <c r="S27" s="2">
        <f>S5/'Output-Calculation-sheet'!S4*'Output-Calculation-sheet'!S13</f>
        <v>402.85384544380736</v>
      </c>
      <c r="T27" s="2">
        <f>T5/'Output-Calculation-sheet'!T4*'Output-Calculation-sheet'!T13</f>
        <v>246.68521175349937</v>
      </c>
      <c r="U27" s="2">
        <f>U5/'Output-Calculation-sheet'!U4*'Output-Calculation-sheet'!U13</f>
        <v>188.38017298332596</v>
      </c>
      <c r="V27" s="2">
        <f>V5/'Output-Calculation-sheet'!V4*'Output-Calculation-sheet'!V13</f>
        <v>180.46128445485468</v>
      </c>
      <c r="W27" s="2">
        <f>W5/'Output-Calculation-sheet'!W4*'Output-Calculation-sheet'!W13</f>
        <v>126.29843563697831</v>
      </c>
      <c r="X27" s="2">
        <f>X5/'Output-Calculation-sheet'!X4*'Output-Calculation-sheet'!X13</f>
        <v>0</v>
      </c>
      <c r="Y27" s="2">
        <f>Y5/'Output-Calculation-sheet'!Y4*'Output-Calculation-sheet'!Y13</f>
        <v>82.903041037375289</v>
      </c>
      <c r="AA27" s="2">
        <f t="shared" ref="AA27:AA34" si="1">SUM(B27:Y27)/1000</f>
        <v>24.016094985693933</v>
      </c>
    </row>
    <row r="28" spans="1:27" x14ac:dyDescent="0.25">
      <c r="A28" s="2">
        <v>2029</v>
      </c>
      <c r="B28" s="2">
        <f>B6/'Output-Calculation-sheet'!B5*'Output-Calculation-sheet'!B14</f>
        <v>11382.576752299157</v>
      </c>
      <c r="C28" s="2">
        <f>C6/'Output-Calculation-sheet'!C5*'Output-Calculation-sheet'!C14</f>
        <v>0</v>
      </c>
      <c r="D28" s="2">
        <f>D6/'Output-Calculation-sheet'!D5*'Output-Calculation-sheet'!D14</f>
        <v>3620.8712728420778</v>
      </c>
      <c r="E28" s="2">
        <f>E6/'Output-Calculation-sheet'!E5*'Output-Calculation-sheet'!E14</f>
        <v>3718.2455007363183</v>
      </c>
      <c r="F28" s="2">
        <f>F6/'Output-Calculation-sheet'!F5*'Output-Calculation-sheet'!F14</f>
        <v>2096.7103251445646</v>
      </c>
      <c r="G28" s="2">
        <f>G6/'Output-Calculation-sheet'!G5*'Output-Calculation-sheet'!G14</f>
        <v>1270.3242082281017</v>
      </c>
      <c r="H28" s="2">
        <f>H6/'Output-Calculation-sheet'!H5*'Output-Calculation-sheet'!H14</f>
        <v>0</v>
      </c>
      <c r="I28" s="2">
        <f>I6/'Output-Calculation-sheet'!I5*'Output-Calculation-sheet'!I14</f>
        <v>1275.9031893260374</v>
      </c>
      <c r="J28" s="2">
        <f>J6/'Output-Calculation-sheet'!J5*'Output-Calculation-sheet'!J14</f>
        <v>1169.2349527227605</v>
      </c>
      <c r="K28" s="2">
        <f>K6/'Output-Calculation-sheet'!K5*'Output-Calculation-sheet'!K14</f>
        <v>1434.0544668317659</v>
      </c>
      <c r="L28" s="2">
        <f>L6/'Output-Calculation-sheet'!L5*'Output-Calculation-sheet'!L14</f>
        <v>1186.0173652882559</v>
      </c>
      <c r="M28" s="2">
        <f>M6/'Output-Calculation-sheet'!M5*'Output-Calculation-sheet'!M14</f>
        <v>0</v>
      </c>
      <c r="N28" s="2">
        <f>N6/'Output-Calculation-sheet'!N5*'Output-Calculation-sheet'!N14</f>
        <v>751.8905728494766</v>
      </c>
      <c r="O28" s="2">
        <f>O6/'Output-Calculation-sheet'!O5*'Output-Calculation-sheet'!O14</f>
        <v>0</v>
      </c>
      <c r="P28" s="2">
        <f>P6/'Output-Calculation-sheet'!P5*'Output-Calculation-sheet'!P14</f>
        <v>939.03394474886909</v>
      </c>
      <c r="Q28" s="2">
        <f>Q6/'Output-Calculation-sheet'!Q5*'Output-Calculation-sheet'!Q14</f>
        <v>1019.3374431875496</v>
      </c>
      <c r="R28" s="2">
        <f>R6/'Output-Calculation-sheet'!R5*'Output-Calculation-sheet'!R14</f>
        <v>906.34180666096779</v>
      </c>
      <c r="S28" s="2">
        <f>S6/'Output-Calculation-sheet'!S5*'Output-Calculation-sheet'!S14</f>
        <v>555.55812234133214</v>
      </c>
      <c r="T28" s="2">
        <f>T6/'Output-Calculation-sheet'!T5*'Output-Calculation-sheet'!T14</f>
        <v>331.37937255296811</v>
      </c>
      <c r="U28" s="2">
        <f>U6/'Output-Calculation-sheet'!U5*'Output-Calculation-sheet'!U14</f>
        <v>254.21469811921583</v>
      </c>
      <c r="V28" s="2">
        <f>V6/'Output-Calculation-sheet'!V5*'Output-Calculation-sheet'!V14</f>
        <v>243.151615863193</v>
      </c>
      <c r="W28" s="2">
        <f>W6/'Output-Calculation-sheet'!W5*'Output-Calculation-sheet'!W14</f>
        <v>169.6771422124115</v>
      </c>
      <c r="X28" s="2">
        <f>X6/'Output-Calculation-sheet'!X5*'Output-Calculation-sheet'!X14</f>
        <v>0</v>
      </c>
      <c r="Y28" s="2">
        <f>Y6/'Output-Calculation-sheet'!Y5*'Output-Calculation-sheet'!Y14</f>
        <v>111.57048803484622</v>
      </c>
      <c r="AA28" s="2">
        <f t="shared" si="1"/>
        <v>32.436093239989866</v>
      </c>
    </row>
    <row r="29" spans="1:27" x14ac:dyDescent="0.25">
      <c r="A29" s="2">
        <v>2030</v>
      </c>
      <c r="B29" s="2">
        <f>B7/'Output-Calculation-sheet'!B6*'Output-Calculation-sheet'!B15</f>
        <v>14196.496637802778</v>
      </c>
      <c r="C29" s="2">
        <f>C7/'Output-Calculation-sheet'!C6*'Output-Calculation-sheet'!C15</f>
        <v>0</v>
      </c>
      <c r="D29" s="2">
        <f>D7/'Output-Calculation-sheet'!D6*'Output-Calculation-sheet'!D15</f>
        <v>4462.6113684516886</v>
      </c>
      <c r="E29" s="2">
        <f>E7/'Output-Calculation-sheet'!E6*'Output-Calculation-sheet'!E15</f>
        <v>4600.3729237478128</v>
      </c>
      <c r="F29" s="2">
        <f>F7/'Output-Calculation-sheet'!F6*'Output-Calculation-sheet'!F15</f>
        <v>2580.4201269724185</v>
      </c>
      <c r="G29" s="2">
        <f>G7/'Output-Calculation-sheet'!G6*'Output-Calculation-sheet'!G15</f>
        <v>1560.7874323025187</v>
      </c>
      <c r="H29" s="2">
        <f>H7/'Output-Calculation-sheet'!H6*'Output-Calculation-sheet'!H15</f>
        <v>0</v>
      </c>
      <c r="I29" s="2">
        <f>I7/'Output-Calculation-sheet'!I6*'Output-Calculation-sheet'!I15</f>
        <v>1572.6542035237796</v>
      </c>
      <c r="J29" s="2">
        <f>J7/'Output-Calculation-sheet'!J6*'Output-Calculation-sheet'!J15</f>
        <v>1438.5857973863817</v>
      </c>
      <c r="K29" s="2">
        <f>K7/'Output-Calculation-sheet'!K6*'Output-Calculation-sheet'!K15</f>
        <v>1771.2890897175346</v>
      </c>
      <c r="L29" s="2">
        <f>L7/'Output-Calculation-sheet'!L6*'Output-Calculation-sheet'!L15</f>
        <v>1468.5249945871315</v>
      </c>
      <c r="M29" s="2">
        <f>M7/'Output-Calculation-sheet'!M6*'Output-Calculation-sheet'!M15</f>
        <v>0</v>
      </c>
      <c r="N29" s="2">
        <f>N7/'Output-Calculation-sheet'!N6*'Output-Calculation-sheet'!N15</f>
        <v>832.74949466042415</v>
      </c>
      <c r="O29" s="2">
        <f>O7/'Output-Calculation-sheet'!O6*'Output-Calculation-sheet'!O15</f>
        <v>0</v>
      </c>
      <c r="P29" s="2">
        <f>P7/'Output-Calculation-sheet'!P6*'Output-Calculation-sheet'!P15</f>
        <v>1167.3868582733101</v>
      </c>
      <c r="Q29" s="2">
        <f>Q7/'Output-Calculation-sheet'!Q6*'Output-Calculation-sheet'!Q15</f>
        <v>1275.2033140261374</v>
      </c>
      <c r="R29" s="2">
        <f>R7/'Output-Calculation-sheet'!R6*'Output-Calculation-sheet'!R15</f>
        <v>1122.8565649899601</v>
      </c>
      <c r="S29" s="2">
        <f>S7/'Output-Calculation-sheet'!S6*'Output-Calculation-sheet'!S15</f>
        <v>642.01588171525168</v>
      </c>
      <c r="T29" s="2">
        <f>T7/'Output-Calculation-sheet'!T6*'Output-Calculation-sheet'!T15</f>
        <v>409.39335219594443</v>
      </c>
      <c r="U29" s="2">
        <f>U7/'Output-Calculation-sheet'!U6*'Output-Calculation-sheet'!U15</f>
        <v>314.56614287716297</v>
      </c>
      <c r="V29" s="2">
        <f>V7/'Output-Calculation-sheet'!V6*'Output-Calculation-sheet'!V15</f>
        <v>301.09525510247096</v>
      </c>
      <c r="W29" s="2">
        <f>W7/'Output-Calculation-sheet'!W6*'Output-Calculation-sheet'!W15</f>
        <v>209.6671481682437</v>
      </c>
      <c r="X29" s="2">
        <f>X7/'Output-Calculation-sheet'!X6*'Output-Calculation-sheet'!X15</f>
        <v>0</v>
      </c>
      <c r="Y29" s="2">
        <f>Y7/'Output-Calculation-sheet'!Y6*'Output-Calculation-sheet'!Y15</f>
        <v>138.10488775914817</v>
      </c>
      <c r="AA29" s="2">
        <f t="shared" si="1"/>
        <v>40.064781474260101</v>
      </c>
    </row>
    <row r="30" spans="1:27" x14ac:dyDescent="0.25">
      <c r="A30" s="2">
        <v>2031</v>
      </c>
      <c r="B30" s="2">
        <f>B8/'Output-Calculation-sheet'!B7*'Output-Calculation-sheet'!B16</f>
        <v>16434.56717360561</v>
      </c>
      <c r="C30" s="2">
        <f>C8/'Output-Calculation-sheet'!C7*'Output-Calculation-sheet'!C16</f>
        <v>0</v>
      </c>
      <c r="D30" s="2">
        <f>D8/'Output-Calculation-sheet'!D7*'Output-Calculation-sheet'!D16</f>
        <v>5130.2806865916</v>
      </c>
      <c r="E30" s="2">
        <f>E8/'Output-Calculation-sheet'!E7*'Output-Calculation-sheet'!E16</f>
        <v>5306.4487548144862</v>
      </c>
      <c r="F30" s="2">
        <f>F8/'Output-Calculation-sheet'!F7*'Output-Calculation-sheet'!F16</f>
        <v>2972.8731716185607</v>
      </c>
      <c r="G30" s="2">
        <f>G8/'Output-Calculation-sheet'!G7*'Output-Calculation-sheet'!G16</f>
        <v>1792.9676027678636</v>
      </c>
      <c r="H30" s="2">
        <f>H8/'Output-Calculation-sheet'!H7*'Output-Calculation-sheet'!H16</f>
        <v>0</v>
      </c>
      <c r="I30" s="2">
        <f>I8/'Output-Calculation-sheet'!I7*'Output-Calculation-sheet'!I16</f>
        <v>1814.6822458691906</v>
      </c>
      <c r="J30" s="2">
        <f>J8/'Output-Calculation-sheet'!J7*'Output-Calculation-sheet'!J16</f>
        <v>1656.3612868655825</v>
      </c>
      <c r="K30" s="2">
        <f>K8/'Output-Calculation-sheet'!K7*'Output-Calculation-sheet'!K16</f>
        <v>2048.4687178678564</v>
      </c>
      <c r="L30" s="2">
        <f>L8/'Output-Calculation-sheet'!L7*'Output-Calculation-sheet'!L16</f>
        <v>1690.5217725358139</v>
      </c>
      <c r="M30" s="2">
        <f>M8/'Output-Calculation-sheet'!M7*'Output-Calculation-sheet'!M16</f>
        <v>0</v>
      </c>
      <c r="N30" s="2">
        <f>N8/'Output-Calculation-sheet'!N7*'Output-Calculation-sheet'!N16</f>
        <v>829.46428779258088</v>
      </c>
      <c r="O30" s="2">
        <f>O8/'Output-Calculation-sheet'!O7*'Output-Calculation-sheet'!O16</f>
        <v>0</v>
      </c>
      <c r="P30" s="2">
        <f>P8/'Output-Calculation-sheet'!P7*'Output-Calculation-sheet'!P16</f>
        <v>1347.4254846240422</v>
      </c>
      <c r="Q30" s="2">
        <f>Q8/'Output-Calculation-sheet'!Q7*'Output-Calculation-sheet'!Q16</f>
        <v>1477.8981361112994</v>
      </c>
      <c r="R30" s="2">
        <f>R8/'Output-Calculation-sheet'!R7*'Output-Calculation-sheet'!R16</f>
        <v>1294.8311384519695</v>
      </c>
      <c r="S30" s="2">
        <f>S8/'Output-Calculation-sheet'!S7*'Output-Calculation-sheet'!S16</f>
        <v>691.48803163785806</v>
      </c>
      <c r="T30" s="2">
        <f>T8/'Output-Calculation-sheet'!T7*'Output-Calculation-sheet'!T16</f>
        <v>472.3809627134857</v>
      </c>
      <c r="U30" s="2">
        <f>U8/'Output-Calculation-sheet'!U7*'Output-Calculation-sheet'!U16</f>
        <v>363.05840649250075</v>
      </c>
      <c r="V30" s="2">
        <f>V8/'Output-Calculation-sheet'!V7*'Output-Calculation-sheet'!V16</f>
        <v>347.65984411378582</v>
      </c>
      <c r="W30" s="2">
        <f>W8/'Output-Calculation-sheet'!W7*'Output-Calculation-sheet'!W16</f>
        <v>241.35787539604016</v>
      </c>
      <c r="X30" s="2">
        <f>X8/'Output-Calculation-sheet'!X7*'Output-Calculation-sheet'!X16</f>
        <v>0</v>
      </c>
      <c r="Y30" s="2">
        <f>Y8/'Output-Calculation-sheet'!Y7*'Output-Calculation-sheet'!Y16</f>
        <v>159.56326223211769</v>
      </c>
      <c r="AA30" s="2">
        <f t="shared" si="1"/>
        <v>46.072298842102235</v>
      </c>
    </row>
    <row r="31" spans="1:27" x14ac:dyDescent="0.25">
      <c r="A31" s="2">
        <v>2032</v>
      </c>
      <c r="B31" s="2">
        <f>B9/'Output-Calculation-sheet'!B8*'Output-Calculation-sheet'!B17</f>
        <v>17960.837328591675</v>
      </c>
      <c r="C31" s="2">
        <f>C9/'Output-Calculation-sheet'!C8*'Output-Calculation-sheet'!C17</f>
        <v>0</v>
      </c>
      <c r="D31" s="2">
        <f>D9/'Output-Calculation-sheet'!D8*'Output-Calculation-sheet'!D17</f>
        <v>5568.2375240165075</v>
      </c>
      <c r="E31" s="2">
        <f>E9/'Output-Calculation-sheet'!E8*'Output-Calculation-sheet'!E17</f>
        <v>5766.544952520524</v>
      </c>
      <c r="F31" s="2">
        <f>F9/'Output-Calculation-sheet'!F8*'Output-Calculation-sheet'!F17</f>
        <v>3221.5356694787797</v>
      </c>
      <c r="G31" s="2">
        <f>G9/'Output-Calculation-sheet'!G8*'Output-Calculation-sheet'!G17</f>
        <v>1942.0701862722206</v>
      </c>
      <c r="H31" s="2">
        <f>H9/'Output-Calculation-sheet'!H8*'Output-Calculation-sheet'!H17</f>
        <v>0</v>
      </c>
      <c r="I31" s="2">
        <f>I9/'Output-Calculation-sheet'!I8*'Output-Calculation-sheet'!I17</f>
        <v>1969.0199520307979</v>
      </c>
      <c r="J31" s="2">
        <f>J9/'Output-Calculation-sheet'!J8*'Output-Calculation-sheet'!J17</f>
        <v>1795.8770568947416</v>
      </c>
      <c r="K31" s="2">
        <f>K9/'Output-Calculation-sheet'!K8*'Output-Calculation-sheet'!K17</f>
        <v>2224.5169120703995</v>
      </c>
      <c r="L31" s="2">
        <f>L9/'Output-Calculation-sheet'!L8*'Output-Calculation-sheet'!L17</f>
        <v>1836.3051446060995</v>
      </c>
      <c r="M31" s="2">
        <f>M9/'Output-Calculation-sheet'!M8*'Output-Calculation-sheet'!M17</f>
        <v>0</v>
      </c>
      <c r="N31" s="2">
        <f>N9/'Output-Calculation-sheet'!N8*'Output-Calculation-sheet'!N17</f>
        <v>812.27477155416091</v>
      </c>
      <c r="O31" s="2">
        <f>O9/'Output-Calculation-sheet'!O8*'Output-Calculation-sheet'!O17</f>
        <v>0</v>
      </c>
      <c r="P31" s="2">
        <f>P9/'Output-Calculation-sheet'!P8*'Output-Calculation-sheet'!P17</f>
        <v>1477.2513925471874</v>
      </c>
      <c r="Q31" s="2">
        <f>Q9/'Output-Calculation-sheet'!Q8*'Output-Calculation-sheet'!Q17</f>
        <v>1618.9280200112078</v>
      </c>
      <c r="R31" s="2">
        <f>R9/'Output-Calculation-sheet'!R8*'Output-Calculation-sheet'!R17</f>
        <v>1405.646161182053</v>
      </c>
      <c r="S31" s="2">
        <f>S9/'Output-Calculation-sheet'!S8*'Output-Calculation-sheet'!S17</f>
        <v>701.34735042603143</v>
      </c>
      <c r="T31" s="2">
        <f>T9/'Output-Calculation-sheet'!T8*'Output-Calculation-sheet'!T17</f>
        <v>512.23103939613975</v>
      </c>
      <c r="U31" s="2">
        <f>U9/'Output-Calculation-sheet'!U8*'Output-Calculation-sheet'!U17</f>
        <v>395.05749672119356</v>
      </c>
      <c r="V31" s="2">
        <f>V9/'Output-Calculation-sheet'!V8*'Output-Calculation-sheet'!V17</f>
        <v>378.5818820617904</v>
      </c>
      <c r="W31" s="2">
        <f>W9/'Output-Calculation-sheet'!W8*'Output-Calculation-sheet'!W17</f>
        <v>262.15149908419619</v>
      </c>
      <c r="X31" s="2">
        <f>X9/'Output-Calculation-sheet'!X8*'Output-Calculation-sheet'!X17</f>
        <v>0</v>
      </c>
      <c r="Y31" s="2">
        <f>Y9/'Output-Calculation-sheet'!Y8*'Output-Calculation-sheet'!Y17</f>
        <v>173.30812561755653</v>
      </c>
      <c r="AA31" s="2">
        <f t="shared" si="1"/>
        <v>50.021722465083279</v>
      </c>
    </row>
    <row r="32" spans="1:27" x14ac:dyDescent="0.25">
      <c r="A32" s="2">
        <v>2033</v>
      </c>
      <c r="B32" s="2">
        <f>B10/'Output-Calculation-sheet'!B9*'Output-Calculation-sheet'!B18</f>
        <v>17519.979606079662</v>
      </c>
      <c r="C32" s="2">
        <f>C10/'Output-Calculation-sheet'!C9*'Output-Calculation-sheet'!C18</f>
        <v>0</v>
      </c>
      <c r="D32" s="2">
        <f>D10/'Output-Calculation-sheet'!D9*'Output-Calculation-sheet'!D18</f>
        <v>5848.9441797764703</v>
      </c>
      <c r="E32" s="2">
        <f>E10/'Output-Calculation-sheet'!E9*'Output-Calculation-sheet'!E18</f>
        <v>6056.7166092618354</v>
      </c>
      <c r="F32" s="2">
        <f>F10/'Output-Calculation-sheet'!F9*'Output-Calculation-sheet'!F18</f>
        <v>3383.0716757033556</v>
      </c>
      <c r="G32" s="2">
        <f>G10/'Output-Calculation-sheet'!G9*'Output-Calculation-sheet'!G18</f>
        <v>2040.382737079756</v>
      </c>
      <c r="H32" s="2">
        <f>H10/'Output-Calculation-sheet'!H9*'Output-Calculation-sheet'!H18</f>
        <v>0</v>
      </c>
      <c r="I32" s="2">
        <f>I10/'Output-Calculation-sheet'!I9*'Output-Calculation-sheet'!I18</f>
        <v>2068.4557172445138</v>
      </c>
      <c r="J32" s="2">
        <f>J10/'Output-Calculation-sheet'!J9*'Output-Calculation-sheet'!J18</f>
        <v>1886.5451919588411</v>
      </c>
      <c r="K32" s="2">
        <f>K10/'Output-Calculation-sheet'!K9*'Output-Calculation-sheet'!K18</f>
        <v>2342.1746873561528</v>
      </c>
      <c r="L32" s="2">
        <f>L10/'Output-Calculation-sheet'!L9*'Output-Calculation-sheet'!L18</f>
        <v>1930.2520110723535</v>
      </c>
      <c r="M32" s="2">
        <f>M10/'Output-Calculation-sheet'!M9*'Output-Calculation-sheet'!M18</f>
        <v>0</v>
      </c>
      <c r="N32" s="2">
        <f>N10/'Output-Calculation-sheet'!N9*'Output-Calculation-sheet'!N18</f>
        <v>764.01989029979518</v>
      </c>
      <c r="O32" s="2">
        <f>O10/'Output-Calculation-sheet'!O9*'Output-Calculation-sheet'!O18</f>
        <v>0</v>
      </c>
      <c r="P32" s="2">
        <f>P10/'Output-Calculation-sheet'!P9*'Output-Calculation-sheet'!P18</f>
        <v>1563.2133464692361</v>
      </c>
      <c r="Q32" s="2">
        <f>Q10/'Output-Calculation-sheet'!Q9*'Output-Calculation-sheet'!Q18</f>
        <v>1714.4299135017279</v>
      </c>
      <c r="R32" s="2">
        <f>R10/'Output-Calculation-sheet'!R9*'Output-Calculation-sheet'!R18</f>
        <v>1480.8433850141982</v>
      </c>
      <c r="S32" s="2">
        <f>S10/'Output-Calculation-sheet'!S9*'Output-Calculation-sheet'!S18</f>
        <v>689.28340684518412</v>
      </c>
      <c r="T32" s="2">
        <f>T10/'Output-Calculation-sheet'!T9*'Output-Calculation-sheet'!T18</f>
        <v>538.65223514547699</v>
      </c>
      <c r="U32" s="2">
        <f>U10/'Output-Calculation-sheet'!U9*'Output-Calculation-sheet'!U18</f>
        <v>415.42052526930757</v>
      </c>
      <c r="V32" s="2">
        <f>V10/'Output-Calculation-sheet'!V9*'Output-Calculation-sheet'!V18</f>
        <v>398.52793580257105</v>
      </c>
      <c r="W32" s="2">
        <f>W10/'Output-Calculation-sheet'!W9*'Output-Calculation-sheet'!W18</f>
        <v>274.99370808338557</v>
      </c>
      <c r="X32" s="2">
        <f>X10/'Output-Calculation-sheet'!X9*'Output-Calculation-sheet'!X18</f>
        <v>0</v>
      </c>
      <c r="Y32" s="2">
        <f>Y10/'Output-Calculation-sheet'!Y9*'Output-Calculation-sheet'!Y18</f>
        <v>182.33518563036043</v>
      </c>
      <c r="AA32" s="2">
        <f t="shared" si="1"/>
        <v>51.09824194759419</v>
      </c>
    </row>
    <row r="33" spans="1:27" x14ac:dyDescent="0.25">
      <c r="A33" s="2">
        <v>2034</v>
      </c>
      <c r="B33" s="2">
        <f>B11/'Output-Calculation-sheet'!B10*'Output-Calculation-sheet'!B19</f>
        <v>16929.594858194669</v>
      </c>
      <c r="C33" s="2">
        <f>C11/'Output-Calculation-sheet'!C10*'Output-Calculation-sheet'!C19</f>
        <v>0</v>
      </c>
      <c r="D33" s="2">
        <f>D11/'Output-Calculation-sheet'!D10*'Output-Calculation-sheet'!D19</f>
        <v>5985.9625200641221</v>
      </c>
      <c r="E33" s="2">
        <f>E11/'Output-Calculation-sheet'!E10*'Output-Calculation-sheet'!E19</f>
        <v>6213.2146343349596</v>
      </c>
      <c r="F33" s="2">
        <f>F11/'Output-Calculation-sheet'!F10*'Output-Calculation-sheet'!F19</f>
        <v>3464.0952411291837</v>
      </c>
      <c r="G33" s="2">
        <f>G11/'Output-Calculation-sheet'!G10*'Output-Calculation-sheet'!G19</f>
        <v>2085.9752880595838</v>
      </c>
      <c r="H33" s="2">
        <f>H11/'Output-Calculation-sheet'!H10*'Output-Calculation-sheet'!H19</f>
        <v>0</v>
      </c>
      <c r="I33" s="2">
        <f>I11/'Output-Calculation-sheet'!I10*'Output-Calculation-sheet'!I19</f>
        <v>2124.5679916705394</v>
      </c>
      <c r="J33" s="2">
        <f>J11/'Output-Calculation-sheet'!J10*'Output-Calculation-sheet'!J19</f>
        <v>1930.871250945373</v>
      </c>
      <c r="K33" s="2">
        <f>K11/'Output-Calculation-sheet'!K10*'Output-Calculation-sheet'!K19</f>
        <v>2405.0282339738105</v>
      </c>
      <c r="L33" s="2">
        <f>L11/'Output-Calculation-sheet'!L10*'Output-Calculation-sheet'!L19</f>
        <v>1978.1035955124</v>
      </c>
      <c r="M33" s="2">
        <f>M11/'Output-Calculation-sheet'!M10*'Output-Calculation-sheet'!M19</f>
        <v>0</v>
      </c>
      <c r="N33" s="2">
        <f>N11/'Output-Calculation-sheet'!N10*'Output-Calculation-sheet'!N19</f>
        <v>733.04727186426794</v>
      </c>
      <c r="O33" s="2">
        <f>O11/'Output-Calculation-sheet'!O10*'Output-Calculation-sheet'!O19</f>
        <v>0</v>
      </c>
      <c r="P33" s="2">
        <f>P11/'Output-Calculation-sheet'!P10*'Output-Calculation-sheet'!P19</f>
        <v>1612.3365522360343</v>
      </c>
      <c r="Q33" s="2">
        <f>Q11/'Output-Calculation-sheet'!Q10*'Output-Calculation-sheet'!Q19</f>
        <v>1771.3169494211302</v>
      </c>
      <c r="R33" s="2">
        <f>R11/'Output-Calculation-sheet'!R10*'Output-Calculation-sheet'!R19</f>
        <v>1520.0788644658448</v>
      </c>
      <c r="S33" s="2">
        <f>S11/'Output-Calculation-sheet'!S10*'Output-Calculation-sheet'!S19</f>
        <v>701.08331246693024</v>
      </c>
      <c r="T33" s="2">
        <f>T11/'Output-Calculation-sheet'!T10*'Output-Calculation-sheet'!T19</f>
        <v>552.40899972411955</v>
      </c>
      <c r="U33" s="2">
        <f>U11/'Output-Calculation-sheet'!U10*'Output-Calculation-sheet'!U19</f>
        <v>427.47036737839926</v>
      </c>
      <c r="V33" s="2">
        <f>V11/'Output-Calculation-sheet'!V10*'Output-Calculation-sheet'!V19</f>
        <v>409.80129089737289</v>
      </c>
      <c r="W33" s="2">
        <f>W11/'Output-Calculation-sheet'!W10*'Output-Calculation-sheet'!W19</f>
        <v>281.54945465561241</v>
      </c>
      <c r="X33" s="2">
        <f>X11/'Output-Calculation-sheet'!X10*'Output-Calculation-sheet'!X19</f>
        <v>0</v>
      </c>
      <c r="Y33" s="2">
        <f>Y11/'Output-Calculation-sheet'!Y10*'Output-Calculation-sheet'!Y19</f>
        <v>186.93801282071249</v>
      </c>
      <c r="AA33" s="2">
        <f t="shared" si="1"/>
        <v>51.313444689815078</v>
      </c>
    </row>
    <row r="34" spans="1:27" x14ac:dyDescent="0.25">
      <c r="A34" s="2">
        <v>2035</v>
      </c>
      <c r="B34" s="2">
        <f>B12/'Output-Calculation-sheet'!B11*'Output-Calculation-sheet'!B20</f>
        <v>16259.953258876149</v>
      </c>
      <c r="C34" s="2">
        <f>C12/'Output-Calculation-sheet'!C11*'Output-Calculation-sheet'!C20</f>
        <v>0</v>
      </c>
      <c r="D34" s="2">
        <f>D12/'Output-Calculation-sheet'!D11*'Output-Calculation-sheet'!D20</f>
        <v>6013.4438125066908</v>
      </c>
      <c r="E34" s="2">
        <f>E12/'Output-Calculation-sheet'!E11*'Output-Calculation-sheet'!E20</f>
        <v>6239.1753325236696</v>
      </c>
      <c r="F34" s="2">
        <f>F12/'Output-Calculation-sheet'!F11*'Output-Calculation-sheet'!F20</f>
        <v>3473.4720891505085</v>
      </c>
      <c r="G34" s="2">
        <f>G12/'Output-Calculation-sheet'!G11*'Output-Calculation-sheet'!G20</f>
        <v>2087.0127847211274</v>
      </c>
      <c r="H34" s="2">
        <f>H12/'Output-Calculation-sheet'!H11*'Output-Calculation-sheet'!H20</f>
        <v>0</v>
      </c>
      <c r="I34" s="2">
        <f>I12/'Output-Calculation-sheet'!I11*'Output-Calculation-sheet'!I20</f>
        <v>2131.6561094189751</v>
      </c>
      <c r="J34" s="2">
        <f>J12/'Output-Calculation-sheet'!J11*'Output-Calculation-sheet'!J20</f>
        <v>1930.5858034242656</v>
      </c>
      <c r="K34" s="2">
        <f>K12/'Output-Calculation-sheet'!K11*'Output-Calculation-sheet'!K20</f>
        <v>2415.0530543049076</v>
      </c>
      <c r="L34" s="2">
        <f>L12/'Output-Calculation-sheet'!L11*'Output-Calculation-sheet'!L20</f>
        <v>1982.9117843197862</v>
      </c>
      <c r="M34" s="2">
        <f>M12/'Output-Calculation-sheet'!M11*'Output-Calculation-sheet'!M20</f>
        <v>0</v>
      </c>
      <c r="N34" s="2">
        <f>N12/'Output-Calculation-sheet'!N11*'Output-Calculation-sheet'!N20</f>
        <v>697.61157970177624</v>
      </c>
      <c r="O34" s="2">
        <f>O12/'Output-Calculation-sheet'!O11*'Output-Calculation-sheet'!O20</f>
        <v>0</v>
      </c>
      <c r="P34" s="2">
        <f>P12/'Output-Calculation-sheet'!P11*'Output-Calculation-sheet'!P20</f>
        <v>1628.2655045830561</v>
      </c>
      <c r="Q34" s="2">
        <f>Q12/'Output-Calculation-sheet'!Q11*'Output-Calculation-sheet'!Q20</f>
        <v>1785.4553952615679</v>
      </c>
      <c r="R34" s="2">
        <f>R12/'Output-Calculation-sheet'!R11*'Output-Calculation-sheet'!R20</f>
        <v>1531.0420803508821</v>
      </c>
      <c r="S34" s="2">
        <f>S12/'Output-Calculation-sheet'!S11*'Output-Calculation-sheet'!S20</f>
        <v>658.41858161987</v>
      </c>
      <c r="T34" s="2">
        <f>T12/'Output-Calculation-sheet'!T11*'Output-Calculation-sheet'!T20</f>
        <v>554.18137953860685</v>
      </c>
      <c r="U34" s="2">
        <f>U12/'Output-Calculation-sheet'!U11*'Output-Calculation-sheet'!U20</f>
        <v>429.866766914523</v>
      </c>
      <c r="V34" s="2">
        <f>V12/'Output-Calculation-sheet'!V11*'Output-Calculation-sheet'!V20</f>
        <v>412.83231968229927</v>
      </c>
      <c r="W34" s="2">
        <f>W12/'Output-Calculation-sheet'!W11*'Output-Calculation-sheet'!W20</f>
        <v>282.10294777196077</v>
      </c>
      <c r="X34" s="2">
        <f>X12/'Output-Calculation-sheet'!X11*'Output-Calculation-sheet'!X20</f>
        <v>0</v>
      </c>
      <c r="Y34" s="2">
        <f>Y12/'Output-Calculation-sheet'!Y11*'Output-Calculation-sheet'!Y20</f>
        <v>187.79612437844813</v>
      </c>
      <c r="AA34" s="2">
        <f t="shared" si="1"/>
        <v>50.700836709049071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2.8045060097980503</v>
      </c>
      <c r="C60" s="2">
        <f>C5*'Output-Calculation-sheet'!C49/10^9</f>
        <v>1.3259544535164083</v>
      </c>
      <c r="D60" s="2">
        <f>D5*'Output-Calculation-sheet'!D49/10^9</f>
        <v>0.61857936748993636</v>
      </c>
      <c r="E60" s="2">
        <f>E5*'Output-Calculation-sheet'!E49/10^9</f>
        <v>0.6869635561597881</v>
      </c>
      <c r="F60" s="2">
        <f>F5*'Output-Calculation-sheet'!F49/10^9</f>
        <v>0.31891814330989038</v>
      </c>
      <c r="G60" s="2">
        <f>G5*'Output-Calculation-sheet'!G49/10^9</f>
        <v>0.21966815651398988</v>
      </c>
      <c r="H60" s="2">
        <f>H5*'Output-Calculation-sheet'!H49/10^9</f>
        <v>0.41368755824314674</v>
      </c>
      <c r="I60" s="2">
        <f>I5*'Output-Calculation-sheet'!I49/10^9</f>
        <v>0.21686345053107561</v>
      </c>
      <c r="J60" s="2">
        <f>J5*'Output-Calculation-sheet'!J49/10^9</f>
        <v>0.19583560264183736</v>
      </c>
      <c r="K60" s="2">
        <f>K5*'Output-Calculation-sheet'!K49/10^9</f>
        <v>0.25243819539986856</v>
      </c>
      <c r="L60" s="2">
        <f>L5*'Output-Calculation-sheet'!L49/10^9</f>
        <v>0.20854476606842864</v>
      </c>
      <c r="M60" s="2">
        <f>M5*'Output-Calculation-sheet'!M49/10^9</f>
        <v>0.28540831602811251</v>
      </c>
      <c r="N60" s="2">
        <f>N5*'Output-Calculation-sheet'!N49/10^9</f>
        <v>0.29830401614355023</v>
      </c>
      <c r="O60" s="2">
        <f>O5*'Output-Calculation-sheet'!O49/10^9</f>
        <v>0.2576340831000849</v>
      </c>
      <c r="P60" s="2">
        <f>P5*'Output-Calculation-sheet'!P49/10^9</f>
        <v>0.21997365666771079</v>
      </c>
      <c r="Q60" s="2">
        <f>Q5*'Output-Calculation-sheet'!Q49/10^9</f>
        <v>0.22707699775083393</v>
      </c>
      <c r="R60" s="2">
        <f>R5*'Output-Calculation-sheet'!R49/10^9</f>
        <v>0.18198814314064132</v>
      </c>
      <c r="S60" s="2">
        <f>S5*'Output-Calculation-sheet'!S49/10^9</f>
        <v>0.16694544179122026</v>
      </c>
      <c r="T60" s="2">
        <f>T5*'Output-Calculation-sheet'!T49/10^9</f>
        <v>5.7096608885381983E-2</v>
      </c>
      <c r="U60" s="2">
        <f>U5*'Output-Calculation-sheet'!U49/10^9</f>
        <v>5.7057627665551475E-2</v>
      </c>
      <c r="V60" s="2">
        <f>V5*'Output-Calculation-sheet'!V49/10^9</f>
        <v>4.2725388729041171E-2</v>
      </c>
      <c r="W60" s="2">
        <f>W5*'Output-Calculation-sheet'!W49/10^9</f>
        <v>2.6788973476584255E-2</v>
      </c>
      <c r="X60" s="2">
        <f>X5*'Output-Calculation-sheet'!X49/10^9</f>
        <v>3.3720709740123311E-2</v>
      </c>
      <c r="Y60" s="2">
        <f>Y5*'Output-Calculation-sheet'!Y49/10^9</f>
        <v>2.2289120158863019E-2</v>
      </c>
      <c r="AA60" s="2">
        <f t="shared" ref="AA60:AA67" si="4">SUM(B60:Y60)</f>
        <v>9.1389683429501201</v>
      </c>
    </row>
    <row r="61" spans="1:27" x14ac:dyDescent="0.25">
      <c r="A61" s="2">
        <v>2029</v>
      </c>
      <c r="B61" s="2">
        <f>B6*'Output-Calculation-sheet'!B50/10^9</f>
        <v>3.7031698906246322</v>
      </c>
      <c r="C61" s="2">
        <f>C6*'Output-Calculation-sheet'!C50/10^9</f>
        <v>1.7630105506599874</v>
      </c>
      <c r="D61" s="2">
        <f>D6*'Output-Calculation-sheet'!D50/10^9</f>
        <v>0.81421415940860753</v>
      </c>
      <c r="E61" s="2">
        <f>E6*'Output-Calculation-sheet'!E50/10^9</f>
        <v>0.90494241563828626</v>
      </c>
      <c r="F61" s="2">
        <f>F6*'Output-Calculation-sheet'!F50/10^9</f>
        <v>0.41925576637267542</v>
      </c>
      <c r="G61" s="2">
        <f>G6*'Output-Calculation-sheet'!G50/10^9</f>
        <v>0.28917559484482275</v>
      </c>
      <c r="H61" s="2">
        <f>H6*'Output-Calculation-sheet'!H50/10^9</f>
        <v>0.54649910277415858</v>
      </c>
      <c r="I61" s="2">
        <f>I6*'Output-Calculation-sheet'!I50/10^9</f>
        <v>0.28544117575006561</v>
      </c>
      <c r="J61" s="2">
        <f>J6*'Output-Calculation-sheet'!J50/10^9</f>
        <v>0.25771898611489874</v>
      </c>
      <c r="K61" s="2">
        <f>K6*'Output-Calculation-sheet'!K50/10^9</f>
        <v>0.33238650648502827</v>
      </c>
      <c r="L61" s="2">
        <f>L6*'Output-Calculation-sheet'!L50/10^9</f>
        <v>0.27458780186349097</v>
      </c>
      <c r="M61" s="2">
        <f>M6*'Output-Calculation-sheet'!M50/10^9</f>
        <v>0.37753522083336333</v>
      </c>
      <c r="N61" s="2">
        <f>N6*'Output-Calculation-sheet'!N50/10^9</f>
        <v>0.39385778637615176</v>
      </c>
      <c r="O61" s="2">
        <f>O6*'Output-Calculation-sheet'!O50/10^9</f>
        <v>0.34255445615835461</v>
      </c>
      <c r="P61" s="2">
        <f>P6*'Output-Calculation-sheet'!P50/10^9</f>
        <v>0.29035680086364407</v>
      </c>
      <c r="Q61" s="2">
        <f>Q6*'Output-Calculation-sheet'!Q50/10^9</f>
        <v>0.29962714228859144</v>
      </c>
      <c r="R61" s="2">
        <f>R6*'Output-Calculation-sheet'!R50/10^9</f>
        <v>0.23991567388025165</v>
      </c>
      <c r="S61" s="2">
        <f>S6*'Output-Calculation-sheet'!S50/10^9</f>
        <v>0.22072553159794348</v>
      </c>
      <c r="T61" s="2">
        <f>T6*'Output-Calculation-sheet'!T50/10^9</f>
        <v>7.5161640567231819E-2</v>
      </c>
      <c r="U61" s="2">
        <f>U6*'Output-Calculation-sheet'!U50/10^9</f>
        <v>7.528708742904365E-2</v>
      </c>
      <c r="V61" s="2">
        <f>V6*'Output-Calculation-sheet'!V50/10^9</f>
        <v>5.6256070229625151E-2</v>
      </c>
      <c r="W61" s="2">
        <f>W6*'Output-Calculation-sheet'!W50/10^9</f>
        <v>3.5232391506464379E-2</v>
      </c>
      <c r="X61" s="2">
        <f>X6*'Output-Calculation-sheet'!X50/10^9</f>
        <v>4.4805125331980646E-2</v>
      </c>
      <c r="Y61" s="2">
        <f>Y6*'Output-Calculation-sheet'!Y50/10^9</f>
        <v>2.9382100351215738E-2</v>
      </c>
      <c r="AA61" s="2">
        <f t="shared" si="4"/>
        <v>12.07109897795052</v>
      </c>
    </row>
    <row r="62" spans="1:27" x14ac:dyDescent="0.25">
      <c r="A62" s="2">
        <v>2030</v>
      </c>
      <c r="B62" s="2">
        <f>B7*'Output-Calculation-sheet'!B51/10^9</f>
        <v>4.4884094630623457</v>
      </c>
      <c r="C62" s="2">
        <f>C7*'Output-Calculation-sheet'!C51/10^9</f>
        <v>2.1521482849536713</v>
      </c>
      <c r="D62" s="2">
        <f>D7*'Output-Calculation-sheet'!D51/10^9</f>
        <v>0.98377084100650103</v>
      </c>
      <c r="E62" s="2">
        <f>E7*'Output-Calculation-sheet'!E51/10^9</f>
        <v>1.0942222697771222</v>
      </c>
      <c r="F62" s="2">
        <f>F7*'Output-Calculation-sheet'!F51/10^9</f>
        <v>0.50591376402960908</v>
      </c>
      <c r="G62" s="2">
        <f>G7*'Output-Calculation-sheet'!G51/10^9</f>
        <v>0.34944181661793161</v>
      </c>
      <c r="H62" s="2">
        <f>H7*'Output-Calculation-sheet'!H51/10^9</f>
        <v>0.66153730334136052</v>
      </c>
      <c r="I62" s="2">
        <f>I7*'Output-Calculation-sheet'!I51/10^9</f>
        <v>0.34486243670413541</v>
      </c>
      <c r="J62" s="2">
        <f>J7*'Output-Calculation-sheet'!J51/10^9</f>
        <v>0.31132257992946577</v>
      </c>
      <c r="K62" s="2">
        <f>K7*'Output-Calculation-sheet'!K51/10^9</f>
        <v>0.40172277118292637</v>
      </c>
      <c r="L62" s="2">
        <f>L7*'Output-Calculation-sheet'!L51/10^9</f>
        <v>0.33186056311038786</v>
      </c>
      <c r="M62" s="2">
        <f>M7*'Output-Calculation-sheet'!M51/10^9</f>
        <v>0.45701324561549239</v>
      </c>
      <c r="N62" s="2">
        <f>N7*'Output-Calculation-sheet'!N51/10^9</f>
        <v>0.4768513108285613</v>
      </c>
      <c r="O62" s="2">
        <f>O7*'Output-Calculation-sheet'!O51/10^9</f>
        <v>0.41816425037754734</v>
      </c>
      <c r="P62" s="2">
        <f>P7*'Output-Calculation-sheet'!P51/10^9</f>
        <v>0.35180104679724972</v>
      </c>
      <c r="Q62" s="2">
        <f>Q7*'Output-Calculation-sheet'!Q51/10^9</f>
        <v>0.36287945062596999</v>
      </c>
      <c r="R62" s="2">
        <f>R7*'Output-Calculation-sheet'!R51/10^9</f>
        <v>0.29032127838575</v>
      </c>
      <c r="S62" s="2">
        <f>S7*'Output-Calculation-sheet'!S51/10^9</f>
        <v>0.26774824518310003</v>
      </c>
      <c r="T62" s="2">
        <f>T7*'Output-Calculation-sheet'!T51/10^9</f>
        <v>9.0820429531965549E-2</v>
      </c>
      <c r="U62" s="2">
        <f>U7*'Output-Calculation-sheet'!U51/10^9</f>
        <v>9.1189437929120501E-2</v>
      </c>
      <c r="V62" s="2">
        <f>V7*'Output-Calculation-sheet'!V51/10^9</f>
        <v>6.7988381279975724E-2</v>
      </c>
      <c r="W62" s="2">
        <f>W7*'Output-Calculation-sheet'!W51/10^9</f>
        <v>4.2531582853239554E-2</v>
      </c>
      <c r="X62" s="2">
        <f>X7*'Output-Calculation-sheet'!X51/10^9</f>
        <v>5.4293259396151906E-2</v>
      </c>
      <c r="Y62" s="2">
        <f>Y7*'Output-Calculation-sheet'!Y51/10^9</f>
        <v>3.5553666933703897E-2</v>
      </c>
      <c r="AA62" s="2">
        <f t="shared" si="4"/>
        <v>14.632367679453283</v>
      </c>
    </row>
    <row r="63" spans="1:27" x14ac:dyDescent="0.25">
      <c r="A63" s="2">
        <v>2031</v>
      </c>
      <c r="B63" s="2">
        <f>B8*'Output-Calculation-sheet'!B52/10^9</f>
        <v>5.1251622626438209</v>
      </c>
      <c r="C63" s="2">
        <f>C8*'Output-Calculation-sheet'!C52/10^9</f>
        <v>2.4661174805103379</v>
      </c>
      <c r="D63" s="2">
        <f>D8*'Output-Calculation-sheet'!D52/10^9</f>
        <v>1.1216318756091517</v>
      </c>
      <c r="E63" s="2">
        <f>E8*'Output-Calculation-sheet'!E52/10^9</f>
        <v>1.24801095883461</v>
      </c>
      <c r="F63" s="2">
        <f>F8*'Output-Calculation-sheet'!F52/10^9</f>
        <v>0.57644565643790335</v>
      </c>
      <c r="G63" s="2">
        <f>G8*'Output-Calculation-sheet'!G52/10^9</f>
        <v>0.39844272288708543</v>
      </c>
      <c r="H63" s="2">
        <f>H8*'Output-Calculation-sheet'!H52/10^9</f>
        <v>0.75132274963340906</v>
      </c>
      <c r="I63" s="2">
        <f>I8*'Output-Calculation-sheet'!I52/10^9</f>
        <v>0.3931757865652708</v>
      </c>
      <c r="J63" s="2">
        <f>J8*'Output-Calculation-sheet'!J52/10^9</f>
        <v>0.35491405059304004</v>
      </c>
      <c r="K63" s="2">
        <f>K8*'Output-Calculation-sheet'!K52/10^9</f>
        <v>0.45807627244569077</v>
      </c>
      <c r="L63" s="2">
        <f>L8*'Output-Calculation-sheet'!L52/10^9</f>
        <v>0.37841249610658456</v>
      </c>
      <c r="M63" s="2">
        <f>M8*'Output-Calculation-sheet'!M52/10^9</f>
        <v>0.51907619199090271</v>
      </c>
      <c r="N63" s="2">
        <f>N8*'Output-Calculation-sheet'!N52/10^9</f>
        <v>0.54253715127213864</v>
      </c>
      <c r="O63" s="2">
        <f>O8*'Output-Calculation-sheet'!O52/10^9</f>
        <v>0.47916873330258014</v>
      </c>
      <c r="P63" s="2">
        <f>P8*'Output-Calculation-sheet'!P52/10^9</f>
        <v>0.40164143865292246</v>
      </c>
      <c r="Q63" s="2">
        <f>Q8*'Output-Calculation-sheet'!Q52/10^9</f>
        <v>0.41419544700532573</v>
      </c>
      <c r="R63" s="2">
        <f>R8*'Output-Calculation-sheet'!R52/10^9</f>
        <v>0.33124880503075738</v>
      </c>
      <c r="S63" s="2">
        <f>S8*'Output-Calculation-sheet'!S52/10^9</f>
        <v>0.30535440523043517</v>
      </c>
      <c r="T63" s="2">
        <f>T8*'Output-Calculation-sheet'!T52/10^9</f>
        <v>0.10354989258585852</v>
      </c>
      <c r="U63" s="2">
        <f>U8*'Output-Calculation-sheet'!U52/10^9</f>
        <v>0.10409324142825804</v>
      </c>
      <c r="V63" s="2">
        <f>V8*'Output-Calculation-sheet'!V52/10^9</f>
        <v>7.7524553424326126E-2</v>
      </c>
      <c r="W63" s="2">
        <f>W8*'Output-Calculation-sheet'!W52/10^9</f>
        <v>4.8470284283764722E-2</v>
      </c>
      <c r="X63" s="2">
        <f>X8*'Output-Calculation-sheet'!X52/10^9</f>
        <v>6.172751712901136E-2</v>
      </c>
      <c r="Y63" s="2">
        <f>Y8*'Output-Calculation-sheet'!Y52/10^9</f>
        <v>4.0564933486974035E-2</v>
      </c>
      <c r="AA63" s="2">
        <f t="shared" si="4"/>
        <v>16.70086490709016</v>
      </c>
    </row>
    <row r="64" spans="1:27" x14ac:dyDescent="0.25">
      <c r="A64" s="2">
        <v>2032</v>
      </c>
      <c r="B64" s="2">
        <f>B9*'Output-Calculation-sheet'!B53/10^9</f>
        <v>5.5130655316927228</v>
      </c>
      <c r="C64" s="2">
        <f>C9*'Output-Calculation-sheet'!C53/10^9</f>
        <v>2.6622553279681953</v>
      </c>
      <c r="D64" s="2">
        <f>D9*'Output-Calculation-sheet'!D53/10^9</f>
        <v>1.204699435069841</v>
      </c>
      <c r="E64" s="2">
        <f>E9*'Output-Calculation-sheet'!E53/10^9</f>
        <v>1.3409194930545452</v>
      </c>
      <c r="F64" s="2">
        <f>F9*'Output-Calculation-sheet'!F53/10^9</f>
        <v>0.61873920703419194</v>
      </c>
      <c r="G64" s="2">
        <f>G9*'Output-Calculation-sheet'!G53/10^9</f>
        <v>0.42799023943763065</v>
      </c>
      <c r="H64" s="2">
        <f>H9*'Output-Calculation-sheet'!H53/10^9</f>
        <v>0.80357661900781963</v>
      </c>
      <c r="I64" s="2">
        <f>I9*'Output-Calculation-sheet'!I53/10^9</f>
        <v>0.42227630435656188</v>
      </c>
      <c r="J64" s="2">
        <f>J9*'Output-Calculation-sheet'!J53/10^9</f>
        <v>0.38116053270617095</v>
      </c>
      <c r="K64" s="2">
        <f>K9*'Output-Calculation-sheet'!K53/10^9</f>
        <v>0.49205957033052267</v>
      </c>
      <c r="L64" s="2">
        <f>L9*'Output-Calculation-sheet'!L53/10^9</f>
        <v>0.40648677574413772</v>
      </c>
      <c r="M64" s="2">
        <f>M9*'Output-Calculation-sheet'!M53/10^9</f>
        <v>0.55520462243147373</v>
      </c>
      <c r="N64" s="2">
        <f>N9*'Output-Calculation-sheet'!N53/10^9</f>
        <v>0.58104452506687887</v>
      </c>
      <c r="O64" s="2">
        <f>O9*'Output-Calculation-sheet'!O53/10^9</f>
        <v>0.51727848462700921</v>
      </c>
      <c r="P64" s="2">
        <f>P9*'Output-Calculation-sheet'!P53/10^9</f>
        <v>0.43196417306606427</v>
      </c>
      <c r="Q64" s="2">
        <f>Q9*'Output-Calculation-sheet'!Q53/10^9</f>
        <v>0.44536099833757176</v>
      </c>
      <c r="R64" s="2">
        <f>R9*'Output-Calculation-sheet'!R53/10^9</f>
        <v>0.35604579334657949</v>
      </c>
      <c r="S64" s="2">
        <f>S9*'Output-Calculation-sheet'!S53/10^9</f>
        <v>0.32766351569327146</v>
      </c>
      <c r="T64" s="2">
        <f>T9*'Output-Calculation-sheet'!T53/10^9</f>
        <v>0.11122101452382749</v>
      </c>
      <c r="U64" s="2">
        <f>U9*'Output-Calculation-sheet'!U53/10^9</f>
        <v>0.1119376304823686</v>
      </c>
      <c r="V64" s="2">
        <f>V9*'Output-Calculation-sheet'!V53/10^9</f>
        <v>8.3274060134130037E-2</v>
      </c>
      <c r="W64" s="2">
        <f>W9*'Output-Calculation-sheet'!W53/10^9</f>
        <v>5.2036711406313413E-2</v>
      </c>
      <c r="X64" s="2">
        <f>X9*'Output-Calculation-sheet'!X53/10^9</f>
        <v>6.6087532787359793E-2</v>
      </c>
      <c r="Y64" s="2">
        <f>Y9*'Output-Calculation-sheet'!Y53/10^9</f>
        <v>4.3600256704615516E-2</v>
      </c>
      <c r="AA64" s="2">
        <f t="shared" si="4"/>
        <v>17.955948355009802</v>
      </c>
    </row>
    <row r="65" spans="1:27" x14ac:dyDescent="0.25">
      <c r="A65" s="2">
        <v>2033</v>
      </c>
      <c r="B65" s="2">
        <f>B10*'Output-Calculation-sheet'!B54/10^9</f>
        <v>5.7361461998772096</v>
      </c>
      <c r="C65" s="2">
        <f>C10*'Output-Calculation-sheet'!C54/10^9</f>
        <v>2.7768116011021058</v>
      </c>
      <c r="D65" s="2">
        <f>D10*'Output-Calculation-sheet'!D54/10^9</f>
        <v>1.2528451747471481</v>
      </c>
      <c r="E65" s="2">
        <f>E10*'Output-Calculation-sheet'!E54/10^9</f>
        <v>1.3950099268864997</v>
      </c>
      <c r="F65" s="2">
        <f>F10*'Output-Calculation-sheet'!F54/10^9</f>
        <v>0.64304921558289008</v>
      </c>
      <c r="G65" s="2">
        <f>G10*'Output-Calculation-sheet'!G54/10^9</f>
        <v>0.44513728660996638</v>
      </c>
      <c r="H65" s="2">
        <f>H10*'Output-Calculation-sheet'!H54/10^9</f>
        <v>0.83190396419628887</v>
      </c>
      <c r="I65" s="2">
        <f>I10*'Output-Calculation-sheet'!I54/10^9</f>
        <v>0.43913361200899909</v>
      </c>
      <c r="J65" s="2">
        <f>J10*'Output-Calculation-sheet'!J54/10^9</f>
        <v>0.39635350064600589</v>
      </c>
      <c r="K65" s="2">
        <f>K10*'Output-Calculation-sheet'!K54/10^9</f>
        <v>0.51178001878540147</v>
      </c>
      <c r="L65" s="2">
        <f>L10*'Output-Calculation-sheet'!L54/10^9</f>
        <v>0.42278073191496895</v>
      </c>
      <c r="M65" s="2">
        <f>M10*'Output-Calculation-sheet'!M54/10^9</f>
        <v>0.57480148580736334</v>
      </c>
      <c r="N65" s="2">
        <f>N10*'Output-Calculation-sheet'!N54/10^9</f>
        <v>0.6021905960214573</v>
      </c>
      <c r="O65" s="2">
        <f>O10*'Output-Calculation-sheet'!O54/10^9</f>
        <v>0.54071933196187272</v>
      </c>
      <c r="P65" s="2">
        <f>P10*'Output-Calculation-sheet'!P54/10^9</f>
        <v>0.44982331142483001</v>
      </c>
      <c r="Q65" s="2">
        <f>Q10*'Output-Calculation-sheet'!Q54/10^9</f>
        <v>0.46366134497201889</v>
      </c>
      <c r="R65" s="2">
        <f>R10*'Output-Calculation-sheet'!R54/10^9</f>
        <v>0.37054987969154757</v>
      </c>
      <c r="S65" s="2">
        <f>S10*'Output-Calculation-sheet'!S54/10^9</f>
        <v>0.34013883151452096</v>
      </c>
      <c r="T65" s="2">
        <f>T10*'Output-Calculation-sheet'!T54/10^9</f>
        <v>0.11566746144105136</v>
      </c>
      <c r="U65" s="2">
        <f>U10*'Output-Calculation-sheet'!U54/10^9</f>
        <v>0.11655248568021745</v>
      </c>
      <c r="V65" s="2">
        <f>V10*'Output-Calculation-sheet'!V54/10^9</f>
        <v>8.6608973575156928E-2</v>
      </c>
      <c r="W65" s="2">
        <f>W10*'Output-Calculation-sheet'!W54/10^9</f>
        <v>5.4091552143134068E-2</v>
      </c>
      <c r="X65" s="2">
        <f>X10*'Output-Calculation-sheet'!X54/10^9</f>
        <v>6.8483744330892063E-2</v>
      </c>
      <c r="Y65" s="2">
        <f>Y10*'Output-Calculation-sheet'!Y54/10^9</f>
        <v>4.5375274086643297E-2</v>
      </c>
      <c r="AA65" s="2">
        <f t="shared" si="4"/>
        <v>18.679615505008194</v>
      </c>
    </row>
    <row r="66" spans="1:27" x14ac:dyDescent="0.25">
      <c r="A66" s="2">
        <v>2034</v>
      </c>
      <c r="B66" s="2">
        <f>B11*'Output-Calculation-sheet'!B55/10^9</f>
        <v>5.8128503583118709</v>
      </c>
      <c r="C66" s="2">
        <f>C11*'Output-Calculation-sheet'!C55/10^9</f>
        <v>2.8084564210076257</v>
      </c>
      <c r="D66" s="2">
        <f>D11*'Output-Calculation-sheet'!D55/10^9</f>
        <v>1.2709932528294425</v>
      </c>
      <c r="E66" s="2">
        <f>E11*'Output-Calculation-sheet'!E55/10^9</f>
        <v>1.4157240414669054</v>
      </c>
      <c r="F66" s="2">
        <f>F11*'Output-Calculation-sheet'!F55/10^9</f>
        <v>0.65193286551361274</v>
      </c>
      <c r="G66" s="2">
        <f>G11*'Output-Calculation-sheet'!G55/10^9</f>
        <v>0.45162846911917037</v>
      </c>
      <c r="H66" s="2">
        <f>H11*'Output-Calculation-sheet'!H55/10^9</f>
        <v>0.83982841232835137</v>
      </c>
      <c r="I66" s="2">
        <f>I11*'Output-Calculation-sheet'!I55/10^9</f>
        <v>0.44547060093647678</v>
      </c>
      <c r="J66" s="2">
        <f>J11*'Output-Calculation-sheet'!J55/10^9</f>
        <v>0.40205463665606872</v>
      </c>
      <c r="K66" s="2">
        <f>K11*'Output-Calculation-sheet'!K55/10^9</f>
        <v>0.51924169286730759</v>
      </c>
      <c r="L66" s="2">
        <f>L11*'Output-Calculation-sheet'!L55/10^9</f>
        <v>0.42895147189235544</v>
      </c>
      <c r="M66" s="2">
        <f>M11*'Output-Calculation-sheet'!M55/10^9</f>
        <v>0.58030197411796192</v>
      </c>
      <c r="N66" s="2">
        <f>N11*'Output-Calculation-sheet'!N55/10^9</f>
        <v>0.60849452978723928</v>
      </c>
      <c r="O66" s="2">
        <f>O11*'Output-Calculation-sheet'!O55/10^9</f>
        <v>0.55140061615330427</v>
      </c>
      <c r="P66" s="2">
        <f>P11*'Output-Calculation-sheet'!P55/10^9</f>
        <v>0.45693940262444571</v>
      </c>
      <c r="Q66" s="2">
        <f>Q11*'Output-Calculation-sheet'!Q55/10^9</f>
        <v>0.47087666153349556</v>
      </c>
      <c r="R66" s="2">
        <f>R11*'Output-Calculation-sheet'!R55/10^9</f>
        <v>0.37619544515343362</v>
      </c>
      <c r="S66" s="2">
        <f>S11*'Output-Calculation-sheet'!S55/10^9</f>
        <v>0.34417357395840048</v>
      </c>
      <c r="T66" s="2">
        <f>T11*'Output-Calculation-sheet'!T55/10^9</f>
        <v>0.11734368975466178</v>
      </c>
      <c r="U66" s="2">
        <f>U11*'Output-Calculation-sheet'!U55/10^9</f>
        <v>0.11838467200742245</v>
      </c>
      <c r="V66" s="2">
        <f>V11*'Output-Calculation-sheet'!V55/10^9</f>
        <v>8.786916554880507E-2</v>
      </c>
      <c r="W66" s="2">
        <f>W11*'Output-Calculation-sheet'!W55/10^9</f>
        <v>5.4849748879441371E-2</v>
      </c>
      <c r="X66" s="2">
        <f>X11*'Output-Calculation-sheet'!X55/10^9</f>
        <v>6.9204812777250366E-2</v>
      </c>
      <c r="Y66" s="2">
        <f>Y11*'Output-Calculation-sheet'!Y55/10^9</f>
        <v>4.6065683513445047E-2</v>
      </c>
      <c r="AA66" s="2">
        <f t="shared" si="4"/>
        <v>18.929232198738497</v>
      </c>
    </row>
    <row r="67" spans="1:27" x14ac:dyDescent="0.25">
      <c r="A67" s="2">
        <v>2035</v>
      </c>
      <c r="B67" s="2">
        <f>B12*'Output-Calculation-sheet'!B56/10^9</f>
        <v>5.758502259263274</v>
      </c>
      <c r="C67" s="2">
        <f>C12*'Output-Calculation-sheet'!C56/10^9</f>
        <v>2.7783485538643014</v>
      </c>
      <c r="D67" s="2">
        <f>D12*'Output-Calculation-sheet'!D56/10^9</f>
        <v>1.2618093929640313</v>
      </c>
      <c r="E67" s="2">
        <f>E12*'Output-Calculation-sheet'!E56/10^9</f>
        <v>1.405996035494278</v>
      </c>
      <c r="F67" s="2">
        <f>F12*'Output-Calculation-sheet'!F56/10^9</f>
        <v>0.64678819074644123</v>
      </c>
      <c r="G67" s="2">
        <f>G12*'Output-Calculation-sheet'!G56/10^9</f>
        <v>0.44841561217838466</v>
      </c>
      <c r="H67" s="2">
        <f>H12*'Output-Calculation-sheet'!H56/10^9</f>
        <v>0.82938404453343284</v>
      </c>
      <c r="I67" s="2">
        <f>I12*'Output-Calculation-sheet'!I56/10^9</f>
        <v>0.44222500238518098</v>
      </c>
      <c r="J67" s="2">
        <f>J12*'Output-Calculation-sheet'!J56/10^9</f>
        <v>0.39911298448916438</v>
      </c>
      <c r="K67" s="2">
        <f>K12*'Output-Calculation-sheet'!K56/10^9</f>
        <v>0.51553552022626759</v>
      </c>
      <c r="L67" s="2">
        <f>L12*'Output-Calculation-sheet'!L56/10^9</f>
        <v>0.42590062447364091</v>
      </c>
      <c r="M67" s="2">
        <f>M12*'Output-Calculation-sheet'!M56/10^9</f>
        <v>0.57311017692478339</v>
      </c>
      <c r="N67" s="2">
        <f>N12*'Output-Calculation-sheet'!N56/10^9</f>
        <v>0.60148480463503007</v>
      </c>
      <c r="O67" s="2">
        <f>O12*'Output-Calculation-sheet'!O56/10^9</f>
        <v>0.54709657335589768</v>
      </c>
      <c r="P67" s="2">
        <f>P12*'Output-Calculation-sheet'!P56/10^9</f>
        <v>0.45422998021237909</v>
      </c>
      <c r="Q67" s="2">
        <f>Q12*'Output-Calculation-sheet'!Q56/10^9</f>
        <v>0.46795087964768267</v>
      </c>
      <c r="R67" s="2">
        <f>R12*'Output-Calculation-sheet'!R56/10^9</f>
        <v>0.3737522382247474</v>
      </c>
      <c r="S67" s="2">
        <f>S12*'Output-Calculation-sheet'!S56/10^9</f>
        <v>0.34059536521160994</v>
      </c>
      <c r="T67" s="2">
        <f>T12*'Output-Calculation-sheet'!T56/10^9</f>
        <v>0.11649648289375411</v>
      </c>
      <c r="U67" s="2">
        <f>U12*'Output-Calculation-sheet'!U56/10^9</f>
        <v>0.11767272646757013</v>
      </c>
      <c r="V67" s="2">
        <f>V12*'Output-Calculation-sheet'!V56/10^9</f>
        <v>8.7237844492011191E-2</v>
      </c>
      <c r="W67" s="2">
        <f>W12*'Output-Calculation-sheet'!W56/10^9</f>
        <v>5.4428096915960879E-2</v>
      </c>
      <c r="X67" s="2">
        <f>X12*'Output-Calculation-sheet'!X56/10^9</f>
        <v>6.8408935149370423E-2</v>
      </c>
      <c r="Y67" s="2">
        <f>Y12*'Output-Calculation-sheet'!Y56/10^9</f>
        <v>4.5765887733430682E-2</v>
      </c>
      <c r="AA67" s="2">
        <f t="shared" si="4"/>
        <v>18.760248212482622</v>
      </c>
    </row>
    <row r="68" spans="1:27" x14ac:dyDescent="0.25">
      <c r="B68" s="2">
        <f>SUM(B60:B67)</f>
        <v>38.941811975273929</v>
      </c>
      <c r="C68" s="2">
        <f t="shared" ref="C68:Y68" si="5">SUM(C60:C67)</f>
        <v>18.733102673582632</v>
      </c>
      <c r="D68" s="2">
        <f t="shared" si="5"/>
        <v>8.5285434991246589</v>
      </c>
      <c r="E68" s="2">
        <f t="shared" si="5"/>
        <v>9.4917886973120336</v>
      </c>
      <c r="F68" s="2">
        <f t="shared" si="5"/>
        <v>4.381042809027214</v>
      </c>
      <c r="G68" s="2">
        <f t="shared" si="5"/>
        <v>3.0298998982089822</v>
      </c>
      <c r="H68" s="2">
        <f t="shared" si="5"/>
        <v>5.6777397540579679</v>
      </c>
      <c r="I68" s="2">
        <f t="shared" si="5"/>
        <v>2.9894483692377665</v>
      </c>
      <c r="J68" s="2">
        <f t="shared" si="5"/>
        <v>2.6984728737766521</v>
      </c>
      <c r="K68" s="2">
        <f t="shared" si="5"/>
        <v>3.4832405477230135</v>
      </c>
      <c r="L68" s="2">
        <f t="shared" si="5"/>
        <v>2.8775252311739949</v>
      </c>
      <c r="M68" s="2">
        <f t="shared" si="5"/>
        <v>3.9224512337494537</v>
      </c>
      <c r="N68" s="2">
        <f t="shared" si="5"/>
        <v>4.1047647201310076</v>
      </c>
      <c r="O68" s="2">
        <f t="shared" si="5"/>
        <v>3.6540165290366513</v>
      </c>
      <c r="P68" s="2">
        <f t="shared" si="5"/>
        <v>3.0567298103092462</v>
      </c>
      <c r="Q68" s="2">
        <f t="shared" si="5"/>
        <v>3.1516289221614899</v>
      </c>
      <c r="R68" s="2">
        <f t="shared" si="5"/>
        <v>2.5200172568537087</v>
      </c>
      <c r="S68" s="2">
        <f t="shared" si="5"/>
        <v>2.3133449101805015</v>
      </c>
      <c r="T68" s="2">
        <f t="shared" si="5"/>
        <v>0.78735722018373266</v>
      </c>
      <c r="U68" s="2">
        <f t="shared" si="5"/>
        <v>0.79217490908955224</v>
      </c>
      <c r="V68" s="2">
        <f t="shared" si="5"/>
        <v>0.58948443741307144</v>
      </c>
      <c r="W68" s="2">
        <f t="shared" si="5"/>
        <v>0.36842934146490269</v>
      </c>
      <c r="X68" s="2">
        <f t="shared" si="5"/>
        <v>0.46673163664213985</v>
      </c>
      <c r="Y68" s="2">
        <f t="shared" si="5"/>
        <v>0.30859692296889119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6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6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5566663440.2338829</v>
      </c>
      <c r="C93" s="2">
        <f>C5/'Output-Calculation-sheet'!C4*'Output-Calculation-sheet'!C76</f>
        <v>0</v>
      </c>
      <c r="D93" s="2">
        <f>D5/'Output-Calculation-sheet'!D4*'Output-Calculation-sheet'!D76</f>
        <v>3644088928.1400652</v>
      </c>
      <c r="E93" s="2">
        <f>E5/'Output-Calculation-sheet'!E4*'Output-Calculation-sheet'!E76</f>
        <v>5320964596.9471331</v>
      </c>
      <c r="F93" s="2">
        <f>F5/'Output-Calculation-sheet'!F4*'Output-Calculation-sheet'!F76</f>
        <v>2665170083.9234376</v>
      </c>
      <c r="G93" s="2">
        <f>G5/'Output-Calculation-sheet'!G4*'Output-Calculation-sheet'!G76</f>
        <v>2036541949.9149132</v>
      </c>
      <c r="H93" s="2">
        <f>H5/'Output-Calculation-sheet'!H4*'Output-Calculation-sheet'!H76</f>
        <v>0</v>
      </c>
      <c r="I93" s="2">
        <f>I5/'Output-Calculation-sheet'!I4*'Output-Calculation-sheet'!I76</f>
        <v>1383527797.5373662</v>
      </c>
      <c r="J93" s="2">
        <f>J5/'Output-Calculation-sheet'!J4*'Output-Calculation-sheet'!J76</f>
        <v>992640434.74279273</v>
      </c>
      <c r="K93" s="2">
        <f>K5/'Output-Calculation-sheet'!K4*'Output-Calculation-sheet'!K76</f>
        <v>1249698742.4550951</v>
      </c>
      <c r="L93" s="2">
        <f>L5/'Output-Calculation-sheet'!L4*'Output-Calculation-sheet'!L76</f>
        <v>824105189.10299039</v>
      </c>
      <c r="M93" s="2">
        <f>M5/'Output-Calculation-sheet'!M4*'Output-Calculation-sheet'!M76</f>
        <v>0</v>
      </c>
      <c r="N93" s="2">
        <f>N5/'Output-Calculation-sheet'!N4*'Output-Calculation-sheet'!N76</f>
        <v>390114481.30187786</v>
      </c>
      <c r="O93" s="2">
        <f>O5/'Output-Calculation-sheet'!O4*'Output-Calculation-sheet'!O76</f>
        <v>0</v>
      </c>
      <c r="P93" s="2">
        <f>P5/'Output-Calculation-sheet'!P4*'Output-Calculation-sheet'!P76</f>
        <v>1026970288.4571153</v>
      </c>
      <c r="Q93" s="2">
        <f>Q5/'Output-Calculation-sheet'!Q4*'Output-Calculation-sheet'!Q76</f>
        <v>461686922.25797492</v>
      </c>
      <c r="R93" s="2">
        <f>R5/'Output-Calculation-sheet'!R4*'Output-Calculation-sheet'!R76</f>
        <v>736803335.5207516</v>
      </c>
      <c r="S93" s="2">
        <f>S5/'Output-Calculation-sheet'!S4*'Output-Calculation-sheet'!S76</f>
        <v>244118885.78916904</v>
      </c>
      <c r="T93" s="2">
        <f>T5/'Output-Calculation-sheet'!T4*'Output-Calculation-sheet'!T76</f>
        <v>395917012.50400376</v>
      </c>
      <c r="U93" s="2">
        <f>U5/'Output-Calculation-sheet'!U4*'Output-Calculation-sheet'!U76</f>
        <v>206481425.89659199</v>
      </c>
      <c r="V93" s="2">
        <f>V5/'Output-Calculation-sheet'!V4*'Output-Calculation-sheet'!V76</f>
        <v>123534093.16394548</v>
      </c>
      <c r="W93" s="2">
        <f>W5/'Output-Calculation-sheet'!W4*'Output-Calculation-sheet'!W76</f>
        <v>411672556.32170188</v>
      </c>
      <c r="X93" s="2">
        <f>X5/'Output-Calculation-sheet'!X4*'Output-Calculation-sheet'!X76</f>
        <v>0</v>
      </c>
      <c r="Y93" s="2">
        <f>Y5/'Output-Calculation-sheet'!Y4*'Output-Calculation-sheet'!Y76</f>
        <v>172627257.38299939</v>
      </c>
      <c r="AA93" s="2">
        <f t="shared" ref="AA93:AA100" si="8">SUM(B93:Y93)/10^9</f>
        <v>27.853327421593804</v>
      </c>
    </row>
    <row r="94" spans="1:27" x14ac:dyDescent="0.25">
      <c r="A94" s="2">
        <v>2029</v>
      </c>
      <c r="B94" s="2">
        <f>B6/'Output-Calculation-sheet'!B5*'Output-Calculation-sheet'!B77</f>
        <v>7390499990.4951048</v>
      </c>
      <c r="C94" s="2">
        <f>C6/'Output-Calculation-sheet'!C5*'Output-Calculation-sheet'!C77</f>
        <v>0</v>
      </c>
      <c r="D94" s="2">
        <f>D6/'Output-Calculation-sheet'!D5*'Output-Calculation-sheet'!D77</f>
        <v>4768811915.8121033</v>
      </c>
      <c r="E94" s="2">
        <f>E6/'Output-Calculation-sheet'!E5*'Output-Calculation-sheet'!E77</f>
        <v>7108132802.5353241</v>
      </c>
      <c r="F94" s="2">
        <f>F6/'Output-Calculation-sheet'!F5*'Output-Calculation-sheet'!F77</f>
        <v>3484468954.1755366</v>
      </c>
      <c r="G94" s="2">
        <f>G6/'Output-Calculation-sheet'!G5*'Output-Calculation-sheet'!G77</f>
        <v>2697026053.5102057</v>
      </c>
      <c r="H94" s="2">
        <f>H6/'Output-Calculation-sheet'!H5*'Output-Calculation-sheet'!H77</f>
        <v>659615809.8443917</v>
      </c>
      <c r="I94" s="2">
        <f>I6/'Output-Calculation-sheet'!I5*'Output-Calculation-sheet'!I77</f>
        <v>1806968078.5354779</v>
      </c>
      <c r="J94" s="2">
        <f>J6/'Output-Calculation-sheet'!J5*'Output-Calculation-sheet'!J77</f>
        <v>1310033775.0364845</v>
      </c>
      <c r="K94" s="2">
        <f>K6/'Output-Calculation-sheet'!K5*'Output-Calculation-sheet'!K77</f>
        <v>1633413302.8018677</v>
      </c>
      <c r="L94" s="2">
        <f>L6/'Output-Calculation-sheet'!L5*'Output-Calculation-sheet'!L77</f>
        <v>1089396615.325907</v>
      </c>
      <c r="M94" s="2">
        <f>M6/'Output-Calculation-sheet'!M5*'Output-Calculation-sheet'!M77</f>
        <v>479774816.48526299</v>
      </c>
      <c r="N94" s="2">
        <f>N6/'Output-Calculation-sheet'!N5*'Output-Calculation-sheet'!N77</f>
        <v>565586042.10113823</v>
      </c>
      <c r="O94" s="2">
        <f>O6/'Output-Calculation-sheet'!O5*'Output-Calculation-sheet'!O77</f>
        <v>0</v>
      </c>
      <c r="P94" s="2">
        <f>P6/'Output-Calculation-sheet'!P5*'Output-Calculation-sheet'!P77</f>
        <v>1368604972.8951106</v>
      </c>
      <c r="Q94" s="2">
        <f>Q6/'Output-Calculation-sheet'!Q5*'Output-Calculation-sheet'!Q77</f>
        <v>623431525.90291893</v>
      </c>
      <c r="R94" s="2">
        <f>R6/'Output-Calculation-sheet'!R5*'Output-Calculation-sheet'!R77</f>
        <v>972450981.59025025</v>
      </c>
      <c r="S94" s="2">
        <f>S6/'Output-Calculation-sheet'!S5*'Output-Calculation-sheet'!S77</f>
        <v>328306930.23995799</v>
      </c>
      <c r="T94" s="2">
        <f>T6/'Output-Calculation-sheet'!T5*'Output-Calculation-sheet'!T77</f>
        <v>520316988.28541851</v>
      </c>
      <c r="U94" s="2">
        <f>U6/'Output-Calculation-sheet'!U5*'Output-Calculation-sheet'!U77</f>
        <v>265735605.8273018</v>
      </c>
      <c r="V94" s="2">
        <f>V6/'Output-Calculation-sheet'!V5*'Output-Calculation-sheet'!V77</f>
        <v>159035168.48927408</v>
      </c>
      <c r="W94" s="2">
        <f>W6/'Output-Calculation-sheet'!W5*'Output-Calculation-sheet'!W77</f>
        <v>547068202.39999545</v>
      </c>
      <c r="X94" s="2">
        <f>X6/'Output-Calculation-sheet'!X5*'Output-Calculation-sheet'!X77</f>
        <v>44743117.817296967</v>
      </c>
      <c r="Y94" s="2">
        <f>Y6/'Output-Calculation-sheet'!Y5*'Output-Calculation-sheet'!Y77</f>
        <v>230739516.93973136</v>
      </c>
      <c r="AA94" s="2">
        <f t="shared" si="8"/>
        <v>38.054161167046054</v>
      </c>
    </row>
    <row r="95" spans="1:27" x14ac:dyDescent="0.25">
      <c r="A95" s="2">
        <v>2030</v>
      </c>
      <c r="B95" s="2">
        <f>B7/'Output-Calculation-sheet'!B6*'Output-Calculation-sheet'!B78</f>
        <v>8988052881.553339</v>
      </c>
      <c r="C95" s="2">
        <f>C7/'Output-Calculation-sheet'!C6*'Output-Calculation-sheet'!C78</f>
        <v>0</v>
      </c>
      <c r="D95" s="2">
        <f>D7/'Output-Calculation-sheet'!D6*'Output-Calculation-sheet'!D78</f>
        <v>5732735025.2938633</v>
      </c>
      <c r="E95" s="2">
        <f>E7/'Output-Calculation-sheet'!E6*'Output-Calculation-sheet'!E78</f>
        <v>8713089634.6454163</v>
      </c>
      <c r="F95" s="2">
        <f>F7/'Output-Calculation-sheet'!F6*'Output-Calculation-sheet'!F78</f>
        <v>4181662334.8773317</v>
      </c>
      <c r="G95" s="2">
        <f>G7/'Output-Calculation-sheet'!G6*'Output-Calculation-sheet'!G78</f>
        <v>3279303902.3524408</v>
      </c>
      <c r="H95" s="2">
        <f>H7/'Output-Calculation-sheet'!H6*'Output-Calculation-sheet'!H78</f>
        <v>838746007.17779934</v>
      </c>
      <c r="I95" s="2">
        <f>I7/'Output-Calculation-sheet'!I6*'Output-Calculation-sheet'!I78</f>
        <v>2164241432.5814676</v>
      </c>
      <c r="J95" s="2">
        <f>J7/'Output-Calculation-sheet'!J6*'Output-Calculation-sheet'!J78</f>
        <v>1587221817.3574221</v>
      </c>
      <c r="K95" s="2">
        <f>K7/'Output-Calculation-sheet'!K6*'Output-Calculation-sheet'!K78</f>
        <v>1956507508.7056432</v>
      </c>
      <c r="L95" s="2">
        <f>L7/'Output-Calculation-sheet'!L6*'Output-Calculation-sheet'!L78</f>
        <v>1323470450.5055785</v>
      </c>
      <c r="M95" s="2">
        <f>M7/'Output-Calculation-sheet'!M6*'Output-Calculation-sheet'!M78</f>
        <v>615347858.65847147</v>
      </c>
      <c r="N95" s="2">
        <f>N7/'Output-Calculation-sheet'!N6*'Output-Calculation-sheet'!N78</f>
        <v>718074811.70019794</v>
      </c>
      <c r="O95" s="2">
        <f>O7/'Output-Calculation-sheet'!O6*'Output-Calculation-sheet'!O78</f>
        <v>0</v>
      </c>
      <c r="P95" s="2">
        <f>P7/'Output-Calculation-sheet'!P6*'Output-Calculation-sheet'!P78</f>
        <v>1665395169.2545445</v>
      </c>
      <c r="Q95" s="2">
        <f>Q7/'Output-Calculation-sheet'!Q6*'Output-Calculation-sheet'!Q78</f>
        <v>768862399.55820262</v>
      </c>
      <c r="R95" s="2">
        <f>R7/'Output-Calculation-sheet'!R6*'Output-Calculation-sheet'!R78</f>
        <v>1176700572.592907</v>
      </c>
      <c r="S95" s="2">
        <f>S7/'Output-Calculation-sheet'!S6*'Output-Calculation-sheet'!S78</f>
        <v>416903112.26363331</v>
      </c>
      <c r="T95" s="2">
        <f>T7/'Output-Calculation-sheet'!T6*'Output-Calculation-sheet'!T78</f>
        <v>627890938.10911441</v>
      </c>
      <c r="U95" s="2">
        <f>U7/'Output-Calculation-sheet'!U6*'Output-Calculation-sheet'!U78</f>
        <v>313161513.90728885</v>
      </c>
      <c r="V95" s="2">
        <f>V7/'Output-Calculation-sheet'!V6*'Output-Calculation-sheet'!V78</f>
        <v>187689648.84052458</v>
      </c>
      <c r="W95" s="2">
        <f>W7/'Output-Calculation-sheet'!W6*'Output-Calculation-sheet'!W78</f>
        <v>667780404.40357232</v>
      </c>
      <c r="X95" s="2">
        <f>X7/'Output-Calculation-sheet'!X6*'Output-Calculation-sheet'!X78</f>
        <v>58231264.503207512</v>
      </c>
      <c r="Y95" s="2">
        <f>Y7/'Output-Calculation-sheet'!Y6*'Output-Calculation-sheet'!Y78</f>
        <v>283385460.28698313</v>
      </c>
      <c r="AA95" s="2">
        <f t="shared" si="8"/>
        <v>46.264454149128937</v>
      </c>
    </row>
    <row r="96" spans="1:27" x14ac:dyDescent="0.25">
      <c r="A96" s="2">
        <v>2031</v>
      </c>
      <c r="B96" s="2">
        <f>B8/'Output-Calculation-sheet'!B7*'Output-Calculation-sheet'!B79</f>
        <v>10368611785.253986</v>
      </c>
      <c r="C96" s="2">
        <f>C8/'Output-Calculation-sheet'!C7*'Output-Calculation-sheet'!C79</f>
        <v>0</v>
      </c>
      <c r="D96" s="2">
        <f>D8/'Output-Calculation-sheet'!D7*'Output-Calculation-sheet'!D79</f>
        <v>6311288638.47894</v>
      </c>
      <c r="E96" s="2">
        <f>E8/'Output-Calculation-sheet'!E7*'Output-Calculation-sheet'!E79</f>
        <v>9885722552.4205856</v>
      </c>
      <c r="F96" s="2">
        <f>F8/'Output-Calculation-sheet'!F7*'Output-Calculation-sheet'!F79</f>
        <v>4732070685.5023127</v>
      </c>
      <c r="G96" s="2">
        <f>G8/'Output-Calculation-sheet'!G7*'Output-Calculation-sheet'!G79</f>
        <v>3607498779.4017315</v>
      </c>
      <c r="H96" s="2">
        <f>H8/'Output-Calculation-sheet'!H7*'Output-Calculation-sheet'!H79</f>
        <v>974978428.22176206</v>
      </c>
      <c r="I96" s="2">
        <f>I8/'Output-Calculation-sheet'!I7*'Output-Calculation-sheet'!I79</f>
        <v>2473966818.5327611</v>
      </c>
      <c r="J96" s="2">
        <f>J8/'Output-Calculation-sheet'!J7*'Output-Calculation-sheet'!J79</f>
        <v>1761031828.7354987</v>
      </c>
      <c r="K96" s="2">
        <f>K8/'Output-Calculation-sheet'!K7*'Output-Calculation-sheet'!K79</f>
        <v>2194817348.1405802</v>
      </c>
      <c r="L96" s="2">
        <f>L8/'Output-Calculation-sheet'!L7*'Output-Calculation-sheet'!L79</f>
        <v>1527282886.9969809</v>
      </c>
      <c r="M96" s="2">
        <f>M8/'Output-Calculation-sheet'!M7*'Output-Calculation-sheet'!M79</f>
        <v>722777542.44391537</v>
      </c>
      <c r="N96" s="2">
        <f>N8/'Output-Calculation-sheet'!N7*'Output-Calculation-sheet'!N79</f>
        <v>805539551.13260508</v>
      </c>
      <c r="O96" s="2">
        <f>O8/'Output-Calculation-sheet'!O7*'Output-Calculation-sheet'!O79</f>
        <v>0</v>
      </c>
      <c r="P96" s="2">
        <f>P8/'Output-Calculation-sheet'!P7*'Output-Calculation-sheet'!P79</f>
        <v>1863020137.0710127</v>
      </c>
      <c r="Q96" s="2">
        <f>Q8/'Output-Calculation-sheet'!Q7*'Output-Calculation-sheet'!Q79</f>
        <v>864908514.02117705</v>
      </c>
      <c r="R96" s="2">
        <f>R8/'Output-Calculation-sheet'!R7*'Output-Calculation-sheet'!R79</f>
        <v>1334438676.0619512</v>
      </c>
      <c r="S96" s="2">
        <f>S8/'Output-Calculation-sheet'!S7*'Output-Calculation-sheet'!S79</f>
        <v>488787020.97049868</v>
      </c>
      <c r="T96" s="2">
        <f>T8/'Output-Calculation-sheet'!T7*'Output-Calculation-sheet'!T79</f>
        <v>699458353.019117</v>
      </c>
      <c r="U96" s="2">
        <f>U8/'Output-Calculation-sheet'!U7*'Output-Calculation-sheet'!U79</f>
        <v>355139413.06168401</v>
      </c>
      <c r="V96" s="2">
        <f>V8/'Output-Calculation-sheet'!V7*'Output-Calculation-sheet'!V79</f>
        <v>215288934.11563218</v>
      </c>
      <c r="W96" s="2">
        <f>W8/'Output-Calculation-sheet'!W7*'Output-Calculation-sheet'!W79</f>
        <v>749732567.57083642</v>
      </c>
      <c r="X96" s="2">
        <f>X8/'Output-Calculation-sheet'!X7*'Output-Calculation-sheet'!X79</f>
        <v>69899850.740365162</v>
      </c>
      <c r="Y96" s="2">
        <f>Y8/'Output-Calculation-sheet'!Y7*'Output-Calculation-sheet'!Y79</f>
        <v>318916962.99977493</v>
      </c>
      <c r="AA96" s="2">
        <f t="shared" si="8"/>
        <v>52.325177274893704</v>
      </c>
    </row>
    <row r="97" spans="1:27" x14ac:dyDescent="0.25">
      <c r="A97" s="2">
        <v>2032</v>
      </c>
      <c r="B97" s="2">
        <f>B9/'Output-Calculation-sheet'!B8*'Output-Calculation-sheet'!B80</f>
        <v>11293676332.911825</v>
      </c>
      <c r="C97" s="2">
        <f>C9/'Output-Calculation-sheet'!C8*'Output-Calculation-sheet'!C80</f>
        <v>0</v>
      </c>
      <c r="D97" s="2">
        <f>D9/'Output-Calculation-sheet'!D8*'Output-Calculation-sheet'!D80</f>
        <v>6556334319.5872488</v>
      </c>
      <c r="E97" s="2">
        <f>E9/'Output-Calculation-sheet'!E8*'Output-Calculation-sheet'!E80</f>
        <v>10577502322.115028</v>
      </c>
      <c r="F97" s="2">
        <f>F9/'Output-Calculation-sheet'!F8*'Output-Calculation-sheet'!F80</f>
        <v>5045636953.1850271</v>
      </c>
      <c r="G97" s="2">
        <f>G9/'Output-Calculation-sheet'!G8*'Output-Calculation-sheet'!G80</f>
        <v>3736169951.8674006</v>
      </c>
      <c r="H97" s="2">
        <f>H9/'Output-Calculation-sheet'!H8*'Output-Calculation-sheet'!H80</f>
        <v>1066979749.8211833</v>
      </c>
      <c r="I97" s="2">
        <f>I9/'Output-Calculation-sheet'!I8*'Output-Calculation-sheet'!I80</f>
        <v>2664175612.8474269</v>
      </c>
      <c r="J97" s="2">
        <f>J9/'Output-Calculation-sheet'!J8*'Output-Calculation-sheet'!J80</f>
        <v>1842523070.8686252</v>
      </c>
      <c r="K97" s="2">
        <f>K9/'Output-Calculation-sheet'!K8*'Output-Calculation-sheet'!K80</f>
        <v>2317734661.7735524</v>
      </c>
      <c r="L97" s="2">
        <f>L9/'Output-Calculation-sheet'!L8*'Output-Calculation-sheet'!L80</f>
        <v>1664097061.2529109</v>
      </c>
      <c r="M97" s="2">
        <f>M9/'Output-Calculation-sheet'!M8*'Output-Calculation-sheet'!M80</f>
        <v>792380794.88878715</v>
      </c>
      <c r="N97" s="2">
        <f>N9/'Output-Calculation-sheet'!N8*'Output-Calculation-sheet'!N80</f>
        <v>843406324.14150536</v>
      </c>
      <c r="O97" s="2">
        <f>O9/'Output-Calculation-sheet'!O8*'Output-Calculation-sheet'!O80</f>
        <v>0</v>
      </c>
      <c r="P97" s="2">
        <f>P9/'Output-Calculation-sheet'!P8*'Output-Calculation-sheet'!P80</f>
        <v>1973711391.0471792</v>
      </c>
      <c r="Q97" s="2">
        <f>Q9/'Output-Calculation-sheet'!Q8*'Output-Calculation-sheet'!Q80</f>
        <v>920241906.1334188</v>
      </c>
      <c r="R97" s="2">
        <f>R9/'Output-Calculation-sheet'!R8*'Output-Calculation-sheet'!R80</f>
        <v>1426301751.8279622</v>
      </c>
      <c r="S97" s="2">
        <f>S9/'Output-Calculation-sheet'!S8*'Output-Calculation-sheet'!S80</f>
        <v>537418523.94145119</v>
      </c>
      <c r="T97" s="2">
        <f>T9/'Output-Calculation-sheet'!T8*'Output-Calculation-sheet'!T80</f>
        <v>733453474.70009577</v>
      </c>
      <c r="U97" s="2">
        <f>U9/'Output-Calculation-sheet'!U8*'Output-Calculation-sheet'!U80</f>
        <v>379752868.26842451</v>
      </c>
      <c r="V97" s="2">
        <f>V9/'Output-Calculation-sheet'!V8*'Output-Calculation-sheet'!V80</f>
        <v>232802743.95867661</v>
      </c>
      <c r="W97" s="2">
        <f>W9/'Output-Calculation-sheet'!W8*'Output-Calculation-sheet'!W80</f>
        <v>792571599.7945981</v>
      </c>
      <c r="X97" s="2">
        <f>X9/'Output-Calculation-sheet'!X8*'Output-Calculation-sheet'!X80</f>
        <v>78467721.960950956</v>
      </c>
      <c r="Y97" s="2">
        <f>Y9/'Output-Calculation-sheet'!Y8*'Output-Calculation-sheet'!Y80</f>
        <v>337480887.20263451</v>
      </c>
      <c r="AA97" s="2">
        <f t="shared" si="8"/>
        <v>55.81282002409592</v>
      </c>
    </row>
    <row r="98" spans="1:27" x14ac:dyDescent="0.25">
      <c r="A98" s="2">
        <v>2033</v>
      </c>
      <c r="B98" s="2">
        <f>B10/'Output-Calculation-sheet'!B9*'Output-Calculation-sheet'!B81</f>
        <v>12375254500.34721</v>
      </c>
      <c r="C98" s="2">
        <f>C10/'Output-Calculation-sheet'!C9*'Output-Calculation-sheet'!C81</f>
        <v>1620789887.4298744</v>
      </c>
      <c r="D98" s="2">
        <f>D10/'Output-Calculation-sheet'!D9*'Output-Calculation-sheet'!D81</f>
        <v>6597666672.0095739</v>
      </c>
      <c r="E98" s="2">
        <f>E10/'Output-Calculation-sheet'!E9*'Output-Calculation-sheet'!E81</f>
        <v>10954423850.420254</v>
      </c>
      <c r="F98" s="2">
        <f>F10/'Output-Calculation-sheet'!F9*'Output-Calculation-sheet'!F81</f>
        <v>5215295720.8188534</v>
      </c>
      <c r="G98" s="2">
        <f>G10/'Output-Calculation-sheet'!G9*'Output-Calculation-sheet'!G81</f>
        <v>3744974875.431705</v>
      </c>
      <c r="H98" s="2">
        <f>H10/'Output-Calculation-sheet'!H9*'Output-Calculation-sheet'!H81</f>
        <v>1128639125.8083577</v>
      </c>
      <c r="I98" s="2">
        <f>I10/'Output-Calculation-sheet'!I9*'Output-Calculation-sheet'!I81</f>
        <v>2779625386.9965425</v>
      </c>
      <c r="J98" s="2">
        <f>J10/'Output-Calculation-sheet'!J9*'Output-Calculation-sheet'!J81</f>
        <v>1869100600.845691</v>
      </c>
      <c r="K98" s="2">
        <f>K10/'Output-Calculation-sheet'!K9*'Output-Calculation-sheet'!K81</f>
        <v>2373694148.21138</v>
      </c>
      <c r="L98" s="2">
        <f>L10/'Output-Calculation-sheet'!L9*'Output-Calculation-sheet'!L81</f>
        <v>1754973101.7531722</v>
      </c>
      <c r="M98" s="2">
        <f>M10/'Output-Calculation-sheet'!M9*'Output-Calculation-sheet'!M81</f>
        <v>841518263.80109859</v>
      </c>
      <c r="N98" s="2">
        <f>N10/'Output-Calculation-sheet'!N9*'Output-Calculation-sheet'!N81</f>
        <v>856332953.93200862</v>
      </c>
      <c r="O98" s="2">
        <f>O10/'Output-Calculation-sheet'!O9*'Output-Calculation-sheet'!O81</f>
        <v>0</v>
      </c>
      <c r="P98" s="2">
        <f>P10/'Output-Calculation-sheet'!P9*'Output-Calculation-sheet'!P81</f>
        <v>2019418768.0771997</v>
      </c>
      <c r="Q98" s="2">
        <f>Q10/'Output-Calculation-sheet'!Q9*'Output-Calculation-sheet'!Q81</f>
        <v>947887604.65085208</v>
      </c>
      <c r="R98" s="2">
        <f>R10/'Output-Calculation-sheet'!R9*'Output-Calculation-sheet'!R81</f>
        <v>1479136477.6271114</v>
      </c>
      <c r="S98" s="2">
        <f>S10/'Output-Calculation-sheet'!S9*'Output-Calculation-sheet'!S81</f>
        <v>561653779.24875259</v>
      </c>
      <c r="T98" s="2">
        <f>T10/'Output-Calculation-sheet'!T9*'Output-Calculation-sheet'!T81</f>
        <v>745491897.1501497</v>
      </c>
      <c r="U98" s="2">
        <f>U10/'Output-Calculation-sheet'!U9*'Output-Calculation-sheet'!U81</f>
        <v>392949580.31402671</v>
      </c>
      <c r="V98" s="2">
        <f>V10/'Output-Calculation-sheet'!V9*'Output-Calculation-sheet'!V81</f>
        <v>243509118.38604769</v>
      </c>
      <c r="W98" s="2">
        <f>W10/'Output-Calculation-sheet'!W9*'Output-Calculation-sheet'!W81</f>
        <v>809581445.66978002</v>
      </c>
      <c r="X98" s="2">
        <f>X10/'Output-Calculation-sheet'!X9*'Output-Calculation-sheet'!X81</f>
        <v>84217873.141807377</v>
      </c>
      <c r="Y98" s="2">
        <f>Y10/'Output-Calculation-sheet'!Y9*'Output-Calculation-sheet'!Y81</f>
        <v>345614972.33079106</v>
      </c>
      <c r="AA98" s="2">
        <f t="shared" si="8"/>
        <v>59.741750604402228</v>
      </c>
    </row>
    <row r="99" spans="1:27" x14ac:dyDescent="0.25">
      <c r="A99" s="2">
        <v>2034</v>
      </c>
      <c r="B99" s="2">
        <f>B11/'Output-Calculation-sheet'!B10*'Output-Calculation-sheet'!B82</f>
        <v>12984090786.814259</v>
      </c>
      <c r="C99" s="2">
        <f>C11/'Output-Calculation-sheet'!C10*'Output-Calculation-sheet'!C82</f>
        <v>1760961838.9190621</v>
      </c>
      <c r="D99" s="2">
        <f>D11/'Output-Calculation-sheet'!D10*'Output-Calculation-sheet'!D82</f>
        <v>6478465796.138401</v>
      </c>
      <c r="E99" s="2">
        <f>E11/'Output-Calculation-sheet'!E10*'Output-Calculation-sheet'!E82</f>
        <v>11079272116.487408</v>
      </c>
      <c r="F99" s="2">
        <f>F11/'Output-Calculation-sheet'!F10*'Output-Calculation-sheet'!F82</f>
        <v>5261637063.4361687</v>
      </c>
      <c r="G99" s="2">
        <f>G11/'Output-Calculation-sheet'!G10*'Output-Calculation-sheet'!G82</f>
        <v>3655024983.2449441</v>
      </c>
      <c r="H99" s="2">
        <f>H11/'Output-Calculation-sheet'!H10*'Output-Calculation-sheet'!H82</f>
        <v>1166293043.4861367</v>
      </c>
      <c r="I99" s="2">
        <f>I11/'Output-Calculation-sheet'!I10*'Output-Calculation-sheet'!I82</f>
        <v>2833305652.0902543</v>
      </c>
      <c r="J99" s="2">
        <f>J11/'Output-Calculation-sheet'!J10*'Output-Calculation-sheet'!J82</f>
        <v>1851098121.9386184</v>
      </c>
      <c r="K99" s="2">
        <f>K11/'Output-Calculation-sheet'!K10*'Output-Calculation-sheet'!K82</f>
        <v>2373437319.3191133</v>
      </c>
      <c r="L99" s="2">
        <f>L11/'Output-Calculation-sheet'!L10*'Output-Calculation-sheet'!L82</f>
        <v>1804765157.9773569</v>
      </c>
      <c r="M99" s="2">
        <f>M11/'Output-Calculation-sheet'!M10*'Output-Calculation-sheet'!M82</f>
        <v>872424030.56551349</v>
      </c>
      <c r="N99" s="2">
        <f>N11/'Output-Calculation-sheet'!N10*'Output-Calculation-sheet'!N82</f>
        <v>851448124.37341225</v>
      </c>
      <c r="O99" s="2">
        <f>O11/'Output-Calculation-sheet'!O10*'Output-Calculation-sheet'!O82</f>
        <v>0</v>
      </c>
      <c r="P99" s="2">
        <f>P11/'Output-Calculation-sheet'!P10*'Output-Calculation-sheet'!P82</f>
        <v>2013870460.4949007</v>
      </c>
      <c r="Q99" s="2">
        <f>Q11/'Output-Calculation-sheet'!Q10*'Output-Calculation-sheet'!Q82</f>
        <v>953582521.04913843</v>
      </c>
      <c r="R99" s="2">
        <f>R11/'Output-Calculation-sheet'!R10*'Output-Calculation-sheet'!R82</f>
        <v>1496486371.3694897</v>
      </c>
      <c r="S99" s="2">
        <f>S11/'Output-Calculation-sheet'!S10*'Output-Calculation-sheet'!S82</f>
        <v>583082513.47148609</v>
      </c>
      <c r="T99" s="2">
        <f>T11/'Output-Calculation-sheet'!T10*'Output-Calculation-sheet'!T82</f>
        <v>739383056.63015234</v>
      </c>
      <c r="U99" s="2">
        <f>U11/'Output-Calculation-sheet'!U10*'Output-Calculation-sheet'!U82</f>
        <v>397437799.05525082</v>
      </c>
      <c r="V99" s="2">
        <f>V11/'Output-Calculation-sheet'!V10*'Output-Calculation-sheet'!V82</f>
        <v>248628125.88037837</v>
      </c>
      <c r="W99" s="2">
        <f>W11/'Output-Calculation-sheet'!W10*'Output-Calculation-sheet'!W82</f>
        <v>805949259.94768357</v>
      </c>
      <c r="X99" s="2">
        <f>X11/'Output-Calculation-sheet'!X10*'Output-Calculation-sheet'!X82</f>
        <v>88682143.020573214</v>
      </c>
      <c r="Y99" s="2">
        <f>Y11/'Output-Calculation-sheet'!Y10*'Output-Calculation-sheet'!Y82</f>
        <v>344845464.53153104</v>
      </c>
      <c r="AA99" s="2">
        <f t="shared" si="8"/>
        <v>60.644171750241249</v>
      </c>
    </row>
    <row r="100" spans="1:27" x14ac:dyDescent="0.25">
      <c r="A100" s="2">
        <v>2035</v>
      </c>
      <c r="B100" s="2">
        <f>B12/'Output-Calculation-sheet'!B11*'Output-Calculation-sheet'!B83</f>
        <v>13114194899.039558</v>
      </c>
      <c r="C100" s="2">
        <f>C12/'Output-Calculation-sheet'!C11*'Output-Calculation-sheet'!C83</f>
        <v>1855464523.4235196</v>
      </c>
      <c r="D100" s="2">
        <f>D12/'Output-Calculation-sheet'!D11*'Output-Calculation-sheet'!D83</f>
        <v>6237183529.4252863</v>
      </c>
      <c r="E100" s="2">
        <f>E12/'Output-Calculation-sheet'!E11*'Output-Calculation-sheet'!E83</f>
        <v>10973181959.19795</v>
      </c>
      <c r="F100" s="2">
        <f>F12/'Output-Calculation-sheet'!F11*'Output-Calculation-sheet'!F83</f>
        <v>5200264842.9916019</v>
      </c>
      <c r="G100" s="2">
        <f>G12/'Output-Calculation-sheet'!G11*'Output-Calculation-sheet'!G83</f>
        <v>3487682875.4871626</v>
      </c>
      <c r="H100" s="2">
        <f>H12/'Output-Calculation-sheet'!H11*'Output-Calculation-sheet'!H83</f>
        <v>1175203737.0376766</v>
      </c>
      <c r="I100" s="2">
        <f>I12/'Output-Calculation-sheet'!I11*'Output-Calculation-sheet'!I83</f>
        <v>2825833385.3707385</v>
      </c>
      <c r="J100" s="2">
        <f>J12/'Output-Calculation-sheet'!J11*'Output-Calculation-sheet'!J83</f>
        <v>1795305323.0284674</v>
      </c>
      <c r="K100" s="2">
        <f>K12/'Output-Calculation-sheet'!K11*'Output-Calculation-sheet'!K83</f>
        <v>2323867679.5205054</v>
      </c>
      <c r="L100" s="2">
        <f>L12/'Output-Calculation-sheet'!L11*'Output-Calculation-sheet'!L83</f>
        <v>1815719521.5202394</v>
      </c>
      <c r="M100" s="2">
        <f>M12/'Output-Calculation-sheet'!M11*'Output-Calculation-sheet'!M83</f>
        <v>880872683.54457331</v>
      </c>
      <c r="N100" s="2">
        <f>N12/'Output-Calculation-sheet'!N11*'Output-Calculation-sheet'!N83</f>
        <v>829809353.46692705</v>
      </c>
      <c r="O100" s="2">
        <f>O12/'Output-Calculation-sheet'!O11*'Output-Calculation-sheet'!O83</f>
        <v>223872310.87135595</v>
      </c>
      <c r="P100" s="2">
        <f>P12/'Output-Calculation-sheet'!P11*'Output-Calculation-sheet'!P83</f>
        <v>1965672307.5562382</v>
      </c>
      <c r="Q100" s="2">
        <f>Q12/'Output-Calculation-sheet'!Q11*'Output-Calculation-sheet'!Q83</f>
        <v>942691417.20335352</v>
      </c>
      <c r="R100" s="2">
        <f>R12/'Output-Calculation-sheet'!R11*'Output-Calculation-sheet'!R83</f>
        <v>1484925659.9768596</v>
      </c>
      <c r="S100" s="2">
        <f>S12/'Output-Calculation-sheet'!S11*'Output-Calculation-sheet'!S83</f>
        <v>575931874.64895201</v>
      </c>
      <c r="T100" s="2">
        <f>T12/'Output-Calculation-sheet'!T11*'Output-Calculation-sheet'!T83</f>
        <v>717866462.44137919</v>
      </c>
      <c r="U100" s="2">
        <f>U12/'Output-Calculation-sheet'!U11*'Output-Calculation-sheet'!U83</f>
        <v>393243153.07525843</v>
      </c>
      <c r="V100" s="2">
        <f>V12/'Output-Calculation-sheet'!V11*'Output-Calculation-sheet'!V83</f>
        <v>248547765.15692225</v>
      </c>
      <c r="W100" s="2">
        <f>W12/'Output-Calculation-sheet'!W11*'Output-Calculation-sheet'!W83</f>
        <v>784293564.74679422</v>
      </c>
      <c r="X100" s="2">
        <f>X12/'Output-Calculation-sheet'!X11*'Output-Calculation-sheet'!X83</f>
        <v>91262388.894320086</v>
      </c>
      <c r="Y100" s="2">
        <f>Y12/'Output-Calculation-sheet'!Y11*'Output-Calculation-sheet'!Y83</f>
        <v>336737745.10182339</v>
      </c>
      <c r="AA100" s="2">
        <f t="shared" si="8"/>
        <v>60.279628962727429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0526-2AF0-4D2D-B3D6-FBADA7851061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95554804588.765823</v>
      </c>
      <c r="C8" s="2">
        <v>45030232310.630737</v>
      </c>
      <c r="D8" s="2">
        <v>40134110431.721672</v>
      </c>
      <c r="E8" s="2">
        <v>31842343946.535206</v>
      </c>
      <c r="F8" s="2">
        <v>20498059449.835583</v>
      </c>
      <c r="G8" s="2">
        <v>14402499123.512083</v>
      </c>
      <c r="H8" s="2">
        <v>14049085029.373405</v>
      </c>
      <c r="I8" s="2">
        <v>13121810425.940281</v>
      </c>
      <c r="J8" s="2">
        <v>12771863988.90353</v>
      </c>
      <c r="K8" s="2">
        <v>12649425250.606451</v>
      </c>
      <c r="L8" s="2">
        <v>10147533396.060501</v>
      </c>
      <c r="M8" s="2">
        <v>9692643967.9612389</v>
      </c>
      <c r="N8" s="2">
        <v>9513302061.3583851</v>
      </c>
      <c r="O8" s="2">
        <v>8749413243.0501595</v>
      </c>
      <c r="P8" s="2">
        <v>8660394881.1205921</v>
      </c>
      <c r="Q8" s="2">
        <v>8520428903.2438965</v>
      </c>
      <c r="R8" s="2">
        <v>8197044509.6586819</v>
      </c>
      <c r="S8" s="2">
        <v>5448175688.8503914</v>
      </c>
      <c r="T8" s="2">
        <v>3013163077.6833973</v>
      </c>
      <c r="U8" s="2">
        <v>2624362085.1880598</v>
      </c>
      <c r="V8" s="2">
        <v>2020811292.8365111</v>
      </c>
      <c r="W8" s="2">
        <v>1749574723.4587054</v>
      </c>
      <c r="X8" s="2">
        <v>1049744834.0752238</v>
      </c>
      <c r="Y8" s="2">
        <v>1020866353.6898128</v>
      </c>
    </row>
    <row r="9" spans="1:27" x14ac:dyDescent="0.25">
      <c r="A9" s="2">
        <v>2032</v>
      </c>
      <c r="B9" s="2">
        <v>104102537958.37828</v>
      </c>
      <c r="C9" s="2">
        <v>49058354402.65406</v>
      </c>
      <c r="D9" s="2">
        <v>43724256175.552437</v>
      </c>
      <c r="E9" s="2">
        <v>34690760277.768806</v>
      </c>
      <c r="F9" s="2">
        <v>22331687256.68119</v>
      </c>
      <c r="G9" s="2">
        <v>15690856343.158701</v>
      </c>
      <c r="H9" s="2">
        <v>15305828041.249298</v>
      </c>
      <c r="I9" s="2">
        <v>14295605268.912781</v>
      </c>
      <c r="J9" s="2">
        <v>13914354818.955807</v>
      </c>
      <c r="K9" s="2">
        <v>13780963479.231943</v>
      </c>
      <c r="L9" s="2">
        <v>11055268074.625902</v>
      </c>
      <c r="M9" s="2">
        <v>10559687091.970261</v>
      </c>
      <c r="N9" s="2">
        <v>10364302383.477575</v>
      </c>
      <c r="O9" s="2">
        <v>9532080863.6267376</v>
      </c>
      <c r="P9" s="2">
        <v>9435099477.4824429</v>
      </c>
      <c r="Q9" s="2">
        <v>9282613021.2807064</v>
      </c>
      <c r="R9" s="2">
        <v>8930300688.5494041</v>
      </c>
      <c r="S9" s="2">
        <v>5935535307.6525726</v>
      </c>
      <c r="T9" s="2">
        <v>3282701743.9811516</v>
      </c>
      <c r="U9" s="2">
        <v>2859121053.7825603</v>
      </c>
      <c r="V9" s="2">
        <v>2201580393.8336482</v>
      </c>
      <c r="W9" s="2">
        <v>1906080702.5217052</v>
      </c>
      <c r="X9" s="2">
        <v>1143648421.5130241</v>
      </c>
      <c r="Y9" s="2">
        <v>1112186653.4371989</v>
      </c>
    </row>
    <row r="10" spans="1:27" x14ac:dyDescent="0.25">
      <c r="A10" s="2">
        <v>2033</v>
      </c>
      <c r="B10" s="2">
        <v>110329916736.84514</v>
      </c>
      <c r="C10" s="2">
        <v>51993008649.371269</v>
      </c>
      <c r="D10" s="2">
        <v>46339826461.847939</v>
      </c>
      <c r="E10" s="2">
        <v>36765949880.245468</v>
      </c>
      <c r="F10" s="2">
        <v>23667561271.253407</v>
      </c>
      <c r="G10" s="2">
        <v>16629478087.869917</v>
      </c>
      <c r="H10" s="2">
        <v>16221417522.545586</v>
      </c>
      <c r="I10" s="2">
        <v>15150763564.021393</v>
      </c>
      <c r="J10" s="2">
        <v>14746706840.481619</v>
      </c>
      <c r="K10" s="2">
        <v>14605336075.716646</v>
      </c>
      <c r="L10" s="2">
        <v>11716590489.509897</v>
      </c>
      <c r="M10" s="2">
        <v>11191364019.290491</v>
      </c>
      <c r="N10" s="2">
        <v>10984291463.304684</v>
      </c>
      <c r="O10" s="2">
        <v>10102286732.272438</v>
      </c>
      <c r="P10" s="2">
        <v>9999503952.2541275</v>
      </c>
      <c r="Q10" s="2">
        <v>9837895807.5712318</v>
      </c>
      <c r="R10" s="2">
        <v>9464508269.6886387</v>
      </c>
      <c r="S10" s="2">
        <v>6290597031.7816677</v>
      </c>
      <c r="T10" s="2">
        <v>3479071857.3080492</v>
      </c>
      <c r="U10" s="2">
        <v>3030152712.8042827</v>
      </c>
      <c r="V10" s="2">
        <v>2333278191.9135556</v>
      </c>
      <c r="W10" s="2">
        <v>2020101808.5361872</v>
      </c>
      <c r="X10" s="2">
        <v>1212061085.1217132</v>
      </c>
      <c r="Y10" s="2">
        <v>1178717284.670013</v>
      </c>
    </row>
    <row r="11" spans="1:27" x14ac:dyDescent="0.25">
      <c r="A11" s="2">
        <v>2034</v>
      </c>
      <c r="B11" s="2">
        <v>114770067070.44748</v>
      </c>
      <c r="C11" s="2">
        <v>54085430918.2118</v>
      </c>
      <c r="D11" s="2">
        <v>48204740367.42453</v>
      </c>
      <c r="E11" s="2">
        <v>38245569818.827934</v>
      </c>
      <c r="F11" s="2">
        <v>24620045721.366436</v>
      </c>
      <c r="G11" s="2">
        <v>17298719802.749508</v>
      </c>
      <c r="H11" s="2">
        <v>16874237125.373953</v>
      </c>
      <c r="I11" s="2">
        <v>15760495447.111397</v>
      </c>
      <c r="J11" s="2">
        <v>15340177743.332703</v>
      </c>
      <c r="K11" s="2">
        <v>15193117611.015411</v>
      </c>
      <c r="L11" s="2">
        <v>12188116479.099503</v>
      </c>
      <c r="M11" s="2">
        <v>11641752636.932976</v>
      </c>
      <c r="N11" s="2">
        <v>11426346590.759434</v>
      </c>
      <c r="O11" s="2">
        <v>10508846196.206722</v>
      </c>
      <c r="P11" s="2">
        <v>10401926995.093531</v>
      </c>
      <c r="Q11" s="2">
        <v>10233815043.657677</v>
      </c>
      <c r="R11" s="2">
        <v>9845400785.4627037</v>
      </c>
      <c r="S11" s="2">
        <v>6543757709.6406374</v>
      </c>
      <c r="T11" s="2">
        <v>3619084670.9195914</v>
      </c>
      <c r="U11" s="2">
        <v>3152099089.4222841</v>
      </c>
      <c r="V11" s="2">
        <v>2427179340.8369489</v>
      </c>
      <c r="W11" s="2">
        <v>2101399392.9481881</v>
      </c>
      <c r="X11" s="2">
        <v>1260839635.7689135</v>
      </c>
      <c r="Y11" s="2">
        <v>1226153937.3889089</v>
      </c>
    </row>
    <row r="12" spans="1:27" x14ac:dyDescent="0.25">
      <c r="A12" s="2">
        <v>2035</v>
      </c>
      <c r="B12" s="2">
        <v>117682725542.31569</v>
      </c>
      <c r="C12" s="2">
        <v>55458022157.283539</v>
      </c>
      <c r="D12" s="2">
        <v>49428090226.83696</v>
      </c>
      <c r="E12" s="2">
        <v>39216173790.644554</v>
      </c>
      <c r="F12" s="2">
        <v>25244858327.811146</v>
      </c>
      <c r="G12" s="2">
        <v>17737730287.556717</v>
      </c>
      <c r="H12" s="2">
        <v>17302475001.103039</v>
      </c>
      <c r="I12" s="2">
        <v>16160468556.447409</v>
      </c>
      <c r="J12" s="2">
        <v>15729483943.150959</v>
      </c>
      <c r="K12" s="2">
        <v>15578691688.415327</v>
      </c>
      <c r="L12" s="2">
        <v>12497429016.986017</v>
      </c>
      <c r="M12" s="2">
        <v>11937199440.362509</v>
      </c>
      <c r="N12" s="2">
        <v>11716326775.049555</v>
      </c>
      <c r="O12" s="2">
        <v>10775541865.942225</v>
      </c>
      <c r="P12" s="2">
        <v>10665909247.255299</v>
      </c>
      <c r="Q12" s="2">
        <v>10493530915.986526</v>
      </c>
      <c r="R12" s="2">
        <v>10095259400.50659</v>
      </c>
      <c r="S12" s="2">
        <v>6709826544.6369486</v>
      </c>
      <c r="T12" s="2">
        <v>3710930549.346168</v>
      </c>
      <c r="U12" s="2">
        <v>3232093711.2894864</v>
      </c>
      <c r="V12" s="2">
        <v>2488776799.567132</v>
      </c>
      <c r="W12" s="2">
        <v>2154729140.8596559</v>
      </c>
      <c r="X12" s="2">
        <v>1292837484.5157943</v>
      </c>
      <c r="Y12" s="2">
        <v>1257271525.3167627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-4.5195892169162742E-11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179.75465711761834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2.8216810779890991E-12</v>
      </c>
      <c r="Y16" s="2">
        <f>Y5/'Output-Calculation-sheet'!Y4*'Output-Calculation-sheet'!Y22</f>
        <v>0</v>
      </c>
      <c r="AA16" s="2">
        <f t="shared" ref="AA16:AA23" si="0">SUM(B16:Y16)/1000</f>
        <v>0.17975465711757596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1365.8555704711405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929.66927532141654</v>
      </c>
      <c r="N17" s="2">
        <f>N6/'Output-Calculation-sheet'!N5*'Output-Calculation-sheet'!N23</f>
        <v>381.26597866232555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85.6951003305266</v>
      </c>
      <c r="Y17" s="2">
        <f>Y6/'Output-Calculation-sheet'!Y5*'Output-Calculation-sheet'!Y23</f>
        <v>0</v>
      </c>
      <c r="AA17" s="2">
        <f t="shared" si="0"/>
        <v>2.7624859247854094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1764.8877932355176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1199.5524955666799</v>
      </c>
      <c r="N18" s="2">
        <f>N7/'Output-Calculation-sheet'!N6*'Output-Calculation-sheet'!N24</f>
        <v>664.02121659247052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117.96719317359887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112.61595833370302</v>
      </c>
      <c r="Y18" s="2">
        <f>Y7/'Output-Calculation-sheet'!Y6*'Output-Calculation-sheet'!Y24</f>
        <v>0</v>
      </c>
      <c r="AA18" s="2">
        <f t="shared" si="0"/>
        <v>3.8590446569019701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2099.8838058011638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1438.0988876173008</v>
      </c>
      <c r="N19" s="2">
        <f>N8/'Output-Calculation-sheet'!N7*'Output-Calculation-sheet'!N25</f>
        <v>967.33035414375422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256.57997753069856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136.48103697478251</v>
      </c>
      <c r="Y19" s="2">
        <f>Y8/'Output-Calculation-sheet'!Y7*'Output-Calculation-sheet'!Y25</f>
        <v>0</v>
      </c>
      <c r="AA19" s="2">
        <f t="shared" si="0"/>
        <v>4.8983740620677008</v>
      </c>
    </row>
    <row r="20" spans="1:27" x14ac:dyDescent="0.25">
      <c r="A20" s="2">
        <v>2032</v>
      </c>
      <c r="B20" s="2">
        <f>B9/'Output-Calculation-sheet'!B8*'Output-Calculation-sheet'!B26</f>
        <v>2.2356160377520395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2363.2077820238133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1616.1268543627004</v>
      </c>
      <c r="N20" s="2">
        <f>N9/'Output-Calculation-sheet'!N8*'Output-Calculation-sheet'!N26</f>
        <v>1177.0019571381902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404.94902371645031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155.55986236123323</v>
      </c>
      <c r="Y20" s="2">
        <f>Y9/'Output-Calculation-sheet'!Y8*'Output-Calculation-sheet'!Y26</f>
        <v>0</v>
      </c>
      <c r="AA20" s="2">
        <f t="shared" si="0"/>
        <v>5.7190810956401394</v>
      </c>
    </row>
    <row r="21" spans="1:27" x14ac:dyDescent="0.25">
      <c r="A21" s="2">
        <v>2033</v>
      </c>
      <c r="B21" s="2">
        <f>B10/'Output-Calculation-sheet'!B9*'Output-Calculation-sheet'!B27</f>
        <v>3689.0776955773649</v>
      </c>
      <c r="C21" s="2">
        <f>C10/'Output-Calculation-sheet'!C9*'Output-Calculation-sheet'!C27</f>
        <v>5756.5523932804572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2582.7456389591275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1768.0218981064249</v>
      </c>
      <c r="N21" s="2">
        <f>N10/'Output-Calculation-sheet'!N9*'Output-Calculation-sheet'!N27</f>
        <v>1381.4067164572125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526.99284297101281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170.18187720179733</v>
      </c>
      <c r="Y21" s="2">
        <f>Y10/'Output-Calculation-sheet'!Y9*'Output-Calculation-sheet'!Y27</f>
        <v>0</v>
      </c>
      <c r="AA21" s="2">
        <f t="shared" si="0"/>
        <v>15.874979062553397</v>
      </c>
    </row>
    <row r="22" spans="1:27" x14ac:dyDescent="0.25">
      <c r="A22" s="2">
        <v>2034</v>
      </c>
      <c r="B22" s="2">
        <f>B11/'Output-Calculation-sheet'!B10*'Output-Calculation-sheet'!B28</f>
        <v>6558.3497240386559</v>
      </c>
      <c r="C22" s="2">
        <f>C11/'Output-Calculation-sheet'!C10*'Output-Calculation-sheet'!C28</f>
        <v>6353.9437291455497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2776.0571382071626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1900.5128134252047</v>
      </c>
      <c r="N22" s="2">
        <f>N11/'Output-Calculation-sheet'!N10*'Output-Calculation-sheet'!N28</f>
        <v>1523.986071026211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621.68230734633676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184.13528459410327</v>
      </c>
      <c r="Y22" s="2">
        <f>Y11/'Output-Calculation-sheet'!Y10*'Output-Calculation-sheet'!Y28</f>
        <v>0</v>
      </c>
      <c r="AA22" s="2">
        <f t="shared" si="0"/>
        <v>19.918667067783225</v>
      </c>
    </row>
    <row r="23" spans="1:27" x14ac:dyDescent="0.25">
      <c r="A23" s="2">
        <v>2035</v>
      </c>
      <c r="B23" s="2">
        <f>B12/'Output-Calculation-sheet'!B11*'Output-Calculation-sheet'!B29</f>
        <v>8377.8416960447339</v>
      </c>
      <c r="C23" s="2">
        <f>C12/'Output-Calculation-sheet'!C11*'Output-Calculation-sheet'!C29</f>
        <v>6865.0104308494738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2928.9162532228661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2002.0305809118402</v>
      </c>
      <c r="N23" s="2">
        <f>N12/'Output-Calculation-sheet'!N11*'Output-Calculation-sheet'!N29</f>
        <v>1636.4865154826043</v>
      </c>
      <c r="O23" s="2">
        <f>O12/'Output-Calculation-sheet'!O11*'Output-Calculation-sheet'!O29</f>
        <v>1167.2196079292514</v>
      </c>
      <c r="P23" s="2">
        <f>P12/'Output-Calculation-sheet'!P11*'Output-Calculation-sheet'!P29</f>
        <v>0</v>
      </c>
      <c r="Q23" s="2">
        <f>Q12/'Output-Calculation-sheet'!Q11*'Output-Calculation-sheet'!Q29</f>
        <v>22.336128172116808</v>
      </c>
      <c r="R23" s="2">
        <f>R12/'Output-Calculation-sheet'!R11*'Output-Calculation-sheet'!R29</f>
        <v>0</v>
      </c>
      <c r="S23" s="2">
        <f>S12/'Output-Calculation-sheet'!S11*'Output-Calculation-sheet'!S29</f>
        <v>718.67421752264352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196.25279896923135</v>
      </c>
      <c r="Y23" s="2">
        <f>Y12/'Output-Calculation-sheet'!Y11*'Output-Calculation-sheet'!Y29</f>
        <v>0</v>
      </c>
      <c r="AA23" s="2">
        <f t="shared" si="0"/>
        <v>23.914768229104759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8368.6388549606927</v>
      </c>
      <c r="C27" s="2">
        <f>C5/'Output-Calculation-sheet'!C4*'Output-Calculation-sheet'!C13</f>
        <v>0</v>
      </c>
      <c r="D27" s="2">
        <f>D5/'Output-Calculation-sheet'!D4*'Output-Calculation-sheet'!D13</f>
        <v>2702.6278056105175</v>
      </c>
      <c r="E27" s="2">
        <f>E5/'Output-Calculation-sheet'!E4*'Output-Calculation-sheet'!E13</f>
        <v>2757.101662138964</v>
      </c>
      <c r="F27" s="2">
        <f>F5/'Output-Calculation-sheet'!F4*'Output-Calculation-sheet'!F13</f>
        <v>1566.2038361421328</v>
      </c>
      <c r="G27" s="2">
        <f>G5/'Output-Calculation-sheet'!G4*'Output-Calculation-sheet'!G13</f>
        <v>949.81826434336756</v>
      </c>
      <c r="H27" s="2">
        <f>H5/'Output-Calculation-sheet'!H4*'Output-Calculation-sheet'!H13</f>
        <v>0</v>
      </c>
      <c r="I27" s="2">
        <f>I5/'Output-Calculation-sheet'!I4*'Output-Calculation-sheet'!I13</f>
        <v>949.1161808096399</v>
      </c>
      <c r="J27" s="2">
        <f>J5/'Output-Calculation-sheet'!J4*'Output-Calculation-sheet'!J13</f>
        <v>872.55288810108993</v>
      </c>
      <c r="K27" s="2">
        <f>K5/'Output-Calculation-sheet'!K4*'Output-Calculation-sheet'!K13</f>
        <v>1063.6604894629943</v>
      </c>
      <c r="L27" s="2">
        <f>L5/'Output-Calculation-sheet'!L4*'Output-Calculation-sheet'!L13</f>
        <v>881.96219270735446</v>
      </c>
      <c r="M27" s="2">
        <f>M5/'Output-Calculation-sheet'!M4*'Output-Calculation-sheet'!M13</f>
        <v>0</v>
      </c>
      <c r="N27" s="2">
        <f>N5/'Output-Calculation-sheet'!N4*'Output-Calculation-sheet'!N13</f>
        <v>572.90567468054985</v>
      </c>
      <c r="O27" s="2">
        <f>O5/'Output-Calculation-sheet'!O4*'Output-Calculation-sheet'!O13</f>
        <v>0</v>
      </c>
      <c r="P27" s="2">
        <f>P5/'Output-Calculation-sheet'!P4*'Output-Calculation-sheet'!P13</f>
        <v>689.25991538622191</v>
      </c>
      <c r="Q27" s="2">
        <f>Q5/'Output-Calculation-sheet'!Q4*'Output-Calculation-sheet'!Q13</f>
        <v>743.58934648937327</v>
      </c>
      <c r="R27" s="2">
        <f>R5/'Output-Calculation-sheet'!R4*'Output-Calculation-sheet'!R13</f>
        <v>671.07588355119867</v>
      </c>
      <c r="S27" s="2">
        <f>S5/'Output-Calculation-sheet'!S4*'Output-Calculation-sheet'!S13</f>
        <v>402.85384544380736</v>
      </c>
      <c r="T27" s="2">
        <f>T5/'Output-Calculation-sheet'!T4*'Output-Calculation-sheet'!T13</f>
        <v>246.68521175349937</v>
      </c>
      <c r="U27" s="2">
        <f>U5/'Output-Calculation-sheet'!U4*'Output-Calculation-sheet'!U13</f>
        <v>188.38017298332596</v>
      </c>
      <c r="V27" s="2">
        <f>V5/'Output-Calculation-sheet'!V4*'Output-Calculation-sheet'!V13</f>
        <v>180.46128445485468</v>
      </c>
      <c r="W27" s="2">
        <f>W5/'Output-Calculation-sheet'!W4*'Output-Calculation-sheet'!W13</f>
        <v>126.29843563697831</v>
      </c>
      <c r="X27" s="2">
        <f>X5/'Output-Calculation-sheet'!X4*'Output-Calculation-sheet'!X13</f>
        <v>0</v>
      </c>
      <c r="Y27" s="2">
        <f>Y5/'Output-Calculation-sheet'!Y4*'Output-Calculation-sheet'!Y13</f>
        <v>82.903041037375289</v>
      </c>
      <c r="AA27" s="2">
        <f t="shared" ref="AA27:AA34" si="1">SUM(B27:Y27)/1000</f>
        <v>24.016094985693933</v>
      </c>
    </row>
    <row r="28" spans="1:27" x14ac:dyDescent="0.25">
      <c r="A28" s="2">
        <v>2029</v>
      </c>
      <c r="B28" s="2">
        <f>B6/'Output-Calculation-sheet'!B5*'Output-Calculation-sheet'!B14</f>
        <v>11382.576752299157</v>
      </c>
      <c r="C28" s="2">
        <f>C6/'Output-Calculation-sheet'!C5*'Output-Calculation-sheet'!C14</f>
        <v>0</v>
      </c>
      <c r="D28" s="2">
        <f>D6/'Output-Calculation-sheet'!D5*'Output-Calculation-sheet'!D14</f>
        <v>3620.8712728420778</v>
      </c>
      <c r="E28" s="2">
        <f>E6/'Output-Calculation-sheet'!E5*'Output-Calculation-sheet'!E14</f>
        <v>3718.2455007363183</v>
      </c>
      <c r="F28" s="2">
        <f>F6/'Output-Calculation-sheet'!F5*'Output-Calculation-sheet'!F14</f>
        <v>2096.7103251445646</v>
      </c>
      <c r="G28" s="2">
        <f>G6/'Output-Calculation-sheet'!G5*'Output-Calculation-sheet'!G14</f>
        <v>1270.3242082281017</v>
      </c>
      <c r="H28" s="2">
        <f>H6/'Output-Calculation-sheet'!H5*'Output-Calculation-sheet'!H14</f>
        <v>0</v>
      </c>
      <c r="I28" s="2">
        <f>I6/'Output-Calculation-sheet'!I5*'Output-Calculation-sheet'!I14</f>
        <v>1275.9031893260374</v>
      </c>
      <c r="J28" s="2">
        <f>J6/'Output-Calculation-sheet'!J5*'Output-Calculation-sheet'!J14</f>
        <v>1169.2349527227605</v>
      </c>
      <c r="K28" s="2">
        <f>K6/'Output-Calculation-sheet'!K5*'Output-Calculation-sheet'!K14</f>
        <v>1434.0544668317659</v>
      </c>
      <c r="L28" s="2">
        <f>L6/'Output-Calculation-sheet'!L5*'Output-Calculation-sheet'!L14</f>
        <v>1186.0173652882559</v>
      </c>
      <c r="M28" s="2">
        <f>M6/'Output-Calculation-sheet'!M5*'Output-Calculation-sheet'!M14</f>
        <v>0</v>
      </c>
      <c r="N28" s="2">
        <f>N6/'Output-Calculation-sheet'!N5*'Output-Calculation-sheet'!N14</f>
        <v>751.8905728494766</v>
      </c>
      <c r="O28" s="2">
        <f>O6/'Output-Calculation-sheet'!O5*'Output-Calculation-sheet'!O14</f>
        <v>0</v>
      </c>
      <c r="P28" s="2">
        <f>P6/'Output-Calculation-sheet'!P5*'Output-Calculation-sheet'!P14</f>
        <v>939.03394474886909</v>
      </c>
      <c r="Q28" s="2">
        <f>Q6/'Output-Calculation-sheet'!Q5*'Output-Calculation-sheet'!Q14</f>
        <v>1019.3374431875496</v>
      </c>
      <c r="R28" s="2">
        <f>R6/'Output-Calculation-sheet'!R5*'Output-Calculation-sheet'!R14</f>
        <v>906.34180666096779</v>
      </c>
      <c r="S28" s="2">
        <f>S6/'Output-Calculation-sheet'!S5*'Output-Calculation-sheet'!S14</f>
        <v>555.55812234133214</v>
      </c>
      <c r="T28" s="2">
        <f>T6/'Output-Calculation-sheet'!T5*'Output-Calculation-sheet'!T14</f>
        <v>331.37937255296811</v>
      </c>
      <c r="U28" s="2">
        <f>U6/'Output-Calculation-sheet'!U5*'Output-Calculation-sheet'!U14</f>
        <v>254.21469811921583</v>
      </c>
      <c r="V28" s="2">
        <f>V6/'Output-Calculation-sheet'!V5*'Output-Calculation-sheet'!V14</f>
        <v>243.151615863193</v>
      </c>
      <c r="W28" s="2">
        <f>W6/'Output-Calculation-sheet'!W5*'Output-Calculation-sheet'!W14</f>
        <v>169.6771422124115</v>
      </c>
      <c r="X28" s="2">
        <f>X6/'Output-Calculation-sheet'!X5*'Output-Calculation-sheet'!X14</f>
        <v>0</v>
      </c>
      <c r="Y28" s="2">
        <f>Y6/'Output-Calculation-sheet'!Y5*'Output-Calculation-sheet'!Y14</f>
        <v>111.57048803484622</v>
      </c>
      <c r="AA28" s="2">
        <f t="shared" si="1"/>
        <v>32.436093239989866</v>
      </c>
    </row>
    <row r="29" spans="1:27" x14ac:dyDescent="0.25">
      <c r="A29" s="2">
        <v>2030</v>
      </c>
      <c r="B29" s="2">
        <f>B7/'Output-Calculation-sheet'!B6*'Output-Calculation-sheet'!B15</f>
        <v>14196.496637802778</v>
      </c>
      <c r="C29" s="2">
        <f>C7/'Output-Calculation-sheet'!C6*'Output-Calculation-sheet'!C15</f>
        <v>0</v>
      </c>
      <c r="D29" s="2">
        <f>D7/'Output-Calculation-sheet'!D6*'Output-Calculation-sheet'!D15</f>
        <v>4462.6113684516886</v>
      </c>
      <c r="E29" s="2">
        <f>E7/'Output-Calculation-sheet'!E6*'Output-Calculation-sheet'!E15</f>
        <v>4600.3729237478128</v>
      </c>
      <c r="F29" s="2">
        <f>F7/'Output-Calculation-sheet'!F6*'Output-Calculation-sheet'!F15</f>
        <v>2580.4201269724185</v>
      </c>
      <c r="G29" s="2">
        <f>G7/'Output-Calculation-sheet'!G6*'Output-Calculation-sheet'!G15</f>
        <v>1560.7874323025187</v>
      </c>
      <c r="H29" s="2">
        <f>H7/'Output-Calculation-sheet'!H6*'Output-Calculation-sheet'!H15</f>
        <v>0</v>
      </c>
      <c r="I29" s="2">
        <f>I7/'Output-Calculation-sheet'!I6*'Output-Calculation-sheet'!I15</f>
        <v>1572.6542035237796</v>
      </c>
      <c r="J29" s="2">
        <f>J7/'Output-Calculation-sheet'!J6*'Output-Calculation-sheet'!J15</f>
        <v>1438.5857973863817</v>
      </c>
      <c r="K29" s="2">
        <f>K7/'Output-Calculation-sheet'!K6*'Output-Calculation-sheet'!K15</f>
        <v>1771.2890897175346</v>
      </c>
      <c r="L29" s="2">
        <f>L7/'Output-Calculation-sheet'!L6*'Output-Calculation-sheet'!L15</f>
        <v>1468.5249945871315</v>
      </c>
      <c r="M29" s="2">
        <f>M7/'Output-Calculation-sheet'!M6*'Output-Calculation-sheet'!M15</f>
        <v>0</v>
      </c>
      <c r="N29" s="2">
        <f>N7/'Output-Calculation-sheet'!N6*'Output-Calculation-sheet'!N15</f>
        <v>832.74949466042415</v>
      </c>
      <c r="O29" s="2">
        <f>O7/'Output-Calculation-sheet'!O6*'Output-Calculation-sheet'!O15</f>
        <v>0</v>
      </c>
      <c r="P29" s="2">
        <f>P7/'Output-Calculation-sheet'!P6*'Output-Calculation-sheet'!P15</f>
        <v>1167.3868582733101</v>
      </c>
      <c r="Q29" s="2">
        <f>Q7/'Output-Calculation-sheet'!Q6*'Output-Calculation-sheet'!Q15</f>
        <v>1275.2033140261374</v>
      </c>
      <c r="R29" s="2">
        <f>R7/'Output-Calculation-sheet'!R6*'Output-Calculation-sheet'!R15</f>
        <v>1122.8565649899601</v>
      </c>
      <c r="S29" s="2">
        <f>S7/'Output-Calculation-sheet'!S6*'Output-Calculation-sheet'!S15</f>
        <v>642.01588171525168</v>
      </c>
      <c r="T29" s="2">
        <f>T7/'Output-Calculation-sheet'!T6*'Output-Calculation-sheet'!T15</f>
        <v>409.39335219594443</v>
      </c>
      <c r="U29" s="2">
        <f>U7/'Output-Calculation-sheet'!U6*'Output-Calculation-sheet'!U15</f>
        <v>314.56614287716297</v>
      </c>
      <c r="V29" s="2">
        <f>V7/'Output-Calculation-sheet'!V6*'Output-Calculation-sheet'!V15</f>
        <v>301.09525510247096</v>
      </c>
      <c r="W29" s="2">
        <f>W7/'Output-Calculation-sheet'!W6*'Output-Calculation-sheet'!W15</f>
        <v>209.6671481682437</v>
      </c>
      <c r="X29" s="2">
        <f>X7/'Output-Calculation-sheet'!X6*'Output-Calculation-sheet'!X15</f>
        <v>0</v>
      </c>
      <c r="Y29" s="2">
        <f>Y7/'Output-Calculation-sheet'!Y6*'Output-Calculation-sheet'!Y15</f>
        <v>138.10488775914817</v>
      </c>
      <c r="AA29" s="2">
        <f t="shared" si="1"/>
        <v>40.064781474260101</v>
      </c>
    </row>
    <row r="30" spans="1:27" x14ac:dyDescent="0.25">
      <c r="A30" s="2">
        <v>2031</v>
      </c>
      <c r="B30" s="2">
        <f>B8/'Output-Calculation-sheet'!B7*'Output-Calculation-sheet'!B16</f>
        <v>16504.843289472261</v>
      </c>
      <c r="C30" s="2">
        <f>C8/'Output-Calculation-sheet'!C7*'Output-Calculation-sheet'!C16</f>
        <v>0</v>
      </c>
      <c r="D30" s="2">
        <f>D8/'Output-Calculation-sheet'!D7*'Output-Calculation-sheet'!D16</f>
        <v>5152.2183619894877</v>
      </c>
      <c r="E30" s="2">
        <f>E8/'Output-Calculation-sheet'!E7*'Output-Calculation-sheet'!E16</f>
        <v>5329.1397453099762</v>
      </c>
      <c r="F30" s="2">
        <f>F8/'Output-Calculation-sheet'!F7*'Output-Calculation-sheet'!F16</f>
        <v>2985.5855221939414</v>
      </c>
      <c r="G30" s="2">
        <f>G8/'Output-Calculation-sheet'!G7*'Output-Calculation-sheet'!G16</f>
        <v>1800.6345402458171</v>
      </c>
      <c r="H30" s="2">
        <f>H8/'Output-Calculation-sheet'!H7*'Output-Calculation-sheet'!H16</f>
        <v>0</v>
      </c>
      <c r="I30" s="2">
        <f>I8/'Output-Calculation-sheet'!I7*'Output-Calculation-sheet'!I16</f>
        <v>1822.4420376802382</v>
      </c>
      <c r="J30" s="2">
        <f>J8/'Output-Calculation-sheet'!J7*'Output-Calculation-sheet'!J16</f>
        <v>1663.4440798885557</v>
      </c>
      <c r="K30" s="2">
        <f>K8/'Output-Calculation-sheet'!K7*'Output-Calculation-sheet'!K16</f>
        <v>2057.2282077555656</v>
      </c>
      <c r="L30" s="2">
        <f>L8/'Output-Calculation-sheet'!L7*'Output-Calculation-sheet'!L16</f>
        <v>1697.7506397585919</v>
      </c>
      <c r="M30" s="2">
        <f>M8/'Output-Calculation-sheet'!M7*'Output-Calculation-sheet'!M16</f>
        <v>0</v>
      </c>
      <c r="N30" s="2">
        <f>N8/'Output-Calculation-sheet'!N7*'Output-Calculation-sheet'!N16</f>
        <v>833.01117331627006</v>
      </c>
      <c r="O30" s="2">
        <f>O8/'Output-Calculation-sheet'!O7*'Output-Calculation-sheet'!O16</f>
        <v>0</v>
      </c>
      <c r="P30" s="2">
        <f>P8/'Output-Calculation-sheet'!P7*'Output-Calculation-sheet'!P16</f>
        <v>1353.1872323158948</v>
      </c>
      <c r="Q30" s="2">
        <f>Q8/'Output-Calculation-sheet'!Q7*'Output-Calculation-sheet'!Q16</f>
        <v>1484.2177999975052</v>
      </c>
      <c r="R30" s="2">
        <f>R8/'Output-Calculation-sheet'!R7*'Output-Calculation-sheet'!R16</f>
        <v>1300.3679866179339</v>
      </c>
      <c r="S30" s="2">
        <f>S8/'Output-Calculation-sheet'!S7*'Output-Calculation-sheet'!S16</f>
        <v>694.44491468311571</v>
      </c>
      <c r="T30" s="2">
        <f>T8/'Output-Calculation-sheet'!T7*'Output-Calculation-sheet'!T16</f>
        <v>474.40091851263611</v>
      </c>
      <c r="U30" s="2">
        <f>U8/'Output-Calculation-sheet'!U7*'Output-Calculation-sheet'!U16</f>
        <v>364.61088635835353</v>
      </c>
      <c r="V30" s="2">
        <f>V8/'Output-Calculation-sheet'!V7*'Output-Calculation-sheet'!V16</f>
        <v>349.14647794046545</v>
      </c>
      <c r="W30" s="2">
        <f>W8/'Output-Calculation-sheet'!W7*'Output-Calculation-sheet'!W16</f>
        <v>242.38994967201504</v>
      </c>
      <c r="X30" s="2">
        <f>X8/'Output-Calculation-sheet'!X7*'Output-Calculation-sheet'!X16</f>
        <v>0</v>
      </c>
      <c r="Y30" s="2">
        <f>Y8/'Output-Calculation-sheet'!Y7*'Output-Calculation-sheet'!Y16</f>
        <v>160.2455732529211</v>
      </c>
      <c r="AA30" s="2">
        <f t="shared" si="1"/>
        <v>46.269309336961541</v>
      </c>
    </row>
    <row r="31" spans="1:27" x14ac:dyDescent="0.25">
      <c r="A31" s="2">
        <v>2032</v>
      </c>
      <c r="B31" s="2">
        <f>B9/'Output-Calculation-sheet'!B8*'Output-Calculation-sheet'!B17</f>
        <v>18203.401968485174</v>
      </c>
      <c r="C31" s="2">
        <f>C9/'Output-Calculation-sheet'!C8*'Output-Calculation-sheet'!C17</f>
        <v>0</v>
      </c>
      <c r="D31" s="2">
        <f>D9/'Output-Calculation-sheet'!D8*'Output-Calculation-sheet'!D17</f>
        <v>5643.4376667016368</v>
      </c>
      <c r="E31" s="2">
        <f>E9/'Output-Calculation-sheet'!E8*'Output-Calculation-sheet'!E17</f>
        <v>5844.4232760222421</v>
      </c>
      <c r="F31" s="2">
        <f>F9/'Output-Calculation-sheet'!F8*'Output-Calculation-sheet'!F17</f>
        <v>3265.043142169221</v>
      </c>
      <c r="G31" s="2">
        <f>G9/'Output-Calculation-sheet'!G8*'Output-Calculation-sheet'!G17</f>
        <v>1968.2982260212978</v>
      </c>
      <c r="H31" s="2">
        <f>H9/'Output-Calculation-sheet'!H8*'Output-Calculation-sheet'!H17</f>
        <v>0</v>
      </c>
      <c r="I31" s="2">
        <f>I9/'Output-Calculation-sheet'!I8*'Output-Calculation-sheet'!I17</f>
        <v>1995.6119536657745</v>
      </c>
      <c r="J31" s="2">
        <f>J9/'Output-Calculation-sheet'!J8*'Output-Calculation-sheet'!J17</f>
        <v>1820.1307296845514</v>
      </c>
      <c r="K31" s="2">
        <f>K9/'Output-Calculation-sheet'!K8*'Output-Calculation-sheet'!K17</f>
        <v>2254.5594503909479</v>
      </c>
      <c r="L31" s="2">
        <f>L9/'Output-Calculation-sheet'!L8*'Output-Calculation-sheet'!L17</f>
        <v>1861.1048066701219</v>
      </c>
      <c r="M31" s="2">
        <f>M9/'Output-Calculation-sheet'!M8*'Output-Calculation-sheet'!M17</f>
        <v>0</v>
      </c>
      <c r="N31" s="2">
        <f>N9/'Output-Calculation-sheet'!N8*'Output-Calculation-sheet'!N17</f>
        <v>823.24470206753176</v>
      </c>
      <c r="O31" s="2">
        <f>O9/'Output-Calculation-sheet'!O8*'Output-Calculation-sheet'!O17</f>
        <v>0</v>
      </c>
      <c r="P31" s="2">
        <f>P9/'Output-Calculation-sheet'!P8*'Output-Calculation-sheet'!P17</f>
        <v>1497.2019630862878</v>
      </c>
      <c r="Q31" s="2">
        <f>Q9/'Output-Calculation-sheet'!Q8*'Output-Calculation-sheet'!Q17</f>
        <v>1640.7919612631213</v>
      </c>
      <c r="R31" s="2">
        <f>R9/'Output-Calculation-sheet'!R8*'Output-Calculation-sheet'!R17</f>
        <v>1424.6296889913067</v>
      </c>
      <c r="S31" s="2">
        <f>S9/'Output-Calculation-sheet'!S8*'Output-Calculation-sheet'!S17</f>
        <v>710.81918430459643</v>
      </c>
      <c r="T31" s="2">
        <f>T9/'Output-Calculation-sheet'!T8*'Output-Calculation-sheet'!T17</f>
        <v>519.14882030692195</v>
      </c>
      <c r="U31" s="2">
        <f>U9/'Output-Calculation-sheet'!U8*'Output-Calculation-sheet'!U17</f>
        <v>400.39282589745949</v>
      </c>
      <c r="V31" s="2">
        <f>V9/'Output-Calculation-sheet'!V8*'Output-Calculation-sheet'!V17</f>
        <v>383.69470482236045</v>
      </c>
      <c r="W31" s="2">
        <f>W9/'Output-Calculation-sheet'!W8*'Output-Calculation-sheet'!W17</f>
        <v>265.69190662809569</v>
      </c>
      <c r="X31" s="2">
        <f>X9/'Output-Calculation-sheet'!X8*'Output-Calculation-sheet'!X17</f>
        <v>0</v>
      </c>
      <c r="Y31" s="2">
        <f>Y9/'Output-Calculation-sheet'!Y8*'Output-Calculation-sheet'!Y17</f>
        <v>175.6486859328665</v>
      </c>
      <c r="AA31" s="2">
        <f t="shared" si="1"/>
        <v>50.697275663111498</v>
      </c>
    </row>
    <row r="32" spans="1:27" x14ac:dyDescent="0.25">
      <c r="A32" s="2">
        <v>2033</v>
      </c>
      <c r="B32" s="2">
        <f>B10/'Output-Calculation-sheet'!B9*'Output-Calculation-sheet'!B18</f>
        <v>18002.96624476276</v>
      </c>
      <c r="C32" s="2">
        <f>C10/'Output-Calculation-sheet'!C9*'Output-Calculation-sheet'!C18</f>
        <v>0</v>
      </c>
      <c r="D32" s="2">
        <f>D10/'Output-Calculation-sheet'!D9*'Output-Calculation-sheet'!D18</f>
        <v>6010.1864844338897</v>
      </c>
      <c r="E32" s="2">
        <f>E10/'Output-Calculation-sheet'!E9*'Output-Calculation-sheet'!E18</f>
        <v>6223.6867349318627</v>
      </c>
      <c r="F32" s="2">
        <f>F10/'Output-Calculation-sheet'!F9*'Output-Calculation-sheet'!F18</f>
        <v>3476.3353925460929</v>
      </c>
      <c r="G32" s="2">
        <f>G10/'Output-Calculation-sheet'!G9*'Output-Calculation-sheet'!G18</f>
        <v>2096.6315240056942</v>
      </c>
      <c r="H32" s="2">
        <f>H10/'Output-Calculation-sheet'!H9*'Output-Calculation-sheet'!H18</f>
        <v>0</v>
      </c>
      <c r="I32" s="2">
        <f>I10/'Output-Calculation-sheet'!I9*'Output-Calculation-sheet'!I18</f>
        <v>2125.4784134233428</v>
      </c>
      <c r="J32" s="2">
        <f>J10/'Output-Calculation-sheet'!J9*'Output-Calculation-sheet'!J18</f>
        <v>1938.5530219606389</v>
      </c>
      <c r="K32" s="2">
        <f>K10/'Output-Calculation-sheet'!K9*'Output-Calculation-sheet'!K18</f>
        <v>2406.7432031244143</v>
      </c>
      <c r="L32" s="2">
        <f>L10/'Output-Calculation-sheet'!L9*'Output-Calculation-sheet'!L18</f>
        <v>1983.4647402878372</v>
      </c>
      <c r="M32" s="2">
        <f>M10/'Output-Calculation-sheet'!M9*'Output-Calculation-sheet'!M18</f>
        <v>0</v>
      </c>
      <c r="N32" s="2">
        <f>N10/'Output-Calculation-sheet'!N9*'Output-Calculation-sheet'!N18</f>
        <v>785.08220926361798</v>
      </c>
      <c r="O32" s="2">
        <f>O10/'Output-Calculation-sheet'!O9*'Output-Calculation-sheet'!O18</f>
        <v>0</v>
      </c>
      <c r="P32" s="2">
        <f>P10/'Output-Calculation-sheet'!P9*'Output-Calculation-sheet'!P18</f>
        <v>1606.3076409108648</v>
      </c>
      <c r="Q32" s="2">
        <f>Q10/'Output-Calculation-sheet'!Q9*'Output-Calculation-sheet'!Q18</f>
        <v>1761.6929103657537</v>
      </c>
      <c r="R32" s="2">
        <f>R10/'Output-Calculation-sheet'!R9*'Output-Calculation-sheet'!R18</f>
        <v>1521.6669239123778</v>
      </c>
      <c r="S32" s="2">
        <f>S10/'Output-Calculation-sheet'!S9*'Output-Calculation-sheet'!S18</f>
        <v>708.28540817494957</v>
      </c>
      <c r="T32" s="2">
        <f>T10/'Output-Calculation-sheet'!T9*'Output-Calculation-sheet'!T18</f>
        <v>553.50167209241101</v>
      </c>
      <c r="U32" s="2">
        <f>U10/'Output-Calculation-sheet'!U9*'Output-Calculation-sheet'!U18</f>
        <v>426.87273969255733</v>
      </c>
      <c r="V32" s="2">
        <f>V10/'Output-Calculation-sheet'!V9*'Output-Calculation-sheet'!V18</f>
        <v>409.51445932956193</v>
      </c>
      <c r="W32" s="2">
        <f>W10/'Output-Calculation-sheet'!W9*'Output-Calculation-sheet'!W18</f>
        <v>282.57466934661136</v>
      </c>
      <c r="X32" s="2">
        <f>X10/'Output-Calculation-sheet'!X9*'Output-Calculation-sheet'!X18</f>
        <v>0</v>
      </c>
      <c r="Y32" s="2">
        <f>Y10/'Output-Calculation-sheet'!Y9*'Output-Calculation-sheet'!Y18</f>
        <v>187.36175874296308</v>
      </c>
      <c r="AA32" s="2">
        <f t="shared" si="1"/>
        <v>52.5069061513082</v>
      </c>
    </row>
    <row r="33" spans="1:27" x14ac:dyDescent="0.25">
      <c r="A33" s="2">
        <v>2034</v>
      </c>
      <c r="B33" s="2">
        <f>B11/'Output-Calculation-sheet'!B10*'Output-Calculation-sheet'!B19</f>
        <v>17745.859178129882</v>
      </c>
      <c r="C33" s="2">
        <f>C11/'Output-Calculation-sheet'!C10*'Output-Calculation-sheet'!C19</f>
        <v>0</v>
      </c>
      <c r="D33" s="2">
        <f>D11/'Output-Calculation-sheet'!D10*'Output-Calculation-sheet'!D19</f>
        <v>6274.5770832905246</v>
      </c>
      <c r="E33" s="2">
        <f>E11/'Output-Calculation-sheet'!E10*'Output-Calculation-sheet'!E19</f>
        <v>6512.7862106536959</v>
      </c>
      <c r="F33" s="2">
        <f>F11/'Output-Calculation-sheet'!F10*'Output-Calculation-sheet'!F19</f>
        <v>3631.1173919766056</v>
      </c>
      <c r="G33" s="2">
        <f>G11/'Output-Calculation-sheet'!G10*'Output-Calculation-sheet'!G19</f>
        <v>2186.551067584835</v>
      </c>
      <c r="H33" s="2">
        <f>H11/'Output-Calculation-sheet'!H10*'Output-Calculation-sheet'!H19</f>
        <v>0</v>
      </c>
      <c r="I33" s="2">
        <f>I11/'Output-Calculation-sheet'!I10*'Output-Calculation-sheet'!I19</f>
        <v>2227.0045272996035</v>
      </c>
      <c r="J33" s="2">
        <f>J11/'Output-Calculation-sheet'!J10*'Output-Calculation-sheet'!J19</f>
        <v>2023.9686535552455</v>
      </c>
      <c r="K33" s="2">
        <f>K11/'Output-Calculation-sheet'!K10*'Output-Calculation-sheet'!K19</f>
        <v>2520.9872248577167</v>
      </c>
      <c r="L33" s="2">
        <f>L11/'Output-Calculation-sheet'!L10*'Output-Calculation-sheet'!L19</f>
        <v>2073.4783165070239</v>
      </c>
      <c r="M33" s="2">
        <f>M11/'Output-Calculation-sheet'!M10*'Output-Calculation-sheet'!M19</f>
        <v>0</v>
      </c>
      <c r="N33" s="2">
        <f>N11/'Output-Calculation-sheet'!N10*'Output-Calculation-sheet'!N19</f>
        <v>768.39131511282915</v>
      </c>
      <c r="O33" s="2">
        <f>O11/'Output-Calculation-sheet'!O10*'Output-Calculation-sheet'!O19</f>
        <v>0</v>
      </c>
      <c r="P33" s="2">
        <f>P11/'Output-Calculation-sheet'!P10*'Output-Calculation-sheet'!P19</f>
        <v>1690.0757308957404</v>
      </c>
      <c r="Q33" s="2">
        <f>Q11/'Output-Calculation-sheet'!Q10*'Output-Calculation-sheet'!Q19</f>
        <v>1856.7214045908941</v>
      </c>
      <c r="R33" s="2">
        <f>R11/'Output-Calculation-sheet'!R10*'Output-Calculation-sheet'!R19</f>
        <v>1593.3698174357269</v>
      </c>
      <c r="S33" s="2">
        <f>S11/'Output-Calculation-sheet'!S10*'Output-Calculation-sheet'!S19</f>
        <v>734.88620604248104</v>
      </c>
      <c r="T33" s="2">
        <f>T11/'Output-Calculation-sheet'!T10*'Output-Calculation-sheet'!T19</f>
        <v>579.04352702750862</v>
      </c>
      <c r="U33" s="2">
        <f>U11/'Output-Calculation-sheet'!U10*'Output-Calculation-sheet'!U19</f>
        <v>448.08094971325579</v>
      </c>
      <c r="V33" s="2">
        <f>V11/'Output-Calculation-sheet'!V10*'Output-Calculation-sheet'!V19</f>
        <v>429.55995463533003</v>
      </c>
      <c r="W33" s="2">
        <f>W11/'Output-Calculation-sheet'!W10*'Output-Calculation-sheet'!W19</f>
        <v>295.12442653518764</v>
      </c>
      <c r="X33" s="2">
        <f>X11/'Output-Calculation-sheet'!X10*'Output-Calculation-sheet'!X19</f>
        <v>0</v>
      </c>
      <c r="Y33" s="2">
        <f>Y11/'Output-Calculation-sheet'!Y10*'Output-Calculation-sheet'!Y19</f>
        <v>195.95127221547457</v>
      </c>
      <c r="AA33" s="2">
        <f t="shared" si="1"/>
        <v>53.787534258059566</v>
      </c>
    </row>
    <row r="34" spans="1:27" x14ac:dyDescent="0.25">
      <c r="A34" s="2">
        <v>2035</v>
      </c>
      <c r="B34" s="2">
        <f>B12/'Output-Calculation-sheet'!B11*'Output-Calculation-sheet'!B20</f>
        <v>17511.791359227358</v>
      </c>
      <c r="C34" s="2">
        <f>C12/'Output-Calculation-sheet'!C11*'Output-Calculation-sheet'!C20</f>
        <v>0</v>
      </c>
      <c r="D34" s="2">
        <f>D12/'Output-Calculation-sheet'!D11*'Output-Calculation-sheet'!D20</f>
        <v>6476.4130448879559</v>
      </c>
      <c r="E34" s="2">
        <f>E12/'Output-Calculation-sheet'!E11*'Output-Calculation-sheet'!E20</f>
        <v>6719.5234166585924</v>
      </c>
      <c r="F34" s="2">
        <f>F12/'Output-Calculation-sheet'!F11*'Output-Calculation-sheet'!F20</f>
        <v>3740.891351215821</v>
      </c>
      <c r="G34" s="2">
        <f>G12/'Output-Calculation-sheet'!G11*'Output-Calculation-sheet'!G20</f>
        <v>2247.6898837409422</v>
      </c>
      <c r="H34" s="2">
        <f>H12/'Output-Calculation-sheet'!H11*'Output-Calculation-sheet'!H20</f>
        <v>0</v>
      </c>
      <c r="I34" s="2">
        <f>I12/'Output-Calculation-sheet'!I11*'Output-Calculation-sheet'!I20</f>
        <v>2295.7702548984776</v>
      </c>
      <c r="J34" s="2">
        <f>J12/'Output-Calculation-sheet'!J11*'Output-Calculation-sheet'!J20</f>
        <v>2079.2197402041484</v>
      </c>
      <c r="K34" s="2">
        <f>K12/'Output-Calculation-sheet'!K11*'Output-Calculation-sheet'!K20</f>
        <v>2600.9856569154399</v>
      </c>
      <c r="L34" s="2">
        <f>L12/'Output-Calculation-sheet'!L11*'Output-Calculation-sheet'!L20</f>
        <v>2135.5742478414363</v>
      </c>
      <c r="M34" s="2">
        <f>M12/'Output-Calculation-sheet'!M11*'Output-Calculation-sheet'!M20</f>
        <v>0</v>
      </c>
      <c r="N34" s="2">
        <f>N12/'Output-Calculation-sheet'!N11*'Output-Calculation-sheet'!N20</f>
        <v>751.32002159044873</v>
      </c>
      <c r="O34" s="2">
        <f>O12/'Output-Calculation-sheet'!O11*'Output-Calculation-sheet'!O20</f>
        <v>0</v>
      </c>
      <c r="P34" s="2">
        <f>P12/'Output-Calculation-sheet'!P11*'Output-Calculation-sheet'!P20</f>
        <v>1753.6240934837936</v>
      </c>
      <c r="Q34" s="2">
        <f>Q12/'Output-Calculation-sheet'!Q11*'Output-Calculation-sheet'!Q20</f>
        <v>1922.9158820588432</v>
      </c>
      <c r="R34" s="2">
        <f>R12/'Output-Calculation-sheet'!R11*'Output-Calculation-sheet'!R20</f>
        <v>1648.9155317015466</v>
      </c>
      <c r="S34" s="2">
        <f>S12/'Output-Calculation-sheet'!S11*'Output-Calculation-sheet'!S20</f>
        <v>709.10959243203308</v>
      </c>
      <c r="T34" s="2">
        <f>T12/'Output-Calculation-sheet'!T11*'Output-Calculation-sheet'!T20</f>
        <v>596.84726881678876</v>
      </c>
      <c r="U34" s="2">
        <f>U12/'Output-Calculation-sheet'!U11*'Output-Calculation-sheet'!U20</f>
        <v>462.96179420832141</v>
      </c>
      <c r="V34" s="2">
        <f>V12/'Output-Calculation-sheet'!V11*'Output-Calculation-sheet'!V20</f>
        <v>444.6158813326108</v>
      </c>
      <c r="W34" s="2">
        <f>W12/'Output-Calculation-sheet'!W11*'Output-Calculation-sheet'!W20</f>
        <v>303.82178131470477</v>
      </c>
      <c r="X34" s="2">
        <f>X12/'Output-Calculation-sheet'!X11*'Output-Calculation-sheet'!X20</f>
        <v>0</v>
      </c>
      <c r="Y34" s="2">
        <f>Y12/'Output-Calculation-sheet'!Y11*'Output-Calculation-sheet'!Y20</f>
        <v>202.25436665333922</v>
      </c>
      <c r="AA34" s="2">
        <f t="shared" si="1"/>
        <v>54.60424516918259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2.8045060097980503</v>
      </c>
      <c r="C60" s="2">
        <f>C5*'Output-Calculation-sheet'!C49/10^9</f>
        <v>1.3259544535164083</v>
      </c>
      <c r="D60" s="2">
        <f>D5*'Output-Calculation-sheet'!D49/10^9</f>
        <v>0.61857936748993636</v>
      </c>
      <c r="E60" s="2">
        <f>E5*'Output-Calculation-sheet'!E49/10^9</f>
        <v>0.6869635561597881</v>
      </c>
      <c r="F60" s="2">
        <f>F5*'Output-Calculation-sheet'!F49/10^9</f>
        <v>0.31891814330989038</v>
      </c>
      <c r="G60" s="2">
        <f>G5*'Output-Calculation-sheet'!G49/10^9</f>
        <v>0.21966815651398988</v>
      </c>
      <c r="H60" s="2">
        <f>H5*'Output-Calculation-sheet'!H49/10^9</f>
        <v>0.41368755824314674</v>
      </c>
      <c r="I60" s="2">
        <f>I5*'Output-Calculation-sheet'!I49/10^9</f>
        <v>0.21686345053107561</v>
      </c>
      <c r="J60" s="2">
        <f>J5*'Output-Calculation-sheet'!J49/10^9</f>
        <v>0.19583560264183736</v>
      </c>
      <c r="K60" s="2">
        <f>K5*'Output-Calculation-sheet'!K49/10^9</f>
        <v>0.25243819539986856</v>
      </c>
      <c r="L60" s="2">
        <f>L5*'Output-Calculation-sheet'!L49/10^9</f>
        <v>0.20854476606842864</v>
      </c>
      <c r="M60" s="2">
        <f>M5*'Output-Calculation-sheet'!M49/10^9</f>
        <v>0.28540831602811251</v>
      </c>
      <c r="N60" s="2">
        <f>N5*'Output-Calculation-sheet'!N49/10^9</f>
        <v>0.29830401614355023</v>
      </c>
      <c r="O60" s="2">
        <f>O5*'Output-Calculation-sheet'!O49/10^9</f>
        <v>0.2576340831000849</v>
      </c>
      <c r="P60" s="2">
        <f>P5*'Output-Calculation-sheet'!P49/10^9</f>
        <v>0.21997365666771079</v>
      </c>
      <c r="Q60" s="2">
        <f>Q5*'Output-Calculation-sheet'!Q49/10^9</f>
        <v>0.22707699775083393</v>
      </c>
      <c r="R60" s="2">
        <f>R5*'Output-Calculation-sheet'!R49/10^9</f>
        <v>0.18198814314064132</v>
      </c>
      <c r="S60" s="2">
        <f>S5*'Output-Calculation-sheet'!S49/10^9</f>
        <v>0.16694544179122026</v>
      </c>
      <c r="T60" s="2">
        <f>T5*'Output-Calculation-sheet'!T49/10^9</f>
        <v>5.7096608885381983E-2</v>
      </c>
      <c r="U60" s="2">
        <f>U5*'Output-Calculation-sheet'!U49/10^9</f>
        <v>5.7057627665551475E-2</v>
      </c>
      <c r="V60" s="2">
        <f>V5*'Output-Calculation-sheet'!V49/10^9</f>
        <v>4.2725388729041171E-2</v>
      </c>
      <c r="W60" s="2">
        <f>W5*'Output-Calculation-sheet'!W49/10^9</f>
        <v>2.6788973476584255E-2</v>
      </c>
      <c r="X60" s="2">
        <f>X5*'Output-Calculation-sheet'!X49/10^9</f>
        <v>3.3720709740123311E-2</v>
      </c>
      <c r="Y60" s="2">
        <f>Y5*'Output-Calculation-sheet'!Y49/10^9</f>
        <v>2.2289120158863019E-2</v>
      </c>
      <c r="AA60" s="2">
        <f t="shared" ref="AA60:AA67" si="4">SUM(B60:Y60)</f>
        <v>9.1389683429501201</v>
      </c>
    </row>
    <row r="61" spans="1:27" x14ac:dyDescent="0.25">
      <c r="A61" s="2">
        <v>2029</v>
      </c>
      <c r="B61" s="2">
        <f>B6*'Output-Calculation-sheet'!B50/10^9</f>
        <v>3.7031698906246322</v>
      </c>
      <c r="C61" s="2">
        <f>C6*'Output-Calculation-sheet'!C50/10^9</f>
        <v>1.7630105506599874</v>
      </c>
      <c r="D61" s="2">
        <f>D6*'Output-Calculation-sheet'!D50/10^9</f>
        <v>0.81421415940860753</v>
      </c>
      <c r="E61" s="2">
        <f>E6*'Output-Calculation-sheet'!E50/10^9</f>
        <v>0.90494241563828626</v>
      </c>
      <c r="F61" s="2">
        <f>F6*'Output-Calculation-sheet'!F50/10^9</f>
        <v>0.41925576637267542</v>
      </c>
      <c r="G61" s="2">
        <f>G6*'Output-Calculation-sheet'!G50/10^9</f>
        <v>0.28917559484482275</v>
      </c>
      <c r="H61" s="2">
        <f>H6*'Output-Calculation-sheet'!H50/10^9</f>
        <v>0.54649910277415858</v>
      </c>
      <c r="I61" s="2">
        <f>I6*'Output-Calculation-sheet'!I50/10^9</f>
        <v>0.28544117575006561</v>
      </c>
      <c r="J61" s="2">
        <f>J6*'Output-Calculation-sheet'!J50/10^9</f>
        <v>0.25771898611489874</v>
      </c>
      <c r="K61" s="2">
        <f>K6*'Output-Calculation-sheet'!K50/10^9</f>
        <v>0.33238650648502827</v>
      </c>
      <c r="L61" s="2">
        <f>L6*'Output-Calculation-sheet'!L50/10^9</f>
        <v>0.27458780186349097</v>
      </c>
      <c r="M61" s="2">
        <f>M6*'Output-Calculation-sheet'!M50/10^9</f>
        <v>0.37753522083336333</v>
      </c>
      <c r="N61" s="2">
        <f>N6*'Output-Calculation-sheet'!N50/10^9</f>
        <v>0.39385778637615176</v>
      </c>
      <c r="O61" s="2">
        <f>O6*'Output-Calculation-sheet'!O50/10^9</f>
        <v>0.34255445615835461</v>
      </c>
      <c r="P61" s="2">
        <f>P6*'Output-Calculation-sheet'!P50/10^9</f>
        <v>0.29035680086364407</v>
      </c>
      <c r="Q61" s="2">
        <f>Q6*'Output-Calculation-sheet'!Q50/10^9</f>
        <v>0.29962714228859144</v>
      </c>
      <c r="R61" s="2">
        <f>R6*'Output-Calculation-sheet'!R50/10^9</f>
        <v>0.23991567388025165</v>
      </c>
      <c r="S61" s="2">
        <f>S6*'Output-Calculation-sheet'!S50/10^9</f>
        <v>0.22072553159794348</v>
      </c>
      <c r="T61" s="2">
        <f>T6*'Output-Calculation-sheet'!T50/10^9</f>
        <v>7.5161640567231819E-2</v>
      </c>
      <c r="U61" s="2">
        <f>U6*'Output-Calculation-sheet'!U50/10^9</f>
        <v>7.528708742904365E-2</v>
      </c>
      <c r="V61" s="2">
        <f>V6*'Output-Calculation-sheet'!V50/10^9</f>
        <v>5.6256070229625151E-2</v>
      </c>
      <c r="W61" s="2">
        <f>W6*'Output-Calculation-sheet'!W50/10^9</f>
        <v>3.5232391506464379E-2</v>
      </c>
      <c r="X61" s="2">
        <f>X6*'Output-Calculation-sheet'!X50/10^9</f>
        <v>4.4805125331980646E-2</v>
      </c>
      <c r="Y61" s="2">
        <f>Y6*'Output-Calculation-sheet'!Y50/10^9</f>
        <v>2.9382100351215738E-2</v>
      </c>
      <c r="AA61" s="2">
        <f t="shared" si="4"/>
        <v>12.07109897795052</v>
      </c>
    </row>
    <row r="62" spans="1:27" x14ac:dyDescent="0.25">
      <c r="A62" s="2">
        <v>2030</v>
      </c>
      <c r="B62" s="2">
        <f>B7*'Output-Calculation-sheet'!B51/10^9</f>
        <v>4.4884094630623457</v>
      </c>
      <c r="C62" s="2">
        <f>C7*'Output-Calculation-sheet'!C51/10^9</f>
        <v>2.1521482849536713</v>
      </c>
      <c r="D62" s="2">
        <f>D7*'Output-Calculation-sheet'!D51/10^9</f>
        <v>0.98377084100650103</v>
      </c>
      <c r="E62" s="2">
        <f>E7*'Output-Calculation-sheet'!E51/10^9</f>
        <v>1.0942222697771222</v>
      </c>
      <c r="F62" s="2">
        <f>F7*'Output-Calculation-sheet'!F51/10^9</f>
        <v>0.50591376402960908</v>
      </c>
      <c r="G62" s="2">
        <f>G7*'Output-Calculation-sheet'!G51/10^9</f>
        <v>0.34944181661793161</v>
      </c>
      <c r="H62" s="2">
        <f>H7*'Output-Calculation-sheet'!H51/10^9</f>
        <v>0.66153730334136052</v>
      </c>
      <c r="I62" s="2">
        <f>I7*'Output-Calculation-sheet'!I51/10^9</f>
        <v>0.34486243670413541</v>
      </c>
      <c r="J62" s="2">
        <f>J7*'Output-Calculation-sheet'!J51/10^9</f>
        <v>0.31132257992946577</v>
      </c>
      <c r="K62" s="2">
        <f>K7*'Output-Calculation-sheet'!K51/10^9</f>
        <v>0.40172277118292637</v>
      </c>
      <c r="L62" s="2">
        <f>L7*'Output-Calculation-sheet'!L51/10^9</f>
        <v>0.33186056311038786</v>
      </c>
      <c r="M62" s="2">
        <f>M7*'Output-Calculation-sheet'!M51/10^9</f>
        <v>0.45701324561549239</v>
      </c>
      <c r="N62" s="2">
        <f>N7*'Output-Calculation-sheet'!N51/10^9</f>
        <v>0.4768513108285613</v>
      </c>
      <c r="O62" s="2">
        <f>O7*'Output-Calculation-sheet'!O51/10^9</f>
        <v>0.41816425037754734</v>
      </c>
      <c r="P62" s="2">
        <f>P7*'Output-Calculation-sheet'!P51/10^9</f>
        <v>0.35180104679724972</v>
      </c>
      <c r="Q62" s="2">
        <f>Q7*'Output-Calculation-sheet'!Q51/10^9</f>
        <v>0.36287945062596999</v>
      </c>
      <c r="R62" s="2">
        <f>R7*'Output-Calculation-sheet'!R51/10^9</f>
        <v>0.29032127838575</v>
      </c>
      <c r="S62" s="2">
        <f>S7*'Output-Calculation-sheet'!S51/10^9</f>
        <v>0.26774824518310003</v>
      </c>
      <c r="T62" s="2">
        <f>T7*'Output-Calculation-sheet'!T51/10^9</f>
        <v>9.0820429531965549E-2</v>
      </c>
      <c r="U62" s="2">
        <f>U7*'Output-Calculation-sheet'!U51/10^9</f>
        <v>9.1189437929120501E-2</v>
      </c>
      <c r="V62" s="2">
        <f>V7*'Output-Calculation-sheet'!V51/10^9</f>
        <v>6.7988381279975724E-2</v>
      </c>
      <c r="W62" s="2">
        <f>W7*'Output-Calculation-sheet'!W51/10^9</f>
        <v>4.2531582853239554E-2</v>
      </c>
      <c r="X62" s="2">
        <f>X7*'Output-Calculation-sheet'!X51/10^9</f>
        <v>5.4293259396151906E-2</v>
      </c>
      <c r="Y62" s="2">
        <f>Y7*'Output-Calculation-sheet'!Y51/10^9</f>
        <v>3.5553666933703897E-2</v>
      </c>
      <c r="AA62" s="2">
        <f t="shared" si="4"/>
        <v>14.632367679453283</v>
      </c>
    </row>
    <row r="63" spans="1:27" x14ac:dyDescent="0.25">
      <c r="A63" s="2">
        <v>2031</v>
      </c>
      <c r="B63" s="2">
        <f>B8*'Output-Calculation-sheet'!B52/10^9</f>
        <v>5.1470780510671013</v>
      </c>
      <c r="C63" s="2">
        <f>C8*'Output-Calculation-sheet'!C52/10^9</f>
        <v>2.4766628849600179</v>
      </c>
      <c r="D63" s="2">
        <f>D8*'Output-Calculation-sheet'!D52/10^9</f>
        <v>1.1264281036337405</v>
      </c>
      <c r="E63" s="2">
        <f>E8*'Output-Calculation-sheet'!E52/10^9</f>
        <v>1.2533475984807556</v>
      </c>
      <c r="F63" s="2">
        <f>F8*'Output-Calculation-sheet'!F52/10^9</f>
        <v>0.57891060494033286</v>
      </c>
      <c r="G63" s="2">
        <f>G8*'Output-Calculation-sheet'!G52/10^9</f>
        <v>0.40014651019490122</v>
      </c>
      <c r="H63" s="2">
        <f>H8*'Output-Calculation-sheet'!H52/10^9</f>
        <v>0.75453549287445321</v>
      </c>
      <c r="I63" s="2">
        <f>I8*'Output-Calculation-sheet'!I52/10^9</f>
        <v>0.39485705184233855</v>
      </c>
      <c r="J63" s="2">
        <f>J8*'Output-Calculation-sheet'!J52/10^9</f>
        <v>0.35643170424821113</v>
      </c>
      <c r="K63" s="2">
        <f>K8*'Output-Calculation-sheet'!K52/10^9</f>
        <v>0.46003505972971831</v>
      </c>
      <c r="L63" s="2">
        <f>L8*'Output-Calculation-sheet'!L52/10^9</f>
        <v>0.38003063184090946</v>
      </c>
      <c r="M63" s="2">
        <f>M8*'Output-Calculation-sheet'!M52/10^9</f>
        <v>0.52129582200772218</v>
      </c>
      <c r="N63" s="2">
        <f>N8*'Output-Calculation-sheet'!N52/10^9</f>
        <v>0.5448571030726338</v>
      </c>
      <c r="O63" s="2">
        <f>O8*'Output-Calculation-sheet'!O52/10^9</f>
        <v>0.48121771439624267</v>
      </c>
      <c r="P63" s="2">
        <f>P8*'Output-Calculation-sheet'!P52/10^9</f>
        <v>0.40335890404044744</v>
      </c>
      <c r="Q63" s="2">
        <f>Q8*'Output-Calculation-sheet'!Q52/10^9</f>
        <v>0.4159665947890005</v>
      </c>
      <c r="R63" s="2">
        <f>R8*'Output-Calculation-sheet'!R52/10^9</f>
        <v>0.33266526335041524</v>
      </c>
      <c r="S63" s="2">
        <f>S8*'Output-Calculation-sheet'!S52/10^9</f>
        <v>0.30666013609244591</v>
      </c>
      <c r="T63" s="2">
        <f>T8*'Output-Calculation-sheet'!T52/10^9</f>
        <v>0.10399268393974523</v>
      </c>
      <c r="U63" s="2">
        <f>U8*'Output-Calculation-sheet'!U52/10^9</f>
        <v>0.10453835620483068</v>
      </c>
      <c r="V63" s="2">
        <f>V8*'Output-Calculation-sheet'!V52/10^9</f>
        <v>7.7856057408666385E-2</v>
      </c>
      <c r="W63" s="2">
        <f>W8*'Output-Calculation-sheet'!W52/10^9</f>
        <v>4.8677548842571347E-2</v>
      </c>
      <c r="X63" s="2">
        <f>X8*'Output-Calculation-sheet'!X52/10^9</f>
        <v>6.1991471153482781E-2</v>
      </c>
      <c r="Y63" s="2">
        <f>Y8*'Output-Calculation-sheet'!Y52/10^9</f>
        <v>4.0738393848645867E-2</v>
      </c>
      <c r="AA63" s="2">
        <f t="shared" si="4"/>
        <v>16.772279742959331</v>
      </c>
    </row>
    <row r="64" spans="1:27" x14ac:dyDescent="0.25">
      <c r="A64" s="2">
        <v>2032</v>
      </c>
      <c r="B64" s="2">
        <f>B9*'Output-Calculation-sheet'!B53/10^9</f>
        <v>5.5875205657726497</v>
      </c>
      <c r="C64" s="2">
        <f>C9*'Output-Calculation-sheet'!C53/10^9</f>
        <v>2.6982096096711503</v>
      </c>
      <c r="D64" s="2">
        <f>D9*'Output-Calculation-sheet'!D53/10^9</f>
        <v>1.2209691378293237</v>
      </c>
      <c r="E64" s="2">
        <f>E9*'Output-Calculation-sheet'!E53/10^9</f>
        <v>1.3590288744830585</v>
      </c>
      <c r="F64" s="2">
        <f>F9*'Output-Calculation-sheet'!F53/10^9</f>
        <v>0.6270954016924063</v>
      </c>
      <c r="G64" s="2">
        <f>G9*'Output-Calculation-sheet'!G53/10^9</f>
        <v>0.43377033178008828</v>
      </c>
      <c r="H64" s="2">
        <f>H9*'Output-Calculation-sheet'!H53/10^9</f>
        <v>0.81442907926067076</v>
      </c>
      <c r="I64" s="2">
        <f>I9*'Output-Calculation-sheet'!I53/10^9</f>
        <v>0.42797922888217682</v>
      </c>
      <c r="J64" s="2">
        <f>J9*'Output-Calculation-sheet'!J53/10^9</f>
        <v>0.38630818065075229</v>
      </c>
      <c r="K64" s="2">
        <f>K9*'Output-Calculation-sheet'!K53/10^9</f>
        <v>0.4987049315851102</v>
      </c>
      <c r="L64" s="2">
        <f>L9*'Output-Calculation-sheet'!L53/10^9</f>
        <v>0.41197645958103141</v>
      </c>
      <c r="M64" s="2">
        <f>M9*'Output-Calculation-sheet'!M53/10^9</f>
        <v>0.56270277003135816</v>
      </c>
      <c r="N64" s="2">
        <f>N9*'Output-Calculation-sheet'!N53/10^9</f>
        <v>0.58889164563294361</v>
      </c>
      <c r="O64" s="2">
        <f>O9*'Output-Calculation-sheet'!O53/10^9</f>
        <v>0.52426443227815034</v>
      </c>
      <c r="P64" s="2">
        <f>P9*'Output-Calculation-sheet'!P53/10^9</f>
        <v>0.43779793416359764</v>
      </c>
      <c r="Q64" s="2">
        <f>Q9*'Output-Calculation-sheet'!Q53/10^9</f>
        <v>0.45137568619471247</v>
      </c>
      <c r="R64" s="2">
        <f>R9*'Output-Calculation-sheet'!R53/10^9</f>
        <v>0.36085426179761459</v>
      </c>
      <c r="S64" s="2">
        <f>S9*'Output-Calculation-sheet'!S53/10^9</f>
        <v>0.33208867590358376</v>
      </c>
      <c r="T64" s="2">
        <f>T9*'Output-Calculation-sheet'!T53/10^9</f>
        <v>0.11272307619517367</v>
      </c>
      <c r="U64" s="2">
        <f>U9*'Output-Calculation-sheet'!U53/10^9</f>
        <v>0.11344937019314834</v>
      </c>
      <c r="V64" s="2">
        <f>V9*'Output-Calculation-sheet'!V53/10^9</f>
        <v>8.4398692691029217E-2</v>
      </c>
      <c r="W64" s="2">
        <f>W9*'Output-Calculation-sheet'!W53/10^9</f>
        <v>5.2739477426214994E-2</v>
      </c>
      <c r="X64" s="2">
        <f>X9*'Output-Calculation-sheet'!X53/10^9</f>
        <v>6.6980057912928229E-2</v>
      </c>
      <c r="Y64" s="2">
        <f>Y9*'Output-Calculation-sheet'!Y53/10^9</f>
        <v>4.4189086744848852E-2</v>
      </c>
      <c r="AA64" s="2">
        <f t="shared" si="4"/>
        <v>18.198446968353721</v>
      </c>
    </row>
    <row r="65" spans="1:27" x14ac:dyDescent="0.25">
      <c r="A65" s="2">
        <v>2033</v>
      </c>
      <c r="B65" s="2">
        <f>B10*'Output-Calculation-sheet'!B54/10^9</f>
        <v>5.8942789166020688</v>
      </c>
      <c r="C65" s="2">
        <f>C10*'Output-Calculation-sheet'!C54/10^9</f>
        <v>2.8533620841293308</v>
      </c>
      <c r="D65" s="2">
        <f>D10*'Output-Calculation-sheet'!D54/10^9</f>
        <v>1.2873833131095624</v>
      </c>
      <c r="E65" s="2">
        <f>E10*'Output-Calculation-sheet'!E54/10^9</f>
        <v>1.4334672293871629</v>
      </c>
      <c r="F65" s="2">
        <f>F10*'Output-Calculation-sheet'!F54/10^9</f>
        <v>0.66077664370354861</v>
      </c>
      <c r="G65" s="2">
        <f>G10*'Output-Calculation-sheet'!G54/10^9</f>
        <v>0.4574087256553438</v>
      </c>
      <c r="H65" s="2">
        <f>H10*'Output-Calculation-sheet'!H54/10^9</f>
        <v>0.85483769519417629</v>
      </c>
      <c r="I65" s="2">
        <f>I10*'Output-Calculation-sheet'!I54/10^9</f>
        <v>0.45123954317819936</v>
      </c>
      <c r="J65" s="2">
        <f>J10*'Output-Calculation-sheet'!J54/10^9</f>
        <v>0.40728007986079345</v>
      </c>
      <c r="K65" s="2">
        <f>K10*'Output-Calculation-sheet'!K54/10^9</f>
        <v>0.52588864885096132</v>
      </c>
      <c r="L65" s="2">
        <f>L10*'Output-Calculation-sheet'!L54/10^9</f>
        <v>0.43443585076777458</v>
      </c>
      <c r="M65" s="2">
        <f>M10*'Output-Calculation-sheet'!M54/10^9</f>
        <v>0.59064747671501316</v>
      </c>
      <c r="N65" s="2">
        <f>N10*'Output-Calculation-sheet'!N54/10^9</f>
        <v>0.61879164341754234</v>
      </c>
      <c r="O65" s="2">
        <f>O10*'Output-Calculation-sheet'!O54/10^9</f>
        <v>0.55562575414312954</v>
      </c>
      <c r="P65" s="2">
        <f>P10*'Output-Calculation-sheet'!P54/10^9</f>
        <v>0.46222393368988024</v>
      </c>
      <c r="Q65" s="2">
        <f>Q10*'Output-Calculation-sheet'!Q54/10^9</f>
        <v>0.47644345086086393</v>
      </c>
      <c r="R65" s="2">
        <f>R10*'Output-Calculation-sheet'!R54/10^9</f>
        <v>0.38076511080942749</v>
      </c>
      <c r="S65" s="2">
        <f>S10*'Output-Calculation-sheet'!S54/10^9</f>
        <v>0.34951569807558625</v>
      </c>
      <c r="T65" s="2">
        <f>T10*'Output-Calculation-sheet'!T54/10^9</f>
        <v>0.11885615455956583</v>
      </c>
      <c r="U65" s="2">
        <f>U10*'Output-Calculation-sheet'!U54/10^9</f>
        <v>0.11976557693685982</v>
      </c>
      <c r="V65" s="2">
        <f>V10*'Output-Calculation-sheet'!V54/10^9</f>
        <v>8.8996589198427525E-2</v>
      </c>
      <c r="W65" s="2">
        <f>W10*'Output-Calculation-sheet'!W54/10^9</f>
        <v>5.55827352117318E-2</v>
      </c>
      <c r="X65" s="2">
        <f>X10*'Output-Calculation-sheet'!X54/10^9</f>
        <v>7.0371687937135288E-2</v>
      </c>
      <c r="Y65" s="2">
        <f>Y10*'Output-Calculation-sheet'!Y54/10^9</f>
        <v>4.6626168870951556E-2</v>
      </c>
      <c r="AA65" s="2">
        <f t="shared" si="4"/>
        <v>19.194570710865033</v>
      </c>
    </row>
    <row r="66" spans="1:27" x14ac:dyDescent="0.25">
      <c r="A66" s="2">
        <v>2034</v>
      </c>
      <c r="B66" s="2">
        <f>B11*'Output-Calculation-sheet'!B55/10^9</f>
        <v>6.0931182787409224</v>
      </c>
      <c r="C66" s="2">
        <f>C11*'Output-Calculation-sheet'!C55/10^9</f>
        <v>2.9438667949571138</v>
      </c>
      <c r="D66" s="2">
        <f>D11*'Output-Calculation-sheet'!D55/10^9</f>
        <v>1.332274485596858</v>
      </c>
      <c r="E66" s="2">
        <f>E11*'Output-Calculation-sheet'!E55/10^9</f>
        <v>1.4839835025823942</v>
      </c>
      <c r="F66" s="2">
        <f>F11*'Output-Calculation-sheet'!F55/10^9</f>
        <v>0.68336595895555652</v>
      </c>
      <c r="G66" s="2">
        <f>G11*'Output-Calculation-sheet'!G55/10^9</f>
        <v>0.47340383990014911</v>
      </c>
      <c r="H66" s="2">
        <f>H11*'Output-Calculation-sheet'!H55/10^9</f>
        <v>0.88032093288738011</v>
      </c>
      <c r="I66" s="2">
        <f>I11*'Output-Calculation-sheet'!I55/10^9</f>
        <v>0.46694906868306524</v>
      </c>
      <c r="J66" s="2">
        <f>J11*'Output-Calculation-sheet'!J55/10^9</f>
        <v>0.42143979367345663</v>
      </c>
      <c r="K66" s="2">
        <f>K11*'Output-Calculation-sheet'!K55/10^9</f>
        <v>0.54427705082244404</v>
      </c>
      <c r="L66" s="2">
        <f>L11*'Output-Calculation-sheet'!L55/10^9</f>
        <v>0.4496334660228849</v>
      </c>
      <c r="M66" s="2">
        <f>M11*'Output-Calculation-sheet'!M55/10^9</f>
        <v>0.60828136761367679</v>
      </c>
      <c r="N66" s="2">
        <f>N11*'Output-Calculation-sheet'!N55/10^9</f>
        <v>0.63783323385555646</v>
      </c>
      <c r="O66" s="2">
        <f>O11*'Output-Calculation-sheet'!O55/10^9</f>
        <v>0.57798652401030004</v>
      </c>
      <c r="P66" s="2">
        <f>P11*'Output-Calculation-sheet'!P55/10^9</f>
        <v>0.47897084128904593</v>
      </c>
      <c r="Q66" s="2">
        <f>Q11*'Output-Calculation-sheet'!Q55/10^9</f>
        <v>0.49358008835023087</v>
      </c>
      <c r="R66" s="2">
        <f>R11*'Output-Calculation-sheet'!R55/10^9</f>
        <v>0.39433379528957135</v>
      </c>
      <c r="S66" s="2">
        <f>S11*'Output-Calculation-sheet'!S55/10^9</f>
        <v>0.36076798219084799</v>
      </c>
      <c r="T66" s="2">
        <f>T11*'Output-Calculation-sheet'!T55/10^9</f>
        <v>0.12300144281482521</v>
      </c>
      <c r="U66" s="2">
        <f>U11*'Output-Calculation-sheet'!U55/10^9</f>
        <v>0.12409261626694602</v>
      </c>
      <c r="V66" s="2">
        <f>V11*'Output-Calculation-sheet'!V55/10^9</f>
        <v>9.2105797627761901E-2</v>
      </c>
      <c r="W66" s="2">
        <f>W11*'Output-Calculation-sheet'!W55/10^9</f>
        <v>5.7494342169635976E-2</v>
      </c>
      <c r="X66" s="2">
        <f>X11*'Output-Calculation-sheet'!X55/10^9</f>
        <v>7.254153878345615E-2</v>
      </c>
      <c r="Y66" s="2">
        <f>Y11*'Output-Calculation-sheet'!Y55/10^9</f>
        <v>4.8286751066473468E-2</v>
      </c>
      <c r="AA66" s="2">
        <f t="shared" si="4"/>
        <v>19.841909494150556</v>
      </c>
    </row>
    <row r="67" spans="1:27" x14ac:dyDescent="0.25">
      <c r="A67" s="2">
        <v>2035</v>
      </c>
      <c r="B67" s="2">
        <f>B12*'Output-Calculation-sheet'!B56/10^9</f>
        <v>6.2018437876387713</v>
      </c>
      <c r="C67" s="2">
        <f>C12*'Output-Calculation-sheet'!C56/10^9</f>
        <v>2.9922509261779728</v>
      </c>
      <c r="D67" s="2">
        <f>D12*'Output-Calculation-sheet'!D56/10^9</f>
        <v>1.3589548796911306</v>
      </c>
      <c r="E67" s="2">
        <f>E12*'Output-Calculation-sheet'!E56/10^9</f>
        <v>1.5142423125992679</v>
      </c>
      <c r="F67" s="2">
        <f>F12*'Output-Calculation-sheet'!F56/10^9</f>
        <v>0.69658378899587836</v>
      </c>
      <c r="G67" s="2">
        <f>G12*'Output-Calculation-sheet'!G56/10^9</f>
        <v>0.48293869715778237</v>
      </c>
      <c r="H67" s="2">
        <f>H12*'Output-Calculation-sheet'!H56/10^9</f>
        <v>0.8932375212464464</v>
      </c>
      <c r="I67" s="2">
        <f>I12*'Output-Calculation-sheet'!I56/10^9</f>
        <v>0.47627147829441979</v>
      </c>
      <c r="J67" s="2">
        <f>J12*'Output-Calculation-sheet'!J56/10^9</f>
        <v>0.42984030777071669</v>
      </c>
      <c r="K67" s="2">
        <f>K12*'Output-Calculation-sheet'!K56/10^9</f>
        <v>0.55522610211347723</v>
      </c>
      <c r="L67" s="2">
        <f>L12*'Output-Calculation-sheet'!L56/10^9</f>
        <v>0.4586903022907301</v>
      </c>
      <c r="M67" s="2">
        <f>M12*'Output-Calculation-sheet'!M56/10^9</f>
        <v>0.61723337603556938</v>
      </c>
      <c r="N67" s="2">
        <f>N12*'Output-Calculation-sheet'!N56/10^9</f>
        <v>0.64779253893392197</v>
      </c>
      <c r="O67" s="2">
        <f>O12*'Output-Calculation-sheet'!O56/10^9</f>
        <v>0.58921701024735285</v>
      </c>
      <c r="P67" s="2">
        <f>P12*'Output-Calculation-sheet'!P56/10^9</f>
        <v>0.48920070777220337</v>
      </c>
      <c r="Q67" s="2">
        <f>Q12*'Output-Calculation-sheet'!Q56/10^9</f>
        <v>0.50397796600576006</v>
      </c>
      <c r="R67" s="2">
        <f>R12*'Output-Calculation-sheet'!R56/10^9</f>
        <v>0.40252706214042322</v>
      </c>
      <c r="S67" s="2">
        <f>S12*'Output-Calculation-sheet'!S56/10^9</f>
        <v>0.36681747349117577</v>
      </c>
      <c r="T67" s="2">
        <f>T12*'Output-Calculation-sheet'!T56/10^9</f>
        <v>0.12546543461959656</v>
      </c>
      <c r="U67" s="2">
        <f>U12*'Output-Calculation-sheet'!U56/10^9</f>
        <v>0.12673223605034811</v>
      </c>
      <c r="V67" s="2">
        <f>V12*'Output-Calculation-sheet'!V56/10^9</f>
        <v>9.3954201900234277E-2</v>
      </c>
      <c r="W67" s="2">
        <f>W12*'Output-Calculation-sheet'!W56/10^9</f>
        <v>5.8618463540281503E-2</v>
      </c>
      <c r="X67" s="2">
        <f>X12*'Output-Calculation-sheet'!X56/10^9</f>
        <v>7.3675673009006543E-2</v>
      </c>
      <c r="Y67" s="2">
        <f>Y12*'Output-Calculation-sheet'!Y56/10^9</f>
        <v>4.9289359237251265E-2</v>
      </c>
      <c r="AA67" s="2">
        <f t="shared" si="4"/>
        <v>20.20458160695971</v>
      </c>
    </row>
    <row r="68" spans="1:27" x14ac:dyDescent="0.25">
      <c r="B68" s="2">
        <f>SUM(B60:B67)</f>
        <v>39.919924963306542</v>
      </c>
      <c r="C68" s="2">
        <f t="shared" ref="C68:Y68" si="5">SUM(C60:C67)</f>
        <v>19.205465589025653</v>
      </c>
      <c r="D68" s="2">
        <f t="shared" si="5"/>
        <v>8.7425742877656596</v>
      </c>
      <c r="E68" s="2">
        <f t="shared" si="5"/>
        <v>9.7301977591078366</v>
      </c>
      <c r="F68" s="2">
        <f t="shared" si="5"/>
        <v>4.490820071999897</v>
      </c>
      <c r="G68" s="2">
        <f t="shared" si="5"/>
        <v>3.1059536726650094</v>
      </c>
      <c r="H68" s="2">
        <f t="shared" si="5"/>
        <v>5.8190846858217915</v>
      </c>
      <c r="I68" s="2">
        <f t="shared" si="5"/>
        <v>3.0644634338654764</v>
      </c>
      <c r="J68" s="2">
        <f t="shared" si="5"/>
        <v>2.7661772348901321</v>
      </c>
      <c r="K68" s="2">
        <f t="shared" si="5"/>
        <v>3.5706792661695346</v>
      </c>
      <c r="L68" s="2">
        <f t="shared" si="5"/>
        <v>2.9497598415456379</v>
      </c>
      <c r="M68" s="2">
        <f t="shared" si="5"/>
        <v>4.0201175948803076</v>
      </c>
      <c r="N68" s="2">
        <f t="shared" si="5"/>
        <v>4.2071792782608615</v>
      </c>
      <c r="O68" s="2">
        <f t="shared" si="5"/>
        <v>3.7466642247111626</v>
      </c>
      <c r="P68" s="2">
        <f t="shared" si="5"/>
        <v>3.1336838252837791</v>
      </c>
      <c r="Q68" s="2">
        <f t="shared" si="5"/>
        <v>3.2309273768659632</v>
      </c>
      <c r="R68" s="2">
        <f t="shared" si="5"/>
        <v>2.5833705887940948</v>
      </c>
      <c r="S68" s="2">
        <f t="shared" si="5"/>
        <v>2.3712691843259033</v>
      </c>
      <c r="T68" s="2">
        <f t="shared" si="5"/>
        <v>0.80711747111348586</v>
      </c>
      <c r="U68" s="2">
        <f t="shared" si="5"/>
        <v>0.81211230867584849</v>
      </c>
      <c r="V68" s="2">
        <f t="shared" si="5"/>
        <v>0.60428117906476131</v>
      </c>
      <c r="W68" s="2">
        <f t="shared" si="5"/>
        <v>0.3776655150267238</v>
      </c>
      <c r="X68" s="2">
        <f t="shared" si="5"/>
        <v>0.47837952326426481</v>
      </c>
      <c r="Y68" s="2">
        <f t="shared" si="5"/>
        <v>0.31635464721195361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6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6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5566663440.2338829</v>
      </c>
      <c r="C93" s="2">
        <f>C5/'Output-Calculation-sheet'!C4*'Output-Calculation-sheet'!C76</f>
        <v>0</v>
      </c>
      <c r="D93" s="2">
        <f>D5/'Output-Calculation-sheet'!D4*'Output-Calculation-sheet'!D76</f>
        <v>3644088928.1400652</v>
      </c>
      <c r="E93" s="2">
        <f>E5/'Output-Calculation-sheet'!E4*'Output-Calculation-sheet'!E76</f>
        <v>5320964596.9471331</v>
      </c>
      <c r="F93" s="2">
        <f>F5/'Output-Calculation-sheet'!F4*'Output-Calculation-sheet'!F76</f>
        <v>2665170083.9234376</v>
      </c>
      <c r="G93" s="2">
        <f>G5/'Output-Calculation-sheet'!G4*'Output-Calculation-sheet'!G76</f>
        <v>2036541949.9149132</v>
      </c>
      <c r="H93" s="2">
        <f>H5/'Output-Calculation-sheet'!H4*'Output-Calculation-sheet'!H76</f>
        <v>0</v>
      </c>
      <c r="I93" s="2">
        <f>I5/'Output-Calculation-sheet'!I4*'Output-Calculation-sheet'!I76</f>
        <v>1383527797.5373662</v>
      </c>
      <c r="J93" s="2">
        <f>J5/'Output-Calculation-sheet'!J4*'Output-Calculation-sheet'!J76</f>
        <v>992640434.74279273</v>
      </c>
      <c r="K93" s="2">
        <f>K5/'Output-Calculation-sheet'!K4*'Output-Calculation-sheet'!K76</f>
        <v>1249698742.4550951</v>
      </c>
      <c r="L93" s="2">
        <f>L5/'Output-Calculation-sheet'!L4*'Output-Calculation-sheet'!L76</f>
        <v>824105189.10299039</v>
      </c>
      <c r="M93" s="2">
        <f>M5/'Output-Calculation-sheet'!M4*'Output-Calculation-sheet'!M76</f>
        <v>0</v>
      </c>
      <c r="N93" s="2">
        <f>N5/'Output-Calculation-sheet'!N4*'Output-Calculation-sheet'!N76</f>
        <v>390114481.30187786</v>
      </c>
      <c r="O93" s="2">
        <f>O5/'Output-Calculation-sheet'!O4*'Output-Calculation-sheet'!O76</f>
        <v>0</v>
      </c>
      <c r="P93" s="2">
        <f>P5/'Output-Calculation-sheet'!P4*'Output-Calculation-sheet'!P76</f>
        <v>1026970288.4571153</v>
      </c>
      <c r="Q93" s="2">
        <f>Q5/'Output-Calculation-sheet'!Q4*'Output-Calculation-sheet'!Q76</f>
        <v>461686922.25797492</v>
      </c>
      <c r="R93" s="2">
        <f>R5/'Output-Calculation-sheet'!R4*'Output-Calculation-sheet'!R76</f>
        <v>736803335.5207516</v>
      </c>
      <c r="S93" s="2">
        <f>S5/'Output-Calculation-sheet'!S4*'Output-Calculation-sheet'!S76</f>
        <v>244118885.78916904</v>
      </c>
      <c r="T93" s="2">
        <f>T5/'Output-Calculation-sheet'!T4*'Output-Calculation-sheet'!T76</f>
        <v>395917012.50400376</v>
      </c>
      <c r="U93" s="2">
        <f>U5/'Output-Calculation-sheet'!U4*'Output-Calculation-sheet'!U76</f>
        <v>206481425.89659199</v>
      </c>
      <c r="V93" s="2">
        <f>V5/'Output-Calculation-sheet'!V4*'Output-Calculation-sheet'!V76</f>
        <v>123534093.16394548</v>
      </c>
      <c r="W93" s="2">
        <f>W5/'Output-Calculation-sheet'!W4*'Output-Calculation-sheet'!W76</f>
        <v>411672556.32170188</v>
      </c>
      <c r="X93" s="2">
        <f>X5/'Output-Calculation-sheet'!X4*'Output-Calculation-sheet'!X76</f>
        <v>0</v>
      </c>
      <c r="Y93" s="2">
        <f>Y5/'Output-Calculation-sheet'!Y4*'Output-Calculation-sheet'!Y76</f>
        <v>172627257.38299939</v>
      </c>
      <c r="AA93" s="2">
        <f t="shared" ref="AA93:AA100" si="8">SUM(B93:Y93)/10^9</f>
        <v>27.853327421593804</v>
      </c>
    </row>
    <row r="94" spans="1:27" x14ac:dyDescent="0.25">
      <c r="A94" s="2">
        <v>2029</v>
      </c>
      <c r="B94" s="2">
        <f>B6/'Output-Calculation-sheet'!B5*'Output-Calculation-sheet'!B77</f>
        <v>7390499990.4951048</v>
      </c>
      <c r="C94" s="2">
        <f>C6/'Output-Calculation-sheet'!C5*'Output-Calculation-sheet'!C77</f>
        <v>0</v>
      </c>
      <c r="D94" s="2">
        <f>D6/'Output-Calculation-sheet'!D5*'Output-Calculation-sheet'!D77</f>
        <v>4768811915.8121033</v>
      </c>
      <c r="E94" s="2">
        <f>E6/'Output-Calculation-sheet'!E5*'Output-Calculation-sheet'!E77</f>
        <v>7108132802.5353241</v>
      </c>
      <c r="F94" s="2">
        <f>F6/'Output-Calculation-sheet'!F5*'Output-Calculation-sheet'!F77</f>
        <v>3484468954.1755366</v>
      </c>
      <c r="G94" s="2">
        <f>G6/'Output-Calculation-sheet'!G5*'Output-Calculation-sheet'!G77</f>
        <v>2697026053.5102057</v>
      </c>
      <c r="H94" s="2">
        <f>H6/'Output-Calculation-sheet'!H5*'Output-Calculation-sheet'!H77</f>
        <v>659615809.8443917</v>
      </c>
      <c r="I94" s="2">
        <f>I6/'Output-Calculation-sheet'!I5*'Output-Calculation-sheet'!I77</f>
        <v>1806968078.5354779</v>
      </c>
      <c r="J94" s="2">
        <f>J6/'Output-Calculation-sheet'!J5*'Output-Calculation-sheet'!J77</f>
        <v>1310033775.0364845</v>
      </c>
      <c r="K94" s="2">
        <f>K6/'Output-Calculation-sheet'!K5*'Output-Calculation-sheet'!K77</f>
        <v>1633413302.8018677</v>
      </c>
      <c r="L94" s="2">
        <f>L6/'Output-Calculation-sheet'!L5*'Output-Calculation-sheet'!L77</f>
        <v>1089396615.325907</v>
      </c>
      <c r="M94" s="2">
        <f>M6/'Output-Calculation-sheet'!M5*'Output-Calculation-sheet'!M77</f>
        <v>479774816.48526299</v>
      </c>
      <c r="N94" s="2">
        <f>N6/'Output-Calculation-sheet'!N5*'Output-Calculation-sheet'!N77</f>
        <v>565586042.10113823</v>
      </c>
      <c r="O94" s="2">
        <f>O6/'Output-Calculation-sheet'!O5*'Output-Calculation-sheet'!O77</f>
        <v>0</v>
      </c>
      <c r="P94" s="2">
        <f>P6/'Output-Calculation-sheet'!P5*'Output-Calculation-sheet'!P77</f>
        <v>1368604972.8951106</v>
      </c>
      <c r="Q94" s="2">
        <f>Q6/'Output-Calculation-sheet'!Q5*'Output-Calculation-sheet'!Q77</f>
        <v>623431525.90291893</v>
      </c>
      <c r="R94" s="2">
        <f>R6/'Output-Calculation-sheet'!R5*'Output-Calculation-sheet'!R77</f>
        <v>972450981.59025025</v>
      </c>
      <c r="S94" s="2">
        <f>S6/'Output-Calculation-sheet'!S5*'Output-Calculation-sheet'!S77</f>
        <v>328306930.23995799</v>
      </c>
      <c r="T94" s="2">
        <f>T6/'Output-Calculation-sheet'!T5*'Output-Calculation-sheet'!T77</f>
        <v>520316988.28541851</v>
      </c>
      <c r="U94" s="2">
        <f>U6/'Output-Calculation-sheet'!U5*'Output-Calculation-sheet'!U77</f>
        <v>265735605.8273018</v>
      </c>
      <c r="V94" s="2">
        <f>V6/'Output-Calculation-sheet'!V5*'Output-Calculation-sheet'!V77</f>
        <v>159035168.48927408</v>
      </c>
      <c r="W94" s="2">
        <f>W6/'Output-Calculation-sheet'!W5*'Output-Calculation-sheet'!W77</f>
        <v>547068202.39999545</v>
      </c>
      <c r="X94" s="2">
        <f>X6/'Output-Calculation-sheet'!X5*'Output-Calculation-sheet'!X77</f>
        <v>44743117.817296967</v>
      </c>
      <c r="Y94" s="2">
        <f>Y6/'Output-Calculation-sheet'!Y5*'Output-Calculation-sheet'!Y77</f>
        <v>230739516.93973136</v>
      </c>
      <c r="AA94" s="2">
        <f t="shared" si="8"/>
        <v>38.054161167046054</v>
      </c>
    </row>
    <row r="95" spans="1:27" x14ac:dyDescent="0.25">
      <c r="A95" s="2">
        <v>2030</v>
      </c>
      <c r="B95" s="2">
        <f>B7/'Output-Calculation-sheet'!B6*'Output-Calculation-sheet'!B78</f>
        <v>8988052881.553339</v>
      </c>
      <c r="C95" s="2">
        <f>C7/'Output-Calculation-sheet'!C6*'Output-Calculation-sheet'!C78</f>
        <v>0</v>
      </c>
      <c r="D95" s="2">
        <f>D7/'Output-Calculation-sheet'!D6*'Output-Calculation-sheet'!D78</f>
        <v>5732735025.2938633</v>
      </c>
      <c r="E95" s="2">
        <f>E7/'Output-Calculation-sheet'!E6*'Output-Calculation-sheet'!E78</f>
        <v>8713089634.6454163</v>
      </c>
      <c r="F95" s="2">
        <f>F7/'Output-Calculation-sheet'!F6*'Output-Calculation-sheet'!F78</f>
        <v>4181662334.8773317</v>
      </c>
      <c r="G95" s="2">
        <f>G7/'Output-Calculation-sheet'!G6*'Output-Calculation-sheet'!G78</f>
        <v>3279303902.3524408</v>
      </c>
      <c r="H95" s="2">
        <f>H7/'Output-Calculation-sheet'!H6*'Output-Calculation-sheet'!H78</f>
        <v>838746007.17779934</v>
      </c>
      <c r="I95" s="2">
        <f>I7/'Output-Calculation-sheet'!I6*'Output-Calculation-sheet'!I78</f>
        <v>2164241432.5814676</v>
      </c>
      <c r="J95" s="2">
        <f>J7/'Output-Calculation-sheet'!J6*'Output-Calculation-sheet'!J78</f>
        <v>1587221817.3574221</v>
      </c>
      <c r="K95" s="2">
        <f>K7/'Output-Calculation-sheet'!K6*'Output-Calculation-sheet'!K78</f>
        <v>1956507508.7056432</v>
      </c>
      <c r="L95" s="2">
        <f>L7/'Output-Calculation-sheet'!L6*'Output-Calculation-sheet'!L78</f>
        <v>1323470450.5055785</v>
      </c>
      <c r="M95" s="2">
        <f>M7/'Output-Calculation-sheet'!M6*'Output-Calculation-sheet'!M78</f>
        <v>615347858.65847147</v>
      </c>
      <c r="N95" s="2">
        <f>N7/'Output-Calculation-sheet'!N6*'Output-Calculation-sheet'!N78</f>
        <v>718074811.70019794</v>
      </c>
      <c r="O95" s="2">
        <f>O7/'Output-Calculation-sheet'!O6*'Output-Calculation-sheet'!O78</f>
        <v>0</v>
      </c>
      <c r="P95" s="2">
        <f>P7/'Output-Calculation-sheet'!P6*'Output-Calculation-sheet'!P78</f>
        <v>1665395169.2545445</v>
      </c>
      <c r="Q95" s="2">
        <f>Q7/'Output-Calculation-sheet'!Q6*'Output-Calculation-sheet'!Q78</f>
        <v>768862399.55820262</v>
      </c>
      <c r="R95" s="2">
        <f>R7/'Output-Calculation-sheet'!R6*'Output-Calculation-sheet'!R78</f>
        <v>1176700572.592907</v>
      </c>
      <c r="S95" s="2">
        <f>S7/'Output-Calculation-sheet'!S6*'Output-Calculation-sheet'!S78</f>
        <v>416903112.26363331</v>
      </c>
      <c r="T95" s="2">
        <f>T7/'Output-Calculation-sheet'!T6*'Output-Calculation-sheet'!T78</f>
        <v>627890938.10911441</v>
      </c>
      <c r="U95" s="2">
        <f>U7/'Output-Calculation-sheet'!U6*'Output-Calculation-sheet'!U78</f>
        <v>313161513.90728885</v>
      </c>
      <c r="V95" s="2">
        <f>V7/'Output-Calculation-sheet'!V6*'Output-Calculation-sheet'!V78</f>
        <v>187689648.84052458</v>
      </c>
      <c r="W95" s="2">
        <f>W7/'Output-Calculation-sheet'!W6*'Output-Calculation-sheet'!W78</f>
        <v>667780404.40357232</v>
      </c>
      <c r="X95" s="2">
        <f>X7/'Output-Calculation-sheet'!X6*'Output-Calculation-sheet'!X78</f>
        <v>58231264.503207512</v>
      </c>
      <c r="Y95" s="2">
        <f>Y7/'Output-Calculation-sheet'!Y6*'Output-Calculation-sheet'!Y78</f>
        <v>283385460.28698313</v>
      </c>
      <c r="AA95" s="2">
        <f t="shared" si="8"/>
        <v>46.264454149128937</v>
      </c>
    </row>
    <row r="96" spans="1:27" x14ac:dyDescent="0.25">
      <c r="A96" s="2">
        <v>2031</v>
      </c>
      <c r="B96" s="2">
        <f>B8/'Output-Calculation-sheet'!B7*'Output-Calculation-sheet'!B79</f>
        <v>10412949172.147089</v>
      </c>
      <c r="C96" s="2">
        <f>C8/'Output-Calculation-sheet'!C7*'Output-Calculation-sheet'!C79</f>
        <v>0</v>
      </c>
      <c r="D96" s="2">
        <f>D8/'Output-Calculation-sheet'!D7*'Output-Calculation-sheet'!D79</f>
        <v>6338276440.8920107</v>
      </c>
      <c r="E96" s="2">
        <f>E8/'Output-Calculation-sheet'!E7*'Output-Calculation-sheet'!E79</f>
        <v>9927995048.9324017</v>
      </c>
      <c r="F96" s="2">
        <f>F8/'Output-Calculation-sheet'!F7*'Output-Calculation-sheet'!F79</f>
        <v>4752305568.7377911</v>
      </c>
      <c r="G96" s="2">
        <f>G8/'Output-Calculation-sheet'!G7*'Output-Calculation-sheet'!G79</f>
        <v>3622924862.7011561</v>
      </c>
      <c r="H96" s="2">
        <f>H8/'Output-Calculation-sheet'!H7*'Output-Calculation-sheet'!H79</f>
        <v>979147549.09153688</v>
      </c>
      <c r="I96" s="2">
        <f>I8/'Output-Calculation-sheet'!I7*'Output-Calculation-sheet'!I79</f>
        <v>2484545787.6624551</v>
      </c>
      <c r="J96" s="2">
        <f>J8/'Output-Calculation-sheet'!J7*'Output-Calculation-sheet'!J79</f>
        <v>1768562205.1387079</v>
      </c>
      <c r="K96" s="2">
        <f>K8/'Output-Calculation-sheet'!K7*'Output-Calculation-sheet'!K79</f>
        <v>2204202641.7497587</v>
      </c>
      <c r="L96" s="2">
        <f>L8/'Output-Calculation-sheet'!L7*'Output-Calculation-sheet'!L79</f>
        <v>1533813725.8072739</v>
      </c>
      <c r="M96" s="2">
        <f>M8/'Output-Calculation-sheet'!M7*'Output-Calculation-sheet'!M79</f>
        <v>725868223.06738651</v>
      </c>
      <c r="N96" s="2">
        <f>N8/'Output-Calculation-sheet'!N7*'Output-Calculation-sheet'!N79</f>
        <v>808984131.70674276</v>
      </c>
      <c r="O96" s="2">
        <f>O8/'Output-Calculation-sheet'!O7*'Output-Calculation-sheet'!O79</f>
        <v>0</v>
      </c>
      <c r="P96" s="2">
        <f>P8/'Output-Calculation-sheet'!P7*'Output-Calculation-sheet'!P79</f>
        <v>1870986627.3126893</v>
      </c>
      <c r="Q96" s="2">
        <f>Q8/'Output-Calculation-sheet'!Q7*'Output-Calculation-sheet'!Q79</f>
        <v>868606963.1682297</v>
      </c>
      <c r="R96" s="2">
        <f>R8/'Output-Calculation-sheet'!R7*'Output-Calculation-sheet'!R79</f>
        <v>1340144890.6537464</v>
      </c>
      <c r="S96" s="2">
        <f>S8/'Output-Calculation-sheet'!S7*'Output-Calculation-sheet'!S79</f>
        <v>490877130.97808099</v>
      </c>
      <c r="T96" s="2">
        <f>T8/'Output-Calculation-sheet'!T7*'Output-Calculation-sheet'!T79</f>
        <v>702449318.08326614</v>
      </c>
      <c r="U96" s="2">
        <f>U8/'Output-Calculation-sheet'!U7*'Output-Calculation-sheet'!U79</f>
        <v>356658030.3929162</v>
      </c>
      <c r="V96" s="2">
        <f>V8/'Output-Calculation-sheet'!V7*'Output-Calculation-sheet'!V79</f>
        <v>216209534.57434189</v>
      </c>
      <c r="W96" s="2">
        <f>W8/'Output-Calculation-sheet'!W7*'Output-Calculation-sheet'!W79</f>
        <v>752938511.00889826</v>
      </c>
      <c r="X96" s="2">
        <f>X8/'Output-Calculation-sheet'!X7*'Output-Calculation-sheet'!X79</f>
        <v>70198750.611460075</v>
      </c>
      <c r="Y96" s="2">
        <f>Y8/'Output-Calculation-sheet'!Y7*'Output-Calculation-sheet'!Y79</f>
        <v>320280688.93224776</v>
      </c>
      <c r="AA96" s="2">
        <f t="shared" si="8"/>
        <v>52.54892580335018</v>
      </c>
    </row>
    <row r="97" spans="1:27" x14ac:dyDescent="0.25">
      <c r="A97" s="2">
        <v>2032</v>
      </c>
      <c r="B97" s="2">
        <f>B9/'Output-Calculation-sheet'!B8*'Output-Calculation-sheet'!B80</f>
        <v>11446199652.546017</v>
      </c>
      <c r="C97" s="2">
        <f>C9/'Output-Calculation-sheet'!C8*'Output-Calculation-sheet'!C80</f>
        <v>0</v>
      </c>
      <c r="D97" s="2">
        <f>D9/'Output-Calculation-sheet'!D8*'Output-Calculation-sheet'!D80</f>
        <v>6644878903.7932634</v>
      </c>
      <c r="E97" s="2">
        <f>E9/'Output-Calculation-sheet'!E8*'Output-Calculation-sheet'!E80</f>
        <v>10720353570.906872</v>
      </c>
      <c r="F97" s="2">
        <f>F9/'Output-Calculation-sheet'!F8*'Output-Calculation-sheet'!F80</f>
        <v>5113779272.398304</v>
      </c>
      <c r="G97" s="2">
        <f>G9/'Output-Calculation-sheet'!G8*'Output-Calculation-sheet'!G80</f>
        <v>3786627661.7378054</v>
      </c>
      <c r="H97" s="2">
        <f>H9/'Output-Calculation-sheet'!H8*'Output-Calculation-sheet'!H80</f>
        <v>1081389521.1505537</v>
      </c>
      <c r="I97" s="2">
        <f>I9/'Output-Calculation-sheet'!I8*'Output-Calculation-sheet'!I80</f>
        <v>2700155828.3752761</v>
      </c>
      <c r="J97" s="2">
        <f>J9/'Output-Calculation-sheet'!J8*'Output-Calculation-sheet'!J80</f>
        <v>1867406707.2494991</v>
      </c>
      <c r="K97" s="2">
        <f>K9/'Output-Calculation-sheet'!K8*'Output-Calculation-sheet'!K80</f>
        <v>2349036124.1339302</v>
      </c>
      <c r="L97" s="2">
        <f>L9/'Output-Calculation-sheet'!L8*'Output-Calculation-sheet'!L80</f>
        <v>1686571019.2887132</v>
      </c>
      <c r="M97" s="2">
        <f>M9/'Output-Calculation-sheet'!M8*'Output-Calculation-sheet'!M80</f>
        <v>803082053.33539367</v>
      </c>
      <c r="N97" s="2">
        <f>N9/'Output-Calculation-sheet'!N8*'Output-Calculation-sheet'!N80</f>
        <v>854796692.39419317</v>
      </c>
      <c r="O97" s="2">
        <f>O9/'Output-Calculation-sheet'!O8*'Output-Calculation-sheet'!O80</f>
        <v>0</v>
      </c>
      <c r="P97" s="2">
        <f>P9/'Output-Calculation-sheet'!P8*'Output-Calculation-sheet'!P80</f>
        <v>2000366751.4885843</v>
      </c>
      <c r="Q97" s="2">
        <f>Q9/'Output-Calculation-sheet'!Q8*'Output-Calculation-sheet'!Q80</f>
        <v>932669954.02965009</v>
      </c>
      <c r="R97" s="2">
        <f>R9/'Output-Calculation-sheet'!R8*'Output-Calculation-sheet'!R80</f>
        <v>1445564237.4505489</v>
      </c>
      <c r="S97" s="2">
        <f>S9/'Output-Calculation-sheet'!S8*'Output-Calculation-sheet'!S80</f>
        <v>544676466.78381717</v>
      </c>
      <c r="T97" s="2">
        <f>T9/'Output-Calculation-sheet'!T8*'Output-Calculation-sheet'!T80</f>
        <v>743358908.10024405</v>
      </c>
      <c r="U97" s="2">
        <f>U9/'Output-Calculation-sheet'!U8*'Output-Calculation-sheet'!U80</f>
        <v>384881505.42797476</v>
      </c>
      <c r="V97" s="2">
        <f>V9/'Output-Calculation-sheet'!V8*'Output-Calculation-sheet'!V80</f>
        <v>235946790.79354551</v>
      </c>
      <c r="W97" s="2">
        <f>W9/'Output-Calculation-sheet'!W8*'Output-Calculation-sheet'!W80</f>
        <v>803275435.09897709</v>
      </c>
      <c r="X97" s="2">
        <f>X9/'Output-Calculation-sheet'!X8*'Output-Calculation-sheet'!X80</f>
        <v>79527443.975715935</v>
      </c>
      <c r="Y97" s="2">
        <f>Y9/'Output-Calculation-sheet'!Y8*'Output-Calculation-sheet'!Y80</f>
        <v>342038632.94564235</v>
      </c>
      <c r="AA97" s="2">
        <f t="shared" si="8"/>
        <v>56.566583133404521</v>
      </c>
    </row>
    <row r="98" spans="1:27" x14ac:dyDescent="0.25">
      <c r="A98" s="2">
        <v>2033</v>
      </c>
      <c r="B98" s="2">
        <f>B10/'Output-Calculation-sheet'!B9*'Output-Calculation-sheet'!B81</f>
        <v>12716412578.630386</v>
      </c>
      <c r="C98" s="2">
        <f>C10/'Output-Calculation-sheet'!C9*'Output-Calculation-sheet'!C81</f>
        <v>1665471438.2845144</v>
      </c>
      <c r="D98" s="2">
        <f>D10/'Output-Calculation-sheet'!D9*'Output-Calculation-sheet'!D81</f>
        <v>6779549580.5923882</v>
      </c>
      <c r="E98" s="2">
        <f>E10/'Output-Calculation-sheet'!E9*'Output-Calculation-sheet'!E81</f>
        <v>11256412806.63961</v>
      </c>
      <c r="F98" s="2">
        <f>F10/'Output-Calculation-sheet'!F9*'Output-Calculation-sheet'!F81</f>
        <v>5359069755.1825991</v>
      </c>
      <c r="G98" s="2">
        <f>G10/'Output-Calculation-sheet'!G9*'Output-Calculation-sheet'!G81</f>
        <v>3848215453.7717462</v>
      </c>
      <c r="H98" s="2">
        <f>H10/'Output-Calculation-sheet'!H9*'Output-Calculation-sheet'!H81</f>
        <v>1159753181.2991097</v>
      </c>
      <c r="I98" s="2">
        <f>I10/'Output-Calculation-sheet'!I9*'Output-Calculation-sheet'!I81</f>
        <v>2856253439.805336</v>
      </c>
      <c r="J98" s="2">
        <f>J10/'Output-Calculation-sheet'!J9*'Output-Calculation-sheet'!J81</f>
        <v>1920627522.5008821</v>
      </c>
      <c r="K98" s="2">
        <f>K10/'Output-Calculation-sheet'!K9*'Output-Calculation-sheet'!K81</f>
        <v>2439131584.9940405</v>
      </c>
      <c r="L98" s="2">
        <f>L10/'Output-Calculation-sheet'!L9*'Output-Calculation-sheet'!L81</f>
        <v>1803353783.6062987</v>
      </c>
      <c r="M98" s="2">
        <f>M10/'Output-Calculation-sheet'!M9*'Output-Calculation-sheet'!M81</f>
        <v>864717039.52813685</v>
      </c>
      <c r="N98" s="2">
        <f>N10/'Output-Calculation-sheet'!N9*'Output-Calculation-sheet'!N81</f>
        <v>879940137.51969159</v>
      </c>
      <c r="O98" s="2">
        <f>O10/'Output-Calculation-sheet'!O9*'Output-Calculation-sheet'!O81</f>
        <v>0</v>
      </c>
      <c r="P98" s="2">
        <f>P10/'Output-Calculation-sheet'!P9*'Output-Calculation-sheet'!P81</f>
        <v>2075089625.2823477</v>
      </c>
      <c r="Q98" s="2">
        <f>Q10/'Output-Calculation-sheet'!Q9*'Output-Calculation-sheet'!Q81</f>
        <v>974018745.11523998</v>
      </c>
      <c r="R98" s="2">
        <f>R10/'Output-Calculation-sheet'!R9*'Output-Calculation-sheet'!R81</f>
        <v>1519912960.9076495</v>
      </c>
      <c r="S98" s="2">
        <f>S10/'Output-Calculation-sheet'!S9*'Output-Calculation-sheet'!S81</f>
        <v>577137317.30315077</v>
      </c>
      <c r="T98" s="2">
        <f>T10/'Output-Calculation-sheet'!T9*'Output-Calculation-sheet'!T81</f>
        <v>766043440.79721475</v>
      </c>
      <c r="U98" s="2">
        <f>U10/'Output-Calculation-sheet'!U9*'Output-Calculation-sheet'!U81</f>
        <v>403782321.06116462</v>
      </c>
      <c r="V98" s="2">
        <f>V10/'Output-Calculation-sheet'!V9*'Output-Calculation-sheet'!V81</f>
        <v>250222119.95467666</v>
      </c>
      <c r="W98" s="2">
        <f>W10/'Output-Calculation-sheet'!W9*'Output-Calculation-sheet'!W81</f>
        <v>831899794.77610886</v>
      </c>
      <c r="X98" s="2">
        <f>X10/'Output-Calculation-sheet'!X9*'Output-Calculation-sheet'!X81</f>
        <v>86539571.47595875</v>
      </c>
      <c r="Y98" s="2">
        <f>Y10/'Output-Calculation-sheet'!Y9*'Output-Calculation-sheet'!Y81</f>
        <v>355142803.84188914</v>
      </c>
      <c r="AA98" s="2">
        <f t="shared" si="8"/>
        <v>61.388697002870146</v>
      </c>
    </row>
    <row r="99" spans="1:27" x14ac:dyDescent="0.25">
      <c r="A99" s="2">
        <v>2034</v>
      </c>
      <c r="B99" s="2">
        <f>B11/'Output-Calculation-sheet'!B10*'Output-Calculation-sheet'!B82</f>
        <v>13610121718.141943</v>
      </c>
      <c r="C99" s="2">
        <f>C11/'Output-Calculation-sheet'!C10*'Output-Calculation-sheet'!C82</f>
        <v>1845867020.0481524</v>
      </c>
      <c r="D99" s="2">
        <f>D11/'Output-Calculation-sheet'!D10*'Output-Calculation-sheet'!D82</f>
        <v>6790826518.3885708</v>
      </c>
      <c r="E99" s="2">
        <f>E11/'Output-Calculation-sheet'!E10*'Output-Calculation-sheet'!E82</f>
        <v>11613461776.387289</v>
      </c>
      <c r="F99" s="2">
        <f>F11/'Output-Calculation-sheet'!F10*'Output-Calculation-sheet'!F82</f>
        <v>5515328107.7468195</v>
      </c>
      <c r="G99" s="2">
        <f>G11/'Output-Calculation-sheet'!G10*'Output-Calculation-sheet'!G82</f>
        <v>3831252855.6355534</v>
      </c>
      <c r="H99" s="2">
        <f>H11/'Output-Calculation-sheet'!H10*'Output-Calculation-sheet'!H82</f>
        <v>1222526131.5169215</v>
      </c>
      <c r="I99" s="2">
        <f>I11/'Output-Calculation-sheet'!I10*'Output-Calculation-sheet'!I82</f>
        <v>2969914137.4464517</v>
      </c>
      <c r="J99" s="2">
        <f>J11/'Output-Calculation-sheet'!J10*'Output-Calculation-sheet'!J82</f>
        <v>1940349244.7382991</v>
      </c>
      <c r="K99" s="2">
        <f>K11/'Output-Calculation-sheet'!K10*'Output-Calculation-sheet'!K82</f>
        <v>2487873146.9682965</v>
      </c>
      <c r="L99" s="2">
        <f>L11/'Output-Calculation-sheet'!L10*'Output-Calculation-sheet'!L82</f>
        <v>1891782326.235585</v>
      </c>
      <c r="M99" s="2">
        <f>M11/'Output-Calculation-sheet'!M10*'Output-Calculation-sheet'!M82</f>
        <v>914488156.37417066</v>
      </c>
      <c r="N99" s="2">
        <f>N11/'Output-Calculation-sheet'!N10*'Output-Calculation-sheet'!N82</f>
        <v>892500892.02811849</v>
      </c>
      <c r="O99" s="2">
        <f>O11/'Output-Calculation-sheet'!O10*'Output-Calculation-sheet'!O82</f>
        <v>0</v>
      </c>
      <c r="P99" s="2">
        <f>P11/'Output-Calculation-sheet'!P10*'Output-Calculation-sheet'!P82</f>
        <v>2110969689.1322474</v>
      </c>
      <c r="Q99" s="2">
        <f>Q11/'Output-Calculation-sheet'!Q10*'Output-Calculation-sheet'!Q82</f>
        <v>999559722.19104946</v>
      </c>
      <c r="R99" s="2">
        <f>R11/'Output-Calculation-sheet'!R10*'Output-Calculation-sheet'!R82</f>
        <v>1568639806.8444655</v>
      </c>
      <c r="S99" s="2">
        <f>S11/'Output-Calculation-sheet'!S10*'Output-Calculation-sheet'!S82</f>
        <v>611195971.31330431</v>
      </c>
      <c r="T99" s="2">
        <f>T11/'Output-Calculation-sheet'!T10*'Output-Calculation-sheet'!T82</f>
        <v>775032581.20218861</v>
      </c>
      <c r="U99" s="2">
        <f>U11/'Output-Calculation-sheet'!U10*'Output-Calculation-sheet'!U82</f>
        <v>416600354.1831044</v>
      </c>
      <c r="V99" s="2">
        <f>V11/'Output-Calculation-sheet'!V10*'Output-Calculation-sheet'!V82</f>
        <v>260615788.30162519</v>
      </c>
      <c r="W99" s="2">
        <f>W11/'Output-Calculation-sheet'!W10*'Output-Calculation-sheet'!W82</f>
        <v>844808289.3623805</v>
      </c>
      <c r="X99" s="2">
        <f>X11/'Output-Calculation-sheet'!X10*'Output-Calculation-sheet'!X82</f>
        <v>92957972.995798305</v>
      </c>
      <c r="Y99" s="2">
        <f>Y11/'Output-Calculation-sheet'!Y10*'Output-Calculation-sheet'!Y82</f>
        <v>361472268.1228953</v>
      </c>
      <c r="AA99" s="2">
        <f t="shared" si="8"/>
        <v>63.568144475305232</v>
      </c>
    </row>
    <row r="100" spans="1:27" x14ac:dyDescent="0.25">
      <c r="A100" s="2">
        <v>2035</v>
      </c>
      <c r="B100" s="2">
        <f>B12/'Output-Calculation-sheet'!B11*'Output-Calculation-sheet'!B83</f>
        <v>14123844100.896114</v>
      </c>
      <c r="C100" s="2">
        <f>C12/'Output-Calculation-sheet'!C11*'Output-Calculation-sheet'!C83</f>
        <v>1998314945.3952804</v>
      </c>
      <c r="D100" s="2">
        <f>D12/'Output-Calculation-sheet'!D11*'Output-Calculation-sheet'!D83</f>
        <v>6717378266.5630064</v>
      </c>
      <c r="E100" s="2">
        <f>E12/'Output-Calculation-sheet'!E11*'Output-Calculation-sheet'!E83</f>
        <v>11817996642.235973</v>
      </c>
      <c r="F100" s="2">
        <f>F12/'Output-Calculation-sheet'!F11*'Output-Calculation-sheet'!F83</f>
        <v>5600628211.7374573</v>
      </c>
      <c r="G100" s="2">
        <f>G12/'Output-Calculation-sheet'!G11*'Output-Calculation-sheet'!G83</f>
        <v>3756196212.2702155</v>
      </c>
      <c r="H100" s="2">
        <f>H12/'Output-Calculation-sheet'!H11*'Output-Calculation-sheet'!H83</f>
        <v>1265681537.9437642</v>
      </c>
      <c r="I100" s="2">
        <f>I12/'Output-Calculation-sheet'!I11*'Output-Calculation-sheet'!I83</f>
        <v>3043391569.0094562</v>
      </c>
      <c r="J100" s="2">
        <f>J12/'Output-Calculation-sheet'!J11*'Output-Calculation-sheet'!J83</f>
        <v>1933524146.2531605</v>
      </c>
      <c r="K100" s="2">
        <f>K12/'Output-Calculation-sheet'!K11*'Output-Calculation-sheet'!K83</f>
        <v>2502780008.1774449</v>
      </c>
      <c r="L100" s="2">
        <f>L12/'Output-Calculation-sheet'!L11*'Output-Calculation-sheet'!L83</f>
        <v>1955510014.1743131</v>
      </c>
      <c r="M100" s="2">
        <f>M12/'Output-Calculation-sheet'!M11*'Output-Calculation-sheet'!M83</f>
        <v>948690220.85623527</v>
      </c>
      <c r="N100" s="2">
        <f>N12/'Output-Calculation-sheet'!N11*'Output-Calculation-sheet'!N83</f>
        <v>893695574.30404055</v>
      </c>
      <c r="O100" s="2">
        <f>O12/'Output-Calculation-sheet'!O11*'Output-Calculation-sheet'!O83</f>
        <v>241108023.90819675</v>
      </c>
      <c r="P100" s="2">
        <f>P12/'Output-Calculation-sheet'!P11*'Output-Calculation-sheet'!P83</f>
        <v>2117007520.4087667</v>
      </c>
      <c r="Q100" s="2">
        <f>Q12/'Output-Calculation-sheet'!Q11*'Output-Calculation-sheet'!Q83</f>
        <v>1015268319.1255673</v>
      </c>
      <c r="R100" s="2">
        <f>R12/'Output-Calculation-sheet'!R11*'Output-Calculation-sheet'!R83</f>
        <v>1599248652.6541879</v>
      </c>
      <c r="S100" s="2">
        <f>S12/'Output-Calculation-sheet'!S11*'Output-Calculation-sheet'!S83</f>
        <v>620272313.54281437</v>
      </c>
      <c r="T100" s="2">
        <f>T12/'Output-Calculation-sheet'!T11*'Output-Calculation-sheet'!T83</f>
        <v>773134308.19351232</v>
      </c>
      <c r="U100" s="2">
        <f>U12/'Output-Calculation-sheet'!U11*'Output-Calculation-sheet'!U83</f>
        <v>423518563.70432174</v>
      </c>
      <c r="V100" s="2">
        <f>V12/'Output-Calculation-sheet'!V11*'Output-Calculation-sheet'!V83</f>
        <v>267683217.59192428</v>
      </c>
      <c r="W100" s="2">
        <f>W12/'Output-Calculation-sheet'!W11*'Output-Calculation-sheet'!W83</f>
        <v>844675568.96161866</v>
      </c>
      <c r="X100" s="2">
        <f>X12/'Output-Calculation-sheet'!X11*'Output-Calculation-sheet'!X83</f>
        <v>98288592.089868233</v>
      </c>
      <c r="Y100" s="2">
        <f>Y12/'Output-Calculation-sheet'!Y11*'Output-Calculation-sheet'!Y83</f>
        <v>362662858.9341588</v>
      </c>
      <c r="AA100" s="2">
        <f t="shared" si="8"/>
        <v>64.92049938893139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6F8-B035-4B7B-B52C-984908B07678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92535391847.685913</v>
      </c>
      <c r="C8" s="2">
        <v>43607333087.952705</v>
      </c>
      <c r="D8" s="2">
        <v>38865922558.689323</v>
      </c>
      <c r="E8" s="2">
        <v>30836165560.929249</v>
      </c>
      <c r="F8" s="2">
        <v>19850346316.659195</v>
      </c>
      <c r="G8" s="2">
        <v>13947398100.135208</v>
      </c>
      <c r="H8" s="2">
        <v>13605151450.933624</v>
      </c>
      <c r="I8" s="2">
        <v>12707177569.365141</v>
      </c>
      <c r="J8" s="2">
        <v>12368289003.622583</v>
      </c>
      <c r="K8" s="2">
        <v>12249719176.868015</v>
      </c>
      <c r="L8" s="2">
        <v>9826883986.9757271</v>
      </c>
      <c r="M8" s="2">
        <v>9386368497.9044037</v>
      </c>
      <c r="N8" s="2">
        <v>9212693572.0476933</v>
      </c>
      <c r="O8" s="2">
        <v>8472942688.4115639</v>
      </c>
      <c r="P8" s="2">
        <v>8386737195.7809982</v>
      </c>
      <c r="Q8" s="2">
        <v>8251193968.3744392</v>
      </c>
      <c r="R8" s="2">
        <v>7938028118.6129484</v>
      </c>
      <c r="S8" s="2">
        <v>5276020126.8003941</v>
      </c>
      <c r="T8" s="2">
        <v>2917950879.5436668</v>
      </c>
      <c r="U8" s="2">
        <v>2541435513.8730321</v>
      </c>
      <c r="V8" s="2">
        <v>1956956174.3925135</v>
      </c>
      <c r="W8" s="2">
        <v>1694290342.58202</v>
      </c>
      <c r="X8" s="2">
        <v>1016574205.5492126</v>
      </c>
      <c r="Y8" s="2">
        <v>988608249.1545521</v>
      </c>
    </row>
    <row r="9" spans="1:27" x14ac:dyDescent="0.25">
      <c r="A9" s="2">
        <v>2032</v>
      </c>
      <c r="B9" s="2">
        <v>92363380224.151535</v>
      </c>
      <c r="C9" s="2">
        <v>43526272555.191254</v>
      </c>
      <c r="D9" s="2">
        <v>38793675710.148552</v>
      </c>
      <c r="E9" s="2">
        <v>30778845017.991032</v>
      </c>
      <c r="F9" s="2">
        <v>19813447026.242096</v>
      </c>
      <c r="G9" s="2">
        <v>13921471646.01446</v>
      </c>
      <c r="H9" s="2">
        <v>13579861190.172009</v>
      </c>
      <c r="I9" s="2">
        <v>12683556528.803234</v>
      </c>
      <c r="J9" s="2">
        <v>12345297914.166159</v>
      </c>
      <c r="K9" s="2">
        <v>12226948493.766338</v>
      </c>
      <c r="L9" s="2">
        <v>9808617048.941185</v>
      </c>
      <c r="M9" s="2">
        <v>9368920422.6093407</v>
      </c>
      <c r="N9" s="2">
        <v>9195568336.5371437</v>
      </c>
      <c r="O9" s="2">
        <v>8457192556.5015335</v>
      </c>
      <c r="P9" s="2">
        <v>8371147309.0101404</v>
      </c>
      <c r="Q9" s="2">
        <v>8235856039.3695745</v>
      </c>
      <c r="R9" s="2">
        <v>7923272325.428524</v>
      </c>
      <c r="S9" s="2">
        <v>5266212670.7590904</v>
      </c>
      <c r="T9" s="2">
        <v>2912526776.8499641</v>
      </c>
      <c r="U9" s="2">
        <v>2536711305.7606506</v>
      </c>
      <c r="V9" s="2">
        <v>1953318439.6618176</v>
      </c>
      <c r="W9" s="2">
        <v>1691140870.5070992</v>
      </c>
      <c r="X9" s="2">
        <v>1014684522.3042603</v>
      </c>
      <c r="Y9" s="2">
        <v>986770551.09566832</v>
      </c>
    </row>
    <row r="10" spans="1:27" x14ac:dyDescent="0.25">
      <c r="A10" s="2">
        <v>2033</v>
      </c>
      <c r="B10" s="2">
        <v>84635419472.346741</v>
      </c>
      <c r="C10" s="2">
        <v>39884468572.243027</v>
      </c>
      <c r="D10" s="2">
        <v>35547843838.483467</v>
      </c>
      <c r="E10" s="2">
        <v>28203606804.451488</v>
      </c>
      <c r="F10" s="2">
        <v>18155673776.658001</v>
      </c>
      <c r="G10" s="2">
        <v>12756674664.497845</v>
      </c>
      <c r="H10" s="2">
        <v>12443646447.511852</v>
      </c>
      <c r="I10" s="2">
        <v>11622334789.083288</v>
      </c>
      <c r="J10" s="2">
        <v>11312377967.77092</v>
      </c>
      <c r="K10" s="2">
        <v>11203930736.676308</v>
      </c>
      <c r="L10" s="2">
        <v>8987938903.5577583</v>
      </c>
      <c r="M10" s="2">
        <v>8585031297.5362062</v>
      </c>
      <c r="N10" s="2">
        <v>8426183424.2175732</v>
      </c>
      <c r="O10" s="2">
        <v>7749586880.0041084</v>
      </c>
      <c r="P10" s="2">
        <v>7670740960.7949753</v>
      </c>
      <c r="Q10" s="2">
        <v>7546769389.711422</v>
      </c>
      <c r="R10" s="2">
        <v>7260339273.3014212</v>
      </c>
      <c r="S10" s="2">
        <v>4825593404.4273701</v>
      </c>
      <c r="T10" s="2">
        <v>2668838287.2618403</v>
      </c>
      <c r="U10" s="2">
        <v>2324466957.8166614</v>
      </c>
      <c r="V10" s="2">
        <v>1789886046.8579865</v>
      </c>
      <c r="W10" s="2">
        <v>1549644638.5444396</v>
      </c>
      <c r="X10" s="2">
        <v>929786783.12666428</v>
      </c>
      <c r="Y10" s="2">
        <v>904208348.7228483</v>
      </c>
    </row>
    <row r="11" spans="1:27" x14ac:dyDescent="0.25">
      <c r="A11" s="2">
        <v>2034</v>
      </c>
      <c r="B11" s="2">
        <v>71162912104.398483</v>
      </c>
      <c r="C11" s="2">
        <v>33535545153.935715</v>
      </c>
      <c r="D11" s="2">
        <v>29889236709.052021</v>
      </c>
      <c r="E11" s="2">
        <v>23714076264.582912</v>
      </c>
      <c r="F11" s="2">
        <v>15265601862.900787</v>
      </c>
      <c r="G11" s="2">
        <v>10726030822.009182</v>
      </c>
      <c r="H11" s="2">
        <v>10462831329.049273</v>
      </c>
      <c r="I11" s="2">
        <v>9772258401.9762726</v>
      </c>
      <c r="J11" s="2">
        <v>9511641391.1700859</v>
      </c>
      <c r="K11" s="2">
        <v>9420457099.5051422</v>
      </c>
      <c r="L11" s="2">
        <v>7557213164.1949978</v>
      </c>
      <c r="M11" s="2">
        <v>7218441539.5931549</v>
      </c>
      <c r="N11" s="2">
        <v>7084879523.6260939</v>
      </c>
      <c r="O11" s="2">
        <v>6515985546.3033466</v>
      </c>
      <c r="P11" s="2">
        <v>6449690545.3043451</v>
      </c>
      <c r="Q11" s="2">
        <v>6345453122.3499327</v>
      </c>
      <c r="R11" s="2">
        <v>6104617768.4849072</v>
      </c>
      <c r="S11" s="2">
        <v>4057441688.5005393</v>
      </c>
      <c r="T11" s="2">
        <v>2244004999.8136039</v>
      </c>
      <c r="U11" s="2">
        <v>1954451680.3952577</v>
      </c>
      <c r="V11" s="2">
        <v>1504966882.9379573</v>
      </c>
      <c r="W11" s="2">
        <v>1302967786.9301708</v>
      </c>
      <c r="X11" s="2">
        <v>781780672.15810299</v>
      </c>
      <c r="Y11" s="2">
        <v>760273885.86703229</v>
      </c>
    </row>
    <row r="12" spans="1:27" x14ac:dyDescent="0.25">
      <c r="A12" s="2">
        <v>2035</v>
      </c>
      <c r="B12" s="2">
        <v>54171441340.111244</v>
      </c>
      <c r="C12" s="2">
        <v>25528309106.434032</v>
      </c>
      <c r="D12" s="2">
        <v>22752624719.878967</v>
      </c>
      <c r="E12" s="2">
        <v>18051898851.710655</v>
      </c>
      <c r="F12" s="2">
        <v>11620655076.965431</v>
      </c>
      <c r="G12" s="2">
        <v>8164991177.3464632</v>
      </c>
      <c r="H12" s="2">
        <v>7964635465.7546186</v>
      </c>
      <c r="I12" s="2">
        <v>7438949687.8156395</v>
      </c>
      <c r="J12" s="2">
        <v>7240559842.6613121</v>
      </c>
      <c r="K12" s="2">
        <v>7171147499.0542879</v>
      </c>
      <c r="L12" s="2">
        <v>5752787758.5774374</v>
      </c>
      <c r="M12" s="2">
        <v>5494904169.3998299</v>
      </c>
      <c r="N12" s="2">
        <v>5393232572.5066013</v>
      </c>
      <c r="O12" s="2">
        <v>4960172628.6404619</v>
      </c>
      <c r="P12" s="2">
        <v>4909706793.9583254</v>
      </c>
      <c r="Q12" s="2">
        <v>4830357997.2882929</v>
      </c>
      <c r="R12" s="2">
        <v>4647026570.0220137</v>
      </c>
      <c r="S12" s="2">
        <v>3088651910.3810463</v>
      </c>
      <c r="T12" s="2">
        <v>1708207008.6730676</v>
      </c>
      <c r="U12" s="2">
        <v>1487789937.5631301</v>
      </c>
      <c r="V12" s="2">
        <v>1145628007.7223623</v>
      </c>
      <c r="W12" s="2">
        <v>991859958.37541926</v>
      </c>
      <c r="X12" s="2">
        <v>595115975.02525198</v>
      </c>
      <c r="Y12" s="2">
        <v>578744334.55230629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-4.5195892169162742E-11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179.75465711761834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2.8216810779890991E-12</v>
      </c>
      <c r="Y16" s="2">
        <f>Y5/'Output-Calculation-sheet'!Y4*'Output-Calculation-sheet'!Y22</f>
        <v>0</v>
      </c>
      <c r="AA16" s="2">
        <f t="shared" ref="AA16:AA23" si="0">SUM(B16:Y16)/1000</f>
        <v>0.17975465711757596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1365.8555704711405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929.66927532141654</v>
      </c>
      <c r="N17" s="2">
        <f>N6/'Output-Calculation-sheet'!N5*'Output-Calculation-sheet'!N23</f>
        <v>381.26597866232555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85.6951003305266</v>
      </c>
      <c r="Y17" s="2">
        <f>Y6/'Output-Calculation-sheet'!Y5*'Output-Calculation-sheet'!Y23</f>
        <v>0</v>
      </c>
      <c r="AA17" s="2">
        <f t="shared" si="0"/>
        <v>2.7624859247854094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1764.8877932355176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1199.5524955666799</v>
      </c>
      <c r="N18" s="2">
        <f>N7/'Output-Calculation-sheet'!N6*'Output-Calculation-sheet'!N24</f>
        <v>664.02121659247052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117.96719317359887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112.61595833370302</v>
      </c>
      <c r="Y18" s="2">
        <f>Y7/'Output-Calculation-sheet'!Y6*'Output-Calculation-sheet'!Y24</f>
        <v>0</v>
      </c>
      <c r="AA18" s="2">
        <f t="shared" si="0"/>
        <v>3.8590446569019701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2033.5300944905678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1392.6567549805186</v>
      </c>
      <c r="N19" s="2">
        <f>N8/'Output-Calculation-sheet'!N7*'Output-Calculation-sheet'!N25</f>
        <v>936.76392047561001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248.4723700001687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132.16840629408617</v>
      </c>
      <c r="Y19" s="2">
        <f>Y8/'Output-Calculation-sheet'!Y7*'Output-Calculation-sheet'!Y25</f>
        <v>0</v>
      </c>
      <c r="AA19" s="2">
        <f t="shared" si="0"/>
        <v>4.7435915462409506</v>
      </c>
    </row>
    <row r="20" spans="1:27" x14ac:dyDescent="0.25">
      <c r="A20" s="2">
        <v>2032</v>
      </c>
      <c r="B20" s="2">
        <f>B9/'Output-Calculation-sheet'!B8*'Output-Calculation-sheet'!B26</f>
        <v>1.9835160427372107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2096.7198610182627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1433.883765635424</v>
      </c>
      <c r="N20" s="2">
        <f>N9/'Output-Calculation-sheet'!N8*'Output-Calculation-sheet'!N26</f>
        <v>1044.2769352577147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359.28481074952765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138.01810211996766</v>
      </c>
      <c r="Y20" s="2">
        <f>Y9/'Output-Calculation-sheet'!Y8*'Output-Calculation-sheet'!Y26</f>
        <v>0</v>
      </c>
      <c r="AA20" s="2">
        <f t="shared" si="0"/>
        <v>5.0741669908236338</v>
      </c>
    </row>
    <row r="21" spans="1:27" x14ac:dyDescent="0.25">
      <c r="A21" s="2">
        <v>2033</v>
      </c>
      <c r="B21" s="2">
        <f>B10/'Output-Calculation-sheet'!B9*'Output-Calculation-sheet'!B27</f>
        <v>2829.9363170551469</v>
      </c>
      <c r="C21" s="2">
        <f>C10/'Output-Calculation-sheet'!C9*'Output-Calculation-sheet'!C27</f>
        <v>4415.9212743892858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1981.2555561430997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1356.2710768597904</v>
      </c>
      <c r="N21" s="2">
        <f>N10/'Output-Calculation-sheet'!N9*'Output-Calculation-sheet'!N27</f>
        <v>1059.6938742203256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404.26261201809751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130.54858545683501</v>
      </c>
      <c r="Y21" s="2">
        <f>Y10/'Output-Calculation-sheet'!Y9*'Output-Calculation-sheet'!Y27</f>
        <v>0</v>
      </c>
      <c r="AA21" s="2">
        <f t="shared" si="0"/>
        <v>12.177889296142579</v>
      </c>
    </row>
    <row r="22" spans="1:27" x14ac:dyDescent="0.25">
      <c r="A22" s="2">
        <v>2034</v>
      </c>
      <c r="B22" s="2">
        <f>B11/'Output-Calculation-sheet'!B10*'Output-Calculation-sheet'!B28</f>
        <v>4066.4894329563735</v>
      </c>
      <c r="C22" s="2">
        <f>C11/'Output-Calculation-sheet'!C10*'Output-Calculation-sheet'!C28</f>
        <v>3939.7479731011513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1721.2877465843414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1178.4085323575266</v>
      </c>
      <c r="N22" s="2">
        <f>N11/'Output-Calculation-sheet'!N10*'Output-Calculation-sheet'!N28</f>
        <v>944.94400490501494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385.47266307156048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114.17265326546681</v>
      </c>
      <c r="Y22" s="2">
        <f>Y11/'Output-Calculation-sheet'!Y10*'Output-Calculation-sheet'!Y28</f>
        <v>0</v>
      </c>
      <c r="AA22" s="2">
        <f t="shared" si="0"/>
        <v>12.350523006241438</v>
      </c>
    </row>
    <row r="23" spans="1:27" x14ac:dyDescent="0.25">
      <c r="A23" s="2">
        <v>2035</v>
      </c>
      <c r="B23" s="2">
        <f>B12/'Output-Calculation-sheet'!B11*'Output-Calculation-sheet'!B29</f>
        <v>3856.4688054478838</v>
      </c>
      <c r="C23" s="2">
        <f>C12/'Output-Calculation-sheet'!C11*'Output-Calculation-sheet'!C29</f>
        <v>3160.0857996808786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1348.2319879183076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921.57010874104628</v>
      </c>
      <c r="N23" s="2">
        <f>N12/'Output-Calculation-sheet'!N11*'Output-Calculation-sheet'!N29</f>
        <v>753.3037059502193</v>
      </c>
      <c r="O23" s="2">
        <f>O12/'Output-Calculation-sheet'!O11*'Output-Calculation-sheet'!O29</f>
        <v>537.29184322155425</v>
      </c>
      <c r="P23" s="2">
        <f>P12/'Output-Calculation-sheet'!P11*'Output-Calculation-sheet'!P29</f>
        <v>0</v>
      </c>
      <c r="Q23" s="2">
        <f>Q12/'Output-Calculation-sheet'!Q11*'Output-Calculation-sheet'!Q29</f>
        <v>10.281715106997192</v>
      </c>
      <c r="R23" s="2">
        <f>R12/'Output-Calculation-sheet'!R11*'Output-Calculation-sheet'!R29</f>
        <v>0</v>
      </c>
      <c r="S23" s="2">
        <f>S12/'Output-Calculation-sheet'!S11*'Output-Calculation-sheet'!S29</f>
        <v>330.81846156919107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90.338636687774681</v>
      </c>
      <c r="Y23" s="2">
        <f>Y12/'Output-Calculation-sheet'!Y11*'Output-Calculation-sheet'!Y29</f>
        <v>0</v>
      </c>
      <c r="AA23" s="2">
        <f t="shared" si="0"/>
        <v>11.008391064323853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8368.6388549606927</v>
      </c>
      <c r="C27" s="2">
        <f>C5/'Output-Calculation-sheet'!C4*'Output-Calculation-sheet'!C13</f>
        <v>0</v>
      </c>
      <c r="D27" s="2">
        <f>D5/'Output-Calculation-sheet'!D4*'Output-Calculation-sheet'!D13</f>
        <v>2702.6278056105175</v>
      </c>
      <c r="E27" s="2">
        <f>E5/'Output-Calculation-sheet'!E4*'Output-Calculation-sheet'!E13</f>
        <v>2757.101662138964</v>
      </c>
      <c r="F27" s="2">
        <f>F5/'Output-Calculation-sheet'!F4*'Output-Calculation-sheet'!F13</f>
        <v>1566.2038361421328</v>
      </c>
      <c r="G27" s="2">
        <f>G5/'Output-Calculation-sheet'!G4*'Output-Calculation-sheet'!G13</f>
        <v>949.81826434336756</v>
      </c>
      <c r="H27" s="2">
        <f>H5/'Output-Calculation-sheet'!H4*'Output-Calculation-sheet'!H13</f>
        <v>0</v>
      </c>
      <c r="I27" s="2">
        <f>I5/'Output-Calculation-sheet'!I4*'Output-Calculation-sheet'!I13</f>
        <v>949.1161808096399</v>
      </c>
      <c r="J27" s="2">
        <f>J5/'Output-Calculation-sheet'!J4*'Output-Calculation-sheet'!J13</f>
        <v>872.55288810108993</v>
      </c>
      <c r="K27" s="2">
        <f>K5/'Output-Calculation-sheet'!K4*'Output-Calculation-sheet'!K13</f>
        <v>1063.6604894629943</v>
      </c>
      <c r="L27" s="2">
        <f>L5/'Output-Calculation-sheet'!L4*'Output-Calculation-sheet'!L13</f>
        <v>881.96219270735446</v>
      </c>
      <c r="M27" s="2">
        <f>M5/'Output-Calculation-sheet'!M4*'Output-Calculation-sheet'!M13</f>
        <v>0</v>
      </c>
      <c r="N27" s="2">
        <f>N5/'Output-Calculation-sheet'!N4*'Output-Calculation-sheet'!N13</f>
        <v>572.90567468054985</v>
      </c>
      <c r="O27" s="2">
        <f>O5/'Output-Calculation-sheet'!O4*'Output-Calculation-sheet'!O13</f>
        <v>0</v>
      </c>
      <c r="P27" s="2">
        <f>P5/'Output-Calculation-sheet'!P4*'Output-Calculation-sheet'!P13</f>
        <v>689.25991538622191</v>
      </c>
      <c r="Q27" s="2">
        <f>Q5/'Output-Calculation-sheet'!Q4*'Output-Calculation-sheet'!Q13</f>
        <v>743.58934648937327</v>
      </c>
      <c r="R27" s="2">
        <f>R5/'Output-Calculation-sheet'!R4*'Output-Calculation-sheet'!R13</f>
        <v>671.07588355119867</v>
      </c>
      <c r="S27" s="2">
        <f>S5/'Output-Calculation-sheet'!S4*'Output-Calculation-sheet'!S13</f>
        <v>402.85384544380736</v>
      </c>
      <c r="T27" s="2">
        <f>T5/'Output-Calculation-sheet'!T4*'Output-Calculation-sheet'!T13</f>
        <v>246.68521175349937</v>
      </c>
      <c r="U27" s="2">
        <f>U5/'Output-Calculation-sheet'!U4*'Output-Calculation-sheet'!U13</f>
        <v>188.38017298332596</v>
      </c>
      <c r="V27" s="2">
        <f>V5/'Output-Calculation-sheet'!V4*'Output-Calculation-sheet'!V13</f>
        <v>180.46128445485468</v>
      </c>
      <c r="W27" s="2">
        <f>W5/'Output-Calculation-sheet'!W4*'Output-Calculation-sheet'!W13</f>
        <v>126.29843563697831</v>
      </c>
      <c r="X27" s="2">
        <f>X5/'Output-Calculation-sheet'!X4*'Output-Calculation-sheet'!X13</f>
        <v>0</v>
      </c>
      <c r="Y27" s="2">
        <f>Y5/'Output-Calculation-sheet'!Y4*'Output-Calculation-sheet'!Y13</f>
        <v>82.903041037375289</v>
      </c>
      <c r="AA27" s="2">
        <f t="shared" ref="AA27:AA34" si="1">SUM(B27:Y27)/1000</f>
        <v>24.016094985693933</v>
      </c>
    </row>
    <row r="28" spans="1:27" x14ac:dyDescent="0.25">
      <c r="A28" s="2">
        <v>2029</v>
      </c>
      <c r="B28" s="2">
        <f>B6/'Output-Calculation-sheet'!B5*'Output-Calculation-sheet'!B14</f>
        <v>11382.576752299157</v>
      </c>
      <c r="C28" s="2">
        <f>C6/'Output-Calculation-sheet'!C5*'Output-Calculation-sheet'!C14</f>
        <v>0</v>
      </c>
      <c r="D28" s="2">
        <f>D6/'Output-Calculation-sheet'!D5*'Output-Calculation-sheet'!D14</f>
        <v>3620.8712728420778</v>
      </c>
      <c r="E28" s="2">
        <f>E6/'Output-Calculation-sheet'!E5*'Output-Calculation-sheet'!E14</f>
        <v>3718.2455007363183</v>
      </c>
      <c r="F28" s="2">
        <f>F6/'Output-Calculation-sheet'!F5*'Output-Calculation-sheet'!F14</f>
        <v>2096.7103251445646</v>
      </c>
      <c r="G28" s="2">
        <f>G6/'Output-Calculation-sheet'!G5*'Output-Calculation-sheet'!G14</f>
        <v>1270.3242082281017</v>
      </c>
      <c r="H28" s="2">
        <f>H6/'Output-Calculation-sheet'!H5*'Output-Calculation-sheet'!H14</f>
        <v>0</v>
      </c>
      <c r="I28" s="2">
        <f>I6/'Output-Calculation-sheet'!I5*'Output-Calculation-sheet'!I14</f>
        <v>1275.9031893260374</v>
      </c>
      <c r="J28" s="2">
        <f>J6/'Output-Calculation-sheet'!J5*'Output-Calculation-sheet'!J14</f>
        <v>1169.2349527227605</v>
      </c>
      <c r="K28" s="2">
        <f>K6/'Output-Calculation-sheet'!K5*'Output-Calculation-sheet'!K14</f>
        <v>1434.0544668317659</v>
      </c>
      <c r="L28" s="2">
        <f>L6/'Output-Calculation-sheet'!L5*'Output-Calculation-sheet'!L14</f>
        <v>1186.0173652882559</v>
      </c>
      <c r="M28" s="2">
        <f>M6/'Output-Calculation-sheet'!M5*'Output-Calculation-sheet'!M14</f>
        <v>0</v>
      </c>
      <c r="N28" s="2">
        <f>N6/'Output-Calculation-sheet'!N5*'Output-Calculation-sheet'!N14</f>
        <v>751.8905728494766</v>
      </c>
      <c r="O28" s="2">
        <f>O6/'Output-Calculation-sheet'!O5*'Output-Calculation-sheet'!O14</f>
        <v>0</v>
      </c>
      <c r="P28" s="2">
        <f>P6/'Output-Calculation-sheet'!P5*'Output-Calculation-sheet'!P14</f>
        <v>939.03394474886909</v>
      </c>
      <c r="Q28" s="2">
        <f>Q6/'Output-Calculation-sheet'!Q5*'Output-Calculation-sheet'!Q14</f>
        <v>1019.3374431875496</v>
      </c>
      <c r="R28" s="2">
        <f>R6/'Output-Calculation-sheet'!R5*'Output-Calculation-sheet'!R14</f>
        <v>906.34180666096779</v>
      </c>
      <c r="S28" s="2">
        <f>S6/'Output-Calculation-sheet'!S5*'Output-Calculation-sheet'!S14</f>
        <v>555.55812234133214</v>
      </c>
      <c r="T28" s="2">
        <f>T6/'Output-Calculation-sheet'!T5*'Output-Calculation-sheet'!T14</f>
        <v>331.37937255296811</v>
      </c>
      <c r="U28" s="2">
        <f>U6/'Output-Calculation-sheet'!U5*'Output-Calculation-sheet'!U14</f>
        <v>254.21469811921583</v>
      </c>
      <c r="V28" s="2">
        <f>V6/'Output-Calculation-sheet'!V5*'Output-Calculation-sheet'!V14</f>
        <v>243.151615863193</v>
      </c>
      <c r="W28" s="2">
        <f>W6/'Output-Calculation-sheet'!W5*'Output-Calculation-sheet'!W14</f>
        <v>169.6771422124115</v>
      </c>
      <c r="X28" s="2">
        <f>X6/'Output-Calculation-sheet'!X5*'Output-Calculation-sheet'!X14</f>
        <v>0</v>
      </c>
      <c r="Y28" s="2">
        <f>Y6/'Output-Calculation-sheet'!Y5*'Output-Calculation-sheet'!Y14</f>
        <v>111.57048803484622</v>
      </c>
      <c r="AA28" s="2">
        <f t="shared" si="1"/>
        <v>32.436093239989866</v>
      </c>
    </row>
    <row r="29" spans="1:27" x14ac:dyDescent="0.25">
      <c r="A29" s="2">
        <v>2030</v>
      </c>
      <c r="B29" s="2">
        <f>B7/'Output-Calculation-sheet'!B6*'Output-Calculation-sheet'!B15</f>
        <v>14196.496637802778</v>
      </c>
      <c r="C29" s="2">
        <f>C7/'Output-Calculation-sheet'!C6*'Output-Calculation-sheet'!C15</f>
        <v>0</v>
      </c>
      <c r="D29" s="2">
        <f>D7/'Output-Calculation-sheet'!D6*'Output-Calculation-sheet'!D15</f>
        <v>4462.6113684516886</v>
      </c>
      <c r="E29" s="2">
        <f>E7/'Output-Calculation-sheet'!E6*'Output-Calculation-sheet'!E15</f>
        <v>4600.3729237478128</v>
      </c>
      <c r="F29" s="2">
        <f>F7/'Output-Calculation-sheet'!F6*'Output-Calculation-sheet'!F15</f>
        <v>2580.4201269724185</v>
      </c>
      <c r="G29" s="2">
        <f>G7/'Output-Calculation-sheet'!G6*'Output-Calculation-sheet'!G15</f>
        <v>1560.7874323025187</v>
      </c>
      <c r="H29" s="2">
        <f>H7/'Output-Calculation-sheet'!H6*'Output-Calculation-sheet'!H15</f>
        <v>0</v>
      </c>
      <c r="I29" s="2">
        <f>I7/'Output-Calculation-sheet'!I6*'Output-Calculation-sheet'!I15</f>
        <v>1572.6542035237796</v>
      </c>
      <c r="J29" s="2">
        <f>J7/'Output-Calculation-sheet'!J6*'Output-Calculation-sheet'!J15</f>
        <v>1438.5857973863817</v>
      </c>
      <c r="K29" s="2">
        <f>K7/'Output-Calculation-sheet'!K6*'Output-Calculation-sheet'!K15</f>
        <v>1771.2890897175346</v>
      </c>
      <c r="L29" s="2">
        <f>L7/'Output-Calculation-sheet'!L6*'Output-Calculation-sheet'!L15</f>
        <v>1468.5249945871315</v>
      </c>
      <c r="M29" s="2">
        <f>M7/'Output-Calculation-sheet'!M6*'Output-Calculation-sheet'!M15</f>
        <v>0</v>
      </c>
      <c r="N29" s="2">
        <f>N7/'Output-Calculation-sheet'!N6*'Output-Calculation-sheet'!N15</f>
        <v>832.74949466042415</v>
      </c>
      <c r="O29" s="2">
        <f>O7/'Output-Calculation-sheet'!O6*'Output-Calculation-sheet'!O15</f>
        <v>0</v>
      </c>
      <c r="P29" s="2">
        <f>P7/'Output-Calculation-sheet'!P6*'Output-Calculation-sheet'!P15</f>
        <v>1167.3868582733101</v>
      </c>
      <c r="Q29" s="2">
        <f>Q7/'Output-Calculation-sheet'!Q6*'Output-Calculation-sheet'!Q15</f>
        <v>1275.2033140261374</v>
      </c>
      <c r="R29" s="2">
        <f>R7/'Output-Calculation-sheet'!R6*'Output-Calculation-sheet'!R15</f>
        <v>1122.8565649899601</v>
      </c>
      <c r="S29" s="2">
        <f>S7/'Output-Calculation-sheet'!S6*'Output-Calculation-sheet'!S15</f>
        <v>642.01588171525168</v>
      </c>
      <c r="T29" s="2">
        <f>T7/'Output-Calculation-sheet'!T6*'Output-Calculation-sheet'!T15</f>
        <v>409.39335219594443</v>
      </c>
      <c r="U29" s="2">
        <f>U7/'Output-Calculation-sheet'!U6*'Output-Calculation-sheet'!U15</f>
        <v>314.56614287716297</v>
      </c>
      <c r="V29" s="2">
        <f>V7/'Output-Calculation-sheet'!V6*'Output-Calculation-sheet'!V15</f>
        <v>301.09525510247096</v>
      </c>
      <c r="W29" s="2">
        <f>W7/'Output-Calculation-sheet'!W6*'Output-Calculation-sheet'!W15</f>
        <v>209.6671481682437</v>
      </c>
      <c r="X29" s="2">
        <f>X7/'Output-Calculation-sheet'!X6*'Output-Calculation-sheet'!X15</f>
        <v>0</v>
      </c>
      <c r="Y29" s="2">
        <f>Y7/'Output-Calculation-sheet'!Y6*'Output-Calculation-sheet'!Y15</f>
        <v>138.10488775914817</v>
      </c>
      <c r="AA29" s="2">
        <f t="shared" si="1"/>
        <v>40.064781474260101</v>
      </c>
    </row>
    <row r="30" spans="1:27" x14ac:dyDescent="0.25">
      <c r="A30" s="2">
        <v>2031</v>
      </c>
      <c r="B30" s="2">
        <f>B8/'Output-Calculation-sheet'!B7*'Output-Calculation-sheet'!B16</f>
        <v>15983.310810469955</v>
      </c>
      <c r="C30" s="2">
        <f>C8/'Output-Calculation-sheet'!C7*'Output-Calculation-sheet'!C16</f>
        <v>0</v>
      </c>
      <c r="D30" s="2">
        <f>D8/'Output-Calculation-sheet'!D7*'Output-Calculation-sheet'!D16</f>
        <v>4989.4146826353481</v>
      </c>
      <c r="E30" s="2">
        <f>E8/'Output-Calculation-sheet'!E7*'Output-Calculation-sheet'!E16</f>
        <v>5160.7455707288682</v>
      </c>
      <c r="F30" s="2">
        <f>F8/'Output-Calculation-sheet'!F7*'Output-Calculation-sheet'!F16</f>
        <v>2891.2447404395098</v>
      </c>
      <c r="G30" s="2">
        <f>G8/'Output-Calculation-sheet'!G7*'Output-Calculation-sheet'!G16</f>
        <v>1743.7367327912875</v>
      </c>
      <c r="H30" s="2">
        <f>H8/'Output-Calculation-sheet'!H7*'Output-Calculation-sheet'!H16</f>
        <v>0</v>
      </c>
      <c r="I30" s="2">
        <f>I8/'Output-Calculation-sheet'!I7*'Output-Calculation-sheet'!I16</f>
        <v>1764.8551404840894</v>
      </c>
      <c r="J30" s="2">
        <f>J8/'Output-Calculation-sheet'!J7*'Output-Calculation-sheet'!J16</f>
        <v>1610.8813200094994</v>
      </c>
      <c r="K30" s="2">
        <f>K8/'Output-Calculation-sheet'!K7*'Output-Calculation-sheet'!K16</f>
        <v>1992.2223601842297</v>
      </c>
      <c r="L30" s="2">
        <f>L8/'Output-Calculation-sheet'!L7*'Output-Calculation-sheet'!L16</f>
        <v>1644.1038353417443</v>
      </c>
      <c r="M30" s="2">
        <f>M8/'Output-Calculation-sheet'!M7*'Output-Calculation-sheet'!M16</f>
        <v>0</v>
      </c>
      <c r="N30" s="2">
        <f>N8/'Output-Calculation-sheet'!N7*'Output-Calculation-sheet'!N16</f>
        <v>806.68905836875263</v>
      </c>
      <c r="O30" s="2">
        <f>O8/'Output-Calculation-sheet'!O7*'Output-Calculation-sheet'!O16</f>
        <v>0</v>
      </c>
      <c r="P30" s="2">
        <f>P8/'Output-Calculation-sheet'!P7*'Output-Calculation-sheet'!P16</f>
        <v>1310.4282021665972</v>
      </c>
      <c r="Q30" s="2">
        <f>Q8/'Output-Calculation-sheet'!Q7*'Output-Calculation-sheet'!Q16</f>
        <v>1437.3183672045998</v>
      </c>
      <c r="R30" s="2">
        <f>R8/'Output-Calculation-sheet'!R7*'Output-Calculation-sheet'!R16</f>
        <v>1259.2779788073981</v>
      </c>
      <c r="S30" s="2">
        <f>S8/'Output-Calculation-sheet'!S7*'Output-Calculation-sheet'!S16</f>
        <v>672.5013208220189</v>
      </c>
      <c r="T30" s="2">
        <f>T8/'Output-Calculation-sheet'!T7*'Output-Calculation-sheet'!T16</f>
        <v>459.41044070357498</v>
      </c>
      <c r="U30" s="2">
        <f>U8/'Output-Calculation-sheet'!U7*'Output-Calculation-sheet'!U16</f>
        <v>353.08963674097663</v>
      </c>
      <c r="V30" s="2">
        <f>V8/'Output-Calculation-sheet'!V7*'Output-Calculation-sheet'!V16</f>
        <v>338.11388435677708</v>
      </c>
      <c r="W30" s="2">
        <f>W8/'Output-Calculation-sheet'!W7*'Output-Calculation-sheet'!W16</f>
        <v>234.73072933768299</v>
      </c>
      <c r="X30" s="2">
        <f>X8/'Output-Calculation-sheet'!X7*'Output-Calculation-sheet'!X16</f>
        <v>0</v>
      </c>
      <c r="Y30" s="2">
        <f>Y8/'Output-Calculation-sheet'!Y7*'Output-Calculation-sheet'!Y16</f>
        <v>155.182012842078</v>
      </c>
      <c r="AA30" s="2">
        <f t="shared" si="1"/>
        <v>44.80725682443498</v>
      </c>
    </row>
    <row r="31" spans="1:27" x14ac:dyDescent="0.25">
      <c r="A31" s="2">
        <v>2032</v>
      </c>
      <c r="B31" s="2">
        <f>B9/'Output-Calculation-sheet'!B8*'Output-Calculation-sheet'!B17</f>
        <v>16150.689218167614</v>
      </c>
      <c r="C31" s="2">
        <f>C9/'Output-Calculation-sheet'!C8*'Output-Calculation-sheet'!C17</f>
        <v>0</v>
      </c>
      <c r="D31" s="2">
        <f>D9/'Output-Calculation-sheet'!D8*'Output-Calculation-sheet'!D17</f>
        <v>5007.0535186112775</v>
      </c>
      <c r="E31" s="2">
        <f>E9/'Output-Calculation-sheet'!E8*'Output-Calculation-sheet'!E17</f>
        <v>5185.3749180442464</v>
      </c>
      <c r="F31" s="2">
        <f>F9/'Output-Calculation-sheet'!F8*'Output-Calculation-sheet'!F17</f>
        <v>2896.8594532153156</v>
      </c>
      <c r="G31" s="2">
        <f>G9/'Output-Calculation-sheet'!G8*'Output-Calculation-sheet'!G17</f>
        <v>1746.3424140265811</v>
      </c>
      <c r="H31" s="2">
        <f>H9/'Output-Calculation-sheet'!H8*'Output-Calculation-sheet'!H17</f>
        <v>0</v>
      </c>
      <c r="I31" s="2">
        <f>I9/'Output-Calculation-sheet'!I8*'Output-Calculation-sheet'!I17</f>
        <v>1770.5760999793131</v>
      </c>
      <c r="J31" s="2">
        <f>J9/'Output-Calculation-sheet'!J8*'Output-Calculation-sheet'!J17</f>
        <v>1614.8830752880476</v>
      </c>
      <c r="K31" s="2">
        <f>K9/'Output-Calculation-sheet'!K8*'Output-Calculation-sheet'!K17</f>
        <v>2000.3232950734605</v>
      </c>
      <c r="L31" s="2">
        <f>L9/'Output-Calculation-sheet'!L8*'Output-Calculation-sheet'!L17</f>
        <v>1651.2366966902941</v>
      </c>
      <c r="M31" s="2">
        <f>M9/'Output-Calculation-sheet'!M8*'Output-Calculation-sheet'!M17</f>
        <v>0</v>
      </c>
      <c r="N31" s="2">
        <f>N9/'Output-Calculation-sheet'!N8*'Output-Calculation-sheet'!N17</f>
        <v>730.41123613127252</v>
      </c>
      <c r="O31" s="2">
        <f>O9/'Output-Calculation-sheet'!O8*'Output-Calculation-sheet'!O17</f>
        <v>0</v>
      </c>
      <c r="P31" s="2">
        <f>P9/'Output-Calculation-sheet'!P8*'Output-Calculation-sheet'!P17</f>
        <v>1328.3694797544119</v>
      </c>
      <c r="Q31" s="2">
        <f>Q9/'Output-Calculation-sheet'!Q8*'Output-Calculation-sheet'!Q17</f>
        <v>1455.7675034538406</v>
      </c>
      <c r="R31" s="2">
        <f>R9/'Output-Calculation-sheet'!R8*'Output-Calculation-sheet'!R17</f>
        <v>1263.9808425758831</v>
      </c>
      <c r="S31" s="2">
        <f>S9/'Output-Calculation-sheet'!S8*'Output-Calculation-sheet'!S17</f>
        <v>630.66341972177452</v>
      </c>
      <c r="T31" s="2">
        <f>T9/'Output-Calculation-sheet'!T8*'Output-Calculation-sheet'!T17</f>
        <v>460.60682883734512</v>
      </c>
      <c r="U31" s="2">
        <f>U9/'Output-Calculation-sheet'!U8*'Output-Calculation-sheet'!U17</f>
        <v>355.24239411123062</v>
      </c>
      <c r="V31" s="2">
        <f>V9/'Output-Calculation-sheet'!V8*'Output-Calculation-sheet'!V17</f>
        <v>340.42724227982268</v>
      </c>
      <c r="W31" s="2">
        <f>W9/'Output-Calculation-sheet'!W8*'Output-Calculation-sheet'!W17</f>
        <v>235.73106934417015</v>
      </c>
      <c r="X31" s="2">
        <f>X9/'Output-Calculation-sheet'!X8*'Output-Calculation-sheet'!X17</f>
        <v>0</v>
      </c>
      <c r="Y31" s="2">
        <f>Y9/'Output-Calculation-sheet'!Y8*'Output-Calculation-sheet'!Y17</f>
        <v>155.8416027395636</v>
      </c>
      <c r="AA31" s="2">
        <f t="shared" si="1"/>
        <v>44.980380308045454</v>
      </c>
    </row>
    <row r="32" spans="1:27" x14ac:dyDescent="0.25">
      <c r="A32" s="2">
        <v>2033</v>
      </c>
      <c r="B32" s="2">
        <f>B10/'Output-Calculation-sheet'!B9*'Output-Calculation-sheet'!B18</f>
        <v>13810.294115477682</v>
      </c>
      <c r="C32" s="2">
        <f>C10/'Output-Calculation-sheet'!C9*'Output-Calculation-sheet'!C18</f>
        <v>0</v>
      </c>
      <c r="D32" s="2">
        <f>D10/'Output-Calculation-sheet'!D9*'Output-Calculation-sheet'!D18</f>
        <v>4610.4870669880356</v>
      </c>
      <c r="E32" s="2">
        <f>E10/'Output-Calculation-sheet'!E9*'Output-Calculation-sheet'!E18</f>
        <v>4774.2657028538279</v>
      </c>
      <c r="F32" s="2">
        <f>F10/'Output-Calculation-sheet'!F9*'Output-Calculation-sheet'!F18</f>
        <v>2666.7391118989881</v>
      </c>
      <c r="G32" s="2">
        <f>G10/'Output-Calculation-sheet'!G9*'Output-Calculation-sheet'!G18</f>
        <v>1608.3515130027072</v>
      </c>
      <c r="H32" s="2">
        <f>H10/'Output-Calculation-sheet'!H9*'Output-Calculation-sheet'!H18</f>
        <v>0</v>
      </c>
      <c r="I32" s="2">
        <f>I10/'Output-Calculation-sheet'!I9*'Output-Calculation-sheet'!I18</f>
        <v>1630.480312321557</v>
      </c>
      <c r="J32" s="2">
        <f>J10/'Output-Calculation-sheet'!J9*'Output-Calculation-sheet'!J18</f>
        <v>1487.0875736665189</v>
      </c>
      <c r="K32" s="2">
        <f>K10/'Output-Calculation-sheet'!K9*'Output-Calculation-sheet'!K18</f>
        <v>1846.2419494478709</v>
      </c>
      <c r="L32" s="2">
        <f>L10/'Output-Calculation-sheet'!L9*'Output-Calculation-sheet'!L18</f>
        <v>1521.5398984055344</v>
      </c>
      <c r="M32" s="2">
        <f>M10/'Output-Calculation-sheet'!M9*'Output-Calculation-sheet'!M18</f>
        <v>0</v>
      </c>
      <c r="N32" s="2">
        <f>N10/'Output-Calculation-sheet'!N9*'Output-Calculation-sheet'!N18</f>
        <v>602.24610030103645</v>
      </c>
      <c r="O32" s="2">
        <f>O10/'Output-Calculation-sheet'!O9*'Output-Calculation-sheet'!O18</f>
        <v>0</v>
      </c>
      <c r="P32" s="2">
        <f>P10/'Output-Calculation-sheet'!P9*'Output-Calculation-sheet'!P18</f>
        <v>1232.2181055786614</v>
      </c>
      <c r="Q32" s="2">
        <f>Q10/'Output-Calculation-sheet'!Q9*'Output-Calculation-sheet'!Q18</f>
        <v>1351.4160334761843</v>
      </c>
      <c r="R32" s="2">
        <f>R10/'Output-Calculation-sheet'!R9*'Output-Calculation-sheet'!R18</f>
        <v>1167.2891833109732</v>
      </c>
      <c r="S32" s="2">
        <f>S10/'Output-Calculation-sheet'!S9*'Output-Calculation-sheet'!S18</f>
        <v>543.3343412196192</v>
      </c>
      <c r="T32" s="2">
        <f>T10/'Output-Calculation-sheet'!T9*'Output-Calculation-sheet'!T18</f>
        <v>424.59785687975744</v>
      </c>
      <c r="U32" s="2">
        <f>U10/'Output-Calculation-sheet'!U9*'Output-Calculation-sheet'!U18</f>
        <v>327.45926448364838</v>
      </c>
      <c r="V32" s="2">
        <f>V10/'Output-Calculation-sheet'!V9*'Output-Calculation-sheet'!V18</f>
        <v>314.14351674004388</v>
      </c>
      <c r="W32" s="2">
        <f>W10/'Output-Calculation-sheet'!W9*'Output-Calculation-sheet'!W18</f>
        <v>216.76646171548629</v>
      </c>
      <c r="X32" s="2">
        <f>X10/'Output-Calculation-sheet'!X9*'Output-Calculation-sheet'!X18</f>
        <v>0</v>
      </c>
      <c r="Y32" s="2">
        <f>Y10/'Output-Calculation-sheet'!Y9*'Output-Calculation-sheet'!Y18</f>
        <v>143.72748129693503</v>
      </c>
      <c r="AA32" s="2">
        <f t="shared" si="1"/>
        <v>40.27868558906507</v>
      </c>
    </row>
    <row r="33" spans="1:27" x14ac:dyDescent="0.25">
      <c r="A33" s="2">
        <v>2034</v>
      </c>
      <c r="B33" s="2">
        <f>B11/'Output-Calculation-sheet'!B10*'Output-Calculation-sheet'!B19</f>
        <v>11003.278547664666</v>
      </c>
      <c r="C33" s="2">
        <f>C11/'Output-Calculation-sheet'!C10*'Output-Calculation-sheet'!C19</f>
        <v>0</v>
      </c>
      <c r="D33" s="2">
        <f>D11/'Output-Calculation-sheet'!D10*'Output-Calculation-sheet'!D19</f>
        <v>3890.5368696560763</v>
      </c>
      <c r="E33" s="2">
        <f>E11/'Output-Calculation-sheet'!E10*'Output-Calculation-sheet'!E19</f>
        <v>4038.2378828706592</v>
      </c>
      <c r="F33" s="2">
        <f>F11/'Output-Calculation-sheet'!F10*'Output-Calculation-sheet'!F19</f>
        <v>2251.4658604091751</v>
      </c>
      <c r="G33" s="2">
        <f>G11/'Output-Calculation-sheet'!G10*'Output-Calculation-sheet'!G19</f>
        <v>1355.7658839635251</v>
      </c>
      <c r="H33" s="2">
        <f>H11/'Output-Calculation-sheet'!H10*'Output-Calculation-sheet'!H19</f>
        <v>0</v>
      </c>
      <c r="I33" s="2">
        <f>I11/'Output-Calculation-sheet'!I10*'Output-Calculation-sheet'!I19</f>
        <v>1380.8489572027681</v>
      </c>
      <c r="J33" s="2">
        <f>J11/'Output-Calculation-sheet'!J10*'Output-Calculation-sheet'!J19</f>
        <v>1254.9570377666605</v>
      </c>
      <c r="K33" s="2">
        <f>K11/'Output-Calculation-sheet'!K10*'Output-Calculation-sheet'!K19</f>
        <v>1563.1322423880993</v>
      </c>
      <c r="L33" s="2">
        <f>L11/'Output-Calculation-sheet'!L10*'Output-Calculation-sheet'!L19</f>
        <v>1285.6553886772085</v>
      </c>
      <c r="M33" s="2">
        <f>M11/'Output-Calculation-sheet'!M10*'Output-Calculation-sheet'!M19</f>
        <v>0</v>
      </c>
      <c r="N33" s="2">
        <f>N11/'Output-Calculation-sheet'!N10*'Output-Calculation-sheet'!N19</f>
        <v>476.43924077863841</v>
      </c>
      <c r="O33" s="2">
        <f>O11/'Output-Calculation-sheet'!O10*'Output-Calculation-sheet'!O19</f>
        <v>0</v>
      </c>
      <c r="P33" s="2">
        <f>P11/'Output-Calculation-sheet'!P10*'Output-Calculation-sheet'!P19</f>
        <v>1047.9275106956829</v>
      </c>
      <c r="Q33" s="2">
        <f>Q11/'Output-Calculation-sheet'!Q10*'Output-Calculation-sheet'!Q19</f>
        <v>1151.2557715606631</v>
      </c>
      <c r="R33" s="2">
        <f>R11/'Output-Calculation-sheet'!R10*'Output-Calculation-sheet'!R19</f>
        <v>987.96523485849696</v>
      </c>
      <c r="S33" s="2">
        <f>S11/'Output-Calculation-sheet'!S10*'Output-Calculation-sheet'!S19</f>
        <v>455.66447613240075</v>
      </c>
      <c r="T33" s="2">
        <f>T11/'Output-Calculation-sheet'!T10*'Output-Calculation-sheet'!T19</f>
        <v>359.03458689438946</v>
      </c>
      <c r="U33" s="2">
        <f>U11/'Output-Calculation-sheet'!U10*'Output-Calculation-sheet'!U19</f>
        <v>277.83154662205857</v>
      </c>
      <c r="V33" s="2">
        <f>V11/'Output-Calculation-sheet'!V10*'Output-Calculation-sheet'!V19</f>
        <v>266.34764686963081</v>
      </c>
      <c r="W33" s="2">
        <f>W11/'Output-Calculation-sheet'!W10*'Output-Calculation-sheet'!W19</f>
        <v>182.99121157168355</v>
      </c>
      <c r="X33" s="2">
        <f>X11/'Output-Calculation-sheet'!X10*'Output-Calculation-sheet'!X19</f>
        <v>0</v>
      </c>
      <c r="Y33" s="2">
        <f>Y11/'Output-Calculation-sheet'!Y10*'Output-Calculation-sheet'!Y19</f>
        <v>121.49912880033055</v>
      </c>
      <c r="AA33" s="2">
        <f t="shared" si="1"/>
        <v>33.350835025382814</v>
      </c>
    </row>
    <row r="34" spans="1:27" x14ac:dyDescent="0.25">
      <c r="A34" s="2">
        <v>2035</v>
      </c>
      <c r="B34" s="2">
        <f>B12/'Output-Calculation-sheet'!B11*'Output-Calculation-sheet'!B20</f>
        <v>8060.9874899230254</v>
      </c>
      <c r="C34" s="2">
        <f>C12/'Output-Calculation-sheet'!C11*'Output-Calculation-sheet'!C20</f>
        <v>0</v>
      </c>
      <c r="D34" s="2">
        <f>D12/'Output-Calculation-sheet'!D11*'Output-Calculation-sheet'!D20</f>
        <v>2981.2075454466531</v>
      </c>
      <c r="E34" s="2">
        <f>E12/'Output-Calculation-sheet'!E11*'Output-Calculation-sheet'!E20</f>
        <v>3093.1155521898359</v>
      </c>
      <c r="F34" s="2">
        <f>F12/'Output-Calculation-sheet'!F11*'Output-Calculation-sheet'!F20</f>
        <v>1721.9984960260779</v>
      </c>
      <c r="G34" s="2">
        <f>G12/'Output-Calculation-sheet'!G11*'Output-Calculation-sheet'!G20</f>
        <v>1034.6514335619449</v>
      </c>
      <c r="H34" s="2">
        <f>H12/'Output-Calculation-sheet'!H11*'Output-Calculation-sheet'!H20</f>
        <v>0</v>
      </c>
      <c r="I34" s="2">
        <f>I12/'Output-Calculation-sheet'!I11*'Output-Calculation-sheet'!I20</f>
        <v>1056.7836793420165</v>
      </c>
      <c r="J34" s="2">
        <f>J12/'Output-Calculation-sheet'!J11*'Output-Calculation-sheet'!J20</f>
        <v>957.10164487284862</v>
      </c>
      <c r="K34" s="2">
        <f>K12/'Output-Calculation-sheet'!K11*'Output-Calculation-sheet'!K20</f>
        <v>1197.2797306551311</v>
      </c>
      <c r="L34" s="2">
        <f>L12/'Output-Calculation-sheet'!L11*'Output-Calculation-sheet'!L20</f>
        <v>983.04262211191224</v>
      </c>
      <c r="M34" s="2">
        <f>M12/'Output-Calculation-sheet'!M11*'Output-Calculation-sheet'!M20</f>
        <v>0</v>
      </c>
      <c r="N34" s="2">
        <f>N12/'Output-Calculation-sheet'!N11*'Output-Calculation-sheet'!N20</f>
        <v>345.84590295372954</v>
      </c>
      <c r="O34" s="2">
        <f>O12/'Output-Calculation-sheet'!O11*'Output-Calculation-sheet'!O20</f>
        <v>0</v>
      </c>
      <c r="P34" s="2">
        <f>P12/'Output-Calculation-sheet'!P11*'Output-Calculation-sheet'!P20</f>
        <v>807.224206229017</v>
      </c>
      <c r="Q34" s="2">
        <f>Q12/'Output-Calculation-sheet'!Q11*'Output-Calculation-sheet'!Q20</f>
        <v>885.1522126708652</v>
      </c>
      <c r="R34" s="2">
        <f>R12/'Output-Calculation-sheet'!R11*'Output-Calculation-sheet'!R20</f>
        <v>759.02500208707352</v>
      </c>
      <c r="S34" s="2">
        <f>S12/'Output-Calculation-sheet'!S11*'Output-Calculation-sheet'!S20</f>
        <v>326.41569536328899</v>
      </c>
      <c r="T34" s="2">
        <f>T12/'Output-Calculation-sheet'!T11*'Output-Calculation-sheet'!T20</f>
        <v>274.73936096159235</v>
      </c>
      <c r="U34" s="2">
        <f>U12/'Output-Calculation-sheet'!U11*'Output-Calculation-sheet'!U20</f>
        <v>213.10950746675948</v>
      </c>
      <c r="V34" s="2">
        <f>V12/'Output-Calculation-sheet'!V11*'Output-Calculation-sheet'!V20</f>
        <v>204.66455908034578</v>
      </c>
      <c r="W34" s="2">
        <f>W12/'Output-Calculation-sheet'!W11*'Output-Calculation-sheet'!W20</f>
        <v>139.85454303928054</v>
      </c>
      <c r="X34" s="2">
        <f>X12/'Output-Calculation-sheet'!X11*'Output-Calculation-sheet'!X20</f>
        <v>0</v>
      </c>
      <c r="Y34" s="2">
        <f>Y12/'Output-Calculation-sheet'!Y11*'Output-Calculation-sheet'!Y20</f>
        <v>93.101264509743814</v>
      </c>
      <c r="AA34" s="2">
        <f t="shared" si="1"/>
        <v>25.135300448491144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2.8045060097980503</v>
      </c>
      <c r="C60" s="2">
        <f>C5*'Output-Calculation-sheet'!C49/10^9</f>
        <v>1.3259544535164083</v>
      </c>
      <c r="D60" s="2">
        <f>D5*'Output-Calculation-sheet'!D49/10^9</f>
        <v>0.61857936748993636</v>
      </c>
      <c r="E60" s="2">
        <f>E5*'Output-Calculation-sheet'!E49/10^9</f>
        <v>0.6869635561597881</v>
      </c>
      <c r="F60" s="2">
        <f>F5*'Output-Calculation-sheet'!F49/10^9</f>
        <v>0.31891814330989038</v>
      </c>
      <c r="G60" s="2">
        <f>G5*'Output-Calculation-sheet'!G49/10^9</f>
        <v>0.21966815651398988</v>
      </c>
      <c r="H60" s="2">
        <f>H5*'Output-Calculation-sheet'!H49/10^9</f>
        <v>0.41368755824314674</v>
      </c>
      <c r="I60" s="2">
        <f>I5*'Output-Calculation-sheet'!I49/10^9</f>
        <v>0.21686345053107561</v>
      </c>
      <c r="J60" s="2">
        <f>J5*'Output-Calculation-sheet'!J49/10^9</f>
        <v>0.19583560264183736</v>
      </c>
      <c r="K60" s="2">
        <f>K5*'Output-Calculation-sheet'!K49/10^9</f>
        <v>0.25243819539986856</v>
      </c>
      <c r="L60" s="2">
        <f>L5*'Output-Calculation-sheet'!L49/10^9</f>
        <v>0.20854476606842864</v>
      </c>
      <c r="M60" s="2">
        <f>M5*'Output-Calculation-sheet'!M49/10^9</f>
        <v>0.28540831602811251</v>
      </c>
      <c r="N60" s="2">
        <f>N5*'Output-Calculation-sheet'!N49/10^9</f>
        <v>0.29830401614355023</v>
      </c>
      <c r="O60" s="2">
        <f>O5*'Output-Calculation-sheet'!O49/10^9</f>
        <v>0.2576340831000849</v>
      </c>
      <c r="P60" s="2">
        <f>P5*'Output-Calculation-sheet'!P49/10^9</f>
        <v>0.21997365666771079</v>
      </c>
      <c r="Q60" s="2">
        <f>Q5*'Output-Calculation-sheet'!Q49/10^9</f>
        <v>0.22707699775083393</v>
      </c>
      <c r="R60" s="2">
        <f>R5*'Output-Calculation-sheet'!R49/10^9</f>
        <v>0.18198814314064132</v>
      </c>
      <c r="S60" s="2">
        <f>S5*'Output-Calculation-sheet'!S49/10^9</f>
        <v>0.16694544179122026</v>
      </c>
      <c r="T60" s="2">
        <f>T5*'Output-Calculation-sheet'!T49/10^9</f>
        <v>5.7096608885381983E-2</v>
      </c>
      <c r="U60" s="2">
        <f>U5*'Output-Calculation-sheet'!U49/10^9</f>
        <v>5.7057627665551475E-2</v>
      </c>
      <c r="V60" s="2">
        <f>V5*'Output-Calculation-sheet'!V49/10^9</f>
        <v>4.2725388729041171E-2</v>
      </c>
      <c r="W60" s="2">
        <f>W5*'Output-Calculation-sheet'!W49/10^9</f>
        <v>2.6788973476584255E-2</v>
      </c>
      <c r="X60" s="2">
        <f>X5*'Output-Calculation-sheet'!X49/10^9</f>
        <v>3.3720709740123311E-2</v>
      </c>
      <c r="Y60" s="2">
        <f>Y5*'Output-Calculation-sheet'!Y49/10^9</f>
        <v>2.2289120158863019E-2</v>
      </c>
      <c r="AA60" s="2">
        <f t="shared" ref="AA60:AA67" si="4">SUM(B60:Y60)</f>
        <v>9.1389683429501201</v>
      </c>
    </row>
    <row r="61" spans="1:27" x14ac:dyDescent="0.25">
      <c r="A61" s="2">
        <v>2029</v>
      </c>
      <c r="B61" s="2">
        <f>B6*'Output-Calculation-sheet'!B50/10^9</f>
        <v>3.7031698906246322</v>
      </c>
      <c r="C61" s="2">
        <f>C6*'Output-Calculation-sheet'!C50/10^9</f>
        <v>1.7630105506599874</v>
      </c>
      <c r="D61" s="2">
        <f>D6*'Output-Calculation-sheet'!D50/10^9</f>
        <v>0.81421415940860753</v>
      </c>
      <c r="E61" s="2">
        <f>E6*'Output-Calculation-sheet'!E50/10^9</f>
        <v>0.90494241563828626</v>
      </c>
      <c r="F61" s="2">
        <f>F6*'Output-Calculation-sheet'!F50/10^9</f>
        <v>0.41925576637267542</v>
      </c>
      <c r="G61" s="2">
        <f>G6*'Output-Calculation-sheet'!G50/10^9</f>
        <v>0.28917559484482275</v>
      </c>
      <c r="H61" s="2">
        <f>H6*'Output-Calculation-sheet'!H50/10^9</f>
        <v>0.54649910277415858</v>
      </c>
      <c r="I61" s="2">
        <f>I6*'Output-Calculation-sheet'!I50/10^9</f>
        <v>0.28544117575006561</v>
      </c>
      <c r="J61" s="2">
        <f>J6*'Output-Calculation-sheet'!J50/10^9</f>
        <v>0.25771898611489874</v>
      </c>
      <c r="K61" s="2">
        <f>K6*'Output-Calculation-sheet'!K50/10^9</f>
        <v>0.33238650648502827</v>
      </c>
      <c r="L61" s="2">
        <f>L6*'Output-Calculation-sheet'!L50/10^9</f>
        <v>0.27458780186349097</v>
      </c>
      <c r="M61" s="2">
        <f>M6*'Output-Calculation-sheet'!M50/10^9</f>
        <v>0.37753522083336333</v>
      </c>
      <c r="N61" s="2">
        <f>N6*'Output-Calculation-sheet'!N50/10^9</f>
        <v>0.39385778637615176</v>
      </c>
      <c r="O61" s="2">
        <f>O6*'Output-Calculation-sheet'!O50/10^9</f>
        <v>0.34255445615835461</v>
      </c>
      <c r="P61" s="2">
        <f>P6*'Output-Calculation-sheet'!P50/10^9</f>
        <v>0.29035680086364407</v>
      </c>
      <c r="Q61" s="2">
        <f>Q6*'Output-Calculation-sheet'!Q50/10^9</f>
        <v>0.29962714228859144</v>
      </c>
      <c r="R61" s="2">
        <f>R6*'Output-Calculation-sheet'!R50/10^9</f>
        <v>0.23991567388025165</v>
      </c>
      <c r="S61" s="2">
        <f>S6*'Output-Calculation-sheet'!S50/10^9</f>
        <v>0.22072553159794348</v>
      </c>
      <c r="T61" s="2">
        <f>T6*'Output-Calculation-sheet'!T50/10^9</f>
        <v>7.5161640567231819E-2</v>
      </c>
      <c r="U61" s="2">
        <f>U6*'Output-Calculation-sheet'!U50/10^9</f>
        <v>7.528708742904365E-2</v>
      </c>
      <c r="V61" s="2">
        <f>V6*'Output-Calculation-sheet'!V50/10^9</f>
        <v>5.6256070229625151E-2</v>
      </c>
      <c r="W61" s="2">
        <f>W6*'Output-Calculation-sheet'!W50/10^9</f>
        <v>3.5232391506464379E-2</v>
      </c>
      <c r="X61" s="2">
        <f>X6*'Output-Calculation-sheet'!X50/10^9</f>
        <v>4.4805125331980646E-2</v>
      </c>
      <c r="Y61" s="2">
        <f>Y6*'Output-Calculation-sheet'!Y50/10^9</f>
        <v>2.9382100351215738E-2</v>
      </c>
      <c r="AA61" s="2">
        <f t="shared" si="4"/>
        <v>12.07109897795052</v>
      </c>
    </row>
    <row r="62" spans="1:27" x14ac:dyDescent="0.25">
      <c r="A62" s="2">
        <v>2030</v>
      </c>
      <c r="B62" s="2">
        <f>B7*'Output-Calculation-sheet'!B51/10^9</f>
        <v>4.4884094630623457</v>
      </c>
      <c r="C62" s="2">
        <f>C7*'Output-Calculation-sheet'!C51/10^9</f>
        <v>2.1521482849536713</v>
      </c>
      <c r="D62" s="2">
        <f>D7*'Output-Calculation-sheet'!D51/10^9</f>
        <v>0.98377084100650103</v>
      </c>
      <c r="E62" s="2">
        <f>E7*'Output-Calculation-sheet'!E51/10^9</f>
        <v>1.0942222697771222</v>
      </c>
      <c r="F62" s="2">
        <f>F7*'Output-Calculation-sheet'!F51/10^9</f>
        <v>0.50591376402960908</v>
      </c>
      <c r="G62" s="2">
        <f>G7*'Output-Calculation-sheet'!G51/10^9</f>
        <v>0.34944181661793161</v>
      </c>
      <c r="H62" s="2">
        <f>H7*'Output-Calculation-sheet'!H51/10^9</f>
        <v>0.66153730334136052</v>
      </c>
      <c r="I62" s="2">
        <f>I7*'Output-Calculation-sheet'!I51/10^9</f>
        <v>0.34486243670413541</v>
      </c>
      <c r="J62" s="2">
        <f>J7*'Output-Calculation-sheet'!J51/10^9</f>
        <v>0.31132257992946577</v>
      </c>
      <c r="K62" s="2">
        <f>K7*'Output-Calculation-sheet'!K51/10^9</f>
        <v>0.40172277118292637</v>
      </c>
      <c r="L62" s="2">
        <f>L7*'Output-Calculation-sheet'!L51/10^9</f>
        <v>0.33186056311038786</v>
      </c>
      <c r="M62" s="2">
        <f>M7*'Output-Calculation-sheet'!M51/10^9</f>
        <v>0.45701324561549239</v>
      </c>
      <c r="N62" s="2">
        <f>N7*'Output-Calculation-sheet'!N51/10^9</f>
        <v>0.4768513108285613</v>
      </c>
      <c r="O62" s="2">
        <f>O7*'Output-Calculation-sheet'!O51/10^9</f>
        <v>0.41816425037754734</v>
      </c>
      <c r="P62" s="2">
        <f>P7*'Output-Calculation-sheet'!P51/10^9</f>
        <v>0.35180104679724972</v>
      </c>
      <c r="Q62" s="2">
        <f>Q7*'Output-Calculation-sheet'!Q51/10^9</f>
        <v>0.36287945062596999</v>
      </c>
      <c r="R62" s="2">
        <f>R7*'Output-Calculation-sheet'!R51/10^9</f>
        <v>0.29032127838575</v>
      </c>
      <c r="S62" s="2">
        <f>S7*'Output-Calculation-sheet'!S51/10^9</f>
        <v>0.26774824518310003</v>
      </c>
      <c r="T62" s="2">
        <f>T7*'Output-Calculation-sheet'!T51/10^9</f>
        <v>9.0820429531965549E-2</v>
      </c>
      <c r="U62" s="2">
        <f>U7*'Output-Calculation-sheet'!U51/10^9</f>
        <v>9.1189437929120501E-2</v>
      </c>
      <c r="V62" s="2">
        <f>V7*'Output-Calculation-sheet'!V51/10^9</f>
        <v>6.7988381279975724E-2</v>
      </c>
      <c r="W62" s="2">
        <f>W7*'Output-Calculation-sheet'!W51/10^9</f>
        <v>4.2531582853239554E-2</v>
      </c>
      <c r="X62" s="2">
        <f>X7*'Output-Calculation-sheet'!X51/10^9</f>
        <v>5.4293259396151906E-2</v>
      </c>
      <c r="Y62" s="2">
        <f>Y7*'Output-Calculation-sheet'!Y51/10^9</f>
        <v>3.5553666933703897E-2</v>
      </c>
      <c r="AA62" s="2">
        <f t="shared" si="4"/>
        <v>14.632367679453283</v>
      </c>
    </row>
    <row r="63" spans="1:27" x14ac:dyDescent="0.25">
      <c r="A63" s="2">
        <v>2031</v>
      </c>
      <c r="B63" s="2">
        <f>B8*'Output-Calculation-sheet'!B52/10^9</f>
        <v>4.9844367991320642</v>
      </c>
      <c r="C63" s="2">
        <f>C8*'Output-Calculation-sheet'!C52/10^9</f>
        <v>2.398403424304</v>
      </c>
      <c r="D63" s="2">
        <f>D8*'Output-Calculation-sheet'!D52/10^9</f>
        <v>1.0908343793552016</v>
      </c>
      <c r="E63" s="2">
        <f>E8*'Output-Calculation-sheet'!E52/10^9</f>
        <v>1.2137433763368111</v>
      </c>
      <c r="F63" s="2">
        <f>F8*'Output-Calculation-sheet'!F52/10^9</f>
        <v>0.56061775128398594</v>
      </c>
      <c r="G63" s="2">
        <f>G8*'Output-Calculation-sheet'!G52/10^9</f>
        <v>0.38750237915009567</v>
      </c>
      <c r="H63" s="2">
        <f>H8*'Output-Calculation-sheet'!H52/10^9</f>
        <v>0.73069311162960704</v>
      </c>
      <c r="I63" s="2">
        <f>I8*'Output-Calculation-sheet'!I52/10^9</f>
        <v>0.38238006108955569</v>
      </c>
      <c r="J63" s="2">
        <f>J8*'Output-Calculation-sheet'!J52/10^9</f>
        <v>0.34516890659231603</v>
      </c>
      <c r="K63" s="2">
        <f>K8*'Output-Calculation-sheet'!K52/10^9</f>
        <v>0.44549852515493382</v>
      </c>
      <c r="L63" s="2">
        <f>L8*'Output-Calculation-sheet'!L52/10^9</f>
        <v>0.36802213748293983</v>
      </c>
      <c r="M63" s="2">
        <f>M8*'Output-Calculation-sheet'!M52/10^9</f>
        <v>0.50482352369037642</v>
      </c>
      <c r="N63" s="2">
        <f>N8*'Output-Calculation-sheet'!N52/10^9</f>
        <v>0.52764029763657494</v>
      </c>
      <c r="O63" s="2">
        <f>O8*'Output-Calculation-sheet'!O52/10^9</f>
        <v>0.46601183433260246</v>
      </c>
      <c r="P63" s="2">
        <f>P8*'Output-Calculation-sheet'!P52/10^9</f>
        <v>0.39061326535352631</v>
      </c>
      <c r="Q63" s="2">
        <f>Q8*'Output-Calculation-sheet'!Q52/10^9</f>
        <v>0.40282256878659489</v>
      </c>
      <c r="R63" s="2">
        <f>R8*'Output-Calculation-sheet'!R52/10^9</f>
        <v>0.32215345560827441</v>
      </c>
      <c r="S63" s="2">
        <f>S8*'Output-Calculation-sheet'!S52/10^9</f>
        <v>0.29697005796310727</v>
      </c>
      <c r="T63" s="2">
        <f>T8*'Output-Calculation-sheet'!T52/10^9</f>
        <v>0.10070664472677113</v>
      </c>
      <c r="U63" s="2">
        <f>U8*'Output-Calculation-sheet'!U52/10^9</f>
        <v>0.10123507442831681</v>
      </c>
      <c r="V63" s="2">
        <f>V8*'Output-Calculation-sheet'!V52/10^9</f>
        <v>7.5395903021645519E-2</v>
      </c>
      <c r="W63" s="2">
        <f>W8*'Output-Calculation-sheet'!W52/10^9</f>
        <v>4.7139398962904498E-2</v>
      </c>
      <c r="X63" s="2">
        <f>X8*'Output-Calculation-sheet'!X52/10^9</f>
        <v>6.0032617921092622E-2</v>
      </c>
      <c r="Y63" s="2">
        <f>Y8*'Output-Calculation-sheet'!Y52/10^9</f>
        <v>3.9451111372719012E-2</v>
      </c>
      <c r="AA63" s="2">
        <f t="shared" si="4"/>
        <v>16.242296605316024</v>
      </c>
    </row>
    <row r="64" spans="1:27" x14ac:dyDescent="0.25">
      <c r="A64" s="2">
        <v>2032</v>
      </c>
      <c r="B64" s="2">
        <f>B9*'Output-Calculation-sheet'!B53/10^9</f>
        <v>4.9574419283904758</v>
      </c>
      <c r="C64" s="2">
        <f>C9*'Output-Calculation-sheet'!C53/10^9</f>
        <v>2.3939450948079299</v>
      </c>
      <c r="D64" s="2">
        <f>D9*'Output-Calculation-sheet'!D53/10^9</f>
        <v>1.0832861420186755</v>
      </c>
      <c r="E64" s="2">
        <f>E9*'Output-Calculation-sheet'!E53/10^9</f>
        <v>1.2057775259971664</v>
      </c>
      <c r="F64" s="2">
        <f>F9*'Output-Calculation-sheet'!F53/10^9</f>
        <v>0.55638077763762406</v>
      </c>
      <c r="G64" s="2">
        <f>G9*'Output-Calculation-sheet'!G53/10^9</f>
        <v>0.38485607430799657</v>
      </c>
      <c r="H64" s="2">
        <f>H9*'Output-Calculation-sheet'!H53/10^9</f>
        <v>0.72258970999760275</v>
      </c>
      <c r="I64" s="2">
        <f>I9*'Output-Calculation-sheet'!I53/10^9</f>
        <v>0.37971800707767756</v>
      </c>
      <c r="J64" s="2">
        <f>J9*'Output-Calculation-sheet'!J53/10^9</f>
        <v>0.342746008626719</v>
      </c>
      <c r="K64" s="2">
        <f>K9*'Output-Calculation-sheet'!K53/10^9</f>
        <v>0.44246830210874694</v>
      </c>
      <c r="L64" s="2">
        <f>L9*'Output-Calculation-sheet'!L53/10^9</f>
        <v>0.36551979544337493</v>
      </c>
      <c r="M64" s="2">
        <f>M9*'Output-Calculation-sheet'!M53/10^9</f>
        <v>0.49924940276066332</v>
      </c>
      <c r="N64" s="2">
        <f>N9*'Output-Calculation-sheet'!N53/10^9</f>
        <v>0.52248508098975077</v>
      </c>
      <c r="O64" s="2">
        <f>O9*'Output-Calculation-sheet'!O53/10^9</f>
        <v>0.46514557710270138</v>
      </c>
      <c r="P64" s="2">
        <f>P9*'Output-Calculation-sheet'!P53/10^9</f>
        <v>0.38842950275302152</v>
      </c>
      <c r="Q64" s="2">
        <f>Q9*'Output-Calculation-sheet'!Q53/10^9</f>
        <v>0.40047615500601963</v>
      </c>
      <c r="R64" s="2">
        <f>R9*'Output-Calculation-sheet'!R53/10^9</f>
        <v>0.32016240950095104</v>
      </c>
      <c r="S64" s="2">
        <f>S9*'Output-Calculation-sheet'!S53/10^9</f>
        <v>0.29464058458287723</v>
      </c>
      <c r="T64" s="2">
        <f>T9*'Output-Calculation-sheet'!T53/10^9</f>
        <v>0.10001182056496545</v>
      </c>
      <c r="U64" s="2">
        <f>U9*'Output-Calculation-sheet'!U53/10^9</f>
        <v>0.10065621377578489</v>
      </c>
      <c r="V64" s="2">
        <f>V9*'Output-Calculation-sheet'!V53/10^9</f>
        <v>7.4881445700771945E-2</v>
      </c>
      <c r="W64" s="2">
        <f>W9*'Output-Calculation-sheet'!W53/10^9</f>
        <v>4.6792292501918922E-2</v>
      </c>
      <c r="X64" s="2">
        <f>X9*'Output-Calculation-sheet'!X53/10^9</f>
        <v>5.9427029136608911E-2</v>
      </c>
      <c r="Y64" s="2">
        <f>Y9*'Output-Calculation-sheet'!Y53/10^9</f>
        <v>3.9206089503834335E-2</v>
      </c>
      <c r="AA64" s="2">
        <f t="shared" si="4"/>
        <v>16.14629297029386</v>
      </c>
    </row>
    <row r="65" spans="1:27" x14ac:dyDescent="0.25">
      <c r="A65" s="2">
        <v>2033</v>
      </c>
      <c r="B65" s="2">
        <f>B10*'Output-Calculation-sheet'!B54/10^9</f>
        <v>4.5215729636006117</v>
      </c>
      <c r="C65" s="2">
        <f>C10*'Output-Calculation-sheet'!C54/10^9</f>
        <v>2.1888487188183201</v>
      </c>
      <c r="D65" s="2">
        <f>D10*'Output-Calculation-sheet'!D54/10^9</f>
        <v>0.98756737926858484</v>
      </c>
      <c r="E65" s="2">
        <f>E10*'Output-Calculation-sheet'!E54/10^9</f>
        <v>1.0996301261462766</v>
      </c>
      <c r="F65" s="2">
        <f>F10*'Output-Calculation-sheet'!F54/10^9</f>
        <v>0.50688979083315866</v>
      </c>
      <c r="G65" s="2">
        <f>G10*'Output-Calculation-sheet'!G54/10^9</f>
        <v>0.35088379028227101</v>
      </c>
      <c r="H65" s="2">
        <f>H10*'Output-Calculation-sheet'!H54/10^9</f>
        <v>0.65575638098321676</v>
      </c>
      <c r="I65" s="2">
        <f>I10*'Output-Calculation-sheet'!I54/10^9</f>
        <v>0.34615133545771115</v>
      </c>
      <c r="J65" s="2">
        <f>J10*'Output-Calculation-sheet'!J54/10^9</f>
        <v>0.31242949710518203</v>
      </c>
      <c r="K65" s="2">
        <f>K10*'Output-Calculation-sheet'!K54/10^9</f>
        <v>0.4034155712942985</v>
      </c>
      <c r="L65" s="2">
        <f>L10*'Output-Calculation-sheet'!L54/10^9</f>
        <v>0.33326101886993797</v>
      </c>
      <c r="M65" s="2">
        <f>M10*'Output-Calculation-sheet'!M54/10^9</f>
        <v>0.45309285487173784</v>
      </c>
      <c r="N65" s="2">
        <f>N10*'Output-Calculation-sheet'!N54/10^9</f>
        <v>0.47468258705878974</v>
      </c>
      <c r="O65" s="2">
        <f>O10*'Output-Calculation-sheet'!O54/10^9</f>
        <v>0.42622726602528443</v>
      </c>
      <c r="P65" s="2">
        <f>P10*'Output-Calculation-sheet'!P54/10^9</f>
        <v>0.35457759486314144</v>
      </c>
      <c r="Q65" s="2">
        <f>Q10*'Output-Calculation-sheet'!Q54/10^9</f>
        <v>0.36548555923087434</v>
      </c>
      <c r="R65" s="2">
        <f>R10*'Output-Calculation-sheet'!R54/10^9</f>
        <v>0.29208954222865285</v>
      </c>
      <c r="S65" s="2">
        <f>S10*'Output-Calculation-sheet'!S54/10^9</f>
        <v>0.26811773808688555</v>
      </c>
      <c r="T65" s="2">
        <f>T10*'Output-Calculation-sheet'!T54/10^9</f>
        <v>9.1176000087196118E-2</v>
      </c>
      <c r="U65" s="2">
        <f>U10*'Output-Calculation-sheet'!U54/10^9</f>
        <v>9.1873629040940388E-2</v>
      </c>
      <c r="V65" s="2">
        <f>V10*'Output-Calculation-sheet'!V54/10^9</f>
        <v>6.8270364749596565E-2</v>
      </c>
      <c r="W65" s="2">
        <f>W10*'Output-Calculation-sheet'!W54/10^9</f>
        <v>4.2638191428039832E-2</v>
      </c>
      <c r="X65" s="2">
        <f>X10*'Output-Calculation-sheet'!X54/10^9</f>
        <v>5.3982976727358654E-2</v>
      </c>
      <c r="Y65" s="2">
        <f>Y10*'Output-Calculation-sheet'!Y54/10^9</f>
        <v>3.5767500579138953E-2</v>
      </c>
      <c r="AA65" s="2">
        <f t="shared" si="4"/>
        <v>14.724388377637204</v>
      </c>
    </row>
    <row r="66" spans="1:27" x14ac:dyDescent="0.25">
      <c r="A66" s="2">
        <v>2034</v>
      </c>
      <c r="B66" s="2">
        <f>B11*'Output-Calculation-sheet'!B55/10^9</f>
        <v>3.7780237615927481</v>
      </c>
      <c r="C66" s="2">
        <f>C11*'Output-Calculation-sheet'!C55/10^9</f>
        <v>1.8253377324246043</v>
      </c>
      <c r="D66" s="2">
        <f>D11*'Output-Calculation-sheet'!D55/10^9</f>
        <v>0.8260736839969528</v>
      </c>
      <c r="E66" s="2">
        <f>E11*'Output-Calculation-sheet'!E55/10^9</f>
        <v>0.92014050574551587</v>
      </c>
      <c r="F66" s="2">
        <f>F11*'Output-Calculation-sheet'!F55/10^9</f>
        <v>0.42371946722347276</v>
      </c>
      <c r="G66" s="2">
        <f>G11*'Output-Calculation-sheet'!G55/10^9</f>
        <v>0.29353294555470105</v>
      </c>
      <c r="H66" s="2">
        <f>H11*'Output-Calculation-sheet'!H55/10^9</f>
        <v>0.54584093892942986</v>
      </c>
      <c r="I66" s="2">
        <f>I11*'Output-Calculation-sheet'!I55/10^9</f>
        <v>0.28953067973313107</v>
      </c>
      <c r="J66" s="2">
        <f>J11*'Output-Calculation-sheet'!J55/10^9</f>
        <v>0.26131276002540976</v>
      </c>
      <c r="K66" s="2">
        <f>K11*'Output-Calculation-sheet'!K55/10^9</f>
        <v>0.33747771450150288</v>
      </c>
      <c r="L66" s="2">
        <f>L11*'Output-Calculation-sheet'!L55/10^9</f>
        <v>0.27879418073479251</v>
      </c>
      <c r="M66" s="2">
        <f>M11*'Output-Calculation-sheet'!M55/10^9</f>
        <v>0.37716344168087979</v>
      </c>
      <c r="N66" s="2">
        <f>N11*'Output-Calculation-sheet'!N55/10^9</f>
        <v>0.39548700734195918</v>
      </c>
      <c r="O66" s="2">
        <f>O11*'Output-Calculation-sheet'!O55/10^9</f>
        <v>0.35837919464162099</v>
      </c>
      <c r="P66" s="2">
        <f>P11*'Output-Calculation-sheet'!P55/10^9</f>
        <v>0.29698475176720374</v>
      </c>
      <c r="Q66" s="2">
        <f>Q11*'Output-Calculation-sheet'!Q55/10^9</f>
        <v>0.30604318129559643</v>
      </c>
      <c r="R66" s="2">
        <f>R11*'Output-Calculation-sheet'!R55/10^9</f>
        <v>0.2445057490186951</v>
      </c>
      <c r="S66" s="2">
        <f>S11*'Output-Calculation-sheet'!S55/10^9</f>
        <v>0.22369334498140422</v>
      </c>
      <c r="T66" s="2">
        <f>T11*'Output-Calculation-sheet'!T55/10^9</f>
        <v>7.6266757414830133E-2</v>
      </c>
      <c r="U66" s="2">
        <f>U11*'Output-Calculation-sheet'!U55/10^9</f>
        <v>7.6943336965979686E-2</v>
      </c>
      <c r="V66" s="2">
        <f>V11*'Output-Calculation-sheet'!V55/10^9</f>
        <v>5.710998475644944E-2</v>
      </c>
      <c r="W66" s="2">
        <f>W11*'Output-Calculation-sheet'!W55/10^9</f>
        <v>3.5649232615736097E-2</v>
      </c>
      <c r="X66" s="2">
        <f>X11*'Output-Calculation-sheet'!X55/10^9</f>
        <v>4.4979211741648907E-2</v>
      </c>
      <c r="Y66" s="2">
        <f>Y11*'Output-Calculation-sheet'!Y55/10^9</f>
        <v>2.994008725150624E-2</v>
      </c>
      <c r="AA66" s="2">
        <f t="shared" si="4"/>
        <v>12.30292965193577</v>
      </c>
    </row>
    <row r="67" spans="1:27" x14ac:dyDescent="0.25">
      <c r="A67" s="2">
        <v>2035</v>
      </c>
      <c r="B67" s="2">
        <f>B12*'Output-Calculation-sheet'!B56/10^9</f>
        <v>2.8548184569518948</v>
      </c>
      <c r="C67" s="2">
        <f>C12*'Output-Calculation-sheet'!C56/10^9</f>
        <v>1.3773860587895592</v>
      </c>
      <c r="D67" s="2">
        <f>D12*'Output-Calculation-sheet'!D56/10^9</f>
        <v>0.6255509821836629</v>
      </c>
      <c r="E67" s="2">
        <f>E12*'Output-Calculation-sheet'!E56/10^9</f>
        <v>0.69703253586007574</v>
      </c>
      <c r="F67" s="2">
        <f>F12*'Output-Calculation-sheet'!F56/10^9</f>
        <v>0.32064984635739197</v>
      </c>
      <c r="G67" s="2">
        <f>G12*'Output-Calculation-sheet'!G56/10^9</f>
        <v>0.22230522944971687</v>
      </c>
      <c r="H67" s="2">
        <f>H12*'Output-Calculation-sheet'!H56/10^9</f>
        <v>0.41117303973036523</v>
      </c>
      <c r="I67" s="2">
        <f>I12*'Output-Calculation-sheet'!I56/10^9</f>
        <v>0.2192361906091059</v>
      </c>
      <c r="J67" s="2">
        <f>J12*'Output-Calculation-sheet'!J56/10^9</f>
        <v>0.1978631010686783</v>
      </c>
      <c r="K67" s="2">
        <f>K12*'Output-Calculation-sheet'!K56/10^9</f>
        <v>0.25558040130812387</v>
      </c>
      <c r="L67" s="2">
        <f>L12*'Output-Calculation-sheet'!L56/10^9</f>
        <v>0.21114326413935325</v>
      </c>
      <c r="M67" s="2">
        <f>M12*'Output-Calculation-sheet'!M56/10^9</f>
        <v>0.28412344691189867</v>
      </c>
      <c r="N67" s="2">
        <f>N12*'Output-Calculation-sheet'!N56/10^9</f>
        <v>0.29819037043633506</v>
      </c>
      <c r="O67" s="2">
        <f>O12*'Output-Calculation-sheet'!O56/10^9</f>
        <v>0.27122701790020182</v>
      </c>
      <c r="P67" s="2">
        <f>P12*'Output-Calculation-sheet'!P56/10^9</f>
        <v>0.22518774376188147</v>
      </c>
      <c r="Q67" s="2">
        <f>Q12*'Output-Calculation-sheet'!Q56/10^9</f>
        <v>0.23198997725773091</v>
      </c>
      <c r="R67" s="2">
        <f>R12*'Output-Calculation-sheet'!R56/10^9</f>
        <v>0.18529033070963813</v>
      </c>
      <c r="S67" s="2">
        <f>S12*'Output-Calculation-sheet'!S56/10^9</f>
        <v>0.16885257505877466</v>
      </c>
      <c r="T67" s="2">
        <f>T12*'Output-Calculation-sheet'!T56/10^9</f>
        <v>5.7753960068363107E-2</v>
      </c>
      <c r="U67" s="2">
        <f>U12*'Output-Calculation-sheet'!U56/10^9</f>
        <v>5.8337091187049279E-2</v>
      </c>
      <c r="V67" s="2">
        <f>V12*'Output-Calculation-sheet'!V56/10^9</f>
        <v>4.3248781955389087E-2</v>
      </c>
      <c r="W67" s="2">
        <f>W12*'Output-Calculation-sheet'!W56/10^9</f>
        <v>2.6983116209166994E-2</v>
      </c>
      <c r="X67" s="2">
        <f>X12*'Output-Calculation-sheet'!X56/10^9</f>
        <v>3.3914216213198699E-2</v>
      </c>
      <c r="Y67" s="2">
        <f>Y12*'Output-Calculation-sheet'!Y56/10^9</f>
        <v>2.2688764390083202E-2</v>
      </c>
      <c r="AA67" s="2">
        <f t="shared" si="4"/>
        <v>9.3005264985076384</v>
      </c>
    </row>
    <row r="68" spans="1:27" x14ac:dyDescent="0.25">
      <c r="B68" s="2">
        <f>SUM(B60:B67)</f>
        <v>32.092379273152822</v>
      </c>
      <c r="C68" s="2">
        <f t="shared" ref="C68:Y68" si="5">SUM(C60:C67)</f>
        <v>15.425034318274481</v>
      </c>
      <c r="D68" s="2">
        <f t="shared" si="5"/>
        <v>7.0298769347281223</v>
      </c>
      <c r="E68" s="2">
        <f t="shared" si="5"/>
        <v>7.822452311661042</v>
      </c>
      <c r="F68" s="2">
        <f t="shared" si="5"/>
        <v>3.6123453070478084</v>
      </c>
      <c r="G68" s="2">
        <f t="shared" si="5"/>
        <v>2.4973659867215257</v>
      </c>
      <c r="H68" s="2">
        <f t="shared" si="5"/>
        <v>4.6877771456288881</v>
      </c>
      <c r="I68" s="2">
        <f t="shared" si="5"/>
        <v>2.4641833369524582</v>
      </c>
      <c r="J68" s="2">
        <f t="shared" si="5"/>
        <v>2.224397442104507</v>
      </c>
      <c r="K68" s="2">
        <f t="shared" si="5"/>
        <v>2.8709879874354289</v>
      </c>
      <c r="L68" s="2">
        <f t="shared" si="5"/>
        <v>2.3717335277127058</v>
      </c>
      <c r="M68" s="2">
        <f t="shared" si="5"/>
        <v>3.2384094523925242</v>
      </c>
      <c r="N68" s="2">
        <f t="shared" si="5"/>
        <v>3.3874984568116728</v>
      </c>
      <c r="O68" s="2">
        <f t="shared" si="5"/>
        <v>3.0053436796383979</v>
      </c>
      <c r="P68" s="2">
        <f t="shared" si="5"/>
        <v>2.5179243628273791</v>
      </c>
      <c r="Q68" s="2">
        <f t="shared" si="5"/>
        <v>2.5964010322422117</v>
      </c>
      <c r="R68" s="2">
        <f t="shared" si="5"/>
        <v>2.0764265824728545</v>
      </c>
      <c r="S68" s="2">
        <f t="shared" si="5"/>
        <v>1.9076935192453126</v>
      </c>
      <c r="T68" s="2">
        <f t="shared" si="5"/>
        <v>0.64899386184670527</v>
      </c>
      <c r="U68" s="2">
        <f t="shared" si="5"/>
        <v>0.65257949842178664</v>
      </c>
      <c r="V68" s="2">
        <f t="shared" si="5"/>
        <v>0.48587632042249462</v>
      </c>
      <c r="W68" s="2">
        <f t="shared" si="5"/>
        <v>0.30375517955405451</v>
      </c>
      <c r="X68" s="2">
        <f t="shared" si="5"/>
        <v>0.38515514620816366</v>
      </c>
      <c r="Y68" s="2">
        <f t="shared" si="5"/>
        <v>0.25427844054106435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6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6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5566663440.2338829</v>
      </c>
      <c r="C93" s="2">
        <f>C5/'Output-Calculation-sheet'!C4*'Output-Calculation-sheet'!C76</f>
        <v>0</v>
      </c>
      <c r="D93" s="2">
        <f>D5/'Output-Calculation-sheet'!D4*'Output-Calculation-sheet'!D76</f>
        <v>3644088928.1400652</v>
      </c>
      <c r="E93" s="2">
        <f>E5/'Output-Calculation-sheet'!E4*'Output-Calculation-sheet'!E76</f>
        <v>5320964596.9471331</v>
      </c>
      <c r="F93" s="2">
        <f>F5/'Output-Calculation-sheet'!F4*'Output-Calculation-sheet'!F76</f>
        <v>2665170083.9234376</v>
      </c>
      <c r="G93" s="2">
        <f>G5/'Output-Calculation-sheet'!G4*'Output-Calculation-sheet'!G76</f>
        <v>2036541949.9149132</v>
      </c>
      <c r="H93" s="2">
        <f>H5/'Output-Calculation-sheet'!H4*'Output-Calculation-sheet'!H76</f>
        <v>0</v>
      </c>
      <c r="I93" s="2">
        <f>I5/'Output-Calculation-sheet'!I4*'Output-Calculation-sheet'!I76</f>
        <v>1383527797.5373662</v>
      </c>
      <c r="J93" s="2">
        <f>J5/'Output-Calculation-sheet'!J4*'Output-Calculation-sheet'!J76</f>
        <v>992640434.74279273</v>
      </c>
      <c r="K93" s="2">
        <f>K5/'Output-Calculation-sheet'!K4*'Output-Calculation-sheet'!K76</f>
        <v>1249698742.4550951</v>
      </c>
      <c r="L93" s="2">
        <f>L5/'Output-Calculation-sheet'!L4*'Output-Calculation-sheet'!L76</f>
        <v>824105189.10299039</v>
      </c>
      <c r="M93" s="2">
        <f>M5/'Output-Calculation-sheet'!M4*'Output-Calculation-sheet'!M76</f>
        <v>0</v>
      </c>
      <c r="N93" s="2">
        <f>N5/'Output-Calculation-sheet'!N4*'Output-Calculation-sheet'!N76</f>
        <v>390114481.30187786</v>
      </c>
      <c r="O93" s="2">
        <f>O5/'Output-Calculation-sheet'!O4*'Output-Calculation-sheet'!O76</f>
        <v>0</v>
      </c>
      <c r="P93" s="2">
        <f>P5/'Output-Calculation-sheet'!P4*'Output-Calculation-sheet'!P76</f>
        <v>1026970288.4571153</v>
      </c>
      <c r="Q93" s="2">
        <f>Q5/'Output-Calculation-sheet'!Q4*'Output-Calculation-sheet'!Q76</f>
        <v>461686922.25797492</v>
      </c>
      <c r="R93" s="2">
        <f>R5/'Output-Calculation-sheet'!R4*'Output-Calculation-sheet'!R76</f>
        <v>736803335.5207516</v>
      </c>
      <c r="S93" s="2">
        <f>S5/'Output-Calculation-sheet'!S4*'Output-Calculation-sheet'!S76</f>
        <v>244118885.78916904</v>
      </c>
      <c r="T93" s="2">
        <f>T5/'Output-Calculation-sheet'!T4*'Output-Calculation-sheet'!T76</f>
        <v>395917012.50400376</v>
      </c>
      <c r="U93" s="2">
        <f>U5/'Output-Calculation-sheet'!U4*'Output-Calculation-sheet'!U76</f>
        <v>206481425.89659199</v>
      </c>
      <c r="V93" s="2">
        <f>V5/'Output-Calculation-sheet'!V4*'Output-Calculation-sheet'!V76</f>
        <v>123534093.16394548</v>
      </c>
      <c r="W93" s="2">
        <f>W5/'Output-Calculation-sheet'!W4*'Output-Calculation-sheet'!W76</f>
        <v>411672556.32170188</v>
      </c>
      <c r="X93" s="2">
        <f>X5/'Output-Calculation-sheet'!X4*'Output-Calculation-sheet'!X76</f>
        <v>0</v>
      </c>
      <c r="Y93" s="2">
        <f>Y5/'Output-Calculation-sheet'!Y4*'Output-Calculation-sheet'!Y76</f>
        <v>172627257.38299939</v>
      </c>
      <c r="AA93" s="2">
        <f t="shared" ref="AA93:AA100" si="8">SUM(B93:Y93)/10^9</f>
        <v>27.853327421593804</v>
      </c>
    </row>
    <row r="94" spans="1:27" x14ac:dyDescent="0.25">
      <c r="A94" s="2">
        <v>2029</v>
      </c>
      <c r="B94" s="2">
        <f>B6/'Output-Calculation-sheet'!B5*'Output-Calculation-sheet'!B77</f>
        <v>7390499990.4951048</v>
      </c>
      <c r="C94" s="2">
        <f>C6/'Output-Calculation-sheet'!C5*'Output-Calculation-sheet'!C77</f>
        <v>0</v>
      </c>
      <c r="D94" s="2">
        <f>D6/'Output-Calculation-sheet'!D5*'Output-Calculation-sheet'!D77</f>
        <v>4768811915.8121033</v>
      </c>
      <c r="E94" s="2">
        <f>E6/'Output-Calculation-sheet'!E5*'Output-Calculation-sheet'!E77</f>
        <v>7108132802.5353241</v>
      </c>
      <c r="F94" s="2">
        <f>F6/'Output-Calculation-sheet'!F5*'Output-Calculation-sheet'!F77</f>
        <v>3484468954.1755366</v>
      </c>
      <c r="G94" s="2">
        <f>G6/'Output-Calculation-sheet'!G5*'Output-Calculation-sheet'!G77</f>
        <v>2697026053.5102057</v>
      </c>
      <c r="H94" s="2">
        <f>H6/'Output-Calculation-sheet'!H5*'Output-Calculation-sheet'!H77</f>
        <v>659615809.8443917</v>
      </c>
      <c r="I94" s="2">
        <f>I6/'Output-Calculation-sheet'!I5*'Output-Calculation-sheet'!I77</f>
        <v>1806968078.5354779</v>
      </c>
      <c r="J94" s="2">
        <f>J6/'Output-Calculation-sheet'!J5*'Output-Calculation-sheet'!J77</f>
        <v>1310033775.0364845</v>
      </c>
      <c r="K94" s="2">
        <f>K6/'Output-Calculation-sheet'!K5*'Output-Calculation-sheet'!K77</f>
        <v>1633413302.8018677</v>
      </c>
      <c r="L94" s="2">
        <f>L6/'Output-Calculation-sheet'!L5*'Output-Calculation-sheet'!L77</f>
        <v>1089396615.325907</v>
      </c>
      <c r="M94" s="2">
        <f>M6/'Output-Calculation-sheet'!M5*'Output-Calculation-sheet'!M77</f>
        <v>479774816.48526299</v>
      </c>
      <c r="N94" s="2">
        <f>N6/'Output-Calculation-sheet'!N5*'Output-Calculation-sheet'!N77</f>
        <v>565586042.10113823</v>
      </c>
      <c r="O94" s="2">
        <f>O6/'Output-Calculation-sheet'!O5*'Output-Calculation-sheet'!O77</f>
        <v>0</v>
      </c>
      <c r="P94" s="2">
        <f>P6/'Output-Calculation-sheet'!P5*'Output-Calculation-sheet'!P77</f>
        <v>1368604972.8951106</v>
      </c>
      <c r="Q94" s="2">
        <f>Q6/'Output-Calculation-sheet'!Q5*'Output-Calculation-sheet'!Q77</f>
        <v>623431525.90291893</v>
      </c>
      <c r="R94" s="2">
        <f>R6/'Output-Calculation-sheet'!R5*'Output-Calculation-sheet'!R77</f>
        <v>972450981.59025025</v>
      </c>
      <c r="S94" s="2">
        <f>S6/'Output-Calculation-sheet'!S5*'Output-Calculation-sheet'!S77</f>
        <v>328306930.23995799</v>
      </c>
      <c r="T94" s="2">
        <f>T6/'Output-Calculation-sheet'!T5*'Output-Calculation-sheet'!T77</f>
        <v>520316988.28541851</v>
      </c>
      <c r="U94" s="2">
        <f>U6/'Output-Calculation-sheet'!U5*'Output-Calculation-sheet'!U77</f>
        <v>265735605.8273018</v>
      </c>
      <c r="V94" s="2">
        <f>V6/'Output-Calculation-sheet'!V5*'Output-Calculation-sheet'!V77</f>
        <v>159035168.48927408</v>
      </c>
      <c r="W94" s="2">
        <f>W6/'Output-Calculation-sheet'!W5*'Output-Calculation-sheet'!W77</f>
        <v>547068202.39999545</v>
      </c>
      <c r="X94" s="2">
        <f>X6/'Output-Calculation-sheet'!X5*'Output-Calculation-sheet'!X77</f>
        <v>44743117.817296967</v>
      </c>
      <c r="Y94" s="2">
        <f>Y6/'Output-Calculation-sheet'!Y5*'Output-Calculation-sheet'!Y77</f>
        <v>230739516.93973136</v>
      </c>
      <c r="AA94" s="2">
        <f t="shared" si="8"/>
        <v>38.054161167046054</v>
      </c>
    </row>
    <row r="95" spans="1:27" x14ac:dyDescent="0.25">
      <c r="A95" s="2">
        <v>2030</v>
      </c>
      <c r="B95" s="2">
        <f>B7/'Output-Calculation-sheet'!B6*'Output-Calculation-sheet'!B78</f>
        <v>8988052881.553339</v>
      </c>
      <c r="C95" s="2">
        <f>C7/'Output-Calculation-sheet'!C6*'Output-Calculation-sheet'!C78</f>
        <v>0</v>
      </c>
      <c r="D95" s="2">
        <f>D7/'Output-Calculation-sheet'!D6*'Output-Calculation-sheet'!D78</f>
        <v>5732735025.2938633</v>
      </c>
      <c r="E95" s="2">
        <f>E7/'Output-Calculation-sheet'!E6*'Output-Calculation-sheet'!E78</f>
        <v>8713089634.6454163</v>
      </c>
      <c r="F95" s="2">
        <f>F7/'Output-Calculation-sheet'!F6*'Output-Calculation-sheet'!F78</f>
        <v>4181662334.8773317</v>
      </c>
      <c r="G95" s="2">
        <f>G7/'Output-Calculation-sheet'!G6*'Output-Calculation-sheet'!G78</f>
        <v>3279303902.3524408</v>
      </c>
      <c r="H95" s="2">
        <f>H7/'Output-Calculation-sheet'!H6*'Output-Calculation-sheet'!H78</f>
        <v>838746007.17779934</v>
      </c>
      <c r="I95" s="2">
        <f>I7/'Output-Calculation-sheet'!I6*'Output-Calculation-sheet'!I78</f>
        <v>2164241432.5814676</v>
      </c>
      <c r="J95" s="2">
        <f>J7/'Output-Calculation-sheet'!J6*'Output-Calculation-sheet'!J78</f>
        <v>1587221817.3574221</v>
      </c>
      <c r="K95" s="2">
        <f>K7/'Output-Calculation-sheet'!K6*'Output-Calculation-sheet'!K78</f>
        <v>1956507508.7056432</v>
      </c>
      <c r="L95" s="2">
        <f>L7/'Output-Calculation-sheet'!L6*'Output-Calculation-sheet'!L78</f>
        <v>1323470450.5055785</v>
      </c>
      <c r="M95" s="2">
        <f>M7/'Output-Calculation-sheet'!M6*'Output-Calculation-sheet'!M78</f>
        <v>615347858.65847147</v>
      </c>
      <c r="N95" s="2">
        <f>N7/'Output-Calculation-sheet'!N6*'Output-Calculation-sheet'!N78</f>
        <v>718074811.70019794</v>
      </c>
      <c r="O95" s="2">
        <f>O7/'Output-Calculation-sheet'!O6*'Output-Calculation-sheet'!O78</f>
        <v>0</v>
      </c>
      <c r="P95" s="2">
        <f>P7/'Output-Calculation-sheet'!P6*'Output-Calculation-sheet'!P78</f>
        <v>1665395169.2545445</v>
      </c>
      <c r="Q95" s="2">
        <f>Q7/'Output-Calculation-sheet'!Q6*'Output-Calculation-sheet'!Q78</f>
        <v>768862399.55820262</v>
      </c>
      <c r="R95" s="2">
        <f>R7/'Output-Calculation-sheet'!R6*'Output-Calculation-sheet'!R78</f>
        <v>1176700572.592907</v>
      </c>
      <c r="S95" s="2">
        <f>S7/'Output-Calculation-sheet'!S6*'Output-Calculation-sheet'!S78</f>
        <v>416903112.26363331</v>
      </c>
      <c r="T95" s="2">
        <f>T7/'Output-Calculation-sheet'!T6*'Output-Calculation-sheet'!T78</f>
        <v>627890938.10911441</v>
      </c>
      <c r="U95" s="2">
        <f>U7/'Output-Calculation-sheet'!U6*'Output-Calculation-sheet'!U78</f>
        <v>313161513.90728885</v>
      </c>
      <c r="V95" s="2">
        <f>V7/'Output-Calculation-sheet'!V6*'Output-Calculation-sheet'!V78</f>
        <v>187689648.84052458</v>
      </c>
      <c r="W95" s="2">
        <f>W7/'Output-Calculation-sheet'!W6*'Output-Calculation-sheet'!W78</f>
        <v>667780404.40357232</v>
      </c>
      <c r="X95" s="2">
        <f>X7/'Output-Calculation-sheet'!X6*'Output-Calculation-sheet'!X78</f>
        <v>58231264.503207512</v>
      </c>
      <c r="Y95" s="2">
        <f>Y7/'Output-Calculation-sheet'!Y6*'Output-Calculation-sheet'!Y78</f>
        <v>283385460.28698313</v>
      </c>
      <c r="AA95" s="2">
        <f t="shared" si="8"/>
        <v>46.264454149128937</v>
      </c>
    </row>
    <row r="96" spans="1:27" x14ac:dyDescent="0.25">
      <c r="A96" s="2">
        <v>2031</v>
      </c>
      <c r="B96" s="2">
        <f>B8/'Output-Calculation-sheet'!B7*'Output-Calculation-sheet'!B79</f>
        <v>10083912955.308916</v>
      </c>
      <c r="C96" s="2">
        <f>C8/'Output-Calculation-sheet'!C7*'Output-Calculation-sheet'!C79</f>
        <v>0</v>
      </c>
      <c r="D96" s="2">
        <f>D8/'Output-Calculation-sheet'!D7*'Output-Calculation-sheet'!D79</f>
        <v>6137994804.3539152</v>
      </c>
      <c r="E96" s="2">
        <f>E8/'Output-Calculation-sheet'!E7*'Output-Calculation-sheet'!E79</f>
        <v>9614282778.0200806</v>
      </c>
      <c r="F96" s="2">
        <f>F8/'Output-Calculation-sheet'!F7*'Output-Calculation-sheet'!F79</f>
        <v>4602138635.2643185</v>
      </c>
      <c r="G96" s="2">
        <f>G8/'Output-Calculation-sheet'!G7*'Output-Calculation-sheet'!G79</f>
        <v>3508444952.0625114</v>
      </c>
      <c r="H96" s="2">
        <f>H8/'Output-Calculation-sheet'!H7*'Output-Calculation-sheet'!H79</f>
        <v>948207706.79006755</v>
      </c>
      <c r="I96" s="2">
        <f>I8/'Output-Calculation-sheet'!I7*'Output-Calculation-sheet'!I79</f>
        <v>2406037237.1050043</v>
      </c>
      <c r="J96" s="2">
        <f>J8/'Output-Calculation-sheet'!J7*'Output-Calculation-sheet'!J79</f>
        <v>1712677843.503835</v>
      </c>
      <c r="K96" s="2">
        <f>K8/'Output-Calculation-sheet'!K7*'Output-Calculation-sheet'!K79</f>
        <v>2134552585.2291715</v>
      </c>
      <c r="L96" s="2">
        <f>L8/'Output-Calculation-sheet'!L7*'Output-Calculation-sheet'!L79</f>
        <v>1485347123.5670536</v>
      </c>
      <c r="M96" s="2">
        <f>M8/'Output-Calculation-sheet'!M7*'Output-Calculation-sheet'!M79</f>
        <v>702931691.82223392</v>
      </c>
      <c r="N96" s="2">
        <f>N8/'Output-Calculation-sheet'!N7*'Output-Calculation-sheet'!N79</f>
        <v>783421241.33070004</v>
      </c>
      <c r="O96" s="2">
        <f>O8/'Output-Calculation-sheet'!O7*'Output-Calculation-sheet'!O79</f>
        <v>0</v>
      </c>
      <c r="P96" s="2">
        <f>P8/'Output-Calculation-sheet'!P7*'Output-Calculation-sheet'!P79</f>
        <v>1811865781.5822148</v>
      </c>
      <c r="Q96" s="2">
        <f>Q8/'Output-Calculation-sheet'!Q7*'Output-Calculation-sheet'!Q79</f>
        <v>841160065.62217772</v>
      </c>
      <c r="R96" s="2">
        <f>R8/'Output-Calculation-sheet'!R7*'Output-Calculation-sheet'!R79</f>
        <v>1297797982.2471254</v>
      </c>
      <c r="S96" s="2">
        <f>S8/'Output-Calculation-sheet'!S7*'Output-Calculation-sheet'!S79</f>
        <v>475366025.38837606</v>
      </c>
      <c r="T96" s="2">
        <f>T8/'Output-Calculation-sheet'!T7*'Output-Calculation-sheet'!T79</f>
        <v>680252795.05010748</v>
      </c>
      <c r="U96" s="2">
        <f>U8/'Output-Calculation-sheet'!U7*'Output-Calculation-sheet'!U79</f>
        <v>345388081.11290437</v>
      </c>
      <c r="V96" s="2">
        <f>V8/'Output-Calculation-sheet'!V7*'Output-Calculation-sheet'!V79</f>
        <v>209377582.73009658</v>
      </c>
      <c r="W96" s="2">
        <f>W8/'Output-Calculation-sheet'!W7*'Output-Calculation-sheet'!W79</f>
        <v>729146592.4007858</v>
      </c>
      <c r="X96" s="2">
        <f>X8/'Output-Calculation-sheet'!X7*'Output-Calculation-sheet'!X79</f>
        <v>67980557.576412484</v>
      </c>
      <c r="Y96" s="2">
        <f>Y8/'Output-Calculation-sheet'!Y7*'Output-Calculation-sheet'!Y79</f>
        <v>310160218.30760711</v>
      </c>
      <c r="AA96" s="2">
        <f t="shared" si="8"/>
        <v>50.888445236375624</v>
      </c>
    </row>
    <row r="97" spans="1:27" x14ac:dyDescent="0.25">
      <c r="A97" s="2">
        <v>2032</v>
      </c>
      <c r="B97" s="2">
        <f>B9/'Output-Calculation-sheet'!B8*'Output-Calculation-sheet'!B80</f>
        <v>10155465095.88793</v>
      </c>
      <c r="C97" s="2">
        <f>C9/'Output-Calculation-sheet'!C8*'Output-Calculation-sheet'!C80</f>
        <v>0</v>
      </c>
      <c r="D97" s="2">
        <f>D9/'Output-Calculation-sheet'!D8*'Output-Calculation-sheet'!D80</f>
        <v>5895566897.5129528</v>
      </c>
      <c r="E97" s="2">
        <f>E9/'Output-Calculation-sheet'!E8*'Output-Calculation-sheet'!E80</f>
        <v>9511469291.9676552</v>
      </c>
      <c r="F97" s="2">
        <f>F9/'Output-Calculation-sheet'!F8*'Output-Calculation-sheet'!F80</f>
        <v>4537122231.4267931</v>
      </c>
      <c r="G97" s="2">
        <f>G9/'Output-Calculation-sheet'!G8*'Output-Calculation-sheet'!G80</f>
        <v>3359627318.8672142</v>
      </c>
      <c r="H97" s="2">
        <f>H9/'Output-Calculation-sheet'!H8*'Output-Calculation-sheet'!H80</f>
        <v>959446267.79777038</v>
      </c>
      <c r="I97" s="2">
        <f>I9/'Output-Calculation-sheet'!I8*'Output-Calculation-sheet'!I80</f>
        <v>2395671847.5047793</v>
      </c>
      <c r="J97" s="2">
        <f>J9/'Output-Calculation-sheet'!J8*'Output-Calculation-sheet'!J80</f>
        <v>1656827961.329592</v>
      </c>
      <c r="K97" s="2">
        <f>K9/'Output-Calculation-sheet'!K8*'Output-Calculation-sheet'!K80</f>
        <v>2084146274.9005716</v>
      </c>
      <c r="L97" s="2">
        <f>L9/'Output-Calculation-sheet'!L8*'Output-Calculation-sheet'!L80</f>
        <v>1496384270.5917537</v>
      </c>
      <c r="M97" s="2">
        <f>M9/'Output-Calculation-sheet'!M8*'Output-Calculation-sheet'!M80</f>
        <v>712522235.27024603</v>
      </c>
      <c r="N97" s="2">
        <f>N9/'Output-Calculation-sheet'!N8*'Output-Calculation-sheet'!N80</f>
        <v>758405255.64821589</v>
      </c>
      <c r="O97" s="2">
        <f>O9/'Output-Calculation-sheet'!O8*'Output-Calculation-sheet'!O80</f>
        <v>0</v>
      </c>
      <c r="P97" s="2">
        <f>P9/'Output-Calculation-sheet'!P8*'Output-Calculation-sheet'!P80</f>
        <v>1774794721.4251485</v>
      </c>
      <c r="Q97" s="2">
        <f>Q9/'Output-Calculation-sheet'!Q8*'Output-Calculation-sheet'!Q80</f>
        <v>827497112.72288465</v>
      </c>
      <c r="R97" s="2">
        <f>R9/'Output-Calculation-sheet'!R8*'Output-Calculation-sheet'!R80</f>
        <v>1282554699.6314621</v>
      </c>
      <c r="S97" s="2">
        <f>S9/'Output-Calculation-sheet'!S8*'Output-Calculation-sheet'!S80</f>
        <v>483255841.66656047</v>
      </c>
      <c r="T97" s="2">
        <f>T9/'Output-Calculation-sheet'!T8*'Output-Calculation-sheet'!T80</f>
        <v>659533790.61059892</v>
      </c>
      <c r="U97" s="2">
        <f>U9/'Output-Calculation-sheet'!U8*'Output-Calculation-sheet'!U80</f>
        <v>341480212.91566277</v>
      </c>
      <c r="V97" s="2">
        <f>V9/'Output-Calculation-sheet'!V8*'Output-Calculation-sheet'!V80</f>
        <v>209340171.50903359</v>
      </c>
      <c r="W97" s="2">
        <f>W9/'Output-Calculation-sheet'!W8*'Output-Calculation-sheet'!W80</f>
        <v>712693810.27416587</v>
      </c>
      <c r="X97" s="2">
        <f>X9/'Output-Calculation-sheet'!X8*'Output-Calculation-sheet'!X80</f>
        <v>70559504.986523658</v>
      </c>
      <c r="Y97" s="2">
        <f>Y9/'Output-Calculation-sheet'!Y8*'Output-Calculation-sheet'!Y80</f>
        <v>303468531.36989087</v>
      </c>
      <c r="AA97" s="2">
        <f t="shared" si="8"/>
        <v>50.187833345817388</v>
      </c>
    </row>
    <row r="98" spans="1:27" x14ac:dyDescent="0.25">
      <c r="A98" s="2">
        <v>2033</v>
      </c>
      <c r="B98" s="2">
        <f>B10/'Output-Calculation-sheet'!B9*'Output-Calculation-sheet'!B81</f>
        <v>9754914574.4654408</v>
      </c>
      <c r="C98" s="2">
        <f>C10/'Output-Calculation-sheet'!C9*'Output-Calculation-sheet'!C81</f>
        <v>1277603373.2956588</v>
      </c>
      <c r="D98" s="2">
        <f>D10/'Output-Calculation-sheet'!D9*'Output-Calculation-sheet'!D81</f>
        <v>5200674844.6624155</v>
      </c>
      <c r="E98" s="2">
        <f>E10/'Output-Calculation-sheet'!E9*'Output-Calculation-sheet'!E81</f>
        <v>8634931012.5572128</v>
      </c>
      <c r="F98" s="2">
        <f>F10/'Output-Calculation-sheet'!F9*'Output-Calculation-sheet'!F81</f>
        <v>4111007513.8847194</v>
      </c>
      <c r="G98" s="2">
        <f>G10/'Output-Calculation-sheet'!G9*'Output-Calculation-sheet'!G81</f>
        <v>2952012824.6518621</v>
      </c>
      <c r="H98" s="2">
        <f>H10/'Output-Calculation-sheet'!H9*'Output-Calculation-sheet'!H81</f>
        <v>889660754.64152944</v>
      </c>
      <c r="I98" s="2">
        <f>I10/'Output-Calculation-sheet'!I9*'Output-Calculation-sheet'!I81</f>
        <v>2191066712.8830318</v>
      </c>
      <c r="J98" s="2">
        <f>J10/'Output-Calculation-sheet'!J9*'Output-Calculation-sheet'!J81</f>
        <v>1473336705.2629249</v>
      </c>
      <c r="K98" s="2">
        <f>K10/'Output-Calculation-sheet'!K9*'Output-Calculation-sheet'!K81</f>
        <v>1871087470.6504707</v>
      </c>
      <c r="L98" s="2">
        <f>L10/'Output-Calculation-sheet'!L9*'Output-Calculation-sheet'!L81</f>
        <v>1383374595.456321</v>
      </c>
      <c r="M98" s="2">
        <f>M10/'Output-Calculation-sheet'!M9*'Output-Calculation-sheet'!M81</f>
        <v>663334946.04105902</v>
      </c>
      <c r="N98" s="2">
        <f>N10/'Output-Calculation-sheet'!N9*'Output-Calculation-sheet'!N81</f>
        <v>675012769.4482584</v>
      </c>
      <c r="O98" s="2">
        <f>O10/'Output-Calculation-sheet'!O9*'Output-Calculation-sheet'!O81</f>
        <v>0</v>
      </c>
      <c r="P98" s="2">
        <f>P10/'Output-Calculation-sheet'!P9*'Output-Calculation-sheet'!P81</f>
        <v>1591826460.7901695</v>
      </c>
      <c r="Q98" s="2">
        <f>Q10/'Output-Calculation-sheet'!Q9*'Output-Calculation-sheet'!Q81</f>
        <v>747181612.24921083</v>
      </c>
      <c r="R98" s="2">
        <f>R10/'Output-Calculation-sheet'!R9*'Output-Calculation-sheet'!R81</f>
        <v>1165943696.9820182</v>
      </c>
      <c r="S98" s="2">
        <f>S10/'Output-Calculation-sheet'!S9*'Output-Calculation-sheet'!S81</f>
        <v>442729047.45866299</v>
      </c>
      <c r="T98" s="2">
        <f>T10/'Output-Calculation-sheet'!T9*'Output-Calculation-sheet'!T81</f>
        <v>587641229.7178899</v>
      </c>
      <c r="U98" s="2">
        <f>U10/'Output-Calculation-sheet'!U9*'Output-Calculation-sheet'!U81</f>
        <v>309746323.83744758</v>
      </c>
      <c r="V98" s="2">
        <f>V10/'Output-Calculation-sheet'!V9*'Output-Calculation-sheet'!V81</f>
        <v>191948428.04183462</v>
      </c>
      <c r="W98" s="2">
        <f>W10/'Output-Calculation-sheet'!W9*'Output-Calculation-sheet'!W81</f>
        <v>638160438.91132593</v>
      </c>
      <c r="X98" s="2">
        <f>X10/'Output-Calculation-sheet'!X9*'Output-Calculation-sheet'!X81</f>
        <v>66385556.605599388</v>
      </c>
      <c r="Y98" s="2">
        <f>Y10/'Output-Calculation-sheet'!Y9*'Output-Calculation-sheet'!Y81</f>
        <v>272434359.28113735</v>
      </c>
      <c r="AA98" s="2">
        <f t="shared" si="8"/>
        <v>47.092015251776189</v>
      </c>
    </row>
    <row r="99" spans="1:27" x14ac:dyDescent="0.25">
      <c r="A99" s="2">
        <v>2034</v>
      </c>
      <c r="B99" s="2">
        <f>B11/'Output-Calculation-sheet'!B10*'Output-Calculation-sheet'!B82</f>
        <v>8438924192.348855</v>
      </c>
      <c r="C99" s="2">
        <f>C11/'Output-Calculation-sheet'!C10*'Output-Calculation-sheet'!C82</f>
        <v>1144525535.7694063</v>
      </c>
      <c r="D99" s="2">
        <f>D11/'Output-Calculation-sheet'!D10*'Output-Calculation-sheet'!D82</f>
        <v>4210636126.4708118</v>
      </c>
      <c r="E99" s="2">
        <f>E11/'Output-Calculation-sheet'!E10*'Output-Calculation-sheet'!E82</f>
        <v>7200899857.5696115</v>
      </c>
      <c r="F99" s="2">
        <f>F11/'Output-Calculation-sheet'!F10*'Output-Calculation-sheet'!F82</f>
        <v>3419766315.1803451</v>
      </c>
      <c r="G99" s="2">
        <f>G11/'Output-Calculation-sheet'!G10*'Output-Calculation-sheet'!G82</f>
        <v>2375559387.3441443</v>
      </c>
      <c r="H99" s="2">
        <f>H11/'Output-Calculation-sheet'!H10*'Output-Calculation-sheet'!H82</f>
        <v>758024473.30686033</v>
      </c>
      <c r="I99" s="2">
        <f>I11/'Output-Calculation-sheet'!I10*'Output-Calculation-sheet'!I82</f>
        <v>1841488326.3158159</v>
      </c>
      <c r="J99" s="2">
        <f>J11/'Output-Calculation-sheet'!J10*'Output-Calculation-sheet'!J82</f>
        <v>1203109018.577044</v>
      </c>
      <c r="K99" s="2">
        <f>K11/'Output-Calculation-sheet'!K10*'Output-Calculation-sheet'!K82</f>
        <v>1542599935.7125568</v>
      </c>
      <c r="L99" s="2">
        <f>L11/'Output-Calculation-sheet'!L10*'Output-Calculation-sheet'!L82</f>
        <v>1172995214.1608739</v>
      </c>
      <c r="M99" s="2">
        <f>M11/'Output-Calculation-sheet'!M10*'Output-Calculation-sheet'!M82</f>
        <v>567026246.07357717</v>
      </c>
      <c r="N99" s="2">
        <f>N11/'Output-Calculation-sheet'!N10*'Output-Calculation-sheet'!N82</f>
        <v>553393094.15502107</v>
      </c>
      <c r="O99" s="2">
        <f>O11/'Output-Calculation-sheet'!O10*'Output-Calculation-sheet'!O82</f>
        <v>0</v>
      </c>
      <c r="P99" s="2">
        <f>P11/'Output-Calculation-sheet'!P10*'Output-Calculation-sheet'!P82</f>
        <v>1308901826.7329118</v>
      </c>
      <c r="Q99" s="2">
        <f>Q11/'Output-Calculation-sheet'!Q10*'Output-Calculation-sheet'!Q82</f>
        <v>619774671.82028437</v>
      </c>
      <c r="R99" s="2">
        <f>R11/'Output-Calculation-sheet'!R10*'Output-Calculation-sheet'!R82</f>
        <v>972631449.5347805</v>
      </c>
      <c r="S99" s="2">
        <f>S11/'Output-Calculation-sheet'!S10*'Output-Calculation-sheet'!S82</f>
        <v>378970634.89937317</v>
      </c>
      <c r="T99" s="2">
        <f>T11/'Output-Calculation-sheet'!T10*'Output-Calculation-sheet'!T82</f>
        <v>480557142.31030631</v>
      </c>
      <c r="U99" s="2">
        <f>U11/'Output-Calculation-sheet'!U10*'Output-Calculation-sheet'!U82</f>
        <v>258312076.8692773</v>
      </c>
      <c r="V99" s="2">
        <f>V11/'Output-Calculation-sheet'!V10*'Output-Calculation-sheet'!V82</f>
        <v>161594211.01098746</v>
      </c>
      <c r="W99" s="2">
        <f>W11/'Output-Calculation-sheet'!W10*'Output-Calculation-sheet'!W82</f>
        <v>523821407.23208272</v>
      </c>
      <c r="X99" s="2">
        <f>X11/'Output-Calculation-sheet'!X10*'Output-Calculation-sheet'!X82</f>
        <v>57638374.103611566</v>
      </c>
      <c r="Y99" s="2">
        <f>Y11/'Output-Calculation-sheet'!Y10*'Output-Calculation-sheet'!Y82</f>
        <v>224130035.82909608</v>
      </c>
      <c r="AA99" s="2">
        <f t="shared" si="8"/>
        <v>39.415279553327636</v>
      </c>
    </row>
    <row r="100" spans="1:27" x14ac:dyDescent="0.25">
      <c r="A100" s="2">
        <v>2035</v>
      </c>
      <c r="B100" s="2">
        <f>B12/'Output-Calculation-sheet'!B11*'Output-Calculation-sheet'!B83</f>
        <v>6501455406.3285732</v>
      </c>
      <c r="C100" s="2">
        <f>C12/'Output-Calculation-sheet'!C11*'Output-Calculation-sheet'!C83</f>
        <v>919859735.95269537</v>
      </c>
      <c r="D100" s="2">
        <f>D12/'Output-Calculation-sheet'!D11*'Output-Calculation-sheet'!D83</f>
        <v>3092128101.6355319</v>
      </c>
      <c r="E100" s="2">
        <f>E12/'Output-Calculation-sheet'!E11*'Output-Calculation-sheet'!E83</f>
        <v>5440033011.746645</v>
      </c>
      <c r="F100" s="2">
        <f>F12/'Output-Calculation-sheet'!F11*'Output-Calculation-sheet'!F83</f>
        <v>2578068286.9281015</v>
      </c>
      <c r="G100" s="2">
        <f>G12/'Output-Calculation-sheet'!G11*'Output-Calculation-sheet'!G83</f>
        <v>1729043594.4379814</v>
      </c>
      <c r="H100" s="2">
        <f>H12/'Output-Calculation-sheet'!H11*'Output-Calculation-sheet'!H83</f>
        <v>582615612.20664132</v>
      </c>
      <c r="I100" s="2">
        <f>I12/'Output-Calculation-sheet'!I11*'Output-Calculation-sheet'!I83</f>
        <v>1400927001.7824633</v>
      </c>
      <c r="J100" s="2">
        <f>J12/'Output-Calculation-sheet'!J11*'Output-Calculation-sheet'!J83</f>
        <v>890035384.42674208</v>
      </c>
      <c r="K100" s="2">
        <f>K12/'Output-Calculation-sheet'!K11*'Output-Calculation-sheet'!K83</f>
        <v>1152073932.4773438</v>
      </c>
      <c r="L100" s="2">
        <f>L12/'Output-Calculation-sheet'!L11*'Output-Calculation-sheet'!L83</f>
        <v>900155868.54124284</v>
      </c>
      <c r="M100" s="2">
        <f>M12/'Output-Calculation-sheet'!M11*'Output-Calculation-sheet'!M83</f>
        <v>436698898.77398795</v>
      </c>
      <c r="N100" s="2">
        <f>N12/'Output-Calculation-sheet'!N11*'Output-Calculation-sheet'!N83</f>
        <v>411383889.65949267</v>
      </c>
      <c r="O100" s="2">
        <f>O12/'Output-Calculation-sheet'!O11*'Output-Calculation-sheet'!O83</f>
        <v>110986290.58413978</v>
      </c>
      <c r="P100" s="2">
        <f>P12/'Output-Calculation-sheet'!P11*'Output-Calculation-sheet'!P83</f>
        <v>974496028.87690902</v>
      </c>
      <c r="Q100" s="2">
        <f>Q12/'Output-Calculation-sheet'!Q11*'Output-Calculation-sheet'!Q83</f>
        <v>467345975.72018278</v>
      </c>
      <c r="R100" s="2">
        <f>R12/'Output-Calculation-sheet'!R11*'Output-Calculation-sheet'!R83</f>
        <v>736162458.64697492</v>
      </c>
      <c r="S100" s="2">
        <f>S12/'Output-Calculation-sheet'!S11*'Output-Calculation-sheet'!S83</f>
        <v>285522323.63022196</v>
      </c>
      <c r="T100" s="2">
        <f>T12/'Output-Calculation-sheet'!T11*'Output-Calculation-sheet'!T83</f>
        <v>355887405.15083247</v>
      </c>
      <c r="U100" s="2">
        <f>U12/'Output-Calculation-sheet'!U11*'Output-Calculation-sheet'!U83</f>
        <v>194953090.39139524</v>
      </c>
      <c r="V100" s="2">
        <f>V12/'Output-Calculation-sheet'!V11*'Output-Calculation-sheet'!V83</f>
        <v>123219322.56998119</v>
      </c>
      <c r="W100" s="2">
        <f>W12/'Output-Calculation-sheet'!W11*'Output-Calculation-sheet'!W83</f>
        <v>388819113.63427979</v>
      </c>
      <c r="X100" s="2">
        <f>X12/'Output-Calculation-sheet'!X11*'Output-Calculation-sheet'!X83</f>
        <v>45243978.470603049</v>
      </c>
      <c r="Y100" s="2">
        <f>Y12/'Output-Calculation-sheet'!Y11*'Output-Calculation-sheet'!Y83</f>
        <v>166940132.44896027</v>
      </c>
      <c r="AA100" s="2">
        <f t="shared" si="8"/>
        <v>29.884054845021932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0EF5-2B94-4CC2-BE20-23E622623056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94188539892.915421</v>
      </c>
      <c r="C8" s="2">
        <v>44386379634.496544</v>
      </c>
      <c r="D8" s="2">
        <v>39560263638.583344</v>
      </c>
      <c r="E8" s="2">
        <v>31387054748.315319</v>
      </c>
      <c r="F8" s="2">
        <v>20204973455.046726</v>
      </c>
      <c r="G8" s="2">
        <v>14196568860.04541</v>
      </c>
      <c r="H8" s="2">
        <v>13848207962.362062</v>
      </c>
      <c r="I8" s="2">
        <v>12934191745.668165</v>
      </c>
      <c r="J8" s="2">
        <v>12589248923.723505</v>
      </c>
      <c r="K8" s="2">
        <v>12468560842.824133</v>
      </c>
      <c r="L8" s="2">
        <v>10002441616.650064</v>
      </c>
      <c r="M8" s="2">
        <v>9554056302.8002377</v>
      </c>
      <c r="N8" s="2">
        <v>9377278668.2560463</v>
      </c>
      <c r="O8" s="2">
        <v>8624312108.9435997</v>
      </c>
      <c r="P8" s="2">
        <v>8536566552.1409969</v>
      </c>
      <c r="Q8" s="2">
        <v>8398601840.1872025</v>
      </c>
      <c r="R8" s="2">
        <v>8079841271.4535599</v>
      </c>
      <c r="S8" s="2">
        <v>5370276412.8014097</v>
      </c>
      <c r="T8" s="2">
        <v>2970080175.1166873</v>
      </c>
      <c r="U8" s="2">
        <v>2586838349.133637</v>
      </c>
      <c r="V8" s="2">
        <v>1991917265.5998845</v>
      </c>
      <c r="W8" s="2">
        <v>1724558899.4224231</v>
      </c>
      <c r="X8" s="2">
        <v>1034735339.6534547</v>
      </c>
      <c r="Y8" s="2">
        <v>1006269770.4595864</v>
      </c>
    </row>
    <row r="9" spans="1:27" x14ac:dyDescent="0.25">
      <c r="A9" s="2">
        <v>2032</v>
      </c>
      <c r="B9" s="2">
        <v>97946231641.274658</v>
      </c>
      <c r="C9" s="2">
        <v>46157193076.150017</v>
      </c>
      <c r="D9" s="2">
        <v>41138537135.620567</v>
      </c>
      <c r="E9" s="2">
        <v>32639254610.072769</v>
      </c>
      <c r="F9" s="2">
        <v>21011059440.817036</v>
      </c>
      <c r="G9" s="2">
        <v>14762946996.080399</v>
      </c>
      <c r="H9" s="2">
        <v>14400688092.629429</v>
      </c>
      <c r="I9" s="2">
        <v>13450206811.29771</v>
      </c>
      <c r="J9" s="2">
        <v>13091502349.166771</v>
      </c>
      <c r="K9" s="2">
        <v>12965999366.091013</v>
      </c>
      <c r="L9" s="2">
        <v>10401493267.40358</v>
      </c>
      <c r="M9" s="2">
        <v>9935219431.278595</v>
      </c>
      <c r="N9" s="2">
        <v>9751389178.0254135</v>
      </c>
      <c r="O9" s="2">
        <v>8968382698.4643307</v>
      </c>
      <c r="P9" s="2">
        <v>8877136495.4564953</v>
      </c>
      <c r="Q9" s="2">
        <v>8733667622.8026543</v>
      </c>
      <c r="R9" s="2">
        <v>8402189965.9795847</v>
      </c>
      <c r="S9" s="2">
        <v>5584525868.0507956</v>
      </c>
      <c r="T9" s="2">
        <v>3088572783.439208</v>
      </c>
      <c r="U9" s="2">
        <v>2690041362.2595458</v>
      </c>
      <c r="V9" s="2">
        <v>2071385649.7670968</v>
      </c>
      <c r="W9" s="2">
        <v>1793360908.1730292</v>
      </c>
      <c r="X9" s="2">
        <v>1076016544.9038181</v>
      </c>
      <c r="Y9" s="2">
        <v>1046415329.7535124</v>
      </c>
    </row>
    <row r="10" spans="1:27" x14ac:dyDescent="0.25">
      <c r="A10" s="2">
        <v>2033</v>
      </c>
      <c r="B10" s="2">
        <v>95304299326.597229</v>
      </c>
      <c r="C10" s="2">
        <v>44912181625.486923</v>
      </c>
      <c r="D10" s="2">
        <v>40028895357.515099</v>
      </c>
      <c r="E10" s="2">
        <v>31758866462.041168</v>
      </c>
      <c r="F10" s="2">
        <v>20444321997.506241</v>
      </c>
      <c r="G10" s="2">
        <v>14364741714.720913</v>
      </c>
      <c r="H10" s="2">
        <v>14012254126.483089</v>
      </c>
      <c r="I10" s="2">
        <v>13087410454.37398</v>
      </c>
      <c r="J10" s="2">
        <v>12738381432.472265</v>
      </c>
      <c r="K10" s="2">
        <v>12616263678.016539</v>
      </c>
      <c r="L10" s="2">
        <v>10120930751.382563</v>
      </c>
      <c r="M10" s="2">
        <v>9667233855.6309319</v>
      </c>
      <c r="N10" s="2">
        <v>9488362109.4927959</v>
      </c>
      <c r="O10" s="2">
        <v>8726475892.4092979</v>
      </c>
      <c r="P10" s="2">
        <v>8637690899.8868351</v>
      </c>
      <c r="Q10" s="2">
        <v>8498091855.0401793</v>
      </c>
      <c r="R10" s="2">
        <v>8175555241.8742228</v>
      </c>
      <c r="S10" s="2">
        <v>5433892820.656064</v>
      </c>
      <c r="T10" s="2">
        <v>3005263807.6259651</v>
      </c>
      <c r="U10" s="2">
        <v>2617482090.8748002</v>
      </c>
      <c r="V10" s="2">
        <v>2015513559.6154149</v>
      </c>
      <c r="W10" s="2">
        <v>1744988060.5831985</v>
      </c>
      <c r="X10" s="2">
        <v>1046992836.3499199</v>
      </c>
      <c r="Y10" s="2">
        <v>1018190063.4219319</v>
      </c>
    </row>
    <row r="11" spans="1:27" x14ac:dyDescent="0.25">
      <c r="A11" s="2">
        <v>2034</v>
      </c>
      <c r="B11" s="2">
        <v>87035895270.265305</v>
      </c>
      <c r="C11" s="2">
        <v>41015693561.938919</v>
      </c>
      <c r="D11" s="2">
        <v>36556071118.91124</v>
      </c>
      <c r="E11" s="2">
        <v>29003532839.79438</v>
      </c>
      <c r="F11" s="2">
        <v>18670614870.676117</v>
      </c>
      <c r="G11" s="2">
        <v>13118486409.331852</v>
      </c>
      <c r="H11" s="2">
        <v>12796579915.808388</v>
      </c>
      <c r="I11" s="2">
        <v>11951973769.434971</v>
      </c>
      <c r="J11" s="2">
        <v>11633225784.17967</v>
      </c>
      <c r="K11" s="2">
        <v>11521702713.735332</v>
      </c>
      <c r="L11" s="2">
        <v>9242859715.0297279</v>
      </c>
      <c r="M11" s="2">
        <v>8828524624.3559837</v>
      </c>
      <c r="N11" s="2">
        <v>8665171421.2613583</v>
      </c>
      <c r="O11" s="2">
        <v>7969384877.8789253</v>
      </c>
      <c r="P11" s="2">
        <v>7888302687.8270864</v>
      </c>
      <c r="Q11" s="2">
        <v>7760814967.6197805</v>
      </c>
      <c r="R11" s="2">
        <v>7466260964.4668093</v>
      </c>
      <c r="S11" s="2">
        <v>4962459509.0693884</v>
      </c>
      <c r="T11" s="2">
        <v>2744533330.2718611</v>
      </c>
      <c r="U11" s="2">
        <v>2390394753.8869977</v>
      </c>
      <c r="V11" s="2">
        <v>1840651768.3880672</v>
      </c>
      <c r="W11" s="2">
        <v>1593596502.5913305</v>
      </c>
      <c r="X11" s="2">
        <v>956157901.55479896</v>
      </c>
      <c r="Y11" s="2">
        <v>929853997.68302488</v>
      </c>
    </row>
    <row r="12" spans="1:27" x14ac:dyDescent="0.25">
      <c r="A12" s="2">
        <v>2035</v>
      </c>
      <c r="B12" s="2">
        <v>74486357146.907959</v>
      </c>
      <c r="C12" s="2">
        <v>35101719696.177528</v>
      </c>
      <c r="D12" s="2">
        <v>31285121624.769958</v>
      </c>
      <c r="E12" s="2">
        <v>24821569295.27282</v>
      </c>
      <c r="F12" s="2">
        <v>15978534868.758558</v>
      </c>
      <c r="G12" s="2">
        <v>11226957117.843088</v>
      </c>
      <c r="H12" s="2">
        <v>10951465701.686089</v>
      </c>
      <c r="I12" s="2">
        <v>10228641688.99696</v>
      </c>
      <c r="J12" s="2">
        <v>9955853361.8836651</v>
      </c>
      <c r="K12" s="2">
        <v>9860410588.1930866</v>
      </c>
      <c r="L12" s="2">
        <v>7910149572.8243294</v>
      </c>
      <c r="M12" s="2">
        <v>7555556660.9391041</v>
      </c>
      <c r="N12" s="2">
        <v>7415757041.6094627</v>
      </c>
      <c r="O12" s="2">
        <v>6820294619.9561472</v>
      </c>
      <c r="P12" s="2">
        <v>6750903514.737999</v>
      </c>
      <c r="Q12" s="2">
        <v>6641798003.3886986</v>
      </c>
      <c r="R12" s="2">
        <v>6389715174.6917067</v>
      </c>
      <c r="S12" s="2">
        <v>4246932029.2715282</v>
      </c>
      <c r="T12" s="2">
        <v>2348804354.8632693</v>
      </c>
      <c r="U12" s="2">
        <v>2045728337.7993951</v>
      </c>
      <c r="V12" s="2">
        <v>1575251734.6722915</v>
      </c>
      <c r="W12" s="2">
        <v>1363818891.8662624</v>
      </c>
      <c r="X12" s="2">
        <v>818291335.11975801</v>
      </c>
      <c r="Y12" s="2">
        <v>795780140.49061203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-4.5195892169162742E-11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179.75465711761834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2.8216810779890991E-12</v>
      </c>
      <c r="Y16" s="2">
        <f>Y5/'Output-Calculation-sheet'!Y4*'Output-Calculation-sheet'!Y22</f>
        <v>0</v>
      </c>
      <c r="AA16" s="2">
        <f t="shared" ref="AA16:AA23" si="0">SUM(B16:Y16)/1000</f>
        <v>0.17975465711757596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1365.8555704711405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929.66927532141654</v>
      </c>
      <c r="N17" s="2">
        <f>N6/'Output-Calculation-sheet'!N5*'Output-Calculation-sheet'!N23</f>
        <v>381.26597866232555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85.6951003305266</v>
      </c>
      <c r="Y17" s="2">
        <f>Y6/'Output-Calculation-sheet'!Y5*'Output-Calculation-sheet'!Y23</f>
        <v>0</v>
      </c>
      <c r="AA17" s="2">
        <f t="shared" si="0"/>
        <v>2.7624859247854094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1764.8877932355176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1199.5524955666799</v>
      </c>
      <c r="N18" s="2">
        <f>N7/'Output-Calculation-sheet'!N6*'Output-Calculation-sheet'!N24</f>
        <v>664.02121659247052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117.96719317359887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112.61595833370302</v>
      </c>
      <c r="Y18" s="2">
        <f>Y7/'Output-Calculation-sheet'!Y6*'Output-Calculation-sheet'!Y24</f>
        <v>0</v>
      </c>
      <c r="AA18" s="2">
        <f t="shared" si="0"/>
        <v>3.8590446569019701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2069.8591814863398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1417.5366171197663</v>
      </c>
      <c r="N19" s="2">
        <f>N8/'Output-Calculation-sheet'!N7*'Output-Calculation-sheet'!N25</f>
        <v>953.49924101680142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252.91133767034873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134.52959954288994</v>
      </c>
      <c r="Y19" s="2">
        <f>Y8/'Output-Calculation-sheet'!Y7*'Output-Calculation-sheet'!Y25</f>
        <v>0</v>
      </c>
      <c r="AA19" s="2">
        <f t="shared" si="0"/>
        <v>4.8283359768361462</v>
      </c>
    </row>
    <row r="20" spans="1:27" x14ac:dyDescent="0.25">
      <c r="A20" s="2">
        <v>2032</v>
      </c>
      <c r="B20" s="2">
        <f>B9/'Output-Calculation-sheet'!B8*'Output-Calculation-sheet'!B26</f>
        <v>2.1034085295995126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2223.4548875946844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1520.5540454967747</v>
      </c>
      <c r="N20" s="2">
        <f>N9/'Output-Calculation-sheet'!N8*'Output-Calculation-sheet'!N26</f>
        <v>1107.3976542453038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381.00157457926156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146.3605269547792</v>
      </c>
      <c r="Y20" s="2">
        <f>Y9/'Output-Calculation-sheet'!Y8*'Output-Calculation-sheet'!Y26</f>
        <v>0</v>
      </c>
      <c r="AA20" s="2">
        <f t="shared" si="0"/>
        <v>5.3808720974004025</v>
      </c>
    </row>
    <row r="21" spans="1:27" x14ac:dyDescent="0.25">
      <c r="A21" s="2">
        <v>2033</v>
      </c>
      <c r="B21" s="2">
        <f>B10/'Output-Calculation-sheet'!B9*'Output-Calculation-sheet'!B27</f>
        <v>3186.6693580215988</v>
      </c>
      <c r="C21" s="2">
        <f>C10/'Output-Calculation-sheet'!C9*'Output-Calculation-sheet'!C27</f>
        <v>4972.5786858608681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2231.0065188114349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1527.2384243252309</v>
      </c>
      <c r="N21" s="2">
        <f>N10/'Output-Calculation-sheet'!N9*'Output-Calculation-sheet'!N27</f>
        <v>1193.275614546382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455.22270962351877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147.00513735986428</v>
      </c>
      <c r="Y21" s="2">
        <f>Y10/'Output-Calculation-sheet'!Y9*'Output-Calculation-sheet'!Y27</f>
        <v>0</v>
      </c>
      <c r="AA21" s="2">
        <f t="shared" si="0"/>
        <v>13.712996448548898</v>
      </c>
    </row>
    <row r="22" spans="1:27" x14ac:dyDescent="0.25">
      <c r="A22" s="2">
        <v>2034</v>
      </c>
      <c r="B22" s="2">
        <f>B11/'Output-Calculation-sheet'!B10*'Output-Calculation-sheet'!B28</f>
        <v>4973.5253650834711</v>
      </c>
      <c r="C22" s="2">
        <f>C11/'Output-Calculation-sheet'!C10*'Output-Calculation-sheet'!C28</f>
        <v>4818.5140523061546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2105.2232913392245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1441.2541389170806</v>
      </c>
      <c r="N22" s="2">
        <f>N11/'Output-Calculation-sheet'!N10*'Output-Calculation-sheet'!N28</f>
        <v>1155.7150349120484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471.45285852590797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139.63901698912179</v>
      </c>
      <c r="Y22" s="2">
        <f>Y11/'Output-Calculation-sheet'!Y10*'Output-Calculation-sheet'!Y28</f>
        <v>0</v>
      </c>
      <c r="AA22" s="2">
        <f t="shared" si="0"/>
        <v>15.105323758073009</v>
      </c>
    </row>
    <row r="23" spans="1:27" x14ac:dyDescent="0.25">
      <c r="A23" s="2">
        <v>2035</v>
      </c>
      <c r="B23" s="2">
        <f>B12/'Output-Calculation-sheet'!B11*'Output-Calculation-sheet'!B29</f>
        <v>5302.6891229457306</v>
      </c>
      <c r="C23" s="2">
        <f>C12/'Output-Calculation-sheet'!C11*'Output-Calculation-sheet'!C29</f>
        <v>4345.154451624544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1853.8345461118302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1267.1695372589736</v>
      </c>
      <c r="N23" s="2">
        <f>N12/'Output-Calculation-sheet'!N11*'Output-Calculation-sheet'!N29</f>
        <v>1035.8012911122246</v>
      </c>
      <c r="O23" s="2">
        <f>O12/'Output-Calculation-sheet'!O11*'Output-Calculation-sheet'!O29</f>
        <v>738.78248642218955</v>
      </c>
      <c r="P23" s="2">
        <f>P12/'Output-Calculation-sheet'!P11*'Output-Calculation-sheet'!P29</f>
        <v>0</v>
      </c>
      <c r="Q23" s="2">
        <f>Q12/'Output-Calculation-sheet'!Q11*'Output-Calculation-sheet'!Q29</f>
        <v>14.137476954586402</v>
      </c>
      <c r="R23" s="2">
        <f>R12/'Output-Calculation-sheet'!R11*'Output-Calculation-sheet'!R29</f>
        <v>0</v>
      </c>
      <c r="S23" s="2">
        <f>S12/'Output-Calculation-sheet'!S11*'Output-Calculation-sheet'!S29</f>
        <v>454.87920331533888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124.21666823008943</v>
      </c>
      <c r="Y23" s="2">
        <f>Y12/'Output-Calculation-sheet'!Y11*'Output-Calculation-sheet'!Y29</f>
        <v>0</v>
      </c>
      <c r="AA23" s="2">
        <f t="shared" si="0"/>
        <v>15.136664783975503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8368.6388549606927</v>
      </c>
      <c r="C27" s="2">
        <f>C5/'Output-Calculation-sheet'!C4*'Output-Calculation-sheet'!C13</f>
        <v>0</v>
      </c>
      <c r="D27" s="2">
        <f>D5/'Output-Calculation-sheet'!D4*'Output-Calculation-sheet'!D13</f>
        <v>2702.6278056105175</v>
      </c>
      <c r="E27" s="2">
        <f>E5/'Output-Calculation-sheet'!E4*'Output-Calculation-sheet'!E13</f>
        <v>2757.101662138964</v>
      </c>
      <c r="F27" s="2">
        <f>F5/'Output-Calculation-sheet'!F4*'Output-Calculation-sheet'!F13</f>
        <v>1566.2038361421328</v>
      </c>
      <c r="G27" s="2">
        <f>G5/'Output-Calculation-sheet'!G4*'Output-Calculation-sheet'!G13</f>
        <v>949.81826434336756</v>
      </c>
      <c r="H27" s="2">
        <f>H5/'Output-Calculation-sheet'!H4*'Output-Calculation-sheet'!H13</f>
        <v>0</v>
      </c>
      <c r="I27" s="2">
        <f>I5/'Output-Calculation-sheet'!I4*'Output-Calculation-sheet'!I13</f>
        <v>949.1161808096399</v>
      </c>
      <c r="J27" s="2">
        <f>J5/'Output-Calculation-sheet'!J4*'Output-Calculation-sheet'!J13</f>
        <v>872.55288810108993</v>
      </c>
      <c r="K27" s="2">
        <f>K5/'Output-Calculation-sheet'!K4*'Output-Calculation-sheet'!K13</f>
        <v>1063.6604894629943</v>
      </c>
      <c r="L27" s="2">
        <f>L5/'Output-Calculation-sheet'!L4*'Output-Calculation-sheet'!L13</f>
        <v>881.96219270735446</v>
      </c>
      <c r="M27" s="2">
        <f>M5/'Output-Calculation-sheet'!M4*'Output-Calculation-sheet'!M13</f>
        <v>0</v>
      </c>
      <c r="N27" s="2">
        <f>N5/'Output-Calculation-sheet'!N4*'Output-Calculation-sheet'!N13</f>
        <v>572.90567468054985</v>
      </c>
      <c r="O27" s="2">
        <f>O5/'Output-Calculation-sheet'!O4*'Output-Calculation-sheet'!O13</f>
        <v>0</v>
      </c>
      <c r="P27" s="2">
        <f>P5/'Output-Calculation-sheet'!P4*'Output-Calculation-sheet'!P13</f>
        <v>689.25991538622191</v>
      </c>
      <c r="Q27" s="2">
        <f>Q5/'Output-Calculation-sheet'!Q4*'Output-Calculation-sheet'!Q13</f>
        <v>743.58934648937327</v>
      </c>
      <c r="R27" s="2">
        <f>R5/'Output-Calculation-sheet'!R4*'Output-Calculation-sheet'!R13</f>
        <v>671.07588355119867</v>
      </c>
      <c r="S27" s="2">
        <f>S5/'Output-Calculation-sheet'!S4*'Output-Calculation-sheet'!S13</f>
        <v>402.85384544380736</v>
      </c>
      <c r="T27" s="2">
        <f>T5/'Output-Calculation-sheet'!T4*'Output-Calculation-sheet'!T13</f>
        <v>246.68521175349937</v>
      </c>
      <c r="U27" s="2">
        <f>U5/'Output-Calculation-sheet'!U4*'Output-Calculation-sheet'!U13</f>
        <v>188.38017298332596</v>
      </c>
      <c r="V27" s="2">
        <f>V5/'Output-Calculation-sheet'!V4*'Output-Calculation-sheet'!V13</f>
        <v>180.46128445485468</v>
      </c>
      <c r="W27" s="2">
        <f>W5/'Output-Calculation-sheet'!W4*'Output-Calculation-sheet'!W13</f>
        <v>126.29843563697831</v>
      </c>
      <c r="X27" s="2">
        <f>X5/'Output-Calculation-sheet'!X4*'Output-Calculation-sheet'!X13</f>
        <v>0</v>
      </c>
      <c r="Y27" s="2">
        <f>Y5/'Output-Calculation-sheet'!Y4*'Output-Calculation-sheet'!Y13</f>
        <v>82.903041037375289</v>
      </c>
      <c r="AA27" s="2">
        <f t="shared" ref="AA27:AA34" si="1">SUM(B27:Y27)/1000</f>
        <v>24.016094985693933</v>
      </c>
    </row>
    <row r="28" spans="1:27" x14ac:dyDescent="0.25">
      <c r="A28" s="2">
        <v>2029</v>
      </c>
      <c r="B28" s="2">
        <f>B6/'Output-Calculation-sheet'!B5*'Output-Calculation-sheet'!B14</f>
        <v>11382.576752299157</v>
      </c>
      <c r="C28" s="2">
        <f>C6/'Output-Calculation-sheet'!C5*'Output-Calculation-sheet'!C14</f>
        <v>0</v>
      </c>
      <c r="D28" s="2">
        <f>D6/'Output-Calculation-sheet'!D5*'Output-Calculation-sheet'!D14</f>
        <v>3620.8712728420778</v>
      </c>
      <c r="E28" s="2">
        <f>E6/'Output-Calculation-sheet'!E5*'Output-Calculation-sheet'!E14</f>
        <v>3718.2455007363183</v>
      </c>
      <c r="F28" s="2">
        <f>F6/'Output-Calculation-sheet'!F5*'Output-Calculation-sheet'!F14</f>
        <v>2096.7103251445646</v>
      </c>
      <c r="G28" s="2">
        <f>G6/'Output-Calculation-sheet'!G5*'Output-Calculation-sheet'!G14</f>
        <v>1270.3242082281017</v>
      </c>
      <c r="H28" s="2">
        <f>H6/'Output-Calculation-sheet'!H5*'Output-Calculation-sheet'!H14</f>
        <v>0</v>
      </c>
      <c r="I28" s="2">
        <f>I6/'Output-Calculation-sheet'!I5*'Output-Calculation-sheet'!I14</f>
        <v>1275.9031893260374</v>
      </c>
      <c r="J28" s="2">
        <f>J6/'Output-Calculation-sheet'!J5*'Output-Calculation-sheet'!J14</f>
        <v>1169.2349527227605</v>
      </c>
      <c r="K28" s="2">
        <f>K6/'Output-Calculation-sheet'!K5*'Output-Calculation-sheet'!K14</f>
        <v>1434.0544668317659</v>
      </c>
      <c r="L28" s="2">
        <f>L6/'Output-Calculation-sheet'!L5*'Output-Calculation-sheet'!L14</f>
        <v>1186.0173652882559</v>
      </c>
      <c r="M28" s="2">
        <f>M6/'Output-Calculation-sheet'!M5*'Output-Calculation-sheet'!M14</f>
        <v>0</v>
      </c>
      <c r="N28" s="2">
        <f>N6/'Output-Calculation-sheet'!N5*'Output-Calculation-sheet'!N14</f>
        <v>751.8905728494766</v>
      </c>
      <c r="O28" s="2">
        <f>O6/'Output-Calculation-sheet'!O5*'Output-Calculation-sheet'!O14</f>
        <v>0</v>
      </c>
      <c r="P28" s="2">
        <f>P6/'Output-Calculation-sheet'!P5*'Output-Calculation-sheet'!P14</f>
        <v>939.03394474886909</v>
      </c>
      <c r="Q28" s="2">
        <f>Q6/'Output-Calculation-sheet'!Q5*'Output-Calculation-sheet'!Q14</f>
        <v>1019.3374431875496</v>
      </c>
      <c r="R28" s="2">
        <f>R6/'Output-Calculation-sheet'!R5*'Output-Calculation-sheet'!R14</f>
        <v>906.34180666096779</v>
      </c>
      <c r="S28" s="2">
        <f>S6/'Output-Calculation-sheet'!S5*'Output-Calculation-sheet'!S14</f>
        <v>555.55812234133214</v>
      </c>
      <c r="T28" s="2">
        <f>T6/'Output-Calculation-sheet'!T5*'Output-Calculation-sheet'!T14</f>
        <v>331.37937255296811</v>
      </c>
      <c r="U28" s="2">
        <f>U6/'Output-Calculation-sheet'!U5*'Output-Calculation-sheet'!U14</f>
        <v>254.21469811921583</v>
      </c>
      <c r="V28" s="2">
        <f>V6/'Output-Calculation-sheet'!V5*'Output-Calculation-sheet'!V14</f>
        <v>243.151615863193</v>
      </c>
      <c r="W28" s="2">
        <f>W6/'Output-Calculation-sheet'!W5*'Output-Calculation-sheet'!W14</f>
        <v>169.6771422124115</v>
      </c>
      <c r="X28" s="2">
        <f>X6/'Output-Calculation-sheet'!X5*'Output-Calculation-sheet'!X14</f>
        <v>0</v>
      </c>
      <c r="Y28" s="2">
        <f>Y6/'Output-Calculation-sheet'!Y5*'Output-Calculation-sheet'!Y14</f>
        <v>111.57048803484622</v>
      </c>
      <c r="AA28" s="2">
        <f t="shared" si="1"/>
        <v>32.436093239989866</v>
      </c>
    </row>
    <row r="29" spans="1:27" x14ac:dyDescent="0.25">
      <c r="A29" s="2">
        <v>2030</v>
      </c>
      <c r="B29" s="2">
        <f>B7/'Output-Calculation-sheet'!B6*'Output-Calculation-sheet'!B15</f>
        <v>14196.496637802778</v>
      </c>
      <c r="C29" s="2">
        <f>C7/'Output-Calculation-sheet'!C6*'Output-Calculation-sheet'!C15</f>
        <v>0</v>
      </c>
      <c r="D29" s="2">
        <f>D7/'Output-Calculation-sheet'!D6*'Output-Calculation-sheet'!D15</f>
        <v>4462.6113684516886</v>
      </c>
      <c r="E29" s="2">
        <f>E7/'Output-Calculation-sheet'!E6*'Output-Calculation-sheet'!E15</f>
        <v>4600.3729237478128</v>
      </c>
      <c r="F29" s="2">
        <f>F7/'Output-Calculation-sheet'!F6*'Output-Calculation-sheet'!F15</f>
        <v>2580.4201269724185</v>
      </c>
      <c r="G29" s="2">
        <f>G7/'Output-Calculation-sheet'!G6*'Output-Calculation-sheet'!G15</f>
        <v>1560.7874323025187</v>
      </c>
      <c r="H29" s="2">
        <f>H7/'Output-Calculation-sheet'!H6*'Output-Calculation-sheet'!H15</f>
        <v>0</v>
      </c>
      <c r="I29" s="2">
        <f>I7/'Output-Calculation-sheet'!I6*'Output-Calculation-sheet'!I15</f>
        <v>1572.6542035237796</v>
      </c>
      <c r="J29" s="2">
        <f>J7/'Output-Calculation-sheet'!J6*'Output-Calculation-sheet'!J15</f>
        <v>1438.5857973863817</v>
      </c>
      <c r="K29" s="2">
        <f>K7/'Output-Calculation-sheet'!K6*'Output-Calculation-sheet'!K15</f>
        <v>1771.2890897175346</v>
      </c>
      <c r="L29" s="2">
        <f>L7/'Output-Calculation-sheet'!L6*'Output-Calculation-sheet'!L15</f>
        <v>1468.5249945871315</v>
      </c>
      <c r="M29" s="2">
        <f>M7/'Output-Calculation-sheet'!M6*'Output-Calculation-sheet'!M15</f>
        <v>0</v>
      </c>
      <c r="N29" s="2">
        <f>N7/'Output-Calculation-sheet'!N6*'Output-Calculation-sheet'!N15</f>
        <v>832.74949466042415</v>
      </c>
      <c r="O29" s="2">
        <f>O7/'Output-Calculation-sheet'!O6*'Output-Calculation-sheet'!O15</f>
        <v>0</v>
      </c>
      <c r="P29" s="2">
        <f>P7/'Output-Calculation-sheet'!P6*'Output-Calculation-sheet'!P15</f>
        <v>1167.3868582733101</v>
      </c>
      <c r="Q29" s="2">
        <f>Q7/'Output-Calculation-sheet'!Q6*'Output-Calculation-sheet'!Q15</f>
        <v>1275.2033140261374</v>
      </c>
      <c r="R29" s="2">
        <f>R7/'Output-Calculation-sheet'!R6*'Output-Calculation-sheet'!R15</f>
        <v>1122.8565649899601</v>
      </c>
      <c r="S29" s="2">
        <f>S7/'Output-Calculation-sheet'!S6*'Output-Calculation-sheet'!S15</f>
        <v>642.01588171525168</v>
      </c>
      <c r="T29" s="2">
        <f>T7/'Output-Calculation-sheet'!T6*'Output-Calculation-sheet'!T15</f>
        <v>409.39335219594443</v>
      </c>
      <c r="U29" s="2">
        <f>U7/'Output-Calculation-sheet'!U6*'Output-Calculation-sheet'!U15</f>
        <v>314.56614287716297</v>
      </c>
      <c r="V29" s="2">
        <f>V7/'Output-Calculation-sheet'!V6*'Output-Calculation-sheet'!V15</f>
        <v>301.09525510247096</v>
      </c>
      <c r="W29" s="2">
        <f>W7/'Output-Calculation-sheet'!W6*'Output-Calculation-sheet'!W15</f>
        <v>209.6671481682437</v>
      </c>
      <c r="X29" s="2">
        <f>X7/'Output-Calculation-sheet'!X6*'Output-Calculation-sheet'!X15</f>
        <v>0</v>
      </c>
      <c r="Y29" s="2">
        <f>Y7/'Output-Calculation-sheet'!Y6*'Output-Calculation-sheet'!Y15</f>
        <v>138.10488775914817</v>
      </c>
      <c r="AA29" s="2">
        <f t="shared" si="1"/>
        <v>40.064781474260101</v>
      </c>
    </row>
    <row r="30" spans="1:27" x14ac:dyDescent="0.25">
      <c r="A30" s="2">
        <v>2031</v>
      </c>
      <c r="B30" s="2">
        <f>B8/'Output-Calculation-sheet'!B7*'Output-Calculation-sheet'!B16</f>
        <v>16268.853222892179</v>
      </c>
      <c r="C30" s="2">
        <f>C8/'Output-Calculation-sheet'!C7*'Output-Calculation-sheet'!C16</f>
        <v>0</v>
      </c>
      <c r="D30" s="2">
        <f>D8/'Output-Calculation-sheet'!D7*'Output-Calculation-sheet'!D16</f>
        <v>5078.5507522487424</v>
      </c>
      <c r="E30" s="2">
        <f>E8/'Output-Calculation-sheet'!E7*'Output-Calculation-sheet'!E16</f>
        <v>5252.9424727122741</v>
      </c>
      <c r="F30" s="2">
        <f>F8/'Output-Calculation-sheet'!F7*'Output-Calculation-sheet'!F16</f>
        <v>2942.896929893735</v>
      </c>
      <c r="G30" s="2">
        <f>G8/'Output-Calculation-sheet'!G7*'Output-Calculation-sheet'!G16</f>
        <v>1774.8886511400385</v>
      </c>
      <c r="H30" s="2">
        <f>H8/'Output-Calculation-sheet'!H7*'Output-Calculation-sheet'!H16</f>
        <v>0</v>
      </c>
      <c r="I30" s="2">
        <f>I8/'Output-Calculation-sheet'!I7*'Output-Calculation-sheet'!I16</f>
        <v>1796.3843399325215</v>
      </c>
      <c r="J30" s="2">
        <f>J8/'Output-Calculation-sheet'!J7*'Output-Calculation-sheet'!J16</f>
        <v>1639.6597717142674</v>
      </c>
      <c r="K30" s="2">
        <f>K8/'Output-Calculation-sheet'!K7*'Output-Calculation-sheet'!K16</f>
        <v>2027.813483046951</v>
      </c>
      <c r="L30" s="2">
        <f>L8/'Output-Calculation-sheet'!L7*'Output-Calculation-sheet'!L16</f>
        <v>1673.4758084568875</v>
      </c>
      <c r="M30" s="2">
        <f>M8/'Output-Calculation-sheet'!M7*'Output-Calculation-sheet'!M16</f>
        <v>0</v>
      </c>
      <c r="N30" s="2">
        <f>N8/'Output-Calculation-sheet'!N7*'Output-Calculation-sheet'!N16</f>
        <v>821.10058690202345</v>
      </c>
      <c r="O30" s="2">
        <f>O8/'Output-Calculation-sheet'!O7*'Output-Calculation-sheet'!O16</f>
        <v>0</v>
      </c>
      <c r="P30" s="2">
        <f>P8/'Output-Calculation-sheet'!P7*'Output-Calculation-sheet'!P16</f>
        <v>1333.8390483041608</v>
      </c>
      <c r="Q30" s="2">
        <f>Q8/'Output-Calculation-sheet'!Q7*'Output-Calculation-sheet'!Q16</f>
        <v>1462.9961106244127</v>
      </c>
      <c r="R30" s="2">
        <f>R8/'Output-Calculation-sheet'!R7*'Output-Calculation-sheet'!R16</f>
        <v>1281.775024397183</v>
      </c>
      <c r="S30" s="2">
        <f>S8/'Output-Calculation-sheet'!S7*'Output-Calculation-sheet'!S16</f>
        <v>684.51558068230156</v>
      </c>
      <c r="T30" s="2">
        <f>T8/'Output-Calculation-sheet'!T7*'Output-Calculation-sheet'!T16</f>
        <v>467.61782446067019</v>
      </c>
      <c r="U30" s="2">
        <f>U8/'Output-Calculation-sheet'!U7*'Output-Calculation-sheet'!U16</f>
        <v>359.39759557828205</v>
      </c>
      <c r="V30" s="2">
        <f>V8/'Output-Calculation-sheet'!V7*'Output-Calculation-sheet'!V16</f>
        <v>344.15430084854921</v>
      </c>
      <c r="W30" s="2">
        <f>W8/'Output-Calculation-sheet'!W7*'Output-Calculation-sheet'!W16</f>
        <v>238.92420211184717</v>
      </c>
      <c r="X30" s="2">
        <f>X8/'Output-Calculation-sheet'!X7*'Output-Calculation-sheet'!X16</f>
        <v>0</v>
      </c>
      <c r="Y30" s="2">
        <f>Y8/'Output-Calculation-sheet'!Y7*'Output-Calculation-sheet'!Y16</f>
        <v>157.95434498508035</v>
      </c>
      <c r="AA30" s="2">
        <f t="shared" si="1"/>
        <v>45.607740050932101</v>
      </c>
    </row>
    <row r="31" spans="1:27" x14ac:dyDescent="0.25">
      <c r="A31" s="2">
        <v>2032</v>
      </c>
      <c r="B31" s="2">
        <f>B9/'Output-Calculation-sheet'!B8*'Output-Calculation-sheet'!B17</f>
        <v>17126.908342785413</v>
      </c>
      <c r="C31" s="2">
        <f>C9/'Output-Calculation-sheet'!C8*'Output-Calculation-sheet'!C17</f>
        <v>0</v>
      </c>
      <c r="D31" s="2">
        <f>D9/'Output-Calculation-sheet'!D8*'Output-Calculation-sheet'!D17</f>
        <v>5309.7019899443012</v>
      </c>
      <c r="E31" s="2">
        <f>E9/'Output-Calculation-sheet'!E8*'Output-Calculation-sheet'!E17</f>
        <v>5498.8019238474435</v>
      </c>
      <c r="F31" s="2">
        <f>F9/'Output-Calculation-sheet'!F8*'Output-Calculation-sheet'!F17</f>
        <v>3071.9584574347464</v>
      </c>
      <c r="G31" s="2">
        <f>G9/'Output-Calculation-sheet'!G8*'Output-Calculation-sheet'!G17</f>
        <v>1851.8990772546899</v>
      </c>
      <c r="H31" s="2">
        <f>H9/'Output-Calculation-sheet'!H8*'Output-Calculation-sheet'!H17</f>
        <v>0</v>
      </c>
      <c r="I31" s="2">
        <f>I9/'Output-Calculation-sheet'!I8*'Output-Calculation-sheet'!I17</f>
        <v>1877.597554422674</v>
      </c>
      <c r="J31" s="2">
        <f>J9/'Output-Calculation-sheet'!J8*'Output-Calculation-sheet'!J17</f>
        <v>1712.4937543632445</v>
      </c>
      <c r="K31" s="2">
        <f>K9/'Output-Calculation-sheet'!K8*'Output-Calculation-sheet'!K17</f>
        <v>2121.231686640589</v>
      </c>
      <c r="L31" s="2">
        <f>L9/'Output-Calculation-sheet'!L8*'Output-Calculation-sheet'!L17</f>
        <v>1751.0447495111305</v>
      </c>
      <c r="M31" s="2">
        <f>M9/'Output-Calculation-sheet'!M8*'Output-Calculation-sheet'!M17</f>
        <v>0</v>
      </c>
      <c r="N31" s="2">
        <f>N9/'Output-Calculation-sheet'!N8*'Output-Calculation-sheet'!N17</f>
        <v>774.56052337933545</v>
      </c>
      <c r="O31" s="2">
        <f>O9/'Output-Calculation-sheet'!O8*'Output-Calculation-sheet'!O17</f>
        <v>0</v>
      </c>
      <c r="P31" s="2">
        <f>P9/'Output-Calculation-sheet'!P8*'Output-Calculation-sheet'!P17</f>
        <v>1408.6620092667831</v>
      </c>
      <c r="Q31" s="2">
        <f>Q9/'Output-Calculation-sheet'!Q8*'Output-Calculation-sheet'!Q17</f>
        <v>1543.7605332664709</v>
      </c>
      <c r="R31" s="2">
        <f>R9/'Output-Calculation-sheet'!R8*'Output-Calculation-sheet'!R17</f>
        <v>1340.3814379315961</v>
      </c>
      <c r="S31" s="2">
        <f>S9/'Output-Calculation-sheet'!S8*'Output-Calculation-sheet'!S17</f>
        <v>668.78350755286897</v>
      </c>
      <c r="T31" s="2">
        <f>T9/'Output-Calculation-sheet'!T8*'Output-Calculation-sheet'!T17</f>
        <v>488.44794379947098</v>
      </c>
      <c r="U31" s="2">
        <f>U9/'Output-Calculation-sheet'!U8*'Output-Calculation-sheet'!U17</f>
        <v>376.71481639128382</v>
      </c>
      <c r="V31" s="2">
        <f>V9/'Output-Calculation-sheet'!V8*'Output-Calculation-sheet'!V17</f>
        <v>361.00417122478842</v>
      </c>
      <c r="W31" s="2">
        <f>W9/'Output-Calculation-sheet'!W8*'Output-Calculation-sheet'!W17</f>
        <v>249.97969830679793</v>
      </c>
      <c r="X31" s="2">
        <f>X9/'Output-Calculation-sheet'!X8*'Output-Calculation-sheet'!X17</f>
        <v>0</v>
      </c>
      <c r="Y31" s="2">
        <f>Y9/'Output-Calculation-sheet'!Y8*'Output-Calculation-sheet'!Y17</f>
        <v>165.26135882243818</v>
      </c>
      <c r="AA31" s="2">
        <f t="shared" si="1"/>
        <v>47.699193536146076</v>
      </c>
    </row>
    <row r="32" spans="1:27" x14ac:dyDescent="0.25">
      <c r="A32" s="2">
        <v>2033</v>
      </c>
      <c r="B32" s="2">
        <f>B10/'Output-Calculation-sheet'!B9*'Output-Calculation-sheet'!B18</f>
        <v>15551.177182974441</v>
      </c>
      <c r="C32" s="2">
        <f>C10/'Output-Calculation-sheet'!C9*'Output-Calculation-sheet'!C18</f>
        <v>0</v>
      </c>
      <c r="D32" s="2">
        <f>D10/'Output-Calculation-sheet'!D9*'Output-Calculation-sheet'!D18</f>
        <v>5191.6708419835941</v>
      </c>
      <c r="E32" s="2">
        <f>E10/'Output-Calculation-sheet'!E9*'Output-Calculation-sheet'!E18</f>
        <v>5376.094907382776</v>
      </c>
      <c r="F32" s="2">
        <f>F10/'Output-Calculation-sheet'!F9*'Output-Calculation-sheet'!F18</f>
        <v>3002.9000166934275</v>
      </c>
      <c r="G32" s="2">
        <f>G10/'Output-Calculation-sheet'!G9*'Output-Calculation-sheet'!G18</f>
        <v>1811.0953425082064</v>
      </c>
      <c r="H32" s="2">
        <f>H10/'Output-Calculation-sheet'!H9*'Output-Calculation-sheet'!H18</f>
        <v>0</v>
      </c>
      <c r="I32" s="2">
        <f>I10/'Output-Calculation-sheet'!I9*'Output-Calculation-sheet'!I18</f>
        <v>1836.0136299955266</v>
      </c>
      <c r="J32" s="2">
        <f>J10/'Output-Calculation-sheet'!J9*'Output-Calculation-sheet'!J18</f>
        <v>1674.5452451131732</v>
      </c>
      <c r="K32" s="2">
        <f>K10/'Output-Calculation-sheet'!K9*'Output-Calculation-sheet'!K18</f>
        <v>2078.9735134117304</v>
      </c>
      <c r="L32" s="2">
        <f>L10/'Output-Calculation-sheet'!L9*'Output-Calculation-sheet'!L18</f>
        <v>1713.3405236135309</v>
      </c>
      <c r="M32" s="2">
        <f>M10/'Output-Calculation-sheet'!M9*'Output-Calculation-sheet'!M18</f>
        <v>0</v>
      </c>
      <c r="N32" s="2">
        <f>N10/'Output-Calculation-sheet'!N9*'Output-Calculation-sheet'!N18</f>
        <v>678.16338560381689</v>
      </c>
      <c r="O32" s="2">
        <f>O10/'Output-Calculation-sheet'!O9*'Output-Calculation-sheet'!O18</f>
        <v>0</v>
      </c>
      <c r="P32" s="2">
        <f>P10/'Output-Calculation-sheet'!P9*'Output-Calculation-sheet'!P18</f>
        <v>1387.547718223238</v>
      </c>
      <c r="Q32" s="2">
        <f>Q10/'Output-Calculation-sheet'!Q9*'Output-Calculation-sheet'!Q18</f>
        <v>1521.7713691518829</v>
      </c>
      <c r="R32" s="2">
        <f>R10/'Output-Calculation-sheet'!R9*'Output-Calculation-sheet'!R18</f>
        <v>1314.4340563387482</v>
      </c>
      <c r="S32" s="2">
        <f>S10/'Output-Calculation-sheet'!S9*'Output-Calculation-sheet'!S18</f>
        <v>611.82539193219293</v>
      </c>
      <c r="T32" s="2">
        <f>T10/'Output-Calculation-sheet'!T9*'Output-Calculation-sheet'!T18</f>
        <v>478.12135271240322</v>
      </c>
      <c r="U32" s="2">
        <f>U10/'Output-Calculation-sheet'!U9*'Output-Calculation-sheet'!U18</f>
        <v>368.73776905913246</v>
      </c>
      <c r="V32" s="2">
        <f>V10/'Output-Calculation-sheet'!V9*'Output-Calculation-sheet'!V18</f>
        <v>353.74347923785274</v>
      </c>
      <c r="W32" s="2">
        <f>W10/'Output-Calculation-sheet'!W9*'Output-Calculation-sheet'!W18</f>
        <v>244.09137309291654</v>
      </c>
      <c r="X32" s="2">
        <f>X10/'Output-Calculation-sheet'!X9*'Output-Calculation-sheet'!X18</f>
        <v>0</v>
      </c>
      <c r="Y32" s="2">
        <f>Y10/'Output-Calculation-sheet'!Y9*'Output-Calculation-sheet'!Y18</f>
        <v>161.84532414891083</v>
      </c>
      <c r="AA32" s="2">
        <f t="shared" si="1"/>
        <v>45.356092423177493</v>
      </c>
    </row>
    <row r="33" spans="1:27" x14ac:dyDescent="0.25">
      <c r="A33" s="2">
        <v>2034</v>
      </c>
      <c r="B33" s="2">
        <f>B11/'Output-Calculation-sheet'!B10*'Output-Calculation-sheet'!B19</f>
        <v>13457.574612730132</v>
      </c>
      <c r="C33" s="2">
        <f>C11/'Output-Calculation-sheet'!C10*'Output-Calculation-sheet'!C19</f>
        <v>0</v>
      </c>
      <c r="D33" s="2">
        <f>D11/'Output-Calculation-sheet'!D10*'Output-Calculation-sheet'!D19</f>
        <v>4758.3263461131255</v>
      </c>
      <c r="E33" s="2">
        <f>E11/'Output-Calculation-sheet'!E10*'Output-Calculation-sheet'!E19</f>
        <v>4938.9722687897774</v>
      </c>
      <c r="F33" s="2">
        <f>F11/'Output-Calculation-sheet'!F10*'Output-Calculation-sheet'!F19</f>
        <v>2753.6583458483678</v>
      </c>
      <c r="G33" s="2">
        <f>G11/'Output-Calculation-sheet'!G10*'Output-Calculation-sheet'!G19</f>
        <v>1658.1712861123142</v>
      </c>
      <c r="H33" s="2">
        <f>H11/'Output-Calculation-sheet'!H10*'Output-Calculation-sheet'!H19</f>
        <v>0</v>
      </c>
      <c r="I33" s="2">
        <f>I11/'Output-Calculation-sheet'!I10*'Output-Calculation-sheet'!I19</f>
        <v>1688.8491725414763</v>
      </c>
      <c r="J33" s="2">
        <f>J11/'Output-Calculation-sheet'!J10*'Output-Calculation-sheet'!J19</f>
        <v>1534.8768913152767</v>
      </c>
      <c r="K33" s="2">
        <f>K11/'Output-Calculation-sheet'!K10*'Output-Calculation-sheet'!K19</f>
        <v>1911.7909894198472</v>
      </c>
      <c r="L33" s="2">
        <f>L11/'Output-Calculation-sheet'!L10*'Output-Calculation-sheet'!L19</f>
        <v>1572.4225506455277</v>
      </c>
      <c r="M33" s="2">
        <f>M11/'Output-Calculation-sheet'!M10*'Output-Calculation-sheet'!M19</f>
        <v>0</v>
      </c>
      <c r="N33" s="2">
        <f>N11/'Output-Calculation-sheet'!N10*'Output-Calculation-sheet'!N19</f>
        <v>582.70965362154197</v>
      </c>
      <c r="O33" s="2">
        <f>O11/'Output-Calculation-sheet'!O10*'Output-Calculation-sheet'!O19</f>
        <v>0</v>
      </c>
      <c r="P33" s="2">
        <f>P11/'Output-Calculation-sheet'!P10*'Output-Calculation-sheet'!P19</f>
        <v>1281.6691500473585</v>
      </c>
      <c r="Q33" s="2">
        <f>Q11/'Output-Calculation-sheet'!Q10*'Output-Calculation-sheet'!Q19</f>
        <v>1408.0449183395501</v>
      </c>
      <c r="R33" s="2">
        <f>R11/'Output-Calculation-sheet'!R10*'Output-Calculation-sheet'!R19</f>
        <v>1208.3322080139039</v>
      </c>
      <c r="S33" s="2">
        <f>S11/'Output-Calculation-sheet'!S10*'Output-Calculation-sheet'!S19</f>
        <v>557.30104980609212</v>
      </c>
      <c r="T33" s="2">
        <f>T11/'Output-Calculation-sheet'!T10*'Output-Calculation-sheet'!T19</f>
        <v>439.11773393280782</v>
      </c>
      <c r="U33" s="2">
        <f>U11/'Output-Calculation-sheet'!U10*'Output-Calculation-sheet'!U19</f>
        <v>339.80224641592071</v>
      </c>
      <c r="V33" s="2">
        <f>V11/'Output-Calculation-sheet'!V10*'Output-Calculation-sheet'!V19</f>
        <v>325.75684739289864</v>
      </c>
      <c r="W33" s="2">
        <f>W11/'Output-Calculation-sheet'!W10*'Output-Calculation-sheet'!W19</f>
        <v>223.80764719643327</v>
      </c>
      <c r="X33" s="2">
        <f>X11/'Output-Calculation-sheet'!X10*'Output-Calculation-sheet'!X19</f>
        <v>0</v>
      </c>
      <c r="Y33" s="2">
        <f>Y11/'Output-Calculation-sheet'!Y10*'Output-Calculation-sheet'!Y19</f>
        <v>148.59967273655784</v>
      </c>
      <c r="AA33" s="2">
        <f t="shared" si="1"/>
        <v>40.789783591018896</v>
      </c>
    </row>
    <row r="34" spans="1:27" x14ac:dyDescent="0.25">
      <c r="A34" s="2">
        <v>2035</v>
      </c>
      <c r="B34" s="2">
        <f>B12/'Output-Calculation-sheet'!B11*'Output-Calculation-sheet'!B20</f>
        <v>11083.950847114946</v>
      </c>
      <c r="C34" s="2">
        <f>C12/'Output-Calculation-sheet'!C11*'Output-Calculation-sheet'!C20</f>
        <v>0</v>
      </c>
      <c r="D34" s="2">
        <f>D12/'Output-Calculation-sheet'!D11*'Output-Calculation-sheet'!D20</f>
        <v>4099.1947872498722</v>
      </c>
      <c r="E34" s="2">
        <f>E12/'Output-Calculation-sheet'!E11*'Output-Calculation-sheet'!E20</f>
        <v>4253.0695882827049</v>
      </c>
      <c r="F34" s="2">
        <f>F12/'Output-Calculation-sheet'!F11*'Output-Calculation-sheet'!F20</f>
        <v>2367.7678091696389</v>
      </c>
      <c r="G34" s="2">
        <f>G12/'Output-Calculation-sheet'!G11*'Output-Calculation-sheet'!G20</f>
        <v>1422.6576641923461</v>
      </c>
      <c r="H34" s="2">
        <f>H12/'Output-Calculation-sheet'!H11*'Output-Calculation-sheet'!H20</f>
        <v>0</v>
      </c>
      <c r="I34" s="2">
        <f>I12/'Output-Calculation-sheet'!I11*'Output-Calculation-sheet'!I20</f>
        <v>1453.0897576138088</v>
      </c>
      <c r="J34" s="2">
        <f>J12/'Output-Calculation-sheet'!J11*'Output-Calculation-sheet'!J20</f>
        <v>1316.0258095828926</v>
      </c>
      <c r="K34" s="2">
        <f>K12/'Output-Calculation-sheet'!K11*'Output-Calculation-sheet'!K20</f>
        <v>1646.2734499238404</v>
      </c>
      <c r="L34" s="2">
        <f>L12/'Output-Calculation-sheet'!L11*'Output-Calculation-sheet'!L20</f>
        <v>1351.6949527248894</v>
      </c>
      <c r="M34" s="2">
        <f>M12/'Output-Calculation-sheet'!M11*'Output-Calculation-sheet'!M20</f>
        <v>0</v>
      </c>
      <c r="N34" s="2">
        <f>N12/'Output-Calculation-sheet'!N11*'Output-Calculation-sheet'!N20</f>
        <v>475.54210868175267</v>
      </c>
      <c r="O34" s="2">
        <f>O12/'Output-Calculation-sheet'!O11*'Output-Calculation-sheet'!O20</f>
        <v>0</v>
      </c>
      <c r="P34" s="2">
        <f>P12/'Output-Calculation-sheet'!P11*'Output-Calculation-sheet'!P20</f>
        <v>1109.9426014031988</v>
      </c>
      <c r="Q34" s="2">
        <f>Q12/'Output-Calculation-sheet'!Q11*'Output-Calculation-sheet'!Q20</f>
        <v>1217.0945097884762</v>
      </c>
      <c r="R34" s="2">
        <f>R12/'Output-Calculation-sheet'!R11*'Output-Calculation-sheet'!R20</f>
        <v>1043.6681393416698</v>
      </c>
      <c r="S34" s="2">
        <f>S12/'Output-Calculation-sheet'!S11*'Output-Calculation-sheet'!S20</f>
        <v>448.82534896082433</v>
      </c>
      <c r="T34" s="2">
        <f>T12/'Output-Calculation-sheet'!T11*'Output-Calculation-sheet'!T20</f>
        <v>377.7697926554082</v>
      </c>
      <c r="U34" s="2">
        <f>U12/'Output-Calculation-sheet'!U11*'Output-Calculation-sheet'!U20</f>
        <v>293.02803270285108</v>
      </c>
      <c r="V34" s="2">
        <f>V12/'Output-Calculation-sheet'!V11*'Output-Calculation-sheet'!V20</f>
        <v>281.41613119097741</v>
      </c>
      <c r="W34" s="2">
        <f>W12/'Output-Calculation-sheet'!W11*'Output-Calculation-sheet'!W20</f>
        <v>192.30161102854035</v>
      </c>
      <c r="X34" s="2">
        <f>X12/'Output-Calculation-sheet'!X11*'Output-Calculation-sheet'!X20</f>
        <v>0</v>
      </c>
      <c r="Y34" s="2">
        <f>Y12/'Output-Calculation-sheet'!Y11*'Output-Calculation-sheet'!Y20</f>
        <v>128.01531337447858</v>
      </c>
      <c r="AA34" s="2">
        <f t="shared" si="1"/>
        <v>34.561328254983117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2.8045060097980503</v>
      </c>
      <c r="C60" s="2">
        <f>C5*'Output-Calculation-sheet'!C49/10^9</f>
        <v>1.3259544535164083</v>
      </c>
      <c r="D60" s="2">
        <f>D5*'Output-Calculation-sheet'!D49/10^9</f>
        <v>0.61857936748993636</v>
      </c>
      <c r="E60" s="2">
        <f>E5*'Output-Calculation-sheet'!E49/10^9</f>
        <v>0.6869635561597881</v>
      </c>
      <c r="F60" s="2">
        <f>F5*'Output-Calculation-sheet'!F49/10^9</f>
        <v>0.31891814330989038</v>
      </c>
      <c r="G60" s="2">
        <f>G5*'Output-Calculation-sheet'!G49/10^9</f>
        <v>0.21966815651398988</v>
      </c>
      <c r="H60" s="2">
        <f>H5*'Output-Calculation-sheet'!H49/10^9</f>
        <v>0.41368755824314674</v>
      </c>
      <c r="I60" s="2">
        <f>I5*'Output-Calculation-sheet'!I49/10^9</f>
        <v>0.21686345053107561</v>
      </c>
      <c r="J60" s="2">
        <f>J5*'Output-Calculation-sheet'!J49/10^9</f>
        <v>0.19583560264183736</v>
      </c>
      <c r="K60" s="2">
        <f>K5*'Output-Calculation-sheet'!K49/10^9</f>
        <v>0.25243819539986856</v>
      </c>
      <c r="L60" s="2">
        <f>L5*'Output-Calculation-sheet'!L49/10^9</f>
        <v>0.20854476606842864</v>
      </c>
      <c r="M60" s="2">
        <f>M5*'Output-Calculation-sheet'!M49/10^9</f>
        <v>0.28540831602811251</v>
      </c>
      <c r="N60" s="2">
        <f>N5*'Output-Calculation-sheet'!N49/10^9</f>
        <v>0.29830401614355023</v>
      </c>
      <c r="O60" s="2">
        <f>O5*'Output-Calculation-sheet'!O49/10^9</f>
        <v>0.2576340831000849</v>
      </c>
      <c r="P60" s="2">
        <f>P5*'Output-Calculation-sheet'!P49/10^9</f>
        <v>0.21997365666771079</v>
      </c>
      <c r="Q60" s="2">
        <f>Q5*'Output-Calculation-sheet'!Q49/10^9</f>
        <v>0.22707699775083393</v>
      </c>
      <c r="R60" s="2">
        <f>R5*'Output-Calculation-sheet'!R49/10^9</f>
        <v>0.18198814314064132</v>
      </c>
      <c r="S60" s="2">
        <f>S5*'Output-Calculation-sheet'!S49/10^9</f>
        <v>0.16694544179122026</v>
      </c>
      <c r="T60" s="2">
        <f>T5*'Output-Calculation-sheet'!T49/10^9</f>
        <v>5.7096608885381983E-2</v>
      </c>
      <c r="U60" s="2">
        <f>U5*'Output-Calculation-sheet'!U49/10^9</f>
        <v>5.7057627665551475E-2</v>
      </c>
      <c r="V60" s="2">
        <f>V5*'Output-Calculation-sheet'!V49/10^9</f>
        <v>4.2725388729041171E-2</v>
      </c>
      <c r="W60" s="2">
        <f>W5*'Output-Calculation-sheet'!W49/10^9</f>
        <v>2.6788973476584255E-2</v>
      </c>
      <c r="X60" s="2">
        <f>X5*'Output-Calculation-sheet'!X49/10^9</f>
        <v>3.3720709740123311E-2</v>
      </c>
      <c r="Y60" s="2">
        <f>Y5*'Output-Calculation-sheet'!Y49/10^9</f>
        <v>2.2289120158863019E-2</v>
      </c>
      <c r="AA60" s="2">
        <f t="shared" ref="AA60:AA67" si="4">SUM(B60:Y60)</f>
        <v>9.1389683429501201</v>
      </c>
    </row>
    <row r="61" spans="1:27" x14ac:dyDescent="0.25">
      <c r="A61" s="2">
        <v>2029</v>
      </c>
      <c r="B61" s="2">
        <f>B6*'Output-Calculation-sheet'!B50/10^9</f>
        <v>3.7031698906246322</v>
      </c>
      <c r="C61" s="2">
        <f>C6*'Output-Calculation-sheet'!C50/10^9</f>
        <v>1.7630105506599874</v>
      </c>
      <c r="D61" s="2">
        <f>D6*'Output-Calculation-sheet'!D50/10^9</f>
        <v>0.81421415940860753</v>
      </c>
      <c r="E61" s="2">
        <f>E6*'Output-Calculation-sheet'!E50/10^9</f>
        <v>0.90494241563828626</v>
      </c>
      <c r="F61" s="2">
        <f>F6*'Output-Calculation-sheet'!F50/10^9</f>
        <v>0.41925576637267542</v>
      </c>
      <c r="G61" s="2">
        <f>G6*'Output-Calculation-sheet'!G50/10^9</f>
        <v>0.28917559484482275</v>
      </c>
      <c r="H61" s="2">
        <f>H6*'Output-Calculation-sheet'!H50/10^9</f>
        <v>0.54649910277415858</v>
      </c>
      <c r="I61" s="2">
        <f>I6*'Output-Calculation-sheet'!I50/10^9</f>
        <v>0.28544117575006561</v>
      </c>
      <c r="J61" s="2">
        <f>J6*'Output-Calculation-sheet'!J50/10^9</f>
        <v>0.25771898611489874</v>
      </c>
      <c r="K61" s="2">
        <f>K6*'Output-Calculation-sheet'!K50/10^9</f>
        <v>0.33238650648502827</v>
      </c>
      <c r="L61" s="2">
        <f>L6*'Output-Calculation-sheet'!L50/10^9</f>
        <v>0.27458780186349097</v>
      </c>
      <c r="M61" s="2">
        <f>M6*'Output-Calculation-sheet'!M50/10^9</f>
        <v>0.37753522083336333</v>
      </c>
      <c r="N61" s="2">
        <f>N6*'Output-Calculation-sheet'!N50/10^9</f>
        <v>0.39385778637615176</v>
      </c>
      <c r="O61" s="2">
        <f>O6*'Output-Calculation-sheet'!O50/10^9</f>
        <v>0.34255445615835461</v>
      </c>
      <c r="P61" s="2">
        <f>P6*'Output-Calculation-sheet'!P50/10^9</f>
        <v>0.29035680086364407</v>
      </c>
      <c r="Q61" s="2">
        <f>Q6*'Output-Calculation-sheet'!Q50/10^9</f>
        <v>0.29962714228859144</v>
      </c>
      <c r="R61" s="2">
        <f>R6*'Output-Calculation-sheet'!R50/10^9</f>
        <v>0.23991567388025165</v>
      </c>
      <c r="S61" s="2">
        <f>S6*'Output-Calculation-sheet'!S50/10^9</f>
        <v>0.22072553159794348</v>
      </c>
      <c r="T61" s="2">
        <f>T6*'Output-Calculation-sheet'!T50/10^9</f>
        <v>7.5161640567231819E-2</v>
      </c>
      <c r="U61" s="2">
        <f>U6*'Output-Calculation-sheet'!U50/10^9</f>
        <v>7.528708742904365E-2</v>
      </c>
      <c r="V61" s="2">
        <f>V6*'Output-Calculation-sheet'!V50/10^9</f>
        <v>5.6256070229625151E-2</v>
      </c>
      <c r="W61" s="2">
        <f>W6*'Output-Calculation-sheet'!W50/10^9</f>
        <v>3.5232391506464379E-2</v>
      </c>
      <c r="X61" s="2">
        <f>X6*'Output-Calculation-sheet'!X50/10^9</f>
        <v>4.4805125331980646E-2</v>
      </c>
      <c r="Y61" s="2">
        <f>Y6*'Output-Calculation-sheet'!Y50/10^9</f>
        <v>2.9382100351215738E-2</v>
      </c>
      <c r="AA61" s="2">
        <f t="shared" si="4"/>
        <v>12.07109897795052</v>
      </c>
    </row>
    <row r="62" spans="1:27" x14ac:dyDescent="0.25">
      <c r="A62" s="2">
        <v>2030</v>
      </c>
      <c r="B62" s="2">
        <f>B7*'Output-Calculation-sheet'!B51/10^9</f>
        <v>4.4884094630623457</v>
      </c>
      <c r="C62" s="2">
        <f>C7*'Output-Calculation-sheet'!C51/10^9</f>
        <v>2.1521482849536713</v>
      </c>
      <c r="D62" s="2">
        <f>D7*'Output-Calculation-sheet'!D51/10^9</f>
        <v>0.98377084100650103</v>
      </c>
      <c r="E62" s="2">
        <f>E7*'Output-Calculation-sheet'!E51/10^9</f>
        <v>1.0942222697771222</v>
      </c>
      <c r="F62" s="2">
        <f>F7*'Output-Calculation-sheet'!F51/10^9</f>
        <v>0.50591376402960908</v>
      </c>
      <c r="G62" s="2">
        <f>G7*'Output-Calculation-sheet'!G51/10^9</f>
        <v>0.34944181661793161</v>
      </c>
      <c r="H62" s="2">
        <f>H7*'Output-Calculation-sheet'!H51/10^9</f>
        <v>0.66153730334136052</v>
      </c>
      <c r="I62" s="2">
        <f>I7*'Output-Calculation-sheet'!I51/10^9</f>
        <v>0.34486243670413541</v>
      </c>
      <c r="J62" s="2">
        <f>J7*'Output-Calculation-sheet'!J51/10^9</f>
        <v>0.31132257992946577</v>
      </c>
      <c r="K62" s="2">
        <f>K7*'Output-Calculation-sheet'!K51/10^9</f>
        <v>0.40172277118292637</v>
      </c>
      <c r="L62" s="2">
        <f>L7*'Output-Calculation-sheet'!L51/10^9</f>
        <v>0.33186056311038786</v>
      </c>
      <c r="M62" s="2">
        <f>M7*'Output-Calculation-sheet'!M51/10^9</f>
        <v>0.45701324561549239</v>
      </c>
      <c r="N62" s="2">
        <f>N7*'Output-Calculation-sheet'!N51/10^9</f>
        <v>0.4768513108285613</v>
      </c>
      <c r="O62" s="2">
        <f>O7*'Output-Calculation-sheet'!O51/10^9</f>
        <v>0.41816425037754734</v>
      </c>
      <c r="P62" s="2">
        <f>P7*'Output-Calculation-sheet'!P51/10^9</f>
        <v>0.35180104679724972</v>
      </c>
      <c r="Q62" s="2">
        <f>Q7*'Output-Calculation-sheet'!Q51/10^9</f>
        <v>0.36287945062596999</v>
      </c>
      <c r="R62" s="2">
        <f>R7*'Output-Calculation-sheet'!R51/10^9</f>
        <v>0.29032127838575</v>
      </c>
      <c r="S62" s="2">
        <f>S7*'Output-Calculation-sheet'!S51/10^9</f>
        <v>0.26774824518310003</v>
      </c>
      <c r="T62" s="2">
        <f>T7*'Output-Calculation-sheet'!T51/10^9</f>
        <v>9.0820429531965549E-2</v>
      </c>
      <c r="U62" s="2">
        <f>U7*'Output-Calculation-sheet'!U51/10^9</f>
        <v>9.1189437929120501E-2</v>
      </c>
      <c r="V62" s="2">
        <f>V7*'Output-Calculation-sheet'!V51/10^9</f>
        <v>6.7988381279975724E-2</v>
      </c>
      <c r="W62" s="2">
        <f>W7*'Output-Calculation-sheet'!W51/10^9</f>
        <v>4.2531582853239554E-2</v>
      </c>
      <c r="X62" s="2">
        <f>X7*'Output-Calculation-sheet'!X51/10^9</f>
        <v>5.4293259396151906E-2</v>
      </c>
      <c r="Y62" s="2">
        <f>Y7*'Output-Calculation-sheet'!Y51/10^9</f>
        <v>3.5553666933703897E-2</v>
      </c>
      <c r="AA62" s="2">
        <f t="shared" si="4"/>
        <v>14.632367679453283</v>
      </c>
    </row>
    <row r="63" spans="1:27" x14ac:dyDescent="0.25">
      <c r="A63" s="2">
        <v>2031</v>
      </c>
      <c r="B63" s="2">
        <f>B8*'Output-Calculation-sheet'!B52/10^9</f>
        <v>5.0734839386807709</v>
      </c>
      <c r="C63" s="2">
        <f>C8*'Output-Calculation-sheet'!C52/10^9</f>
        <v>2.441250986230211</v>
      </c>
      <c r="D63" s="2">
        <f>D8*'Output-Calculation-sheet'!D52/10^9</f>
        <v>1.1103221740885774</v>
      </c>
      <c r="E63" s="2">
        <f>E8*'Output-Calculation-sheet'!E52/10^9</f>
        <v>1.2354269446444286</v>
      </c>
      <c r="F63" s="2">
        <f>F8*'Output-Calculation-sheet'!F52/10^9</f>
        <v>0.57063320722090549</v>
      </c>
      <c r="G63" s="2">
        <f>G8*'Output-Calculation-sheet'!G52/10^9</f>
        <v>0.39442512284656361</v>
      </c>
      <c r="H63" s="2">
        <f>H8*'Output-Calculation-sheet'!H52/10^9</f>
        <v>0.7437469698889575</v>
      </c>
      <c r="I63" s="2">
        <f>I8*'Output-Calculation-sheet'!I52/10^9</f>
        <v>0.38921129439286761</v>
      </c>
      <c r="J63" s="2">
        <f>J8*'Output-Calculation-sheet'!J52/10^9</f>
        <v>0.35133536130562532</v>
      </c>
      <c r="K63" s="2">
        <f>K8*'Output-Calculation-sheet'!K52/10^9</f>
        <v>0.45345737204915509</v>
      </c>
      <c r="L63" s="2">
        <f>L8*'Output-Calculation-sheet'!L52/10^9</f>
        <v>0.37459686597366171</v>
      </c>
      <c r="M63" s="2">
        <f>M8*'Output-Calculation-sheet'!M52/10^9</f>
        <v>0.51384221377976713</v>
      </c>
      <c r="N63" s="2">
        <f>N8*'Output-Calculation-sheet'!N52/10^9</f>
        <v>0.53706661019877788</v>
      </c>
      <c r="O63" s="2">
        <f>O8*'Output-Calculation-sheet'!O52/10^9</f>
        <v>0.47433715222014988</v>
      </c>
      <c r="P63" s="2">
        <f>P8*'Output-Calculation-sheet'!P52/10^9</f>
        <v>0.39759158514194626</v>
      </c>
      <c r="Q63" s="2">
        <f>Q8*'Output-Calculation-sheet'!Q52/10^9</f>
        <v>0.4100190082122796</v>
      </c>
      <c r="R63" s="2">
        <f>R8*'Output-Calculation-sheet'!R52/10^9</f>
        <v>0.32790873847646995</v>
      </c>
      <c r="S63" s="2">
        <f>S8*'Output-Calculation-sheet'!S52/10^9</f>
        <v>0.30227543854248046</v>
      </c>
      <c r="T63" s="2">
        <f>T8*'Output-Calculation-sheet'!T52/10^9</f>
        <v>0.1025057724934284</v>
      </c>
      <c r="U63" s="2">
        <f>U8*'Output-Calculation-sheet'!U52/10^9</f>
        <v>0.103043642610265</v>
      </c>
      <c r="V63" s="2">
        <f>V8*'Output-Calculation-sheet'!V52/10^9</f>
        <v>7.6742853493349403E-2</v>
      </c>
      <c r="W63" s="2">
        <f>W8*'Output-Calculation-sheet'!W52/10^9</f>
        <v>4.7981545991114948E-2</v>
      </c>
      <c r="X63" s="2">
        <f>X8*'Output-Calculation-sheet'!X52/10^9</f>
        <v>6.1105102761591472E-2</v>
      </c>
      <c r="Y63" s="2">
        <f>Y8*'Output-Calculation-sheet'!Y52/10^9</f>
        <v>4.0155906871454157E-2</v>
      </c>
      <c r="AA63" s="2">
        <f t="shared" si="4"/>
        <v>16.532465808114797</v>
      </c>
    </row>
    <row r="64" spans="1:27" x14ac:dyDescent="0.25">
      <c r="A64" s="2">
        <v>2032</v>
      </c>
      <c r="B64" s="2">
        <f>B9*'Output-Calculation-sheet'!B53/10^9</f>
        <v>5.2570916556747456</v>
      </c>
      <c r="C64" s="2">
        <f>C9*'Output-Calculation-sheet'!C53/10^9</f>
        <v>2.5386457297633478</v>
      </c>
      <c r="D64" s="2">
        <f>D9*'Output-Calculation-sheet'!D53/10^9</f>
        <v>1.1487647500821925</v>
      </c>
      <c r="E64" s="2">
        <f>E9*'Output-Calculation-sheet'!E53/10^9</f>
        <v>1.2786600553438809</v>
      </c>
      <c r="F64" s="2">
        <f>F9*'Output-Calculation-sheet'!F53/10^9</f>
        <v>0.5900108938736911</v>
      </c>
      <c r="G64" s="2">
        <f>G9*'Output-Calculation-sheet'!G53/10^9</f>
        <v>0.4081184784623762</v>
      </c>
      <c r="H64" s="2">
        <f>H9*'Output-Calculation-sheet'!H53/10^9</f>
        <v>0.76626622959518076</v>
      </c>
      <c r="I64" s="2">
        <f>I9*'Output-Calculation-sheet'!I53/10^9</f>
        <v>0.40266984371224085</v>
      </c>
      <c r="J64" s="2">
        <f>J9*'Output-Calculation-sheet'!J53/10^9</f>
        <v>0.36346309407044364</v>
      </c>
      <c r="K64" s="2">
        <f>K9*'Output-Calculation-sheet'!K53/10^9</f>
        <v>0.46921304425076255</v>
      </c>
      <c r="L64" s="2">
        <f>L9*'Output-Calculation-sheet'!L53/10^9</f>
        <v>0.38761342933838044</v>
      </c>
      <c r="M64" s="2">
        <f>M9*'Output-Calculation-sheet'!M53/10^9</f>
        <v>0.52942624588762621</v>
      </c>
      <c r="N64" s="2">
        <f>N9*'Output-Calculation-sheet'!N53/10^9</f>
        <v>0.55406639132887348</v>
      </c>
      <c r="O64" s="2">
        <f>O9*'Output-Calculation-sheet'!O53/10^9</f>
        <v>0.49326103409436034</v>
      </c>
      <c r="P64" s="2">
        <f>P9*'Output-Calculation-sheet'!P53/10^9</f>
        <v>0.41190790073536504</v>
      </c>
      <c r="Q64" s="2">
        <f>Q9*'Output-Calculation-sheet'!Q53/10^9</f>
        <v>0.4246827059580684</v>
      </c>
      <c r="R64" s="2">
        <f>R9*'Output-Calculation-sheet'!R53/10^9</f>
        <v>0.33951444227902988</v>
      </c>
      <c r="S64" s="2">
        <f>S9*'Output-Calculation-sheet'!S53/10^9</f>
        <v>0.31244996532650632</v>
      </c>
      <c r="T64" s="2">
        <f>T9*'Output-Calculation-sheet'!T53/10^9</f>
        <v>0.10605697756133294</v>
      </c>
      <c r="U64" s="2">
        <f>U9*'Output-Calculation-sheet'!U53/10^9</f>
        <v>0.106740320749313</v>
      </c>
      <c r="V64" s="2">
        <f>V9*'Output-Calculation-sheet'!V53/10^9</f>
        <v>7.9407611636148442E-2</v>
      </c>
      <c r="W64" s="2">
        <f>W9*'Output-Calculation-sheet'!W53/10^9</f>
        <v>4.9620625720893825E-2</v>
      </c>
      <c r="X64" s="2">
        <f>X9*'Output-Calculation-sheet'!X53/10^9</f>
        <v>6.3019061747645599E-2</v>
      </c>
      <c r="Y64" s="2">
        <f>Y9*'Output-Calculation-sheet'!Y53/10^9</f>
        <v>4.1575879043965341E-2</v>
      </c>
      <c r="AA64" s="2">
        <f t="shared" si="4"/>
        <v>17.122246366236372</v>
      </c>
    </row>
    <row r="65" spans="1:27" x14ac:dyDescent="0.25">
      <c r="A65" s="2">
        <v>2033</v>
      </c>
      <c r="B65" s="2">
        <f>B10*'Output-Calculation-sheet'!B54/10^9</f>
        <v>5.0915485010485471</v>
      </c>
      <c r="C65" s="2">
        <f>C10*'Output-Calculation-sheet'!C54/10^9</f>
        <v>2.4647682350893163</v>
      </c>
      <c r="D65" s="2">
        <f>D10*'Output-Calculation-sheet'!D54/10^9</f>
        <v>1.1120570761718547</v>
      </c>
      <c r="E65" s="2">
        <f>E10*'Output-Calculation-sheet'!E54/10^9</f>
        <v>1.238246107175379</v>
      </c>
      <c r="F65" s="2">
        <f>F10*'Output-Calculation-sheet'!F54/10^9</f>
        <v>0.57078675396585854</v>
      </c>
      <c r="G65" s="2">
        <f>G10*'Output-Calculation-sheet'!G54/10^9</f>
        <v>0.39511511830857937</v>
      </c>
      <c r="H65" s="2">
        <f>H10*'Output-Calculation-sheet'!H54/10^9</f>
        <v>0.73841900717429909</v>
      </c>
      <c r="I65" s="2">
        <f>I10*'Output-Calculation-sheet'!I54/10^9</f>
        <v>0.3897861048298098</v>
      </c>
      <c r="J65" s="2">
        <f>J10*'Output-Calculation-sheet'!J54/10^9</f>
        <v>0.35181339557606023</v>
      </c>
      <c r="K65" s="2">
        <f>K10*'Output-Calculation-sheet'!K54/10^9</f>
        <v>0.45426889355944022</v>
      </c>
      <c r="L65" s="2">
        <f>L10*'Output-Calculation-sheet'!L54/10^9</f>
        <v>0.3752708747032889</v>
      </c>
      <c r="M65" s="2">
        <f>M10*'Output-Calculation-sheet'!M54/10^9</f>
        <v>0.51020834223604805</v>
      </c>
      <c r="N65" s="2">
        <f>N10*'Output-Calculation-sheet'!N54/10^9</f>
        <v>0.53451960945211185</v>
      </c>
      <c r="O65" s="2">
        <f>O10*'Output-Calculation-sheet'!O54/10^9</f>
        <v>0.47995616014762288</v>
      </c>
      <c r="P65" s="2">
        <f>P10*'Output-Calculation-sheet'!P54/10^9</f>
        <v>0.39927455249847255</v>
      </c>
      <c r="Q65" s="2">
        <f>Q10*'Output-Calculation-sheet'!Q54/10^9</f>
        <v>0.41155754120021742</v>
      </c>
      <c r="R65" s="2">
        <f>R10*'Output-Calculation-sheet'!R54/10^9</f>
        <v>0.32890944874236389</v>
      </c>
      <c r="S65" s="2">
        <f>S10*'Output-Calculation-sheet'!S54/10^9</f>
        <v>0.30191583293034541</v>
      </c>
      <c r="T65" s="2">
        <f>T10*'Output-Calculation-sheet'!T54/10^9</f>
        <v>0.10266936535419591</v>
      </c>
      <c r="U65" s="2">
        <f>U10*'Output-Calculation-sheet'!U54/10^9</f>
        <v>0.10345493526146467</v>
      </c>
      <c r="V65" s="2">
        <f>V10*'Output-Calculation-sheet'!V54/10^9</f>
        <v>7.687631629636342E-2</v>
      </c>
      <c r="W65" s="2">
        <f>W10*'Output-Calculation-sheet'!W54/10^9</f>
        <v>4.8013030288464244E-2</v>
      </c>
      <c r="X65" s="2">
        <f>X10*'Output-Calculation-sheet'!X54/10^9</f>
        <v>6.0787904220713465E-2</v>
      </c>
      <c r="Y65" s="2">
        <f>Y10*'Output-Calculation-sheet'!Y54/10^9</f>
        <v>4.0276241349193838E-2</v>
      </c>
      <c r="AA65" s="2">
        <f t="shared" si="4"/>
        <v>16.580499347580005</v>
      </c>
    </row>
    <row r="66" spans="1:27" x14ac:dyDescent="0.25">
      <c r="A66" s="2">
        <v>2034</v>
      </c>
      <c r="B66" s="2">
        <f>B11*'Output-Calculation-sheet'!B55/10^9</f>
        <v>4.6207170381133977</v>
      </c>
      <c r="C66" s="2">
        <f>C11*'Output-Calculation-sheet'!C55/10^9</f>
        <v>2.232481766332211</v>
      </c>
      <c r="D66" s="2">
        <f>D11*'Output-Calculation-sheet'!D55/10^9</f>
        <v>1.0103305292004356</v>
      </c>
      <c r="E66" s="2">
        <f>E11*'Output-Calculation-sheet'!E55/10^9</f>
        <v>1.1253790819367788</v>
      </c>
      <c r="F66" s="2">
        <f>F11*'Output-Calculation-sheet'!F55/10^9</f>
        <v>0.51823066373579951</v>
      </c>
      <c r="G66" s="2">
        <f>G11*'Output-Calculation-sheet'!G55/10^9</f>
        <v>0.35900586347832103</v>
      </c>
      <c r="H66" s="2">
        <f>H11*'Output-Calculation-sheet'!H55/10^9</f>
        <v>0.6675914937993207</v>
      </c>
      <c r="I66" s="2">
        <f>I11*'Output-Calculation-sheet'!I55/10^9</f>
        <v>0.35411088688744047</v>
      </c>
      <c r="J66" s="2">
        <f>J11*'Output-Calculation-sheet'!J55/10^9</f>
        <v>0.31959892227274073</v>
      </c>
      <c r="K66" s="2">
        <f>K11*'Output-Calculation-sheet'!K55/10^9</f>
        <v>0.4127525721869077</v>
      </c>
      <c r="L66" s="2">
        <f>L11*'Output-Calculation-sheet'!L55/10^9</f>
        <v>0.34097959736098299</v>
      </c>
      <c r="M66" s="2">
        <f>M11*'Output-Calculation-sheet'!M55/10^9</f>
        <v>0.46129025413900804</v>
      </c>
      <c r="N66" s="2">
        <f>N11*'Output-Calculation-sheet'!N55/10^9</f>
        <v>0.48370091574200552</v>
      </c>
      <c r="O66" s="2">
        <f>O11*'Output-Calculation-sheet'!O55/10^9</f>
        <v>0.43831615555741449</v>
      </c>
      <c r="P66" s="2">
        <f>P11*'Output-Calculation-sheet'!P55/10^9</f>
        <v>0.36322759970468427</v>
      </c>
      <c r="Q66" s="2">
        <f>Q11*'Output-Calculation-sheet'!Q55/10^9</f>
        <v>0.3743065241111172</v>
      </c>
      <c r="R66" s="2">
        <f>R11*'Output-Calculation-sheet'!R55/10^9</f>
        <v>0.29904308487754505</v>
      </c>
      <c r="S66" s="2">
        <f>S11*'Output-Calculation-sheet'!S55/10^9</f>
        <v>0.27358844615429179</v>
      </c>
      <c r="T66" s="2">
        <f>T11*'Output-Calculation-sheet'!T55/10^9</f>
        <v>9.3278160135180893E-2</v>
      </c>
      <c r="U66" s="2">
        <f>U11*'Output-Calculation-sheet'!U55/10^9</f>
        <v>9.4105651664328355E-2</v>
      </c>
      <c r="V66" s="2">
        <f>V11*'Output-Calculation-sheet'!V55/10^9</f>
        <v>6.9848443594561008E-2</v>
      </c>
      <c r="W66" s="2">
        <f>W11*'Output-Calculation-sheet'!W55/10^9</f>
        <v>4.3600841852237171E-2</v>
      </c>
      <c r="X66" s="2">
        <f>X11*'Output-Calculation-sheet'!X55/10^9</f>
        <v>5.5011885358795941E-2</v>
      </c>
      <c r="Y66" s="2">
        <f>Y11*'Output-Calculation-sheet'!Y55/10^9</f>
        <v>3.6618263943187304E-2</v>
      </c>
      <c r="AA66" s="2">
        <f t="shared" si="4"/>
        <v>15.047114642138697</v>
      </c>
    </row>
    <row r="67" spans="1:27" x14ac:dyDescent="0.25">
      <c r="A67" s="2">
        <v>2035</v>
      </c>
      <c r="B67" s="2">
        <f>B12*'Output-Calculation-sheet'!B56/10^9</f>
        <v>3.9254083316526138</v>
      </c>
      <c r="C67" s="2">
        <f>C12*'Output-Calculation-sheet'!C56/10^9</f>
        <v>1.8939217300870212</v>
      </c>
      <c r="D67" s="2">
        <f>D12*'Output-Calculation-sheet'!D56/10^9</f>
        <v>0.86013982127571897</v>
      </c>
      <c r="E67" s="2">
        <f>E12*'Output-Calculation-sheet'!E56/10^9</f>
        <v>0.95842778269672535</v>
      </c>
      <c r="F67" s="2">
        <f>F12*'Output-Calculation-sheet'!F56/10^9</f>
        <v>0.44089724002216873</v>
      </c>
      <c r="G67" s="2">
        <f>G12*'Output-Calculation-sheet'!G56/10^9</f>
        <v>0.30567225657619784</v>
      </c>
      <c r="H67" s="2">
        <f>H12*'Output-Calculation-sheet'!H56/10^9</f>
        <v>0.56536767582475533</v>
      </c>
      <c r="I67" s="2">
        <f>I12*'Output-Calculation-sheet'!I56/10^9</f>
        <v>0.301452292744255</v>
      </c>
      <c r="J67" s="2">
        <f>J12*'Output-Calculation-sheet'!J56/10^9</f>
        <v>0.27206404791528949</v>
      </c>
      <c r="K67" s="2">
        <f>K12*'Output-Calculation-sheet'!K56/10^9</f>
        <v>0.35142600197884799</v>
      </c>
      <c r="L67" s="2">
        <f>L12*'Output-Calculation-sheet'!L56/10^9</f>
        <v>0.29032442543120074</v>
      </c>
      <c r="M67" s="2">
        <f>M12*'Output-Calculation-sheet'!M56/10^9</f>
        <v>0.3906730191581565</v>
      </c>
      <c r="N67" s="2">
        <f>N12*'Output-Calculation-sheet'!N56/10^9</f>
        <v>0.41001520137961373</v>
      </c>
      <c r="O67" s="2">
        <f>O12*'Output-Calculation-sheet'!O56/10^9</f>
        <v>0.3729402804028058</v>
      </c>
      <c r="P67" s="2">
        <f>P12*'Output-Calculation-sheet'!P56/10^9</f>
        <v>0.30963574702846286</v>
      </c>
      <c r="Q67" s="2">
        <f>Q12*'Output-Calculation-sheet'!Q56/10^9</f>
        <v>0.31898889660385238</v>
      </c>
      <c r="R67" s="2">
        <f>R12*'Output-Calculation-sheet'!R56/10^9</f>
        <v>0.25477634354335332</v>
      </c>
      <c r="S67" s="2">
        <f>S12*'Output-Calculation-sheet'!S56/10^9</f>
        <v>0.23217423978139889</v>
      </c>
      <c r="T67" s="2">
        <f>T12*'Output-Calculation-sheet'!T56/10^9</f>
        <v>7.9412361751486707E-2</v>
      </c>
      <c r="U67" s="2">
        <f>U12*'Output-Calculation-sheet'!U56/10^9</f>
        <v>8.0214173770798286E-2</v>
      </c>
      <c r="V67" s="2">
        <f>V12*'Output-Calculation-sheet'!V56/10^9</f>
        <v>5.9467574411990805E-2</v>
      </c>
      <c r="W67" s="2">
        <f>W12*'Output-Calculation-sheet'!W56/10^9</f>
        <v>3.7102096255362566E-2</v>
      </c>
      <c r="X67" s="2">
        <f>X12*'Output-Calculation-sheet'!X56/10^9</f>
        <v>4.6632438767016712E-2</v>
      </c>
      <c r="Y67" s="2">
        <f>Y12*'Output-Calculation-sheet'!Y56/10^9</f>
        <v>3.1197312934157093E-2</v>
      </c>
      <c r="AA67" s="2">
        <f t="shared" si="4"/>
        <v>12.788331291993249</v>
      </c>
    </row>
    <row r="68" spans="1:27" x14ac:dyDescent="0.25">
      <c r="B68" s="2">
        <f>SUM(B60:B67)</f>
        <v>34.964334828655105</v>
      </c>
      <c r="C68" s="2">
        <f t="shared" ref="C68:Y68" si="5">SUM(C60:C67)</f>
        <v>16.812181736632176</v>
      </c>
      <c r="D68" s="2">
        <f t="shared" si="5"/>
        <v>7.6581787187238239</v>
      </c>
      <c r="E68" s="2">
        <f t="shared" si="5"/>
        <v>8.5222682133723886</v>
      </c>
      <c r="F68" s="2">
        <f t="shared" si="5"/>
        <v>3.9346464325305988</v>
      </c>
      <c r="G68" s="2">
        <f t="shared" si="5"/>
        <v>2.7206224076487824</v>
      </c>
      <c r="H68" s="2">
        <f t="shared" si="5"/>
        <v>5.1031153406411791</v>
      </c>
      <c r="I68" s="2">
        <f t="shared" si="5"/>
        <v>2.68439748555189</v>
      </c>
      <c r="J68" s="2">
        <f t="shared" si="5"/>
        <v>2.4231519898263616</v>
      </c>
      <c r="K68" s="2">
        <f t="shared" si="5"/>
        <v>3.1276653570929369</v>
      </c>
      <c r="L68" s="2">
        <f t="shared" si="5"/>
        <v>2.5837783238498222</v>
      </c>
      <c r="M68" s="2">
        <f t="shared" si="5"/>
        <v>3.525396857677574</v>
      </c>
      <c r="N68" s="2">
        <f t="shared" si="5"/>
        <v>3.6883818414496461</v>
      </c>
      <c r="O68" s="2">
        <f t="shared" si="5"/>
        <v>3.2771635720583401</v>
      </c>
      <c r="P68" s="2">
        <f t="shared" si="5"/>
        <v>2.7437688894375354</v>
      </c>
      <c r="Q68" s="2">
        <f t="shared" si="5"/>
        <v>2.8291382667509302</v>
      </c>
      <c r="R68" s="2">
        <f t="shared" si="5"/>
        <v>2.2623771533254051</v>
      </c>
      <c r="S68" s="2">
        <f t="shared" si="5"/>
        <v>2.0778231413072867</v>
      </c>
      <c r="T68" s="2">
        <f t="shared" si="5"/>
        <v>0.70700131628020413</v>
      </c>
      <c r="U68" s="2">
        <f t="shared" si="5"/>
        <v>0.711092877079885</v>
      </c>
      <c r="V68" s="2">
        <f t="shared" si="5"/>
        <v>0.52931263967105513</v>
      </c>
      <c r="W68" s="2">
        <f t="shared" si="5"/>
        <v>0.33087108794436093</v>
      </c>
      <c r="X68" s="2">
        <f t="shared" si="5"/>
        <v>0.41937548732401903</v>
      </c>
      <c r="Y68" s="2">
        <f t="shared" si="5"/>
        <v>0.27704849158574041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6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6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5566663440.2338829</v>
      </c>
      <c r="C93" s="2">
        <f>C5/'Output-Calculation-sheet'!C4*'Output-Calculation-sheet'!C76</f>
        <v>0</v>
      </c>
      <c r="D93" s="2">
        <f>D5/'Output-Calculation-sheet'!D4*'Output-Calculation-sheet'!D76</f>
        <v>3644088928.1400652</v>
      </c>
      <c r="E93" s="2">
        <f>E5/'Output-Calculation-sheet'!E4*'Output-Calculation-sheet'!E76</f>
        <v>5320964596.9471331</v>
      </c>
      <c r="F93" s="2">
        <f>F5/'Output-Calculation-sheet'!F4*'Output-Calculation-sheet'!F76</f>
        <v>2665170083.9234376</v>
      </c>
      <c r="G93" s="2">
        <f>G5/'Output-Calculation-sheet'!G4*'Output-Calculation-sheet'!G76</f>
        <v>2036541949.9149132</v>
      </c>
      <c r="H93" s="2">
        <f>H5/'Output-Calculation-sheet'!H4*'Output-Calculation-sheet'!H76</f>
        <v>0</v>
      </c>
      <c r="I93" s="2">
        <f>I5/'Output-Calculation-sheet'!I4*'Output-Calculation-sheet'!I76</f>
        <v>1383527797.5373662</v>
      </c>
      <c r="J93" s="2">
        <f>J5/'Output-Calculation-sheet'!J4*'Output-Calculation-sheet'!J76</f>
        <v>992640434.74279273</v>
      </c>
      <c r="K93" s="2">
        <f>K5/'Output-Calculation-sheet'!K4*'Output-Calculation-sheet'!K76</f>
        <v>1249698742.4550951</v>
      </c>
      <c r="L93" s="2">
        <f>L5/'Output-Calculation-sheet'!L4*'Output-Calculation-sheet'!L76</f>
        <v>824105189.10299039</v>
      </c>
      <c r="M93" s="2">
        <f>M5/'Output-Calculation-sheet'!M4*'Output-Calculation-sheet'!M76</f>
        <v>0</v>
      </c>
      <c r="N93" s="2">
        <f>N5/'Output-Calculation-sheet'!N4*'Output-Calculation-sheet'!N76</f>
        <v>390114481.30187786</v>
      </c>
      <c r="O93" s="2">
        <f>O5/'Output-Calculation-sheet'!O4*'Output-Calculation-sheet'!O76</f>
        <v>0</v>
      </c>
      <c r="P93" s="2">
        <f>P5/'Output-Calculation-sheet'!P4*'Output-Calculation-sheet'!P76</f>
        <v>1026970288.4571153</v>
      </c>
      <c r="Q93" s="2">
        <f>Q5/'Output-Calculation-sheet'!Q4*'Output-Calculation-sheet'!Q76</f>
        <v>461686922.25797492</v>
      </c>
      <c r="R93" s="2">
        <f>R5/'Output-Calculation-sheet'!R4*'Output-Calculation-sheet'!R76</f>
        <v>736803335.5207516</v>
      </c>
      <c r="S93" s="2">
        <f>S5/'Output-Calculation-sheet'!S4*'Output-Calculation-sheet'!S76</f>
        <v>244118885.78916904</v>
      </c>
      <c r="T93" s="2">
        <f>T5/'Output-Calculation-sheet'!T4*'Output-Calculation-sheet'!T76</f>
        <v>395917012.50400376</v>
      </c>
      <c r="U93" s="2">
        <f>U5/'Output-Calculation-sheet'!U4*'Output-Calculation-sheet'!U76</f>
        <v>206481425.89659199</v>
      </c>
      <c r="V93" s="2">
        <f>V5/'Output-Calculation-sheet'!V4*'Output-Calculation-sheet'!V76</f>
        <v>123534093.16394548</v>
      </c>
      <c r="W93" s="2">
        <f>W5/'Output-Calculation-sheet'!W4*'Output-Calculation-sheet'!W76</f>
        <v>411672556.32170188</v>
      </c>
      <c r="X93" s="2">
        <f>X5/'Output-Calculation-sheet'!X4*'Output-Calculation-sheet'!X76</f>
        <v>0</v>
      </c>
      <c r="Y93" s="2">
        <f>Y5/'Output-Calculation-sheet'!Y4*'Output-Calculation-sheet'!Y76</f>
        <v>172627257.38299939</v>
      </c>
      <c r="AA93" s="2">
        <f t="shared" ref="AA93:AA100" si="8">SUM(B93:Y93)/10^9</f>
        <v>27.853327421593804</v>
      </c>
    </row>
    <row r="94" spans="1:27" x14ac:dyDescent="0.25">
      <c r="A94" s="2">
        <v>2029</v>
      </c>
      <c r="B94" s="2">
        <f>B6/'Output-Calculation-sheet'!B5*'Output-Calculation-sheet'!B77</f>
        <v>7390499990.4951048</v>
      </c>
      <c r="C94" s="2">
        <f>C6/'Output-Calculation-sheet'!C5*'Output-Calculation-sheet'!C77</f>
        <v>0</v>
      </c>
      <c r="D94" s="2">
        <f>D6/'Output-Calculation-sheet'!D5*'Output-Calculation-sheet'!D77</f>
        <v>4768811915.8121033</v>
      </c>
      <c r="E94" s="2">
        <f>E6/'Output-Calculation-sheet'!E5*'Output-Calculation-sheet'!E77</f>
        <v>7108132802.5353241</v>
      </c>
      <c r="F94" s="2">
        <f>F6/'Output-Calculation-sheet'!F5*'Output-Calculation-sheet'!F77</f>
        <v>3484468954.1755366</v>
      </c>
      <c r="G94" s="2">
        <f>G6/'Output-Calculation-sheet'!G5*'Output-Calculation-sheet'!G77</f>
        <v>2697026053.5102057</v>
      </c>
      <c r="H94" s="2">
        <f>H6/'Output-Calculation-sheet'!H5*'Output-Calculation-sheet'!H77</f>
        <v>659615809.8443917</v>
      </c>
      <c r="I94" s="2">
        <f>I6/'Output-Calculation-sheet'!I5*'Output-Calculation-sheet'!I77</f>
        <v>1806968078.5354779</v>
      </c>
      <c r="J94" s="2">
        <f>J6/'Output-Calculation-sheet'!J5*'Output-Calculation-sheet'!J77</f>
        <v>1310033775.0364845</v>
      </c>
      <c r="K94" s="2">
        <f>K6/'Output-Calculation-sheet'!K5*'Output-Calculation-sheet'!K77</f>
        <v>1633413302.8018677</v>
      </c>
      <c r="L94" s="2">
        <f>L6/'Output-Calculation-sheet'!L5*'Output-Calculation-sheet'!L77</f>
        <v>1089396615.325907</v>
      </c>
      <c r="M94" s="2">
        <f>M6/'Output-Calculation-sheet'!M5*'Output-Calculation-sheet'!M77</f>
        <v>479774816.48526299</v>
      </c>
      <c r="N94" s="2">
        <f>N6/'Output-Calculation-sheet'!N5*'Output-Calculation-sheet'!N77</f>
        <v>565586042.10113823</v>
      </c>
      <c r="O94" s="2">
        <f>O6/'Output-Calculation-sheet'!O5*'Output-Calculation-sheet'!O77</f>
        <v>0</v>
      </c>
      <c r="P94" s="2">
        <f>P6/'Output-Calculation-sheet'!P5*'Output-Calculation-sheet'!P77</f>
        <v>1368604972.8951106</v>
      </c>
      <c r="Q94" s="2">
        <f>Q6/'Output-Calculation-sheet'!Q5*'Output-Calculation-sheet'!Q77</f>
        <v>623431525.90291893</v>
      </c>
      <c r="R94" s="2">
        <f>R6/'Output-Calculation-sheet'!R5*'Output-Calculation-sheet'!R77</f>
        <v>972450981.59025025</v>
      </c>
      <c r="S94" s="2">
        <f>S6/'Output-Calculation-sheet'!S5*'Output-Calculation-sheet'!S77</f>
        <v>328306930.23995799</v>
      </c>
      <c r="T94" s="2">
        <f>T6/'Output-Calculation-sheet'!T5*'Output-Calculation-sheet'!T77</f>
        <v>520316988.28541851</v>
      </c>
      <c r="U94" s="2">
        <f>U6/'Output-Calculation-sheet'!U5*'Output-Calculation-sheet'!U77</f>
        <v>265735605.8273018</v>
      </c>
      <c r="V94" s="2">
        <f>V6/'Output-Calculation-sheet'!V5*'Output-Calculation-sheet'!V77</f>
        <v>159035168.48927408</v>
      </c>
      <c r="W94" s="2">
        <f>W6/'Output-Calculation-sheet'!W5*'Output-Calculation-sheet'!W77</f>
        <v>547068202.39999545</v>
      </c>
      <c r="X94" s="2">
        <f>X6/'Output-Calculation-sheet'!X5*'Output-Calculation-sheet'!X77</f>
        <v>44743117.817296967</v>
      </c>
      <c r="Y94" s="2">
        <f>Y6/'Output-Calculation-sheet'!Y5*'Output-Calculation-sheet'!Y77</f>
        <v>230739516.93973136</v>
      </c>
      <c r="AA94" s="2">
        <f t="shared" si="8"/>
        <v>38.054161167046054</v>
      </c>
    </row>
    <row r="95" spans="1:27" x14ac:dyDescent="0.25">
      <c r="A95" s="2">
        <v>2030</v>
      </c>
      <c r="B95" s="2">
        <f>B7/'Output-Calculation-sheet'!B6*'Output-Calculation-sheet'!B78</f>
        <v>8988052881.553339</v>
      </c>
      <c r="C95" s="2">
        <f>C7/'Output-Calculation-sheet'!C6*'Output-Calculation-sheet'!C78</f>
        <v>0</v>
      </c>
      <c r="D95" s="2">
        <f>D7/'Output-Calculation-sheet'!D6*'Output-Calculation-sheet'!D78</f>
        <v>5732735025.2938633</v>
      </c>
      <c r="E95" s="2">
        <f>E7/'Output-Calculation-sheet'!E6*'Output-Calculation-sheet'!E78</f>
        <v>8713089634.6454163</v>
      </c>
      <c r="F95" s="2">
        <f>F7/'Output-Calculation-sheet'!F6*'Output-Calculation-sheet'!F78</f>
        <v>4181662334.8773317</v>
      </c>
      <c r="G95" s="2">
        <f>G7/'Output-Calculation-sheet'!G6*'Output-Calculation-sheet'!G78</f>
        <v>3279303902.3524408</v>
      </c>
      <c r="H95" s="2">
        <f>H7/'Output-Calculation-sheet'!H6*'Output-Calculation-sheet'!H78</f>
        <v>838746007.17779934</v>
      </c>
      <c r="I95" s="2">
        <f>I7/'Output-Calculation-sheet'!I6*'Output-Calculation-sheet'!I78</f>
        <v>2164241432.5814676</v>
      </c>
      <c r="J95" s="2">
        <f>J7/'Output-Calculation-sheet'!J6*'Output-Calculation-sheet'!J78</f>
        <v>1587221817.3574221</v>
      </c>
      <c r="K95" s="2">
        <f>K7/'Output-Calculation-sheet'!K6*'Output-Calculation-sheet'!K78</f>
        <v>1956507508.7056432</v>
      </c>
      <c r="L95" s="2">
        <f>L7/'Output-Calculation-sheet'!L6*'Output-Calculation-sheet'!L78</f>
        <v>1323470450.5055785</v>
      </c>
      <c r="M95" s="2">
        <f>M7/'Output-Calculation-sheet'!M6*'Output-Calculation-sheet'!M78</f>
        <v>615347858.65847147</v>
      </c>
      <c r="N95" s="2">
        <f>N7/'Output-Calculation-sheet'!N6*'Output-Calculation-sheet'!N78</f>
        <v>718074811.70019794</v>
      </c>
      <c r="O95" s="2">
        <f>O7/'Output-Calculation-sheet'!O6*'Output-Calculation-sheet'!O78</f>
        <v>0</v>
      </c>
      <c r="P95" s="2">
        <f>P7/'Output-Calculation-sheet'!P6*'Output-Calculation-sheet'!P78</f>
        <v>1665395169.2545445</v>
      </c>
      <c r="Q95" s="2">
        <f>Q7/'Output-Calculation-sheet'!Q6*'Output-Calculation-sheet'!Q78</f>
        <v>768862399.55820262</v>
      </c>
      <c r="R95" s="2">
        <f>R7/'Output-Calculation-sheet'!R6*'Output-Calculation-sheet'!R78</f>
        <v>1176700572.592907</v>
      </c>
      <c r="S95" s="2">
        <f>S7/'Output-Calculation-sheet'!S6*'Output-Calculation-sheet'!S78</f>
        <v>416903112.26363331</v>
      </c>
      <c r="T95" s="2">
        <f>T7/'Output-Calculation-sheet'!T6*'Output-Calculation-sheet'!T78</f>
        <v>627890938.10911441</v>
      </c>
      <c r="U95" s="2">
        <f>U7/'Output-Calculation-sheet'!U6*'Output-Calculation-sheet'!U78</f>
        <v>313161513.90728885</v>
      </c>
      <c r="V95" s="2">
        <f>V7/'Output-Calculation-sheet'!V6*'Output-Calculation-sheet'!V78</f>
        <v>187689648.84052458</v>
      </c>
      <c r="W95" s="2">
        <f>W7/'Output-Calculation-sheet'!W6*'Output-Calculation-sheet'!W78</f>
        <v>667780404.40357232</v>
      </c>
      <c r="X95" s="2">
        <f>X7/'Output-Calculation-sheet'!X6*'Output-Calculation-sheet'!X78</f>
        <v>58231264.503207512</v>
      </c>
      <c r="Y95" s="2">
        <f>Y7/'Output-Calculation-sheet'!Y6*'Output-Calculation-sheet'!Y78</f>
        <v>283385460.28698313</v>
      </c>
      <c r="AA95" s="2">
        <f t="shared" si="8"/>
        <v>46.264454149128937</v>
      </c>
    </row>
    <row r="96" spans="1:27" x14ac:dyDescent="0.25">
      <c r="A96" s="2">
        <v>2031</v>
      </c>
      <c r="B96" s="2">
        <f>B8/'Output-Calculation-sheet'!B7*'Output-Calculation-sheet'!B79</f>
        <v>10264062416.585014</v>
      </c>
      <c r="C96" s="2">
        <f>C8/'Output-Calculation-sheet'!C7*'Output-Calculation-sheet'!C79</f>
        <v>0</v>
      </c>
      <c r="D96" s="2">
        <f>D8/'Output-Calculation-sheet'!D7*'Output-Calculation-sheet'!D79</f>
        <v>6247650298.4285355</v>
      </c>
      <c r="E96" s="2">
        <f>E8/'Output-Calculation-sheet'!E7*'Output-Calculation-sheet'!E79</f>
        <v>9786042279.5838585</v>
      </c>
      <c r="F96" s="2">
        <f>F8/'Output-Calculation-sheet'!F7*'Output-Calculation-sheet'!F79</f>
        <v>4684356004.6064749</v>
      </c>
      <c r="G96" s="2">
        <f>G8/'Output-Calculation-sheet'!G7*'Output-Calculation-sheet'!G79</f>
        <v>3571123445.1070352</v>
      </c>
      <c r="H96" s="2">
        <f>H8/'Output-Calculation-sheet'!H7*'Output-Calculation-sheet'!H79</f>
        <v>965147470.97814918</v>
      </c>
      <c r="I96" s="2">
        <f>I8/'Output-Calculation-sheet'!I7*'Output-Calculation-sheet'!I79</f>
        <v>2449021177.3666568</v>
      </c>
      <c r="J96" s="2">
        <f>J8/'Output-Calculation-sheet'!J7*'Output-Calculation-sheet'!J79</f>
        <v>1743274893.6979554</v>
      </c>
      <c r="K96" s="2">
        <f>K8/'Output-Calculation-sheet'!K7*'Output-Calculation-sheet'!K79</f>
        <v>2172686442.591763</v>
      </c>
      <c r="L96" s="2">
        <f>L8/'Output-Calculation-sheet'!L7*'Output-Calculation-sheet'!L79</f>
        <v>1511882902.4164462</v>
      </c>
      <c r="M96" s="2">
        <f>M8/'Output-Calculation-sheet'!M7*'Output-Calculation-sheet'!M79</f>
        <v>715489591.33573616</v>
      </c>
      <c r="N96" s="2">
        <f>N8/'Output-Calculation-sheet'!N7*'Output-Calculation-sheet'!N79</f>
        <v>797417089.49038446</v>
      </c>
      <c r="O96" s="2">
        <f>O8/'Output-Calculation-sheet'!O7*'Output-Calculation-sheet'!O79</f>
        <v>0</v>
      </c>
      <c r="P96" s="2">
        <f>P8/'Output-Calculation-sheet'!P7*'Output-Calculation-sheet'!P79</f>
        <v>1844234827.7950532</v>
      </c>
      <c r="Q96" s="2">
        <f>Q8/'Output-Calculation-sheet'!Q7*'Output-Calculation-sheet'!Q79</f>
        <v>856187419.91811347</v>
      </c>
      <c r="R96" s="2">
        <f>R8/'Output-Calculation-sheet'!R7*'Output-Calculation-sheet'!R79</f>
        <v>1320983189.0595202</v>
      </c>
      <c r="S96" s="2">
        <f>S8/'Output-Calculation-sheet'!S7*'Output-Calculation-sheet'!S79</f>
        <v>483858456.22967869</v>
      </c>
      <c r="T96" s="2">
        <f>T8/'Output-Calculation-sheet'!T7*'Output-Calculation-sheet'!T79</f>
        <v>692405535.27138436</v>
      </c>
      <c r="U96" s="2">
        <f>U8/'Output-Calculation-sheet'!U7*'Output-Calculation-sheet'!U79</f>
        <v>351558451.38676882</v>
      </c>
      <c r="V96" s="2">
        <f>V8/'Output-Calculation-sheet'!V7*'Output-Calculation-sheet'!V79</f>
        <v>213118120.64422646</v>
      </c>
      <c r="W96" s="2">
        <f>W8/'Output-Calculation-sheet'!W7*'Output-Calculation-sheet'!W79</f>
        <v>742172822.03946483</v>
      </c>
      <c r="X96" s="2">
        <f>X8/'Output-Calculation-sheet'!X7*'Output-Calculation-sheet'!X79</f>
        <v>69195032.639705449</v>
      </c>
      <c r="Y96" s="2">
        <f>Y8/'Output-Calculation-sheet'!Y7*'Output-Calculation-sheet'!Y79</f>
        <v>315701241.56762803</v>
      </c>
      <c r="AA96" s="2">
        <f t="shared" si="8"/>
        <v>51.797569108739545</v>
      </c>
    </row>
    <row r="97" spans="1:27" x14ac:dyDescent="0.25">
      <c r="A97" s="2">
        <v>2032</v>
      </c>
      <c r="B97" s="2">
        <f>B9/'Output-Calculation-sheet'!B8*'Output-Calculation-sheet'!B80</f>
        <v>10769306345.142006</v>
      </c>
      <c r="C97" s="2">
        <f>C9/'Output-Calculation-sheet'!C8*'Output-Calculation-sheet'!C80</f>
        <v>0</v>
      </c>
      <c r="D97" s="2">
        <f>D9/'Output-Calculation-sheet'!D8*'Output-Calculation-sheet'!D80</f>
        <v>6251921049.2194738</v>
      </c>
      <c r="E97" s="2">
        <f>E9/'Output-Calculation-sheet'!E8*'Output-Calculation-sheet'!E80</f>
        <v>10086384585.092663</v>
      </c>
      <c r="F97" s="2">
        <f>F9/'Output-Calculation-sheet'!F8*'Output-Calculation-sheet'!F80</f>
        <v>4811365976.2736111</v>
      </c>
      <c r="G97" s="2">
        <f>G9/'Output-Calculation-sheet'!G8*'Output-Calculation-sheet'!G80</f>
        <v>3562698060.6766286</v>
      </c>
      <c r="H97" s="2">
        <f>H9/'Output-Calculation-sheet'!H8*'Output-Calculation-sheet'!H80</f>
        <v>1017439445.8606458</v>
      </c>
      <c r="I97" s="2">
        <f>I9/'Output-Calculation-sheet'!I8*'Output-Calculation-sheet'!I80</f>
        <v>2540476855.0342326</v>
      </c>
      <c r="J97" s="2">
        <f>J9/'Output-Calculation-sheet'!J8*'Output-Calculation-sheet'!J80</f>
        <v>1756973974.9270835</v>
      </c>
      <c r="K97" s="2">
        <f>K9/'Output-Calculation-sheet'!K8*'Output-Calculation-sheet'!K80</f>
        <v>2210121298.2927756</v>
      </c>
      <c r="L97" s="2">
        <f>L9/'Output-Calculation-sheet'!L8*'Output-Calculation-sheet'!L80</f>
        <v>1586832357.5430958</v>
      </c>
      <c r="M97" s="2">
        <f>M9/'Output-Calculation-sheet'!M8*'Output-Calculation-sheet'!M80</f>
        <v>755590232.14580941</v>
      </c>
      <c r="N97" s="2">
        <f>N9/'Output-Calculation-sheet'!N8*'Output-Calculation-sheet'!N80</f>
        <v>804246625.31197059</v>
      </c>
      <c r="O97" s="2">
        <f>O9/'Output-Calculation-sheet'!O8*'Output-Calculation-sheet'!O80</f>
        <v>0</v>
      </c>
      <c r="P97" s="2">
        <f>P9/'Output-Calculation-sheet'!P8*'Output-Calculation-sheet'!P80</f>
        <v>1882071168.0164802</v>
      </c>
      <c r="Q97" s="2">
        <f>Q9/'Output-Calculation-sheet'!Q8*'Output-Calculation-sheet'!Q80</f>
        <v>877514699.96599686</v>
      </c>
      <c r="R97" s="2">
        <f>R9/'Output-Calculation-sheet'!R8*'Output-Calculation-sheet'!R80</f>
        <v>1360077981.0986247</v>
      </c>
      <c r="S97" s="2">
        <f>S9/'Output-Calculation-sheet'!S8*'Output-Calculation-sheet'!S80</f>
        <v>512465963.18803024</v>
      </c>
      <c r="T97" s="2">
        <f>T9/'Output-Calculation-sheet'!T8*'Output-Calculation-sheet'!T80</f>
        <v>699398931.41223609</v>
      </c>
      <c r="U97" s="2">
        <f>U9/'Output-Calculation-sheet'!U8*'Output-Calculation-sheet'!U80</f>
        <v>362120788.06534976</v>
      </c>
      <c r="V97" s="2">
        <f>V9/'Output-Calculation-sheet'!V8*'Output-Calculation-sheet'!V80</f>
        <v>221993617.82437754</v>
      </c>
      <c r="W97" s="2">
        <f>W9/'Output-Calculation-sheet'!W8*'Output-Calculation-sheet'!W80</f>
        <v>755772177.90220118</v>
      </c>
      <c r="X97" s="2">
        <f>X9/'Output-Calculation-sheet'!X8*'Output-Calculation-sheet'!X80</f>
        <v>74824433.700149432</v>
      </c>
      <c r="Y97" s="2">
        <f>Y9/'Output-Calculation-sheet'!Y8*'Output-Calculation-sheet'!Y80</f>
        <v>321811512.28179616</v>
      </c>
      <c r="AA97" s="2">
        <f t="shared" si="8"/>
        <v>53.221408078975259</v>
      </c>
    </row>
    <row r="98" spans="1:27" x14ac:dyDescent="0.25">
      <c r="A98" s="2">
        <v>2033</v>
      </c>
      <c r="B98" s="2">
        <f>B10/'Output-Calculation-sheet'!B9*'Output-Calculation-sheet'!B81</f>
        <v>10984589009.025942</v>
      </c>
      <c r="C98" s="2">
        <f>C10/'Output-Calculation-sheet'!C9*'Output-Calculation-sheet'!C81</f>
        <v>1438654112.7621312</v>
      </c>
      <c r="D98" s="2">
        <f>D10/'Output-Calculation-sheet'!D9*'Output-Calculation-sheet'!D81</f>
        <v>5856255870.0138054</v>
      </c>
      <c r="E98" s="2">
        <f>E10/'Output-Calculation-sheet'!E9*'Output-Calculation-sheet'!E81</f>
        <v>9723423774.7726231</v>
      </c>
      <c r="F98" s="2">
        <f>F10/'Output-Calculation-sheet'!F9*'Output-Calculation-sheet'!F81</f>
        <v>4629228437.4531031</v>
      </c>
      <c r="G98" s="2">
        <f>G10/'Output-Calculation-sheet'!G9*'Output-Calculation-sheet'!G81</f>
        <v>3324134453.525075</v>
      </c>
      <c r="H98" s="2">
        <f>H10/'Output-Calculation-sheet'!H9*'Output-Calculation-sheet'!H81</f>
        <v>1001808644.5142034</v>
      </c>
      <c r="I98" s="2">
        <f>I10/'Output-Calculation-sheet'!I9*'Output-Calculation-sheet'!I81</f>
        <v>2467265822.6426806</v>
      </c>
      <c r="J98" s="2">
        <f>J10/'Output-Calculation-sheet'!J9*'Output-Calculation-sheet'!J81</f>
        <v>1659060984.6639774</v>
      </c>
      <c r="K98" s="2">
        <f>K10/'Output-Calculation-sheet'!K9*'Output-Calculation-sheet'!K81</f>
        <v>2106950984.3616035</v>
      </c>
      <c r="L98" s="2">
        <f>L10/'Output-Calculation-sheet'!L9*'Output-Calculation-sheet'!L81</f>
        <v>1557758528.8539472</v>
      </c>
      <c r="M98" s="2">
        <f>M10/'Output-Calculation-sheet'!M9*'Output-Calculation-sheet'!M81</f>
        <v>746952902.7612958</v>
      </c>
      <c r="N98" s="2">
        <f>N10/'Output-Calculation-sheet'!N9*'Output-Calculation-sheet'!N81</f>
        <v>760102796.55778754</v>
      </c>
      <c r="O98" s="2">
        <f>O10/'Output-Calculation-sheet'!O9*'Output-Calculation-sheet'!O81</f>
        <v>0</v>
      </c>
      <c r="P98" s="2">
        <f>P10/'Output-Calculation-sheet'!P9*'Output-Calculation-sheet'!P81</f>
        <v>1792487193.1982605</v>
      </c>
      <c r="Q98" s="2">
        <f>Q10/'Output-Calculation-sheet'!Q9*'Output-Calculation-sheet'!Q81</f>
        <v>841369021.02074289</v>
      </c>
      <c r="R98" s="2">
        <f>R10/'Output-Calculation-sheet'!R9*'Output-Calculation-sheet'!R81</f>
        <v>1312918962.1543748</v>
      </c>
      <c r="S98" s="2">
        <f>S10/'Output-Calculation-sheet'!S9*'Output-Calculation-sheet'!S81</f>
        <v>498538105.2357859</v>
      </c>
      <c r="T98" s="2">
        <f>T10/'Output-Calculation-sheet'!T9*'Output-Calculation-sheet'!T81</f>
        <v>661717470.09515452</v>
      </c>
      <c r="U98" s="2">
        <f>U10/'Output-Calculation-sheet'!U9*'Output-Calculation-sheet'!U81</f>
        <v>348791989.76455075</v>
      </c>
      <c r="V98" s="2">
        <f>V10/'Output-Calculation-sheet'!V9*'Output-Calculation-sheet'!V81</f>
        <v>216144854.66508409</v>
      </c>
      <c r="W98" s="2">
        <f>W10/'Output-Calculation-sheet'!W9*'Output-Calculation-sheet'!W81</f>
        <v>718604974.93333089</v>
      </c>
      <c r="X98" s="2">
        <f>X10/'Output-Calculation-sheet'!X9*'Output-Calculation-sheet'!X81</f>
        <v>74753915.052905217</v>
      </c>
      <c r="Y98" s="2">
        <f>Y10/'Output-Calculation-sheet'!Y9*'Output-Calculation-sheet'!Y81</f>
        <v>306776594.07433569</v>
      </c>
      <c r="AA98" s="2">
        <f t="shared" si="8"/>
        <v>53.0282894021027</v>
      </c>
    </row>
    <row r="99" spans="1:27" x14ac:dyDescent="0.25">
      <c r="A99" s="2">
        <v>2034</v>
      </c>
      <c r="B99" s="2">
        <f>B11/'Output-Calculation-sheet'!B10*'Output-Calculation-sheet'!B82</f>
        <v>10321237572.760675</v>
      </c>
      <c r="C99" s="2">
        <f>C11/'Output-Calculation-sheet'!C10*'Output-Calculation-sheet'!C82</f>
        <v>1399813494.411695</v>
      </c>
      <c r="D99" s="2">
        <f>D11/'Output-Calculation-sheet'!D10*'Output-Calculation-sheet'!D82</f>
        <v>5149824172.2749519</v>
      </c>
      <c r="E99" s="2">
        <f>E11/'Output-Calculation-sheet'!E10*'Output-Calculation-sheet'!E82</f>
        <v>8807070246.586483</v>
      </c>
      <c r="F99" s="2">
        <f>F11/'Output-Calculation-sheet'!F10*'Output-Calculation-sheet'!F82</f>
        <v>4182549786.8913202</v>
      </c>
      <c r="G99" s="2">
        <f>G11/'Output-Calculation-sheet'!G10*'Output-Calculation-sheet'!G82</f>
        <v>2905431100.7095652</v>
      </c>
      <c r="H99" s="2">
        <f>H11/'Output-Calculation-sheet'!H10*'Output-Calculation-sheet'!H82</f>
        <v>927102850.62879062</v>
      </c>
      <c r="I99" s="2">
        <f>I11/'Output-Calculation-sheet'!I10*'Output-Calculation-sheet'!I82</f>
        <v>2252234771.8922687</v>
      </c>
      <c r="J99" s="2">
        <f>J11/'Output-Calculation-sheet'!J10*'Output-Calculation-sheet'!J82</f>
        <v>1471464101.7776878</v>
      </c>
      <c r="K99" s="2">
        <f>K11/'Output-Calculation-sheet'!K10*'Output-Calculation-sheet'!K82</f>
        <v>1886678924.1512446</v>
      </c>
      <c r="L99" s="2">
        <f>L11/'Output-Calculation-sheet'!L10*'Output-Calculation-sheet'!L82</f>
        <v>1434633372.8228366</v>
      </c>
      <c r="M99" s="2">
        <f>M11/'Output-Calculation-sheet'!M10*'Output-Calculation-sheet'!M82</f>
        <v>693502212.16848147</v>
      </c>
      <c r="N99" s="2">
        <f>N11/'Output-Calculation-sheet'!N10*'Output-Calculation-sheet'!N82</f>
        <v>676828167.39574456</v>
      </c>
      <c r="O99" s="2">
        <f>O11/'Output-Calculation-sheet'!O10*'Output-Calculation-sheet'!O82</f>
        <v>0</v>
      </c>
      <c r="P99" s="2">
        <f>P11/'Output-Calculation-sheet'!P10*'Output-Calculation-sheet'!P82</f>
        <v>1600854137.94559</v>
      </c>
      <c r="Q99" s="2">
        <f>Q11/'Output-Calculation-sheet'!Q10*'Output-Calculation-sheet'!Q82</f>
        <v>758016245.15558839</v>
      </c>
      <c r="R99" s="2">
        <f>R11/'Output-Calculation-sheet'!R10*'Output-Calculation-sheet'!R82</f>
        <v>1189578201.2698598</v>
      </c>
      <c r="S99" s="2">
        <f>S11/'Output-Calculation-sheet'!S10*'Output-Calculation-sheet'!S82</f>
        <v>463500544.23319602</v>
      </c>
      <c r="T99" s="2">
        <f>T11/'Output-Calculation-sheet'!T10*'Output-Calculation-sheet'!T82</f>
        <v>587746058.6230365</v>
      </c>
      <c r="U99" s="2">
        <f>U11/'Output-Calculation-sheet'!U10*'Output-Calculation-sheet'!U82</f>
        <v>315928932.70664126</v>
      </c>
      <c r="V99" s="2">
        <f>V11/'Output-Calculation-sheet'!V10*'Output-Calculation-sheet'!V82</f>
        <v>197638016.90971202</v>
      </c>
      <c r="W99" s="2">
        <f>W11/'Output-Calculation-sheet'!W10*'Output-Calculation-sheet'!W82</f>
        <v>640660475.96942854</v>
      </c>
      <c r="X99" s="2">
        <f>X11/'Output-Calculation-sheet'!X10*'Output-Calculation-sheet'!X82</f>
        <v>70494690.895599782</v>
      </c>
      <c r="Y99" s="2">
        <f>Y11/'Output-Calculation-sheet'!Y10*'Output-Calculation-sheet'!Y82</f>
        <v>274122541.48233896</v>
      </c>
      <c r="AA99" s="2">
        <f t="shared" si="8"/>
        <v>48.206910619662729</v>
      </c>
    </row>
    <row r="100" spans="1:27" x14ac:dyDescent="0.25">
      <c r="A100" s="2">
        <v>2035</v>
      </c>
      <c r="B100" s="2">
        <f>B12/'Output-Calculation-sheet'!B11*'Output-Calculation-sheet'!B83</f>
        <v>8939576230.3985119</v>
      </c>
      <c r="C100" s="2">
        <f>C12/'Output-Calculation-sheet'!C11*'Output-Calculation-sheet'!C83</f>
        <v>1264817754.9320536</v>
      </c>
      <c r="D100" s="2">
        <f>D12/'Output-Calculation-sheet'!D11*'Output-Calculation-sheet'!D83</f>
        <v>4251711832.372334</v>
      </c>
      <c r="E100" s="2">
        <f>E12/'Output-Calculation-sheet'!E11*'Output-Calculation-sheet'!E83</f>
        <v>7480108185.784852</v>
      </c>
      <c r="F100" s="2">
        <f>F12/'Output-Calculation-sheet'!F11*'Output-Calculation-sheet'!F83</f>
        <v>3544873653.325788</v>
      </c>
      <c r="G100" s="2">
        <f>G12/'Output-Calculation-sheet'!G11*'Output-Calculation-sheet'!G83</f>
        <v>2377454900.8080072</v>
      </c>
      <c r="H100" s="2">
        <f>H12/'Output-Calculation-sheet'!H11*'Output-Calculation-sheet'!H83</f>
        <v>801103191.95171702</v>
      </c>
      <c r="I100" s="2">
        <f>I12/'Output-Calculation-sheet'!I11*'Output-Calculation-sheet'!I83</f>
        <v>1926290798.4368069</v>
      </c>
      <c r="J100" s="2">
        <f>J12/'Output-Calculation-sheet'!J11*'Output-Calculation-sheet'!J83</f>
        <v>1223808927.319557</v>
      </c>
      <c r="K100" s="2">
        <f>K12/'Output-Calculation-sheet'!K11*'Output-Calculation-sheet'!K83</f>
        <v>1584114955.6160944</v>
      </c>
      <c r="L100" s="2">
        <f>L12/'Output-Calculation-sheet'!L11*'Output-Calculation-sheet'!L83</f>
        <v>1237724709.7983615</v>
      </c>
      <c r="M100" s="2">
        <f>M12/'Output-Calculation-sheet'!M11*'Output-Calculation-sheet'!M83</f>
        <v>600466026.65628612</v>
      </c>
      <c r="N100" s="2">
        <f>N12/'Output-Calculation-sheet'!N11*'Output-Calculation-sheet'!N83</f>
        <v>565657596.91115916</v>
      </c>
      <c r="O100" s="2">
        <f>O12/'Output-Calculation-sheet'!O11*'Output-Calculation-sheet'!O83</f>
        <v>152607430.67472106</v>
      </c>
      <c r="P100" s="2">
        <f>P12/'Output-Calculation-sheet'!P11*'Output-Calculation-sheet'!P83</f>
        <v>1339943288.3729124</v>
      </c>
      <c r="Q100" s="2">
        <f>Q12/'Output-Calculation-sheet'!Q11*'Output-Calculation-sheet'!Q83</f>
        <v>642606111.21838439</v>
      </c>
      <c r="R100" s="2">
        <f>R12/'Output-Calculation-sheet'!R11*'Output-Calculation-sheet'!R83</f>
        <v>1012231878.2077996</v>
      </c>
      <c r="S100" s="2">
        <f>S12/'Output-Calculation-sheet'!S11*'Output-Calculation-sheet'!S83</f>
        <v>392596490.79317045</v>
      </c>
      <c r="T100" s="2">
        <f>T12/'Output-Calculation-sheet'!T11*'Output-Calculation-sheet'!T83</f>
        <v>489349290.11244226</v>
      </c>
      <c r="U100" s="2">
        <f>U12/'Output-Calculation-sheet'!U11*'Output-Calculation-sheet'!U83</f>
        <v>268062749.64359438</v>
      </c>
      <c r="V100" s="2">
        <f>V12/'Output-Calculation-sheet'!V11*'Output-Calculation-sheet'!V83</f>
        <v>169427990.86188814</v>
      </c>
      <c r="W100" s="2">
        <f>W12/'Output-Calculation-sheet'!W11*'Output-Calculation-sheet'!W83</f>
        <v>534630769.409904</v>
      </c>
      <c r="X100" s="2">
        <f>X12/'Output-Calculation-sheet'!X11*'Output-Calculation-sheet'!X83</f>
        <v>62210992.651085198</v>
      </c>
      <c r="Y100" s="2">
        <f>Y12/'Output-Calculation-sheet'!Y11*'Output-Calculation-sheet'!Y83</f>
        <v>229544609.11746231</v>
      </c>
      <c r="AA100" s="2">
        <f t="shared" si="8"/>
        <v>41.090920365374878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64246-DF73-449B-B346-25B90C56EDBD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94498368606.833923</v>
      </c>
      <c r="C8" s="2">
        <v>44532386515.304863</v>
      </c>
      <c r="D8" s="2">
        <v>39690395240.78627</v>
      </c>
      <c r="E8" s="2">
        <v>31490300969.32497</v>
      </c>
      <c r="F8" s="2">
        <v>20271436752.465412</v>
      </c>
      <c r="G8" s="2">
        <v>14243267796.847744</v>
      </c>
      <c r="H8" s="2">
        <v>13893760982.590773</v>
      </c>
      <c r="I8" s="2">
        <v>12976738153.104694</v>
      </c>
      <c r="J8" s="2">
        <v>12630660658.183683</v>
      </c>
      <c r="K8" s="2">
        <v>12509575579.592945</v>
      </c>
      <c r="L8" s="2">
        <v>10035344171.734314</v>
      </c>
      <c r="M8" s="2">
        <v>9585483915.7600212</v>
      </c>
      <c r="N8" s="2">
        <v>9408124779.6104031</v>
      </c>
      <c r="O8" s="2">
        <v>8652681372.6797581</v>
      </c>
      <c r="P8" s="2">
        <v>8564647181.0491056</v>
      </c>
      <c r="Q8" s="2">
        <v>8426228640.7493219</v>
      </c>
      <c r="R8" s="2">
        <v>8106419524.3136864</v>
      </c>
      <c r="S8" s="2">
        <v>5387941681.1690569</v>
      </c>
      <c r="T8" s="2">
        <v>2979850112.3291917</v>
      </c>
      <c r="U8" s="2">
        <v>2595347630.6209431</v>
      </c>
      <c r="V8" s="2">
        <v>1998469582.5307398</v>
      </c>
      <c r="W8" s="2">
        <v>1730231753.7472937</v>
      </c>
      <c r="X8" s="2">
        <v>1038139052.2483771</v>
      </c>
      <c r="Y8" s="2">
        <v>1009579846.9210224</v>
      </c>
    </row>
    <row r="9" spans="1:27" x14ac:dyDescent="0.25">
      <c r="A9" s="2">
        <v>2032</v>
      </c>
      <c r="B9" s="2">
        <v>100095429294.80331</v>
      </c>
      <c r="C9" s="2">
        <v>47170003159.70739</v>
      </c>
      <c r="D9" s="2">
        <v>42041224722.472229</v>
      </c>
      <c r="E9" s="2">
        <v>33355445608.39323</v>
      </c>
      <c r="F9" s="2">
        <v>21472097286.701096</v>
      </c>
      <c r="G9" s="2">
        <v>15086884839.440704</v>
      </c>
      <c r="H9" s="2">
        <v>14716677023.895615</v>
      </c>
      <c r="I9" s="2">
        <v>13745339686.07933</v>
      </c>
      <c r="J9" s="2">
        <v>13378764305.635315</v>
      </c>
      <c r="K9" s="2">
        <v>13250507457.380495</v>
      </c>
      <c r="L9" s="2">
        <v>10629729357.234699</v>
      </c>
      <c r="M9" s="2">
        <v>10153224248.117285</v>
      </c>
      <c r="N9" s="2">
        <v>9965360276.135788</v>
      </c>
      <c r="O9" s="2">
        <v>9165172577.2427177</v>
      </c>
      <c r="P9" s="2">
        <v>9071924192.8123646</v>
      </c>
      <c r="Q9" s="2">
        <v>8925307236.1608524</v>
      </c>
      <c r="R9" s="2">
        <v>8586556088.6653643</v>
      </c>
      <c r="S9" s="2">
        <v>5707065037.6601238</v>
      </c>
      <c r="T9" s="2">
        <v>3156344184.8263621</v>
      </c>
      <c r="U9" s="2">
        <v>2749067937.2158699</v>
      </c>
      <c r="V9" s="2">
        <v>2116837293.0149655</v>
      </c>
      <c r="W9" s="2">
        <v>1832711958.1439121</v>
      </c>
      <c r="X9" s="2">
        <v>1099627174.886348</v>
      </c>
      <c r="Y9" s="2">
        <v>1069376431.3052227</v>
      </c>
    </row>
    <row r="10" spans="1:27" x14ac:dyDescent="0.25">
      <c r="A10" s="2">
        <v>2033</v>
      </c>
      <c r="B10" s="2">
        <v>101562886816.75562</v>
      </c>
      <c r="C10" s="2">
        <v>47861542987.598618</v>
      </c>
      <c r="D10" s="2">
        <v>42657573659.538849</v>
      </c>
      <c r="E10" s="2">
        <v>33844455944.838722</v>
      </c>
      <c r="F10" s="2">
        <v>21786890788.237106</v>
      </c>
      <c r="G10" s="2">
        <v>15308067392.894371</v>
      </c>
      <c r="H10" s="2">
        <v>14932432114.302919</v>
      </c>
      <c r="I10" s="2">
        <v>13946854403.147173</v>
      </c>
      <c r="J10" s="2">
        <v>13574904813.279362</v>
      </c>
      <c r="K10" s="2">
        <v>13444767644.633898</v>
      </c>
      <c r="L10" s="2">
        <v>10785567405.1005</v>
      </c>
      <c r="M10" s="2">
        <v>10302076452.458065</v>
      </c>
      <c r="N10" s="2">
        <v>10111458284.798203</v>
      </c>
      <c r="O10" s="2">
        <v>9299539366.3480816</v>
      </c>
      <c r="P10" s="2">
        <v>9204923906.0771408</v>
      </c>
      <c r="Q10" s="2">
        <v>9056157459.110239</v>
      </c>
      <c r="R10" s="2">
        <v>8712440021.7155571</v>
      </c>
      <c r="S10" s="2">
        <v>5790733948.1866922</v>
      </c>
      <c r="T10" s="2">
        <v>3202618036.1752796</v>
      </c>
      <c r="U10" s="2">
        <v>2789370880.6294384</v>
      </c>
      <c r="V10" s="2">
        <v>2147871365.5022817</v>
      </c>
      <c r="W10" s="2">
        <v>1859580587.0862911</v>
      </c>
      <c r="X10" s="2">
        <v>1115748352.2517753</v>
      </c>
      <c r="Y10" s="2">
        <v>1085054115.0813274</v>
      </c>
    </row>
    <row r="11" spans="1:27" x14ac:dyDescent="0.25">
      <c r="A11" s="2">
        <v>2034</v>
      </c>
      <c r="B11" s="2">
        <v>99492697554.035187</v>
      </c>
      <c r="C11" s="2">
        <v>46885965633.550705</v>
      </c>
      <c r="D11" s="2">
        <v>41788070500.15136</v>
      </c>
      <c r="E11" s="2">
        <v>33154593422.261627</v>
      </c>
      <c r="F11" s="2">
        <v>21342801526.977257</v>
      </c>
      <c r="G11" s="2">
        <v>14996038090.232386</v>
      </c>
      <c r="H11" s="2">
        <v>14628059507.357374</v>
      </c>
      <c r="I11" s="2">
        <v>13662571146.348719</v>
      </c>
      <c r="J11" s="2">
        <v>13298203125.608681</v>
      </c>
      <c r="K11" s="2">
        <v>13170718585.080187</v>
      </c>
      <c r="L11" s="2">
        <v>10565721686.509693</v>
      </c>
      <c r="M11" s="2">
        <v>10092085886.769606</v>
      </c>
      <c r="N11" s="2">
        <v>9905353151.045927</v>
      </c>
      <c r="O11" s="2">
        <v>9109983839.2469807</v>
      </c>
      <c r="P11" s="2">
        <v>9017296956.5901604</v>
      </c>
      <c r="Q11" s="2">
        <v>8871562864.362442</v>
      </c>
      <c r="R11" s="2">
        <v>8534851530.9749069</v>
      </c>
      <c r="S11" s="2">
        <v>5672699539.963975</v>
      </c>
      <c r="T11" s="2">
        <v>3137338034.0122166</v>
      </c>
      <c r="U11" s="2">
        <v>2732514229.2697477</v>
      </c>
      <c r="V11" s="2">
        <v>2104090606.8222926</v>
      </c>
      <c r="W11" s="2">
        <v>1821676152.8464971</v>
      </c>
      <c r="X11" s="2">
        <v>1093005691.7078989</v>
      </c>
      <c r="Y11" s="2">
        <v>1062937105.1290128</v>
      </c>
    </row>
    <row r="12" spans="1:27" x14ac:dyDescent="0.25">
      <c r="A12" s="2">
        <v>2035</v>
      </c>
      <c r="B12" s="2">
        <v>94422210588.068222</v>
      </c>
      <c r="C12" s="2">
        <v>44496497024.53466</v>
      </c>
      <c r="D12" s="2">
        <v>39658408002.169037</v>
      </c>
      <c r="E12" s="2">
        <v>31464922341.444763</v>
      </c>
      <c r="F12" s="2">
        <v>20255099618.995678</v>
      </c>
      <c r="G12" s="2">
        <v>14231788878.511383</v>
      </c>
      <c r="H12" s="2">
        <v>13882563738.392403</v>
      </c>
      <c r="I12" s="2">
        <v>12966279954.911945</v>
      </c>
      <c r="J12" s="2">
        <v>12620481370.375748</v>
      </c>
      <c r="K12" s="2">
        <v>12499493876.535135</v>
      </c>
      <c r="L12" s="2">
        <v>10027256498.465254</v>
      </c>
      <c r="M12" s="2">
        <v>9577758793.3616428</v>
      </c>
      <c r="N12" s="2">
        <v>9400542594.2872181</v>
      </c>
      <c r="O12" s="2">
        <v>8645708013.4560032</v>
      </c>
      <c r="P12" s="2">
        <v>8557744770.241889</v>
      </c>
      <c r="Q12" s="2">
        <v>8419437784.0561647</v>
      </c>
      <c r="R12" s="2">
        <v>8099886407.82335</v>
      </c>
      <c r="S12" s="2">
        <v>5383599437.2794275</v>
      </c>
      <c r="T12" s="2">
        <v>2977448594.8837643</v>
      </c>
      <c r="U12" s="2">
        <v>2593255990.9823928</v>
      </c>
      <c r="V12" s="2">
        <v>1996858978.1762636</v>
      </c>
      <c r="W12" s="2">
        <v>1728837327.321594</v>
      </c>
      <c r="X12" s="2">
        <v>1037302396.3929571</v>
      </c>
      <c r="Y12" s="2">
        <v>1008766207.4681852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-4.5195892169162742E-11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179.75465711761834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2.8216810779890991E-12</v>
      </c>
      <c r="Y16" s="2">
        <f>Y5/'Output-Calculation-sheet'!Y4*'Output-Calculation-sheet'!Y22</f>
        <v>0</v>
      </c>
      <c r="AA16" s="2">
        <f t="shared" ref="AA16:AA23" si="0">SUM(B16:Y16)/1000</f>
        <v>0.17975465711757596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1365.8555704711405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929.66927532141654</v>
      </c>
      <c r="N17" s="2">
        <f>N6/'Output-Calculation-sheet'!N5*'Output-Calculation-sheet'!N23</f>
        <v>381.26597866232555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85.6951003305266</v>
      </c>
      <c r="Y17" s="2">
        <f>Y6/'Output-Calculation-sheet'!Y5*'Output-Calculation-sheet'!Y23</f>
        <v>0</v>
      </c>
      <c r="AA17" s="2">
        <f t="shared" si="0"/>
        <v>2.7624859247854094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1764.8877932355176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1199.5524955666799</v>
      </c>
      <c r="N18" s="2">
        <f>N7/'Output-Calculation-sheet'!N6*'Output-Calculation-sheet'!N24</f>
        <v>664.02121659247052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117.96719317359887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112.61595833370302</v>
      </c>
      <c r="Y18" s="2">
        <f>Y7/'Output-Calculation-sheet'!Y6*'Output-Calculation-sheet'!Y24</f>
        <v>0</v>
      </c>
      <c r="AA18" s="2">
        <f t="shared" si="0"/>
        <v>3.8590446569019701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2076.6678846355917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1422.1995362765338</v>
      </c>
      <c r="N19" s="2">
        <f>N8/'Output-Calculation-sheet'!N7*'Output-Calculation-sheet'!N25</f>
        <v>956.63573133613716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253.74327746445638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134.97212825028615</v>
      </c>
      <c r="Y19" s="2">
        <f>Y8/'Output-Calculation-sheet'!Y7*'Output-Calculation-sheet'!Y25</f>
        <v>0</v>
      </c>
      <c r="AA19" s="2">
        <f t="shared" si="0"/>
        <v>4.8442185579630053</v>
      </c>
    </row>
    <row r="20" spans="1:27" x14ac:dyDescent="0.25">
      <c r="A20" s="2">
        <v>2032</v>
      </c>
      <c r="B20" s="2">
        <f>B9/'Output-Calculation-sheet'!B8*'Output-Calculation-sheet'!B26</f>
        <v>2.1495628389636967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2272.2433294476277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1553.9189961629115</v>
      </c>
      <c r="N20" s="2">
        <f>N9/'Output-Calculation-sheet'!N8*'Output-Calculation-sheet'!N26</f>
        <v>1131.696868213472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389.36175012001604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149.57206144497266</v>
      </c>
      <c r="Y20" s="2">
        <f>Y9/'Output-Calculation-sheet'!Y8*'Output-Calculation-sheet'!Y26</f>
        <v>0</v>
      </c>
      <c r="AA20" s="2">
        <f t="shared" si="0"/>
        <v>5.4989425682279647</v>
      </c>
    </row>
    <row r="21" spans="1:27" x14ac:dyDescent="0.25">
      <c r="A21" s="2">
        <v>2033</v>
      </c>
      <c r="B21" s="2">
        <f>B10/'Output-Calculation-sheet'!B9*'Output-Calculation-sheet'!B27</f>
        <v>3395.9364017993298</v>
      </c>
      <c r="C21" s="2">
        <f>C10/'Output-Calculation-sheet'!C9*'Output-Calculation-sheet'!C27</f>
        <v>5299.1255360770128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2377.5156436647171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1627.5314369648356</v>
      </c>
      <c r="N21" s="2">
        <f>N10/'Output-Calculation-sheet'!N9*'Output-Calculation-sheet'!N27</f>
        <v>1271.6374501223227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485.116965977289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156.65889401271542</v>
      </c>
      <c r="Y21" s="2">
        <f>Y10/'Output-Calculation-sheet'!Y9*'Output-Calculation-sheet'!Y27</f>
        <v>0</v>
      </c>
      <c r="AA21" s="2">
        <f t="shared" si="0"/>
        <v>14.613522328618222</v>
      </c>
    </row>
    <row r="22" spans="1:27" x14ac:dyDescent="0.25">
      <c r="A22" s="2">
        <v>2034</v>
      </c>
      <c r="B22" s="2">
        <f>B11/'Output-Calculation-sheet'!B10*'Output-Calculation-sheet'!B28</f>
        <v>5685.3491698915677</v>
      </c>
      <c r="C22" s="2">
        <f>C11/'Output-Calculation-sheet'!C10*'Output-Calculation-sheet'!C28</f>
        <v>5508.1522373878297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2406.5282899489098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1647.5301563396145</v>
      </c>
      <c r="N22" s="2">
        <f>N11/'Output-Calculation-sheet'!N10*'Output-Calculation-sheet'!N28</f>
        <v>1321.1239577659505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538.9284101536482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159.62451401115035</v>
      </c>
      <c r="Y22" s="2">
        <f>Y11/'Output-Calculation-sheet'!Y10*'Output-Calculation-sheet'!Y28</f>
        <v>0</v>
      </c>
      <c r="AA22" s="2">
        <f t="shared" si="0"/>
        <v>17.267236735498667</v>
      </c>
    </row>
    <row r="23" spans="1:27" x14ac:dyDescent="0.25">
      <c r="A23" s="2">
        <v>2035</v>
      </c>
      <c r="B23" s="2">
        <f>B12/'Output-Calculation-sheet'!B11*'Output-Calculation-sheet'!B29</f>
        <v>6721.9239633687066</v>
      </c>
      <c r="C23" s="2">
        <f>C12/'Output-Calculation-sheet'!C11*'Output-Calculation-sheet'!C29</f>
        <v>5508.1105370717687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2350.0029080919203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1606.3203179861584</v>
      </c>
      <c r="N23" s="2">
        <f>N12/'Output-Calculation-sheet'!N11*'Output-Calculation-sheet'!N29</f>
        <v>1313.0276655078887</v>
      </c>
      <c r="O23" s="2">
        <f>O12/'Output-Calculation-sheet'!O11*'Output-Calculation-sheet'!O29</f>
        <v>936.51345271391585</v>
      </c>
      <c r="P23" s="2">
        <f>P12/'Output-Calculation-sheet'!P11*'Output-Calculation-sheet'!P29</f>
        <v>0</v>
      </c>
      <c r="Q23" s="2">
        <f>Q12/'Output-Calculation-sheet'!Q11*'Output-Calculation-sheet'!Q29</f>
        <v>17.921292936331124</v>
      </c>
      <c r="R23" s="2">
        <f>R12/'Output-Calculation-sheet'!R11*'Output-Calculation-sheet'!R29</f>
        <v>0</v>
      </c>
      <c r="S23" s="2">
        <f>S12/'Output-Calculation-sheet'!S11*'Output-Calculation-sheet'!S29</f>
        <v>576.62505689280545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157.46255898965771</v>
      </c>
      <c r="Y23" s="2">
        <f>Y12/'Output-Calculation-sheet'!Y11*'Output-Calculation-sheet'!Y29</f>
        <v>0</v>
      </c>
      <c r="AA23" s="2">
        <f t="shared" si="0"/>
        <v>19.187907753559152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8368.6388549606927</v>
      </c>
      <c r="C27" s="2">
        <f>C5/'Output-Calculation-sheet'!C4*'Output-Calculation-sheet'!C13</f>
        <v>0</v>
      </c>
      <c r="D27" s="2">
        <f>D5/'Output-Calculation-sheet'!D4*'Output-Calculation-sheet'!D13</f>
        <v>2702.6278056105175</v>
      </c>
      <c r="E27" s="2">
        <f>E5/'Output-Calculation-sheet'!E4*'Output-Calculation-sheet'!E13</f>
        <v>2757.101662138964</v>
      </c>
      <c r="F27" s="2">
        <f>F5/'Output-Calculation-sheet'!F4*'Output-Calculation-sheet'!F13</f>
        <v>1566.2038361421328</v>
      </c>
      <c r="G27" s="2">
        <f>G5/'Output-Calculation-sheet'!G4*'Output-Calculation-sheet'!G13</f>
        <v>949.81826434336756</v>
      </c>
      <c r="H27" s="2">
        <f>H5/'Output-Calculation-sheet'!H4*'Output-Calculation-sheet'!H13</f>
        <v>0</v>
      </c>
      <c r="I27" s="2">
        <f>I5/'Output-Calculation-sheet'!I4*'Output-Calculation-sheet'!I13</f>
        <v>949.1161808096399</v>
      </c>
      <c r="J27" s="2">
        <f>J5/'Output-Calculation-sheet'!J4*'Output-Calculation-sheet'!J13</f>
        <v>872.55288810108993</v>
      </c>
      <c r="K27" s="2">
        <f>K5/'Output-Calculation-sheet'!K4*'Output-Calculation-sheet'!K13</f>
        <v>1063.6604894629943</v>
      </c>
      <c r="L27" s="2">
        <f>L5/'Output-Calculation-sheet'!L4*'Output-Calculation-sheet'!L13</f>
        <v>881.96219270735446</v>
      </c>
      <c r="M27" s="2">
        <f>M5/'Output-Calculation-sheet'!M4*'Output-Calculation-sheet'!M13</f>
        <v>0</v>
      </c>
      <c r="N27" s="2">
        <f>N5/'Output-Calculation-sheet'!N4*'Output-Calculation-sheet'!N13</f>
        <v>572.90567468054985</v>
      </c>
      <c r="O27" s="2">
        <f>O5/'Output-Calculation-sheet'!O4*'Output-Calculation-sheet'!O13</f>
        <v>0</v>
      </c>
      <c r="P27" s="2">
        <f>P5/'Output-Calculation-sheet'!P4*'Output-Calculation-sheet'!P13</f>
        <v>689.25991538622191</v>
      </c>
      <c r="Q27" s="2">
        <f>Q5/'Output-Calculation-sheet'!Q4*'Output-Calculation-sheet'!Q13</f>
        <v>743.58934648937327</v>
      </c>
      <c r="R27" s="2">
        <f>R5/'Output-Calculation-sheet'!R4*'Output-Calculation-sheet'!R13</f>
        <v>671.07588355119867</v>
      </c>
      <c r="S27" s="2">
        <f>S5/'Output-Calculation-sheet'!S4*'Output-Calculation-sheet'!S13</f>
        <v>402.85384544380736</v>
      </c>
      <c r="T27" s="2">
        <f>T5/'Output-Calculation-sheet'!T4*'Output-Calculation-sheet'!T13</f>
        <v>246.68521175349937</v>
      </c>
      <c r="U27" s="2">
        <f>U5/'Output-Calculation-sheet'!U4*'Output-Calculation-sheet'!U13</f>
        <v>188.38017298332596</v>
      </c>
      <c r="V27" s="2">
        <f>V5/'Output-Calculation-sheet'!V4*'Output-Calculation-sheet'!V13</f>
        <v>180.46128445485468</v>
      </c>
      <c r="W27" s="2">
        <f>W5/'Output-Calculation-sheet'!W4*'Output-Calculation-sheet'!W13</f>
        <v>126.29843563697831</v>
      </c>
      <c r="X27" s="2">
        <f>X5/'Output-Calculation-sheet'!X4*'Output-Calculation-sheet'!X13</f>
        <v>0</v>
      </c>
      <c r="Y27" s="2">
        <f>Y5/'Output-Calculation-sheet'!Y4*'Output-Calculation-sheet'!Y13</f>
        <v>82.903041037375289</v>
      </c>
      <c r="AA27" s="2">
        <f t="shared" ref="AA27:AA34" si="1">SUM(B27:Y27)/1000</f>
        <v>24.016094985693933</v>
      </c>
    </row>
    <row r="28" spans="1:27" x14ac:dyDescent="0.25">
      <c r="A28" s="2">
        <v>2029</v>
      </c>
      <c r="B28" s="2">
        <f>B6/'Output-Calculation-sheet'!B5*'Output-Calculation-sheet'!B14</f>
        <v>11382.576752299157</v>
      </c>
      <c r="C28" s="2">
        <f>C6/'Output-Calculation-sheet'!C5*'Output-Calculation-sheet'!C14</f>
        <v>0</v>
      </c>
      <c r="D28" s="2">
        <f>D6/'Output-Calculation-sheet'!D5*'Output-Calculation-sheet'!D14</f>
        <v>3620.8712728420778</v>
      </c>
      <c r="E28" s="2">
        <f>E6/'Output-Calculation-sheet'!E5*'Output-Calculation-sheet'!E14</f>
        <v>3718.2455007363183</v>
      </c>
      <c r="F28" s="2">
        <f>F6/'Output-Calculation-sheet'!F5*'Output-Calculation-sheet'!F14</f>
        <v>2096.7103251445646</v>
      </c>
      <c r="G28" s="2">
        <f>G6/'Output-Calculation-sheet'!G5*'Output-Calculation-sheet'!G14</f>
        <v>1270.3242082281017</v>
      </c>
      <c r="H28" s="2">
        <f>H6/'Output-Calculation-sheet'!H5*'Output-Calculation-sheet'!H14</f>
        <v>0</v>
      </c>
      <c r="I28" s="2">
        <f>I6/'Output-Calculation-sheet'!I5*'Output-Calculation-sheet'!I14</f>
        <v>1275.9031893260374</v>
      </c>
      <c r="J28" s="2">
        <f>J6/'Output-Calculation-sheet'!J5*'Output-Calculation-sheet'!J14</f>
        <v>1169.2349527227605</v>
      </c>
      <c r="K28" s="2">
        <f>K6/'Output-Calculation-sheet'!K5*'Output-Calculation-sheet'!K14</f>
        <v>1434.0544668317659</v>
      </c>
      <c r="L28" s="2">
        <f>L6/'Output-Calculation-sheet'!L5*'Output-Calculation-sheet'!L14</f>
        <v>1186.0173652882559</v>
      </c>
      <c r="M28" s="2">
        <f>M6/'Output-Calculation-sheet'!M5*'Output-Calculation-sheet'!M14</f>
        <v>0</v>
      </c>
      <c r="N28" s="2">
        <f>N6/'Output-Calculation-sheet'!N5*'Output-Calculation-sheet'!N14</f>
        <v>751.8905728494766</v>
      </c>
      <c r="O28" s="2">
        <f>O6/'Output-Calculation-sheet'!O5*'Output-Calculation-sheet'!O14</f>
        <v>0</v>
      </c>
      <c r="P28" s="2">
        <f>P6/'Output-Calculation-sheet'!P5*'Output-Calculation-sheet'!P14</f>
        <v>939.03394474886909</v>
      </c>
      <c r="Q28" s="2">
        <f>Q6/'Output-Calculation-sheet'!Q5*'Output-Calculation-sheet'!Q14</f>
        <v>1019.3374431875496</v>
      </c>
      <c r="R28" s="2">
        <f>R6/'Output-Calculation-sheet'!R5*'Output-Calculation-sheet'!R14</f>
        <v>906.34180666096779</v>
      </c>
      <c r="S28" s="2">
        <f>S6/'Output-Calculation-sheet'!S5*'Output-Calculation-sheet'!S14</f>
        <v>555.55812234133214</v>
      </c>
      <c r="T28" s="2">
        <f>T6/'Output-Calculation-sheet'!T5*'Output-Calculation-sheet'!T14</f>
        <v>331.37937255296811</v>
      </c>
      <c r="U28" s="2">
        <f>U6/'Output-Calculation-sheet'!U5*'Output-Calculation-sheet'!U14</f>
        <v>254.21469811921583</v>
      </c>
      <c r="V28" s="2">
        <f>V6/'Output-Calculation-sheet'!V5*'Output-Calculation-sheet'!V14</f>
        <v>243.151615863193</v>
      </c>
      <c r="W28" s="2">
        <f>W6/'Output-Calculation-sheet'!W5*'Output-Calculation-sheet'!W14</f>
        <v>169.6771422124115</v>
      </c>
      <c r="X28" s="2">
        <f>X6/'Output-Calculation-sheet'!X5*'Output-Calculation-sheet'!X14</f>
        <v>0</v>
      </c>
      <c r="Y28" s="2">
        <f>Y6/'Output-Calculation-sheet'!Y5*'Output-Calculation-sheet'!Y14</f>
        <v>111.57048803484622</v>
      </c>
      <c r="AA28" s="2">
        <f t="shared" si="1"/>
        <v>32.436093239989866</v>
      </c>
    </row>
    <row r="29" spans="1:27" x14ac:dyDescent="0.25">
      <c r="A29" s="2">
        <v>2030</v>
      </c>
      <c r="B29" s="2">
        <f>B7/'Output-Calculation-sheet'!B6*'Output-Calculation-sheet'!B15</f>
        <v>14196.496637802778</v>
      </c>
      <c r="C29" s="2">
        <f>C7/'Output-Calculation-sheet'!C6*'Output-Calculation-sheet'!C15</f>
        <v>0</v>
      </c>
      <c r="D29" s="2">
        <f>D7/'Output-Calculation-sheet'!D6*'Output-Calculation-sheet'!D15</f>
        <v>4462.6113684516886</v>
      </c>
      <c r="E29" s="2">
        <f>E7/'Output-Calculation-sheet'!E6*'Output-Calculation-sheet'!E15</f>
        <v>4600.3729237478128</v>
      </c>
      <c r="F29" s="2">
        <f>F7/'Output-Calculation-sheet'!F6*'Output-Calculation-sheet'!F15</f>
        <v>2580.4201269724185</v>
      </c>
      <c r="G29" s="2">
        <f>G7/'Output-Calculation-sheet'!G6*'Output-Calculation-sheet'!G15</f>
        <v>1560.7874323025187</v>
      </c>
      <c r="H29" s="2">
        <f>H7/'Output-Calculation-sheet'!H6*'Output-Calculation-sheet'!H15</f>
        <v>0</v>
      </c>
      <c r="I29" s="2">
        <f>I7/'Output-Calculation-sheet'!I6*'Output-Calculation-sheet'!I15</f>
        <v>1572.6542035237796</v>
      </c>
      <c r="J29" s="2">
        <f>J7/'Output-Calculation-sheet'!J6*'Output-Calculation-sheet'!J15</f>
        <v>1438.5857973863817</v>
      </c>
      <c r="K29" s="2">
        <f>K7/'Output-Calculation-sheet'!K6*'Output-Calculation-sheet'!K15</f>
        <v>1771.2890897175346</v>
      </c>
      <c r="L29" s="2">
        <f>L7/'Output-Calculation-sheet'!L6*'Output-Calculation-sheet'!L15</f>
        <v>1468.5249945871315</v>
      </c>
      <c r="M29" s="2">
        <f>M7/'Output-Calculation-sheet'!M6*'Output-Calculation-sheet'!M15</f>
        <v>0</v>
      </c>
      <c r="N29" s="2">
        <f>N7/'Output-Calculation-sheet'!N6*'Output-Calculation-sheet'!N15</f>
        <v>832.74949466042415</v>
      </c>
      <c r="O29" s="2">
        <f>O7/'Output-Calculation-sheet'!O6*'Output-Calculation-sheet'!O15</f>
        <v>0</v>
      </c>
      <c r="P29" s="2">
        <f>P7/'Output-Calculation-sheet'!P6*'Output-Calculation-sheet'!P15</f>
        <v>1167.3868582733101</v>
      </c>
      <c r="Q29" s="2">
        <f>Q7/'Output-Calculation-sheet'!Q6*'Output-Calculation-sheet'!Q15</f>
        <v>1275.2033140261374</v>
      </c>
      <c r="R29" s="2">
        <f>R7/'Output-Calculation-sheet'!R6*'Output-Calculation-sheet'!R15</f>
        <v>1122.8565649899601</v>
      </c>
      <c r="S29" s="2">
        <f>S7/'Output-Calculation-sheet'!S6*'Output-Calculation-sheet'!S15</f>
        <v>642.01588171525168</v>
      </c>
      <c r="T29" s="2">
        <f>T7/'Output-Calculation-sheet'!T6*'Output-Calculation-sheet'!T15</f>
        <v>409.39335219594443</v>
      </c>
      <c r="U29" s="2">
        <f>U7/'Output-Calculation-sheet'!U6*'Output-Calculation-sheet'!U15</f>
        <v>314.56614287716297</v>
      </c>
      <c r="V29" s="2">
        <f>V7/'Output-Calculation-sheet'!V6*'Output-Calculation-sheet'!V15</f>
        <v>301.09525510247096</v>
      </c>
      <c r="W29" s="2">
        <f>W7/'Output-Calculation-sheet'!W6*'Output-Calculation-sheet'!W15</f>
        <v>209.6671481682437</v>
      </c>
      <c r="X29" s="2">
        <f>X7/'Output-Calculation-sheet'!X6*'Output-Calculation-sheet'!X15</f>
        <v>0</v>
      </c>
      <c r="Y29" s="2">
        <f>Y7/'Output-Calculation-sheet'!Y6*'Output-Calculation-sheet'!Y15</f>
        <v>138.10488775914817</v>
      </c>
      <c r="AA29" s="2">
        <f t="shared" si="1"/>
        <v>40.064781474260101</v>
      </c>
    </row>
    <row r="30" spans="1:27" x14ac:dyDescent="0.25">
      <c r="A30" s="2">
        <v>2031</v>
      </c>
      <c r="B30" s="2">
        <f>B8/'Output-Calculation-sheet'!B7*'Output-Calculation-sheet'!B16</f>
        <v>16322.368840362293</v>
      </c>
      <c r="C30" s="2">
        <f>C8/'Output-Calculation-sheet'!C7*'Output-Calculation-sheet'!C16</f>
        <v>0</v>
      </c>
      <c r="D30" s="2">
        <f>D8/'Output-Calculation-sheet'!D7*'Output-Calculation-sheet'!D16</f>
        <v>5095.2564029566511</v>
      </c>
      <c r="E30" s="2">
        <f>E8/'Output-Calculation-sheet'!E7*'Output-Calculation-sheet'!E16</f>
        <v>5270.22177667493</v>
      </c>
      <c r="F30" s="2">
        <f>F8/'Output-Calculation-sheet'!F7*'Output-Calculation-sheet'!F16</f>
        <v>2952.5774491163534</v>
      </c>
      <c r="G30" s="2">
        <f>G8/'Output-Calculation-sheet'!G7*'Output-Calculation-sheet'!G16</f>
        <v>1780.7270627849848</v>
      </c>
      <c r="H30" s="2">
        <f>H8/'Output-Calculation-sheet'!H7*'Output-Calculation-sheet'!H16</f>
        <v>0</v>
      </c>
      <c r="I30" s="2">
        <f>I8/'Output-Calculation-sheet'!I7*'Output-Calculation-sheet'!I16</f>
        <v>1802.2934606214862</v>
      </c>
      <c r="J30" s="2">
        <f>J8/'Output-Calculation-sheet'!J7*'Output-Calculation-sheet'!J16</f>
        <v>1645.0533544039633</v>
      </c>
      <c r="K30" s="2">
        <f>K8/'Output-Calculation-sheet'!K7*'Output-Calculation-sheet'!K16</f>
        <v>2034.4838788746526</v>
      </c>
      <c r="L30" s="2">
        <f>L8/'Output-Calculation-sheet'!L7*'Output-Calculation-sheet'!L16</f>
        <v>1678.9806273881229</v>
      </c>
      <c r="M30" s="2">
        <f>M8/'Output-Calculation-sheet'!M7*'Output-Calculation-sheet'!M16</f>
        <v>0</v>
      </c>
      <c r="N30" s="2">
        <f>N8/'Output-Calculation-sheet'!N7*'Output-Calculation-sheet'!N16</f>
        <v>823.80155815740989</v>
      </c>
      <c r="O30" s="2">
        <f>O8/'Output-Calculation-sheet'!O7*'Output-Calculation-sheet'!O16</f>
        <v>0</v>
      </c>
      <c r="P30" s="2">
        <f>P8/'Output-Calculation-sheet'!P7*'Output-Calculation-sheet'!P16</f>
        <v>1338.2266482964762</v>
      </c>
      <c r="Q30" s="2">
        <f>Q8/'Output-Calculation-sheet'!Q7*'Output-Calculation-sheet'!Q16</f>
        <v>1467.8085666189304</v>
      </c>
      <c r="R30" s="2">
        <f>R8/'Output-Calculation-sheet'!R7*'Output-Calculation-sheet'!R16</f>
        <v>1285.9913622636934</v>
      </c>
      <c r="S30" s="2">
        <f>S8/'Output-Calculation-sheet'!S7*'Output-Calculation-sheet'!S16</f>
        <v>686.76726206796798</v>
      </c>
      <c r="T30" s="2">
        <f>T8/'Output-Calculation-sheet'!T7*'Output-Calculation-sheet'!T16</f>
        <v>469.15603101236678</v>
      </c>
      <c r="U30" s="2">
        <f>U8/'Output-Calculation-sheet'!U7*'Output-Calculation-sheet'!U16</f>
        <v>360.57981684373567</v>
      </c>
      <c r="V30" s="2">
        <f>V8/'Output-Calculation-sheet'!V7*'Output-Calculation-sheet'!V16</f>
        <v>345.28638002232827</v>
      </c>
      <c r="W30" s="2">
        <f>W8/'Output-Calculation-sheet'!W7*'Output-Calculation-sheet'!W16</f>
        <v>239.71013189001846</v>
      </c>
      <c r="X30" s="2">
        <f>X8/'Output-Calculation-sheet'!X7*'Output-Calculation-sheet'!X16</f>
        <v>0</v>
      </c>
      <c r="Y30" s="2">
        <f>Y8/'Output-Calculation-sheet'!Y7*'Output-Calculation-sheet'!Y16</f>
        <v>158.47392827642565</v>
      </c>
      <c r="AA30" s="2">
        <f t="shared" si="1"/>
        <v>45.757764538632784</v>
      </c>
    </row>
    <row r="31" spans="1:27" x14ac:dyDescent="0.25">
      <c r="A31" s="2">
        <v>2032</v>
      </c>
      <c r="B31" s="2">
        <f>B9/'Output-Calculation-sheet'!B8*'Output-Calculation-sheet'!B17</f>
        <v>17502.717708860127</v>
      </c>
      <c r="C31" s="2">
        <f>C9/'Output-Calculation-sheet'!C8*'Output-Calculation-sheet'!C17</f>
        <v>0</v>
      </c>
      <c r="D31" s="2">
        <f>D9/'Output-Calculation-sheet'!D8*'Output-Calculation-sheet'!D17</f>
        <v>5426.2108016310967</v>
      </c>
      <c r="E31" s="2">
        <f>E9/'Output-Calculation-sheet'!E8*'Output-Calculation-sheet'!E17</f>
        <v>5619.4600849008948</v>
      </c>
      <c r="F31" s="2">
        <f>F9/'Output-Calculation-sheet'!F8*'Output-Calculation-sheet'!F17</f>
        <v>3139.3652968590209</v>
      </c>
      <c r="G31" s="2">
        <f>G9/'Output-Calculation-sheet'!G8*'Output-Calculation-sheet'!G17</f>
        <v>1892.5346084508733</v>
      </c>
      <c r="H31" s="2">
        <f>H9/'Output-Calculation-sheet'!H8*'Output-Calculation-sheet'!H17</f>
        <v>0</v>
      </c>
      <c r="I31" s="2">
        <f>I9/'Output-Calculation-sheet'!I8*'Output-Calculation-sheet'!I17</f>
        <v>1918.7969777247934</v>
      </c>
      <c r="J31" s="2">
        <f>J9/'Output-Calculation-sheet'!J8*'Output-Calculation-sheet'!J17</f>
        <v>1750.0703665195917</v>
      </c>
      <c r="K31" s="2">
        <f>K9/'Output-Calculation-sheet'!K8*'Output-Calculation-sheet'!K17</f>
        <v>2167.7770828965217</v>
      </c>
      <c r="L31" s="2">
        <f>L9/'Output-Calculation-sheet'!L8*'Output-Calculation-sheet'!L17</f>
        <v>1789.4672717849442</v>
      </c>
      <c r="M31" s="2">
        <f>M9/'Output-Calculation-sheet'!M8*'Output-Calculation-sheet'!M17</f>
        <v>0</v>
      </c>
      <c r="N31" s="2">
        <f>N9/'Output-Calculation-sheet'!N8*'Output-Calculation-sheet'!N17</f>
        <v>791.55641624287739</v>
      </c>
      <c r="O31" s="2">
        <f>O9/'Output-Calculation-sheet'!O8*'Output-Calculation-sheet'!O17</f>
        <v>0</v>
      </c>
      <c r="P31" s="2">
        <f>P9/'Output-Calculation-sheet'!P8*'Output-Calculation-sheet'!P17</f>
        <v>1439.5717546873032</v>
      </c>
      <c r="Q31" s="2">
        <f>Q9/'Output-Calculation-sheet'!Q8*'Output-Calculation-sheet'!Q17</f>
        <v>1577.6346952440131</v>
      </c>
      <c r="R31" s="2">
        <f>R9/'Output-Calculation-sheet'!R8*'Output-Calculation-sheet'!R17</f>
        <v>1369.7929282254397</v>
      </c>
      <c r="S31" s="2">
        <f>S9/'Output-Calculation-sheet'!S8*'Output-Calculation-sheet'!S17</f>
        <v>683.45837478426506</v>
      </c>
      <c r="T31" s="2">
        <f>T9/'Output-Calculation-sheet'!T8*'Output-Calculation-sheet'!T17</f>
        <v>499.16577497167452</v>
      </c>
      <c r="U31" s="2">
        <f>U9/'Output-Calculation-sheet'!U8*'Output-Calculation-sheet'!U17</f>
        <v>384.98092919491756</v>
      </c>
      <c r="V31" s="2">
        <f>V9/'Output-Calculation-sheet'!V8*'Output-Calculation-sheet'!V17</f>
        <v>368.92555119734283</v>
      </c>
      <c r="W31" s="2">
        <f>W9/'Output-Calculation-sheet'!W8*'Output-Calculation-sheet'!W17</f>
        <v>255.46490965212516</v>
      </c>
      <c r="X31" s="2">
        <f>X9/'Output-Calculation-sheet'!X8*'Output-Calculation-sheet'!X17</f>
        <v>0</v>
      </c>
      <c r="Y31" s="2">
        <f>Y9/'Output-Calculation-sheet'!Y8*'Output-Calculation-sheet'!Y17</f>
        <v>168.88762722142033</v>
      </c>
      <c r="AA31" s="2">
        <f t="shared" si="1"/>
        <v>48.745839161049254</v>
      </c>
    </row>
    <row r="32" spans="1:27" x14ac:dyDescent="0.25">
      <c r="A32" s="2">
        <v>2033</v>
      </c>
      <c r="B32" s="2">
        <f>B10/'Output-Calculation-sheet'!B9*'Output-Calculation-sheet'!B18</f>
        <v>16572.415507607275</v>
      </c>
      <c r="C32" s="2">
        <f>C10/'Output-Calculation-sheet'!C9*'Output-Calculation-sheet'!C18</f>
        <v>0</v>
      </c>
      <c r="D32" s="2">
        <f>D10/'Output-Calculation-sheet'!D9*'Output-Calculation-sheet'!D18</f>
        <v>5532.6053686969199</v>
      </c>
      <c r="E32" s="2">
        <f>E10/'Output-Calculation-sheet'!E9*'Output-Calculation-sheet'!E18</f>
        <v>5729.1404737527282</v>
      </c>
      <c r="F32" s="2">
        <f>F10/'Output-Calculation-sheet'!F9*'Output-Calculation-sheet'!F18</f>
        <v>3200.099016229316</v>
      </c>
      <c r="G32" s="2">
        <f>G10/'Output-Calculation-sheet'!G9*'Output-Calculation-sheet'!G18</f>
        <v>1930.029102414069</v>
      </c>
      <c r="H32" s="2">
        <f>H10/'Output-Calculation-sheet'!H9*'Output-Calculation-sheet'!H18</f>
        <v>0</v>
      </c>
      <c r="I32" s="2">
        <f>I10/'Output-Calculation-sheet'!I9*'Output-Calculation-sheet'!I18</f>
        <v>1956.583761853612</v>
      </c>
      <c r="J32" s="2">
        <f>J10/'Output-Calculation-sheet'!J9*'Output-Calculation-sheet'!J18</f>
        <v>1784.5118258112245</v>
      </c>
      <c r="K32" s="2">
        <f>K10/'Output-Calculation-sheet'!K9*'Output-Calculation-sheet'!K18</f>
        <v>2215.498703936667</v>
      </c>
      <c r="L32" s="2">
        <f>L10/'Output-Calculation-sheet'!L9*'Output-Calculation-sheet'!L18</f>
        <v>1825.8547715880343</v>
      </c>
      <c r="M32" s="2">
        <f>M10/'Output-Calculation-sheet'!M9*'Output-Calculation-sheet'!M18</f>
        <v>0</v>
      </c>
      <c r="N32" s="2">
        <f>N10/'Output-Calculation-sheet'!N9*'Output-Calculation-sheet'!N18</f>
        <v>722.69804890246405</v>
      </c>
      <c r="O32" s="2">
        <f>O10/'Output-Calculation-sheet'!O9*'Output-Calculation-sheet'!O18</f>
        <v>0</v>
      </c>
      <c r="P32" s="2">
        <f>P10/'Output-Calculation-sheet'!P9*'Output-Calculation-sheet'!P18</f>
        <v>1478.6673093920513</v>
      </c>
      <c r="Q32" s="2">
        <f>Q10/'Output-Calculation-sheet'!Q9*'Output-Calculation-sheet'!Q18</f>
        <v>1621.7053629082084</v>
      </c>
      <c r="R32" s="2">
        <f>R10/'Output-Calculation-sheet'!R9*'Output-Calculation-sheet'!R18</f>
        <v>1400.7523085033072</v>
      </c>
      <c r="S32" s="2">
        <f>S10/'Output-Calculation-sheet'!S9*'Output-Calculation-sheet'!S18</f>
        <v>652.00367109865476</v>
      </c>
      <c r="T32" s="2">
        <f>T10/'Output-Calculation-sheet'!T9*'Output-Calculation-sheet'!T18</f>
        <v>509.5193519423114</v>
      </c>
      <c r="U32" s="2">
        <f>U10/'Output-Calculation-sheet'!U9*'Output-Calculation-sheet'!U18</f>
        <v>392.95260097006116</v>
      </c>
      <c r="V32" s="2">
        <f>V10/'Output-Calculation-sheet'!V9*'Output-Calculation-sheet'!V18</f>
        <v>376.97364334929773</v>
      </c>
      <c r="W32" s="2">
        <f>W10/'Output-Calculation-sheet'!W9*'Output-Calculation-sheet'!W18</f>
        <v>260.12073614252847</v>
      </c>
      <c r="X32" s="2">
        <f>X10/'Output-Calculation-sheet'!X9*'Output-Calculation-sheet'!X18</f>
        <v>0</v>
      </c>
      <c r="Y32" s="2">
        <f>Y10/'Output-Calculation-sheet'!Y9*'Output-Calculation-sheet'!Y18</f>
        <v>172.47362872925123</v>
      </c>
      <c r="AA32" s="2">
        <f t="shared" si="1"/>
        <v>48.334605193827983</v>
      </c>
    </row>
    <row r="33" spans="1:27" x14ac:dyDescent="0.25">
      <c r="A33" s="2">
        <v>2034</v>
      </c>
      <c r="B33" s="2">
        <f>B11/'Output-Calculation-sheet'!B10*'Output-Calculation-sheet'!B19</f>
        <v>15383.657473707284</v>
      </c>
      <c r="C33" s="2">
        <f>C11/'Output-Calculation-sheet'!C10*'Output-Calculation-sheet'!C19</f>
        <v>0</v>
      </c>
      <c r="D33" s="2">
        <f>D11/'Output-Calculation-sheet'!D10*'Output-Calculation-sheet'!D19</f>
        <v>5439.3503111235077</v>
      </c>
      <c r="E33" s="2">
        <f>E11/'Output-Calculation-sheet'!E10*'Output-Calculation-sheet'!E19</f>
        <v>5645.8507451505029</v>
      </c>
      <c r="F33" s="2">
        <f>F11/'Output-Calculation-sheet'!F10*'Output-Calculation-sheet'!F19</f>
        <v>3147.7690454025173</v>
      </c>
      <c r="G33" s="2">
        <f>G11/'Output-Calculation-sheet'!G10*'Output-Calculation-sheet'!G19</f>
        <v>1895.4930462847776</v>
      </c>
      <c r="H33" s="2">
        <f>H11/'Output-Calculation-sheet'!H10*'Output-Calculation-sheet'!H19</f>
        <v>0</v>
      </c>
      <c r="I33" s="2">
        <f>I11/'Output-Calculation-sheet'!I10*'Output-Calculation-sheet'!I19</f>
        <v>1930.561631109646</v>
      </c>
      <c r="J33" s="2">
        <f>J11/'Output-Calculation-sheet'!J10*'Output-Calculation-sheet'!J19</f>
        <v>1754.5524390380992</v>
      </c>
      <c r="K33" s="2">
        <f>K11/'Output-Calculation-sheet'!K10*'Output-Calculation-sheet'!K19</f>
        <v>2185.4114570343381</v>
      </c>
      <c r="L33" s="2">
        <f>L11/'Output-Calculation-sheet'!L10*'Output-Calculation-sheet'!L19</f>
        <v>1797.4717301720839</v>
      </c>
      <c r="M33" s="2">
        <f>M11/'Output-Calculation-sheet'!M10*'Output-Calculation-sheet'!M19</f>
        <v>0</v>
      </c>
      <c r="N33" s="2">
        <f>N11/'Output-Calculation-sheet'!N10*'Output-Calculation-sheet'!N19</f>
        <v>666.10856531731724</v>
      </c>
      <c r="O33" s="2">
        <f>O11/'Output-Calculation-sheet'!O10*'Output-Calculation-sheet'!O19</f>
        <v>0</v>
      </c>
      <c r="P33" s="2">
        <f>P11/'Output-Calculation-sheet'!P10*'Output-Calculation-sheet'!P19</f>
        <v>1465.104951400019</v>
      </c>
      <c r="Q33" s="2">
        <f>Q11/'Output-Calculation-sheet'!Q10*'Output-Calculation-sheet'!Q19</f>
        <v>1609.5679462805856</v>
      </c>
      <c r="R33" s="2">
        <f>R11/'Output-Calculation-sheet'!R10*'Output-Calculation-sheet'!R19</f>
        <v>1381.2718366763168</v>
      </c>
      <c r="S33" s="2">
        <f>S11/'Output-Calculation-sheet'!S10*'Output-Calculation-sheet'!S19</f>
        <v>637.063416452806</v>
      </c>
      <c r="T33" s="2">
        <f>T11/'Output-Calculation-sheet'!T10*'Output-Calculation-sheet'!T19</f>
        <v>501.96539895552667</v>
      </c>
      <c r="U33" s="2">
        <f>U11/'Output-Calculation-sheet'!U10*'Output-Calculation-sheet'!U19</f>
        <v>388.43562217473919</v>
      </c>
      <c r="V33" s="2">
        <f>V11/'Output-Calculation-sheet'!V10*'Output-Calculation-sheet'!V19</f>
        <v>372.38000934184987</v>
      </c>
      <c r="W33" s="2">
        <f>W11/'Output-Calculation-sheet'!W10*'Output-Calculation-sheet'!W19</f>
        <v>255.83957611569789</v>
      </c>
      <c r="X33" s="2">
        <f>X11/'Output-Calculation-sheet'!X10*'Output-Calculation-sheet'!X19</f>
        <v>0</v>
      </c>
      <c r="Y33" s="2">
        <f>Y11/'Output-Calculation-sheet'!Y10*'Output-Calculation-sheet'!Y19</f>
        <v>169.86764196884087</v>
      </c>
      <c r="AA33" s="2">
        <f t="shared" si="1"/>
        <v>46.627722843706451</v>
      </c>
    </row>
    <row r="34" spans="1:27" x14ac:dyDescent="0.25">
      <c r="A34" s="2">
        <v>2035</v>
      </c>
      <c r="B34" s="2">
        <f>B12/'Output-Calculation-sheet'!B11*'Output-Calculation-sheet'!B20</f>
        <v>14050.507785874845</v>
      </c>
      <c r="C34" s="2">
        <f>C12/'Output-Calculation-sheet'!C11*'Output-Calculation-sheet'!C20</f>
        <v>0</v>
      </c>
      <c r="D34" s="2">
        <f>D12/'Output-Calculation-sheet'!D11*'Output-Calculation-sheet'!D20</f>
        <v>5196.3211555619228</v>
      </c>
      <c r="E34" s="2">
        <f>E12/'Output-Calculation-sheet'!E11*'Output-Calculation-sheet'!E20</f>
        <v>5391.379679348549</v>
      </c>
      <c r="F34" s="2">
        <f>F12/'Output-Calculation-sheet'!F11*'Output-Calculation-sheet'!F20</f>
        <v>3001.4875107950593</v>
      </c>
      <c r="G34" s="2">
        <f>G12/'Output-Calculation-sheet'!G11*'Output-Calculation-sheet'!G20</f>
        <v>1803.4239652526114</v>
      </c>
      <c r="H34" s="2">
        <f>H12/'Output-Calculation-sheet'!H11*'Output-Calculation-sheet'!H20</f>
        <v>0</v>
      </c>
      <c r="I34" s="2">
        <f>I12/'Output-Calculation-sheet'!I11*'Output-Calculation-sheet'!I20</f>
        <v>1842.0010368633205</v>
      </c>
      <c r="J34" s="2">
        <f>J12/'Output-Calculation-sheet'!J11*'Output-Calculation-sheet'!J20</f>
        <v>1668.2526960835157</v>
      </c>
      <c r="K34" s="2">
        <f>K12/'Output-Calculation-sheet'!K11*'Output-Calculation-sheet'!K20</f>
        <v>2086.8892550037554</v>
      </c>
      <c r="L34" s="2">
        <f>L12/'Output-Calculation-sheet'!L11*'Output-Calculation-sheet'!L20</f>
        <v>1713.4684842392849</v>
      </c>
      <c r="M34" s="2">
        <f>M12/'Output-Calculation-sheet'!M11*'Output-Calculation-sheet'!M20</f>
        <v>0</v>
      </c>
      <c r="N34" s="2">
        <f>N12/'Output-Calculation-sheet'!N11*'Output-Calculation-sheet'!N20</f>
        <v>602.81827235669027</v>
      </c>
      <c r="O34" s="2">
        <f>O12/'Output-Calculation-sheet'!O11*'Output-Calculation-sheet'!O20</f>
        <v>0</v>
      </c>
      <c r="P34" s="2">
        <f>P12/'Output-Calculation-sheet'!P11*'Output-Calculation-sheet'!P20</f>
        <v>1407.0124793948476</v>
      </c>
      <c r="Q34" s="2">
        <f>Q12/'Output-Calculation-sheet'!Q11*'Output-Calculation-sheet'!Q20</f>
        <v>1542.8429918001395</v>
      </c>
      <c r="R34" s="2">
        <f>R12/'Output-Calculation-sheet'!R11*'Output-Calculation-sheet'!R20</f>
        <v>1323.0000313026082</v>
      </c>
      <c r="S34" s="2">
        <f>S12/'Output-Calculation-sheet'!S11*'Output-Calculation-sheet'!S20</f>
        <v>568.95092255966745</v>
      </c>
      <c r="T34" s="2">
        <f>T12/'Output-Calculation-sheet'!T11*'Output-Calculation-sheet'!T20</f>
        <v>478.87774731107964</v>
      </c>
      <c r="U34" s="2">
        <f>U12/'Output-Calculation-sheet'!U11*'Output-Calculation-sheet'!U20</f>
        <v>371.45533318948861</v>
      </c>
      <c r="V34" s="2">
        <f>V12/'Output-Calculation-sheet'!V11*'Output-Calculation-sheet'!V20</f>
        <v>356.73557172069246</v>
      </c>
      <c r="W34" s="2">
        <f>W12/'Output-Calculation-sheet'!W11*'Output-Calculation-sheet'!W20</f>
        <v>243.77005277825387</v>
      </c>
      <c r="X34" s="2">
        <f>X12/'Output-Calculation-sheet'!X11*'Output-Calculation-sheet'!X20</f>
        <v>0</v>
      </c>
      <c r="Y34" s="2">
        <f>Y12/'Output-Calculation-sheet'!Y11*'Output-Calculation-sheet'!Y20</f>
        <v>162.27789008532997</v>
      </c>
      <c r="AA34" s="2">
        <f t="shared" si="1"/>
        <v>43.811472861521672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2.8045060097980503</v>
      </c>
      <c r="C60" s="2">
        <f>C5*'Output-Calculation-sheet'!C49/10^9</f>
        <v>1.3259544535164083</v>
      </c>
      <c r="D60" s="2">
        <f>D5*'Output-Calculation-sheet'!D49/10^9</f>
        <v>0.61857936748993636</v>
      </c>
      <c r="E60" s="2">
        <f>E5*'Output-Calculation-sheet'!E49/10^9</f>
        <v>0.6869635561597881</v>
      </c>
      <c r="F60" s="2">
        <f>F5*'Output-Calculation-sheet'!F49/10^9</f>
        <v>0.31891814330989038</v>
      </c>
      <c r="G60" s="2">
        <f>G5*'Output-Calculation-sheet'!G49/10^9</f>
        <v>0.21966815651398988</v>
      </c>
      <c r="H60" s="2">
        <f>H5*'Output-Calculation-sheet'!H49/10^9</f>
        <v>0.41368755824314674</v>
      </c>
      <c r="I60" s="2">
        <f>I5*'Output-Calculation-sheet'!I49/10^9</f>
        <v>0.21686345053107561</v>
      </c>
      <c r="J60" s="2">
        <f>J5*'Output-Calculation-sheet'!J49/10^9</f>
        <v>0.19583560264183736</v>
      </c>
      <c r="K60" s="2">
        <f>K5*'Output-Calculation-sheet'!K49/10^9</f>
        <v>0.25243819539986856</v>
      </c>
      <c r="L60" s="2">
        <f>L5*'Output-Calculation-sheet'!L49/10^9</f>
        <v>0.20854476606842864</v>
      </c>
      <c r="M60" s="2">
        <f>M5*'Output-Calculation-sheet'!M49/10^9</f>
        <v>0.28540831602811251</v>
      </c>
      <c r="N60" s="2">
        <f>N5*'Output-Calculation-sheet'!N49/10^9</f>
        <v>0.29830401614355023</v>
      </c>
      <c r="O60" s="2">
        <f>O5*'Output-Calculation-sheet'!O49/10^9</f>
        <v>0.2576340831000849</v>
      </c>
      <c r="P60" s="2">
        <f>P5*'Output-Calculation-sheet'!P49/10^9</f>
        <v>0.21997365666771079</v>
      </c>
      <c r="Q60" s="2">
        <f>Q5*'Output-Calculation-sheet'!Q49/10^9</f>
        <v>0.22707699775083393</v>
      </c>
      <c r="R60" s="2">
        <f>R5*'Output-Calculation-sheet'!R49/10^9</f>
        <v>0.18198814314064132</v>
      </c>
      <c r="S60" s="2">
        <f>S5*'Output-Calculation-sheet'!S49/10^9</f>
        <v>0.16694544179122026</v>
      </c>
      <c r="T60" s="2">
        <f>T5*'Output-Calculation-sheet'!T49/10^9</f>
        <v>5.7096608885381983E-2</v>
      </c>
      <c r="U60" s="2">
        <f>U5*'Output-Calculation-sheet'!U49/10^9</f>
        <v>5.7057627665551475E-2</v>
      </c>
      <c r="V60" s="2">
        <f>V5*'Output-Calculation-sheet'!V49/10^9</f>
        <v>4.2725388729041171E-2</v>
      </c>
      <c r="W60" s="2">
        <f>W5*'Output-Calculation-sheet'!W49/10^9</f>
        <v>2.6788973476584255E-2</v>
      </c>
      <c r="X60" s="2">
        <f>X5*'Output-Calculation-sheet'!X49/10^9</f>
        <v>3.3720709740123311E-2</v>
      </c>
      <c r="Y60" s="2">
        <f>Y5*'Output-Calculation-sheet'!Y49/10^9</f>
        <v>2.2289120158863019E-2</v>
      </c>
      <c r="AA60" s="2">
        <f t="shared" ref="AA60:AA67" si="4">SUM(B60:Y60)</f>
        <v>9.1389683429501201</v>
      </c>
    </row>
    <row r="61" spans="1:27" x14ac:dyDescent="0.25">
      <c r="A61" s="2">
        <v>2029</v>
      </c>
      <c r="B61" s="2">
        <f>B6*'Output-Calculation-sheet'!B50/10^9</f>
        <v>3.7031698906246322</v>
      </c>
      <c r="C61" s="2">
        <f>C6*'Output-Calculation-sheet'!C50/10^9</f>
        <v>1.7630105506599874</v>
      </c>
      <c r="D61" s="2">
        <f>D6*'Output-Calculation-sheet'!D50/10^9</f>
        <v>0.81421415940860753</v>
      </c>
      <c r="E61" s="2">
        <f>E6*'Output-Calculation-sheet'!E50/10^9</f>
        <v>0.90494241563828626</v>
      </c>
      <c r="F61" s="2">
        <f>F6*'Output-Calculation-sheet'!F50/10^9</f>
        <v>0.41925576637267542</v>
      </c>
      <c r="G61" s="2">
        <f>G6*'Output-Calculation-sheet'!G50/10^9</f>
        <v>0.28917559484482275</v>
      </c>
      <c r="H61" s="2">
        <f>H6*'Output-Calculation-sheet'!H50/10^9</f>
        <v>0.54649910277415858</v>
      </c>
      <c r="I61" s="2">
        <f>I6*'Output-Calculation-sheet'!I50/10^9</f>
        <v>0.28544117575006561</v>
      </c>
      <c r="J61" s="2">
        <f>J6*'Output-Calculation-sheet'!J50/10^9</f>
        <v>0.25771898611489874</v>
      </c>
      <c r="K61" s="2">
        <f>K6*'Output-Calculation-sheet'!K50/10^9</f>
        <v>0.33238650648502827</v>
      </c>
      <c r="L61" s="2">
        <f>L6*'Output-Calculation-sheet'!L50/10^9</f>
        <v>0.27458780186349097</v>
      </c>
      <c r="M61" s="2">
        <f>M6*'Output-Calculation-sheet'!M50/10^9</f>
        <v>0.37753522083336333</v>
      </c>
      <c r="N61" s="2">
        <f>N6*'Output-Calculation-sheet'!N50/10^9</f>
        <v>0.39385778637615176</v>
      </c>
      <c r="O61" s="2">
        <f>O6*'Output-Calculation-sheet'!O50/10^9</f>
        <v>0.34255445615835461</v>
      </c>
      <c r="P61" s="2">
        <f>P6*'Output-Calculation-sheet'!P50/10^9</f>
        <v>0.29035680086364407</v>
      </c>
      <c r="Q61" s="2">
        <f>Q6*'Output-Calculation-sheet'!Q50/10^9</f>
        <v>0.29962714228859144</v>
      </c>
      <c r="R61" s="2">
        <f>R6*'Output-Calculation-sheet'!R50/10^9</f>
        <v>0.23991567388025165</v>
      </c>
      <c r="S61" s="2">
        <f>S6*'Output-Calculation-sheet'!S50/10^9</f>
        <v>0.22072553159794348</v>
      </c>
      <c r="T61" s="2">
        <f>T6*'Output-Calculation-sheet'!T50/10^9</f>
        <v>7.5161640567231819E-2</v>
      </c>
      <c r="U61" s="2">
        <f>U6*'Output-Calculation-sheet'!U50/10^9</f>
        <v>7.528708742904365E-2</v>
      </c>
      <c r="V61" s="2">
        <f>V6*'Output-Calculation-sheet'!V50/10^9</f>
        <v>5.6256070229625151E-2</v>
      </c>
      <c r="W61" s="2">
        <f>W6*'Output-Calculation-sheet'!W50/10^9</f>
        <v>3.5232391506464379E-2</v>
      </c>
      <c r="X61" s="2">
        <f>X6*'Output-Calculation-sheet'!X50/10^9</f>
        <v>4.4805125331980646E-2</v>
      </c>
      <c r="Y61" s="2">
        <f>Y6*'Output-Calculation-sheet'!Y50/10^9</f>
        <v>2.9382100351215738E-2</v>
      </c>
      <c r="AA61" s="2">
        <f t="shared" si="4"/>
        <v>12.07109897795052</v>
      </c>
    </row>
    <row r="62" spans="1:27" x14ac:dyDescent="0.25">
      <c r="A62" s="2">
        <v>2030</v>
      </c>
      <c r="B62" s="2">
        <f>B7*'Output-Calculation-sheet'!B51/10^9</f>
        <v>4.4884094630623457</v>
      </c>
      <c r="C62" s="2">
        <f>C7*'Output-Calculation-sheet'!C51/10^9</f>
        <v>2.1521482849536713</v>
      </c>
      <c r="D62" s="2">
        <f>D7*'Output-Calculation-sheet'!D51/10^9</f>
        <v>0.98377084100650103</v>
      </c>
      <c r="E62" s="2">
        <f>E7*'Output-Calculation-sheet'!E51/10^9</f>
        <v>1.0942222697771222</v>
      </c>
      <c r="F62" s="2">
        <f>F7*'Output-Calculation-sheet'!F51/10^9</f>
        <v>0.50591376402960908</v>
      </c>
      <c r="G62" s="2">
        <f>G7*'Output-Calculation-sheet'!G51/10^9</f>
        <v>0.34944181661793161</v>
      </c>
      <c r="H62" s="2">
        <f>H7*'Output-Calculation-sheet'!H51/10^9</f>
        <v>0.66153730334136052</v>
      </c>
      <c r="I62" s="2">
        <f>I7*'Output-Calculation-sheet'!I51/10^9</f>
        <v>0.34486243670413541</v>
      </c>
      <c r="J62" s="2">
        <f>J7*'Output-Calculation-sheet'!J51/10^9</f>
        <v>0.31132257992946577</v>
      </c>
      <c r="K62" s="2">
        <f>K7*'Output-Calculation-sheet'!K51/10^9</f>
        <v>0.40172277118292637</v>
      </c>
      <c r="L62" s="2">
        <f>L7*'Output-Calculation-sheet'!L51/10^9</f>
        <v>0.33186056311038786</v>
      </c>
      <c r="M62" s="2">
        <f>M7*'Output-Calculation-sheet'!M51/10^9</f>
        <v>0.45701324561549239</v>
      </c>
      <c r="N62" s="2">
        <f>N7*'Output-Calculation-sheet'!N51/10^9</f>
        <v>0.4768513108285613</v>
      </c>
      <c r="O62" s="2">
        <f>O7*'Output-Calculation-sheet'!O51/10^9</f>
        <v>0.41816425037754734</v>
      </c>
      <c r="P62" s="2">
        <f>P7*'Output-Calculation-sheet'!P51/10^9</f>
        <v>0.35180104679724972</v>
      </c>
      <c r="Q62" s="2">
        <f>Q7*'Output-Calculation-sheet'!Q51/10^9</f>
        <v>0.36287945062596999</v>
      </c>
      <c r="R62" s="2">
        <f>R7*'Output-Calculation-sheet'!R51/10^9</f>
        <v>0.29032127838575</v>
      </c>
      <c r="S62" s="2">
        <f>S7*'Output-Calculation-sheet'!S51/10^9</f>
        <v>0.26774824518310003</v>
      </c>
      <c r="T62" s="2">
        <f>T7*'Output-Calculation-sheet'!T51/10^9</f>
        <v>9.0820429531965549E-2</v>
      </c>
      <c r="U62" s="2">
        <f>U7*'Output-Calculation-sheet'!U51/10^9</f>
        <v>9.1189437929120501E-2</v>
      </c>
      <c r="V62" s="2">
        <f>V7*'Output-Calculation-sheet'!V51/10^9</f>
        <v>6.7988381279975724E-2</v>
      </c>
      <c r="W62" s="2">
        <f>W7*'Output-Calculation-sheet'!W51/10^9</f>
        <v>4.2531582853239554E-2</v>
      </c>
      <c r="X62" s="2">
        <f>X7*'Output-Calculation-sheet'!X51/10^9</f>
        <v>5.4293259396151906E-2</v>
      </c>
      <c r="Y62" s="2">
        <f>Y7*'Output-Calculation-sheet'!Y51/10^9</f>
        <v>3.5553666933703897E-2</v>
      </c>
      <c r="AA62" s="2">
        <f t="shared" si="4"/>
        <v>14.632367679453283</v>
      </c>
    </row>
    <row r="63" spans="1:27" x14ac:dyDescent="0.25">
      <c r="A63" s="2">
        <v>2031</v>
      </c>
      <c r="B63" s="2">
        <f>B8*'Output-Calculation-sheet'!B52/10^9</f>
        <v>5.0901729223468806</v>
      </c>
      <c r="C63" s="2">
        <f>C8*'Output-Calculation-sheet'!C52/10^9</f>
        <v>2.4492813650244449</v>
      </c>
      <c r="D63" s="2">
        <f>D8*'Output-Calculation-sheet'!D52/10^9</f>
        <v>1.1139745259736811</v>
      </c>
      <c r="E63" s="2">
        <f>E8*'Output-Calculation-sheet'!E52/10^9</f>
        <v>1.2394908227110661</v>
      </c>
      <c r="F63" s="2">
        <f>F8*'Output-Calculation-sheet'!F52/10^9</f>
        <v>0.57251027796553589</v>
      </c>
      <c r="G63" s="2">
        <f>G8*'Output-Calculation-sheet'!G52/10^9</f>
        <v>0.39572256549391366</v>
      </c>
      <c r="H63" s="2">
        <f>H8*'Output-Calculation-sheet'!H52/10^9</f>
        <v>0.74619349010705904</v>
      </c>
      <c r="I63" s="2">
        <f>I8*'Output-Calculation-sheet'!I52/10^9</f>
        <v>0.39049158639995685</v>
      </c>
      <c r="J63" s="2">
        <f>J8*'Output-Calculation-sheet'!J52/10^9</f>
        <v>0.35249106223560239</v>
      </c>
      <c r="K63" s="2">
        <f>K8*'Output-Calculation-sheet'!K52/10^9</f>
        <v>0.45494899846738585</v>
      </c>
      <c r="L63" s="2">
        <f>L8*'Output-Calculation-sheet'!L52/10^9</f>
        <v>0.37582908451483965</v>
      </c>
      <c r="M63" s="2">
        <f>M8*'Output-Calculation-sheet'!M52/10^9</f>
        <v>0.51553247325754892</v>
      </c>
      <c r="N63" s="2">
        <f>N8*'Output-Calculation-sheet'!N52/10^9</f>
        <v>0.53883326522194352</v>
      </c>
      <c r="O63" s="2">
        <f>O8*'Output-Calculation-sheet'!O52/10^9</f>
        <v>0.47589746168033709</v>
      </c>
      <c r="P63" s="2">
        <f>P8*'Output-Calculation-sheet'!P52/10^9</f>
        <v>0.39889944371613584</v>
      </c>
      <c r="Q63" s="2">
        <f>Q8*'Output-Calculation-sheet'!Q52/10^9</f>
        <v>0.41136774620249561</v>
      </c>
      <c r="R63" s="2">
        <f>R8*'Output-Calculation-sheet'!R52/10^9</f>
        <v>0.32898737864692279</v>
      </c>
      <c r="S63" s="2">
        <f>S8*'Output-Calculation-sheet'!S52/10^9</f>
        <v>0.30326975919422056</v>
      </c>
      <c r="T63" s="2">
        <f>T8*'Output-Calculation-sheet'!T52/10^9</f>
        <v>0.10284296034767235</v>
      </c>
      <c r="U63" s="2">
        <f>U8*'Output-Calculation-sheet'!U52/10^9</f>
        <v>0.10338259976262891</v>
      </c>
      <c r="V63" s="2">
        <f>V8*'Output-Calculation-sheet'!V52/10^9</f>
        <v>7.6995295453138934E-2</v>
      </c>
      <c r="W63" s="2">
        <f>W8*'Output-Calculation-sheet'!W52/10^9</f>
        <v>4.8139379000344623E-2</v>
      </c>
      <c r="X63" s="2">
        <f>X8*'Output-Calculation-sheet'!X52/10^9</f>
        <v>6.1306105085483606E-2</v>
      </c>
      <c r="Y63" s="2">
        <f>Y8*'Output-Calculation-sheet'!Y52/10^9</f>
        <v>4.0287997813689365E-2</v>
      </c>
      <c r="AA63" s="2">
        <f t="shared" si="4"/>
        <v>16.586848566622926</v>
      </c>
    </row>
    <row r="64" spans="1:27" x14ac:dyDescent="0.25">
      <c r="A64" s="2">
        <v>2032</v>
      </c>
      <c r="B64" s="2">
        <f>B9*'Output-Calculation-sheet'!B53/10^9</f>
        <v>5.3724460584060507</v>
      </c>
      <c r="C64" s="2">
        <f>C9*'Output-Calculation-sheet'!C53/10^9</f>
        <v>2.5943502867853114</v>
      </c>
      <c r="D64" s="2">
        <f>D9*'Output-Calculation-sheet'!D53/10^9</f>
        <v>1.1739716668156039</v>
      </c>
      <c r="E64" s="2">
        <f>E9*'Output-Calculation-sheet'!E53/10^9</f>
        <v>1.3067172163449357</v>
      </c>
      <c r="F64" s="2">
        <f>F9*'Output-Calculation-sheet'!F53/10^9</f>
        <v>0.60295728300394225</v>
      </c>
      <c r="G64" s="2">
        <f>G9*'Output-Calculation-sheet'!G53/10^9</f>
        <v>0.41707367011778834</v>
      </c>
      <c r="H64" s="2">
        <f>H9*'Output-Calculation-sheet'!H53/10^9</f>
        <v>0.78308012386173864</v>
      </c>
      <c r="I64" s="2">
        <f>I9*'Output-Calculation-sheet'!I53/10^9</f>
        <v>0.41150547800619364</v>
      </c>
      <c r="J64" s="2">
        <f>J9*'Output-Calculation-sheet'!J53/10^9</f>
        <v>0.37143842927048898</v>
      </c>
      <c r="K64" s="2">
        <f>K9*'Output-Calculation-sheet'!K53/10^9</f>
        <v>0.47950881119156857</v>
      </c>
      <c r="L64" s="2">
        <f>L9*'Output-Calculation-sheet'!L53/10^9</f>
        <v>0.39611868634368602</v>
      </c>
      <c r="M64" s="2">
        <f>M9*'Output-Calculation-sheet'!M53/10^9</f>
        <v>0.54104324866875897</v>
      </c>
      <c r="N64" s="2">
        <f>N9*'Output-Calculation-sheet'!N53/10^9</f>
        <v>0.56622406363733302</v>
      </c>
      <c r="O64" s="2">
        <f>O9*'Output-Calculation-sheet'!O53/10^9</f>
        <v>0.50408447711292736</v>
      </c>
      <c r="P64" s="2">
        <f>P9*'Output-Calculation-sheet'!P53/10^9</f>
        <v>0.4209462422712868</v>
      </c>
      <c r="Q64" s="2">
        <f>Q9*'Output-Calculation-sheet'!Q53/10^9</f>
        <v>0.43400136028345482</v>
      </c>
      <c r="R64" s="2">
        <f>R9*'Output-Calculation-sheet'!R53/10^9</f>
        <v>0.34696428113916705</v>
      </c>
      <c r="S64" s="2">
        <f>S9*'Output-Calculation-sheet'!S53/10^9</f>
        <v>0.31930593845658284</v>
      </c>
      <c r="T64" s="2">
        <f>T9*'Output-Calculation-sheet'!T53/10^9</f>
        <v>0.10838414628947729</v>
      </c>
      <c r="U64" s="2">
        <f>U9*'Output-Calculation-sheet'!U53/10^9</f>
        <v>0.10908248382232953</v>
      </c>
      <c r="V64" s="2">
        <f>V9*'Output-Calculation-sheet'!V53/10^9</f>
        <v>8.1150023260781134E-2</v>
      </c>
      <c r="W64" s="2">
        <f>W9*'Output-Calculation-sheet'!W53/10^9</f>
        <v>5.0709432616053922E-2</v>
      </c>
      <c r="X64" s="2">
        <f>X9*'Output-Calculation-sheet'!X53/10^9</f>
        <v>6.4401865530558489E-2</v>
      </c>
      <c r="Y64" s="2">
        <f>Y9*'Output-Calculation-sheet'!Y53/10^9</f>
        <v>4.2488163061301917E-2</v>
      </c>
      <c r="AA64" s="2">
        <f t="shared" si="4"/>
        <v>17.497953436297326</v>
      </c>
    </row>
    <row r="65" spans="1:27" x14ac:dyDescent="0.25">
      <c r="A65" s="2">
        <v>2033</v>
      </c>
      <c r="B65" s="2">
        <f>B10*'Output-Calculation-sheet'!B54/10^9</f>
        <v>5.4259080417970305</v>
      </c>
      <c r="C65" s="2">
        <f>C10*'Output-Calculation-sheet'!C54/10^9</f>
        <v>2.6266283793983014</v>
      </c>
      <c r="D65" s="2">
        <f>D10*'Output-Calculation-sheet'!D54/10^9</f>
        <v>1.1850853294033323</v>
      </c>
      <c r="E65" s="2">
        <f>E10*'Output-Calculation-sheet'!E54/10^9</f>
        <v>1.3195611333689812</v>
      </c>
      <c r="F65" s="2">
        <f>F10*'Output-Calculation-sheet'!F54/10^9</f>
        <v>0.60827004551891728</v>
      </c>
      <c r="G65" s="2">
        <f>G10*'Output-Calculation-sheet'!G54/10^9</f>
        <v>0.42106213805576098</v>
      </c>
      <c r="H65" s="2">
        <f>H10*'Output-Calculation-sheet'!H54/10^9</f>
        <v>0.78691062815520585</v>
      </c>
      <c r="I65" s="2">
        <f>I10*'Output-Calculation-sheet'!I54/10^9</f>
        <v>0.41538317082538972</v>
      </c>
      <c r="J65" s="2">
        <f>J10*'Output-Calculation-sheet'!J54/10^9</f>
        <v>0.37491681202191179</v>
      </c>
      <c r="K65" s="2">
        <f>K10*'Output-Calculation-sheet'!K54/10^9</f>
        <v>0.48410051327112052</v>
      </c>
      <c r="L65" s="2">
        <f>L10*'Output-Calculation-sheet'!L54/10^9</f>
        <v>0.39991473251908577</v>
      </c>
      <c r="M65" s="2">
        <f>M10*'Output-Calculation-sheet'!M54/10^9</f>
        <v>0.54371347863236419</v>
      </c>
      <c r="N65" s="2">
        <f>N10*'Output-Calculation-sheet'!N54/10^9</f>
        <v>0.5696212550714479</v>
      </c>
      <c r="O65" s="2">
        <f>O10*'Output-Calculation-sheet'!O54/10^9</f>
        <v>0.51147465029915851</v>
      </c>
      <c r="P65" s="2">
        <f>P10*'Output-Calculation-sheet'!P54/10^9</f>
        <v>0.42549472028798735</v>
      </c>
      <c r="Q65" s="2">
        <f>Q10*'Output-Calculation-sheet'!Q54/10^9</f>
        <v>0.43858432694898153</v>
      </c>
      <c r="R65" s="2">
        <f>R10*'Output-Calculation-sheet'!R54/10^9</f>
        <v>0.35050877401770703</v>
      </c>
      <c r="S65" s="2">
        <f>S10*'Output-Calculation-sheet'!S54/10^9</f>
        <v>0.32174250044072994</v>
      </c>
      <c r="T65" s="2">
        <f>T10*'Output-Calculation-sheet'!T54/10^9</f>
        <v>0.1094116131873841</v>
      </c>
      <c r="U65" s="2">
        <f>U10*'Output-Calculation-sheet'!U54/10^9</f>
        <v>0.1102487710925608</v>
      </c>
      <c r="V65" s="2">
        <f>V10*'Output-Calculation-sheet'!V54/10^9</f>
        <v>8.192474700580156E-2</v>
      </c>
      <c r="W65" s="2">
        <f>W10*'Output-Calculation-sheet'!W54/10^9</f>
        <v>5.1166022890594597E-2</v>
      </c>
      <c r="X65" s="2">
        <f>X10*'Output-Calculation-sheet'!X54/10^9</f>
        <v>6.4779816648556365E-2</v>
      </c>
      <c r="Y65" s="2">
        <f>Y10*'Output-Calculation-sheet'!Y54/10^9</f>
        <v>4.2921162743504097E-2</v>
      </c>
      <c r="AA65" s="2">
        <f t="shared" si="4"/>
        <v>17.669332763601815</v>
      </c>
    </row>
    <row r="66" spans="1:27" x14ac:dyDescent="0.25">
      <c r="A66" s="2">
        <v>2034</v>
      </c>
      <c r="B66" s="2">
        <f>B11*'Output-Calculation-sheet'!B55/10^9</f>
        <v>5.2820460032982925</v>
      </c>
      <c r="C66" s="2">
        <f>C11*'Output-Calculation-sheet'!C55/10^9</f>
        <v>2.5520003267947295</v>
      </c>
      <c r="D66" s="2">
        <f>D11*'Output-Calculation-sheet'!D55/10^9</f>
        <v>1.1549316458365748</v>
      </c>
      <c r="E66" s="2">
        <f>E11*'Output-Calculation-sheet'!E55/10^9</f>
        <v>1.2864462447946559</v>
      </c>
      <c r="F66" s="2">
        <f>F11*'Output-Calculation-sheet'!F55/10^9</f>
        <v>0.59240117574694129</v>
      </c>
      <c r="G66" s="2">
        <f>G11*'Output-Calculation-sheet'!G55/10^9</f>
        <v>0.41038771054471596</v>
      </c>
      <c r="H66" s="2">
        <f>H11*'Output-Calculation-sheet'!H55/10^9</f>
        <v>0.76313891384666521</v>
      </c>
      <c r="I66" s="2">
        <f>I11*'Output-Calculation-sheet'!I55/10^9</f>
        <v>0.40479215225260806</v>
      </c>
      <c r="J66" s="2">
        <f>J11*'Output-Calculation-sheet'!J55/10^9</f>
        <v>0.36534074606274186</v>
      </c>
      <c r="K66" s="2">
        <f>K11*'Output-Calculation-sheet'!K55/10^9</f>
        <v>0.47182678711724257</v>
      </c>
      <c r="L66" s="2">
        <f>L11*'Output-Calculation-sheet'!L55/10^9</f>
        <v>0.38978147863003609</v>
      </c>
      <c r="M66" s="2">
        <f>M11*'Output-Calculation-sheet'!M55/10^9</f>
        <v>0.52731130756066102</v>
      </c>
      <c r="N66" s="2">
        <f>N11*'Output-Calculation-sheet'!N55/10^9</f>
        <v>0.55292944097480212</v>
      </c>
      <c r="O66" s="2">
        <f>O11*'Output-Calculation-sheet'!O55/10^9</f>
        <v>0.50104909661129005</v>
      </c>
      <c r="P66" s="2">
        <f>P11*'Output-Calculation-sheet'!P55/10^9</f>
        <v>0.41521367257128178</v>
      </c>
      <c r="Q66" s="2">
        <f>Q11*'Output-Calculation-sheet'!Q55/10^9</f>
        <v>0.42787824127331514</v>
      </c>
      <c r="R66" s="2">
        <f>R11*'Output-Calculation-sheet'!R55/10^9</f>
        <v>0.34184290409099599</v>
      </c>
      <c r="S66" s="2">
        <f>S11*'Output-Calculation-sheet'!S55/10^9</f>
        <v>0.31274513168369489</v>
      </c>
      <c r="T66" s="2">
        <f>T11*'Output-Calculation-sheet'!T55/10^9</f>
        <v>0.10662837150015482</v>
      </c>
      <c r="U66" s="2">
        <f>U11*'Output-Calculation-sheet'!U55/10^9</f>
        <v>0.10757429575568575</v>
      </c>
      <c r="V66" s="2">
        <f>V11*'Output-Calculation-sheet'!V55/10^9</f>
        <v>7.984533337187287E-2</v>
      </c>
      <c r="W66" s="2">
        <f>W11*'Output-Calculation-sheet'!W55/10^9</f>
        <v>4.9841107028722242E-2</v>
      </c>
      <c r="X66" s="2">
        <f>X11*'Output-Calculation-sheet'!X55/10^9</f>
        <v>6.2885328574885324E-2</v>
      </c>
      <c r="Y66" s="2">
        <f>Y11*'Output-Calculation-sheet'!Y55/10^9</f>
        <v>4.1859164522181184E-2</v>
      </c>
      <c r="AA66" s="2">
        <f t="shared" si="4"/>
        <v>17.200696580444742</v>
      </c>
    </row>
    <row r="67" spans="1:27" x14ac:dyDescent="0.25">
      <c r="A67" s="2">
        <v>2035</v>
      </c>
      <c r="B67" s="2">
        <f>B12*'Output-Calculation-sheet'!B56/10^9</f>
        <v>4.9760217351540419</v>
      </c>
      <c r="C67" s="2">
        <f>C12*'Output-Calculation-sheet'!C56/10^9</f>
        <v>2.4008192007953313</v>
      </c>
      <c r="D67" s="2">
        <f>D12*'Output-Calculation-sheet'!D56/10^9</f>
        <v>1.0903513938733502</v>
      </c>
      <c r="E67" s="2">
        <f>E12*'Output-Calculation-sheet'!E56/10^9</f>
        <v>1.214945573895637</v>
      </c>
      <c r="F67" s="2">
        <f>F12*'Output-Calculation-sheet'!F56/10^9</f>
        <v>0.55890089997238401</v>
      </c>
      <c r="G67" s="2">
        <f>G12*'Output-Calculation-sheet'!G56/10^9</f>
        <v>0.38748371227825434</v>
      </c>
      <c r="H67" s="2">
        <f>H12*'Output-Calculation-sheet'!H56/10^9</f>
        <v>0.71668514599425204</v>
      </c>
      <c r="I67" s="2">
        <f>I12*'Output-Calculation-sheet'!I56/10^9</f>
        <v>0.3821342989242375</v>
      </c>
      <c r="J67" s="2">
        <f>J12*'Output-Calculation-sheet'!J56/10^9</f>
        <v>0.34488045609525597</v>
      </c>
      <c r="K67" s="2">
        <f>K12*'Output-Calculation-sheet'!K56/10^9</f>
        <v>0.44548318961987404</v>
      </c>
      <c r="L67" s="2">
        <f>L12*'Output-Calculation-sheet'!L56/10^9</f>
        <v>0.36802812067797164</v>
      </c>
      <c r="M67" s="2">
        <f>M12*'Output-Calculation-sheet'!M56/10^9</f>
        <v>0.49523444962241847</v>
      </c>
      <c r="N67" s="2">
        <f>N12*'Output-Calculation-sheet'!N56/10^9</f>
        <v>0.51975345783952298</v>
      </c>
      <c r="O67" s="2">
        <f>O12*'Output-Calculation-sheet'!O56/10^9</f>
        <v>0.47275564333902609</v>
      </c>
      <c r="P67" s="2">
        <f>P12*'Output-Calculation-sheet'!P56/10^9</f>
        <v>0.39250800859884699</v>
      </c>
      <c r="Q67" s="2">
        <f>Q12*'Output-Calculation-sheet'!Q56/10^9</f>
        <v>0.40436447591308716</v>
      </c>
      <c r="R67" s="2">
        <f>R12*'Output-Calculation-sheet'!R56/10^9</f>
        <v>0.32296579513832685</v>
      </c>
      <c r="S67" s="2">
        <f>S12*'Output-Calculation-sheet'!S56/10^9</f>
        <v>0.29431436576401193</v>
      </c>
      <c r="T67" s="2">
        <f>T12*'Output-Calculation-sheet'!T56/10^9</f>
        <v>0.1006666325459574</v>
      </c>
      <c r="U67" s="2">
        <f>U12*'Output-Calculation-sheet'!U56/10^9</f>
        <v>0.10168304503059755</v>
      </c>
      <c r="V67" s="2">
        <f>V12*'Output-Calculation-sheet'!V56/10^9</f>
        <v>7.5383735349228334E-2</v>
      </c>
      <c r="W67" s="2">
        <f>W12*'Output-Calculation-sheet'!W56/10^9</f>
        <v>4.7032263089107809E-2</v>
      </c>
      <c r="X67" s="2">
        <f>X12*'Output-Calculation-sheet'!X56/10^9</f>
        <v>5.9113348029763715E-2</v>
      </c>
      <c r="Y67" s="2">
        <f>Y12*'Output-Calculation-sheet'!Y56/10^9</f>
        <v>3.9547097810691191E-2</v>
      </c>
      <c r="AA67" s="2">
        <f t="shared" si="4"/>
        <v>16.211056045351175</v>
      </c>
    </row>
    <row r="68" spans="1:27" x14ac:dyDescent="0.25">
      <c r="B68" s="2">
        <f>SUM(B60:B67)</f>
        <v>37.142680124487327</v>
      </c>
      <c r="C68" s="2">
        <f t="shared" ref="C68:Y68" si="5">SUM(C60:C67)</f>
        <v>17.864192847928187</v>
      </c>
      <c r="D68" s="2">
        <f t="shared" si="5"/>
        <v>8.1348789298075861</v>
      </c>
      <c r="E68" s="2">
        <f t="shared" si="5"/>
        <v>9.0532892326904726</v>
      </c>
      <c r="F68" s="2">
        <f t="shared" si="5"/>
        <v>4.1791273559198947</v>
      </c>
      <c r="G68" s="2">
        <f t="shared" si="5"/>
        <v>2.8900153644671773</v>
      </c>
      <c r="H68" s="2">
        <f t="shared" si="5"/>
        <v>5.4177322663235872</v>
      </c>
      <c r="I68" s="2">
        <f t="shared" si="5"/>
        <v>2.8514737493936622</v>
      </c>
      <c r="J68" s="2">
        <f t="shared" si="5"/>
        <v>2.573944674372203</v>
      </c>
      <c r="K68" s="2">
        <f t="shared" si="5"/>
        <v>3.3224157727350145</v>
      </c>
      <c r="L68" s="2">
        <f t="shared" si="5"/>
        <v>2.7446652337279263</v>
      </c>
      <c r="M68" s="2">
        <f t="shared" si="5"/>
        <v>3.7427917402187201</v>
      </c>
      <c r="N68" s="2">
        <f t="shared" si="5"/>
        <v>3.9163745960933132</v>
      </c>
      <c r="O68" s="2">
        <f t="shared" si="5"/>
        <v>3.4836141186787266</v>
      </c>
      <c r="P68" s="2">
        <f t="shared" si="5"/>
        <v>2.9151935917741434</v>
      </c>
      <c r="Q68" s="2">
        <f t="shared" si="5"/>
        <v>3.0057797412867302</v>
      </c>
      <c r="R68" s="2">
        <f t="shared" si="5"/>
        <v>2.4034942284397625</v>
      </c>
      <c r="S68" s="2">
        <f t="shared" si="5"/>
        <v>2.206796914111504</v>
      </c>
      <c r="T68" s="2">
        <f t="shared" si="5"/>
        <v>0.7510124028552253</v>
      </c>
      <c r="U68" s="2">
        <f t="shared" si="5"/>
        <v>0.75550534848751816</v>
      </c>
      <c r="V68" s="2">
        <f t="shared" si="5"/>
        <v>0.56226897467946491</v>
      </c>
      <c r="W68" s="2">
        <f t="shared" si="5"/>
        <v>0.35144115246111135</v>
      </c>
      <c r="X68" s="2">
        <f t="shared" si="5"/>
        <v>0.44530555833750335</v>
      </c>
      <c r="Y68" s="2">
        <f t="shared" si="5"/>
        <v>0.29432847339515045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6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6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5566663440.2338829</v>
      </c>
      <c r="C93" s="2">
        <f>C5/'Output-Calculation-sheet'!C4*'Output-Calculation-sheet'!C76</f>
        <v>0</v>
      </c>
      <c r="D93" s="2">
        <f>D5/'Output-Calculation-sheet'!D4*'Output-Calculation-sheet'!D76</f>
        <v>3644088928.1400652</v>
      </c>
      <c r="E93" s="2">
        <f>E5/'Output-Calculation-sheet'!E4*'Output-Calculation-sheet'!E76</f>
        <v>5320964596.9471331</v>
      </c>
      <c r="F93" s="2">
        <f>F5/'Output-Calculation-sheet'!F4*'Output-Calculation-sheet'!F76</f>
        <v>2665170083.9234376</v>
      </c>
      <c r="G93" s="2">
        <f>G5/'Output-Calculation-sheet'!G4*'Output-Calculation-sheet'!G76</f>
        <v>2036541949.9149132</v>
      </c>
      <c r="H93" s="2">
        <f>H5/'Output-Calculation-sheet'!H4*'Output-Calculation-sheet'!H76</f>
        <v>0</v>
      </c>
      <c r="I93" s="2">
        <f>I5/'Output-Calculation-sheet'!I4*'Output-Calculation-sheet'!I76</f>
        <v>1383527797.5373662</v>
      </c>
      <c r="J93" s="2">
        <f>J5/'Output-Calculation-sheet'!J4*'Output-Calculation-sheet'!J76</f>
        <v>992640434.74279273</v>
      </c>
      <c r="K93" s="2">
        <f>K5/'Output-Calculation-sheet'!K4*'Output-Calculation-sheet'!K76</f>
        <v>1249698742.4550951</v>
      </c>
      <c r="L93" s="2">
        <f>L5/'Output-Calculation-sheet'!L4*'Output-Calculation-sheet'!L76</f>
        <v>824105189.10299039</v>
      </c>
      <c r="M93" s="2">
        <f>M5/'Output-Calculation-sheet'!M4*'Output-Calculation-sheet'!M76</f>
        <v>0</v>
      </c>
      <c r="N93" s="2">
        <f>N5/'Output-Calculation-sheet'!N4*'Output-Calculation-sheet'!N76</f>
        <v>390114481.30187786</v>
      </c>
      <c r="O93" s="2">
        <f>O5/'Output-Calculation-sheet'!O4*'Output-Calculation-sheet'!O76</f>
        <v>0</v>
      </c>
      <c r="P93" s="2">
        <f>P5/'Output-Calculation-sheet'!P4*'Output-Calculation-sheet'!P76</f>
        <v>1026970288.4571153</v>
      </c>
      <c r="Q93" s="2">
        <f>Q5/'Output-Calculation-sheet'!Q4*'Output-Calculation-sheet'!Q76</f>
        <v>461686922.25797492</v>
      </c>
      <c r="R93" s="2">
        <f>R5/'Output-Calculation-sheet'!R4*'Output-Calculation-sheet'!R76</f>
        <v>736803335.5207516</v>
      </c>
      <c r="S93" s="2">
        <f>S5/'Output-Calculation-sheet'!S4*'Output-Calculation-sheet'!S76</f>
        <v>244118885.78916904</v>
      </c>
      <c r="T93" s="2">
        <f>T5/'Output-Calculation-sheet'!T4*'Output-Calculation-sheet'!T76</f>
        <v>395917012.50400376</v>
      </c>
      <c r="U93" s="2">
        <f>U5/'Output-Calculation-sheet'!U4*'Output-Calculation-sheet'!U76</f>
        <v>206481425.89659199</v>
      </c>
      <c r="V93" s="2">
        <f>V5/'Output-Calculation-sheet'!V4*'Output-Calculation-sheet'!V76</f>
        <v>123534093.16394548</v>
      </c>
      <c r="W93" s="2">
        <f>W5/'Output-Calculation-sheet'!W4*'Output-Calculation-sheet'!W76</f>
        <v>411672556.32170188</v>
      </c>
      <c r="X93" s="2">
        <f>X5/'Output-Calculation-sheet'!X4*'Output-Calculation-sheet'!X76</f>
        <v>0</v>
      </c>
      <c r="Y93" s="2">
        <f>Y5/'Output-Calculation-sheet'!Y4*'Output-Calculation-sheet'!Y76</f>
        <v>172627257.38299939</v>
      </c>
      <c r="AA93" s="2">
        <f t="shared" ref="AA93:AA100" si="8">SUM(B93:Y93)/10^9</f>
        <v>27.853327421593804</v>
      </c>
    </row>
    <row r="94" spans="1:27" x14ac:dyDescent="0.25">
      <c r="A94" s="2">
        <v>2029</v>
      </c>
      <c r="B94" s="2">
        <f>B6/'Output-Calculation-sheet'!B5*'Output-Calculation-sheet'!B77</f>
        <v>7390499990.4951048</v>
      </c>
      <c r="C94" s="2">
        <f>C6/'Output-Calculation-sheet'!C5*'Output-Calculation-sheet'!C77</f>
        <v>0</v>
      </c>
      <c r="D94" s="2">
        <f>D6/'Output-Calculation-sheet'!D5*'Output-Calculation-sheet'!D77</f>
        <v>4768811915.8121033</v>
      </c>
      <c r="E94" s="2">
        <f>E6/'Output-Calculation-sheet'!E5*'Output-Calculation-sheet'!E77</f>
        <v>7108132802.5353241</v>
      </c>
      <c r="F94" s="2">
        <f>F6/'Output-Calculation-sheet'!F5*'Output-Calculation-sheet'!F77</f>
        <v>3484468954.1755366</v>
      </c>
      <c r="G94" s="2">
        <f>G6/'Output-Calculation-sheet'!G5*'Output-Calculation-sheet'!G77</f>
        <v>2697026053.5102057</v>
      </c>
      <c r="H94" s="2">
        <f>H6/'Output-Calculation-sheet'!H5*'Output-Calculation-sheet'!H77</f>
        <v>659615809.8443917</v>
      </c>
      <c r="I94" s="2">
        <f>I6/'Output-Calculation-sheet'!I5*'Output-Calculation-sheet'!I77</f>
        <v>1806968078.5354779</v>
      </c>
      <c r="J94" s="2">
        <f>J6/'Output-Calculation-sheet'!J5*'Output-Calculation-sheet'!J77</f>
        <v>1310033775.0364845</v>
      </c>
      <c r="K94" s="2">
        <f>K6/'Output-Calculation-sheet'!K5*'Output-Calculation-sheet'!K77</f>
        <v>1633413302.8018677</v>
      </c>
      <c r="L94" s="2">
        <f>L6/'Output-Calculation-sheet'!L5*'Output-Calculation-sheet'!L77</f>
        <v>1089396615.325907</v>
      </c>
      <c r="M94" s="2">
        <f>M6/'Output-Calculation-sheet'!M5*'Output-Calculation-sheet'!M77</f>
        <v>479774816.48526299</v>
      </c>
      <c r="N94" s="2">
        <f>N6/'Output-Calculation-sheet'!N5*'Output-Calculation-sheet'!N77</f>
        <v>565586042.10113823</v>
      </c>
      <c r="O94" s="2">
        <f>O6/'Output-Calculation-sheet'!O5*'Output-Calculation-sheet'!O77</f>
        <v>0</v>
      </c>
      <c r="P94" s="2">
        <f>P6/'Output-Calculation-sheet'!P5*'Output-Calculation-sheet'!P77</f>
        <v>1368604972.8951106</v>
      </c>
      <c r="Q94" s="2">
        <f>Q6/'Output-Calculation-sheet'!Q5*'Output-Calculation-sheet'!Q77</f>
        <v>623431525.90291893</v>
      </c>
      <c r="R94" s="2">
        <f>R6/'Output-Calculation-sheet'!R5*'Output-Calculation-sheet'!R77</f>
        <v>972450981.59025025</v>
      </c>
      <c r="S94" s="2">
        <f>S6/'Output-Calculation-sheet'!S5*'Output-Calculation-sheet'!S77</f>
        <v>328306930.23995799</v>
      </c>
      <c r="T94" s="2">
        <f>T6/'Output-Calculation-sheet'!T5*'Output-Calculation-sheet'!T77</f>
        <v>520316988.28541851</v>
      </c>
      <c r="U94" s="2">
        <f>U6/'Output-Calculation-sheet'!U5*'Output-Calculation-sheet'!U77</f>
        <v>265735605.8273018</v>
      </c>
      <c r="V94" s="2">
        <f>V6/'Output-Calculation-sheet'!V5*'Output-Calculation-sheet'!V77</f>
        <v>159035168.48927408</v>
      </c>
      <c r="W94" s="2">
        <f>W6/'Output-Calculation-sheet'!W5*'Output-Calculation-sheet'!W77</f>
        <v>547068202.39999545</v>
      </c>
      <c r="X94" s="2">
        <f>X6/'Output-Calculation-sheet'!X5*'Output-Calculation-sheet'!X77</f>
        <v>44743117.817296967</v>
      </c>
      <c r="Y94" s="2">
        <f>Y6/'Output-Calculation-sheet'!Y5*'Output-Calculation-sheet'!Y77</f>
        <v>230739516.93973136</v>
      </c>
      <c r="AA94" s="2">
        <f t="shared" si="8"/>
        <v>38.054161167046054</v>
      </c>
    </row>
    <row r="95" spans="1:27" x14ac:dyDescent="0.25">
      <c r="A95" s="2">
        <v>2030</v>
      </c>
      <c r="B95" s="2">
        <f>B7/'Output-Calculation-sheet'!B6*'Output-Calculation-sheet'!B78</f>
        <v>8988052881.553339</v>
      </c>
      <c r="C95" s="2">
        <f>C7/'Output-Calculation-sheet'!C6*'Output-Calculation-sheet'!C78</f>
        <v>0</v>
      </c>
      <c r="D95" s="2">
        <f>D7/'Output-Calculation-sheet'!D6*'Output-Calculation-sheet'!D78</f>
        <v>5732735025.2938633</v>
      </c>
      <c r="E95" s="2">
        <f>E7/'Output-Calculation-sheet'!E6*'Output-Calculation-sheet'!E78</f>
        <v>8713089634.6454163</v>
      </c>
      <c r="F95" s="2">
        <f>F7/'Output-Calculation-sheet'!F6*'Output-Calculation-sheet'!F78</f>
        <v>4181662334.8773317</v>
      </c>
      <c r="G95" s="2">
        <f>G7/'Output-Calculation-sheet'!G6*'Output-Calculation-sheet'!G78</f>
        <v>3279303902.3524408</v>
      </c>
      <c r="H95" s="2">
        <f>H7/'Output-Calculation-sheet'!H6*'Output-Calculation-sheet'!H78</f>
        <v>838746007.17779934</v>
      </c>
      <c r="I95" s="2">
        <f>I7/'Output-Calculation-sheet'!I6*'Output-Calculation-sheet'!I78</f>
        <v>2164241432.5814676</v>
      </c>
      <c r="J95" s="2">
        <f>J7/'Output-Calculation-sheet'!J6*'Output-Calculation-sheet'!J78</f>
        <v>1587221817.3574221</v>
      </c>
      <c r="K95" s="2">
        <f>K7/'Output-Calculation-sheet'!K6*'Output-Calculation-sheet'!K78</f>
        <v>1956507508.7056432</v>
      </c>
      <c r="L95" s="2">
        <f>L7/'Output-Calculation-sheet'!L6*'Output-Calculation-sheet'!L78</f>
        <v>1323470450.5055785</v>
      </c>
      <c r="M95" s="2">
        <f>M7/'Output-Calculation-sheet'!M6*'Output-Calculation-sheet'!M78</f>
        <v>615347858.65847147</v>
      </c>
      <c r="N95" s="2">
        <f>N7/'Output-Calculation-sheet'!N6*'Output-Calculation-sheet'!N78</f>
        <v>718074811.70019794</v>
      </c>
      <c r="O95" s="2">
        <f>O7/'Output-Calculation-sheet'!O6*'Output-Calculation-sheet'!O78</f>
        <v>0</v>
      </c>
      <c r="P95" s="2">
        <f>P7/'Output-Calculation-sheet'!P6*'Output-Calculation-sheet'!P78</f>
        <v>1665395169.2545445</v>
      </c>
      <c r="Q95" s="2">
        <f>Q7/'Output-Calculation-sheet'!Q6*'Output-Calculation-sheet'!Q78</f>
        <v>768862399.55820262</v>
      </c>
      <c r="R95" s="2">
        <f>R7/'Output-Calculation-sheet'!R6*'Output-Calculation-sheet'!R78</f>
        <v>1176700572.592907</v>
      </c>
      <c r="S95" s="2">
        <f>S7/'Output-Calculation-sheet'!S6*'Output-Calculation-sheet'!S78</f>
        <v>416903112.26363331</v>
      </c>
      <c r="T95" s="2">
        <f>T7/'Output-Calculation-sheet'!T6*'Output-Calculation-sheet'!T78</f>
        <v>627890938.10911441</v>
      </c>
      <c r="U95" s="2">
        <f>U7/'Output-Calculation-sheet'!U6*'Output-Calculation-sheet'!U78</f>
        <v>313161513.90728885</v>
      </c>
      <c r="V95" s="2">
        <f>V7/'Output-Calculation-sheet'!V6*'Output-Calculation-sheet'!V78</f>
        <v>187689648.84052458</v>
      </c>
      <c r="W95" s="2">
        <f>W7/'Output-Calculation-sheet'!W6*'Output-Calculation-sheet'!W78</f>
        <v>667780404.40357232</v>
      </c>
      <c r="X95" s="2">
        <f>X7/'Output-Calculation-sheet'!X6*'Output-Calculation-sheet'!X78</f>
        <v>58231264.503207512</v>
      </c>
      <c r="Y95" s="2">
        <f>Y7/'Output-Calculation-sheet'!Y6*'Output-Calculation-sheet'!Y78</f>
        <v>283385460.28698313</v>
      </c>
      <c r="AA95" s="2">
        <f t="shared" si="8"/>
        <v>46.264454149128937</v>
      </c>
    </row>
    <row r="96" spans="1:27" x14ac:dyDescent="0.25">
      <c r="A96" s="2">
        <v>2031</v>
      </c>
      <c r="B96" s="2">
        <f>B8/'Output-Calculation-sheet'!B7*'Output-Calculation-sheet'!B79</f>
        <v>10297825560.824488</v>
      </c>
      <c r="C96" s="2">
        <f>C8/'Output-Calculation-sheet'!C7*'Output-Calculation-sheet'!C79</f>
        <v>0</v>
      </c>
      <c r="D96" s="2">
        <f>D8/'Output-Calculation-sheet'!D7*'Output-Calculation-sheet'!D79</f>
        <v>6268201646.3863163</v>
      </c>
      <c r="E96" s="2">
        <f>E8/'Output-Calculation-sheet'!E7*'Output-Calculation-sheet'!E79</f>
        <v>9818232999.3602009</v>
      </c>
      <c r="F96" s="2">
        <f>F8/'Output-Calculation-sheet'!F7*'Output-Calculation-sheet'!F79</f>
        <v>4699764970.4752922</v>
      </c>
      <c r="G96" s="2">
        <f>G8/'Output-Calculation-sheet'!G7*'Output-Calculation-sheet'!G79</f>
        <v>3582870485.5166187</v>
      </c>
      <c r="H96" s="2">
        <f>H8/'Output-Calculation-sheet'!H7*'Output-Calculation-sheet'!H79</f>
        <v>968322277.59490788</v>
      </c>
      <c r="I96" s="2">
        <f>I8/'Output-Calculation-sheet'!I7*'Output-Calculation-sheet'!I79</f>
        <v>2457077115.8343868</v>
      </c>
      <c r="J96" s="2">
        <f>J8/'Output-Calculation-sheet'!J7*'Output-Calculation-sheet'!J79</f>
        <v>1749009313.3941832</v>
      </c>
      <c r="K96" s="2">
        <f>K8/'Output-Calculation-sheet'!K7*'Output-Calculation-sheet'!K79</f>
        <v>2179833391.1167288</v>
      </c>
      <c r="L96" s="2">
        <f>L8/'Output-Calculation-sheet'!L7*'Output-Calculation-sheet'!L79</f>
        <v>1516856169.1831214</v>
      </c>
      <c r="M96" s="2">
        <f>M8/'Output-Calculation-sheet'!M7*'Output-Calculation-sheet'!M79</f>
        <v>717843160.25354362</v>
      </c>
      <c r="N96" s="2">
        <f>N8/'Output-Calculation-sheet'!N7*'Output-Calculation-sheet'!N79</f>
        <v>800040155.00954771</v>
      </c>
      <c r="O96" s="2">
        <f>O8/'Output-Calculation-sheet'!O7*'Output-Calculation-sheet'!O79</f>
        <v>0</v>
      </c>
      <c r="P96" s="2">
        <f>P8/'Output-Calculation-sheet'!P7*'Output-Calculation-sheet'!P79</f>
        <v>1850301350.383779</v>
      </c>
      <c r="Q96" s="2">
        <f>Q8/'Output-Calculation-sheet'!Q7*'Output-Calculation-sheet'!Q79</f>
        <v>859003807.63882792</v>
      </c>
      <c r="R96" s="2">
        <f>R8/'Output-Calculation-sheet'!R7*'Output-Calculation-sheet'!R79</f>
        <v>1325328500.3154287</v>
      </c>
      <c r="S96" s="2">
        <f>S8/'Output-Calculation-sheet'!S7*'Output-Calculation-sheet'!S79</f>
        <v>485450085.56571758</v>
      </c>
      <c r="T96" s="2">
        <f>T8/'Output-Calculation-sheet'!T7*'Output-Calculation-sheet'!T79</f>
        <v>694683170.2867173</v>
      </c>
      <c r="U96" s="2">
        <f>U8/'Output-Calculation-sheet'!U7*'Output-Calculation-sheet'!U79</f>
        <v>352714886.16093755</v>
      </c>
      <c r="V96" s="2">
        <f>V8/'Output-Calculation-sheet'!V7*'Output-Calculation-sheet'!V79</f>
        <v>213819162.54706305</v>
      </c>
      <c r="W96" s="2">
        <f>W8/'Output-Calculation-sheet'!W7*'Output-Calculation-sheet'!W79</f>
        <v>744614164.17322326</v>
      </c>
      <c r="X96" s="2">
        <f>X8/'Output-Calculation-sheet'!X7*'Output-Calculation-sheet'!X79</f>
        <v>69422646.402448609</v>
      </c>
      <c r="Y96" s="2">
        <f>Y8/'Output-Calculation-sheet'!Y7*'Output-Calculation-sheet'!Y79</f>
        <v>316739725.75868332</v>
      </c>
      <c r="AA96" s="2">
        <f t="shared" si="8"/>
        <v>51.967954744182165</v>
      </c>
    </row>
    <row r="97" spans="1:27" x14ac:dyDescent="0.25">
      <c r="A97" s="2">
        <v>2032</v>
      </c>
      <c r="B97" s="2">
        <f>B9/'Output-Calculation-sheet'!B8*'Output-Calculation-sheet'!B80</f>
        <v>11005613220.243437</v>
      </c>
      <c r="C97" s="2">
        <f>C9/'Output-Calculation-sheet'!C8*'Output-Calculation-sheet'!C80</f>
        <v>0</v>
      </c>
      <c r="D97" s="2">
        <f>D9/'Output-Calculation-sheet'!D8*'Output-Calculation-sheet'!D80</f>
        <v>6389104622.5318184</v>
      </c>
      <c r="E97" s="2">
        <f>E9/'Output-Calculation-sheet'!E8*'Output-Calculation-sheet'!E80</f>
        <v>10307706362.557896</v>
      </c>
      <c r="F97" s="2">
        <f>F9/'Output-Calculation-sheet'!F8*'Output-Calculation-sheet'!F80</f>
        <v>4916939986.5565872</v>
      </c>
      <c r="G97" s="2">
        <f>G9/'Output-Calculation-sheet'!G8*'Output-Calculation-sheet'!G80</f>
        <v>3640873016.302084</v>
      </c>
      <c r="H97" s="2">
        <f>H9/'Output-Calculation-sheet'!H8*'Output-Calculation-sheet'!H80</f>
        <v>1039764740.3922395</v>
      </c>
      <c r="I97" s="2">
        <f>I9/'Output-Calculation-sheet'!I8*'Output-Calculation-sheet'!I80</f>
        <v>2596221591.7555027</v>
      </c>
      <c r="J97" s="2">
        <f>J9/'Output-Calculation-sheet'!J8*'Output-Calculation-sheet'!J80</f>
        <v>1795526599.9842062</v>
      </c>
      <c r="K97" s="2">
        <f>K9/'Output-Calculation-sheet'!K8*'Output-Calculation-sheet'!K80</f>
        <v>2258617166.1654792</v>
      </c>
      <c r="L97" s="2">
        <f>L9/'Output-Calculation-sheet'!L8*'Output-Calculation-sheet'!L80</f>
        <v>1621651628.506633</v>
      </c>
      <c r="M97" s="2">
        <f>M9/'Output-Calculation-sheet'!M8*'Output-Calculation-sheet'!M80</f>
        <v>772169866.97958696</v>
      </c>
      <c r="N97" s="2">
        <f>N9/'Output-Calculation-sheet'!N8*'Output-Calculation-sheet'!N80</f>
        <v>821893909.24535692</v>
      </c>
      <c r="O97" s="2">
        <f>O9/'Output-Calculation-sheet'!O8*'Output-Calculation-sheet'!O80</f>
        <v>0</v>
      </c>
      <c r="P97" s="2">
        <f>P9/'Output-Calculation-sheet'!P8*'Output-Calculation-sheet'!P80</f>
        <v>1923368754.1542439</v>
      </c>
      <c r="Q97" s="2">
        <f>Q9/'Output-Calculation-sheet'!Q8*'Output-Calculation-sheet'!Q80</f>
        <v>896769677.95239925</v>
      </c>
      <c r="R97" s="2">
        <f>R9/'Output-Calculation-sheet'!R8*'Output-Calculation-sheet'!R80</f>
        <v>1389921665.2977145</v>
      </c>
      <c r="S97" s="2">
        <f>S9/'Output-Calculation-sheet'!S8*'Output-Calculation-sheet'!S80</f>
        <v>523710812.80747056</v>
      </c>
      <c r="T97" s="2">
        <f>T9/'Output-Calculation-sheet'!T8*'Output-Calculation-sheet'!T80</f>
        <v>714745581.47812998</v>
      </c>
      <c r="U97" s="2">
        <f>U9/'Output-Calculation-sheet'!U8*'Output-Calculation-sheet'!U80</f>
        <v>370066669.54504138</v>
      </c>
      <c r="V97" s="2">
        <f>V9/'Output-Calculation-sheet'!V8*'Output-Calculation-sheet'!V80</f>
        <v>226864741.03689563</v>
      </c>
      <c r="W97" s="2">
        <f>W9/'Output-Calculation-sheet'!W8*'Output-Calculation-sheet'!W80</f>
        <v>772355805.10389495</v>
      </c>
      <c r="X97" s="2">
        <f>X9/'Output-Calculation-sheet'!X8*'Output-Calculation-sheet'!X80</f>
        <v>76466278.35961467</v>
      </c>
      <c r="Y97" s="2">
        <f>Y9/'Output-Calculation-sheet'!Y8*'Output-Calculation-sheet'!Y80</f>
        <v>328872902.34739506</v>
      </c>
      <c r="AA97" s="2">
        <f t="shared" si="8"/>
        <v>54.389225599303622</v>
      </c>
    </row>
    <row r="98" spans="1:27" x14ac:dyDescent="0.25">
      <c r="A98" s="2">
        <v>2033</v>
      </c>
      <c r="B98" s="2">
        <f>B10/'Output-Calculation-sheet'!B9*'Output-Calculation-sheet'!B81</f>
        <v>11705941685.05611</v>
      </c>
      <c r="C98" s="2">
        <f>C10/'Output-Calculation-sheet'!C9*'Output-Calculation-sheet'!C81</f>
        <v>1533129836.275322</v>
      </c>
      <c r="D98" s="2">
        <f>D10/'Output-Calculation-sheet'!D9*'Output-Calculation-sheet'!D81</f>
        <v>6240833375.8158579</v>
      </c>
      <c r="E98" s="2">
        <f>E10/'Output-Calculation-sheet'!E9*'Output-Calculation-sheet'!E81</f>
        <v>10361956336.559341</v>
      </c>
      <c r="F98" s="2">
        <f>F10/'Output-Calculation-sheet'!F9*'Output-Calculation-sheet'!F81</f>
        <v>4933227642.0266981</v>
      </c>
      <c r="G98" s="2">
        <f>G10/'Output-Calculation-sheet'!G9*'Output-Calculation-sheet'!G81</f>
        <v>3542428763.9962344</v>
      </c>
      <c r="H98" s="2">
        <f>H10/'Output-Calculation-sheet'!H9*'Output-Calculation-sheet'!H81</f>
        <v>1067596936.2742932</v>
      </c>
      <c r="I98" s="2">
        <f>I10/'Output-Calculation-sheet'!I9*'Output-Calculation-sheet'!I81</f>
        <v>2629289982.3248177</v>
      </c>
      <c r="J98" s="2">
        <f>J10/'Output-Calculation-sheet'!J9*'Output-Calculation-sheet'!J81</f>
        <v>1768010721.4271123</v>
      </c>
      <c r="K98" s="2">
        <f>K10/'Output-Calculation-sheet'!K9*'Output-Calculation-sheet'!K81</f>
        <v>2245313441.9451132</v>
      </c>
      <c r="L98" s="2">
        <f>L10/'Output-Calculation-sheet'!L9*'Output-Calculation-sheet'!L81</f>
        <v>1660055782.0761008</v>
      </c>
      <c r="M98" s="2">
        <f>M10/'Output-Calculation-sheet'!M9*'Output-Calculation-sheet'!M81</f>
        <v>796004940.56012666</v>
      </c>
      <c r="N98" s="2">
        <f>N10/'Output-Calculation-sheet'!N9*'Output-Calculation-sheet'!N81</f>
        <v>810018381.55641043</v>
      </c>
      <c r="O98" s="2">
        <f>O10/'Output-Calculation-sheet'!O9*'Output-Calculation-sheet'!O81</f>
        <v>0</v>
      </c>
      <c r="P98" s="2">
        <f>P10/'Output-Calculation-sheet'!P9*'Output-Calculation-sheet'!P81</f>
        <v>1910198964.8904839</v>
      </c>
      <c r="Q98" s="2">
        <f>Q10/'Output-Calculation-sheet'!Q9*'Output-Calculation-sheet'!Q81</f>
        <v>896621319.8863163</v>
      </c>
      <c r="R98" s="2">
        <f>R10/'Output-Calculation-sheet'!R9*'Output-Calculation-sheet'!R81</f>
        <v>1399137718.8126898</v>
      </c>
      <c r="S98" s="2">
        <f>S10/'Output-Calculation-sheet'!S9*'Output-Calculation-sheet'!S81</f>
        <v>531276862.78232175</v>
      </c>
      <c r="T98" s="2">
        <f>T10/'Output-Calculation-sheet'!T9*'Output-Calculation-sheet'!T81</f>
        <v>705172138.03373945</v>
      </c>
      <c r="U98" s="2">
        <f>U10/'Output-Calculation-sheet'!U9*'Output-Calculation-sheet'!U81</f>
        <v>371696991.94422311</v>
      </c>
      <c r="V98" s="2">
        <f>V10/'Output-Calculation-sheet'!V9*'Output-Calculation-sheet'!V81</f>
        <v>230338983.29335546</v>
      </c>
      <c r="W98" s="2">
        <f>W10/'Output-Calculation-sheet'!W9*'Output-Calculation-sheet'!W81</f>
        <v>765795417.9486146</v>
      </c>
      <c r="X98" s="2">
        <f>X10/'Output-Calculation-sheet'!X9*'Output-Calculation-sheet'!X81</f>
        <v>79662968.693677396</v>
      </c>
      <c r="Y98" s="2">
        <f>Y10/'Output-Calculation-sheet'!Y9*'Output-Calculation-sheet'!Y81</f>
        <v>326922465.43075222</v>
      </c>
      <c r="AA98" s="2">
        <f t="shared" si="8"/>
        <v>56.510631657609721</v>
      </c>
    </row>
    <row r="99" spans="1:27" x14ac:dyDescent="0.25">
      <c r="A99" s="2">
        <v>2034</v>
      </c>
      <c r="B99" s="2">
        <f>B11/'Output-Calculation-sheet'!B10*'Output-Calculation-sheet'!B82</f>
        <v>11798439770.410971</v>
      </c>
      <c r="C99" s="2">
        <f>C11/'Output-Calculation-sheet'!C10*'Output-Calculation-sheet'!C82</f>
        <v>1600158419.6852643</v>
      </c>
      <c r="D99" s="2">
        <f>D11/'Output-Calculation-sheet'!D10*'Output-Calculation-sheet'!D82</f>
        <v>5886880318.0296116</v>
      </c>
      <c r="E99" s="2">
        <f>E11/'Output-Calculation-sheet'!E10*'Output-Calculation-sheet'!E82</f>
        <v>10067560903.002823</v>
      </c>
      <c r="F99" s="2">
        <f>F11/'Output-Calculation-sheet'!F10*'Output-Calculation-sheet'!F82</f>
        <v>4781167122.5956697</v>
      </c>
      <c r="G99" s="2">
        <f>G11/'Output-Calculation-sheet'!G10*'Output-Calculation-sheet'!G82</f>
        <v>3321263909.210814</v>
      </c>
      <c r="H99" s="2">
        <f>H11/'Output-Calculation-sheet'!H10*'Output-Calculation-sheet'!H82</f>
        <v>1059792206.7977709</v>
      </c>
      <c r="I99" s="2">
        <f>I11/'Output-Calculation-sheet'!I10*'Output-Calculation-sheet'!I82</f>
        <v>2574580433.5640969</v>
      </c>
      <c r="J99" s="2">
        <f>J11/'Output-Calculation-sheet'!J10*'Output-Calculation-sheet'!J82</f>
        <v>1682063847.1654029</v>
      </c>
      <c r="K99" s="2">
        <f>K11/'Output-Calculation-sheet'!K10*'Output-Calculation-sheet'!K82</f>
        <v>2156705288.0799313</v>
      </c>
      <c r="L99" s="2">
        <f>L11/'Output-Calculation-sheet'!L10*'Output-Calculation-sheet'!L82</f>
        <v>1639961809.089952</v>
      </c>
      <c r="M99" s="2">
        <f>M11/'Output-Calculation-sheet'!M10*'Output-Calculation-sheet'!M82</f>
        <v>792758041.19757795</v>
      </c>
      <c r="N99" s="2">
        <f>N11/'Output-Calculation-sheet'!N10*'Output-Calculation-sheet'!N82</f>
        <v>773697564.04128575</v>
      </c>
      <c r="O99" s="2">
        <f>O11/'Output-Calculation-sheet'!O10*'Output-Calculation-sheet'!O82</f>
        <v>0</v>
      </c>
      <c r="P99" s="2">
        <f>P11/'Output-Calculation-sheet'!P10*'Output-Calculation-sheet'!P82</f>
        <v>1829972519.7307189</v>
      </c>
      <c r="Q99" s="2">
        <f>Q11/'Output-Calculation-sheet'!Q10*'Output-Calculation-sheet'!Q82</f>
        <v>866505489.32855797</v>
      </c>
      <c r="R99" s="2">
        <f>R11/'Output-Calculation-sheet'!R10*'Output-Calculation-sheet'!R82</f>
        <v>1359833708.0155206</v>
      </c>
      <c r="S99" s="2">
        <f>S11/'Output-Calculation-sheet'!S10*'Output-Calculation-sheet'!S82</f>
        <v>529837940.0858379</v>
      </c>
      <c r="T99" s="2">
        <f>T11/'Output-Calculation-sheet'!T10*'Output-Calculation-sheet'!T82</f>
        <v>671865793.61970162</v>
      </c>
      <c r="U99" s="2">
        <f>U11/'Output-Calculation-sheet'!U10*'Output-Calculation-sheet'!U82</f>
        <v>361145498.10449934</v>
      </c>
      <c r="V99" s="2">
        <f>V11/'Output-Calculation-sheet'!V10*'Output-Calculation-sheet'!V82</f>
        <v>225924480.70440045</v>
      </c>
      <c r="W99" s="2">
        <f>W11/'Output-Calculation-sheet'!W10*'Output-Calculation-sheet'!W82</f>
        <v>732353459.1391387</v>
      </c>
      <c r="X99" s="2">
        <f>X11/'Output-Calculation-sheet'!X10*'Output-Calculation-sheet'!X82</f>
        <v>80584073.256924957</v>
      </c>
      <c r="Y99" s="2">
        <f>Y11/'Output-Calculation-sheet'!Y10*'Output-Calculation-sheet'!Y82</f>
        <v>313355668.11551321</v>
      </c>
      <c r="AA99" s="2">
        <f t="shared" si="8"/>
        <v>55.106408262971982</v>
      </c>
    </row>
    <row r="100" spans="1:27" x14ac:dyDescent="0.25">
      <c r="A100" s="2">
        <v>2035</v>
      </c>
      <c r="B100" s="2">
        <f>B12/'Output-Calculation-sheet'!B11*'Output-Calculation-sheet'!B83</f>
        <v>11332203395.716969</v>
      </c>
      <c r="C100" s="2">
        <f>C12/'Output-Calculation-sheet'!C11*'Output-Calculation-sheet'!C83</f>
        <v>1603339094.3817902</v>
      </c>
      <c r="D100" s="2">
        <f>D12/'Output-Calculation-sheet'!D11*'Output-Calculation-sheet'!D83</f>
        <v>5389658527.7255287</v>
      </c>
      <c r="E100" s="2">
        <f>E12/'Output-Calculation-sheet'!E11*'Output-Calculation-sheet'!E83</f>
        <v>9482116959.3072166</v>
      </c>
      <c r="F100" s="2">
        <f>F12/'Output-Calculation-sheet'!F11*'Output-Calculation-sheet'!F83</f>
        <v>4493639096.1135464</v>
      </c>
      <c r="G100" s="2">
        <f>G12/'Output-Calculation-sheet'!G11*'Output-Calculation-sheet'!G83</f>
        <v>3013767297.8822432</v>
      </c>
      <c r="H100" s="2">
        <f>H12/'Output-Calculation-sheet'!H11*'Output-Calculation-sheet'!H83</f>
        <v>1015513943.6346925</v>
      </c>
      <c r="I100" s="2">
        <f>I12/'Output-Calculation-sheet'!I11*'Output-Calculation-sheet'!I83</f>
        <v>2441851667.7507911</v>
      </c>
      <c r="J100" s="2">
        <f>J12/'Output-Calculation-sheet'!J11*'Output-Calculation-sheet'!J83</f>
        <v>1551354485.3189523</v>
      </c>
      <c r="K100" s="2">
        <f>K12/'Output-Calculation-sheet'!K11*'Output-Calculation-sheet'!K83</f>
        <v>2008094390.223516</v>
      </c>
      <c r="L100" s="2">
        <f>L12/'Output-Calculation-sheet'!L11*'Output-Calculation-sheet'!L83</f>
        <v>1568994748.5032554</v>
      </c>
      <c r="M100" s="2">
        <f>M12/'Output-Calculation-sheet'!M11*'Output-Calculation-sheet'!M83</f>
        <v>761177372.49651527</v>
      </c>
      <c r="N100" s="2">
        <f>N12/'Output-Calculation-sheet'!N11*'Output-Calculation-sheet'!N83</f>
        <v>717052662.82448637</v>
      </c>
      <c r="O100" s="2">
        <f>O12/'Output-Calculation-sheet'!O11*'Output-Calculation-sheet'!O83</f>
        <v>193451948.8992179</v>
      </c>
      <c r="P100" s="2">
        <f>P12/'Output-Calculation-sheet'!P11*'Output-Calculation-sheet'!P83</f>
        <v>1698571553.1943932</v>
      </c>
      <c r="Q100" s="2">
        <f>Q12/'Output-Calculation-sheet'!Q11*'Output-Calculation-sheet'!Q83</f>
        <v>814596013.05204451</v>
      </c>
      <c r="R100" s="2">
        <f>R12/'Output-Calculation-sheet'!R11*'Output-Calculation-sheet'!R83</f>
        <v>1283150032.1540456</v>
      </c>
      <c r="S100" s="2">
        <f>S12/'Output-Calculation-sheet'!S11*'Output-Calculation-sheet'!S83</f>
        <v>497672727.59355432</v>
      </c>
      <c r="T100" s="2">
        <f>T12/'Output-Calculation-sheet'!T11*'Output-Calculation-sheet'!T83</f>
        <v>620320868.03478169</v>
      </c>
      <c r="U100" s="2">
        <f>U12/'Output-Calculation-sheet'!U11*'Output-Calculation-sheet'!U83</f>
        <v>339808232.9055714</v>
      </c>
      <c r="V100" s="2">
        <f>V12/'Output-Calculation-sheet'!V11*'Output-Calculation-sheet'!V83</f>
        <v>214774437.16468</v>
      </c>
      <c r="W100" s="2">
        <f>W12/'Output-Calculation-sheet'!W11*'Output-Calculation-sheet'!W83</f>
        <v>677721679.91139901</v>
      </c>
      <c r="X100" s="2">
        <f>X12/'Output-Calculation-sheet'!X11*'Output-Calculation-sheet'!X83</f>
        <v>78861414.009120643</v>
      </c>
      <c r="Y100" s="2">
        <f>Y12/'Output-Calculation-sheet'!Y11*'Output-Calculation-sheet'!Y83</f>
        <v>290980929.28208876</v>
      </c>
      <c r="AA100" s="2">
        <f t="shared" si="8"/>
        <v>52.088673478080402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6D3B3-E116-4C65-8CA6-757AE240AB3A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114460110589.66147</v>
      </c>
      <c r="C8" s="2">
        <v>53939363827.226181</v>
      </c>
      <c r="D8" s="2">
        <v>48074555101.676453</v>
      </c>
      <c r="E8" s="2">
        <v>38142281021.240814</v>
      </c>
      <c r="F8" s="2">
        <v>24553555015.876984</v>
      </c>
      <c r="G8" s="2">
        <v>17252001608.284458</v>
      </c>
      <c r="H8" s="2">
        <v>16828665320.034506</v>
      </c>
      <c r="I8" s="2">
        <v>15717931494.428228</v>
      </c>
      <c r="J8" s="2">
        <v>15298748931.541239</v>
      </c>
      <c r="K8" s="2">
        <v>15152085960.628836</v>
      </c>
      <c r="L8" s="2">
        <v>12155200355.691183</v>
      </c>
      <c r="M8" s="2">
        <v>11610312063.884342</v>
      </c>
      <c r="N8" s="2">
        <v>11395487759.115295</v>
      </c>
      <c r="O8" s="2">
        <v>10480465233.580828</v>
      </c>
      <c r="P8" s="2">
        <v>10373834786.322638</v>
      </c>
      <c r="Q8" s="2">
        <v>10206176850.382072</v>
      </c>
      <c r="R8" s="2">
        <v>9818811572.288187</v>
      </c>
      <c r="S8" s="2">
        <v>6526085156.4865847</v>
      </c>
      <c r="T8" s="2">
        <v>3609310704.7897615</v>
      </c>
      <c r="U8" s="2">
        <v>3143586298.8856506</v>
      </c>
      <c r="V8" s="2">
        <v>2420624321.8679304</v>
      </c>
      <c r="W8" s="2">
        <v>2095724199.2570984</v>
      </c>
      <c r="X8" s="2">
        <v>1257434519.55426</v>
      </c>
      <c r="Y8" s="2">
        <v>1222842495.9213202</v>
      </c>
    </row>
    <row r="9" spans="1:27" x14ac:dyDescent="0.25">
      <c r="A9" s="2">
        <v>2032</v>
      </c>
      <c r="B9" s="2">
        <v>126378241512.33607</v>
      </c>
      <c r="C9" s="2">
        <v>59555786847.148773</v>
      </c>
      <c r="D9" s="2">
        <v>53080306352.478287</v>
      </c>
      <c r="E9" s="2">
        <v>42113836671.141212</v>
      </c>
      <c r="F9" s="2">
        <v>27110187905.612698</v>
      </c>
      <c r="G9" s="2">
        <v>19048362041.508598</v>
      </c>
      <c r="H9" s="2">
        <v>18580945966.145996</v>
      </c>
      <c r="I9" s="2">
        <v>17354557253.561005</v>
      </c>
      <c r="J9" s="2">
        <v>16891727409.195318</v>
      </c>
      <c r="K9" s="2">
        <v>16729793192.432833</v>
      </c>
      <c r="L9" s="2">
        <v>13420857609.420534</v>
      </c>
      <c r="M9" s="2">
        <v>12819232957.963755</v>
      </c>
      <c r="N9" s="2">
        <v>12582040125.185955</v>
      </c>
      <c r="O9" s="2">
        <v>11571741103.758417</v>
      </c>
      <c r="P9" s="2">
        <v>11454007787.350271</v>
      </c>
      <c r="Q9" s="2">
        <v>11268892509.978954</v>
      </c>
      <c r="R9" s="2">
        <v>10841192917.376394</v>
      </c>
      <c r="S9" s="2">
        <v>7205612171.6785116</v>
      </c>
      <c r="T9" s="2">
        <v>3985129296.0761895</v>
      </c>
      <c r="U9" s="2">
        <v>3470911450.7122059</v>
      </c>
      <c r="V9" s="2">
        <v>2672671235.2774148</v>
      </c>
      <c r="W9" s="2">
        <v>2313940967.141469</v>
      </c>
      <c r="X9" s="2">
        <v>1388364580.2848823</v>
      </c>
      <c r="Y9" s="2">
        <v>1350170670.6812429</v>
      </c>
    </row>
    <row r="10" spans="1:27" x14ac:dyDescent="0.25">
      <c r="A10" s="2">
        <v>2033</v>
      </c>
      <c r="B10" s="2">
        <v>131668192161.80971</v>
      </c>
      <c r="C10" s="2">
        <v>62048677787.407936</v>
      </c>
      <c r="D10" s="2">
        <v>55302146106.722237</v>
      </c>
      <c r="E10" s="2">
        <v>43876641050.948822</v>
      </c>
      <c r="F10" s="2">
        <v>28244968342.517647</v>
      </c>
      <c r="G10" s="2">
        <v>19845689919.686512</v>
      </c>
      <c r="H10" s="2">
        <v>19358708704.456089</v>
      </c>
      <c r="I10" s="2">
        <v>18080985714.000065</v>
      </c>
      <c r="J10" s="2">
        <v>17598782700.594372</v>
      </c>
      <c r="K10" s="2">
        <v>17430070228.296093</v>
      </c>
      <c r="L10" s="2">
        <v>13982628952.160076</v>
      </c>
      <c r="M10" s="2">
        <v>13355821447.408075</v>
      </c>
      <c r="N10" s="2">
        <v>13108700177.861507</v>
      </c>
      <c r="O10" s="2">
        <v>12056111978.323816</v>
      </c>
      <c r="P10" s="2">
        <v>11933450571.240053</v>
      </c>
      <c r="Q10" s="2">
        <v>11740586723.624054</v>
      </c>
      <c r="R10" s="2">
        <v>11294984446.899664</v>
      </c>
      <c r="S10" s="2">
        <v>7507225268.4528103</v>
      </c>
      <c r="T10" s="2">
        <v>4151939160.3039393</v>
      </c>
      <c r="U10" s="2">
        <v>3616197142.8000188</v>
      </c>
      <c r="V10" s="2">
        <v>2784544123.8988719</v>
      </c>
      <c r="W10" s="2">
        <v>2410798095.2000103</v>
      </c>
      <c r="X10" s="2">
        <v>1446478857.1200073</v>
      </c>
      <c r="Y10" s="2">
        <v>1406686223.7606335</v>
      </c>
    </row>
    <row r="11" spans="1:27" x14ac:dyDescent="0.25">
      <c r="A11" s="2">
        <v>2034</v>
      </c>
      <c r="B11" s="2">
        <v>130062025121.87215</v>
      </c>
      <c r="C11" s="2">
        <v>61291771054.676582</v>
      </c>
      <c r="D11" s="2">
        <v>54627537586.197632</v>
      </c>
      <c r="E11" s="2">
        <v>43341407647.025429</v>
      </c>
      <c r="F11" s="2">
        <v>27900419393.747391</v>
      </c>
      <c r="G11" s="2">
        <v>19603600372.389858</v>
      </c>
      <c r="H11" s="2">
        <v>19122559644.107189</v>
      </c>
      <c r="I11" s="2">
        <v>17860423079.80122</v>
      </c>
      <c r="J11" s="2">
        <v>17384102265.991146</v>
      </c>
      <c r="K11" s="2">
        <v>17217447848.928406</v>
      </c>
      <c r="L11" s="2">
        <v>13812060515.046299</v>
      </c>
      <c r="M11" s="2">
        <v>13192899181.613194</v>
      </c>
      <c r="N11" s="2">
        <v>12948792444.51745</v>
      </c>
      <c r="O11" s="2">
        <v>11909044342.842173</v>
      </c>
      <c r="P11" s="2">
        <v>11787879232.668812</v>
      </c>
      <c r="Q11" s="2">
        <v>11597368053.150936</v>
      </c>
      <c r="R11" s="2">
        <v>11157201498.433849</v>
      </c>
      <c r="S11" s="2">
        <v>7415647662.733448</v>
      </c>
      <c r="T11" s="2">
        <v>4101291333.2045074</v>
      </c>
      <c r="U11" s="2">
        <v>3572084615.9602489</v>
      </c>
      <c r="V11" s="2">
        <v>2750576595.9817128</v>
      </c>
      <c r="W11" s="2">
        <v>2381389743.9734974</v>
      </c>
      <c r="X11" s="2">
        <v>1428833846.3840995</v>
      </c>
      <c r="Y11" s="2">
        <v>1389526627.2700706</v>
      </c>
    </row>
    <row r="12" spans="1:27" x14ac:dyDescent="0.25">
      <c r="A12" s="2">
        <v>2035</v>
      </c>
      <c r="B12" s="2">
        <v>121795169130.6086</v>
      </c>
      <c r="C12" s="2">
        <v>57396012517.288574</v>
      </c>
      <c r="D12" s="2">
        <v>51155363552.621948</v>
      </c>
      <c r="E12" s="2">
        <v>40586589896.487762</v>
      </c>
      <c r="F12" s="2">
        <v>26127044352.048317</v>
      </c>
      <c r="G12" s="2">
        <v>18357578399.127705</v>
      </c>
      <c r="H12" s="2">
        <v>17907113039.965408</v>
      </c>
      <c r="I12" s="2">
        <v>16725198978.797068</v>
      </c>
      <c r="J12" s="2">
        <v>16279153532.218281</v>
      </c>
      <c r="K12" s="2">
        <v>16123091815.5604</v>
      </c>
      <c r="L12" s="2">
        <v>12934153876.936422</v>
      </c>
      <c r="M12" s="2">
        <v>12354346979.004793</v>
      </c>
      <c r="N12" s="2">
        <v>12125755879.468719</v>
      </c>
      <c r="O12" s="2">
        <v>11152095075.878222</v>
      </c>
      <c r="P12" s="2">
        <v>11038631326.006075</v>
      </c>
      <c r="Q12" s="2">
        <v>10860229203.565573</v>
      </c>
      <c r="R12" s="2">
        <v>10448040019.772915</v>
      </c>
      <c r="S12" s="2">
        <v>6944302615.9965258</v>
      </c>
      <c r="T12" s="2">
        <v>3840609671.52771</v>
      </c>
      <c r="U12" s="2">
        <v>3345039795.7594185</v>
      </c>
      <c r="V12" s="2">
        <v>2575747543.5306692</v>
      </c>
      <c r="W12" s="2">
        <v>2230026530.5062771</v>
      </c>
      <c r="X12" s="2">
        <v>1338015918.3037674</v>
      </c>
      <c r="Y12" s="2">
        <v>1301207100.3912284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-4.8443221004840817E-11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192.67004507413145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3.0244191121304652E-12</v>
      </c>
      <c r="Y16" s="2">
        <f>Y5/'Output-Calculation-sheet'!Y4*'Output-Calculation-sheet'!Y22</f>
        <v>0</v>
      </c>
      <c r="AA16" s="2">
        <f t="shared" ref="AA16:AA23" si="0">SUM(B16:Y16)/1000</f>
        <v>0.19267004507408603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1533.4245836019963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1043.7250850070277</v>
      </c>
      <c r="N17" s="2">
        <f>N6/'Output-Calculation-sheet'!N5*'Output-Calculation-sheet'!N23</f>
        <v>428.04132238536522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96.208542383248712</v>
      </c>
      <c r="Y17" s="2">
        <f>Y6/'Output-Calculation-sheet'!Y5*'Output-Calculation-sheet'!Y23</f>
        <v>0</v>
      </c>
      <c r="AA17" s="2">
        <f t="shared" si="0"/>
        <v>3.1013995333776379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2058.9994115891145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1399.453207171937</v>
      </c>
      <c r="N18" s="2">
        <f>N7/'Output-Calculation-sheet'!N6*'Output-Calculation-sheet'!N24</f>
        <v>774.67774409618482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137.62596254687006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131.38296544028265</v>
      </c>
      <c r="Y18" s="2">
        <f>Y7/'Output-Calculation-sheet'!Y6*'Output-Calculation-sheet'!Y24</f>
        <v>0</v>
      </c>
      <c r="AA18" s="2">
        <f t="shared" si="0"/>
        <v>4.5021392908443891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2515.3411560186287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1722.6235606252044</v>
      </c>
      <c r="N19" s="2">
        <f>N8/'Output-Calculation-sheet'!N7*'Output-Calculation-sheet'!N25</f>
        <v>1158.714517689963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307.34375659755534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163.48350721614983</v>
      </c>
      <c r="Y19" s="2">
        <f>Y8/'Output-Calculation-sheet'!Y7*'Output-Calculation-sheet'!Y25</f>
        <v>0</v>
      </c>
      <c r="AA19" s="2">
        <f t="shared" si="0"/>
        <v>5.8675064981475016</v>
      </c>
    </row>
    <row r="20" spans="1:27" x14ac:dyDescent="0.25">
      <c r="A20" s="2">
        <v>2032</v>
      </c>
      <c r="B20" s="2">
        <f>B9/'Output-Calculation-sheet'!B8*'Output-Calculation-sheet'!B26</f>
        <v>2.7139897747818598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2868.883407432827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1961.943233284868</v>
      </c>
      <c r="N20" s="2">
        <f>N9/'Output-Calculation-sheet'!N8*'Output-Calculation-sheet'!N26</f>
        <v>1428.8550549956221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491.59940307971618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188.84632633042816</v>
      </c>
      <c r="Y20" s="2">
        <f>Y9/'Output-Calculation-sheet'!Y8*'Output-Calculation-sheet'!Y26</f>
        <v>0</v>
      </c>
      <c r="AA20" s="2">
        <f t="shared" si="0"/>
        <v>6.9428414148982451</v>
      </c>
    </row>
    <row r="21" spans="1:27" x14ac:dyDescent="0.25">
      <c r="A21" s="2">
        <v>2033</v>
      </c>
      <c r="B21" s="2">
        <f>B10/'Output-Calculation-sheet'!B9*'Output-Calculation-sheet'!B27</f>
        <v>4402.5610214107382</v>
      </c>
      <c r="C21" s="2">
        <f>C10/'Output-Calculation-sheet'!C9*'Output-Calculation-sheet'!C27</f>
        <v>6869.8941241460616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3082.2596368549616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2109.9648573234385</v>
      </c>
      <c r="N21" s="2">
        <f>N10/'Output-Calculation-sheet'!N9*'Output-Calculation-sheet'!N27</f>
        <v>1648.5766542354402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628.91550151087222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203.09577649106177</v>
      </c>
      <c r="Y21" s="2">
        <f>Y10/'Output-Calculation-sheet'!Y9*'Output-Calculation-sheet'!Y27</f>
        <v>0</v>
      </c>
      <c r="AA21" s="2">
        <f t="shared" si="0"/>
        <v>18.945267571972575</v>
      </c>
    </row>
    <row r="22" spans="1:27" x14ac:dyDescent="0.25">
      <c r="A22" s="2">
        <v>2034</v>
      </c>
      <c r="B22" s="2">
        <f>B11/'Output-Calculation-sheet'!B10*'Output-Calculation-sheet'!B28</f>
        <v>7432.183916407057</v>
      </c>
      <c r="C22" s="2">
        <f>C11/'Output-Calculation-sheet'!C10*'Output-Calculation-sheet'!C28</f>
        <v>7200.5428768794764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3145.9388537921559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2153.7370465456252</v>
      </c>
      <c r="N22" s="2">
        <f>N11/'Output-Calculation-sheet'!N10*'Output-Calculation-sheet'!N28</f>
        <v>1727.0418996403346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704.51522718263595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208.66946079243027</v>
      </c>
      <c r="Y22" s="2">
        <f>Y11/'Output-Calculation-sheet'!Y10*'Output-Calculation-sheet'!Y28</f>
        <v>0</v>
      </c>
      <c r="AA22" s="2">
        <f t="shared" si="0"/>
        <v>22.572629281239713</v>
      </c>
    </row>
    <row r="23" spans="1:27" x14ac:dyDescent="0.25">
      <c r="A23" s="2">
        <v>2035</v>
      </c>
      <c r="B23" s="2">
        <f>B12/'Output-Calculation-sheet'!B11*'Output-Calculation-sheet'!B29</f>
        <v>8670.606850895294</v>
      </c>
      <c r="C23" s="2">
        <f>C12/'Output-Calculation-sheet'!C11*'Output-Calculation-sheet'!C29</f>
        <v>7104.9094304673854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3031.2677479788413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2071.9918924645435</v>
      </c>
      <c r="N23" s="2">
        <f>N12/'Output-Calculation-sheet'!N11*'Output-Calculation-sheet'!N29</f>
        <v>1693.673825233552</v>
      </c>
      <c r="O23" s="2">
        <f>O12/'Output-Calculation-sheet'!O11*'Output-Calculation-sheet'!O29</f>
        <v>1208.0083028769429</v>
      </c>
      <c r="P23" s="2">
        <f>P12/'Output-Calculation-sheet'!P11*'Output-Calculation-sheet'!P29</f>
        <v>0</v>
      </c>
      <c r="Q23" s="2">
        <f>Q12/'Output-Calculation-sheet'!Q11*'Output-Calculation-sheet'!Q29</f>
        <v>23.116668108334387</v>
      </c>
      <c r="R23" s="2">
        <f>R12/'Output-Calculation-sheet'!R11*'Output-Calculation-sheet'!R29</f>
        <v>0</v>
      </c>
      <c r="S23" s="2">
        <f>S12/'Output-Calculation-sheet'!S11*'Output-Calculation-sheet'!S29</f>
        <v>743.78841473640261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203.11088762316336</v>
      </c>
      <c r="Y23" s="2">
        <f>Y12/'Output-Calculation-sheet'!Y11*'Output-Calculation-sheet'!Y29</f>
        <v>0</v>
      </c>
      <c r="AA23" s="2">
        <f t="shared" si="0"/>
        <v>24.750474020384459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8969.926294256602</v>
      </c>
      <c r="C27" s="2">
        <f>C5/'Output-Calculation-sheet'!C4*'Output-Calculation-sheet'!C13</f>
        <v>0</v>
      </c>
      <c r="D27" s="2">
        <f>D5/'Output-Calculation-sheet'!D4*'Output-Calculation-sheet'!D13</f>
        <v>2896.8118516387653</v>
      </c>
      <c r="E27" s="2">
        <f>E5/'Output-Calculation-sheet'!E4*'Output-Calculation-sheet'!E13</f>
        <v>2955.1996595598139</v>
      </c>
      <c r="F27" s="2">
        <f>F5/'Output-Calculation-sheet'!F4*'Output-Calculation-sheet'!F13</f>
        <v>1678.7357198057578</v>
      </c>
      <c r="G27" s="2">
        <f>G5/'Output-Calculation-sheet'!G4*'Output-Calculation-sheet'!G13</f>
        <v>1018.0627903483304</v>
      </c>
      <c r="H27" s="2">
        <f>H5/'Output-Calculation-sheet'!H4*'Output-Calculation-sheet'!H13</f>
        <v>0</v>
      </c>
      <c r="I27" s="2">
        <f>I5/'Output-Calculation-sheet'!I4*'Output-Calculation-sheet'!I13</f>
        <v>1017.3102620508267</v>
      </c>
      <c r="J27" s="2">
        <f>J5/'Output-Calculation-sheet'!J4*'Output-Calculation-sheet'!J13</f>
        <v>935.245890013289</v>
      </c>
      <c r="K27" s="2">
        <f>K5/'Output-Calculation-sheet'!K4*'Output-Calculation-sheet'!K13</f>
        <v>1140.0845893762462</v>
      </c>
      <c r="L27" s="2">
        <f>L5/'Output-Calculation-sheet'!L4*'Output-Calculation-sheet'!L13</f>
        <v>945.33125398479945</v>
      </c>
      <c r="M27" s="2">
        <f>M5/'Output-Calculation-sheet'!M4*'Output-Calculation-sheet'!M13</f>
        <v>0</v>
      </c>
      <c r="N27" s="2">
        <f>N5/'Output-Calculation-sheet'!N4*'Output-Calculation-sheet'!N13</f>
        <v>614.0689978991835</v>
      </c>
      <c r="O27" s="2">
        <f>O5/'Output-Calculation-sheet'!O4*'Output-Calculation-sheet'!O13</f>
        <v>0</v>
      </c>
      <c r="P27" s="2">
        <f>P5/'Output-Calculation-sheet'!P4*'Output-Calculation-sheet'!P13</f>
        <v>738.78330105439738</v>
      </c>
      <c r="Q27" s="2">
        <f>Q5/'Output-Calculation-sheet'!Q4*'Output-Calculation-sheet'!Q13</f>
        <v>797.01630657061492</v>
      </c>
      <c r="R27" s="2">
        <f>R5/'Output-Calculation-sheet'!R4*'Output-Calculation-sheet'!R13</f>
        <v>719.2927449293843</v>
      </c>
      <c r="S27" s="2">
        <f>S5/'Output-Calculation-sheet'!S4*'Output-Calculation-sheet'!S13</f>
        <v>431.79892974432403</v>
      </c>
      <c r="T27" s="2">
        <f>T5/'Output-Calculation-sheet'!T4*'Output-Calculation-sheet'!T13</f>
        <v>264.40956595950104</v>
      </c>
      <c r="U27" s="2">
        <f>U5/'Output-Calculation-sheet'!U4*'Output-Calculation-sheet'!U13</f>
        <v>201.9153050149969</v>
      </c>
      <c r="V27" s="2">
        <f>V5/'Output-Calculation-sheet'!V4*'Output-Calculation-sheet'!V13</f>
        <v>193.42744364782652</v>
      </c>
      <c r="W27" s="2">
        <f>W5/'Output-Calculation-sheet'!W4*'Output-Calculation-sheet'!W13</f>
        <v>135.37298936876249</v>
      </c>
      <c r="X27" s="2">
        <f>X5/'Output-Calculation-sheet'!X4*'Output-Calculation-sheet'!X13</f>
        <v>0</v>
      </c>
      <c r="Y27" s="2">
        <f>Y5/'Output-Calculation-sheet'!Y4*'Output-Calculation-sheet'!Y13</f>
        <v>88.859631842540509</v>
      </c>
      <c r="AA27" s="2">
        <f t="shared" ref="AA27:AA34" si="1">SUM(B27:Y27)/1000</f>
        <v>25.741653527065964</v>
      </c>
    </row>
    <row r="28" spans="1:27" x14ac:dyDescent="0.25">
      <c r="A28" s="2">
        <v>2029</v>
      </c>
      <c r="B28" s="2">
        <f>B6/'Output-Calculation-sheet'!B5*'Output-Calculation-sheet'!B14</f>
        <v>12779.040034731768</v>
      </c>
      <c r="C28" s="2">
        <f>C6/'Output-Calculation-sheet'!C5*'Output-Calculation-sheet'!C14</f>
        <v>0</v>
      </c>
      <c r="D28" s="2">
        <f>D6/'Output-Calculation-sheet'!D5*'Output-Calculation-sheet'!D14</f>
        <v>4065.0952735208048</v>
      </c>
      <c r="E28" s="2">
        <f>E6/'Output-Calculation-sheet'!E5*'Output-Calculation-sheet'!E14</f>
        <v>4174.4157888742584</v>
      </c>
      <c r="F28" s="2">
        <f>F6/'Output-Calculation-sheet'!F5*'Output-Calculation-sheet'!F14</f>
        <v>2353.9437307853668</v>
      </c>
      <c r="G28" s="2">
        <f>G6/'Output-Calculation-sheet'!G5*'Output-Calculation-sheet'!G14</f>
        <v>1426.1730245532369</v>
      </c>
      <c r="H28" s="2">
        <f>H6/'Output-Calculation-sheet'!H5*'Output-Calculation-sheet'!H14</f>
        <v>0</v>
      </c>
      <c r="I28" s="2">
        <f>I6/'Output-Calculation-sheet'!I5*'Output-Calculation-sheet'!I14</f>
        <v>1432.4364589543388</v>
      </c>
      <c r="J28" s="2">
        <f>J6/'Output-Calculation-sheet'!J5*'Output-Calculation-sheet'!J14</f>
        <v>1312.6817060850306</v>
      </c>
      <c r="K28" s="2">
        <f>K6/'Output-Calculation-sheet'!K5*'Output-Calculation-sheet'!K14</f>
        <v>1609.9904127531968</v>
      </c>
      <c r="L28" s="2">
        <f>L6/'Output-Calculation-sheet'!L5*'Output-Calculation-sheet'!L14</f>
        <v>1331.5230569250796</v>
      </c>
      <c r="M28" s="2">
        <f>M6/'Output-Calculation-sheet'!M5*'Output-Calculation-sheet'!M14</f>
        <v>0</v>
      </c>
      <c r="N28" s="2">
        <f>N6/'Output-Calculation-sheet'!N5*'Output-Calculation-sheet'!N14</f>
        <v>844.13572965717674</v>
      </c>
      <c r="O28" s="2">
        <f>O6/'Output-Calculation-sheet'!O5*'Output-Calculation-sheet'!O14</f>
        <v>0</v>
      </c>
      <c r="P28" s="2">
        <f>P6/'Output-Calculation-sheet'!P5*'Output-Calculation-sheet'!P14</f>
        <v>1054.2386522009647</v>
      </c>
      <c r="Q28" s="2">
        <f>Q6/'Output-Calculation-sheet'!Q5*'Output-Calculation-sheet'!Q14</f>
        <v>1144.3941278729947</v>
      </c>
      <c r="R28" s="2">
        <f>R6/'Output-Calculation-sheet'!R5*'Output-Calculation-sheet'!R14</f>
        <v>1017.5357025492629</v>
      </c>
      <c r="S28" s="2">
        <f>S6/'Output-Calculation-sheet'!S5*'Output-Calculation-sheet'!S14</f>
        <v>623.71637297207519</v>
      </c>
      <c r="T28" s="2">
        <f>T6/'Output-Calculation-sheet'!T5*'Output-Calculation-sheet'!T14</f>
        <v>372.03441370894404</v>
      </c>
      <c r="U28" s="2">
        <f>U6/'Output-Calculation-sheet'!U5*'Output-Calculation-sheet'!U14</f>
        <v>285.40284641845471</v>
      </c>
      <c r="V28" s="2">
        <f>V6/'Output-Calculation-sheet'!V5*'Output-Calculation-sheet'!V14</f>
        <v>272.98249783361518</v>
      </c>
      <c r="W28" s="2">
        <f>W6/'Output-Calculation-sheet'!W5*'Output-Calculation-sheet'!W14</f>
        <v>190.49386096810699</v>
      </c>
      <c r="X28" s="2">
        <f>X6/'Output-Calculation-sheet'!X5*'Output-Calculation-sheet'!X14</f>
        <v>0</v>
      </c>
      <c r="Y28" s="2">
        <f>Y6/'Output-Calculation-sheet'!Y5*'Output-Calculation-sheet'!Y14</f>
        <v>125.25843350925551</v>
      </c>
      <c r="AA28" s="2">
        <f t="shared" si="1"/>
        <v>36.415492124873936</v>
      </c>
    </row>
    <row r="29" spans="1:27" x14ac:dyDescent="0.25">
      <c r="A29" s="2">
        <v>2030</v>
      </c>
      <c r="B29" s="2">
        <f>B7/'Output-Calculation-sheet'!B6*'Output-Calculation-sheet'!B15</f>
        <v>16562.287039378967</v>
      </c>
      <c r="C29" s="2">
        <f>C7/'Output-Calculation-sheet'!C6*'Output-Calculation-sheet'!C15</f>
        <v>0</v>
      </c>
      <c r="D29" s="2">
        <f>D7/'Output-Calculation-sheet'!D6*'Output-Calculation-sheet'!D15</f>
        <v>5206.2880240946552</v>
      </c>
      <c r="E29" s="2">
        <f>E7/'Output-Calculation-sheet'!E6*'Output-Calculation-sheet'!E15</f>
        <v>5367.0070014605262</v>
      </c>
      <c r="F29" s="2">
        <f>F7/'Output-Calculation-sheet'!F6*'Output-Calculation-sheet'!F15</f>
        <v>3010.4370053739203</v>
      </c>
      <c r="G29" s="2">
        <f>G7/'Output-Calculation-sheet'!G6*'Output-Calculation-sheet'!G15</f>
        <v>1820.8865272024243</v>
      </c>
      <c r="H29" s="2">
        <f>H7/'Output-Calculation-sheet'!H6*'Output-Calculation-sheet'!H15</f>
        <v>0</v>
      </c>
      <c r="I29" s="2">
        <f>I7/'Output-Calculation-sheet'!I6*'Output-Calculation-sheet'!I15</f>
        <v>1834.7308492356367</v>
      </c>
      <c r="J29" s="2">
        <f>J7/'Output-Calculation-sheet'!J6*'Output-Calculation-sheet'!J15</f>
        <v>1678.3204698292923</v>
      </c>
      <c r="K29" s="2">
        <f>K7/'Output-Calculation-sheet'!K6*'Output-Calculation-sheet'!K15</f>
        <v>2066.4674589858942</v>
      </c>
      <c r="L29" s="2">
        <f>L7/'Output-Calculation-sheet'!L6*'Output-Calculation-sheet'!L15</f>
        <v>1713.24891664391</v>
      </c>
      <c r="M29" s="2">
        <f>M7/'Output-Calculation-sheet'!M6*'Output-Calculation-sheet'!M15</f>
        <v>0</v>
      </c>
      <c r="N29" s="2">
        <f>N7/'Output-Calculation-sheet'!N6*'Output-Calculation-sheet'!N15</f>
        <v>971.5239269481051</v>
      </c>
      <c r="O29" s="2">
        <f>O7/'Output-Calculation-sheet'!O6*'Output-Calculation-sheet'!O15</f>
        <v>0</v>
      </c>
      <c r="P29" s="2">
        <f>P7/'Output-Calculation-sheet'!P6*'Output-Calculation-sheet'!P15</f>
        <v>1361.9272927686075</v>
      </c>
      <c r="Q29" s="2">
        <f>Q7/'Output-Calculation-sheet'!Q6*'Output-Calculation-sheet'!Q15</f>
        <v>1487.7109373751125</v>
      </c>
      <c r="R29" s="2">
        <f>R7/'Output-Calculation-sheet'!R6*'Output-Calculation-sheet'!R15</f>
        <v>1309.9762010223048</v>
      </c>
      <c r="S29" s="2">
        <f>S7/'Output-Calculation-sheet'!S6*'Output-Calculation-sheet'!S15</f>
        <v>749.00530659750882</v>
      </c>
      <c r="T29" s="2">
        <f>T7/'Output-Calculation-sheet'!T6*'Output-Calculation-sheet'!T15</f>
        <v>477.61714626322271</v>
      </c>
      <c r="U29" s="2">
        <f>U7/'Output-Calculation-sheet'!U6*'Output-Calculation-sheet'!U15</f>
        <v>366.98735498790091</v>
      </c>
      <c r="V29" s="2">
        <f>V7/'Output-Calculation-sheet'!V6*'Output-Calculation-sheet'!V15</f>
        <v>351.27159667851555</v>
      </c>
      <c r="W29" s="2">
        <f>W7/'Output-Calculation-sheet'!W6*'Output-Calculation-sheet'!W15</f>
        <v>244.60735484863318</v>
      </c>
      <c r="X29" s="2">
        <f>X7/'Output-Calculation-sheet'!X6*'Output-Calculation-sheet'!X15</f>
        <v>0</v>
      </c>
      <c r="Y29" s="2">
        <f>Y7/'Output-Calculation-sheet'!Y6*'Output-Calculation-sheet'!Y15</f>
        <v>161.11952483526542</v>
      </c>
      <c r="AA29" s="2">
        <f t="shared" si="1"/>
        <v>46.741419934530391</v>
      </c>
    </row>
    <row r="30" spans="1:27" x14ac:dyDescent="0.25">
      <c r="A30" s="2">
        <v>2031</v>
      </c>
      <c r="B30" s="2">
        <f>B8/'Output-Calculation-sheet'!B7*'Output-Calculation-sheet'!B16</f>
        <v>19770.289901258715</v>
      </c>
      <c r="C30" s="2">
        <f>C8/'Output-Calculation-sheet'!C7*'Output-Calculation-sheet'!C16</f>
        <v>0</v>
      </c>
      <c r="D30" s="2">
        <f>D8/'Output-Calculation-sheet'!D7*'Output-Calculation-sheet'!D16</f>
        <v>6171.5733293931498</v>
      </c>
      <c r="E30" s="2">
        <f>E8/'Output-Calculation-sheet'!E7*'Output-Calculation-sheet'!E16</f>
        <v>6383.4982157208406</v>
      </c>
      <c r="F30" s="2">
        <f>F8/'Output-Calculation-sheet'!F7*'Output-Calculation-sheet'!F16</f>
        <v>3576.2769911559972</v>
      </c>
      <c r="G30" s="2">
        <f>G8/'Output-Calculation-sheet'!G7*'Output-Calculation-sheet'!G16</f>
        <v>2156.8860874666188</v>
      </c>
      <c r="H30" s="2">
        <f>H8/'Output-Calculation-sheet'!H7*'Output-Calculation-sheet'!H16</f>
        <v>0</v>
      </c>
      <c r="I30" s="2">
        <f>I8/'Output-Calculation-sheet'!I7*'Output-Calculation-sheet'!I16</f>
        <v>2183.0081498659915</v>
      </c>
      <c r="J30" s="2">
        <f>J8/'Output-Calculation-sheet'!J7*'Output-Calculation-sheet'!J16</f>
        <v>1992.5527990263552</v>
      </c>
      <c r="K30" s="2">
        <f>K8/'Output-Calculation-sheet'!K7*'Output-Calculation-sheet'!K16</f>
        <v>2464.2462425751942</v>
      </c>
      <c r="L30" s="2">
        <f>L8/'Output-Calculation-sheet'!L7*'Output-Calculation-sheet'!L16</f>
        <v>2033.6468356221544</v>
      </c>
      <c r="M30" s="2">
        <f>M8/'Output-Calculation-sheet'!M7*'Output-Calculation-sheet'!M16</f>
        <v>0</v>
      </c>
      <c r="N30" s="2">
        <f>N8/'Output-Calculation-sheet'!N7*'Output-Calculation-sheet'!N16</f>
        <v>997.82058506154488</v>
      </c>
      <c r="O30" s="2">
        <f>O8/'Output-Calculation-sheet'!O7*'Output-Calculation-sheet'!O16</f>
        <v>0</v>
      </c>
      <c r="P30" s="2">
        <f>P8/'Output-Calculation-sheet'!P7*'Output-Calculation-sheet'!P16</f>
        <v>1620.9123227865912</v>
      </c>
      <c r="Q30" s="2">
        <f>Q8/'Output-Calculation-sheet'!Q7*'Output-Calculation-sheet'!Q16</f>
        <v>1777.8669974574086</v>
      </c>
      <c r="R30" s="2">
        <f>R8/'Output-Calculation-sheet'!R7*'Output-Calculation-sheet'!R16</f>
        <v>1557.6429065613199</v>
      </c>
      <c r="S30" s="2">
        <f>S8/'Output-Calculation-sheet'!S7*'Output-Calculation-sheet'!S16</f>
        <v>831.83929971013174</v>
      </c>
      <c r="T30" s="2">
        <f>T8/'Output-Calculation-sheet'!T7*'Output-Calculation-sheet'!T16</f>
        <v>568.26008729211753</v>
      </c>
      <c r="U30" s="2">
        <f>U8/'Output-Calculation-sheet'!U7*'Output-Calculation-sheet'!U16</f>
        <v>436.7483409586518</v>
      </c>
      <c r="V30" s="2">
        <f>V8/'Output-Calculation-sheet'!V7*'Output-Calculation-sheet'!V16</f>
        <v>418.22433365904118</v>
      </c>
      <c r="W30" s="2">
        <f>W8/'Output-Calculation-sheet'!W7*'Output-Calculation-sheet'!W16</f>
        <v>290.34626322225893</v>
      </c>
      <c r="X30" s="2">
        <f>X8/'Output-Calculation-sheet'!X7*'Output-Calculation-sheet'!X16</f>
        <v>0</v>
      </c>
      <c r="Y30" s="2">
        <f>Y8/'Output-Calculation-sheet'!Y7*'Output-Calculation-sheet'!Y16</f>
        <v>191.94980425075815</v>
      </c>
      <c r="AA30" s="2">
        <f t="shared" si="1"/>
        <v>55.423589493044837</v>
      </c>
    </row>
    <row r="31" spans="1:27" x14ac:dyDescent="0.25">
      <c r="A31" s="2">
        <v>2032</v>
      </c>
      <c r="B31" s="2">
        <f>B9/'Output-Calculation-sheet'!B8*'Output-Calculation-sheet'!B17</f>
        <v>22098.538377989713</v>
      </c>
      <c r="C31" s="2">
        <f>C9/'Output-Calculation-sheet'!C8*'Output-Calculation-sheet'!C17</f>
        <v>0</v>
      </c>
      <c r="D31" s="2">
        <f>D9/'Output-Calculation-sheet'!D8*'Output-Calculation-sheet'!D17</f>
        <v>6851.0119194921526</v>
      </c>
      <c r="E31" s="2">
        <f>E9/'Output-Calculation-sheet'!E8*'Output-Calculation-sheet'!E17</f>
        <v>7095.0041253822619</v>
      </c>
      <c r="F31" s="2">
        <f>F9/'Output-Calculation-sheet'!F8*'Output-Calculation-sheet'!F17</f>
        <v>3963.6921333679129</v>
      </c>
      <c r="G31" s="2">
        <f>G9/'Output-Calculation-sheet'!G8*'Output-Calculation-sheet'!G17</f>
        <v>2389.4717021776755</v>
      </c>
      <c r="H31" s="2">
        <f>H9/'Output-Calculation-sheet'!H8*'Output-Calculation-sheet'!H17</f>
        <v>0</v>
      </c>
      <c r="I31" s="2">
        <f>I9/'Output-Calculation-sheet'!I8*'Output-Calculation-sheet'!I17</f>
        <v>2422.6299799348994</v>
      </c>
      <c r="J31" s="2">
        <f>J9/'Output-Calculation-sheet'!J8*'Output-Calculation-sheet'!J17</f>
        <v>2209.5995491682065</v>
      </c>
      <c r="K31" s="2">
        <f>K9/'Output-Calculation-sheet'!K8*'Output-Calculation-sheet'!K17</f>
        <v>2736.9866701938136</v>
      </c>
      <c r="L31" s="2">
        <f>L9/'Output-Calculation-sheet'!L8*'Output-Calculation-sheet'!L17</f>
        <v>2259.3411971489486</v>
      </c>
      <c r="M31" s="2">
        <f>M9/'Output-Calculation-sheet'!M8*'Output-Calculation-sheet'!M17</f>
        <v>0</v>
      </c>
      <c r="N31" s="2">
        <f>N9/'Output-Calculation-sheet'!N8*'Output-Calculation-sheet'!N17</f>
        <v>999.40135775785302</v>
      </c>
      <c r="O31" s="2">
        <f>O9/'Output-Calculation-sheet'!O8*'Output-Calculation-sheet'!O17</f>
        <v>0</v>
      </c>
      <c r="P31" s="2">
        <f>P9/'Output-Calculation-sheet'!P8*'Output-Calculation-sheet'!P17</f>
        <v>1817.5709737193245</v>
      </c>
      <c r="Q31" s="2">
        <f>Q9/'Output-Calculation-sheet'!Q8*'Output-Calculation-sheet'!Q17</f>
        <v>1991.886142438872</v>
      </c>
      <c r="R31" s="2">
        <f>R9/'Output-Calculation-sheet'!R8*'Output-Calculation-sheet'!R17</f>
        <v>1729.4697942231833</v>
      </c>
      <c r="S31" s="2">
        <f>S9/'Output-Calculation-sheet'!S8*'Output-Calculation-sheet'!S17</f>
        <v>862.91919781594743</v>
      </c>
      <c r="T31" s="2">
        <f>T9/'Output-Calculation-sheet'!T8*'Output-Calculation-sheet'!T17</f>
        <v>630.23549934799883</v>
      </c>
      <c r="U31" s="2">
        <f>U9/'Output-Calculation-sheet'!U8*'Output-Calculation-sheet'!U17</f>
        <v>486.06827694543688</v>
      </c>
      <c r="V31" s="2">
        <f>V9/'Output-Calculation-sheet'!V8*'Output-Calculation-sheet'!V17</f>
        <v>465.79711718874773</v>
      </c>
      <c r="W31" s="2">
        <f>W9/'Output-Calculation-sheet'!W8*'Output-Calculation-sheet'!W17</f>
        <v>322.54425878784417</v>
      </c>
      <c r="X31" s="2">
        <f>X9/'Output-Calculation-sheet'!X8*'Output-Calculation-sheet'!X17</f>
        <v>0</v>
      </c>
      <c r="Y31" s="2">
        <f>Y9/'Output-Calculation-sheet'!Y8*'Output-Calculation-sheet'!Y17</f>
        <v>213.23372597336126</v>
      </c>
      <c r="AA31" s="2">
        <f t="shared" si="1"/>
        <v>61.545401999054157</v>
      </c>
    </row>
    <row r="32" spans="1:27" x14ac:dyDescent="0.25">
      <c r="A32" s="2">
        <v>2033</v>
      </c>
      <c r="B32" s="2">
        <f>B10/'Output-Calculation-sheet'!B9*'Output-Calculation-sheet'!B18</f>
        <v>21484.816531239037</v>
      </c>
      <c r="C32" s="2">
        <f>C10/'Output-Calculation-sheet'!C9*'Output-Calculation-sheet'!C18</f>
        <v>0</v>
      </c>
      <c r="D32" s="2">
        <f>D10/'Output-Calculation-sheet'!D9*'Output-Calculation-sheet'!D18</f>
        <v>7172.5821279123484</v>
      </c>
      <c r="E32" s="2">
        <f>E10/'Output-Calculation-sheet'!E9*'Output-Calculation-sheet'!E18</f>
        <v>7427.3742354439028</v>
      </c>
      <c r="F32" s="2">
        <f>F10/'Output-Calculation-sheet'!F9*'Output-Calculation-sheet'!F18</f>
        <v>4148.6734516115221</v>
      </c>
      <c r="G32" s="2">
        <f>G10/'Output-Calculation-sheet'!G9*'Output-Calculation-sheet'!G18</f>
        <v>2502.128983326771</v>
      </c>
      <c r="H32" s="2">
        <f>H10/'Output-Calculation-sheet'!H9*'Output-Calculation-sheet'!H18</f>
        <v>0</v>
      </c>
      <c r="I32" s="2">
        <f>I10/'Output-Calculation-sheet'!I9*'Output-Calculation-sheet'!I18</f>
        <v>2536.5549839207247</v>
      </c>
      <c r="J32" s="2">
        <f>J10/'Output-Calculation-sheet'!J9*'Output-Calculation-sheet'!J18</f>
        <v>2313.4774262557744</v>
      </c>
      <c r="K32" s="2">
        <f>K10/'Output-Calculation-sheet'!K9*'Output-Calculation-sheet'!K18</f>
        <v>2872.2175809209834</v>
      </c>
      <c r="L32" s="2">
        <f>L10/'Output-Calculation-sheet'!L9*'Output-Calculation-sheet'!L18</f>
        <v>2367.0752620370445</v>
      </c>
      <c r="M32" s="2">
        <f>M10/'Output-Calculation-sheet'!M9*'Output-Calculation-sheet'!M18</f>
        <v>0</v>
      </c>
      <c r="N32" s="2">
        <f>N10/'Output-Calculation-sheet'!N9*'Output-Calculation-sheet'!N18</f>
        <v>936.92044958844065</v>
      </c>
      <c r="O32" s="2">
        <f>O10/'Output-Calculation-sheet'!O9*'Output-Calculation-sheet'!O18</f>
        <v>0</v>
      </c>
      <c r="P32" s="2">
        <f>P10/'Output-Calculation-sheet'!P9*'Output-Calculation-sheet'!P18</f>
        <v>1916.9743745832432</v>
      </c>
      <c r="Q32" s="2">
        <f>Q10/'Output-Calculation-sheet'!Q9*'Output-Calculation-sheet'!Q18</f>
        <v>2102.4118164196193</v>
      </c>
      <c r="R32" s="2">
        <f>R10/'Output-Calculation-sheet'!R9*'Output-Calculation-sheet'!R18</f>
        <v>1815.9637827140261</v>
      </c>
      <c r="S32" s="2">
        <f>S10/'Output-Calculation-sheet'!S9*'Output-Calculation-sheet'!S18</f>
        <v>845.27082034714317</v>
      </c>
      <c r="T32" s="2">
        <f>T10/'Output-Calculation-sheet'!T9*'Output-Calculation-sheet'!T18</f>
        <v>660.55125099725956</v>
      </c>
      <c r="U32" s="2">
        <f>U10/'Output-Calculation-sheet'!U9*'Output-Calculation-sheet'!U18</f>
        <v>509.43174417993316</v>
      </c>
      <c r="V32" s="2">
        <f>V10/'Output-Calculation-sheet'!V9*'Output-Calculation-sheet'!V18</f>
        <v>488.71629852356767</v>
      </c>
      <c r="W32" s="2">
        <f>W10/'Output-Calculation-sheet'!W9*'Output-Calculation-sheet'!W18</f>
        <v>337.22581294366489</v>
      </c>
      <c r="X32" s="2">
        <f>X10/'Output-Calculation-sheet'!X9*'Output-Calculation-sheet'!X18</f>
        <v>0</v>
      </c>
      <c r="Y32" s="2">
        <f>Y10/'Output-Calculation-sheet'!Y9*'Output-Calculation-sheet'!Y18</f>
        <v>223.59832023424863</v>
      </c>
      <c r="AA32" s="2">
        <f t="shared" si="1"/>
        <v>62.66196525319927</v>
      </c>
    </row>
    <row r="33" spans="1:27" x14ac:dyDescent="0.25">
      <c r="A33" s="2">
        <v>2034</v>
      </c>
      <c r="B33" s="2">
        <f>B11/'Output-Calculation-sheet'!B10*'Output-Calculation-sheet'!B19</f>
        <v>20110.316575997233</v>
      </c>
      <c r="C33" s="2">
        <f>C11/'Output-Calculation-sheet'!C10*'Output-Calculation-sheet'!C19</f>
        <v>0</v>
      </c>
      <c r="D33" s="2">
        <f>D11/'Output-Calculation-sheet'!D10*'Output-Calculation-sheet'!D19</f>
        <v>7110.6014230620904</v>
      </c>
      <c r="E33" s="2">
        <f>E11/'Output-Calculation-sheet'!E10*'Output-Calculation-sheet'!E19</f>
        <v>7380.5495227556357</v>
      </c>
      <c r="F33" s="2">
        <f>F11/'Output-Calculation-sheet'!F10*'Output-Calculation-sheet'!F19</f>
        <v>4114.9272934191258</v>
      </c>
      <c r="G33" s="2">
        <f>G11/'Output-Calculation-sheet'!G10*'Output-Calculation-sheet'!G19</f>
        <v>2477.8870235208124</v>
      </c>
      <c r="H33" s="2">
        <f>H11/'Output-Calculation-sheet'!H10*'Output-Calculation-sheet'!H19</f>
        <v>0</v>
      </c>
      <c r="I33" s="2">
        <f>I11/'Output-Calculation-sheet'!I10*'Output-Calculation-sheet'!I19</f>
        <v>2523.730500204148</v>
      </c>
      <c r="J33" s="2">
        <f>J11/'Output-Calculation-sheet'!J10*'Output-Calculation-sheet'!J19</f>
        <v>2293.6421366993081</v>
      </c>
      <c r="K33" s="2">
        <f>K11/'Output-Calculation-sheet'!K10*'Output-Calculation-sheet'!K19</f>
        <v>2856.8834378227111</v>
      </c>
      <c r="L33" s="2">
        <f>L11/'Output-Calculation-sheet'!L10*'Output-Calculation-sheet'!L19</f>
        <v>2349.7484646903604</v>
      </c>
      <c r="M33" s="2">
        <f>M11/'Output-Calculation-sheet'!M10*'Output-Calculation-sheet'!M19</f>
        <v>0</v>
      </c>
      <c r="N33" s="2">
        <f>N11/'Output-Calculation-sheet'!N10*'Output-Calculation-sheet'!N19</f>
        <v>870.77173587682455</v>
      </c>
      <c r="O33" s="2">
        <f>O11/'Output-Calculation-sheet'!O10*'Output-Calculation-sheet'!O19</f>
        <v>0</v>
      </c>
      <c r="P33" s="2">
        <f>P11/'Output-Calculation-sheet'!P10*'Output-Calculation-sheet'!P19</f>
        <v>1915.2613375637643</v>
      </c>
      <c r="Q33" s="2">
        <f>Q11/'Output-Calculation-sheet'!Q10*'Output-Calculation-sheet'!Q19</f>
        <v>2104.110872567403</v>
      </c>
      <c r="R33" s="2">
        <f>R11/'Output-Calculation-sheet'!R10*'Output-Calculation-sheet'!R19</f>
        <v>1805.6703329845875</v>
      </c>
      <c r="S33" s="2">
        <f>S11/'Output-Calculation-sheet'!S10*'Output-Calculation-sheet'!S19</f>
        <v>832.80240773359162</v>
      </c>
      <c r="T33" s="2">
        <f>T11/'Output-Calculation-sheet'!T10*'Output-Calculation-sheet'!T19</f>
        <v>656.19525788620456</v>
      </c>
      <c r="U33" s="2">
        <f>U11/'Output-Calculation-sheet'!U10*'Output-Calculation-sheet'!U19</f>
        <v>507.78323325772521</v>
      </c>
      <c r="V33" s="2">
        <f>V11/'Output-Calculation-sheet'!V10*'Output-Calculation-sheet'!V19</f>
        <v>486.79450171303904</v>
      </c>
      <c r="W33" s="2">
        <f>W11/'Output-Calculation-sheet'!W10*'Output-Calculation-sheet'!W19</f>
        <v>334.446790507988</v>
      </c>
      <c r="X33" s="2">
        <f>X11/'Output-Calculation-sheet'!X10*'Output-Calculation-sheet'!X19</f>
        <v>0</v>
      </c>
      <c r="Y33" s="2">
        <f>Y11/'Output-Calculation-sheet'!Y10*'Output-Calculation-sheet'!Y19</f>
        <v>222.05981001917775</v>
      </c>
      <c r="AA33" s="2">
        <f t="shared" si="1"/>
        <v>60.954182658281731</v>
      </c>
    </row>
    <row r="34" spans="1:27" x14ac:dyDescent="0.25">
      <c r="A34" s="2">
        <v>2035</v>
      </c>
      <c r="B34" s="2">
        <f>B12/'Output-Calculation-sheet'!B11*'Output-Calculation-sheet'!B20</f>
        <v>18123.74399512108</v>
      </c>
      <c r="C34" s="2">
        <f>C12/'Output-Calculation-sheet'!C11*'Output-Calculation-sheet'!C20</f>
        <v>0</v>
      </c>
      <c r="D34" s="2">
        <f>D12/'Output-Calculation-sheet'!D11*'Output-Calculation-sheet'!D20</f>
        <v>6702.7324403544471</v>
      </c>
      <c r="E34" s="2">
        <f>E12/'Output-Calculation-sheet'!E11*'Output-Calculation-sheet'!E20</f>
        <v>6954.3383469202572</v>
      </c>
      <c r="F34" s="2">
        <f>F12/'Output-Calculation-sheet'!F11*'Output-Calculation-sheet'!F20</f>
        <v>3871.6174588999611</v>
      </c>
      <c r="G34" s="2">
        <f>G12/'Output-Calculation-sheet'!G11*'Output-Calculation-sheet'!G20</f>
        <v>2326.235802933963</v>
      </c>
      <c r="H34" s="2">
        <f>H12/'Output-Calculation-sheet'!H11*'Output-Calculation-sheet'!H20</f>
        <v>0</v>
      </c>
      <c r="I34" s="2">
        <f>I12/'Output-Calculation-sheet'!I11*'Output-Calculation-sheet'!I20</f>
        <v>2375.996351136841</v>
      </c>
      <c r="J34" s="2">
        <f>J12/'Output-Calculation-sheet'!J11*'Output-Calculation-sheet'!J20</f>
        <v>2151.8784405346396</v>
      </c>
      <c r="K34" s="2">
        <f>K12/'Output-Calculation-sheet'!K11*'Output-Calculation-sheet'!K20</f>
        <v>2691.8775591783387</v>
      </c>
      <c r="L34" s="2">
        <f>L12/'Output-Calculation-sheet'!L11*'Output-Calculation-sheet'!L20</f>
        <v>2210.2022663750568</v>
      </c>
      <c r="M34" s="2">
        <f>M12/'Output-Calculation-sheet'!M11*'Output-Calculation-sheet'!M20</f>
        <v>0</v>
      </c>
      <c r="N34" s="2">
        <f>N12/'Output-Calculation-sheet'!N11*'Output-Calculation-sheet'!N20</f>
        <v>777.57503218191152</v>
      </c>
      <c r="O34" s="2">
        <f>O12/'Output-Calculation-sheet'!O11*'Output-Calculation-sheet'!O20</f>
        <v>0</v>
      </c>
      <c r="P34" s="2">
        <f>P12/'Output-Calculation-sheet'!P11*'Output-Calculation-sheet'!P20</f>
        <v>1814.9047965461157</v>
      </c>
      <c r="Q34" s="2">
        <f>Q12/'Output-Calculation-sheet'!Q11*'Output-Calculation-sheet'!Q20</f>
        <v>1990.1125165143903</v>
      </c>
      <c r="R34" s="2">
        <f>R12/'Output-Calculation-sheet'!R11*'Output-Calculation-sheet'!R20</f>
        <v>1706.5371756151583</v>
      </c>
      <c r="S34" s="2">
        <f>S12/'Output-Calculation-sheet'!S11*'Output-Calculation-sheet'!S20</f>
        <v>733.88955213602139</v>
      </c>
      <c r="T34" s="2">
        <f>T12/'Output-Calculation-sheet'!T11*'Output-Calculation-sheet'!T20</f>
        <v>617.70420183329293</v>
      </c>
      <c r="U34" s="2">
        <f>U12/'Output-Calculation-sheet'!U11*'Output-Calculation-sheet'!U20</f>
        <v>479.14007571431853</v>
      </c>
      <c r="V34" s="2">
        <f>V12/'Output-Calculation-sheet'!V11*'Output-Calculation-sheet'!V20</f>
        <v>460.1530616792881</v>
      </c>
      <c r="W34" s="2">
        <f>W12/'Output-Calculation-sheet'!W11*'Output-Calculation-sheet'!W20</f>
        <v>314.43888701814217</v>
      </c>
      <c r="X34" s="2">
        <f>X12/'Output-Calculation-sheet'!X11*'Output-Calculation-sheet'!X20</f>
        <v>0</v>
      </c>
      <c r="Y34" s="2">
        <f>Y12/'Output-Calculation-sheet'!Y11*'Output-Calculation-sheet'!Y20</f>
        <v>209.32218114790314</v>
      </c>
      <c r="AA34" s="2">
        <f t="shared" si="1"/>
        <v>56.512400141841127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3.0060100137761712</v>
      </c>
      <c r="C60" s="2">
        <f>C5*'Output-Calculation-sheet'!C49/10^9</f>
        <v>1.4212243978640822</v>
      </c>
      <c r="D60" s="2">
        <f>D5*'Output-Calculation-sheet'!D49/10^9</f>
        <v>0.66302434956235889</v>
      </c>
      <c r="E60" s="2">
        <f>E5*'Output-Calculation-sheet'!E49/10^9</f>
        <v>0.73632194821515551</v>
      </c>
      <c r="F60" s="2">
        <f>F5*'Output-Calculation-sheet'!F49/10^9</f>
        <v>0.34183244001444207</v>
      </c>
      <c r="G60" s="2">
        <f>G5*'Output-Calculation-sheet'!G49/10^9</f>
        <v>0.23545133291989423</v>
      </c>
      <c r="H60" s="2">
        <f>H5*'Output-Calculation-sheet'!H49/10^9</f>
        <v>0.44341104576312135</v>
      </c>
      <c r="I60" s="2">
        <f>I5*'Output-Calculation-sheet'!I49/10^9</f>
        <v>0.23244510856491585</v>
      </c>
      <c r="J60" s="2">
        <f>J5*'Output-Calculation-sheet'!J49/10^9</f>
        <v>0.20990640795155396</v>
      </c>
      <c r="K60" s="2">
        <f>K5*'Output-Calculation-sheet'!K49/10^9</f>
        <v>0.27057590198789888</v>
      </c>
      <c r="L60" s="2">
        <f>L5*'Output-Calculation-sheet'!L49/10^9</f>
        <v>0.22352872589046338</v>
      </c>
      <c r="M60" s="2">
        <f>M5*'Output-Calculation-sheet'!M49/10^9</f>
        <v>0.30591492868909198</v>
      </c>
      <c r="N60" s="2">
        <f>N5*'Output-Calculation-sheet'!N49/10^9</f>
        <v>0.31973718599438178</v>
      </c>
      <c r="O60" s="2">
        <f>O5*'Output-Calculation-sheet'!O49/10^9</f>
        <v>0.27614511467731345</v>
      </c>
      <c r="P60" s="2">
        <f>P5*'Output-Calculation-sheet'!P49/10^9</f>
        <v>0.23577878328658511</v>
      </c>
      <c r="Q60" s="2">
        <f>Q5*'Output-Calculation-sheet'!Q49/10^9</f>
        <v>0.24339250005258106</v>
      </c>
      <c r="R60" s="2">
        <f>R5*'Output-Calculation-sheet'!R49/10^9</f>
        <v>0.19506400726475606</v>
      </c>
      <c r="S60" s="2">
        <f>S5*'Output-Calculation-sheet'!S49/10^9</f>
        <v>0.17894048649759606</v>
      </c>
      <c r="T60" s="2">
        <f>T5*'Output-Calculation-sheet'!T49/10^9</f>
        <v>6.1199005265985831E-2</v>
      </c>
      <c r="U60" s="2">
        <f>U5*'Output-Calculation-sheet'!U49/10^9</f>
        <v>6.1157223242074898E-2</v>
      </c>
      <c r="V60" s="2">
        <f>V5*'Output-Calculation-sheet'!V49/10^9</f>
        <v>4.5795211674809592E-2</v>
      </c>
      <c r="W60" s="2">
        <f>W5*'Output-Calculation-sheet'!W49/10^9</f>
        <v>2.8713763581913399E-2</v>
      </c>
      <c r="X60" s="2">
        <f>X5*'Output-Calculation-sheet'!X49/10^9</f>
        <v>3.6143545706913818E-2</v>
      </c>
      <c r="Y60" s="2">
        <f>Y5*'Output-Calculation-sheet'!Y49/10^9</f>
        <v>2.3890595406720935E-2</v>
      </c>
      <c r="AA60" s="2">
        <f t="shared" ref="AA60:AA67" si="4">SUM(B60:Y60)</f>
        <v>9.79560402385078</v>
      </c>
    </row>
    <row r="61" spans="1:27" x14ac:dyDescent="0.25">
      <c r="A61" s="2">
        <v>2029</v>
      </c>
      <c r="B61" s="2">
        <f>B6*'Output-Calculation-sheet'!B50/10^9</f>
        <v>4.1574906383255188</v>
      </c>
      <c r="C61" s="2">
        <f>C6*'Output-Calculation-sheet'!C50/10^9</f>
        <v>1.9793042382945278</v>
      </c>
      <c r="D61" s="2">
        <f>D6*'Output-Calculation-sheet'!D50/10^9</f>
        <v>0.91410544082879996</v>
      </c>
      <c r="E61" s="2">
        <f>E6*'Output-Calculation-sheet'!E50/10^9</f>
        <v>1.0159646282404968</v>
      </c>
      <c r="F61" s="2">
        <f>F6*'Output-Calculation-sheet'!F50/10^9</f>
        <v>0.47069186001195856</v>
      </c>
      <c r="G61" s="2">
        <f>G6*'Output-Calculation-sheet'!G50/10^9</f>
        <v>0.32465289573759615</v>
      </c>
      <c r="H61" s="2">
        <f>H6*'Output-Calculation-sheet'!H50/10^9</f>
        <v>0.6135459540727739</v>
      </c>
      <c r="I61" s="2">
        <f>I6*'Output-Calculation-sheet'!I50/10^9</f>
        <v>0.32046032210889397</v>
      </c>
      <c r="J61" s="2">
        <f>J6*'Output-Calculation-sheet'!J50/10^9</f>
        <v>0.28933705547889588</v>
      </c>
      <c r="K61" s="2">
        <f>K6*'Output-Calculation-sheet'!K50/10^9</f>
        <v>0.37316510714666096</v>
      </c>
      <c r="L61" s="2">
        <f>L6*'Output-Calculation-sheet'!L50/10^9</f>
        <v>0.30827540981472162</v>
      </c>
      <c r="M61" s="2">
        <f>M6*'Output-Calculation-sheet'!M50/10^9</f>
        <v>0.4238528592022317</v>
      </c>
      <c r="N61" s="2">
        <f>N6*'Output-Calculation-sheet'!N50/10^9</f>
        <v>0.4421779470167016</v>
      </c>
      <c r="O61" s="2">
        <f>O6*'Output-Calculation-sheet'!O50/10^9</f>
        <v>0.38458050444853559</v>
      </c>
      <c r="P61" s="2">
        <f>P6*'Output-Calculation-sheet'!P50/10^9</f>
        <v>0.32597901717145639</v>
      </c>
      <c r="Q61" s="2">
        <f>Q6*'Output-Calculation-sheet'!Q50/10^9</f>
        <v>0.336386683799411</v>
      </c>
      <c r="R61" s="2">
        <f>R6*'Output-Calculation-sheet'!R50/10^9</f>
        <v>0.26934955662443572</v>
      </c>
      <c r="S61" s="2">
        <f>S6*'Output-Calculation-sheet'!S50/10^9</f>
        <v>0.24780508547046071</v>
      </c>
      <c r="T61" s="2">
        <f>T6*'Output-Calculation-sheet'!T50/10^9</f>
        <v>8.4382792647610796E-2</v>
      </c>
      <c r="U61" s="2">
        <f>U6*'Output-Calculation-sheet'!U50/10^9</f>
        <v>8.4523629867882644E-2</v>
      </c>
      <c r="V61" s="2">
        <f>V6*'Output-Calculation-sheet'!V50/10^9</f>
        <v>6.3157805943707082E-2</v>
      </c>
      <c r="W61" s="2">
        <f>W6*'Output-Calculation-sheet'!W50/10^9</f>
        <v>3.9554852242881564E-2</v>
      </c>
      <c r="X61" s="2">
        <f>X6*'Output-Calculation-sheet'!X50/10^9</f>
        <v>5.0302010066648833E-2</v>
      </c>
      <c r="Y61" s="2">
        <f>Y6*'Output-Calculation-sheet'!Y50/10^9</f>
        <v>3.2986822304259922E-2</v>
      </c>
      <c r="AA61" s="2">
        <f t="shared" si="4"/>
        <v>13.552033116867067</v>
      </c>
    </row>
    <row r="62" spans="1:27" x14ac:dyDescent="0.25">
      <c r="A62" s="2">
        <v>2030</v>
      </c>
      <c r="B62" s="2">
        <f>B7*'Output-Calculation-sheet'!B51/10^9</f>
        <v>5.2363852698385802</v>
      </c>
      <c r="C62" s="2">
        <f>C7*'Output-Calculation-sheet'!C51/10^9</f>
        <v>2.5107953431126679</v>
      </c>
      <c r="D62" s="2">
        <f>D7*'Output-Calculation-sheet'!D51/10^9</f>
        <v>1.1477123874586215</v>
      </c>
      <c r="E62" s="2">
        <f>E7*'Output-Calculation-sheet'!E51/10^9</f>
        <v>1.2765701129862965</v>
      </c>
      <c r="F62" s="2">
        <f>F7*'Output-Calculation-sheet'!F51/10^9</f>
        <v>0.59022230560172029</v>
      </c>
      <c r="G62" s="2">
        <f>G7*'Output-Calculation-sheet'!G51/10^9</f>
        <v>0.40767492276770367</v>
      </c>
      <c r="H62" s="2">
        <f>H7*'Output-Calculation-sheet'!H51/10^9</f>
        <v>0.77177989645846179</v>
      </c>
      <c r="I62" s="2">
        <f>I7*'Output-Calculation-sheet'!I51/10^9</f>
        <v>0.40233240717884367</v>
      </c>
      <c r="J62" s="2">
        <f>J7*'Output-Calculation-sheet'!J51/10^9</f>
        <v>0.36320326501551942</v>
      </c>
      <c r="K62" s="2">
        <f>K7*'Output-Calculation-sheet'!K51/10^9</f>
        <v>0.46866829305403573</v>
      </c>
      <c r="L62" s="2">
        <f>L7*'Output-Calculation-sheet'!L51/10^9</f>
        <v>0.38716382242139352</v>
      </c>
      <c r="M62" s="2">
        <f>M7*'Output-Calculation-sheet'!M51/10^9</f>
        <v>0.53317270787262949</v>
      </c>
      <c r="N62" s="2">
        <f>N7*'Output-Calculation-sheet'!N51/10^9</f>
        <v>0.5563167087305495</v>
      </c>
      <c r="O62" s="2">
        <f>O7*'Output-Calculation-sheet'!O51/10^9</f>
        <v>0.48784968017514974</v>
      </c>
      <c r="P62" s="2">
        <f>P7*'Output-Calculation-sheet'!P51/10^9</f>
        <v>0.41042730938946942</v>
      </c>
      <c r="Q62" s="2">
        <f>Q7*'Output-Calculation-sheet'!Q51/10^9</f>
        <v>0.42335188570084159</v>
      </c>
      <c r="R62" s="2">
        <f>R7*'Output-Calculation-sheet'!R51/10^9</f>
        <v>0.33870217906158329</v>
      </c>
      <c r="S62" s="2">
        <f>S7*'Output-Calculation-sheet'!S51/10^9</f>
        <v>0.31236743854143306</v>
      </c>
      <c r="T62" s="2">
        <f>T7*'Output-Calculation-sheet'!T51/10^9</f>
        <v>0.10595529737545947</v>
      </c>
      <c r="U62" s="2">
        <f>U7*'Output-Calculation-sheet'!U51/10^9</f>
        <v>0.10638579957255417</v>
      </c>
      <c r="V62" s="2">
        <f>V7*'Output-Calculation-sheet'!V51/10^9</f>
        <v>7.9318377965394843E-2</v>
      </c>
      <c r="W62" s="2">
        <f>W7*'Output-Calculation-sheet'!W51/10^9</f>
        <v>4.9619304073846966E-2</v>
      </c>
      <c r="X62" s="2">
        <f>X7*'Output-Calculation-sheet'!X51/10^9</f>
        <v>6.3341017813370981E-2</v>
      </c>
      <c r="Y62" s="2">
        <f>Y7*'Output-Calculation-sheet'!Y51/10^9</f>
        <v>4.1478545875218015E-2</v>
      </c>
      <c r="AA62" s="2">
        <f t="shared" si="4"/>
        <v>17.070794278041344</v>
      </c>
    </row>
    <row r="63" spans="1:27" x14ac:dyDescent="0.25">
      <c r="A63" s="2">
        <v>2031</v>
      </c>
      <c r="B63" s="2">
        <f>B8*'Output-Calculation-sheet'!B52/10^9</f>
        <v>6.165416019363855</v>
      </c>
      <c r="C63" s="2">
        <f>C8*'Output-Calculation-sheet'!C52/10^9</f>
        <v>2.9666651397156611</v>
      </c>
      <c r="D63" s="2">
        <f>D8*'Output-Calculation-sheet'!D52/10^9</f>
        <v>1.3492894037939223</v>
      </c>
      <c r="E63" s="2">
        <f>E8*'Output-Calculation-sheet'!E52/10^9</f>
        <v>1.5013196389944794</v>
      </c>
      <c r="F63" s="2">
        <f>F8*'Output-Calculation-sheet'!F52/10^9</f>
        <v>0.69344678321689157</v>
      </c>
      <c r="G63" s="2">
        <f>G8*'Output-Calculation-sheet'!G52/10^9</f>
        <v>0.47931460909878926</v>
      </c>
      <c r="H63" s="2">
        <f>H8*'Output-Calculation-sheet'!H52/10^9</f>
        <v>0.90381866542363587</v>
      </c>
      <c r="I63" s="2">
        <f>I8*'Output-Calculation-sheet'!I52/10^9</f>
        <v>0.47297864315129673</v>
      </c>
      <c r="J63" s="2">
        <f>J8*'Output-Calculation-sheet'!J52/10^9</f>
        <v>0.42695092582197802</v>
      </c>
      <c r="K63" s="2">
        <f>K8*'Output-Calculation-sheet'!K52/10^9</f>
        <v>0.55105197523448957</v>
      </c>
      <c r="L63" s="2">
        <f>L8*'Output-Calculation-sheet'!L52/10^9</f>
        <v>0.45521884886030556</v>
      </c>
      <c r="M63" s="2">
        <f>M8*'Output-Calculation-sheet'!M52/10^9</f>
        <v>0.62443304335894545</v>
      </c>
      <c r="N63" s="2">
        <f>N8*'Output-Calculation-sheet'!N52/10^9</f>
        <v>0.65265587158752103</v>
      </c>
      <c r="O63" s="2">
        <f>O8*'Output-Calculation-sheet'!O52/10^9</f>
        <v>0.57642557111119608</v>
      </c>
      <c r="P63" s="2">
        <f>P8*'Output-Calculation-sheet'!P52/10^9</f>
        <v>0.48316256793666434</v>
      </c>
      <c r="Q63" s="2">
        <f>Q8*'Output-Calculation-sheet'!Q52/10^9</f>
        <v>0.49826466231663974</v>
      </c>
      <c r="R63" s="2">
        <f>R8*'Output-Calculation-sheet'!R52/10^9</f>
        <v>0.39848234734294052</v>
      </c>
      <c r="S63" s="2">
        <f>S8*'Output-Calculation-sheet'!S52/10^9</f>
        <v>0.36733216337620633</v>
      </c>
      <c r="T63" s="2">
        <f>T8*'Output-Calculation-sheet'!T52/10^9</f>
        <v>0.12456740564208493</v>
      </c>
      <c r="U63" s="2">
        <f>U8*'Output-Calculation-sheet'!U52/10^9</f>
        <v>0.12522103795368023</v>
      </c>
      <c r="V63" s="2">
        <f>V8*'Output-Calculation-sheet'!V52/10^9</f>
        <v>9.3259705562923456E-2</v>
      </c>
      <c r="W63" s="2">
        <f>W8*'Output-Calculation-sheet'!W52/10^9</f>
        <v>5.8308293839673744E-2</v>
      </c>
      <c r="X63" s="2">
        <f>X8*'Output-Calculation-sheet'!X52/10^9</f>
        <v>7.4256346129116121E-2</v>
      </c>
      <c r="Y63" s="2">
        <f>Y8*'Output-Calculation-sheet'!Y52/10^9</f>
        <v>4.8798394651412426E-2</v>
      </c>
      <c r="AA63" s="2">
        <f t="shared" si="4"/>
        <v>20.090638063484306</v>
      </c>
    </row>
    <row r="64" spans="1:27" x14ac:dyDescent="0.25">
      <c r="A64" s="2">
        <v>2032</v>
      </c>
      <c r="B64" s="2">
        <f>B9*'Output-Calculation-sheet'!B53/10^9</f>
        <v>6.7831297619149895</v>
      </c>
      <c r="C64" s="2">
        <f>C9*'Output-Calculation-sheet'!C53/10^9</f>
        <v>3.2755684192662193</v>
      </c>
      <c r="D64" s="2">
        <f>D9*'Output-Calculation-sheet'!D53/10^9</f>
        <v>1.4822302664839546</v>
      </c>
      <c r="E64" s="2">
        <f>E9*'Output-Calculation-sheet'!E53/10^9</f>
        <v>1.6498318166875727</v>
      </c>
      <c r="F64" s="2">
        <f>F9*'Output-Calculation-sheet'!F53/10^9</f>
        <v>0.76128032688352076</v>
      </c>
      <c r="G64" s="2">
        <f>G9*'Output-Calculation-sheet'!G53/10^9</f>
        <v>0.52658785103306172</v>
      </c>
      <c r="H64" s="2">
        <f>H9*'Output-Calculation-sheet'!H53/10^9</f>
        <v>0.98869938132176849</v>
      </c>
      <c r="I64" s="2">
        <f>I9*'Output-Calculation-sheet'!I53/10^9</f>
        <v>0.51955757669961877</v>
      </c>
      <c r="J64" s="2">
        <f>J9*'Output-Calculation-sheet'!J53/10^9</f>
        <v>0.4689698206204278</v>
      </c>
      <c r="K64" s="2">
        <f>K9*'Output-Calculation-sheet'!K53/10^9</f>
        <v>0.60541705825130387</v>
      </c>
      <c r="L64" s="2">
        <f>L9*'Output-Calculation-sheet'!L53/10^9</f>
        <v>0.5001305590373315</v>
      </c>
      <c r="M64" s="2">
        <f>M9*'Output-Calculation-sheet'!M53/10^9</f>
        <v>0.68310905733264327</v>
      </c>
      <c r="N64" s="2">
        <f>N9*'Output-Calculation-sheet'!N53/10^9</f>
        <v>0.71490178890886047</v>
      </c>
      <c r="O64" s="2">
        <f>O9*'Output-Calculation-sheet'!O53/10^9</f>
        <v>0.6364457422283577</v>
      </c>
      <c r="P64" s="2">
        <f>P9*'Output-Calculation-sheet'!P53/10^9</f>
        <v>0.5314772736803971</v>
      </c>
      <c r="Q64" s="2">
        <f>Q9*'Output-Calculation-sheet'!Q53/10^9</f>
        <v>0.54796037254652574</v>
      </c>
      <c r="R64" s="2">
        <f>R9*'Output-Calculation-sheet'!R53/10^9</f>
        <v>0.43806931072562216</v>
      </c>
      <c r="S64" s="2">
        <f>S9*'Output-Calculation-sheet'!S53/10^9</f>
        <v>0.40314850828742277</v>
      </c>
      <c r="T64" s="2">
        <f>T9*'Output-Calculation-sheet'!T53/10^9</f>
        <v>0.13684338947723618</v>
      </c>
      <c r="U64" s="2">
        <f>U9*'Output-Calculation-sheet'!U53/10^9</f>
        <v>0.13772509476593622</v>
      </c>
      <c r="V64" s="2">
        <f>V9*'Output-Calculation-sheet'!V53/10^9</f>
        <v>0.10245819724872426</v>
      </c>
      <c r="W64" s="2">
        <f>W9*'Output-Calculation-sheet'!W53/10^9</f>
        <v>6.4024591005354833E-2</v>
      </c>
      <c r="X64" s="2">
        <f>X9*'Output-Calculation-sheet'!X53/10^9</f>
        <v>8.1312349357079663E-2</v>
      </c>
      <c r="Y64" s="2">
        <f>Y9*'Output-Calculation-sheet'!Y53/10^9</f>
        <v>5.3644600663653924E-2</v>
      </c>
      <c r="AA64" s="2">
        <f t="shared" si="4"/>
        <v>22.092523114427586</v>
      </c>
    </row>
    <row r="65" spans="1:27" x14ac:dyDescent="0.25">
      <c r="A65" s="2">
        <v>2033</v>
      </c>
      <c r="B65" s="2">
        <f>B10*'Output-Calculation-sheet'!B54/10^9</f>
        <v>7.0342575431971346</v>
      </c>
      <c r="C65" s="2">
        <f>C10*'Output-Calculation-sheet'!C54/10^9</f>
        <v>3.4052144541762073</v>
      </c>
      <c r="D65" s="2">
        <f>D10*'Output-Calculation-sheet'!D54/10^9</f>
        <v>1.536368724547486</v>
      </c>
      <c r="E65" s="2">
        <f>E10*'Output-Calculation-sheet'!E54/10^9</f>
        <v>1.7107058919185674</v>
      </c>
      <c r="F65" s="2">
        <f>F10*'Output-Calculation-sheet'!F54/10^9</f>
        <v>0.78857365864520224</v>
      </c>
      <c r="G65" s="2">
        <f>G10*'Output-Calculation-sheet'!G54/10^9</f>
        <v>0.54587351977909637</v>
      </c>
      <c r="H65" s="2">
        <f>H10*'Output-Calculation-sheet'!H54/10^9</f>
        <v>1.020166943354514</v>
      </c>
      <c r="I65" s="2">
        <f>I10*'Output-Calculation-sheet'!I54/10^9</f>
        <v>0.53851119115684842</v>
      </c>
      <c r="J65" s="2">
        <f>J10*'Output-Calculation-sheet'!J54/10^9</f>
        <v>0.4860497805567508</v>
      </c>
      <c r="K65" s="2">
        <f>K10*'Output-Calculation-sheet'!K54/10^9</f>
        <v>0.62759775154891351</v>
      </c>
      <c r="L65" s="2">
        <f>L10*'Output-Calculation-sheet'!L54/10^9</f>
        <v>0.5184575931232257</v>
      </c>
      <c r="M65" s="2">
        <f>M10*'Output-Calculation-sheet'!M54/10^9</f>
        <v>0.70488121231427459</v>
      </c>
      <c r="N65" s="2">
        <f>N10*'Output-Calculation-sheet'!N54/10^9</f>
        <v>0.7384685806294462</v>
      </c>
      <c r="O65" s="2">
        <f>O10*'Output-Calculation-sheet'!O54/10^9</f>
        <v>0.66308613955598605</v>
      </c>
      <c r="P65" s="2">
        <f>P10*'Output-Calculation-sheet'!P54/10^9</f>
        <v>0.55162000953946366</v>
      </c>
      <c r="Q65" s="2">
        <f>Q10*'Output-Calculation-sheet'!Q54/10^9</f>
        <v>0.56858964184493244</v>
      </c>
      <c r="R65" s="2">
        <f>R10*'Output-Calculation-sheet'!R54/10^9</f>
        <v>0.45440670365181002</v>
      </c>
      <c r="S65" s="2">
        <f>S10*'Output-Calculation-sheet'!S54/10^9</f>
        <v>0.41711352150795877</v>
      </c>
      <c r="T65" s="2">
        <f>T10*'Output-Calculation-sheet'!T54/10^9</f>
        <v>0.1418434406643255</v>
      </c>
      <c r="U65" s="2">
        <f>U10*'Output-Calculation-sheet'!U54/10^9</f>
        <v>0.14292874919959256</v>
      </c>
      <c r="V65" s="2">
        <f>V10*'Output-Calculation-sheet'!V54/10^9</f>
        <v>0.106208908289794</v>
      </c>
      <c r="W65" s="2">
        <f>W10*'Output-Calculation-sheet'!W54/10^9</f>
        <v>6.6332672743631763E-2</v>
      </c>
      <c r="X65" s="2">
        <f>X10*'Output-Calculation-sheet'!X54/10^9</f>
        <v>8.3981871863076582E-2</v>
      </c>
      <c r="Y65" s="2">
        <f>Y10*'Output-Calculation-sheet'!Y54/10^9</f>
        <v>5.5643868356326169E-2</v>
      </c>
      <c r="AA65" s="2">
        <f t="shared" si="4"/>
        <v>22.906882372164567</v>
      </c>
    </row>
    <row r="66" spans="1:27" x14ac:dyDescent="0.25">
      <c r="A66" s="2">
        <v>2034</v>
      </c>
      <c r="B66" s="2">
        <f>B11*'Output-Calculation-sheet'!B55/10^9</f>
        <v>6.9049650563827134</v>
      </c>
      <c r="C66" s="2">
        <f>C11*'Output-Calculation-sheet'!C55/10^9</f>
        <v>3.3361074608951564</v>
      </c>
      <c r="D66" s="2">
        <f>D11*'Output-Calculation-sheet'!D55/10^9</f>
        <v>1.509786672064652</v>
      </c>
      <c r="E66" s="2">
        <f>E11*'Output-Calculation-sheet'!E55/10^9</f>
        <v>1.6817093909585588</v>
      </c>
      <c r="F66" s="2">
        <f>F11*'Output-Calculation-sheet'!F55/10^9</f>
        <v>0.77441760547681882</v>
      </c>
      <c r="G66" s="2">
        <f>G11*'Output-Calculation-sheet'!G55/10^9</f>
        <v>0.53648014407877143</v>
      </c>
      <c r="H66" s="2">
        <f>H11*'Output-Calculation-sheet'!H55/10^9</f>
        <v>0.99761485037931441</v>
      </c>
      <c r="I66" s="2">
        <f>I11*'Output-Calculation-sheet'!I55/10^9</f>
        <v>0.52916533946445521</v>
      </c>
      <c r="J66" s="2">
        <f>J11*'Output-Calculation-sheet'!J55/10^9</f>
        <v>0.47759241090683113</v>
      </c>
      <c r="K66" s="2">
        <f>K11*'Output-Calculation-sheet'!K55/10^9</f>
        <v>0.6167964981137064</v>
      </c>
      <c r="L66" s="2">
        <f>L11*'Output-Calculation-sheet'!L55/10^9</f>
        <v>0.50954260676354657</v>
      </c>
      <c r="M66" s="2">
        <f>M11*'Output-Calculation-sheet'!M55/10^9</f>
        <v>0.68932874690380108</v>
      </c>
      <c r="N66" s="2">
        <f>N11*'Output-Calculation-sheet'!N55/10^9</f>
        <v>0.72281810233992128</v>
      </c>
      <c r="O66" s="2">
        <f>O11*'Output-Calculation-sheet'!O55/10^9</f>
        <v>0.6549974198393409</v>
      </c>
      <c r="P66" s="2">
        <f>P11*'Output-Calculation-sheet'!P55/10^9</f>
        <v>0.54278889245696793</v>
      </c>
      <c r="Q66" s="2">
        <f>Q11*'Output-Calculation-sheet'!Q55/10^9</f>
        <v>0.55934467487292816</v>
      </c>
      <c r="R66" s="2">
        <f>R11*'Output-Calculation-sheet'!R55/10^9</f>
        <v>0.44687481064095064</v>
      </c>
      <c r="S66" s="2">
        <f>S11*'Output-Calculation-sheet'!S55/10^9</f>
        <v>0.40883669026760838</v>
      </c>
      <c r="T66" s="2">
        <f>T11*'Output-Calculation-sheet'!T55/10^9</f>
        <v>0.13939014896269625</v>
      </c>
      <c r="U66" s="2">
        <f>U11*'Output-Calculation-sheet'!U55/10^9</f>
        <v>0.14062671031152726</v>
      </c>
      <c r="V66" s="2">
        <f>V11*'Output-Calculation-sheet'!V55/10^9</f>
        <v>0.10437796954129927</v>
      </c>
      <c r="W66" s="2">
        <f>W11*'Output-Calculation-sheet'!W55/10^9</f>
        <v>6.5154885472382865E-2</v>
      </c>
      <c r="X66" s="2">
        <f>X11*'Output-Calculation-sheet'!X55/10^9</f>
        <v>8.2206969817677819E-2</v>
      </c>
      <c r="Y66" s="2">
        <f>Y11*'Output-Calculation-sheet'!Y55/10^9</f>
        <v>5.472047538672551E-2</v>
      </c>
      <c r="AA66" s="2">
        <f t="shared" si="4"/>
        <v>22.485644532298348</v>
      </c>
    </row>
    <row r="67" spans="1:27" x14ac:dyDescent="0.25">
      <c r="A67" s="2">
        <v>2035</v>
      </c>
      <c r="B67" s="2">
        <f>B12*'Output-Calculation-sheet'!B56/10^9</f>
        <v>6.4185683120117076</v>
      </c>
      <c r="C67" s="2">
        <f>C12*'Output-Calculation-sheet'!C56/10^9</f>
        <v>3.0968156622445195</v>
      </c>
      <c r="D67" s="2">
        <f>D12*'Output-Calculation-sheet'!D56/10^9</f>
        <v>1.4064437975081776</v>
      </c>
      <c r="E67" s="2">
        <f>E12*'Output-Calculation-sheet'!E56/10^9</f>
        <v>1.5671577771321783</v>
      </c>
      <c r="F67" s="2">
        <f>F12*'Output-Calculation-sheet'!F56/10^9</f>
        <v>0.72092603229083685</v>
      </c>
      <c r="G67" s="2">
        <f>G12*'Output-Calculation-sheet'!G56/10^9</f>
        <v>0.49981507505872508</v>
      </c>
      <c r="H67" s="2">
        <f>H12*'Output-Calculation-sheet'!H56/10^9</f>
        <v>0.92445186387952649</v>
      </c>
      <c r="I67" s="2">
        <f>I12*'Output-Calculation-sheet'!I56/10^9</f>
        <v>0.49291486905693555</v>
      </c>
      <c r="J67" s="2">
        <f>J12*'Output-Calculation-sheet'!J56/10^9</f>
        <v>0.44486115309474777</v>
      </c>
      <c r="K67" s="2">
        <f>K12*'Output-Calculation-sheet'!K56/10^9</f>
        <v>0.57462857612287133</v>
      </c>
      <c r="L67" s="2">
        <f>L12*'Output-Calculation-sheet'!L56/10^9</f>
        <v>0.47471931575872095</v>
      </c>
      <c r="M67" s="2">
        <f>M12*'Output-Calculation-sheet'!M56/10^9</f>
        <v>0.63880270516234205</v>
      </c>
      <c r="N67" s="2">
        <f>N12*'Output-Calculation-sheet'!N56/10^9</f>
        <v>0.67042976339491422</v>
      </c>
      <c r="O67" s="2">
        <f>O12*'Output-Calculation-sheet'!O56/10^9</f>
        <v>0.60980730253314408</v>
      </c>
      <c r="P67" s="2">
        <f>P12*'Output-Calculation-sheet'!P56/10^9</f>
        <v>0.50629591273788677</v>
      </c>
      <c r="Q67" s="2">
        <f>Q12*'Output-Calculation-sheet'!Q56/10^9</f>
        <v>0.52158956486523789</v>
      </c>
      <c r="R67" s="2">
        <f>R12*'Output-Calculation-sheet'!R56/10^9</f>
        <v>0.41659344128133241</v>
      </c>
      <c r="S67" s="2">
        <f>S12*'Output-Calculation-sheet'!S56/10^9</f>
        <v>0.37963597476212185</v>
      </c>
      <c r="T67" s="2">
        <f>T12*'Output-Calculation-sheet'!T56/10^9</f>
        <v>0.12984984634847183</v>
      </c>
      <c r="U67" s="2">
        <f>U12*'Output-Calculation-sheet'!U56/10^9</f>
        <v>0.13116091637852315</v>
      </c>
      <c r="V67" s="2">
        <f>V12*'Output-Calculation-sheet'!V56/10^9</f>
        <v>9.7237448047170785E-2</v>
      </c>
      <c r="W67" s="2">
        <f>W12*'Output-Calculation-sheet'!W56/10^9</f>
        <v>6.0666896081513995E-2</v>
      </c>
      <c r="X67" s="2">
        <f>X12*'Output-Calculation-sheet'!X56/10^9</f>
        <v>7.6250282389294127E-2</v>
      </c>
      <c r="Y67" s="2">
        <f>Y12*'Output-Calculation-sheet'!Y56/10^9</f>
        <v>5.1011784584150746E-2</v>
      </c>
      <c r="AA67" s="2">
        <f t="shared" si="4"/>
        <v>20.910634272725051</v>
      </c>
    </row>
    <row r="68" spans="1:27" x14ac:dyDescent="0.25">
      <c r="B68" s="2">
        <f>SUM(B60:B67)</f>
        <v>45.70622261481067</v>
      </c>
      <c r="C68" s="2">
        <f t="shared" ref="C68:Y68" si="5">SUM(C60:C67)</f>
        <v>21.991695115569041</v>
      </c>
      <c r="D68" s="2">
        <f t="shared" si="5"/>
        <v>10.008961042247972</v>
      </c>
      <c r="E68" s="2">
        <f t="shared" si="5"/>
        <v>11.139581205133306</v>
      </c>
      <c r="F68" s="2">
        <f t="shared" si="5"/>
        <v>5.1413910121413915</v>
      </c>
      <c r="G68" s="2">
        <f t="shared" si="5"/>
        <v>3.5558503504736376</v>
      </c>
      <c r="H68" s="2">
        <f t="shared" si="5"/>
        <v>6.6634886006531158</v>
      </c>
      <c r="I68" s="2">
        <f t="shared" si="5"/>
        <v>3.5083654573818079</v>
      </c>
      <c r="J68" s="2">
        <f t="shared" si="5"/>
        <v>3.166870819446705</v>
      </c>
      <c r="K68" s="2">
        <f t="shared" si="5"/>
        <v>4.0879011614598806</v>
      </c>
      <c r="L68" s="2">
        <f t="shared" si="5"/>
        <v>3.3770368816697087</v>
      </c>
      <c r="M68" s="2">
        <f t="shared" si="5"/>
        <v>4.6034952608359596</v>
      </c>
      <c r="N68" s="2">
        <f t="shared" si="5"/>
        <v>4.817505948602296</v>
      </c>
      <c r="O68" s="2">
        <f t="shared" si="5"/>
        <v>4.2893374745690238</v>
      </c>
      <c r="P68" s="2">
        <f t="shared" si="5"/>
        <v>3.587529766198891</v>
      </c>
      <c r="Q68" s="2">
        <f t="shared" si="5"/>
        <v>3.6988799859990977</v>
      </c>
      <c r="R68" s="2">
        <f t="shared" si="5"/>
        <v>2.9575423565934309</v>
      </c>
      <c r="S68" s="2">
        <f t="shared" si="5"/>
        <v>2.7151798687108082</v>
      </c>
      <c r="T68" s="2">
        <f t="shared" si="5"/>
        <v>0.92403132638387087</v>
      </c>
      <c r="U68" s="2">
        <f t="shared" si="5"/>
        <v>0.92972916129177108</v>
      </c>
      <c r="V68" s="2">
        <f t="shared" si="5"/>
        <v>0.69181362427382342</v>
      </c>
      <c r="W68" s="2">
        <f t="shared" si="5"/>
        <v>0.43237525904119911</v>
      </c>
      <c r="X68" s="2">
        <f t="shared" si="5"/>
        <v>0.54779439314317802</v>
      </c>
      <c r="Y68" s="2">
        <f t="shared" si="5"/>
        <v>0.36217508722846764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6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6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5966628699.0305729</v>
      </c>
      <c r="C93" s="2">
        <f>C5/'Output-Calculation-sheet'!C4*'Output-Calculation-sheet'!C76</f>
        <v>0</v>
      </c>
      <c r="D93" s="2">
        <f>D5/'Output-Calculation-sheet'!D4*'Output-Calculation-sheet'!D76</f>
        <v>3905917038.797399</v>
      </c>
      <c r="E93" s="2">
        <f>E5/'Output-Calculation-sheet'!E4*'Output-Calculation-sheet'!E76</f>
        <v>5703276372.1990891</v>
      </c>
      <c r="F93" s="2">
        <f>F5/'Output-Calculation-sheet'!F4*'Output-Calculation-sheet'!F76</f>
        <v>2856662789.3471451</v>
      </c>
      <c r="G93" s="2">
        <f>G5/'Output-Calculation-sheet'!G4*'Output-Calculation-sheet'!G76</f>
        <v>2182867668.5061936</v>
      </c>
      <c r="H93" s="2">
        <f>H5/'Output-Calculation-sheet'!H4*'Output-Calculation-sheet'!H76</f>
        <v>0</v>
      </c>
      <c r="I93" s="2">
        <f>I5/'Output-Calculation-sheet'!I4*'Output-Calculation-sheet'!I76</f>
        <v>1482934391.7271521</v>
      </c>
      <c r="J93" s="2">
        <f>J5/'Output-Calculation-sheet'!J4*'Output-Calculation-sheet'!J76</f>
        <v>1063961737.465071</v>
      </c>
      <c r="K93" s="2">
        <f>K5/'Output-Calculation-sheet'!K4*'Output-Calculation-sheet'!K76</f>
        <v>1339489707.242244</v>
      </c>
      <c r="L93" s="2">
        <f>L5/'Output-Calculation-sheet'!L4*'Output-Calculation-sheet'!L76</f>
        <v>883317219.57225549</v>
      </c>
      <c r="M93" s="2">
        <f>M5/'Output-Calculation-sheet'!M4*'Output-Calculation-sheet'!M76</f>
        <v>0</v>
      </c>
      <c r="N93" s="2">
        <f>N5/'Output-Calculation-sheet'!N4*'Output-Calculation-sheet'!N76</f>
        <v>418144241.16601771</v>
      </c>
      <c r="O93" s="2">
        <f>O5/'Output-Calculation-sheet'!O4*'Output-Calculation-sheet'!O76</f>
        <v>0</v>
      </c>
      <c r="P93" s="2">
        <f>P5/'Output-Calculation-sheet'!P4*'Output-Calculation-sheet'!P76</f>
        <v>1100758194.194417</v>
      </c>
      <c r="Q93" s="2">
        <f>Q5/'Output-Calculation-sheet'!Q4*'Output-Calculation-sheet'!Q76</f>
        <v>494859168.31282169</v>
      </c>
      <c r="R93" s="2">
        <f>R5/'Output-Calculation-sheet'!R4*'Output-Calculation-sheet'!R76</f>
        <v>789742720.11581492</v>
      </c>
      <c r="S93" s="2">
        <f>S5/'Output-Calculation-sheet'!S4*'Output-Calculation-sheet'!S76</f>
        <v>261658849.24845123</v>
      </c>
      <c r="T93" s="2">
        <f>T5/'Output-Calculation-sheet'!T4*'Output-Calculation-sheet'!T76</f>
        <v>424363684.74642038</v>
      </c>
      <c r="U93" s="2">
        <f>U5/'Output-Calculation-sheet'!U4*'Output-Calculation-sheet'!U76</f>
        <v>221317134.54542851</v>
      </c>
      <c r="V93" s="2">
        <f>V5/'Output-Calculation-sheet'!V4*'Output-Calculation-sheet'!V76</f>
        <v>132410028.64540793</v>
      </c>
      <c r="W93" s="2">
        <f>W5/'Output-Calculation-sheet'!W4*'Output-Calculation-sheet'!W76</f>
        <v>441251265.77602917</v>
      </c>
      <c r="X93" s="2">
        <f>X5/'Output-Calculation-sheet'!X4*'Output-Calculation-sheet'!X76</f>
        <v>0</v>
      </c>
      <c r="Y93" s="2">
        <f>Y5/'Output-Calculation-sheet'!Y4*'Output-Calculation-sheet'!Y76</f>
        <v>185030541.04040933</v>
      </c>
      <c r="AA93" s="2">
        <f t="shared" ref="AA93:AA100" si="8">SUM(B93:Y93)/10^9</f>
        <v>29.854591451678345</v>
      </c>
    </row>
    <row r="94" spans="1:27" x14ac:dyDescent="0.25">
      <c r="A94" s="2">
        <v>2029</v>
      </c>
      <c r="B94" s="2">
        <f>B6/'Output-Calculation-sheet'!B5*'Output-Calculation-sheet'!B77</f>
        <v>8297198192.5046215</v>
      </c>
      <c r="C94" s="2">
        <f>C6/'Output-Calculation-sheet'!C5*'Output-Calculation-sheet'!C77</f>
        <v>0</v>
      </c>
      <c r="D94" s="2">
        <f>D6/'Output-Calculation-sheet'!D5*'Output-Calculation-sheet'!D77</f>
        <v>5353870192.7012606</v>
      </c>
      <c r="E94" s="2">
        <f>E6/'Output-Calculation-sheet'!E5*'Output-Calculation-sheet'!E77</f>
        <v>7980188988.1780348</v>
      </c>
      <c r="F94" s="2">
        <f>F6/'Output-Calculation-sheet'!F5*'Output-Calculation-sheet'!F77</f>
        <v>3911958534.0107565</v>
      </c>
      <c r="G94" s="2">
        <f>G6/'Output-Calculation-sheet'!G5*'Output-Calculation-sheet'!G77</f>
        <v>3027908764.6441665</v>
      </c>
      <c r="H94" s="2">
        <f>H6/'Output-Calculation-sheet'!H5*'Output-Calculation-sheet'!H77</f>
        <v>740540303.39315557</v>
      </c>
      <c r="I94" s="2">
        <f>I6/'Output-Calculation-sheet'!I5*'Output-Calculation-sheet'!I77</f>
        <v>2028654664.0173559</v>
      </c>
      <c r="J94" s="2">
        <f>J6/'Output-Calculation-sheet'!J5*'Output-Calculation-sheet'!J77</f>
        <v>1470754331.1456723</v>
      </c>
      <c r="K94" s="2">
        <f>K6/'Output-Calculation-sheet'!K5*'Output-Calculation-sheet'!K77</f>
        <v>1833807444.8346951</v>
      </c>
      <c r="L94" s="2">
        <f>L6/'Output-Calculation-sheet'!L5*'Output-Calculation-sheet'!L77</f>
        <v>1223048459.4043322</v>
      </c>
      <c r="M94" s="2">
        <f>M6/'Output-Calculation-sheet'!M5*'Output-Calculation-sheet'!M77</f>
        <v>538635646.4745872</v>
      </c>
      <c r="N94" s="2">
        <f>N6/'Output-Calculation-sheet'!N5*'Output-Calculation-sheet'!N77</f>
        <v>634974560.89070761</v>
      </c>
      <c r="O94" s="2">
        <f>O6/'Output-Calculation-sheet'!O5*'Output-Calculation-sheet'!O77</f>
        <v>0</v>
      </c>
      <c r="P94" s="2">
        <f>P6/'Output-Calculation-sheet'!P5*'Output-Calculation-sheet'!P77</f>
        <v>1536511294.4946253</v>
      </c>
      <c r="Q94" s="2">
        <f>Q6/'Output-Calculation-sheet'!Q5*'Output-Calculation-sheet'!Q77</f>
        <v>699916776.47313893</v>
      </c>
      <c r="R94" s="2">
        <f>R6/'Output-Calculation-sheet'!R5*'Output-Calculation-sheet'!R77</f>
        <v>1091755434.2909131</v>
      </c>
      <c r="S94" s="2">
        <f>S6/'Output-Calculation-sheet'!S5*'Output-Calculation-sheet'!S77</f>
        <v>368585031.00968581</v>
      </c>
      <c r="T94" s="2">
        <f>T6/'Output-Calculation-sheet'!T5*'Output-Calculation-sheet'!T77</f>
        <v>584151705.60632217</v>
      </c>
      <c r="U94" s="2">
        <f>U6/'Output-Calculation-sheet'!U5*'Output-Calculation-sheet'!U77</f>
        <v>298337188.44328165</v>
      </c>
      <c r="V94" s="2">
        <f>V6/'Output-Calculation-sheet'!V5*'Output-Calculation-sheet'!V77</f>
        <v>178546284.31512573</v>
      </c>
      <c r="W94" s="2">
        <f>W6/'Output-Calculation-sheet'!W5*'Output-Calculation-sheet'!W77</f>
        <v>614184873.27890646</v>
      </c>
      <c r="X94" s="2">
        <f>X6/'Output-Calculation-sheet'!X5*'Output-Calculation-sheet'!X77</f>
        <v>50232395.204404488</v>
      </c>
      <c r="Y94" s="2">
        <f>Y6/'Output-Calculation-sheet'!Y5*'Output-Calculation-sheet'!Y77</f>
        <v>259047629.43697304</v>
      </c>
      <c r="AA94" s="2">
        <f t="shared" si="8"/>
        <v>42.722808694752736</v>
      </c>
    </row>
    <row r="95" spans="1:27" x14ac:dyDescent="0.25">
      <c r="A95" s="2">
        <v>2030</v>
      </c>
      <c r="B95" s="2">
        <f>B7/'Output-Calculation-sheet'!B6*'Output-Calculation-sheet'!B78</f>
        <v>10485876589.651588</v>
      </c>
      <c r="C95" s="2">
        <f>C7/'Output-Calculation-sheet'!C6*'Output-Calculation-sheet'!C78</f>
        <v>0</v>
      </c>
      <c r="D95" s="2">
        <f>D7/'Output-Calculation-sheet'!D6*'Output-Calculation-sheet'!D78</f>
        <v>6688072799.3687325</v>
      </c>
      <c r="E95" s="2">
        <f>E7/'Output-Calculation-sheet'!E6*'Output-Calculation-sheet'!E78</f>
        <v>10165091797.688051</v>
      </c>
      <c r="F95" s="2">
        <f>F7/'Output-Calculation-sheet'!F6*'Output-Calculation-sheet'!F78</f>
        <v>4878519937.6285858</v>
      </c>
      <c r="G95" s="2">
        <f>G7/'Output-Calculation-sheet'!G6*'Output-Calculation-sheet'!G78</f>
        <v>3825787016.7412529</v>
      </c>
      <c r="H95" s="2">
        <f>H7/'Output-Calculation-sheet'!H6*'Output-Calculation-sheet'!H78</f>
        <v>978519734.72250628</v>
      </c>
      <c r="I95" s="2">
        <f>I7/'Output-Calculation-sheet'!I6*'Output-Calculation-sheet'!I78</f>
        <v>2524903766.2913709</v>
      </c>
      <c r="J95" s="2">
        <f>J7/'Output-Calculation-sheet'!J6*'Output-Calculation-sheet'!J78</f>
        <v>1851726098.6938124</v>
      </c>
      <c r="K95" s="2">
        <f>K7/'Output-Calculation-sheet'!K6*'Output-Calculation-sheet'!K78</f>
        <v>2282551799.969882</v>
      </c>
      <c r="L95" s="2">
        <f>L7/'Output-Calculation-sheet'!L6*'Output-Calculation-sheet'!L78</f>
        <v>1544021602.558006</v>
      </c>
      <c r="M95" s="2">
        <f>M7/'Output-Calculation-sheet'!M6*'Output-Calculation-sheet'!M78</f>
        <v>717893162.24894857</v>
      </c>
      <c r="N95" s="2">
        <f>N7/'Output-Calculation-sheet'!N6*'Output-Calculation-sheet'!N78</f>
        <v>837739158.50885439</v>
      </c>
      <c r="O95" s="2">
        <f>O7/'Output-Calculation-sheet'!O6*'Output-Calculation-sheet'!O78</f>
        <v>0</v>
      </c>
      <c r="P95" s="2">
        <f>P7/'Output-Calculation-sheet'!P6*'Output-Calculation-sheet'!P78</f>
        <v>1942926732.6236575</v>
      </c>
      <c r="Q95" s="2">
        <f>Q7/'Output-Calculation-sheet'!Q6*'Output-Calculation-sheet'!Q78</f>
        <v>896990298.39234483</v>
      </c>
      <c r="R95" s="2">
        <f>R7/'Output-Calculation-sheet'!R6*'Output-Calculation-sheet'!R78</f>
        <v>1372793100.9957714</v>
      </c>
      <c r="S95" s="2">
        <f>S7/'Output-Calculation-sheet'!S6*'Output-Calculation-sheet'!S78</f>
        <v>486378378.34823805</v>
      </c>
      <c r="T95" s="2">
        <f>T7/'Output-Calculation-sheet'!T6*'Output-Calculation-sheet'!T78</f>
        <v>732526496.6214658</v>
      </c>
      <c r="U95" s="2">
        <f>U7/'Output-Calculation-sheet'!U6*'Output-Calculation-sheet'!U78</f>
        <v>365348650.11750811</v>
      </c>
      <c r="V95" s="2">
        <f>V7/'Output-Calculation-sheet'!V6*'Output-Calculation-sheet'!V78</f>
        <v>218967391.58444452</v>
      </c>
      <c r="W95" s="2">
        <f>W7/'Output-Calculation-sheet'!W6*'Output-Calculation-sheet'!W78</f>
        <v>779063385.79010904</v>
      </c>
      <c r="X95" s="2">
        <f>X7/'Output-Calculation-sheet'!X6*'Output-Calculation-sheet'!X78</f>
        <v>67935276.003234491</v>
      </c>
      <c r="Y95" s="2">
        <f>Y7/'Output-Calculation-sheet'!Y6*'Output-Calculation-sheet'!Y78</f>
        <v>330610534.1201961</v>
      </c>
      <c r="AA95" s="2">
        <f t="shared" si="8"/>
        <v>53.974243708668553</v>
      </c>
    </row>
    <row r="96" spans="1:27" x14ac:dyDescent="0.25">
      <c r="A96" s="2">
        <v>2031</v>
      </c>
      <c r="B96" s="2">
        <f>B8/'Output-Calculation-sheet'!B7*'Output-Calculation-sheet'!B79</f>
        <v>12473128053.97757</v>
      </c>
      <c r="C96" s="2">
        <f>C8/'Output-Calculation-sheet'!C7*'Output-Calculation-sheet'!C79</f>
        <v>0</v>
      </c>
      <c r="D96" s="2">
        <f>D8/'Output-Calculation-sheet'!D7*'Output-Calculation-sheet'!D79</f>
        <v>7592290366.7121172</v>
      </c>
      <c r="E96" s="2">
        <f>E8/'Output-Calculation-sheet'!E7*'Output-Calculation-sheet'!E79</f>
        <v>11892226833.856281</v>
      </c>
      <c r="F96" s="2">
        <f>F8/'Output-Calculation-sheet'!F7*'Output-Calculation-sheet'!F79</f>
        <v>5692538677.6160345</v>
      </c>
      <c r="G96" s="2">
        <f>G8/'Output-Calculation-sheet'!G7*'Output-Calculation-sheet'!G79</f>
        <v>4339712505.5872011</v>
      </c>
      <c r="H96" s="2">
        <f>H8/'Output-Calculation-sheet'!H7*'Output-Calculation-sheet'!H79</f>
        <v>1172869718.429517</v>
      </c>
      <c r="I96" s="2">
        <f>I8/'Output-Calculation-sheet'!I7*'Output-Calculation-sheet'!I79</f>
        <v>2976107657.221417</v>
      </c>
      <c r="J96" s="2">
        <f>J8/'Output-Calculation-sheet'!J7*'Output-Calculation-sheet'!J79</f>
        <v>2118468312.0441575</v>
      </c>
      <c r="K96" s="2">
        <f>K8/'Output-Calculation-sheet'!K7*'Output-Calculation-sheet'!K79</f>
        <v>2640299242.1206093</v>
      </c>
      <c r="L96" s="2">
        <f>L8/'Output-Calculation-sheet'!L7*'Output-Calculation-sheet'!L79</f>
        <v>1837275367.1088719</v>
      </c>
      <c r="M96" s="2">
        <f>M8/'Output-Calculation-sheet'!M7*'Output-Calculation-sheet'!M79</f>
        <v>869479639.91317737</v>
      </c>
      <c r="N96" s="2">
        <f>N8/'Output-Calculation-sheet'!N7*'Output-Calculation-sheet'!N79</f>
        <v>969039846.59837174</v>
      </c>
      <c r="O96" s="2">
        <f>O8/'Output-Calculation-sheet'!O7*'Output-Calculation-sheet'!O79</f>
        <v>0</v>
      </c>
      <c r="P96" s="2">
        <f>P8/'Output-Calculation-sheet'!P7*'Output-Calculation-sheet'!P79</f>
        <v>2241157178.8109298</v>
      </c>
      <c r="Q96" s="2">
        <f>Q8/'Output-Calculation-sheet'!Q7*'Output-Calculation-sheet'!Q79</f>
        <v>1040458922.9297036</v>
      </c>
      <c r="R96" s="2">
        <f>R8/'Output-Calculation-sheet'!R7*'Output-Calculation-sheet'!R79</f>
        <v>1605289582.774488</v>
      </c>
      <c r="S96" s="2">
        <f>S8/'Output-Calculation-sheet'!S7*'Output-Calculation-sheet'!S79</f>
        <v>587996081.82436216</v>
      </c>
      <c r="T96" s="2">
        <f>T8/'Output-Calculation-sheet'!T7*'Output-Calculation-sheet'!T79</f>
        <v>841427356.55696857</v>
      </c>
      <c r="U96" s="2">
        <f>U8/'Output-Calculation-sheet'!U7*'Output-Calculation-sheet'!U79</f>
        <v>427222030.09207469</v>
      </c>
      <c r="V96" s="2">
        <f>V8/'Output-Calculation-sheet'!V7*'Output-Calculation-sheet'!V79</f>
        <v>258986111.10579267</v>
      </c>
      <c r="W96" s="2">
        <f>W8/'Output-Calculation-sheet'!W7*'Output-Calculation-sheet'!W79</f>
        <v>901905724.24053371</v>
      </c>
      <c r="X96" s="2">
        <f>X8/'Output-Calculation-sheet'!X7*'Output-Calculation-sheet'!X79</f>
        <v>84087417.611530945</v>
      </c>
      <c r="Y96" s="2">
        <f>Y8/'Output-Calculation-sheet'!Y7*'Output-Calculation-sheet'!Y79</f>
        <v>383647512.36410362</v>
      </c>
      <c r="AA96" s="2">
        <f t="shared" si="8"/>
        <v>62.945614139495817</v>
      </c>
    </row>
    <row r="97" spans="1:27" x14ac:dyDescent="0.25">
      <c r="A97" s="2">
        <v>2032</v>
      </c>
      <c r="B97" s="2">
        <f>B9/'Output-Calculation-sheet'!B8*'Output-Calculation-sheet'!B80</f>
        <v>13895440134.86232</v>
      </c>
      <c r="C97" s="2">
        <f>C9/'Output-Calculation-sheet'!C8*'Output-Calculation-sheet'!C80</f>
        <v>0</v>
      </c>
      <c r="D97" s="2">
        <f>D9/'Output-Calculation-sheet'!D8*'Output-Calculation-sheet'!D80</f>
        <v>8066740037.2079659</v>
      </c>
      <c r="E97" s="2">
        <f>E9/'Output-Calculation-sheet'!E8*'Output-Calculation-sheet'!E80</f>
        <v>13014278606.957495</v>
      </c>
      <c r="F97" s="2">
        <f>F9/'Output-Calculation-sheet'!F8*'Output-Calculation-sheet'!F80</f>
        <v>6208018023.4061108</v>
      </c>
      <c r="G97" s="2">
        <f>G9/'Output-Calculation-sheet'!G8*'Output-Calculation-sheet'!G80</f>
        <v>4596884519.220108</v>
      </c>
      <c r="H97" s="2">
        <f>H9/'Output-Calculation-sheet'!H8*'Output-Calculation-sheet'!H80</f>
        <v>1312783614.6272864</v>
      </c>
      <c r="I97" s="2">
        <f>I9/'Output-Calculation-sheet'!I8*'Output-Calculation-sheet'!I80</f>
        <v>3277931086.9038148</v>
      </c>
      <c r="J97" s="2">
        <f>J9/'Output-Calculation-sheet'!J8*'Output-Calculation-sheet'!J80</f>
        <v>2266991568.8788447</v>
      </c>
      <c r="K97" s="2">
        <f>K9/'Output-Calculation-sheet'!K8*'Output-Calculation-sheet'!K80</f>
        <v>2851679319.6309152</v>
      </c>
      <c r="L97" s="2">
        <f>L9/'Output-Calculation-sheet'!L8*'Output-Calculation-sheet'!L80</f>
        <v>2047460934.032124</v>
      </c>
      <c r="M97" s="2">
        <f>M9/'Output-Calculation-sheet'!M8*'Output-Calculation-sheet'!M80</f>
        <v>974924335.95827603</v>
      </c>
      <c r="N97" s="2">
        <f>N9/'Output-Calculation-sheet'!N8*'Output-Calculation-sheet'!N80</f>
        <v>1037704795.2330468</v>
      </c>
      <c r="O97" s="2">
        <f>O9/'Output-Calculation-sheet'!O8*'Output-Calculation-sheet'!O80</f>
        <v>0</v>
      </c>
      <c r="P97" s="2">
        <f>P9/'Output-Calculation-sheet'!P8*'Output-Calculation-sheet'!P80</f>
        <v>2428402202.2013116</v>
      </c>
      <c r="Q97" s="2">
        <f>Q9/'Output-Calculation-sheet'!Q8*'Output-Calculation-sheet'!Q80</f>
        <v>1132241259.562609</v>
      </c>
      <c r="R97" s="2">
        <f>R9/'Output-Calculation-sheet'!R8*'Output-Calculation-sheet'!R80</f>
        <v>1754883885.6855028</v>
      </c>
      <c r="S97" s="2">
        <f>S9/'Output-Calculation-sheet'!S8*'Output-Calculation-sheet'!S80</f>
        <v>661225512.99193573</v>
      </c>
      <c r="T97" s="2">
        <f>T9/'Output-Calculation-sheet'!T8*'Output-Calculation-sheet'!T80</f>
        <v>902421722.47327375</v>
      </c>
      <c r="U97" s="2">
        <f>U9/'Output-Calculation-sheet'!U8*'Output-Calculation-sheet'!U80</f>
        <v>467237867.59219384</v>
      </c>
      <c r="V97" s="2">
        <f>V9/'Output-Calculation-sheet'!V8*'Output-Calculation-sheet'!V80</f>
        <v>286434328.07458764</v>
      </c>
      <c r="W97" s="2">
        <f>W9/'Output-Calculation-sheet'!W8*'Output-Calculation-sheet'!W80</f>
        <v>975159097.25902355</v>
      </c>
      <c r="X97" s="2">
        <f>X9/'Output-Calculation-sheet'!X8*'Output-Calculation-sheet'!X80</f>
        <v>96544606.104033291</v>
      </c>
      <c r="Y97" s="2">
        <f>Y9/'Output-Calculation-sheet'!Y8*'Output-Calculation-sheet'!Y80</f>
        <v>415227542.0819822</v>
      </c>
      <c r="AA97" s="2">
        <f t="shared" si="8"/>
        <v>68.670615000944764</v>
      </c>
    </row>
    <row r="98" spans="1:27" x14ac:dyDescent="0.25">
      <c r="A98" s="2">
        <v>2033</v>
      </c>
      <c r="B98" s="2">
        <f>B10/'Output-Calculation-sheet'!B9*'Output-Calculation-sheet'!B81</f>
        <v>15175820888.232435</v>
      </c>
      <c r="C98" s="2">
        <f>C10/'Output-Calculation-sheet'!C9*'Output-Calculation-sheet'!C81</f>
        <v>1987580702.150737</v>
      </c>
      <c r="D98" s="2">
        <f>D10/'Output-Calculation-sheet'!D9*'Output-Calculation-sheet'!D81</f>
        <v>8090743321.025732</v>
      </c>
      <c r="E98" s="2">
        <f>E10/'Output-Calculation-sheet'!E9*'Output-Calculation-sheet'!E81</f>
        <v>13433450947.056889</v>
      </c>
      <c r="F98" s="2">
        <f>F10/'Output-Calculation-sheet'!F9*'Output-Calculation-sheet'!F81</f>
        <v>6395536652.2839088</v>
      </c>
      <c r="G98" s="2">
        <f>G10/'Output-Calculation-sheet'!G9*'Output-Calculation-sheet'!G81</f>
        <v>4592476699.2781887</v>
      </c>
      <c r="H98" s="2">
        <f>H10/'Output-Calculation-sheet'!H9*'Output-Calculation-sheet'!H81</f>
        <v>1384054382.0927732</v>
      </c>
      <c r="I98" s="2">
        <f>I10/'Output-Calculation-sheet'!I9*'Output-Calculation-sheet'!I81</f>
        <v>3408665010.3446164</v>
      </c>
      <c r="J98" s="2">
        <f>J10/'Output-Calculation-sheet'!J9*'Output-Calculation-sheet'!J81</f>
        <v>2292085058.9154348</v>
      </c>
      <c r="K98" s="2">
        <f>K10/'Output-Calculation-sheet'!K9*'Output-Calculation-sheet'!K81</f>
        <v>2910870013.6785607</v>
      </c>
      <c r="L98" s="2">
        <f>L10/'Output-Calculation-sheet'!L9*'Output-Calculation-sheet'!L81</f>
        <v>2152130079.8399429</v>
      </c>
      <c r="M98" s="2">
        <f>M10/'Output-Calculation-sheet'!M9*'Output-Calculation-sheet'!M81</f>
        <v>1031956994.9259223</v>
      </c>
      <c r="N98" s="2">
        <f>N10/'Output-Calculation-sheet'!N9*'Output-Calculation-sheet'!N81</f>
        <v>1050124304.8535724</v>
      </c>
      <c r="O98" s="2">
        <f>O10/'Output-Calculation-sheet'!O9*'Output-Calculation-sheet'!O81</f>
        <v>0</v>
      </c>
      <c r="P98" s="2">
        <f>P10/'Output-Calculation-sheet'!P9*'Output-Calculation-sheet'!P81</f>
        <v>2476420789.7150512</v>
      </c>
      <c r="Q98" s="2">
        <f>Q10/'Output-Calculation-sheet'!Q9*'Output-Calculation-sheet'!Q81</f>
        <v>1162398115.5258996</v>
      </c>
      <c r="R98" s="2">
        <f>R10/'Output-Calculation-sheet'!R9*'Output-Calculation-sheet'!R81</f>
        <v>1813870595.79989</v>
      </c>
      <c r="S98" s="2">
        <f>S10/'Output-Calculation-sheet'!S9*'Output-Calculation-sheet'!S81</f>
        <v>688758130.57733607</v>
      </c>
      <c r="T98" s="2">
        <f>T10/'Output-Calculation-sheet'!T9*'Output-Calculation-sheet'!T81</f>
        <v>914199502.27785981</v>
      </c>
      <c r="U98" s="2">
        <f>U10/'Output-Calculation-sheet'!U9*'Output-Calculation-sheet'!U81</f>
        <v>481875540.31995565</v>
      </c>
      <c r="V98" s="2">
        <f>V10/'Output-Calculation-sheet'!V9*'Output-Calculation-sheet'!V81</f>
        <v>298616142.81745589</v>
      </c>
      <c r="W98" s="2">
        <f>W10/'Output-Calculation-sheet'!W9*'Output-Calculation-sheet'!W81</f>
        <v>992792755.37938631</v>
      </c>
      <c r="X98" s="2">
        <f>X10/'Output-Calculation-sheet'!X9*'Output-Calculation-sheet'!X81</f>
        <v>103276692.88353553</v>
      </c>
      <c r="Y98" s="2">
        <f>Y10/'Output-Calculation-sheet'!Y9*'Output-Calculation-sheet'!Y81</f>
        <v>423828933.47658712</v>
      </c>
      <c r="AA98" s="2">
        <f t="shared" si="8"/>
        <v>73.261532253451662</v>
      </c>
    </row>
    <row r="99" spans="1:27" x14ac:dyDescent="0.25">
      <c r="A99" s="2">
        <v>2034</v>
      </c>
      <c r="B99" s="2">
        <f>B11/'Output-Calculation-sheet'!B10*'Output-Calculation-sheet'!B82</f>
        <v>15423533661.700886</v>
      </c>
      <c r="C99" s="2">
        <f>C11/'Output-Calculation-sheet'!C10*'Output-Calculation-sheet'!C82</f>
        <v>2091810250.3658493</v>
      </c>
      <c r="D99" s="2">
        <f>D11/'Output-Calculation-sheet'!D10*'Output-Calculation-sheet'!D82</f>
        <v>7695635907.3206043</v>
      </c>
      <c r="E99" s="2">
        <f>E11/'Output-Calculation-sheet'!E10*'Output-Calculation-sheet'!E82</f>
        <v>13160838848.209764</v>
      </c>
      <c r="F99" s="2">
        <f>F11/'Output-Calculation-sheet'!F10*'Output-Calculation-sheet'!F82</f>
        <v>6250190151.625721</v>
      </c>
      <c r="G99" s="2">
        <f>G11/'Output-Calculation-sheet'!G10*'Output-Calculation-sheet'!G82</f>
        <v>4341728796.3424444</v>
      </c>
      <c r="H99" s="2">
        <f>H11/'Output-Calculation-sheet'!H10*'Output-Calculation-sheet'!H82</f>
        <v>1385415452.7234001</v>
      </c>
      <c r="I99" s="2">
        <f>I11/'Output-Calculation-sheet'!I10*'Output-Calculation-sheet'!I82</f>
        <v>3365625350.0075402</v>
      </c>
      <c r="J99" s="2">
        <f>J11/'Output-Calculation-sheet'!J10*'Output-Calculation-sheet'!J82</f>
        <v>2198881281.9936113</v>
      </c>
      <c r="K99" s="2">
        <f>K11/'Output-Calculation-sheet'!K10*'Output-Calculation-sheet'!K82</f>
        <v>2819357241.8355832</v>
      </c>
      <c r="L99" s="2">
        <f>L11/'Output-Calculation-sheet'!L10*'Output-Calculation-sheet'!L82</f>
        <v>2143843309.675318</v>
      </c>
      <c r="M99" s="2">
        <f>M11/'Output-Calculation-sheet'!M10*'Output-Calculation-sheet'!M82</f>
        <v>1036334513.0310394</v>
      </c>
      <c r="N99" s="2">
        <f>N11/'Output-Calculation-sheet'!N10*'Output-Calculation-sheet'!N82</f>
        <v>1011417666.6726403</v>
      </c>
      <c r="O99" s="2">
        <f>O11/'Output-Calculation-sheet'!O10*'Output-Calculation-sheet'!O82</f>
        <v>0</v>
      </c>
      <c r="P99" s="2">
        <f>P11/'Output-Calculation-sheet'!P10*'Output-Calculation-sheet'!P82</f>
        <v>2392235185.9470639</v>
      </c>
      <c r="Q99" s="2">
        <f>Q11/'Output-Calculation-sheet'!Q10*'Output-Calculation-sheet'!Q82</f>
        <v>1132741010.0634084</v>
      </c>
      <c r="R99" s="2">
        <f>R11/'Output-Calculation-sheet'!R10*'Output-Calculation-sheet'!R82</f>
        <v>1777645297.0071273</v>
      </c>
      <c r="S99" s="2">
        <f>S11/'Output-Calculation-sheet'!S10*'Output-Calculation-sheet'!S82</f>
        <v>692631692.25599432</v>
      </c>
      <c r="T99" s="2">
        <f>T11/'Output-Calculation-sheet'!T10*'Output-Calculation-sheet'!T82</f>
        <v>878297883.93096077</v>
      </c>
      <c r="U99" s="2">
        <f>U11/'Output-Calculation-sheet'!U10*'Output-Calculation-sheet'!U82</f>
        <v>472108164.73850214</v>
      </c>
      <c r="V99" s="2">
        <f>V11/'Output-Calculation-sheet'!V10*'Output-Calculation-sheet'!V82</f>
        <v>295340223.02554297</v>
      </c>
      <c r="W99" s="2">
        <f>W11/'Output-Calculation-sheet'!W10*'Output-Calculation-sheet'!W82</f>
        <v>957370503.99013352</v>
      </c>
      <c r="X99" s="2">
        <f>X11/'Output-Calculation-sheet'!X10*'Output-Calculation-sheet'!X82</f>
        <v>105343688.71316101</v>
      </c>
      <c r="Y99" s="2">
        <f>Y11/'Output-Calculation-sheet'!Y10*'Output-Calculation-sheet'!Y82</f>
        <v>409634815.22235548</v>
      </c>
      <c r="AA99" s="2">
        <f t="shared" si="8"/>
        <v>72.037960896398616</v>
      </c>
    </row>
    <row r="100" spans="1:27" x14ac:dyDescent="0.25">
      <c r="A100" s="2">
        <v>2035</v>
      </c>
      <c r="B100" s="2">
        <f>B12/'Output-Calculation-sheet'!B11*'Output-Calculation-sheet'!B83</f>
        <v>14617404322.645851</v>
      </c>
      <c r="C100" s="2">
        <f>C12/'Output-Calculation-sheet'!C11*'Output-Calculation-sheet'!C83</f>
        <v>2068146413.4098933</v>
      </c>
      <c r="D100" s="2">
        <f>D12/'Output-Calculation-sheet'!D11*'Output-Calculation-sheet'!D83</f>
        <v>6952118234.1764498</v>
      </c>
      <c r="E100" s="2">
        <f>E12/'Output-Calculation-sheet'!E11*'Output-Calculation-sheet'!E83</f>
        <v>12230978618.08556</v>
      </c>
      <c r="F100" s="2">
        <f>F12/'Output-Calculation-sheet'!F11*'Output-Calculation-sheet'!F83</f>
        <v>5796343151.8328085</v>
      </c>
      <c r="G100" s="2">
        <f>G12/'Output-Calculation-sheet'!G11*'Output-Calculation-sheet'!G83</f>
        <v>3887457151.0217257</v>
      </c>
      <c r="H100" s="2">
        <f>H12/'Output-Calculation-sheet'!H11*'Output-Calculation-sheet'!H83</f>
        <v>1309911002.3919334</v>
      </c>
      <c r="I100" s="2">
        <f>I12/'Output-Calculation-sheet'!I11*'Output-Calculation-sheet'!I83</f>
        <v>3149743423.8544321</v>
      </c>
      <c r="J100" s="2">
        <f>J12/'Output-Calculation-sheet'!J11*'Output-Calculation-sheet'!J83</f>
        <v>2001091488.3709219</v>
      </c>
      <c r="K100" s="2">
        <f>K12/'Output-Calculation-sheet'!K11*'Output-Calculation-sheet'!K83</f>
        <v>2590240096.7342491</v>
      </c>
      <c r="L100" s="2">
        <f>L12/'Output-Calculation-sheet'!L11*'Output-Calculation-sheet'!L83</f>
        <v>2023845656.3220813</v>
      </c>
      <c r="M100" s="2">
        <f>M12/'Output-Calculation-sheet'!M11*'Output-Calculation-sheet'!M83</f>
        <v>981842367.8519603</v>
      </c>
      <c r="N100" s="2">
        <f>N12/'Output-Calculation-sheet'!N11*'Output-Calculation-sheet'!N83</f>
        <v>924925923.68196046</v>
      </c>
      <c r="O100" s="2">
        <f>O12/'Output-Calculation-sheet'!O11*'Output-Calculation-sheet'!O83</f>
        <v>249533586.30435917</v>
      </c>
      <c r="P100" s="2">
        <f>P12/'Output-Calculation-sheet'!P11*'Output-Calculation-sheet'!P83</f>
        <v>2190986721.3794513</v>
      </c>
      <c r="Q100" s="2">
        <f>Q12/'Output-Calculation-sheet'!Q11*'Output-Calculation-sheet'!Q83</f>
        <v>1050747049.5011953</v>
      </c>
      <c r="R100" s="2">
        <f>R12/'Output-Calculation-sheet'!R11*'Output-Calculation-sheet'!R83</f>
        <v>1655134678.7245898</v>
      </c>
      <c r="S100" s="2">
        <f>S12/'Output-Calculation-sheet'!S11*'Output-Calculation-sheet'!S83</f>
        <v>641947838.87645841</v>
      </c>
      <c r="T100" s="2">
        <f>T12/'Output-Calculation-sheet'!T11*'Output-Calculation-sheet'!T83</f>
        <v>800151622.87557578</v>
      </c>
      <c r="U100" s="2">
        <f>U12/'Output-Calculation-sheet'!U11*'Output-Calculation-sheet'!U83</f>
        <v>438318494.56760365</v>
      </c>
      <c r="V100" s="2">
        <f>V12/'Output-Calculation-sheet'!V11*'Output-Calculation-sheet'!V83</f>
        <v>277037454.81583774</v>
      </c>
      <c r="W100" s="2">
        <f>W12/'Output-Calculation-sheet'!W11*'Output-Calculation-sheet'!W83</f>
        <v>874192905.61197352</v>
      </c>
      <c r="X100" s="2">
        <f>X12/'Output-Calculation-sheet'!X11*'Output-Calculation-sheet'!X83</f>
        <v>101723304.26601487</v>
      </c>
      <c r="Y100" s="2">
        <f>Y12/'Output-Calculation-sheet'!Y11*'Output-Calculation-sheet'!Y83</f>
        <v>375336176.46706617</v>
      </c>
      <c r="AA100" s="2">
        <f t="shared" si="8"/>
        <v>67.189157683769935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BAF1-CFEC-442C-A69A-BEBE6130704C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116307350951.25566</v>
      </c>
      <c r="C8" s="2">
        <v>54809876440.109901</v>
      </c>
      <c r="D8" s="2">
        <v>48850417173.554634</v>
      </c>
      <c r="E8" s="2">
        <v>38757848843.277039</v>
      </c>
      <c r="F8" s="2">
        <v>24949818112.359158</v>
      </c>
      <c r="G8" s="2">
        <v>17530426935.019985</v>
      </c>
      <c r="H8" s="2">
        <v>17100258538.412331</v>
      </c>
      <c r="I8" s="2">
        <v>15971598883.946745</v>
      </c>
      <c r="J8" s="2">
        <v>15545651248.537527</v>
      </c>
      <c r="K8" s="2">
        <v>15396621324.124687</v>
      </c>
      <c r="L8" s="2">
        <v>12351369803.585505</v>
      </c>
      <c r="M8" s="2">
        <v>11797687708.94202</v>
      </c>
      <c r="N8" s="2">
        <v>11579396413.58231</v>
      </c>
      <c r="O8" s="2">
        <v>10649606590.233543</v>
      </c>
      <c r="P8" s="2">
        <v>10541255263.40486</v>
      </c>
      <c r="Q8" s="2">
        <v>10370891541.976097</v>
      </c>
      <c r="R8" s="2">
        <v>9977274681.8010044</v>
      </c>
      <c r="S8" s="2">
        <v>6631407856.6146736</v>
      </c>
      <c r="T8" s="2">
        <v>3667560381.2672176</v>
      </c>
      <c r="U8" s="2">
        <v>3194319776.7893538</v>
      </c>
      <c r="V8" s="2">
        <v>2459690114.5233397</v>
      </c>
      <c r="W8" s="2">
        <v>2129546517.8595676</v>
      </c>
      <c r="X8" s="2">
        <v>1277727910.7157416</v>
      </c>
      <c r="Y8" s="2">
        <v>1242577615.8919492</v>
      </c>
    </row>
    <row r="9" spans="1:27" x14ac:dyDescent="0.25">
      <c r="A9" s="2">
        <v>2032</v>
      </c>
      <c r="B9" s="2">
        <v>133389247359.76784</v>
      </c>
      <c r="C9" s="2">
        <v>62859725601.455635</v>
      </c>
      <c r="D9" s="2">
        <v>56025008967.16349</v>
      </c>
      <c r="E9" s="2">
        <v>44450159376.900146</v>
      </c>
      <c r="F9" s="2">
        <v>28614162669.438408</v>
      </c>
      <c r="G9" s="2">
        <v>20105095986.04586</v>
      </c>
      <c r="H9" s="2">
        <v>19611749364.425179</v>
      </c>
      <c r="I9" s="2">
        <v>18317325060.172939</v>
      </c>
      <c r="J9" s="2">
        <v>17828819096.988201</v>
      </c>
      <c r="K9" s="2">
        <v>17657901358.006744</v>
      </c>
      <c r="L9" s="2">
        <v>14165398046.533766</v>
      </c>
      <c r="M9" s="2">
        <v>13530397444.447771</v>
      </c>
      <c r="N9" s="2">
        <v>13280046014.765364</v>
      </c>
      <c r="O9" s="2">
        <v>12213699272.92235</v>
      </c>
      <c r="P9" s="2">
        <v>12089434539.714149</v>
      </c>
      <c r="Q9" s="2">
        <v>11894049739.072306</v>
      </c>
      <c r="R9" s="2">
        <v>11442622926.429354</v>
      </c>
      <c r="S9" s="2">
        <v>7605353364.9837866</v>
      </c>
      <c r="T9" s="2">
        <v>4206209795.8775296</v>
      </c>
      <c r="U9" s="2">
        <v>3663465012.0345931</v>
      </c>
      <c r="V9" s="2">
        <v>2820941328.5668793</v>
      </c>
      <c r="W9" s="2">
        <v>2442310008.0230603</v>
      </c>
      <c r="X9" s="2">
        <v>1465386004.8138373</v>
      </c>
      <c r="Y9" s="2">
        <v>1425073235.8214061</v>
      </c>
    </row>
    <row r="10" spans="1:27" x14ac:dyDescent="0.25">
      <c r="A10" s="2">
        <v>2033</v>
      </c>
      <c r="B10" s="2">
        <v>147747293433.3848</v>
      </c>
      <c r="C10" s="2">
        <v>69625959418.836334</v>
      </c>
      <c r="D10" s="2">
        <v>62055552477.584099</v>
      </c>
      <c r="E10" s="2">
        <v>49234783692.170441</v>
      </c>
      <c r="F10" s="2">
        <v>31694197035.759331</v>
      </c>
      <c r="G10" s="2">
        <v>22269212661.084579</v>
      </c>
      <c r="H10" s="2">
        <v>21722762107.447639</v>
      </c>
      <c r="I10" s="2">
        <v>20289005704.340866</v>
      </c>
      <c r="J10" s="2">
        <v>19747916858.611439</v>
      </c>
      <c r="K10" s="2">
        <v>19558601498.984627</v>
      </c>
      <c r="L10" s="2">
        <v>15690164411.356962</v>
      </c>
      <c r="M10" s="2">
        <v>14986812213.606482</v>
      </c>
      <c r="N10" s="2">
        <v>14709512904.442598</v>
      </c>
      <c r="O10" s="2">
        <v>13528384379.563215</v>
      </c>
      <c r="P10" s="2">
        <v>13390743764.864981</v>
      </c>
      <c r="Q10" s="2">
        <v>13174327704.018681</v>
      </c>
      <c r="R10" s="2">
        <v>12674309216.23634</v>
      </c>
      <c r="S10" s="2">
        <v>8423995168.4423065</v>
      </c>
      <c r="T10" s="2">
        <v>4658967085.0885639</v>
      </c>
      <c r="U10" s="2">
        <v>4057801140.8681788</v>
      </c>
      <c r="V10" s="2">
        <v>3124588034.4913173</v>
      </c>
      <c r="W10" s="2">
        <v>2705200760.578784</v>
      </c>
      <c r="X10" s="2">
        <v>1623120456.3472714</v>
      </c>
      <c r="Y10" s="2">
        <v>1578468412.5931554</v>
      </c>
    </row>
    <row r="11" spans="1:27" x14ac:dyDescent="0.25">
      <c r="A11" s="2">
        <v>2034</v>
      </c>
      <c r="B11" s="2">
        <v>160084677439.2041</v>
      </c>
      <c r="C11" s="2">
        <v>75439955588.661789</v>
      </c>
      <c r="D11" s="2">
        <v>67237394816.742867</v>
      </c>
      <c r="E11" s="2">
        <v>53346049751.522179</v>
      </c>
      <c r="F11" s="2">
        <v>34340766529.518383</v>
      </c>
      <c r="G11" s="2">
        <v>24128765020.538994</v>
      </c>
      <c r="H11" s="2">
        <v>23536684051.861984</v>
      </c>
      <c r="I11" s="2">
        <v>21983204282.560986</v>
      </c>
      <c r="J11" s="2">
        <v>21396932742.002438</v>
      </c>
      <c r="K11" s="2">
        <v>21191808928.388828</v>
      </c>
      <c r="L11" s="2">
        <v>17000344645.180527</v>
      </c>
      <c r="M11" s="2">
        <v>16238260230.05175</v>
      </c>
      <c r="N11" s="2">
        <v>15937805518.293327</v>
      </c>
      <c r="O11" s="2">
        <v>14658048884.343142</v>
      </c>
      <c r="P11" s="2">
        <v>14508914826.490263</v>
      </c>
      <c r="Q11" s="2">
        <v>14274427314.142948</v>
      </c>
      <c r="R11" s="2">
        <v>13732655641.240088</v>
      </c>
      <c r="S11" s="2">
        <v>9127426418.1193008</v>
      </c>
      <c r="T11" s="2">
        <v>5048006130.4983959</v>
      </c>
      <c r="U11" s="2">
        <v>4396640856.5122042</v>
      </c>
      <c r="V11" s="2">
        <v>3385501392.3315296</v>
      </c>
      <c r="W11" s="2">
        <v>2931093904.3414674</v>
      </c>
      <c r="X11" s="2">
        <v>1758656342.6048815</v>
      </c>
      <c r="Y11" s="2">
        <v>1710275706.6198184</v>
      </c>
    </row>
    <row r="12" spans="1:27" x14ac:dyDescent="0.25">
      <c r="A12" s="2">
        <v>2035</v>
      </c>
      <c r="B12" s="2">
        <v>170829808786.47113</v>
      </c>
      <c r="C12" s="2">
        <v>80503602182.446564</v>
      </c>
      <c r="D12" s="2">
        <v>71750472834.645798</v>
      </c>
      <c r="E12" s="2">
        <v>56926719186.019661</v>
      </c>
      <c r="F12" s="2">
        <v>36645771935.583183</v>
      </c>
      <c r="G12" s="2">
        <v>25748325078.00605</v>
      </c>
      <c r="H12" s="2">
        <v>25116502718.220158</v>
      </c>
      <c r="I12" s="2">
        <v>23458750982.148319</v>
      </c>
      <c r="J12" s="2">
        <v>22833127988.288696</v>
      </c>
      <c r="K12" s="2">
        <v>22614235946.791016</v>
      </c>
      <c r="L12" s="2">
        <v>18141434092.861401</v>
      </c>
      <c r="M12" s="2">
        <v>17328197392.146927</v>
      </c>
      <c r="N12" s="2">
        <v>17007575695.056786</v>
      </c>
      <c r="O12" s="2">
        <v>15641919814.880781</v>
      </c>
      <c r="P12" s="2">
        <v>15482775648.217903</v>
      </c>
      <c r="Q12" s="2">
        <v>15232548971.074989</v>
      </c>
      <c r="R12" s="2">
        <v>14654412744.87014</v>
      </c>
      <c r="S12" s="2">
        <v>9740073407.7879601</v>
      </c>
      <c r="T12" s="2">
        <v>5386836115.8641949</v>
      </c>
      <c r="U12" s="2">
        <v>4691750196.4296703</v>
      </c>
      <c r="V12" s="2">
        <v>3612741486.2547774</v>
      </c>
      <c r="W12" s="2">
        <v>3127833464.2864451</v>
      </c>
      <c r="X12" s="2">
        <v>1876700078.5718682</v>
      </c>
      <c r="Y12" s="2">
        <v>1825072059.4103532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-4.8443221004840817E-11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192.67004507413145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3.0244191121304652E-12</v>
      </c>
      <c r="Y16" s="2">
        <f>Y5/'Output-Calculation-sheet'!Y4*'Output-Calculation-sheet'!Y22</f>
        <v>0</v>
      </c>
      <c r="AA16" s="2">
        <f t="shared" ref="AA16:AA23" si="0">SUM(B16:Y16)/1000</f>
        <v>0.19267004507408603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1533.4245836019963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1043.7250850070277</v>
      </c>
      <c r="N17" s="2">
        <f>N6/'Output-Calculation-sheet'!N5*'Output-Calculation-sheet'!N23</f>
        <v>428.04132238536522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96.208542383248712</v>
      </c>
      <c r="Y17" s="2">
        <f>Y6/'Output-Calculation-sheet'!Y5*'Output-Calculation-sheet'!Y23</f>
        <v>0</v>
      </c>
      <c r="AA17" s="2">
        <f t="shared" si="0"/>
        <v>3.1013995333776379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2058.9994115891145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1399.453207171937</v>
      </c>
      <c r="N18" s="2">
        <f>N7/'Output-Calculation-sheet'!N6*'Output-Calculation-sheet'!N24</f>
        <v>774.67774409618482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137.62596254687006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131.38296544028265</v>
      </c>
      <c r="Y18" s="2">
        <f>Y7/'Output-Calculation-sheet'!Y6*'Output-Calculation-sheet'!Y24</f>
        <v>0</v>
      </c>
      <c r="AA18" s="2">
        <f t="shared" si="0"/>
        <v>4.5021392908443891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2555.9355577070392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1750.424510254091</v>
      </c>
      <c r="N19" s="2">
        <f>N8/'Output-Calculation-sheet'!N7*'Output-Calculation-sheet'!N25</f>
        <v>1177.4146937916223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312.3038932700274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166.12192274299912</v>
      </c>
      <c r="Y19" s="2">
        <f>Y8/'Output-Calculation-sheet'!Y7*'Output-Calculation-sheet'!Y25</f>
        <v>0</v>
      </c>
      <c r="AA19" s="2">
        <f t="shared" si="0"/>
        <v>5.9622005777657785</v>
      </c>
    </row>
    <row r="20" spans="1:27" x14ac:dyDescent="0.25">
      <c r="A20" s="2">
        <v>2032</v>
      </c>
      <c r="B20" s="2">
        <f>B9/'Output-Calculation-sheet'!B8*'Output-Calculation-sheet'!B26</f>
        <v>2.8645520705787066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3028.0386394127572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2070.7847183085905</v>
      </c>
      <c r="N20" s="2">
        <f>N9/'Output-Calculation-sheet'!N8*'Output-Calculation-sheet'!N26</f>
        <v>1508.1227440046423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518.87155252839659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199.32283464645343</v>
      </c>
      <c r="Y20" s="2">
        <f>Y9/'Output-Calculation-sheet'!Y8*'Output-Calculation-sheet'!Y26</f>
        <v>0</v>
      </c>
      <c r="AA20" s="2">
        <f t="shared" si="0"/>
        <v>7.3280050409714184</v>
      </c>
    </row>
    <row r="21" spans="1:27" x14ac:dyDescent="0.25">
      <c r="A21" s="2">
        <v>2033</v>
      </c>
      <c r="B21" s="2">
        <f>B10/'Output-Calculation-sheet'!B9*'Output-Calculation-sheet'!B27</f>
        <v>4940.1944722487206</v>
      </c>
      <c r="C21" s="2">
        <f>C10/'Output-Calculation-sheet'!C9*'Output-Calculation-sheet'!C27</f>
        <v>7708.8342017267933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3458.6600721656696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2367.6302665870157</v>
      </c>
      <c r="N21" s="2">
        <f>N10/'Output-Calculation-sheet'!N9*'Output-Calculation-sheet'!N27</f>
        <v>1849.8981012925269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705.71761957769741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227.89749590721203</v>
      </c>
      <c r="Y21" s="2">
        <f>Y10/'Output-Calculation-sheet'!Y9*'Output-Calculation-sheet'!Y27</f>
        <v>0</v>
      </c>
      <c r="AA21" s="2">
        <f t="shared" si="0"/>
        <v>21.258832229505639</v>
      </c>
    </row>
    <row r="22" spans="1:27" x14ac:dyDescent="0.25">
      <c r="A22" s="2">
        <v>2034</v>
      </c>
      <c r="B22" s="2">
        <f>B11/'Output-Calculation-sheet'!B10*'Output-Calculation-sheet'!B28</f>
        <v>9147.7797905422813</v>
      </c>
      <c r="C22" s="2">
        <f>C11/'Output-Calculation-sheet'!C10*'Output-Calculation-sheet'!C28</f>
        <v>8862.6682750195323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3872.1264426020766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2650.8913732663377</v>
      </c>
      <c r="N22" s="2">
        <f>N11/'Output-Calculation-sheet'!N10*'Output-Calculation-sheet'!N28</f>
        <v>2125.7007583024297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867.14083368192667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256.83733042805949</v>
      </c>
      <c r="Y22" s="2">
        <f>Y11/'Output-Calculation-sheet'!Y10*'Output-Calculation-sheet'!Y28</f>
        <v>0</v>
      </c>
      <c r="AA22" s="2">
        <f t="shared" si="0"/>
        <v>27.783144803842642</v>
      </c>
    </row>
    <row r="23" spans="1:27" x14ac:dyDescent="0.25">
      <c r="A23" s="2">
        <v>2035</v>
      </c>
      <c r="B23" s="2">
        <f>B12/'Output-Calculation-sheet'!B11*'Output-Calculation-sheet'!B29</f>
        <v>12161.386374961457</v>
      </c>
      <c r="C23" s="2">
        <f>C12/'Output-Calculation-sheet'!C11*'Output-Calculation-sheet'!C29</f>
        <v>9965.3403999166821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4251.6537680777792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2906.1742048017113</v>
      </c>
      <c r="N23" s="2">
        <f>N12/'Output-Calculation-sheet'!N11*'Output-Calculation-sheet'!N29</f>
        <v>2375.5455801455651</v>
      </c>
      <c r="O23" s="2">
        <f>O12/'Output-Calculation-sheet'!O11*'Output-Calculation-sheet'!O29</f>
        <v>1694.3514990454241</v>
      </c>
      <c r="P23" s="2">
        <f>P12/'Output-Calculation-sheet'!P11*'Output-Calculation-sheet'!P29</f>
        <v>0</v>
      </c>
      <c r="Q23" s="2">
        <f>Q12/'Output-Calculation-sheet'!Q11*'Output-Calculation-sheet'!Q29</f>
        <v>32.423420575017232</v>
      </c>
      <c r="R23" s="2">
        <f>R12/'Output-Calculation-sheet'!R11*'Output-Calculation-sheet'!R29</f>
        <v>0</v>
      </c>
      <c r="S23" s="2">
        <f>S12/'Output-Calculation-sheet'!S11*'Output-Calculation-sheet'!S29</f>
        <v>1043.2370476923959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284.88317182685</v>
      </c>
      <c r="Y23" s="2">
        <f>Y12/'Output-Calculation-sheet'!Y11*'Output-Calculation-sheet'!Y29</f>
        <v>0</v>
      </c>
      <c r="AA23" s="2">
        <f t="shared" si="0"/>
        <v>34.714995467042876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8969.926294256602</v>
      </c>
      <c r="C27" s="2">
        <f>C5/'Output-Calculation-sheet'!C4*'Output-Calculation-sheet'!C13</f>
        <v>0</v>
      </c>
      <c r="D27" s="2">
        <f>D5/'Output-Calculation-sheet'!D4*'Output-Calculation-sheet'!D13</f>
        <v>2896.8118516387653</v>
      </c>
      <c r="E27" s="2">
        <f>E5/'Output-Calculation-sheet'!E4*'Output-Calculation-sheet'!E13</f>
        <v>2955.1996595598139</v>
      </c>
      <c r="F27" s="2">
        <f>F5/'Output-Calculation-sheet'!F4*'Output-Calculation-sheet'!F13</f>
        <v>1678.7357198057578</v>
      </c>
      <c r="G27" s="2">
        <f>G5/'Output-Calculation-sheet'!G4*'Output-Calculation-sheet'!G13</f>
        <v>1018.0627903483304</v>
      </c>
      <c r="H27" s="2">
        <f>H5/'Output-Calculation-sheet'!H4*'Output-Calculation-sheet'!H13</f>
        <v>0</v>
      </c>
      <c r="I27" s="2">
        <f>I5/'Output-Calculation-sheet'!I4*'Output-Calculation-sheet'!I13</f>
        <v>1017.3102620508267</v>
      </c>
      <c r="J27" s="2">
        <f>J5/'Output-Calculation-sheet'!J4*'Output-Calculation-sheet'!J13</f>
        <v>935.245890013289</v>
      </c>
      <c r="K27" s="2">
        <f>K5/'Output-Calculation-sheet'!K4*'Output-Calculation-sheet'!K13</f>
        <v>1140.0845893762462</v>
      </c>
      <c r="L27" s="2">
        <f>L5/'Output-Calculation-sheet'!L4*'Output-Calculation-sheet'!L13</f>
        <v>945.33125398479945</v>
      </c>
      <c r="M27" s="2">
        <f>M5/'Output-Calculation-sheet'!M4*'Output-Calculation-sheet'!M13</f>
        <v>0</v>
      </c>
      <c r="N27" s="2">
        <f>N5/'Output-Calculation-sheet'!N4*'Output-Calculation-sheet'!N13</f>
        <v>614.0689978991835</v>
      </c>
      <c r="O27" s="2">
        <f>O5/'Output-Calculation-sheet'!O4*'Output-Calculation-sheet'!O13</f>
        <v>0</v>
      </c>
      <c r="P27" s="2">
        <f>P5/'Output-Calculation-sheet'!P4*'Output-Calculation-sheet'!P13</f>
        <v>738.78330105439738</v>
      </c>
      <c r="Q27" s="2">
        <f>Q5/'Output-Calculation-sheet'!Q4*'Output-Calculation-sheet'!Q13</f>
        <v>797.01630657061492</v>
      </c>
      <c r="R27" s="2">
        <f>R5/'Output-Calculation-sheet'!R4*'Output-Calculation-sheet'!R13</f>
        <v>719.2927449293843</v>
      </c>
      <c r="S27" s="2">
        <f>S5/'Output-Calculation-sheet'!S4*'Output-Calculation-sheet'!S13</f>
        <v>431.79892974432403</v>
      </c>
      <c r="T27" s="2">
        <f>T5/'Output-Calculation-sheet'!T4*'Output-Calculation-sheet'!T13</f>
        <v>264.40956595950104</v>
      </c>
      <c r="U27" s="2">
        <f>U5/'Output-Calculation-sheet'!U4*'Output-Calculation-sheet'!U13</f>
        <v>201.9153050149969</v>
      </c>
      <c r="V27" s="2">
        <f>V5/'Output-Calculation-sheet'!V4*'Output-Calculation-sheet'!V13</f>
        <v>193.42744364782652</v>
      </c>
      <c r="W27" s="2">
        <f>W5/'Output-Calculation-sheet'!W4*'Output-Calculation-sheet'!W13</f>
        <v>135.37298936876249</v>
      </c>
      <c r="X27" s="2">
        <f>X5/'Output-Calculation-sheet'!X4*'Output-Calculation-sheet'!X13</f>
        <v>0</v>
      </c>
      <c r="Y27" s="2">
        <f>Y5/'Output-Calculation-sheet'!Y4*'Output-Calculation-sheet'!Y13</f>
        <v>88.859631842540509</v>
      </c>
      <c r="AA27" s="2">
        <f t="shared" ref="AA27:AA34" si="1">SUM(B27:Y27)/1000</f>
        <v>25.741653527065964</v>
      </c>
    </row>
    <row r="28" spans="1:27" x14ac:dyDescent="0.25">
      <c r="A28" s="2">
        <v>2029</v>
      </c>
      <c r="B28" s="2">
        <f>B6/'Output-Calculation-sheet'!B5*'Output-Calculation-sheet'!B14</f>
        <v>12779.040034731768</v>
      </c>
      <c r="C28" s="2">
        <f>C6/'Output-Calculation-sheet'!C5*'Output-Calculation-sheet'!C14</f>
        <v>0</v>
      </c>
      <c r="D28" s="2">
        <f>D6/'Output-Calculation-sheet'!D5*'Output-Calculation-sheet'!D14</f>
        <v>4065.0952735208048</v>
      </c>
      <c r="E28" s="2">
        <f>E6/'Output-Calculation-sheet'!E5*'Output-Calculation-sheet'!E14</f>
        <v>4174.4157888742584</v>
      </c>
      <c r="F28" s="2">
        <f>F6/'Output-Calculation-sheet'!F5*'Output-Calculation-sheet'!F14</f>
        <v>2353.9437307853668</v>
      </c>
      <c r="G28" s="2">
        <f>G6/'Output-Calculation-sheet'!G5*'Output-Calculation-sheet'!G14</f>
        <v>1426.1730245532369</v>
      </c>
      <c r="H28" s="2">
        <f>H6/'Output-Calculation-sheet'!H5*'Output-Calculation-sheet'!H14</f>
        <v>0</v>
      </c>
      <c r="I28" s="2">
        <f>I6/'Output-Calculation-sheet'!I5*'Output-Calculation-sheet'!I14</f>
        <v>1432.4364589543388</v>
      </c>
      <c r="J28" s="2">
        <f>J6/'Output-Calculation-sheet'!J5*'Output-Calculation-sheet'!J14</f>
        <v>1312.6817060850306</v>
      </c>
      <c r="K28" s="2">
        <f>K6/'Output-Calculation-sheet'!K5*'Output-Calculation-sheet'!K14</f>
        <v>1609.9904127531968</v>
      </c>
      <c r="L28" s="2">
        <f>L6/'Output-Calculation-sheet'!L5*'Output-Calculation-sheet'!L14</f>
        <v>1331.5230569250796</v>
      </c>
      <c r="M28" s="2">
        <f>M6/'Output-Calculation-sheet'!M5*'Output-Calculation-sheet'!M14</f>
        <v>0</v>
      </c>
      <c r="N28" s="2">
        <f>N6/'Output-Calculation-sheet'!N5*'Output-Calculation-sheet'!N14</f>
        <v>844.13572965717674</v>
      </c>
      <c r="O28" s="2">
        <f>O6/'Output-Calculation-sheet'!O5*'Output-Calculation-sheet'!O14</f>
        <v>0</v>
      </c>
      <c r="P28" s="2">
        <f>P6/'Output-Calculation-sheet'!P5*'Output-Calculation-sheet'!P14</f>
        <v>1054.2386522009647</v>
      </c>
      <c r="Q28" s="2">
        <f>Q6/'Output-Calculation-sheet'!Q5*'Output-Calculation-sheet'!Q14</f>
        <v>1144.3941278729947</v>
      </c>
      <c r="R28" s="2">
        <f>R6/'Output-Calculation-sheet'!R5*'Output-Calculation-sheet'!R14</f>
        <v>1017.5357025492629</v>
      </c>
      <c r="S28" s="2">
        <f>S6/'Output-Calculation-sheet'!S5*'Output-Calculation-sheet'!S14</f>
        <v>623.71637297207519</v>
      </c>
      <c r="T28" s="2">
        <f>T6/'Output-Calculation-sheet'!T5*'Output-Calculation-sheet'!T14</f>
        <v>372.03441370894404</v>
      </c>
      <c r="U28" s="2">
        <f>U6/'Output-Calculation-sheet'!U5*'Output-Calculation-sheet'!U14</f>
        <v>285.40284641845471</v>
      </c>
      <c r="V28" s="2">
        <f>V6/'Output-Calculation-sheet'!V5*'Output-Calculation-sheet'!V14</f>
        <v>272.98249783361518</v>
      </c>
      <c r="W28" s="2">
        <f>W6/'Output-Calculation-sheet'!W5*'Output-Calculation-sheet'!W14</f>
        <v>190.49386096810699</v>
      </c>
      <c r="X28" s="2">
        <f>X6/'Output-Calculation-sheet'!X5*'Output-Calculation-sheet'!X14</f>
        <v>0</v>
      </c>
      <c r="Y28" s="2">
        <f>Y6/'Output-Calculation-sheet'!Y5*'Output-Calculation-sheet'!Y14</f>
        <v>125.25843350925551</v>
      </c>
      <c r="AA28" s="2">
        <f t="shared" si="1"/>
        <v>36.415492124873936</v>
      </c>
    </row>
    <row r="29" spans="1:27" x14ac:dyDescent="0.25">
      <c r="A29" s="2">
        <v>2030</v>
      </c>
      <c r="B29" s="2">
        <f>B7/'Output-Calculation-sheet'!B6*'Output-Calculation-sheet'!B15</f>
        <v>16562.287039378967</v>
      </c>
      <c r="C29" s="2">
        <f>C7/'Output-Calculation-sheet'!C6*'Output-Calculation-sheet'!C15</f>
        <v>0</v>
      </c>
      <c r="D29" s="2">
        <f>D7/'Output-Calculation-sheet'!D6*'Output-Calculation-sheet'!D15</f>
        <v>5206.2880240946552</v>
      </c>
      <c r="E29" s="2">
        <f>E7/'Output-Calculation-sheet'!E6*'Output-Calculation-sheet'!E15</f>
        <v>5367.0070014605262</v>
      </c>
      <c r="F29" s="2">
        <f>F7/'Output-Calculation-sheet'!F6*'Output-Calculation-sheet'!F15</f>
        <v>3010.4370053739203</v>
      </c>
      <c r="G29" s="2">
        <f>G7/'Output-Calculation-sheet'!G6*'Output-Calculation-sheet'!G15</f>
        <v>1820.8865272024243</v>
      </c>
      <c r="H29" s="2">
        <f>H7/'Output-Calculation-sheet'!H6*'Output-Calculation-sheet'!H15</f>
        <v>0</v>
      </c>
      <c r="I29" s="2">
        <f>I7/'Output-Calculation-sheet'!I6*'Output-Calculation-sheet'!I15</f>
        <v>1834.7308492356367</v>
      </c>
      <c r="J29" s="2">
        <f>J7/'Output-Calculation-sheet'!J6*'Output-Calculation-sheet'!J15</f>
        <v>1678.3204698292923</v>
      </c>
      <c r="K29" s="2">
        <f>K7/'Output-Calculation-sheet'!K6*'Output-Calculation-sheet'!K15</f>
        <v>2066.4674589858942</v>
      </c>
      <c r="L29" s="2">
        <f>L7/'Output-Calculation-sheet'!L6*'Output-Calculation-sheet'!L15</f>
        <v>1713.24891664391</v>
      </c>
      <c r="M29" s="2">
        <f>M7/'Output-Calculation-sheet'!M6*'Output-Calculation-sheet'!M15</f>
        <v>0</v>
      </c>
      <c r="N29" s="2">
        <f>N7/'Output-Calculation-sheet'!N6*'Output-Calculation-sheet'!N15</f>
        <v>971.5239269481051</v>
      </c>
      <c r="O29" s="2">
        <f>O7/'Output-Calculation-sheet'!O6*'Output-Calculation-sheet'!O15</f>
        <v>0</v>
      </c>
      <c r="P29" s="2">
        <f>P7/'Output-Calculation-sheet'!P6*'Output-Calculation-sheet'!P15</f>
        <v>1361.9272927686075</v>
      </c>
      <c r="Q29" s="2">
        <f>Q7/'Output-Calculation-sheet'!Q6*'Output-Calculation-sheet'!Q15</f>
        <v>1487.7109373751125</v>
      </c>
      <c r="R29" s="2">
        <f>R7/'Output-Calculation-sheet'!R6*'Output-Calculation-sheet'!R15</f>
        <v>1309.9762010223048</v>
      </c>
      <c r="S29" s="2">
        <f>S7/'Output-Calculation-sheet'!S6*'Output-Calculation-sheet'!S15</f>
        <v>749.00530659750882</v>
      </c>
      <c r="T29" s="2">
        <f>T7/'Output-Calculation-sheet'!T6*'Output-Calculation-sheet'!T15</f>
        <v>477.61714626322271</v>
      </c>
      <c r="U29" s="2">
        <f>U7/'Output-Calculation-sheet'!U6*'Output-Calculation-sheet'!U15</f>
        <v>366.98735498790091</v>
      </c>
      <c r="V29" s="2">
        <f>V7/'Output-Calculation-sheet'!V6*'Output-Calculation-sheet'!V15</f>
        <v>351.27159667851555</v>
      </c>
      <c r="W29" s="2">
        <f>W7/'Output-Calculation-sheet'!W6*'Output-Calculation-sheet'!W15</f>
        <v>244.60735484863318</v>
      </c>
      <c r="X29" s="2">
        <f>X7/'Output-Calculation-sheet'!X6*'Output-Calculation-sheet'!X15</f>
        <v>0</v>
      </c>
      <c r="Y29" s="2">
        <f>Y7/'Output-Calculation-sheet'!Y6*'Output-Calculation-sheet'!Y15</f>
        <v>161.11952483526542</v>
      </c>
      <c r="AA29" s="2">
        <f t="shared" si="1"/>
        <v>46.741419934530391</v>
      </c>
    </row>
    <row r="30" spans="1:27" x14ac:dyDescent="0.25">
      <c r="A30" s="2">
        <v>2031</v>
      </c>
      <c r="B30" s="2">
        <f>B8/'Output-Calculation-sheet'!B7*'Output-Calculation-sheet'!B16</f>
        <v>20089.357192718431</v>
      </c>
      <c r="C30" s="2">
        <f>C8/'Output-Calculation-sheet'!C7*'Output-Calculation-sheet'!C16</f>
        <v>0</v>
      </c>
      <c r="D30" s="2">
        <f>D8/'Output-Calculation-sheet'!D7*'Output-Calculation-sheet'!D16</f>
        <v>6271.1746602835547</v>
      </c>
      <c r="E30" s="2">
        <f>E8/'Output-Calculation-sheet'!E7*'Output-Calculation-sheet'!E16</f>
        <v>6486.5197442821545</v>
      </c>
      <c r="F30" s="2">
        <f>F8/'Output-Calculation-sheet'!F7*'Output-Calculation-sheet'!F16</f>
        <v>3633.9935455806849</v>
      </c>
      <c r="G30" s="2">
        <f>G8/'Output-Calculation-sheet'!G7*'Output-Calculation-sheet'!G16</f>
        <v>2191.6954810239336</v>
      </c>
      <c r="H30" s="2">
        <f>H8/'Output-Calculation-sheet'!H7*'Output-Calculation-sheet'!H16</f>
        <v>0</v>
      </c>
      <c r="I30" s="2">
        <f>I8/'Output-Calculation-sheet'!I7*'Output-Calculation-sheet'!I16</f>
        <v>2218.239120230664</v>
      </c>
      <c r="J30" s="2">
        <f>J8/'Output-Calculation-sheet'!J7*'Output-Calculation-sheet'!J16</f>
        <v>2024.7100626704932</v>
      </c>
      <c r="K30" s="2">
        <f>K8/'Output-Calculation-sheet'!K7*'Output-Calculation-sheet'!K16</f>
        <v>2504.0160374560569</v>
      </c>
      <c r="L30" s="2">
        <f>L8/'Output-Calculation-sheet'!L7*'Output-Calculation-sheet'!L16</f>
        <v>2066.4673046627363</v>
      </c>
      <c r="M30" s="2">
        <f>M8/'Output-Calculation-sheet'!M7*'Output-Calculation-sheet'!M16</f>
        <v>0</v>
      </c>
      <c r="N30" s="2">
        <f>N8/'Output-Calculation-sheet'!N7*'Output-Calculation-sheet'!N16</f>
        <v>1013.9241380710569</v>
      </c>
      <c r="O30" s="2">
        <f>O8/'Output-Calculation-sheet'!O7*'Output-Calculation-sheet'!O16</f>
        <v>0</v>
      </c>
      <c r="P30" s="2">
        <f>P8/'Output-Calculation-sheet'!P7*'Output-Calculation-sheet'!P16</f>
        <v>1647.0717826178945</v>
      </c>
      <c r="Q30" s="2">
        <f>Q8/'Output-Calculation-sheet'!Q7*'Output-Calculation-sheet'!Q16</f>
        <v>1806.5595057760775</v>
      </c>
      <c r="R30" s="2">
        <f>R8/'Output-Calculation-sheet'!R7*'Output-Calculation-sheet'!R16</f>
        <v>1582.7812786206148</v>
      </c>
      <c r="S30" s="2">
        <f>S8/'Output-Calculation-sheet'!S7*'Output-Calculation-sheet'!S16</f>
        <v>845.26412623588556</v>
      </c>
      <c r="T30" s="2">
        <f>T8/'Output-Calculation-sheet'!T7*'Output-Calculation-sheet'!T16</f>
        <v>577.43108113199116</v>
      </c>
      <c r="U30" s="2">
        <f>U8/'Output-Calculation-sheet'!U7*'Output-Calculation-sheet'!U16</f>
        <v>443.79690275998024</v>
      </c>
      <c r="V30" s="2">
        <f>V8/'Output-Calculation-sheet'!V7*'Output-Calculation-sheet'!V16</f>
        <v>424.97394158232396</v>
      </c>
      <c r="W30" s="2">
        <f>W8/'Output-Calculation-sheet'!W7*'Output-Calculation-sheet'!W16</f>
        <v>295.03208200662982</v>
      </c>
      <c r="X30" s="2">
        <f>X8/'Output-Calculation-sheet'!X7*'Output-Calculation-sheet'!X16</f>
        <v>0</v>
      </c>
      <c r="Y30" s="2">
        <f>Y8/'Output-Calculation-sheet'!Y7*'Output-Calculation-sheet'!Y16</f>
        <v>195.04762954539953</v>
      </c>
      <c r="AA30" s="2">
        <f t="shared" si="1"/>
        <v>56.318055617256555</v>
      </c>
    </row>
    <row r="31" spans="1:27" x14ac:dyDescent="0.25">
      <c r="A31" s="2">
        <v>2032</v>
      </c>
      <c r="B31" s="2">
        <f>B9/'Output-Calculation-sheet'!B8*'Output-Calculation-sheet'!B17</f>
        <v>23324.485027774819</v>
      </c>
      <c r="C31" s="2">
        <f>C9/'Output-Calculation-sheet'!C8*'Output-Calculation-sheet'!C17</f>
        <v>0</v>
      </c>
      <c r="D31" s="2">
        <f>D9/'Output-Calculation-sheet'!D8*'Output-Calculation-sheet'!D17</f>
        <v>7231.0811786746799</v>
      </c>
      <c r="E31" s="2">
        <f>E9/'Output-Calculation-sheet'!E8*'Output-Calculation-sheet'!E17</f>
        <v>7488.6091859951048</v>
      </c>
      <c r="F31" s="2">
        <f>F9/'Output-Calculation-sheet'!F8*'Output-Calculation-sheet'!F17</f>
        <v>4183.5833772395808</v>
      </c>
      <c r="G31" s="2">
        <f>G9/'Output-Calculation-sheet'!G8*'Output-Calculation-sheet'!G17</f>
        <v>2522.0309139198735</v>
      </c>
      <c r="H31" s="2">
        <f>H9/'Output-Calculation-sheet'!H8*'Output-Calculation-sheet'!H17</f>
        <v>0</v>
      </c>
      <c r="I31" s="2">
        <f>I9/'Output-Calculation-sheet'!I8*'Output-Calculation-sheet'!I17</f>
        <v>2557.0286924999027</v>
      </c>
      <c r="J31" s="2">
        <f>J9/'Output-Calculation-sheet'!J8*'Output-Calculation-sheet'!J17</f>
        <v>2332.1801071370296</v>
      </c>
      <c r="K31" s="2">
        <f>K9/'Output-Calculation-sheet'!K8*'Output-Calculation-sheet'!K17</f>
        <v>2888.8247502259569</v>
      </c>
      <c r="L31" s="2">
        <f>L9/'Output-Calculation-sheet'!L8*'Output-Calculation-sheet'!L17</f>
        <v>2384.6812410916277</v>
      </c>
      <c r="M31" s="2">
        <f>M9/'Output-Calculation-sheet'!M8*'Output-Calculation-sheet'!M17</f>
        <v>0</v>
      </c>
      <c r="N31" s="2">
        <f>N9/'Output-Calculation-sheet'!N8*'Output-Calculation-sheet'!N17</f>
        <v>1054.8445153720343</v>
      </c>
      <c r="O31" s="2">
        <f>O9/'Output-Calculation-sheet'!O8*'Output-Calculation-sheet'!O17</f>
        <v>0</v>
      </c>
      <c r="P31" s="2">
        <f>P9/'Output-Calculation-sheet'!P8*'Output-Calculation-sheet'!P17</f>
        <v>1918.4032101262894</v>
      </c>
      <c r="Q31" s="2">
        <f>Q9/'Output-Calculation-sheet'!Q8*'Output-Calculation-sheet'!Q17</f>
        <v>2102.388751313154</v>
      </c>
      <c r="R31" s="2">
        <f>R9/'Output-Calculation-sheet'!R8*'Output-Calculation-sheet'!R17</f>
        <v>1825.4144971653564</v>
      </c>
      <c r="S31" s="2">
        <f>S9/'Output-Calculation-sheet'!S8*'Output-Calculation-sheet'!S17</f>
        <v>910.79082088452913</v>
      </c>
      <c r="T31" s="2">
        <f>T9/'Output-Calculation-sheet'!T8*'Output-Calculation-sheet'!T17</f>
        <v>665.19867590681008</v>
      </c>
      <c r="U31" s="2">
        <f>U9/'Output-Calculation-sheet'!U8*'Output-Calculation-sheet'!U17</f>
        <v>513.03357960462029</v>
      </c>
      <c r="V31" s="2">
        <f>V9/'Output-Calculation-sheet'!V8*'Output-Calculation-sheet'!V17</f>
        <v>491.63784952722051</v>
      </c>
      <c r="W31" s="2">
        <f>W9/'Output-Calculation-sheet'!W8*'Output-Calculation-sheet'!W17</f>
        <v>340.43784282063331</v>
      </c>
      <c r="X31" s="2">
        <f>X9/'Output-Calculation-sheet'!X8*'Output-Calculation-sheet'!X17</f>
        <v>0</v>
      </c>
      <c r="Y31" s="2">
        <f>Y9/'Output-Calculation-sheet'!Y8*'Output-Calculation-sheet'!Y17</f>
        <v>225.06315864926191</v>
      </c>
      <c r="AA31" s="2">
        <f t="shared" si="1"/>
        <v>64.959717375928477</v>
      </c>
    </row>
    <row r="32" spans="1:27" x14ac:dyDescent="0.25">
      <c r="A32" s="2">
        <v>2033</v>
      </c>
      <c r="B32" s="2">
        <f>B10/'Output-Calculation-sheet'!B9*'Output-Calculation-sheet'!B18</f>
        <v>24108.506696153461</v>
      </c>
      <c r="C32" s="2">
        <f>C10/'Output-Calculation-sheet'!C9*'Output-Calculation-sheet'!C18</f>
        <v>0</v>
      </c>
      <c r="D32" s="2">
        <f>D10/'Output-Calculation-sheet'!D9*'Output-Calculation-sheet'!D18</f>
        <v>8048.4859625428307</v>
      </c>
      <c r="E32" s="2">
        <f>E10/'Output-Calculation-sheet'!E9*'Output-Calculation-sheet'!E18</f>
        <v>8334.3928597053018</v>
      </c>
      <c r="F32" s="2">
        <f>F10/'Output-Calculation-sheet'!F9*'Output-Calculation-sheet'!F18</f>
        <v>4655.3025734663979</v>
      </c>
      <c r="G32" s="2">
        <f>G10/'Output-Calculation-sheet'!G9*'Output-Calculation-sheet'!G18</f>
        <v>2807.6848253027329</v>
      </c>
      <c r="H32" s="2">
        <f>H10/'Output-Calculation-sheet'!H9*'Output-Calculation-sheet'!H18</f>
        <v>0</v>
      </c>
      <c r="I32" s="2">
        <f>I10/'Output-Calculation-sheet'!I9*'Output-Calculation-sheet'!I18</f>
        <v>2846.3148719980045</v>
      </c>
      <c r="J32" s="2">
        <f>J10/'Output-Calculation-sheet'!J9*'Output-Calculation-sheet'!J18</f>
        <v>2595.9954529372317</v>
      </c>
      <c r="K32" s="2">
        <f>K10/'Output-Calculation-sheet'!K9*'Output-Calculation-sheet'!K18</f>
        <v>3222.9680286895077</v>
      </c>
      <c r="L32" s="2">
        <f>L10/'Output-Calculation-sheet'!L9*'Output-Calculation-sheet'!L18</f>
        <v>2656.1385675388051</v>
      </c>
      <c r="M32" s="2">
        <f>M10/'Output-Calculation-sheet'!M9*'Output-Calculation-sheet'!M18</f>
        <v>0</v>
      </c>
      <c r="N32" s="2">
        <f>N10/'Output-Calculation-sheet'!N9*'Output-Calculation-sheet'!N18</f>
        <v>1051.3356211268235</v>
      </c>
      <c r="O32" s="2">
        <f>O10/'Output-Calculation-sheet'!O9*'Output-Calculation-sheet'!O18</f>
        <v>0</v>
      </c>
      <c r="P32" s="2">
        <f>P10/'Output-Calculation-sheet'!P9*'Output-Calculation-sheet'!P18</f>
        <v>2151.0721061451604</v>
      </c>
      <c r="Q32" s="2">
        <f>Q10/'Output-Calculation-sheet'!Q9*'Output-Calculation-sheet'!Q18</f>
        <v>2359.1548608537955</v>
      </c>
      <c r="R32" s="2">
        <f>R10/'Output-Calculation-sheet'!R9*'Output-Calculation-sheet'!R18</f>
        <v>2037.7262683103049</v>
      </c>
      <c r="S32" s="2">
        <f>S10/'Output-Calculation-sheet'!S9*'Output-Calculation-sheet'!S18</f>
        <v>948.49389115202325</v>
      </c>
      <c r="T32" s="2">
        <f>T10/'Output-Calculation-sheet'!T9*'Output-Calculation-sheet'!T18</f>
        <v>741.2166743274297</v>
      </c>
      <c r="U32" s="2">
        <f>U10/'Output-Calculation-sheet'!U9*'Output-Calculation-sheet'!U18</f>
        <v>571.6427039503684</v>
      </c>
      <c r="V32" s="2">
        <f>V10/'Output-Calculation-sheet'!V9*'Output-Calculation-sheet'!V18</f>
        <v>548.39752242442273</v>
      </c>
      <c r="W32" s="2">
        <f>W10/'Output-Calculation-sheet'!W9*'Output-Calculation-sheet'!W18</f>
        <v>378.40726997352118</v>
      </c>
      <c r="X32" s="2">
        <f>X10/'Output-Calculation-sheet'!X9*'Output-Calculation-sheet'!X18</f>
        <v>0</v>
      </c>
      <c r="Y32" s="2">
        <f>Y10/'Output-Calculation-sheet'!Y9*'Output-Calculation-sheet'!Y18</f>
        <v>250.90377629141295</v>
      </c>
      <c r="AA32" s="2">
        <f t="shared" si="1"/>
        <v>70.314140532889539</v>
      </c>
    </row>
    <row r="33" spans="1:27" x14ac:dyDescent="0.25">
      <c r="A33" s="2">
        <v>2034</v>
      </c>
      <c r="B33" s="2">
        <f>B11/'Output-Calculation-sheet'!B10*'Output-Calculation-sheet'!B19</f>
        <v>24752.448220394555</v>
      </c>
      <c r="C33" s="2">
        <f>C11/'Output-Calculation-sheet'!C10*'Output-Calculation-sheet'!C19</f>
        <v>0</v>
      </c>
      <c r="D33" s="2">
        <f>D11/'Output-Calculation-sheet'!D10*'Output-Calculation-sheet'!D19</f>
        <v>8751.9653345626411</v>
      </c>
      <c r="E33" s="2">
        <f>E11/'Output-Calculation-sheet'!E10*'Output-Calculation-sheet'!E19</f>
        <v>9084.2264570868665</v>
      </c>
      <c r="F33" s="2">
        <f>F11/'Output-Calculation-sheet'!F10*'Output-Calculation-sheet'!F19</f>
        <v>5064.7897250217447</v>
      </c>
      <c r="G33" s="2">
        <f>G11/'Output-Calculation-sheet'!G10*'Output-Calculation-sheet'!G19</f>
        <v>3049.8659737108133</v>
      </c>
      <c r="H33" s="2">
        <f>H11/'Output-Calculation-sheet'!H10*'Output-Calculation-sheet'!H19</f>
        <v>0</v>
      </c>
      <c r="I33" s="2">
        <f>I11/'Output-Calculation-sheet'!I10*'Output-Calculation-sheet'!I19</f>
        <v>3106.2916534637361</v>
      </c>
      <c r="J33" s="2">
        <f>J11/'Output-Calculation-sheet'!J10*'Output-Calculation-sheet'!J19</f>
        <v>2823.0912233637719</v>
      </c>
      <c r="K33" s="2">
        <f>K11/'Output-Calculation-sheet'!K10*'Output-Calculation-sheet'!K19</f>
        <v>3516.3473980718691</v>
      </c>
      <c r="L33" s="2">
        <f>L11/'Output-Calculation-sheet'!L10*'Output-Calculation-sheet'!L19</f>
        <v>2892.1487627210872</v>
      </c>
      <c r="M33" s="2">
        <f>M11/'Output-Calculation-sheet'!M10*'Output-Calculation-sheet'!M19</f>
        <v>0</v>
      </c>
      <c r="N33" s="2">
        <f>N11/'Output-Calculation-sheet'!N10*'Output-Calculation-sheet'!N19</f>
        <v>1071.7748884072639</v>
      </c>
      <c r="O33" s="2">
        <f>O11/'Output-Calculation-sheet'!O10*'Output-Calculation-sheet'!O19</f>
        <v>0</v>
      </c>
      <c r="P33" s="2">
        <f>P11/'Output-Calculation-sheet'!P10*'Output-Calculation-sheet'!P19</f>
        <v>2357.3675186771575</v>
      </c>
      <c r="Q33" s="2">
        <f>Q11/'Output-Calculation-sheet'!Q10*'Output-Calculation-sheet'!Q19</f>
        <v>2589.8098235487973</v>
      </c>
      <c r="R33" s="2">
        <f>R11/'Output-Calculation-sheet'!R10*'Output-Calculation-sheet'!R19</f>
        <v>2222.4792559282359</v>
      </c>
      <c r="S33" s="2">
        <f>S11/'Output-Calculation-sheet'!S10*'Output-Calculation-sheet'!S19</f>
        <v>1025.0409732410412</v>
      </c>
      <c r="T33" s="2">
        <f>T11/'Output-Calculation-sheet'!T10*'Output-Calculation-sheet'!T19</f>
        <v>807.66700424213991</v>
      </c>
      <c r="U33" s="2">
        <f>U11/'Output-Calculation-sheet'!U10*'Output-Calculation-sheet'!U19</f>
        <v>624.99653552933239</v>
      </c>
      <c r="V33" s="2">
        <f>V11/'Output-Calculation-sheet'!V10*'Output-Calculation-sheet'!V19</f>
        <v>599.16290487472168</v>
      </c>
      <c r="W33" s="2">
        <f>W11/'Output-Calculation-sheet'!W10*'Output-Calculation-sheet'!W19</f>
        <v>411.64826188797133</v>
      </c>
      <c r="X33" s="2">
        <f>X11/'Output-Calculation-sheet'!X10*'Output-Calculation-sheet'!X19</f>
        <v>0</v>
      </c>
      <c r="Y33" s="2">
        <f>Y11/'Output-Calculation-sheet'!Y10*'Output-Calculation-sheet'!Y19</f>
        <v>273.31861875763576</v>
      </c>
      <c r="AA33" s="2">
        <f t="shared" si="1"/>
        <v>75.024440533491386</v>
      </c>
    </row>
    <row r="34" spans="1:27" x14ac:dyDescent="0.25">
      <c r="A34" s="2">
        <v>2035</v>
      </c>
      <c r="B34" s="2">
        <f>B12/'Output-Calculation-sheet'!B11*'Output-Calculation-sheet'!B20</f>
        <v>25420.34912617406</v>
      </c>
      <c r="C34" s="2">
        <f>C12/'Output-Calculation-sheet'!C11*'Output-Calculation-sheet'!C20</f>
        <v>0</v>
      </c>
      <c r="D34" s="2">
        <f>D12/'Output-Calculation-sheet'!D11*'Output-Calculation-sheet'!D20</f>
        <v>9401.2472687216632</v>
      </c>
      <c r="E34" s="2">
        <f>E12/'Output-Calculation-sheet'!E11*'Output-Calculation-sheet'!E20</f>
        <v>9754.1495161177991</v>
      </c>
      <c r="F34" s="2">
        <f>F12/'Output-Calculation-sheet'!F11*'Output-Calculation-sheet'!F20</f>
        <v>5430.3276141354681</v>
      </c>
      <c r="G34" s="2">
        <f>G12/'Output-Calculation-sheet'!G11*'Output-Calculation-sheet'!G20</f>
        <v>3262.7765144059636</v>
      </c>
      <c r="H34" s="2">
        <f>H12/'Output-Calculation-sheet'!H11*'Output-Calculation-sheet'!H20</f>
        <v>0</v>
      </c>
      <c r="I34" s="2">
        <f>I12/'Output-Calculation-sheet'!I11*'Output-Calculation-sheet'!I20</f>
        <v>3332.570620324007</v>
      </c>
      <c r="J34" s="2">
        <f>J12/'Output-Calculation-sheet'!J11*'Output-Calculation-sheet'!J20</f>
        <v>3018.2230145274175</v>
      </c>
      <c r="K34" s="2">
        <f>K12/'Output-Calculation-sheet'!K11*'Output-Calculation-sheet'!K20</f>
        <v>3775.6253552051721</v>
      </c>
      <c r="L34" s="2">
        <f>L12/'Output-Calculation-sheet'!L11*'Output-Calculation-sheet'!L20</f>
        <v>3100.02796694987</v>
      </c>
      <c r="M34" s="2">
        <f>M12/'Output-Calculation-sheet'!M11*'Output-Calculation-sheet'!M20</f>
        <v>0</v>
      </c>
      <c r="N34" s="2">
        <f>N12/'Output-Calculation-sheet'!N11*'Output-Calculation-sheet'!N20</f>
        <v>1090.6261308469873</v>
      </c>
      <c r="O34" s="2">
        <f>O12/'Output-Calculation-sheet'!O11*'Output-Calculation-sheet'!O20</f>
        <v>0</v>
      </c>
      <c r="P34" s="2">
        <f>P12/'Output-Calculation-sheet'!P11*'Output-Calculation-sheet'!P20</f>
        <v>2545.5840455145394</v>
      </c>
      <c r="Q34" s="2">
        <f>Q12/'Output-Calculation-sheet'!Q11*'Output-Calculation-sheet'!Q20</f>
        <v>2791.3302562529748</v>
      </c>
      <c r="R34" s="2">
        <f>R12/'Output-Calculation-sheet'!R11*'Output-Calculation-sheet'!R20</f>
        <v>2393.5877053113563</v>
      </c>
      <c r="S34" s="2">
        <f>S12/'Output-Calculation-sheet'!S11*'Output-Calculation-sheet'!S20</f>
        <v>1029.3529107656407</v>
      </c>
      <c r="T34" s="2">
        <f>T12/'Output-Calculation-sheet'!T11*'Output-Calculation-sheet'!T20</f>
        <v>866.39142947141863</v>
      </c>
      <c r="U34" s="2">
        <f>U12/'Output-Calculation-sheet'!U11*'Output-Calculation-sheet'!U20</f>
        <v>672.04149475286602</v>
      </c>
      <c r="V34" s="2">
        <f>V12/'Output-Calculation-sheet'!V11*'Output-Calculation-sheet'!V20</f>
        <v>645.41032374515532</v>
      </c>
      <c r="W34" s="2">
        <f>W12/'Output-Calculation-sheet'!W11*'Output-Calculation-sheet'!W20</f>
        <v>441.03173654397972</v>
      </c>
      <c r="X34" s="2">
        <f>X12/'Output-Calculation-sheet'!X11*'Output-Calculation-sheet'!X20</f>
        <v>0</v>
      </c>
      <c r="Y34" s="2">
        <f>Y12/'Output-Calculation-sheet'!Y11*'Output-Calculation-sheet'!Y20</f>
        <v>293.59512725761169</v>
      </c>
      <c r="AA34" s="2">
        <f t="shared" si="1"/>
        <v>79.264248157023914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3.0060100137761712</v>
      </c>
      <c r="C60" s="2">
        <f>C5*'Output-Calculation-sheet'!C49/10^9</f>
        <v>1.4212243978640822</v>
      </c>
      <c r="D60" s="2">
        <f>D5*'Output-Calculation-sheet'!D49/10^9</f>
        <v>0.66302434956235889</v>
      </c>
      <c r="E60" s="2">
        <f>E5*'Output-Calculation-sheet'!E49/10^9</f>
        <v>0.73632194821515551</v>
      </c>
      <c r="F60" s="2">
        <f>F5*'Output-Calculation-sheet'!F49/10^9</f>
        <v>0.34183244001444207</v>
      </c>
      <c r="G60" s="2">
        <f>G5*'Output-Calculation-sheet'!G49/10^9</f>
        <v>0.23545133291989423</v>
      </c>
      <c r="H60" s="2">
        <f>H5*'Output-Calculation-sheet'!H49/10^9</f>
        <v>0.44341104576312135</v>
      </c>
      <c r="I60" s="2">
        <f>I5*'Output-Calculation-sheet'!I49/10^9</f>
        <v>0.23244510856491585</v>
      </c>
      <c r="J60" s="2">
        <f>J5*'Output-Calculation-sheet'!J49/10^9</f>
        <v>0.20990640795155396</v>
      </c>
      <c r="K60" s="2">
        <f>K5*'Output-Calculation-sheet'!K49/10^9</f>
        <v>0.27057590198789888</v>
      </c>
      <c r="L60" s="2">
        <f>L5*'Output-Calculation-sheet'!L49/10^9</f>
        <v>0.22352872589046338</v>
      </c>
      <c r="M60" s="2">
        <f>M5*'Output-Calculation-sheet'!M49/10^9</f>
        <v>0.30591492868909198</v>
      </c>
      <c r="N60" s="2">
        <f>N5*'Output-Calculation-sheet'!N49/10^9</f>
        <v>0.31973718599438178</v>
      </c>
      <c r="O60" s="2">
        <f>O5*'Output-Calculation-sheet'!O49/10^9</f>
        <v>0.27614511467731345</v>
      </c>
      <c r="P60" s="2">
        <f>P5*'Output-Calculation-sheet'!P49/10^9</f>
        <v>0.23577878328658511</v>
      </c>
      <c r="Q60" s="2">
        <f>Q5*'Output-Calculation-sheet'!Q49/10^9</f>
        <v>0.24339250005258106</v>
      </c>
      <c r="R60" s="2">
        <f>R5*'Output-Calculation-sheet'!R49/10^9</f>
        <v>0.19506400726475606</v>
      </c>
      <c r="S60" s="2">
        <f>S5*'Output-Calculation-sheet'!S49/10^9</f>
        <v>0.17894048649759606</v>
      </c>
      <c r="T60" s="2">
        <f>T5*'Output-Calculation-sheet'!T49/10^9</f>
        <v>6.1199005265985831E-2</v>
      </c>
      <c r="U60" s="2">
        <f>U5*'Output-Calculation-sheet'!U49/10^9</f>
        <v>6.1157223242074898E-2</v>
      </c>
      <c r="V60" s="2">
        <f>V5*'Output-Calculation-sheet'!V49/10^9</f>
        <v>4.5795211674809592E-2</v>
      </c>
      <c r="W60" s="2">
        <f>W5*'Output-Calculation-sheet'!W49/10^9</f>
        <v>2.8713763581913399E-2</v>
      </c>
      <c r="X60" s="2">
        <f>X5*'Output-Calculation-sheet'!X49/10^9</f>
        <v>3.6143545706913818E-2</v>
      </c>
      <c r="Y60" s="2">
        <f>Y5*'Output-Calculation-sheet'!Y49/10^9</f>
        <v>2.3890595406720935E-2</v>
      </c>
      <c r="AA60" s="2">
        <f t="shared" ref="AA60:AA67" si="4">SUM(B60:Y60)</f>
        <v>9.79560402385078</v>
      </c>
    </row>
    <row r="61" spans="1:27" x14ac:dyDescent="0.25">
      <c r="A61" s="2">
        <v>2029</v>
      </c>
      <c r="B61" s="2">
        <f>B6*'Output-Calculation-sheet'!B50/10^9</f>
        <v>4.1574906383255188</v>
      </c>
      <c r="C61" s="2">
        <f>C6*'Output-Calculation-sheet'!C50/10^9</f>
        <v>1.9793042382945278</v>
      </c>
      <c r="D61" s="2">
        <f>D6*'Output-Calculation-sheet'!D50/10^9</f>
        <v>0.91410544082879996</v>
      </c>
      <c r="E61" s="2">
        <f>E6*'Output-Calculation-sheet'!E50/10^9</f>
        <v>1.0159646282404968</v>
      </c>
      <c r="F61" s="2">
        <f>F6*'Output-Calculation-sheet'!F50/10^9</f>
        <v>0.47069186001195856</v>
      </c>
      <c r="G61" s="2">
        <f>G6*'Output-Calculation-sheet'!G50/10^9</f>
        <v>0.32465289573759615</v>
      </c>
      <c r="H61" s="2">
        <f>H6*'Output-Calculation-sheet'!H50/10^9</f>
        <v>0.6135459540727739</v>
      </c>
      <c r="I61" s="2">
        <f>I6*'Output-Calculation-sheet'!I50/10^9</f>
        <v>0.32046032210889397</v>
      </c>
      <c r="J61" s="2">
        <f>J6*'Output-Calculation-sheet'!J50/10^9</f>
        <v>0.28933705547889588</v>
      </c>
      <c r="K61" s="2">
        <f>K6*'Output-Calculation-sheet'!K50/10^9</f>
        <v>0.37316510714666096</v>
      </c>
      <c r="L61" s="2">
        <f>L6*'Output-Calculation-sheet'!L50/10^9</f>
        <v>0.30827540981472162</v>
      </c>
      <c r="M61" s="2">
        <f>M6*'Output-Calculation-sheet'!M50/10^9</f>
        <v>0.4238528592022317</v>
      </c>
      <c r="N61" s="2">
        <f>N6*'Output-Calculation-sheet'!N50/10^9</f>
        <v>0.4421779470167016</v>
      </c>
      <c r="O61" s="2">
        <f>O6*'Output-Calculation-sheet'!O50/10^9</f>
        <v>0.38458050444853559</v>
      </c>
      <c r="P61" s="2">
        <f>P6*'Output-Calculation-sheet'!P50/10^9</f>
        <v>0.32597901717145639</v>
      </c>
      <c r="Q61" s="2">
        <f>Q6*'Output-Calculation-sheet'!Q50/10^9</f>
        <v>0.336386683799411</v>
      </c>
      <c r="R61" s="2">
        <f>R6*'Output-Calculation-sheet'!R50/10^9</f>
        <v>0.26934955662443572</v>
      </c>
      <c r="S61" s="2">
        <f>S6*'Output-Calculation-sheet'!S50/10^9</f>
        <v>0.24780508547046071</v>
      </c>
      <c r="T61" s="2">
        <f>T6*'Output-Calculation-sheet'!T50/10^9</f>
        <v>8.4382792647610796E-2</v>
      </c>
      <c r="U61" s="2">
        <f>U6*'Output-Calculation-sheet'!U50/10^9</f>
        <v>8.4523629867882644E-2</v>
      </c>
      <c r="V61" s="2">
        <f>V6*'Output-Calculation-sheet'!V50/10^9</f>
        <v>6.3157805943707082E-2</v>
      </c>
      <c r="W61" s="2">
        <f>W6*'Output-Calculation-sheet'!W50/10^9</f>
        <v>3.9554852242881564E-2</v>
      </c>
      <c r="X61" s="2">
        <f>X6*'Output-Calculation-sheet'!X50/10^9</f>
        <v>5.0302010066648833E-2</v>
      </c>
      <c r="Y61" s="2">
        <f>Y6*'Output-Calculation-sheet'!Y50/10^9</f>
        <v>3.2986822304259922E-2</v>
      </c>
      <c r="AA61" s="2">
        <f t="shared" si="4"/>
        <v>13.552033116867067</v>
      </c>
    </row>
    <row r="62" spans="1:27" x14ac:dyDescent="0.25">
      <c r="A62" s="2">
        <v>2030</v>
      </c>
      <c r="B62" s="2">
        <f>B7*'Output-Calculation-sheet'!B51/10^9</f>
        <v>5.2363852698385802</v>
      </c>
      <c r="C62" s="2">
        <f>C7*'Output-Calculation-sheet'!C51/10^9</f>
        <v>2.5107953431126679</v>
      </c>
      <c r="D62" s="2">
        <f>D7*'Output-Calculation-sheet'!D51/10^9</f>
        <v>1.1477123874586215</v>
      </c>
      <c r="E62" s="2">
        <f>E7*'Output-Calculation-sheet'!E51/10^9</f>
        <v>1.2765701129862965</v>
      </c>
      <c r="F62" s="2">
        <f>F7*'Output-Calculation-sheet'!F51/10^9</f>
        <v>0.59022230560172029</v>
      </c>
      <c r="G62" s="2">
        <f>G7*'Output-Calculation-sheet'!G51/10^9</f>
        <v>0.40767492276770367</v>
      </c>
      <c r="H62" s="2">
        <f>H7*'Output-Calculation-sheet'!H51/10^9</f>
        <v>0.77177989645846179</v>
      </c>
      <c r="I62" s="2">
        <f>I7*'Output-Calculation-sheet'!I51/10^9</f>
        <v>0.40233240717884367</v>
      </c>
      <c r="J62" s="2">
        <f>J7*'Output-Calculation-sheet'!J51/10^9</f>
        <v>0.36320326501551942</v>
      </c>
      <c r="K62" s="2">
        <f>K7*'Output-Calculation-sheet'!K51/10^9</f>
        <v>0.46866829305403573</v>
      </c>
      <c r="L62" s="2">
        <f>L7*'Output-Calculation-sheet'!L51/10^9</f>
        <v>0.38716382242139352</v>
      </c>
      <c r="M62" s="2">
        <f>M7*'Output-Calculation-sheet'!M51/10^9</f>
        <v>0.53317270787262949</v>
      </c>
      <c r="N62" s="2">
        <f>N7*'Output-Calculation-sheet'!N51/10^9</f>
        <v>0.5563167087305495</v>
      </c>
      <c r="O62" s="2">
        <f>O7*'Output-Calculation-sheet'!O51/10^9</f>
        <v>0.48784968017514974</v>
      </c>
      <c r="P62" s="2">
        <f>P7*'Output-Calculation-sheet'!P51/10^9</f>
        <v>0.41042730938946942</v>
      </c>
      <c r="Q62" s="2">
        <f>Q7*'Output-Calculation-sheet'!Q51/10^9</f>
        <v>0.42335188570084159</v>
      </c>
      <c r="R62" s="2">
        <f>R7*'Output-Calculation-sheet'!R51/10^9</f>
        <v>0.33870217906158329</v>
      </c>
      <c r="S62" s="2">
        <f>S7*'Output-Calculation-sheet'!S51/10^9</f>
        <v>0.31236743854143306</v>
      </c>
      <c r="T62" s="2">
        <f>T7*'Output-Calculation-sheet'!T51/10^9</f>
        <v>0.10595529737545947</v>
      </c>
      <c r="U62" s="2">
        <f>U7*'Output-Calculation-sheet'!U51/10^9</f>
        <v>0.10638579957255417</v>
      </c>
      <c r="V62" s="2">
        <f>V7*'Output-Calculation-sheet'!V51/10^9</f>
        <v>7.9318377965394843E-2</v>
      </c>
      <c r="W62" s="2">
        <f>W7*'Output-Calculation-sheet'!W51/10^9</f>
        <v>4.9619304073846966E-2</v>
      </c>
      <c r="X62" s="2">
        <f>X7*'Output-Calculation-sheet'!X51/10^9</f>
        <v>6.3341017813370981E-2</v>
      </c>
      <c r="Y62" s="2">
        <f>Y7*'Output-Calculation-sheet'!Y51/10^9</f>
        <v>4.1478545875218015E-2</v>
      </c>
      <c r="AA62" s="2">
        <f t="shared" si="4"/>
        <v>17.070794278041344</v>
      </c>
    </row>
    <row r="63" spans="1:27" x14ac:dyDescent="0.25">
      <c r="A63" s="2">
        <v>2031</v>
      </c>
      <c r="B63" s="2">
        <f>B8*'Output-Calculation-sheet'!B52/10^9</f>
        <v>6.2649179791148626</v>
      </c>
      <c r="C63" s="2">
        <f>C8*'Output-Calculation-sheet'!C52/10^9</f>
        <v>3.0145433355096833</v>
      </c>
      <c r="D63" s="2">
        <f>D8*'Output-Calculation-sheet'!D52/10^9</f>
        <v>1.3710652157629928</v>
      </c>
      <c r="E63" s="2">
        <f>E8*'Output-Calculation-sheet'!E52/10^9</f>
        <v>1.5255490252716501</v>
      </c>
      <c r="F63" s="2">
        <f>F8*'Output-Calculation-sheet'!F52/10^9</f>
        <v>0.70463813083989135</v>
      </c>
      <c r="G63" s="2">
        <f>G8*'Output-Calculation-sheet'!G52/10^9</f>
        <v>0.48705013623804932</v>
      </c>
      <c r="H63" s="2">
        <f>H8*'Output-Calculation-sheet'!H52/10^9</f>
        <v>0.91840514720957545</v>
      </c>
      <c r="I63" s="2">
        <f>I8*'Output-Calculation-sheet'!I52/10^9</f>
        <v>0.480611915872248</v>
      </c>
      <c r="J63" s="2">
        <f>J8*'Output-Calculation-sheet'!J52/10^9</f>
        <v>0.43384136982500515</v>
      </c>
      <c r="K63" s="2">
        <f>K8*'Output-Calculation-sheet'!K52/10^9</f>
        <v>0.55994525206905954</v>
      </c>
      <c r="L63" s="2">
        <f>L8*'Output-Calculation-sheet'!L52/10^9</f>
        <v>0.46256550112755535</v>
      </c>
      <c r="M63" s="2">
        <f>M8*'Output-Calculation-sheet'!M52/10^9</f>
        <v>0.63451059714483116</v>
      </c>
      <c r="N63" s="2">
        <f>N8*'Output-Calculation-sheet'!N52/10^9</f>
        <v>0.66318890586485124</v>
      </c>
      <c r="O63" s="2">
        <f>O8*'Output-Calculation-sheet'!O52/10^9</f>
        <v>0.5857283454570017</v>
      </c>
      <c r="P63" s="2">
        <f>P8*'Output-Calculation-sheet'!P52/10^9</f>
        <v>0.49096019622922971</v>
      </c>
      <c r="Q63" s="2">
        <f>Q8*'Output-Calculation-sheet'!Q52/10^9</f>
        <v>0.50630601917227891</v>
      </c>
      <c r="R63" s="2">
        <f>R8*'Output-Calculation-sheet'!R52/10^9</f>
        <v>0.40491334475856905</v>
      </c>
      <c r="S63" s="2">
        <f>S8*'Output-Calculation-sheet'!S52/10^9</f>
        <v>0.37326043650825702</v>
      </c>
      <c r="T63" s="2">
        <f>T8*'Output-Calculation-sheet'!T52/10^9</f>
        <v>0.1265777648690305</v>
      </c>
      <c r="U63" s="2">
        <f>U8*'Output-Calculation-sheet'!U52/10^9</f>
        <v>0.12724194597340083</v>
      </c>
      <c r="V63" s="2">
        <f>V8*'Output-Calculation-sheet'!V52/10^9</f>
        <v>9.4764798396913624E-2</v>
      </c>
      <c r="W63" s="2">
        <f>W8*'Output-Calculation-sheet'!W52/10^9</f>
        <v>5.9249315416897944E-2</v>
      </c>
      <c r="X63" s="2">
        <f>X8*'Output-Calculation-sheet'!X52/10^9</f>
        <v>7.5454748952314188E-2</v>
      </c>
      <c r="Y63" s="2">
        <f>Y8*'Output-Calculation-sheet'!Y52/10^9</f>
        <v>4.9585938571444534E-2</v>
      </c>
      <c r="AA63" s="2">
        <f t="shared" si="4"/>
        <v>20.414875366155599</v>
      </c>
    </row>
    <row r="64" spans="1:27" x14ac:dyDescent="0.25">
      <c r="A64" s="2">
        <v>2032</v>
      </c>
      <c r="B64" s="2">
        <f>B9*'Output-Calculation-sheet'!B53/10^9</f>
        <v>7.1594331655355585</v>
      </c>
      <c r="C64" s="2">
        <f>C9*'Output-Calculation-sheet'!C53/10^9</f>
        <v>3.4572850586680786</v>
      </c>
      <c r="D64" s="2">
        <f>D9*'Output-Calculation-sheet'!D53/10^9</f>
        <v>1.564459018373535</v>
      </c>
      <c r="E64" s="2">
        <f>E9*'Output-Calculation-sheet'!E53/10^9</f>
        <v>1.7413584938723192</v>
      </c>
      <c r="F64" s="2">
        <f>F9*'Output-Calculation-sheet'!F53/10^9</f>
        <v>0.80351339453381021</v>
      </c>
      <c r="G64" s="2">
        <f>G9*'Output-Calculation-sheet'!G53/10^9</f>
        <v>0.55580103250005453</v>
      </c>
      <c r="H64" s="2">
        <f>H9*'Output-Calculation-sheet'!H53/10^9</f>
        <v>1.0435488321516606</v>
      </c>
      <c r="I64" s="2">
        <f>I9*'Output-Calculation-sheet'!I53/10^9</f>
        <v>0.54838074407976412</v>
      </c>
      <c r="J64" s="2">
        <f>J9*'Output-Calculation-sheet'!J53/10^9</f>
        <v>0.49498656302238542</v>
      </c>
      <c r="K64" s="2">
        <f>K9*'Output-Calculation-sheet'!K53/10^9</f>
        <v>0.63900339783587967</v>
      </c>
      <c r="L64" s="2">
        <f>L9*'Output-Calculation-sheet'!L53/10^9</f>
        <v>0.52787598603433372</v>
      </c>
      <c r="M64" s="2">
        <f>M9*'Output-Calculation-sheet'!M53/10^9</f>
        <v>0.72100546685757916</v>
      </c>
      <c r="N64" s="2">
        <f>N9*'Output-Calculation-sheet'!N53/10^9</f>
        <v>0.7545619437139911</v>
      </c>
      <c r="O64" s="2">
        <f>O9*'Output-Calculation-sheet'!O53/10^9</f>
        <v>0.67175344050726182</v>
      </c>
      <c r="P64" s="2">
        <f>P9*'Output-Calculation-sheet'!P53/10^9</f>
        <v>0.56096170255802658</v>
      </c>
      <c r="Q64" s="2">
        <f>Q9*'Output-Calculation-sheet'!Q53/10^9</f>
        <v>0.57835922388447192</v>
      </c>
      <c r="R64" s="2">
        <f>R9*'Output-Calculation-sheet'!R53/10^9</f>
        <v>0.46237180506582015</v>
      </c>
      <c r="S64" s="2">
        <f>S9*'Output-Calculation-sheet'!S53/10^9</f>
        <v>0.4255137233368077</v>
      </c>
      <c r="T64" s="2">
        <f>T9*'Output-Calculation-sheet'!T53/10^9</f>
        <v>0.14443496372551082</v>
      </c>
      <c r="U64" s="2">
        <f>U9*'Output-Calculation-sheet'!U53/10^9</f>
        <v>0.14536558282137271</v>
      </c>
      <c r="V64" s="2">
        <f>V9*'Output-Calculation-sheet'!V53/10^9</f>
        <v>0.10814220591534274</v>
      </c>
      <c r="W64" s="2">
        <f>W9*'Output-Calculation-sheet'!W53/10^9</f>
        <v>6.7576442784160862E-2</v>
      </c>
      <c r="X64" s="2">
        <f>X9*'Output-Calculation-sheet'!X53/10^9</f>
        <v>8.5823263182029916E-2</v>
      </c>
      <c r="Y64" s="2">
        <f>Y9*'Output-Calculation-sheet'!Y53/10^9</f>
        <v>5.6620608277269169E-2</v>
      </c>
      <c r="AA64" s="2">
        <f t="shared" si="4"/>
        <v>23.31813605923703</v>
      </c>
    </row>
    <row r="65" spans="1:27" x14ac:dyDescent="0.25">
      <c r="A65" s="2">
        <v>2033</v>
      </c>
      <c r="B65" s="2">
        <f>B10*'Output-Calculation-sheet'!B54/10^9</f>
        <v>7.8932694089362139</v>
      </c>
      <c r="C65" s="2">
        <f>C10*'Output-Calculation-sheet'!C54/10^9</f>
        <v>3.8210535961980239</v>
      </c>
      <c r="D65" s="2">
        <f>D10*'Output-Calculation-sheet'!D54/10^9</f>
        <v>1.7239875253138941</v>
      </c>
      <c r="E65" s="2">
        <f>E10*'Output-Calculation-sheet'!E54/10^9</f>
        <v>1.9196144584479489</v>
      </c>
      <c r="F65" s="2">
        <f>F10*'Output-Calculation-sheet'!F54/10^9</f>
        <v>0.88487296608819155</v>
      </c>
      <c r="G65" s="2">
        <f>G10*'Output-Calculation-sheet'!G54/10^9</f>
        <v>0.61253468875157546</v>
      </c>
      <c r="H65" s="2">
        <f>H10*'Output-Calculation-sheet'!H54/10^9</f>
        <v>1.1447480386577136</v>
      </c>
      <c r="I65" s="2">
        <f>I10*'Output-Calculation-sheet'!I54/10^9</f>
        <v>0.60427328476747966</v>
      </c>
      <c r="J65" s="2">
        <f>J10*'Output-Calculation-sheet'!J54/10^9</f>
        <v>0.54540537370558451</v>
      </c>
      <c r="K65" s="2">
        <f>K10*'Output-Calculation-sheet'!K54/10^9</f>
        <v>0.70423894817570787</v>
      </c>
      <c r="L65" s="2">
        <f>L10*'Output-Calculation-sheet'!L54/10^9</f>
        <v>0.58177077459837445</v>
      </c>
      <c r="M65" s="2">
        <f>M10*'Output-Calculation-sheet'!M54/10^9</f>
        <v>0.79096013700478329</v>
      </c>
      <c r="N65" s="2">
        <f>N10*'Output-Calculation-sheet'!N54/10^9</f>
        <v>0.82864913903815507</v>
      </c>
      <c r="O65" s="2">
        <f>O10*'Output-Calculation-sheet'!O54/10^9</f>
        <v>0.74406111927315222</v>
      </c>
      <c r="P65" s="2">
        <f>P10*'Output-Calculation-sheet'!P54/10^9</f>
        <v>0.61898293031164431</v>
      </c>
      <c r="Q65" s="2">
        <f>Q10*'Output-Calculation-sheet'!Q54/10^9</f>
        <v>0.63802486597224461</v>
      </c>
      <c r="R65" s="2">
        <f>R10*'Output-Calculation-sheet'!R54/10^9</f>
        <v>0.50989809672509701</v>
      </c>
      <c r="S65" s="2">
        <f>S10*'Output-Calculation-sheet'!S54/10^9</f>
        <v>0.46805073302391581</v>
      </c>
      <c r="T65" s="2">
        <f>T10*'Output-Calculation-sheet'!T54/10^9</f>
        <v>0.1591651264086511</v>
      </c>
      <c r="U65" s="2">
        <f>U10*'Output-Calculation-sheet'!U54/10^9</f>
        <v>0.16038297102239651</v>
      </c>
      <c r="V65" s="2">
        <f>V10*'Output-Calculation-sheet'!V54/10^9</f>
        <v>0.1191789640359559</v>
      </c>
      <c r="W65" s="2">
        <f>W10*'Output-Calculation-sheet'!W54/10^9</f>
        <v>7.4433108734644496E-2</v>
      </c>
      <c r="X65" s="2">
        <f>X10*'Output-Calculation-sheet'!X54/10^9</f>
        <v>9.4237598781567081E-2</v>
      </c>
      <c r="Y65" s="2">
        <f>Y10*'Output-Calculation-sheet'!Y54/10^9</f>
        <v>6.2439005281606064E-2</v>
      </c>
      <c r="AA65" s="2">
        <f t="shared" si="4"/>
        <v>25.704232859254528</v>
      </c>
    </row>
    <row r="66" spans="1:27" x14ac:dyDescent="0.25">
      <c r="A66" s="2">
        <v>2034</v>
      </c>
      <c r="B66" s="2">
        <f>B11*'Output-Calculation-sheet'!B55/10^9</f>
        <v>8.4988612375074748</v>
      </c>
      <c r="C66" s="2">
        <f>C11*'Output-Calculation-sheet'!C55/10^9</f>
        <v>4.106192305398082</v>
      </c>
      <c r="D66" s="2">
        <f>D11*'Output-Calculation-sheet'!D55/10^9</f>
        <v>1.8582957798250854</v>
      </c>
      <c r="E66" s="2">
        <f>E11*'Output-Calculation-sheet'!E55/10^9</f>
        <v>2.0699039950040574</v>
      </c>
      <c r="F66" s="2">
        <f>F11*'Output-Calculation-sheet'!F55/10^9</f>
        <v>0.9531790117817357</v>
      </c>
      <c r="G66" s="2">
        <f>G11*'Output-Calculation-sheet'!G55/10^9</f>
        <v>0.66031765026658285</v>
      </c>
      <c r="H66" s="2">
        <f>H11*'Output-Calculation-sheet'!H55/10^9</f>
        <v>1.2278976233215337</v>
      </c>
      <c r="I66" s="2">
        <f>I11*'Output-Calculation-sheet'!I55/10^9</f>
        <v>0.65131434483506756</v>
      </c>
      <c r="J66" s="2">
        <f>J11*'Output-Calculation-sheet'!J55/10^9</f>
        <v>0.58783666466665396</v>
      </c>
      <c r="K66" s="2">
        <f>K11*'Output-Calculation-sheet'!K55/10^9</f>
        <v>0.75917369696220871</v>
      </c>
      <c r="L66" s="2">
        <f>L11*'Output-Calculation-sheet'!L55/10^9</f>
        <v>0.62716203110662005</v>
      </c>
      <c r="M66" s="2">
        <f>M11*'Output-Calculation-sheet'!M55/10^9</f>
        <v>0.84844880736143768</v>
      </c>
      <c r="N66" s="2">
        <f>N11*'Output-Calculation-sheet'!N55/10^9</f>
        <v>0.88966862273502267</v>
      </c>
      <c r="O66" s="2">
        <f>O11*'Output-Calculation-sheet'!O55/10^9</f>
        <v>0.80619266523214139</v>
      </c>
      <c r="P66" s="2">
        <f>P11*'Output-Calculation-sheet'!P55/10^9</f>
        <v>0.66808266813572903</v>
      </c>
      <c r="Q66" s="2">
        <f>Q11*'Output-Calculation-sheet'!Q55/10^9</f>
        <v>0.68846007718598179</v>
      </c>
      <c r="R66" s="2">
        <f>R11*'Output-Calculation-sheet'!R55/10^9</f>
        <v>0.55002841798079682</v>
      </c>
      <c r="S66" s="2">
        <f>S11*'Output-Calculation-sheet'!S55/10^9</f>
        <v>0.50320983104387806</v>
      </c>
      <c r="T66" s="2">
        <f>T11*'Output-Calculation-sheet'!T55/10^9</f>
        <v>0.17156604330884992</v>
      </c>
      <c r="U66" s="2">
        <f>U11*'Output-Calculation-sheet'!U55/10^9</f>
        <v>0.17308804425013857</v>
      </c>
      <c r="V66" s="2">
        <f>V11*'Output-Calculation-sheet'!V55/10^9</f>
        <v>0.12847188539560891</v>
      </c>
      <c r="W66" s="2">
        <f>W11*'Output-Calculation-sheet'!W55/10^9</f>
        <v>8.0194805629553945E-2</v>
      </c>
      <c r="X66" s="2">
        <f>X11*'Output-Calculation-sheet'!X55/10^9</f>
        <v>0.10118307964362346</v>
      </c>
      <c r="Y66" s="2">
        <f>Y11*'Output-Calculation-sheet'!Y55/10^9</f>
        <v>6.7351785760644239E-2</v>
      </c>
      <c r="AA66" s="2">
        <f t="shared" si="4"/>
        <v>27.676081074338512</v>
      </c>
    </row>
    <row r="67" spans="1:27" x14ac:dyDescent="0.25">
      <c r="A67" s="2">
        <v>2035</v>
      </c>
      <c r="B67" s="2">
        <f>B12*'Output-Calculation-sheet'!B56/10^9</f>
        <v>9.0026788849731432</v>
      </c>
      <c r="C67" s="2">
        <f>C12*'Output-Calculation-sheet'!C56/10^9</f>
        <v>4.3435912212648589</v>
      </c>
      <c r="D67" s="2">
        <f>D12*'Output-Calculation-sheet'!D56/10^9</f>
        <v>1.9726769683253342</v>
      </c>
      <c r="E67" s="2">
        <f>E12*'Output-Calculation-sheet'!E56/10^9</f>
        <v>2.1980942702138795</v>
      </c>
      <c r="F67" s="2">
        <f>F12*'Output-Calculation-sheet'!F56/10^9</f>
        <v>1.011170287988725</v>
      </c>
      <c r="G67" s="2">
        <f>G12*'Output-Calculation-sheet'!G56/10^9</f>
        <v>0.70104023263283799</v>
      </c>
      <c r="H67" s="2">
        <f>H12*'Output-Calculation-sheet'!H56/10^9</f>
        <v>1.2966354598964811</v>
      </c>
      <c r="I67" s="2">
        <f>I12*'Output-Calculation-sheet'!I56/10^9</f>
        <v>0.69136200910158374</v>
      </c>
      <c r="J67" s="2">
        <f>J12*'Output-Calculation-sheet'!J56/10^9</f>
        <v>0.62396190474689528</v>
      </c>
      <c r="K67" s="2">
        <f>K12*'Output-Calculation-sheet'!K56/10^9</f>
        <v>0.80597359060313123</v>
      </c>
      <c r="L67" s="2">
        <f>L12*'Output-Calculation-sheet'!L56/10^9</f>
        <v>0.66584094030315888</v>
      </c>
      <c r="M67" s="2">
        <f>M12*'Output-Calculation-sheet'!M56/10^9</f>
        <v>0.89598417370840178</v>
      </c>
      <c r="N67" s="2">
        <f>N12*'Output-Calculation-sheet'!N56/10^9</f>
        <v>0.94034426080311306</v>
      </c>
      <c r="O67" s="2">
        <f>O12*'Output-Calculation-sheet'!O56/10^9</f>
        <v>0.85531524470087339</v>
      </c>
      <c r="P67" s="2">
        <f>P12*'Output-Calculation-sheet'!P56/10^9</f>
        <v>0.71013025048338274</v>
      </c>
      <c r="Q67" s="2">
        <f>Q12*'Output-Calculation-sheet'!Q56/10^9</f>
        <v>0.73158111497342293</v>
      </c>
      <c r="R67" s="2">
        <f>R12*'Output-Calculation-sheet'!R56/10^9</f>
        <v>0.58431363430738059</v>
      </c>
      <c r="S67" s="2">
        <f>S12*'Output-Calculation-sheet'!S56/10^9</f>
        <v>0.53247712072662567</v>
      </c>
      <c r="T67" s="2">
        <f>T12*'Output-Calculation-sheet'!T56/10^9</f>
        <v>0.18212729274077125</v>
      </c>
      <c r="U67" s="2">
        <f>U12*'Output-Calculation-sheet'!U56/10^9</f>
        <v>0.18396619853759444</v>
      </c>
      <c r="V67" s="2">
        <f>V12*'Output-Calculation-sheet'!V56/10^9</f>
        <v>0.13638516843775247</v>
      </c>
      <c r="W67" s="2">
        <f>W12*'Output-Calculation-sheet'!W56/10^9</f>
        <v>8.5091340906633908E-2</v>
      </c>
      <c r="X67" s="2">
        <f>X12*'Output-Calculation-sheet'!X56/10^9</f>
        <v>0.10694858633111413</v>
      </c>
      <c r="Y67" s="2">
        <f>Y12*'Output-Calculation-sheet'!Y56/10^9</f>
        <v>7.154908908597353E-2</v>
      </c>
      <c r="AA67" s="2">
        <f t="shared" si="4"/>
        <v>29.329239245793065</v>
      </c>
    </row>
    <row r="68" spans="1:27" x14ac:dyDescent="0.25">
      <c r="B68" s="2">
        <f>SUM(B60:B67)</f>
        <v>51.219046598007523</v>
      </c>
      <c r="C68" s="2">
        <f t="shared" ref="C68:Y68" si="5">SUM(C60:C67)</f>
        <v>24.653989496310004</v>
      </c>
      <c r="D68" s="2">
        <f t="shared" si="5"/>
        <v>11.215326685450622</v>
      </c>
      <c r="E68" s="2">
        <f t="shared" si="5"/>
        <v>12.483376932251804</v>
      </c>
      <c r="F68" s="2">
        <f t="shared" si="5"/>
        <v>5.7601203968604757</v>
      </c>
      <c r="G68" s="2">
        <f t="shared" si="5"/>
        <v>3.9845228918142945</v>
      </c>
      <c r="H68" s="2">
        <f t="shared" si="5"/>
        <v>7.459971997531321</v>
      </c>
      <c r="I68" s="2">
        <f t="shared" si="5"/>
        <v>3.9311801365087962</v>
      </c>
      <c r="J68" s="2">
        <f t="shared" si="5"/>
        <v>3.5484786044124932</v>
      </c>
      <c r="K68" s="2">
        <f t="shared" si="5"/>
        <v>4.5807441878345827</v>
      </c>
      <c r="L68" s="2">
        <f t="shared" si="5"/>
        <v>3.7841831912966208</v>
      </c>
      <c r="M68" s="2">
        <f t="shared" si="5"/>
        <v>5.1538496778409861</v>
      </c>
      <c r="N68" s="2">
        <f t="shared" si="5"/>
        <v>5.3946447138967661</v>
      </c>
      <c r="O68" s="2">
        <f t="shared" si="5"/>
        <v>4.8116261144714283</v>
      </c>
      <c r="P68" s="2">
        <f t="shared" si="5"/>
        <v>4.0213028575655239</v>
      </c>
      <c r="Q68" s="2">
        <f t="shared" si="5"/>
        <v>4.1458623707412334</v>
      </c>
      <c r="R68" s="2">
        <f t="shared" si="5"/>
        <v>3.3146410417884384</v>
      </c>
      <c r="S68" s="2">
        <f t="shared" si="5"/>
        <v>3.041624855148974</v>
      </c>
      <c r="T68" s="2">
        <f t="shared" si="5"/>
        <v>1.0354082863418697</v>
      </c>
      <c r="U68" s="2">
        <f t="shared" si="5"/>
        <v>1.0421113952874148</v>
      </c>
      <c r="V68" s="2">
        <f t="shared" si="5"/>
        <v>0.77521441776548516</v>
      </c>
      <c r="W68" s="2">
        <f t="shared" si="5"/>
        <v>0.48443293337053306</v>
      </c>
      <c r="X68" s="2">
        <f t="shared" si="5"/>
        <v>0.61343385047758248</v>
      </c>
      <c r="Y68" s="2">
        <f t="shared" si="5"/>
        <v>0.40590239056313643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6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6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5966628699.0305729</v>
      </c>
      <c r="C93" s="2">
        <f>C5/'Output-Calculation-sheet'!C4*'Output-Calculation-sheet'!C76</f>
        <v>0</v>
      </c>
      <c r="D93" s="2">
        <f>D5/'Output-Calculation-sheet'!D4*'Output-Calculation-sheet'!D76</f>
        <v>3905917038.797399</v>
      </c>
      <c r="E93" s="2">
        <f>E5/'Output-Calculation-sheet'!E4*'Output-Calculation-sheet'!E76</f>
        <v>5703276372.1990891</v>
      </c>
      <c r="F93" s="2">
        <f>F5/'Output-Calculation-sheet'!F4*'Output-Calculation-sheet'!F76</f>
        <v>2856662789.3471451</v>
      </c>
      <c r="G93" s="2">
        <f>G5/'Output-Calculation-sheet'!G4*'Output-Calculation-sheet'!G76</f>
        <v>2182867668.5061936</v>
      </c>
      <c r="H93" s="2">
        <f>H5/'Output-Calculation-sheet'!H4*'Output-Calculation-sheet'!H76</f>
        <v>0</v>
      </c>
      <c r="I93" s="2">
        <f>I5/'Output-Calculation-sheet'!I4*'Output-Calculation-sheet'!I76</f>
        <v>1482934391.7271521</v>
      </c>
      <c r="J93" s="2">
        <f>J5/'Output-Calculation-sheet'!J4*'Output-Calculation-sheet'!J76</f>
        <v>1063961737.465071</v>
      </c>
      <c r="K93" s="2">
        <f>K5/'Output-Calculation-sheet'!K4*'Output-Calculation-sheet'!K76</f>
        <v>1339489707.242244</v>
      </c>
      <c r="L93" s="2">
        <f>L5/'Output-Calculation-sheet'!L4*'Output-Calculation-sheet'!L76</f>
        <v>883317219.57225549</v>
      </c>
      <c r="M93" s="2">
        <f>M5/'Output-Calculation-sheet'!M4*'Output-Calculation-sheet'!M76</f>
        <v>0</v>
      </c>
      <c r="N93" s="2">
        <f>N5/'Output-Calculation-sheet'!N4*'Output-Calculation-sheet'!N76</f>
        <v>418144241.16601771</v>
      </c>
      <c r="O93" s="2">
        <f>O5/'Output-Calculation-sheet'!O4*'Output-Calculation-sheet'!O76</f>
        <v>0</v>
      </c>
      <c r="P93" s="2">
        <f>P5/'Output-Calculation-sheet'!P4*'Output-Calculation-sheet'!P76</f>
        <v>1100758194.194417</v>
      </c>
      <c r="Q93" s="2">
        <f>Q5/'Output-Calculation-sheet'!Q4*'Output-Calculation-sheet'!Q76</f>
        <v>494859168.31282169</v>
      </c>
      <c r="R93" s="2">
        <f>R5/'Output-Calculation-sheet'!R4*'Output-Calculation-sheet'!R76</f>
        <v>789742720.11581492</v>
      </c>
      <c r="S93" s="2">
        <f>S5/'Output-Calculation-sheet'!S4*'Output-Calculation-sheet'!S76</f>
        <v>261658849.24845123</v>
      </c>
      <c r="T93" s="2">
        <f>T5/'Output-Calculation-sheet'!T4*'Output-Calculation-sheet'!T76</f>
        <v>424363684.74642038</v>
      </c>
      <c r="U93" s="2">
        <f>U5/'Output-Calculation-sheet'!U4*'Output-Calculation-sheet'!U76</f>
        <v>221317134.54542851</v>
      </c>
      <c r="V93" s="2">
        <f>V5/'Output-Calculation-sheet'!V4*'Output-Calculation-sheet'!V76</f>
        <v>132410028.64540793</v>
      </c>
      <c r="W93" s="2">
        <f>W5/'Output-Calculation-sheet'!W4*'Output-Calculation-sheet'!W76</f>
        <v>441251265.77602917</v>
      </c>
      <c r="X93" s="2">
        <f>X5/'Output-Calculation-sheet'!X4*'Output-Calculation-sheet'!X76</f>
        <v>0</v>
      </c>
      <c r="Y93" s="2">
        <f>Y5/'Output-Calculation-sheet'!Y4*'Output-Calculation-sheet'!Y76</f>
        <v>185030541.04040933</v>
      </c>
      <c r="AA93" s="2">
        <f t="shared" ref="AA93:AA100" si="8">SUM(B93:Y93)/10^9</f>
        <v>29.854591451678345</v>
      </c>
    </row>
    <row r="94" spans="1:27" x14ac:dyDescent="0.25">
      <c r="A94" s="2">
        <v>2029</v>
      </c>
      <c r="B94" s="2">
        <f>B6/'Output-Calculation-sheet'!B5*'Output-Calculation-sheet'!B77</f>
        <v>8297198192.5046215</v>
      </c>
      <c r="C94" s="2">
        <f>C6/'Output-Calculation-sheet'!C5*'Output-Calculation-sheet'!C77</f>
        <v>0</v>
      </c>
      <c r="D94" s="2">
        <f>D6/'Output-Calculation-sheet'!D5*'Output-Calculation-sheet'!D77</f>
        <v>5353870192.7012606</v>
      </c>
      <c r="E94" s="2">
        <f>E6/'Output-Calculation-sheet'!E5*'Output-Calculation-sheet'!E77</f>
        <v>7980188988.1780348</v>
      </c>
      <c r="F94" s="2">
        <f>F6/'Output-Calculation-sheet'!F5*'Output-Calculation-sheet'!F77</f>
        <v>3911958534.0107565</v>
      </c>
      <c r="G94" s="2">
        <f>G6/'Output-Calculation-sheet'!G5*'Output-Calculation-sheet'!G77</f>
        <v>3027908764.6441665</v>
      </c>
      <c r="H94" s="2">
        <f>H6/'Output-Calculation-sheet'!H5*'Output-Calculation-sheet'!H77</f>
        <v>740540303.39315557</v>
      </c>
      <c r="I94" s="2">
        <f>I6/'Output-Calculation-sheet'!I5*'Output-Calculation-sheet'!I77</f>
        <v>2028654664.0173559</v>
      </c>
      <c r="J94" s="2">
        <f>J6/'Output-Calculation-sheet'!J5*'Output-Calculation-sheet'!J77</f>
        <v>1470754331.1456723</v>
      </c>
      <c r="K94" s="2">
        <f>K6/'Output-Calculation-sheet'!K5*'Output-Calculation-sheet'!K77</f>
        <v>1833807444.8346951</v>
      </c>
      <c r="L94" s="2">
        <f>L6/'Output-Calculation-sheet'!L5*'Output-Calculation-sheet'!L77</f>
        <v>1223048459.4043322</v>
      </c>
      <c r="M94" s="2">
        <f>M6/'Output-Calculation-sheet'!M5*'Output-Calculation-sheet'!M77</f>
        <v>538635646.4745872</v>
      </c>
      <c r="N94" s="2">
        <f>N6/'Output-Calculation-sheet'!N5*'Output-Calculation-sheet'!N77</f>
        <v>634974560.89070761</v>
      </c>
      <c r="O94" s="2">
        <f>O6/'Output-Calculation-sheet'!O5*'Output-Calculation-sheet'!O77</f>
        <v>0</v>
      </c>
      <c r="P94" s="2">
        <f>P6/'Output-Calculation-sheet'!P5*'Output-Calculation-sheet'!P77</f>
        <v>1536511294.4946253</v>
      </c>
      <c r="Q94" s="2">
        <f>Q6/'Output-Calculation-sheet'!Q5*'Output-Calculation-sheet'!Q77</f>
        <v>699916776.47313893</v>
      </c>
      <c r="R94" s="2">
        <f>R6/'Output-Calculation-sheet'!R5*'Output-Calculation-sheet'!R77</f>
        <v>1091755434.2909131</v>
      </c>
      <c r="S94" s="2">
        <f>S6/'Output-Calculation-sheet'!S5*'Output-Calculation-sheet'!S77</f>
        <v>368585031.00968581</v>
      </c>
      <c r="T94" s="2">
        <f>T6/'Output-Calculation-sheet'!T5*'Output-Calculation-sheet'!T77</f>
        <v>584151705.60632217</v>
      </c>
      <c r="U94" s="2">
        <f>U6/'Output-Calculation-sheet'!U5*'Output-Calculation-sheet'!U77</f>
        <v>298337188.44328165</v>
      </c>
      <c r="V94" s="2">
        <f>V6/'Output-Calculation-sheet'!V5*'Output-Calculation-sheet'!V77</f>
        <v>178546284.31512573</v>
      </c>
      <c r="W94" s="2">
        <f>W6/'Output-Calculation-sheet'!W5*'Output-Calculation-sheet'!W77</f>
        <v>614184873.27890646</v>
      </c>
      <c r="X94" s="2">
        <f>X6/'Output-Calculation-sheet'!X5*'Output-Calculation-sheet'!X77</f>
        <v>50232395.204404488</v>
      </c>
      <c r="Y94" s="2">
        <f>Y6/'Output-Calculation-sheet'!Y5*'Output-Calculation-sheet'!Y77</f>
        <v>259047629.43697304</v>
      </c>
      <c r="AA94" s="2">
        <f t="shared" si="8"/>
        <v>42.722808694752736</v>
      </c>
    </row>
    <row r="95" spans="1:27" x14ac:dyDescent="0.25">
      <c r="A95" s="2">
        <v>2030</v>
      </c>
      <c r="B95" s="2">
        <f>B7/'Output-Calculation-sheet'!B6*'Output-Calculation-sheet'!B78</f>
        <v>10485876589.651588</v>
      </c>
      <c r="C95" s="2">
        <f>C7/'Output-Calculation-sheet'!C6*'Output-Calculation-sheet'!C78</f>
        <v>0</v>
      </c>
      <c r="D95" s="2">
        <f>D7/'Output-Calculation-sheet'!D6*'Output-Calculation-sheet'!D78</f>
        <v>6688072799.3687325</v>
      </c>
      <c r="E95" s="2">
        <f>E7/'Output-Calculation-sheet'!E6*'Output-Calculation-sheet'!E78</f>
        <v>10165091797.688051</v>
      </c>
      <c r="F95" s="2">
        <f>F7/'Output-Calculation-sheet'!F6*'Output-Calculation-sheet'!F78</f>
        <v>4878519937.6285858</v>
      </c>
      <c r="G95" s="2">
        <f>G7/'Output-Calculation-sheet'!G6*'Output-Calculation-sheet'!G78</f>
        <v>3825787016.7412529</v>
      </c>
      <c r="H95" s="2">
        <f>H7/'Output-Calculation-sheet'!H6*'Output-Calculation-sheet'!H78</f>
        <v>978519734.72250628</v>
      </c>
      <c r="I95" s="2">
        <f>I7/'Output-Calculation-sheet'!I6*'Output-Calculation-sheet'!I78</f>
        <v>2524903766.2913709</v>
      </c>
      <c r="J95" s="2">
        <f>J7/'Output-Calculation-sheet'!J6*'Output-Calculation-sheet'!J78</f>
        <v>1851726098.6938124</v>
      </c>
      <c r="K95" s="2">
        <f>K7/'Output-Calculation-sheet'!K6*'Output-Calculation-sheet'!K78</f>
        <v>2282551799.969882</v>
      </c>
      <c r="L95" s="2">
        <f>L7/'Output-Calculation-sheet'!L6*'Output-Calculation-sheet'!L78</f>
        <v>1544021602.558006</v>
      </c>
      <c r="M95" s="2">
        <f>M7/'Output-Calculation-sheet'!M6*'Output-Calculation-sheet'!M78</f>
        <v>717893162.24894857</v>
      </c>
      <c r="N95" s="2">
        <f>N7/'Output-Calculation-sheet'!N6*'Output-Calculation-sheet'!N78</f>
        <v>837739158.50885439</v>
      </c>
      <c r="O95" s="2">
        <f>O7/'Output-Calculation-sheet'!O6*'Output-Calculation-sheet'!O78</f>
        <v>0</v>
      </c>
      <c r="P95" s="2">
        <f>P7/'Output-Calculation-sheet'!P6*'Output-Calculation-sheet'!P78</f>
        <v>1942926732.6236575</v>
      </c>
      <c r="Q95" s="2">
        <f>Q7/'Output-Calculation-sheet'!Q6*'Output-Calculation-sheet'!Q78</f>
        <v>896990298.39234483</v>
      </c>
      <c r="R95" s="2">
        <f>R7/'Output-Calculation-sheet'!R6*'Output-Calculation-sheet'!R78</f>
        <v>1372793100.9957714</v>
      </c>
      <c r="S95" s="2">
        <f>S7/'Output-Calculation-sheet'!S6*'Output-Calculation-sheet'!S78</f>
        <v>486378378.34823805</v>
      </c>
      <c r="T95" s="2">
        <f>T7/'Output-Calculation-sheet'!T6*'Output-Calculation-sheet'!T78</f>
        <v>732526496.6214658</v>
      </c>
      <c r="U95" s="2">
        <f>U7/'Output-Calculation-sheet'!U6*'Output-Calculation-sheet'!U78</f>
        <v>365348650.11750811</v>
      </c>
      <c r="V95" s="2">
        <f>V7/'Output-Calculation-sheet'!V6*'Output-Calculation-sheet'!V78</f>
        <v>218967391.58444452</v>
      </c>
      <c r="W95" s="2">
        <f>W7/'Output-Calculation-sheet'!W6*'Output-Calculation-sheet'!W78</f>
        <v>779063385.79010904</v>
      </c>
      <c r="X95" s="2">
        <f>X7/'Output-Calculation-sheet'!X6*'Output-Calculation-sheet'!X78</f>
        <v>67935276.003234491</v>
      </c>
      <c r="Y95" s="2">
        <f>Y7/'Output-Calculation-sheet'!Y6*'Output-Calculation-sheet'!Y78</f>
        <v>330610534.1201961</v>
      </c>
      <c r="AA95" s="2">
        <f t="shared" si="8"/>
        <v>53.974243708668553</v>
      </c>
    </row>
    <row r="96" spans="1:27" x14ac:dyDescent="0.25">
      <c r="A96" s="2">
        <v>2031</v>
      </c>
      <c r="B96" s="2">
        <f>B8/'Output-Calculation-sheet'!B7*'Output-Calculation-sheet'!B79</f>
        <v>12674428449.879173</v>
      </c>
      <c r="C96" s="2">
        <f>C8/'Output-Calculation-sheet'!C7*'Output-Calculation-sheet'!C79</f>
        <v>0</v>
      </c>
      <c r="D96" s="2">
        <f>D8/'Output-Calculation-sheet'!D7*'Output-Calculation-sheet'!D79</f>
        <v>7714820260.5771694</v>
      </c>
      <c r="E96" s="2">
        <f>E8/'Output-Calculation-sheet'!E7*'Output-Calculation-sheet'!E79</f>
        <v>12084152224.139074</v>
      </c>
      <c r="F96" s="2">
        <f>F8/'Output-Calculation-sheet'!F7*'Output-Calculation-sheet'!F79</f>
        <v>5784408999.5216837</v>
      </c>
      <c r="G96" s="2">
        <f>G8/'Output-Calculation-sheet'!G7*'Output-Calculation-sheet'!G79</f>
        <v>4409749936.5903463</v>
      </c>
      <c r="H96" s="2">
        <f>H8/'Output-Calculation-sheet'!H7*'Output-Calculation-sheet'!H79</f>
        <v>1191798341.4372456</v>
      </c>
      <c r="I96" s="2">
        <f>I8/'Output-Calculation-sheet'!I7*'Output-Calculation-sheet'!I79</f>
        <v>3024138243.2181201</v>
      </c>
      <c r="J96" s="2">
        <f>J8/'Output-Calculation-sheet'!J7*'Output-Calculation-sheet'!J79</f>
        <v>2152657691.6507831</v>
      </c>
      <c r="K96" s="2">
        <f>K8/'Output-Calculation-sheet'!K7*'Output-Calculation-sheet'!K79</f>
        <v>2682910308.1208568</v>
      </c>
      <c r="L96" s="2">
        <f>L8/'Output-Calculation-sheet'!L7*'Output-Calculation-sheet'!L79</f>
        <v>1866926650.8268597</v>
      </c>
      <c r="M96" s="2">
        <f>M8/'Output-Calculation-sheet'!M7*'Output-Calculation-sheet'!M79</f>
        <v>883511933.57563937</v>
      </c>
      <c r="N96" s="2">
        <f>N8/'Output-Calculation-sheet'!N7*'Output-Calculation-sheet'!N79</f>
        <v>984678915.15603602</v>
      </c>
      <c r="O96" s="2">
        <f>O8/'Output-Calculation-sheet'!O7*'Output-Calculation-sheet'!O79</f>
        <v>0</v>
      </c>
      <c r="P96" s="2">
        <f>P8/'Output-Calculation-sheet'!P7*'Output-Calculation-sheet'!P79</f>
        <v>2277326600.420331</v>
      </c>
      <c r="Q96" s="2">
        <f>Q8/'Output-Calculation-sheet'!Q7*'Output-Calculation-sheet'!Q79</f>
        <v>1057250604.3907398</v>
      </c>
      <c r="R96" s="2">
        <f>R8/'Output-Calculation-sheet'!R7*'Output-Calculation-sheet'!R79</f>
        <v>1631196911.4855223</v>
      </c>
      <c r="S96" s="2">
        <f>S8/'Output-Calculation-sheet'!S7*'Output-Calculation-sheet'!S79</f>
        <v>597485589.47213221</v>
      </c>
      <c r="T96" s="2">
        <f>T8/'Output-Calculation-sheet'!T7*'Output-Calculation-sheet'!T79</f>
        <v>855006922.10495019</v>
      </c>
      <c r="U96" s="2">
        <f>U8/'Output-Calculation-sheet'!U7*'Output-Calculation-sheet'!U79</f>
        <v>434116849.37263167</v>
      </c>
      <c r="V96" s="2">
        <f>V8/'Output-Calculation-sheet'!V7*'Output-Calculation-sheet'!V79</f>
        <v>263165816.98815045</v>
      </c>
      <c r="W96" s="2">
        <f>W8/'Output-Calculation-sheet'!W7*'Output-Calculation-sheet'!W79</f>
        <v>916461333.5928843</v>
      </c>
      <c r="X96" s="2">
        <f>X8/'Output-Calculation-sheet'!X7*'Output-Calculation-sheet'!X79</f>
        <v>85444481.403572023</v>
      </c>
      <c r="Y96" s="2">
        <f>Y8/'Output-Calculation-sheet'!Y7*'Output-Calculation-sheet'!Y79</f>
        <v>389839094.44290155</v>
      </c>
      <c r="AA96" s="2">
        <f t="shared" si="8"/>
        <v>63.961476158366807</v>
      </c>
    </row>
    <row r="97" spans="1:27" x14ac:dyDescent="0.25">
      <c r="A97" s="2">
        <v>2032</v>
      </c>
      <c r="B97" s="2">
        <f>B9/'Output-Calculation-sheet'!B8*'Output-Calculation-sheet'!B80</f>
        <v>14666308686.856285</v>
      </c>
      <c r="C97" s="2">
        <f>C9/'Output-Calculation-sheet'!C8*'Output-Calculation-sheet'!C80</f>
        <v>0</v>
      </c>
      <c r="D97" s="2">
        <f>D9/'Output-Calculation-sheet'!D8*'Output-Calculation-sheet'!D80</f>
        <v>8514253476.9724865</v>
      </c>
      <c r="E97" s="2">
        <f>E9/'Output-Calculation-sheet'!E8*'Output-Calculation-sheet'!E80</f>
        <v>13736263517.663652</v>
      </c>
      <c r="F97" s="2">
        <f>F9/'Output-Calculation-sheet'!F8*'Output-Calculation-sheet'!F80</f>
        <v>6552416316.5158739</v>
      </c>
      <c r="G97" s="2">
        <f>G9/'Output-Calculation-sheet'!G8*'Output-Calculation-sheet'!G80</f>
        <v>4851902976.9747591</v>
      </c>
      <c r="H97" s="2">
        <f>H9/'Output-Calculation-sheet'!H8*'Output-Calculation-sheet'!H80</f>
        <v>1385612081.6831925</v>
      </c>
      <c r="I97" s="2">
        <f>I9/'Output-Calculation-sheet'!I8*'Output-Calculation-sheet'!I80</f>
        <v>3459778798.5252619</v>
      </c>
      <c r="J97" s="2">
        <f>J9/'Output-Calculation-sheet'!J8*'Output-Calculation-sheet'!J80</f>
        <v>2392756027.659802</v>
      </c>
      <c r="K97" s="2">
        <f>K9/'Output-Calculation-sheet'!K8*'Output-Calculation-sheet'!K80</f>
        <v>3009880131.3029227</v>
      </c>
      <c r="L97" s="2">
        <f>L9/'Output-Calculation-sheet'!L8*'Output-Calculation-sheet'!L80</f>
        <v>2161046630.5025573</v>
      </c>
      <c r="M97" s="2">
        <f>M9/'Output-Calculation-sheet'!M8*'Output-Calculation-sheet'!M80</f>
        <v>1029009597.3008289</v>
      </c>
      <c r="N97" s="2">
        <f>N9/'Output-Calculation-sheet'!N8*'Output-Calculation-sheet'!N80</f>
        <v>1095272888.4445405</v>
      </c>
      <c r="O97" s="2">
        <f>O9/'Output-Calculation-sheet'!O8*'Output-Calculation-sheet'!O80</f>
        <v>0</v>
      </c>
      <c r="P97" s="2">
        <f>P9/'Output-Calculation-sheet'!P8*'Output-Calculation-sheet'!P80</f>
        <v>2563121136.6935883</v>
      </c>
      <c r="Q97" s="2">
        <f>Q9/'Output-Calculation-sheet'!Q8*'Output-Calculation-sheet'!Q80</f>
        <v>1195053892.4692163</v>
      </c>
      <c r="R97" s="2">
        <f>R9/'Output-Calculation-sheet'!R8*'Output-Calculation-sheet'!R80</f>
        <v>1852238470.1208606</v>
      </c>
      <c r="S97" s="2">
        <f>S9/'Output-Calculation-sheet'!S8*'Output-Calculation-sheet'!S80</f>
        <v>697907902.95544076</v>
      </c>
      <c r="T97" s="2">
        <f>T9/'Output-Calculation-sheet'!T8*'Output-Calculation-sheet'!T80</f>
        <v>952484802.14108157</v>
      </c>
      <c r="U97" s="2">
        <f>U9/'Output-Calculation-sheet'!U8*'Output-Calculation-sheet'!U80</f>
        <v>493158527.53040516</v>
      </c>
      <c r="V97" s="2">
        <f>V9/'Output-Calculation-sheet'!V8*'Output-Calculation-sheet'!V80</f>
        <v>302324664.29864472</v>
      </c>
      <c r="W97" s="2">
        <f>W9/'Output-Calculation-sheet'!W8*'Output-Calculation-sheet'!W80</f>
        <v>1029257382.3059152</v>
      </c>
      <c r="X97" s="2">
        <f>X9/'Output-Calculation-sheet'!X8*'Output-Calculation-sheet'!X80</f>
        <v>101900550.21144755</v>
      </c>
      <c r="Y97" s="2">
        <f>Y9/'Output-Calculation-sheet'!Y8*'Output-Calculation-sheet'!Y80</f>
        <v>438262858.05658627</v>
      </c>
      <c r="AA97" s="2">
        <f t="shared" si="8"/>
        <v>72.480211317185336</v>
      </c>
    </row>
    <row r="98" spans="1:27" x14ac:dyDescent="0.25">
      <c r="A98" s="2">
        <v>2033</v>
      </c>
      <c r="B98" s="2">
        <f>B10/'Output-Calculation-sheet'!B9*'Output-Calculation-sheet'!B81</f>
        <v>17029066967.90292</v>
      </c>
      <c r="C98" s="2">
        <f>C10/'Output-Calculation-sheet'!C9*'Output-Calculation-sheet'!C81</f>
        <v>2230300761.3434353</v>
      </c>
      <c r="D98" s="2">
        <f>D10/'Output-Calculation-sheet'!D9*'Output-Calculation-sheet'!D81</f>
        <v>9078771477.9037437</v>
      </c>
      <c r="E98" s="2">
        <f>E10/'Output-Calculation-sheet'!E9*'Output-Calculation-sheet'!E81</f>
        <v>15073921699.013594</v>
      </c>
      <c r="F98" s="2">
        <f>F10/'Output-Calculation-sheet'!F9*'Output-Calculation-sheet'!F81</f>
        <v>7176548982.0633593</v>
      </c>
      <c r="G98" s="2">
        <f>G10/'Output-Calculation-sheet'!G9*'Output-Calculation-sheet'!G81</f>
        <v>5153302337.7459517</v>
      </c>
      <c r="H98" s="2">
        <f>H10/'Output-Calculation-sheet'!H9*'Output-Calculation-sheet'!H81</f>
        <v>1553072807.952894</v>
      </c>
      <c r="I98" s="2">
        <f>I10/'Output-Calculation-sheet'!I9*'Output-Calculation-sheet'!I81</f>
        <v>3824925528.5634036</v>
      </c>
      <c r="J98" s="2">
        <f>J10/'Output-Calculation-sheet'!J9*'Output-Calculation-sheet'!J81</f>
        <v>2571990685.1738548</v>
      </c>
      <c r="K98" s="2">
        <f>K10/'Output-Calculation-sheet'!K9*'Output-Calculation-sheet'!K81</f>
        <v>3266340632.4352164</v>
      </c>
      <c r="L98" s="2">
        <f>L10/'Output-Calculation-sheet'!L9*'Output-Calculation-sheet'!L81</f>
        <v>2414944636.1514888</v>
      </c>
      <c r="M98" s="2">
        <f>M10/'Output-Calculation-sheet'!M9*'Output-Calculation-sheet'!M81</f>
        <v>1157977871.7746968</v>
      </c>
      <c r="N98" s="2">
        <f>N10/'Output-Calculation-sheet'!N9*'Output-Calculation-sheet'!N81</f>
        <v>1178363743.4625008</v>
      </c>
      <c r="O98" s="2">
        <f>O10/'Output-Calculation-sheet'!O9*'Output-Calculation-sheet'!O81</f>
        <v>0</v>
      </c>
      <c r="P98" s="2">
        <f>P10/'Output-Calculation-sheet'!P9*'Output-Calculation-sheet'!P81</f>
        <v>2778837189.7209711</v>
      </c>
      <c r="Q98" s="2">
        <f>Q10/'Output-Calculation-sheet'!Q9*'Output-Calculation-sheet'!Q81</f>
        <v>1304348245.7020631</v>
      </c>
      <c r="R98" s="2">
        <f>R10/'Output-Calculation-sheet'!R9*'Output-Calculation-sheet'!R81</f>
        <v>2035377464.8815033</v>
      </c>
      <c r="S98" s="2">
        <f>S10/'Output-Calculation-sheet'!S9*'Output-Calculation-sheet'!S81</f>
        <v>772868131.26424372</v>
      </c>
      <c r="T98" s="2">
        <f>T10/'Output-Calculation-sheet'!T9*'Output-Calculation-sheet'!T81</f>
        <v>1025840029.4105234</v>
      </c>
      <c r="U98" s="2">
        <f>U10/'Output-Calculation-sheet'!U9*'Output-Calculation-sheet'!U81</f>
        <v>540721382.17352724</v>
      </c>
      <c r="V98" s="2">
        <f>V10/'Output-Calculation-sheet'!V9*'Output-Calculation-sheet'!V81</f>
        <v>335082650.96080744</v>
      </c>
      <c r="W98" s="2">
        <f>W10/'Output-Calculation-sheet'!W9*'Output-Calculation-sheet'!W81</f>
        <v>1114030960.2437298</v>
      </c>
      <c r="X98" s="2">
        <f>X10/'Output-Calculation-sheet'!X9*'Output-Calculation-sheet'!X81</f>
        <v>115888671.34699757</v>
      </c>
      <c r="Y98" s="2">
        <f>Y10/'Output-Calculation-sheet'!Y9*'Output-Calculation-sheet'!Y81</f>
        <v>475586219.96548247</v>
      </c>
      <c r="AA98" s="2">
        <f t="shared" si="8"/>
        <v>82.208109077156877</v>
      </c>
    </row>
    <row r="99" spans="1:27" x14ac:dyDescent="0.25">
      <c r="A99" s="2">
        <v>2034</v>
      </c>
      <c r="B99" s="2">
        <f>B11/'Output-Calculation-sheet'!B10*'Output-Calculation-sheet'!B82</f>
        <v>18983799528.66716</v>
      </c>
      <c r="C99" s="2">
        <f>C11/'Output-Calculation-sheet'!C10*'Output-Calculation-sheet'!C82</f>
        <v>2574669807.5787859</v>
      </c>
      <c r="D99" s="2">
        <f>D11/'Output-Calculation-sheet'!D10*'Output-Calculation-sheet'!D82</f>
        <v>9472045285.7672901</v>
      </c>
      <c r="E99" s="2">
        <f>E11/'Output-Calculation-sheet'!E10*'Output-Calculation-sheet'!E82</f>
        <v>16198799302.646748</v>
      </c>
      <c r="F99" s="2">
        <f>F11/'Output-Calculation-sheet'!F10*'Output-Calculation-sheet'!F82</f>
        <v>7692942451.2584553</v>
      </c>
      <c r="G99" s="2">
        <f>G11/'Output-Calculation-sheet'!G10*'Output-Calculation-sheet'!G82</f>
        <v>5343944577.5175829</v>
      </c>
      <c r="H99" s="2">
        <f>H11/'Output-Calculation-sheet'!H10*'Output-Calculation-sheet'!H82</f>
        <v>1705215535.90063</v>
      </c>
      <c r="I99" s="2">
        <f>I11/'Output-Calculation-sheet'!I10*'Output-Calculation-sheet'!I82</f>
        <v>4142523907.5918369</v>
      </c>
      <c r="J99" s="2">
        <f>J11/'Output-Calculation-sheet'!J10*'Output-Calculation-sheet'!J82</f>
        <v>2706456403.5905886</v>
      </c>
      <c r="K99" s="2">
        <f>K11/'Output-Calculation-sheet'!K10*'Output-Calculation-sheet'!K82</f>
        <v>3470158904.7396255</v>
      </c>
      <c r="L99" s="2">
        <f>L11/'Output-Calculation-sheet'!L10*'Output-Calculation-sheet'!L82</f>
        <v>2638713832.0196333</v>
      </c>
      <c r="M99" s="2">
        <f>M11/'Output-Calculation-sheet'!M10*'Output-Calculation-sheet'!M82</f>
        <v>1275555075.2207186</v>
      </c>
      <c r="N99" s="2">
        <f>N11/'Output-Calculation-sheet'!N10*'Output-Calculation-sheet'!N82</f>
        <v>1244886589.8703721</v>
      </c>
      <c r="O99" s="2">
        <f>O11/'Output-Calculation-sheet'!O10*'Output-Calculation-sheet'!O82</f>
        <v>0</v>
      </c>
      <c r="P99" s="2">
        <f>P11/'Output-Calculation-sheet'!P10*'Output-Calculation-sheet'!P82</f>
        <v>2944442835.9638772</v>
      </c>
      <c r="Q99" s="2">
        <f>Q11/'Output-Calculation-sheet'!Q10*'Output-Calculation-sheet'!Q82</f>
        <v>1394215406.4435253</v>
      </c>
      <c r="R99" s="2">
        <f>R11/'Output-Calculation-sheet'!R10*'Output-Calculation-sheet'!R82</f>
        <v>2187985107.1521435</v>
      </c>
      <c r="S99" s="2">
        <f>S11/'Output-Calculation-sheet'!S10*'Output-Calculation-sheet'!S82</f>
        <v>852514182.6376549</v>
      </c>
      <c r="T99" s="2">
        <f>T11/'Output-Calculation-sheet'!T10*'Output-Calculation-sheet'!T82</f>
        <v>1081038322.3917584</v>
      </c>
      <c r="U99" s="2">
        <f>U11/'Output-Calculation-sheet'!U10*'Output-Calculation-sheet'!U82</f>
        <v>581086471.61044502</v>
      </c>
      <c r="V99" s="2">
        <f>V11/'Output-Calculation-sheet'!V10*'Output-Calculation-sheet'!V82</f>
        <v>363514594.62179172</v>
      </c>
      <c r="W99" s="2">
        <f>W11/'Output-Calculation-sheet'!W10*'Output-Calculation-sheet'!W82</f>
        <v>1178363539.8376975</v>
      </c>
      <c r="X99" s="2">
        <f>X11/'Output-Calculation-sheet'!X10*'Output-Calculation-sheet'!X82</f>
        <v>129660524.75424938</v>
      </c>
      <c r="Y99" s="2">
        <f>Y11/'Output-Calculation-sheet'!Y10*'Output-Calculation-sheet'!Y82</f>
        <v>504192189.85166329</v>
      </c>
      <c r="AA99" s="2">
        <f t="shared" si="8"/>
        <v>88.666724377634225</v>
      </c>
    </row>
    <row r="100" spans="1:27" x14ac:dyDescent="0.25">
      <c r="A100" s="2">
        <v>2035</v>
      </c>
      <c r="B100" s="2">
        <f>B12/'Output-Calculation-sheet'!B11*'Output-Calculation-sheet'!B83</f>
        <v>20502359849.05397</v>
      </c>
      <c r="C100" s="2">
        <f>C12/'Output-Calculation-sheet'!C11*'Output-Calculation-sheet'!C83</f>
        <v>2900780538.8928957</v>
      </c>
      <c r="D100" s="2">
        <f>D12/'Output-Calculation-sheet'!D11*'Output-Calculation-sheet'!D83</f>
        <v>9751035587.7229671</v>
      </c>
      <c r="E100" s="2">
        <f>E12/'Output-Calculation-sheet'!E11*'Output-Calculation-sheet'!E83</f>
        <v>17155161025.790453</v>
      </c>
      <c r="F100" s="2">
        <f>F12/'Output-Calculation-sheet'!F11*'Output-Calculation-sheet'!F83</f>
        <v>8129946362.8687038</v>
      </c>
      <c r="G100" s="2">
        <f>G12/'Output-Calculation-sheet'!G11*'Output-Calculation-sheet'!G83</f>
        <v>5452544353.8938055</v>
      </c>
      <c r="H100" s="2">
        <f>H12/'Output-Calculation-sheet'!H11*'Output-Calculation-sheet'!H83</f>
        <v>1837280145.5363483</v>
      </c>
      <c r="I100" s="2">
        <f>I12/'Output-Calculation-sheet'!I11*'Output-Calculation-sheet'!I83</f>
        <v>4417827658.2258463</v>
      </c>
      <c r="J100" s="2">
        <f>J12/'Output-Calculation-sheet'!J11*'Output-Calculation-sheet'!J83</f>
        <v>2806729353.576056</v>
      </c>
      <c r="K100" s="2">
        <f>K12/'Output-Calculation-sheet'!K11*'Output-Calculation-sheet'!K83</f>
        <v>3633068730.0220599</v>
      </c>
      <c r="L100" s="2">
        <f>L12/'Output-Calculation-sheet'!L11*'Output-Calculation-sheet'!L83</f>
        <v>2838644331.7146673</v>
      </c>
      <c r="M100" s="2">
        <f>M12/'Output-Calculation-sheet'!M11*'Output-Calculation-sheet'!M83</f>
        <v>1377131335.7982302</v>
      </c>
      <c r="N100" s="2">
        <f>N12/'Output-Calculation-sheet'!N11*'Output-Calculation-sheet'!N83</f>
        <v>1297300375.8039114</v>
      </c>
      <c r="O100" s="2">
        <f>O12/'Output-Calculation-sheet'!O11*'Output-Calculation-sheet'!O83</f>
        <v>349995612.62124962</v>
      </c>
      <c r="P100" s="2">
        <f>P12/'Output-Calculation-sheet'!P11*'Output-Calculation-sheet'!P83</f>
        <v>3073076258.5959282</v>
      </c>
      <c r="Q100" s="2">
        <f>Q12/'Output-Calculation-sheet'!Q11*'Output-Calculation-sheet'!Q83</f>
        <v>1473776988.287195</v>
      </c>
      <c r="R100" s="2">
        <f>R12/'Output-Calculation-sheet'!R11*'Output-Calculation-sheet'!R83</f>
        <v>2321490603.4505548</v>
      </c>
      <c r="S100" s="2">
        <f>S12/'Output-Calculation-sheet'!S11*'Output-Calculation-sheet'!S83</f>
        <v>900395535.79136121</v>
      </c>
      <c r="T100" s="2">
        <f>T12/'Output-Calculation-sheet'!T11*'Output-Calculation-sheet'!T83</f>
        <v>1122292039.2633815</v>
      </c>
      <c r="U100" s="2">
        <f>U12/'Output-Calculation-sheet'!U11*'Output-Calculation-sheet'!U83</f>
        <v>614785177.02341199</v>
      </c>
      <c r="V100" s="2">
        <f>V12/'Output-Calculation-sheet'!V11*'Output-Calculation-sheet'!V83</f>
        <v>388572517.04399937</v>
      </c>
      <c r="W100" s="2">
        <f>W12/'Output-Calculation-sheet'!W11*'Output-Calculation-sheet'!W83</f>
        <v>1226142284.4122686</v>
      </c>
      <c r="X100" s="2">
        <f>X12/'Output-Calculation-sheet'!X11*'Output-Calculation-sheet'!X83</f>
        <v>142677026.85528105</v>
      </c>
      <c r="Y100" s="2">
        <f>Y12/'Output-Calculation-sheet'!Y11*'Output-Calculation-sheet'!Y83</f>
        <v>526446227.00721157</v>
      </c>
      <c r="AA100" s="2">
        <f t="shared" si="8"/>
        <v>94.239459919251772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A73B8-E72D-44CE-8432-B4FD9EA7376C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116441124096.64398</v>
      </c>
      <c r="C8" s="2">
        <v>54872917077.780441</v>
      </c>
      <c r="D8" s="2">
        <v>48906603424.083</v>
      </c>
      <c r="E8" s="2">
        <v>38802426931.470482</v>
      </c>
      <c r="F8" s="2">
        <v>24978514627.398483</v>
      </c>
      <c r="G8" s="2">
        <v>17550589894.041214</v>
      </c>
      <c r="H8" s="2">
        <v>17119926730.9464</v>
      </c>
      <c r="I8" s="2">
        <v>15989968926.786785</v>
      </c>
      <c r="J8" s="2">
        <v>15563531379.480396</v>
      </c>
      <c r="K8" s="2">
        <v>15414330045.422487</v>
      </c>
      <c r="L8" s="2">
        <v>12365575970.04847</v>
      </c>
      <c r="M8" s="2">
        <v>11811257047.253197</v>
      </c>
      <c r="N8" s="2">
        <v>11592714679.945307</v>
      </c>
      <c r="O8" s="2">
        <v>10661855440.878597</v>
      </c>
      <c r="P8" s="2">
        <v>10553379491.679287</v>
      </c>
      <c r="Q8" s="2">
        <v>10382819823.126896</v>
      </c>
      <c r="R8" s="2">
        <v>9988750236.9200191</v>
      </c>
      <c r="S8" s="2">
        <v>6639035098.4018583</v>
      </c>
      <c r="T8" s="2">
        <v>3671778696.6539154</v>
      </c>
      <c r="U8" s="2">
        <v>3197993785.3573623</v>
      </c>
      <c r="V8" s="2">
        <v>2462519174.6008778</v>
      </c>
      <c r="W8" s="2">
        <v>2131995856.9049065</v>
      </c>
      <c r="X8" s="2">
        <v>1279197514.1429446</v>
      </c>
      <c r="Y8" s="2">
        <v>1244006790.5288701</v>
      </c>
    </row>
    <row r="9" spans="1:27" x14ac:dyDescent="0.25">
      <c r="A9" s="2">
        <v>2032</v>
      </c>
      <c r="B9" s="2">
        <v>133582212058.12256</v>
      </c>
      <c r="C9" s="2">
        <v>62950660277.446655</v>
      </c>
      <c r="D9" s="2">
        <v>56106056346.691101</v>
      </c>
      <c r="E9" s="2">
        <v>44514462248.126701</v>
      </c>
      <c r="F9" s="2">
        <v>28655556735.133144</v>
      </c>
      <c r="G9" s="2">
        <v>20134180592.632454</v>
      </c>
      <c r="H9" s="2">
        <v>19640120281.685905</v>
      </c>
      <c r="I9" s="2">
        <v>18343823426.232151</v>
      </c>
      <c r="J9" s="2">
        <v>17854610776.356422</v>
      </c>
      <c r="K9" s="2">
        <v>17683445782.887821</v>
      </c>
      <c r="L9" s="2">
        <v>14185890116.286221</v>
      </c>
      <c r="M9" s="2">
        <v>13549970904.176842</v>
      </c>
      <c r="N9" s="2">
        <v>13299257308.9596</v>
      </c>
      <c r="O9" s="2">
        <v>12231367959.436773</v>
      </c>
      <c r="P9" s="2">
        <v>12106923461.313229</v>
      </c>
      <c r="Q9" s="2">
        <v>11911256011.43342</v>
      </c>
      <c r="R9" s="2">
        <v>11459176151.858614</v>
      </c>
      <c r="S9" s="2">
        <v>7616355486.5715714</v>
      </c>
      <c r="T9" s="2">
        <v>4212294619.2088218</v>
      </c>
      <c r="U9" s="2">
        <v>3668764685.2464356</v>
      </c>
      <c r="V9" s="2">
        <v>2825022182.9334621</v>
      </c>
      <c r="W9" s="2">
        <v>2445843123.497622</v>
      </c>
      <c r="X9" s="2">
        <v>1467505874.0985739</v>
      </c>
      <c r="Y9" s="2">
        <v>1427134787.5021198</v>
      </c>
    </row>
    <row r="10" spans="1:27" x14ac:dyDescent="0.25">
      <c r="A10" s="2">
        <v>2033</v>
      </c>
      <c r="B10" s="2">
        <v>147859582724.52219</v>
      </c>
      <c r="C10" s="2">
        <v>69678875783.300415</v>
      </c>
      <c r="D10" s="2">
        <v>62102715263.696251</v>
      </c>
      <c r="E10" s="2">
        <v>49272202577.021896</v>
      </c>
      <c r="F10" s="2">
        <v>31718284914.701893</v>
      </c>
      <c r="G10" s="2">
        <v>22286137465.903622</v>
      </c>
      <c r="H10" s="2">
        <v>21739271604.859798</v>
      </c>
      <c r="I10" s="2">
        <v>20304425533.804276</v>
      </c>
      <c r="J10" s="2">
        <v>19762925455.614902</v>
      </c>
      <c r="K10" s="2">
        <v>19573466214.587353</v>
      </c>
      <c r="L10" s="2">
        <v>15702089079.475334</v>
      </c>
      <c r="M10" s="2">
        <v>14998202327.636787</v>
      </c>
      <c r="N10" s="2">
        <v>14720692268.467709</v>
      </c>
      <c r="O10" s="2">
        <v>13538666075.132147</v>
      </c>
      <c r="P10" s="2">
        <v>13400920852.310833</v>
      </c>
      <c r="Q10" s="2">
        <v>13184340313.283588</v>
      </c>
      <c r="R10" s="2">
        <v>12683941806.888088</v>
      </c>
      <c r="S10" s="2">
        <v>8430397481.6355143</v>
      </c>
      <c r="T10" s="2">
        <v>4662507942.5842247</v>
      </c>
      <c r="U10" s="2">
        <v>4060885106.7608614</v>
      </c>
      <c r="V10" s="2">
        <v>3126962749.9080005</v>
      </c>
      <c r="W10" s="2">
        <v>2707256737.8405719</v>
      </c>
      <c r="X10" s="2">
        <v>1624354042.7043443</v>
      </c>
      <c r="Y10" s="2">
        <v>1579668062.9895451</v>
      </c>
    </row>
    <row r="11" spans="1:27" x14ac:dyDescent="0.25">
      <c r="A11" s="2">
        <v>2034</v>
      </c>
      <c r="B11" s="2">
        <v>160177678988.78998</v>
      </c>
      <c r="C11" s="2">
        <v>75483782598.733368</v>
      </c>
      <c r="D11" s="2">
        <v>67276456530.881302</v>
      </c>
      <c r="E11" s="2">
        <v>53377041257.833344</v>
      </c>
      <c r="F11" s="2">
        <v>34360716874.250313</v>
      </c>
      <c r="G11" s="2">
        <v>24142782680.270081</v>
      </c>
      <c r="H11" s="2">
        <v>23550357740.836796</v>
      </c>
      <c r="I11" s="2">
        <v>21995975474.00695</v>
      </c>
      <c r="J11" s="2">
        <v>21409363337.692314</v>
      </c>
      <c r="K11" s="2">
        <v>21204120356.942734</v>
      </c>
      <c r="L11" s="2">
        <v>17010221033.232071</v>
      </c>
      <c r="M11" s="2">
        <v>16247693883.466499</v>
      </c>
      <c r="N11" s="2">
        <v>15947064621.874697</v>
      </c>
      <c r="O11" s="2">
        <v>14666564510.460245</v>
      </c>
      <c r="P11" s="2">
        <v>14517343812.844597</v>
      </c>
      <c r="Q11" s="2">
        <v>14282720074.455193</v>
      </c>
      <c r="R11" s="2">
        <v>13740633658.093386</v>
      </c>
      <c r="S11" s="2">
        <v>9132729016.8076649</v>
      </c>
      <c r="T11" s="2">
        <v>5050938780.8929577</v>
      </c>
      <c r="U11" s="2">
        <v>4399195094.8013964</v>
      </c>
      <c r="V11" s="2">
        <v>3387468206.8989735</v>
      </c>
      <c r="W11" s="2">
        <v>2932796729.8675952</v>
      </c>
      <c r="X11" s="2">
        <v>1759678037.9205582</v>
      </c>
      <c r="Y11" s="2">
        <v>1711269295.0973608</v>
      </c>
    </row>
    <row r="12" spans="1:27" x14ac:dyDescent="0.25">
      <c r="A12" s="2">
        <v>2035</v>
      </c>
      <c r="B12" s="2">
        <v>171253575334.35495</v>
      </c>
      <c r="C12" s="2">
        <v>80703302304.055389</v>
      </c>
      <c r="D12" s="2">
        <v>71928459629.796844</v>
      </c>
      <c r="E12" s="2">
        <v>57067933646.441887</v>
      </c>
      <c r="F12" s="2">
        <v>36736676751.188828</v>
      </c>
      <c r="G12" s="2">
        <v>25812197296.265903</v>
      </c>
      <c r="H12" s="2">
        <v>25178807615.283642</v>
      </c>
      <c r="I12" s="2">
        <v>23516943600.825298</v>
      </c>
      <c r="J12" s="2">
        <v>22889768664.138672</v>
      </c>
      <c r="K12" s="2">
        <v>22670333631.195625</v>
      </c>
      <c r="L12" s="2">
        <v>18186436384.638264</v>
      </c>
      <c r="M12" s="2">
        <v>17371182339.809654</v>
      </c>
      <c r="N12" s="2">
        <v>17049765297.043499</v>
      </c>
      <c r="O12" s="2">
        <v>15680721721.93269</v>
      </c>
      <c r="P12" s="2">
        <v>15521182776.544706</v>
      </c>
      <c r="Q12" s="2">
        <v>15270335378.135906</v>
      </c>
      <c r="R12" s="2">
        <v>14690765006.482286</v>
      </c>
      <c r="S12" s="2">
        <v>9764234983.0626411</v>
      </c>
      <c r="T12" s="2">
        <v>5400198894.6500053</v>
      </c>
      <c r="U12" s="2">
        <v>4703388720.1650667</v>
      </c>
      <c r="V12" s="2">
        <v>3621703382.301507</v>
      </c>
      <c r="W12" s="2">
        <v>3135592480.1100421</v>
      </c>
      <c r="X12" s="2">
        <v>1881355488.0660264</v>
      </c>
      <c r="Y12" s="2">
        <v>1829599398.5893271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-4.8443221004840817E-11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192.67004507413145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3.0244191121304652E-12</v>
      </c>
      <c r="Y16" s="2">
        <f>Y5/'Output-Calculation-sheet'!Y4*'Output-Calculation-sheet'!Y22</f>
        <v>0</v>
      </c>
      <c r="AA16" s="2">
        <f t="shared" ref="AA16:AA23" si="0">SUM(B16:Y16)/1000</f>
        <v>0.19267004507408603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1533.4245836019963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1043.7250850070277</v>
      </c>
      <c r="N17" s="2">
        <f>N6/'Output-Calculation-sheet'!N5*'Output-Calculation-sheet'!N23</f>
        <v>428.04132238536522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96.208542383248712</v>
      </c>
      <c r="Y17" s="2">
        <f>Y6/'Output-Calculation-sheet'!Y5*'Output-Calculation-sheet'!Y23</f>
        <v>0</v>
      </c>
      <c r="AA17" s="2">
        <f t="shared" si="0"/>
        <v>3.1013995333776379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2058.9994115891145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1399.453207171937</v>
      </c>
      <c r="N18" s="2">
        <f>N7/'Output-Calculation-sheet'!N6*'Output-Calculation-sheet'!N24</f>
        <v>774.67774409618482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137.62596254687006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131.38296544028265</v>
      </c>
      <c r="Y18" s="2">
        <f>Y7/'Output-Calculation-sheet'!Y6*'Output-Calculation-sheet'!Y24</f>
        <v>0</v>
      </c>
      <c r="AA18" s="2">
        <f t="shared" si="0"/>
        <v>4.5021392908443891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2558.8753163393858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1752.4377948021986</v>
      </c>
      <c r="N19" s="2">
        <f>N8/'Output-Calculation-sheet'!N7*'Output-Calculation-sheet'!N25</f>
        <v>1178.7689200355076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312.66309562291445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166.31299107996603</v>
      </c>
      <c r="Y19" s="2">
        <f>Y8/'Output-Calculation-sheet'!Y7*'Output-Calculation-sheet'!Y25</f>
        <v>0</v>
      </c>
      <c r="AA19" s="2">
        <f t="shared" si="0"/>
        <v>5.969058117879972</v>
      </c>
    </row>
    <row r="20" spans="1:27" x14ac:dyDescent="0.25">
      <c r="A20" s="2">
        <v>2032</v>
      </c>
      <c r="B20" s="2">
        <f>B9/'Output-Calculation-sheet'!B8*'Output-Calculation-sheet'!B26</f>
        <v>2.8686960134913591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3032.4190866693853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2073.7803746784648</v>
      </c>
      <c r="N20" s="2">
        <f>N9/'Output-Calculation-sheet'!N8*'Output-Calculation-sheet'!N26</f>
        <v>1510.304437477984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519.62216694897609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199.61118075698374</v>
      </c>
      <c r="Y20" s="2">
        <f>Y9/'Output-Calculation-sheet'!Y8*'Output-Calculation-sheet'!Y26</f>
        <v>0</v>
      </c>
      <c r="AA20" s="2">
        <f t="shared" si="0"/>
        <v>7.3386059425452856</v>
      </c>
    </row>
    <row r="21" spans="1:27" x14ac:dyDescent="0.25">
      <c r="A21" s="2">
        <v>2033</v>
      </c>
      <c r="B21" s="2">
        <f>B10/'Output-Calculation-sheet'!B9*'Output-Calculation-sheet'!B27</f>
        <v>4943.9490651246961</v>
      </c>
      <c r="C21" s="2">
        <f>C10/'Output-Calculation-sheet'!C9*'Output-Calculation-sheet'!C27</f>
        <v>7714.6929860597738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3461.2886853792438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2369.4296871931901</v>
      </c>
      <c r="N21" s="2">
        <f>N10/'Output-Calculation-sheet'!N9*'Output-Calculation-sheet'!N27</f>
        <v>1851.304040729003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706.25397140793427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228.07070008356433</v>
      </c>
      <c r="Y21" s="2">
        <f>Y10/'Output-Calculation-sheet'!Y9*'Output-Calculation-sheet'!Y27</f>
        <v>0</v>
      </c>
      <c r="AA21" s="2">
        <f t="shared" si="0"/>
        <v>21.274989135977407</v>
      </c>
    </row>
    <row r="22" spans="1:27" x14ac:dyDescent="0.25">
      <c r="A22" s="2">
        <v>2034</v>
      </c>
      <c r="B22" s="2">
        <f>B11/'Output-Calculation-sheet'!B10*'Output-Calculation-sheet'!B28</f>
        <v>9153.0942135676432</v>
      </c>
      <c r="C22" s="2">
        <f>C11/'Output-Calculation-sheet'!C10*'Output-Calculation-sheet'!C28</f>
        <v>8867.8170618755103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3874.3759630753357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2652.4314145085186</v>
      </c>
      <c r="N22" s="2">
        <f>N11/'Output-Calculation-sheet'!N10*'Output-Calculation-sheet'!N28</f>
        <v>2126.9356888881698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867.64460107885475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256.98654064669751</v>
      </c>
      <c r="Y22" s="2">
        <f>Y11/'Output-Calculation-sheet'!Y10*'Output-Calculation-sheet'!Y28</f>
        <v>0</v>
      </c>
      <c r="AA22" s="2">
        <f t="shared" si="0"/>
        <v>27.799285483640727</v>
      </c>
    </row>
    <row r="23" spans="1:27" x14ac:dyDescent="0.25">
      <c r="A23" s="2">
        <v>2035</v>
      </c>
      <c r="B23" s="2">
        <f>B12/'Output-Calculation-sheet'!B11*'Output-Calculation-sheet'!B29</f>
        <v>12191.554345986004</v>
      </c>
      <c r="C23" s="2">
        <f>C12/'Output-Calculation-sheet'!C11*'Output-Calculation-sheet'!C29</f>
        <v>9990.0607805678064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4262.2005728356526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2913.3833647197985</v>
      </c>
      <c r="N23" s="2">
        <f>N12/'Output-Calculation-sheet'!N11*'Output-Calculation-sheet'!N29</f>
        <v>2381.4384436744194</v>
      </c>
      <c r="O23" s="2">
        <f>O12/'Output-Calculation-sheet'!O11*'Output-Calculation-sheet'!O29</f>
        <v>1698.5545681160556</v>
      </c>
      <c r="P23" s="2">
        <f>P12/'Output-Calculation-sheet'!P11*'Output-Calculation-sheet'!P29</f>
        <v>0</v>
      </c>
      <c r="Q23" s="2">
        <f>Q12/'Output-Calculation-sheet'!Q11*'Output-Calculation-sheet'!Q29</f>
        <v>32.503851274467557</v>
      </c>
      <c r="R23" s="2">
        <f>R12/'Output-Calculation-sheet'!R11*'Output-Calculation-sheet'!R29</f>
        <v>0</v>
      </c>
      <c r="S23" s="2">
        <f>S12/'Output-Calculation-sheet'!S11*'Output-Calculation-sheet'!S29</f>
        <v>1045.8249389127025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285.58986323587783</v>
      </c>
      <c r="Y23" s="2">
        <f>Y12/'Output-Calculation-sheet'!Y11*'Output-Calculation-sheet'!Y29</f>
        <v>0</v>
      </c>
      <c r="AA23" s="2">
        <f t="shared" si="0"/>
        <v>34.801110729322787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8969.926294256602</v>
      </c>
      <c r="C27" s="2">
        <f>C5/'Output-Calculation-sheet'!C4*'Output-Calculation-sheet'!C13</f>
        <v>0</v>
      </c>
      <c r="D27" s="2">
        <f>D5/'Output-Calculation-sheet'!D4*'Output-Calculation-sheet'!D13</f>
        <v>2896.8118516387653</v>
      </c>
      <c r="E27" s="2">
        <f>E5/'Output-Calculation-sheet'!E4*'Output-Calculation-sheet'!E13</f>
        <v>2955.1996595598139</v>
      </c>
      <c r="F27" s="2">
        <f>F5/'Output-Calculation-sheet'!F4*'Output-Calculation-sheet'!F13</f>
        <v>1678.7357198057578</v>
      </c>
      <c r="G27" s="2">
        <f>G5/'Output-Calculation-sheet'!G4*'Output-Calculation-sheet'!G13</f>
        <v>1018.0627903483304</v>
      </c>
      <c r="H27" s="2">
        <f>H5/'Output-Calculation-sheet'!H4*'Output-Calculation-sheet'!H13</f>
        <v>0</v>
      </c>
      <c r="I27" s="2">
        <f>I5/'Output-Calculation-sheet'!I4*'Output-Calculation-sheet'!I13</f>
        <v>1017.3102620508267</v>
      </c>
      <c r="J27" s="2">
        <f>J5/'Output-Calculation-sheet'!J4*'Output-Calculation-sheet'!J13</f>
        <v>935.245890013289</v>
      </c>
      <c r="K27" s="2">
        <f>K5/'Output-Calculation-sheet'!K4*'Output-Calculation-sheet'!K13</f>
        <v>1140.0845893762462</v>
      </c>
      <c r="L27" s="2">
        <f>L5/'Output-Calculation-sheet'!L4*'Output-Calculation-sheet'!L13</f>
        <v>945.33125398479945</v>
      </c>
      <c r="M27" s="2">
        <f>M5/'Output-Calculation-sheet'!M4*'Output-Calculation-sheet'!M13</f>
        <v>0</v>
      </c>
      <c r="N27" s="2">
        <f>N5/'Output-Calculation-sheet'!N4*'Output-Calculation-sheet'!N13</f>
        <v>614.0689978991835</v>
      </c>
      <c r="O27" s="2">
        <f>O5/'Output-Calculation-sheet'!O4*'Output-Calculation-sheet'!O13</f>
        <v>0</v>
      </c>
      <c r="P27" s="2">
        <f>P5/'Output-Calculation-sheet'!P4*'Output-Calculation-sheet'!P13</f>
        <v>738.78330105439738</v>
      </c>
      <c r="Q27" s="2">
        <f>Q5/'Output-Calculation-sheet'!Q4*'Output-Calculation-sheet'!Q13</f>
        <v>797.01630657061492</v>
      </c>
      <c r="R27" s="2">
        <f>R5/'Output-Calculation-sheet'!R4*'Output-Calculation-sheet'!R13</f>
        <v>719.2927449293843</v>
      </c>
      <c r="S27" s="2">
        <f>S5/'Output-Calculation-sheet'!S4*'Output-Calculation-sheet'!S13</f>
        <v>431.79892974432403</v>
      </c>
      <c r="T27" s="2">
        <f>T5/'Output-Calculation-sheet'!T4*'Output-Calculation-sheet'!T13</f>
        <v>264.40956595950104</v>
      </c>
      <c r="U27" s="2">
        <f>U5/'Output-Calculation-sheet'!U4*'Output-Calculation-sheet'!U13</f>
        <v>201.9153050149969</v>
      </c>
      <c r="V27" s="2">
        <f>V5/'Output-Calculation-sheet'!V4*'Output-Calculation-sheet'!V13</f>
        <v>193.42744364782652</v>
      </c>
      <c r="W27" s="2">
        <f>W5/'Output-Calculation-sheet'!W4*'Output-Calculation-sheet'!W13</f>
        <v>135.37298936876249</v>
      </c>
      <c r="X27" s="2">
        <f>X5/'Output-Calculation-sheet'!X4*'Output-Calculation-sheet'!X13</f>
        <v>0</v>
      </c>
      <c r="Y27" s="2">
        <f>Y5/'Output-Calculation-sheet'!Y4*'Output-Calculation-sheet'!Y13</f>
        <v>88.859631842540509</v>
      </c>
      <c r="AA27" s="2">
        <f t="shared" ref="AA27:AA34" si="1">SUM(B27:Y27)/1000</f>
        <v>25.741653527065964</v>
      </c>
    </row>
    <row r="28" spans="1:27" x14ac:dyDescent="0.25">
      <c r="A28" s="2">
        <v>2029</v>
      </c>
      <c r="B28" s="2">
        <f>B6/'Output-Calculation-sheet'!B5*'Output-Calculation-sheet'!B14</f>
        <v>12779.040034731768</v>
      </c>
      <c r="C28" s="2">
        <f>C6/'Output-Calculation-sheet'!C5*'Output-Calculation-sheet'!C14</f>
        <v>0</v>
      </c>
      <c r="D28" s="2">
        <f>D6/'Output-Calculation-sheet'!D5*'Output-Calculation-sheet'!D14</f>
        <v>4065.0952735208048</v>
      </c>
      <c r="E28" s="2">
        <f>E6/'Output-Calculation-sheet'!E5*'Output-Calculation-sheet'!E14</f>
        <v>4174.4157888742584</v>
      </c>
      <c r="F28" s="2">
        <f>F6/'Output-Calculation-sheet'!F5*'Output-Calculation-sheet'!F14</f>
        <v>2353.9437307853668</v>
      </c>
      <c r="G28" s="2">
        <f>G6/'Output-Calculation-sheet'!G5*'Output-Calculation-sheet'!G14</f>
        <v>1426.1730245532369</v>
      </c>
      <c r="H28" s="2">
        <f>H6/'Output-Calculation-sheet'!H5*'Output-Calculation-sheet'!H14</f>
        <v>0</v>
      </c>
      <c r="I28" s="2">
        <f>I6/'Output-Calculation-sheet'!I5*'Output-Calculation-sheet'!I14</f>
        <v>1432.4364589543388</v>
      </c>
      <c r="J28" s="2">
        <f>J6/'Output-Calculation-sheet'!J5*'Output-Calculation-sheet'!J14</f>
        <v>1312.6817060850306</v>
      </c>
      <c r="K28" s="2">
        <f>K6/'Output-Calculation-sheet'!K5*'Output-Calculation-sheet'!K14</f>
        <v>1609.9904127531968</v>
      </c>
      <c r="L28" s="2">
        <f>L6/'Output-Calculation-sheet'!L5*'Output-Calculation-sheet'!L14</f>
        <v>1331.5230569250796</v>
      </c>
      <c r="M28" s="2">
        <f>M6/'Output-Calculation-sheet'!M5*'Output-Calculation-sheet'!M14</f>
        <v>0</v>
      </c>
      <c r="N28" s="2">
        <f>N6/'Output-Calculation-sheet'!N5*'Output-Calculation-sheet'!N14</f>
        <v>844.13572965717674</v>
      </c>
      <c r="O28" s="2">
        <f>O6/'Output-Calculation-sheet'!O5*'Output-Calculation-sheet'!O14</f>
        <v>0</v>
      </c>
      <c r="P28" s="2">
        <f>P6/'Output-Calculation-sheet'!P5*'Output-Calculation-sheet'!P14</f>
        <v>1054.2386522009647</v>
      </c>
      <c r="Q28" s="2">
        <f>Q6/'Output-Calculation-sheet'!Q5*'Output-Calculation-sheet'!Q14</f>
        <v>1144.3941278729947</v>
      </c>
      <c r="R28" s="2">
        <f>R6/'Output-Calculation-sheet'!R5*'Output-Calculation-sheet'!R14</f>
        <v>1017.5357025492629</v>
      </c>
      <c r="S28" s="2">
        <f>S6/'Output-Calculation-sheet'!S5*'Output-Calculation-sheet'!S14</f>
        <v>623.71637297207519</v>
      </c>
      <c r="T28" s="2">
        <f>T6/'Output-Calculation-sheet'!T5*'Output-Calculation-sheet'!T14</f>
        <v>372.03441370894404</v>
      </c>
      <c r="U28" s="2">
        <f>U6/'Output-Calculation-sheet'!U5*'Output-Calculation-sheet'!U14</f>
        <v>285.40284641845471</v>
      </c>
      <c r="V28" s="2">
        <f>V6/'Output-Calculation-sheet'!V5*'Output-Calculation-sheet'!V14</f>
        <v>272.98249783361518</v>
      </c>
      <c r="W28" s="2">
        <f>W6/'Output-Calculation-sheet'!W5*'Output-Calculation-sheet'!W14</f>
        <v>190.49386096810699</v>
      </c>
      <c r="X28" s="2">
        <f>X6/'Output-Calculation-sheet'!X5*'Output-Calculation-sheet'!X14</f>
        <v>0</v>
      </c>
      <c r="Y28" s="2">
        <f>Y6/'Output-Calculation-sheet'!Y5*'Output-Calculation-sheet'!Y14</f>
        <v>125.25843350925551</v>
      </c>
      <c r="AA28" s="2">
        <f t="shared" si="1"/>
        <v>36.415492124873936</v>
      </c>
    </row>
    <row r="29" spans="1:27" x14ac:dyDescent="0.25">
      <c r="A29" s="2">
        <v>2030</v>
      </c>
      <c r="B29" s="2">
        <f>B7/'Output-Calculation-sheet'!B6*'Output-Calculation-sheet'!B15</f>
        <v>16562.287039378967</v>
      </c>
      <c r="C29" s="2">
        <f>C7/'Output-Calculation-sheet'!C6*'Output-Calculation-sheet'!C15</f>
        <v>0</v>
      </c>
      <c r="D29" s="2">
        <f>D7/'Output-Calculation-sheet'!D6*'Output-Calculation-sheet'!D15</f>
        <v>5206.2880240946552</v>
      </c>
      <c r="E29" s="2">
        <f>E7/'Output-Calculation-sheet'!E6*'Output-Calculation-sheet'!E15</f>
        <v>5367.0070014605262</v>
      </c>
      <c r="F29" s="2">
        <f>F7/'Output-Calculation-sheet'!F6*'Output-Calculation-sheet'!F15</f>
        <v>3010.4370053739203</v>
      </c>
      <c r="G29" s="2">
        <f>G7/'Output-Calculation-sheet'!G6*'Output-Calculation-sheet'!G15</f>
        <v>1820.8865272024243</v>
      </c>
      <c r="H29" s="2">
        <f>H7/'Output-Calculation-sheet'!H6*'Output-Calculation-sheet'!H15</f>
        <v>0</v>
      </c>
      <c r="I29" s="2">
        <f>I7/'Output-Calculation-sheet'!I6*'Output-Calculation-sheet'!I15</f>
        <v>1834.7308492356367</v>
      </c>
      <c r="J29" s="2">
        <f>J7/'Output-Calculation-sheet'!J6*'Output-Calculation-sheet'!J15</f>
        <v>1678.3204698292923</v>
      </c>
      <c r="K29" s="2">
        <f>K7/'Output-Calculation-sheet'!K6*'Output-Calculation-sheet'!K15</f>
        <v>2066.4674589858942</v>
      </c>
      <c r="L29" s="2">
        <f>L7/'Output-Calculation-sheet'!L6*'Output-Calculation-sheet'!L15</f>
        <v>1713.24891664391</v>
      </c>
      <c r="M29" s="2">
        <f>M7/'Output-Calculation-sheet'!M6*'Output-Calculation-sheet'!M15</f>
        <v>0</v>
      </c>
      <c r="N29" s="2">
        <f>N7/'Output-Calculation-sheet'!N6*'Output-Calculation-sheet'!N15</f>
        <v>971.5239269481051</v>
      </c>
      <c r="O29" s="2">
        <f>O7/'Output-Calculation-sheet'!O6*'Output-Calculation-sheet'!O15</f>
        <v>0</v>
      </c>
      <c r="P29" s="2">
        <f>P7/'Output-Calculation-sheet'!P6*'Output-Calculation-sheet'!P15</f>
        <v>1361.9272927686075</v>
      </c>
      <c r="Q29" s="2">
        <f>Q7/'Output-Calculation-sheet'!Q6*'Output-Calculation-sheet'!Q15</f>
        <v>1487.7109373751125</v>
      </c>
      <c r="R29" s="2">
        <f>R7/'Output-Calculation-sheet'!R6*'Output-Calculation-sheet'!R15</f>
        <v>1309.9762010223048</v>
      </c>
      <c r="S29" s="2">
        <f>S7/'Output-Calculation-sheet'!S6*'Output-Calculation-sheet'!S15</f>
        <v>749.00530659750882</v>
      </c>
      <c r="T29" s="2">
        <f>T7/'Output-Calculation-sheet'!T6*'Output-Calculation-sheet'!T15</f>
        <v>477.61714626322271</v>
      </c>
      <c r="U29" s="2">
        <f>U7/'Output-Calculation-sheet'!U6*'Output-Calculation-sheet'!U15</f>
        <v>366.98735498790091</v>
      </c>
      <c r="V29" s="2">
        <f>V7/'Output-Calculation-sheet'!V6*'Output-Calculation-sheet'!V15</f>
        <v>351.27159667851555</v>
      </c>
      <c r="W29" s="2">
        <f>W7/'Output-Calculation-sheet'!W6*'Output-Calculation-sheet'!W15</f>
        <v>244.60735484863318</v>
      </c>
      <c r="X29" s="2">
        <f>X7/'Output-Calculation-sheet'!X6*'Output-Calculation-sheet'!X15</f>
        <v>0</v>
      </c>
      <c r="Y29" s="2">
        <f>Y7/'Output-Calculation-sheet'!Y6*'Output-Calculation-sheet'!Y15</f>
        <v>161.11952483526542</v>
      </c>
      <c r="AA29" s="2">
        <f t="shared" si="1"/>
        <v>46.741419934530391</v>
      </c>
    </row>
    <row r="30" spans="1:27" x14ac:dyDescent="0.25">
      <c r="A30" s="2">
        <v>2031</v>
      </c>
      <c r="B30" s="2">
        <f>B8/'Output-Calculation-sheet'!B7*'Output-Calculation-sheet'!B16</f>
        <v>20112.463354784024</v>
      </c>
      <c r="C30" s="2">
        <f>C8/'Output-Calculation-sheet'!C7*'Output-Calculation-sheet'!C16</f>
        <v>0</v>
      </c>
      <c r="D30" s="2">
        <f>D8/'Output-Calculation-sheet'!D7*'Output-Calculation-sheet'!D16</f>
        <v>6278.3875729045049</v>
      </c>
      <c r="E30" s="2">
        <f>E8/'Output-Calculation-sheet'!E7*'Output-Calculation-sheet'!E16</f>
        <v>6493.9803402094049</v>
      </c>
      <c r="F30" s="2">
        <f>F8/'Output-Calculation-sheet'!F7*'Output-Calculation-sheet'!F16</f>
        <v>3638.1732534232005</v>
      </c>
      <c r="G30" s="2">
        <f>G8/'Output-Calculation-sheet'!G7*'Output-Calculation-sheet'!G16</f>
        <v>2194.2163018992442</v>
      </c>
      <c r="H30" s="2">
        <f>H8/'Output-Calculation-sheet'!H7*'Output-Calculation-sheet'!H16</f>
        <v>0</v>
      </c>
      <c r="I30" s="2">
        <f>I8/'Output-Calculation-sheet'!I7*'Output-Calculation-sheet'!I16</f>
        <v>2220.7904707851189</v>
      </c>
      <c r="J30" s="2">
        <f>J8/'Output-Calculation-sheet'!J7*'Output-Calculation-sheet'!J16</f>
        <v>2027.0388220426876</v>
      </c>
      <c r="K30" s="2">
        <f>K8/'Output-Calculation-sheet'!K7*'Output-Calculation-sheet'!K16</f>
        <v>2506.8960798497119</v>
      </c>
      <c r="L30" s="2">
        <f>L8/'Output-Calculation-sheet'!L7*'Output-Calculation-sheet'!L16</f>
        <v>2068.8440919330674</v>
      </c>
      <c r="M30" s="2">
        <f>M8/'Output-Calculation-sheet'!M7*'Output-Calculation-sheet'!M16</f>
        <v>0</v>
      </c>
      <c r="N30" s="2">
        <f>N8/'Output-Calculation-sheet'!N7*'Output-Calculation-sheet'!N16</f>
        <v>1015.0903224955631</v>
      </c>
      <c r="O30" s="2">
        <f>O8/'Output-Calculation-sheet'!O7*'Output-Calculation-sheet'!O16</f>
        <v>0</v>
      </c>
      <c r="P30" s="2">
        <f>P8/'Output-Calculation-sheet'!P7*'Output-Calculation-sheet'!P16</f>
        <v>1648.966194030751</v>
      </c>
      <c r="Q30" s="2">
        <f>Q8/'Output-Calculation-sheet'!Q7*'Output-Calculation-sheet'!Q16</f>
        <v>1808.6373550731532</v>
      </c>
      <c r="R30" s="2">
        <f>R8/'Output-Calculation-sheet'!R7*'Output-Calculation-sheet'!R16</f>
        <v>1584.6017450689612</v>
      </c>
      <c r="S30" s="2">
        <f>S8/'Output-Calculation-sheet'!S7*'Output-Calculation-sheet'!S16</f>
        <v>846.23632309124923</v>
      </c>
      <c r="T30" s="2">
        <f>T8/'Output-Calculation-sheet'!T7*'Output-Calculation-sheet'!T16</f>
        <v>578.0952246391405</v>
      </c>
      <c r="U30" s="2">
        <f>U8/'Output-Calculation-sheet'!U7*'Output-Calculation-sheet'!U16</f>
        <v>444.30734433663241</v>
      </c>
      <c r="V30" s="2">
        <f>V8/'Output-Calculation-sheet'!V7*'Output-Calculation-sheet'!V16</f>
        <v>425.46273356673925</v>
      </c>
      <c r="W30" s="2">
        <f>W8/'Output-Calculation-sheet'!W7*'Output-Calculation-sheet'!W16</f>
        <v>295.3714188523038</v>
      </c>
      <c r="X30" s="2">
        <f>X8/'Output-Calculation-sheet'!X7*'Output-Calculation-sheet'!X16</f>
        <v>0</v>
      </c>
      <c r="Y30" s="2">
        <f>Y8/'Output-Calculation-sheet'!Y7*'Output-Calculation-sheet'!Y16</f>
        <v>195.27196734255011</v>
      </c>
      <c r="AA30" s="2">
        <f t="shared" si="1"/>
        <v>56.382830916328004</v>
      </c>
    </row>
    <row r="31" spans="1:27" x14ac:dyDescent="0.25">
      <c r="A31" s="2">
        <v>2032</v>
      </c>
      <c r="B31" s="2">
        <f>B9/'Output-Calculation-sheet'!B8*'Output-Calculation-sheet'!B17</f>
        <v>23358.22689458005</v>
      </c>
      <c r="C31" s="2">
        <f>C9/'Output-Calculation-sheet'!C8*'Output-Calculation-sheet'!C17</f>
        <v>0</v>
      </c>
      <c r="D31" s="2">
        <f>D9/'Output-Calculation-sheet'!D8*'Output-Calculation-sheet'!D17</f>
        <v>7241.5418674186394</v>
      </c>
      <c r="E31" s="2">
        <f>E9/'Output-Calculation-sheet'!E8*'Output-Calculation-sheet'!E17</f>
        <v>7499.4424221162617</v>
      </c>
      <c r="F31" s="2">
        <f>F9/'Output-Calculation-sheet'!F8*'Output-Calculation-sheet'!F17</f>
        <v>4189.6354685468632</v>
      </c>
      <c r="G31" s="2">
        <f>G9/'Output-Calculation-sheet'!G8*'Output-Calculation-sheet'!G17</f>
        <v>2525.679355935843</v>
      </c>
      <c r="H31" s="2">
        <f>H9/'Output-Calculation-sheet'!H8*'Output-Calculation-sheet'!H17</f>
        <v>0</v>
      </c>
      <c r="I31" s="2">
        <f>I9/'Output-Calculation-sheet'!I8*'Output-Calculation-sheet'!I17</f>
        <v>2560.7277633028275</v>
      </c>
      <c r="J31" s="2">
        <f>J9/'Output-Calculation-sheet'!J8*'Output-Calculation-sheet'!J17</f>
        <v>2335.553905548747</v>
      </c>
      <c r="K31" s="2">
        <f>K9/'Output-Calculation-sheet'!K8*'Output-Calculation-sheet'!K17</f>
        <v>2893.0038066908573</v>
      </c>
      <c r="L31" s="2">
        <f>L9/'Output-Calculation-sheet'!L8*'Output-Calculation-sheet'!L17</f>
        <v>2388.1309891445444</v>
      </c>
      <c r="M31" s="2">
        <f>M9/'Output-Calculation-sheet'!M8*'Output-Calculation-sheet'!M17</f>
        <v>0</v>
      </c>
      <c r="N31" s="2">
        <f>N9/'Output-Calculation-sheet'!N8*'Output-Calculation-sheet'!N17</f>
        <v>1056.3704836022241</v>
      </c>
      <c r="O31" s="2">
        <f>O9/'Output-Calculation-sheet'!O8*'Output-Calculation-sheet'!O17</f>
        <v>0</v>
      </c>
      <c r="P31" s="2">
        <f>P9/'Output-Calculation-sheet'!P8*'Output-Calculation-sheet'!P17</f>
        <v>1921.178427050382</v>
      </c>
      <c r="Q31" s="2">
        <f>Q9/'Output-Calculation-sheet'!Q8*'Output-Calculation-sheet'!Q17</f>
        <v>2105.4301269806192</v>
      </c>
      <c r="R31" s="2">
        <f>R9/'Output-Calculation-sheet'!R8*'Output-Calculation-sheet'!R17</f>
        <v>1828.0551939590632</v>
      </c>
      <c r="S31" s="2">
        <f>S9/'Output-Calculation-sheet'!S8*'Output-Calculation-sheet'!S17</f>
        <v>912.10839692229035</v>
      </c>
      <c r="T31" s="2">
        <f>T9/'Output-Calculation-sheet'!T8*'Output-Calculation-sheet'!T17</f>
        <v>666.16097132704078</v>
      </c>
      <c r="U31" s="2">
        <f>U9/'Output-Calculation-sheet'!U8*'Output-Calculation-sheet'!U17</f>
        <v>513.77574864668156</v>
      </c>
      <c r="V31" s="2">
        <f>V9/'Output-Calculation-sheet'!V8*'Output-Calculation-sheet'!V17</f>
        <v>492.3490668945239</v>
      </c>
      <c r="W31" s="2">
        <f>W9/'Output-Calculation-sheet'!W8*'Output-Calculation-sheet'!W17</f>
        <v>340.93032993596455</v>
      </c>
      <c r="X31" s="2">
        <f>X9/'Output-Calculation-sheet'!X8*'Output-Calculation-sheet'!X17</f>
        <v>0</v>
      </c>
      <c r="Y31" s="2">
        <f>Y9/'Output-Calculation-sheet'!Y8*'Output-Calculation-sheet'!Y17</f>
        <v>225.38874144831902</v>
      </c>
      <c r="AA31" s="2">
        <f t="shared" si="1"/>
        <v>65.053689960051742</v>
      </c>
    </row>
    <row r="32" spans="1:27" x14ac:dyDescent="0.25">
      <c r="A32" s="2">
        <v>2033</v>
      </c>
      <c r="B32" s="2">
        <f>B10/'Output-Calculation-sheet'!B9*'Output-Calculation-sheet'!B18</f>
        <v>24126.829381221887</v>
      </c>
      <c r="C32" s="2">
        <f>C10/'Output-Calculation-sheet'!C9*'Output-Calculation-sheet'!C18</f>
        <v>0</v>
      </c>
      <c r="D32" s="2">
        <f>D10/'Output-Calculation-sheet'!D9*'Output-Calculation-sheet'!D18</f>
        <v>8054.6028853132011</v>
      </c>
      <c r="E32" s="2">
        <f>E10/'Output-Calculation-sheet'!E9*'Output-Calculation-sheet'!E18</f>
        <v>8340.7270743262889</v>
      </c>
      <c r="F32" s="2">
        <f>F10/'Output-Calculation-sheet'!F9*'Output-Calculation-sheet'!F18</f>
        <v>4658.8406458997879</v>
      </c>
      <c r="G32" s="2">
        <f>G10/'Output-Calculation-sheet'!G9*'Output-Calculation-sheet'!G18</f>
        <v>2809.8186913888321</v>
      </c>
      <c r="H32" s="2">
        <f>H10/'Output-Calculation-sheet'!H9*'Output-Calculation-sheet'!H18</f>
        <v>0</v>
      </c>
      <c r="I32" s="2">
        <f>I10/'Output-Calculation-sheet'!I9*'Output-Calculation-sheet'!I18</f>
        <v>2848.4780972720737</v>
      </c>
      <c r="J32" s="2">
        <f>J10/'Output-Calculation-sheet'!J9*'Output-Calculation-sheet'!J18</f>
        <v>2597.9684331687627</v>
      </c>
      <c r="K32" s="2">
        <f>K10/'Output-Calculation-sheet'!K9*'Output-Calculation-sheet'!K18</f>
        <v>3225.4175137994548</v>
      </c>
      <c r="L32" s="2">
        <f>L10/'Output-Calculation-sheet'!L9*'Output-Calculation-sheet'!L18</f>
        <v>2658.1572570862127</v>
      </c>
      <c r="M32" s="2">
        <f>M10/'Output-Calculation-sheet'!M9*'Output-Calculation-sheet'!M18</f>
        <v>0</v>
      </c>
      <c r="N32" s="2">
        <f>N10/'Output-Calculation-sheet'!N9*'Output-Calculation-sheet'!N18</f>
        <v>1052.1346457918478</v>
      </c>
      <c r="O32" s="2">
        <f>O10/'Output-Calculation-sheet'!O9*'Output-Calculation-sheet'!O18</f>
        <v>0</v>
      </c>
      <c r="P32" s="2">
        <f>P10/'Output-Calculation-sheet'!P9*'Output-Calculation-sheet'!P18</f>
        <v>2152.7069405734023</v>
      </c>
      <c r="Q32" s="2">
        <f>Q10/'Output-Calculation-sheet'!Q9*'Output-Calculation-sheet'!Q18</f>
        <v>2360.9478400742782</v>
      </c>
      <c r="R32" s="2">
        <f>R10/'Output-Calculation-sheet'!R9*'Output-Calculation-sheet'!R18</f>
        <v>2039.2749588675626</v>
      </c>
      <c r="S32" s="2">
        <f>S10/'Output-Calculation-sheet'!S9*'Output-Calculation-sheet'!S18</f>
        <v>949.2147551638817</v>
      </c>
      <c r="T32" s="2">
        <f>T10/'Output-Calculation-sheet'!T9*'Output-Calculation-sheet'!T18</f>
        <v>741.78000576318959</v>
      </c>
      <c r="U32" s="2">
        <f>U10/'Output-Calculation-sheet'!U9*'Output-Calculation-sheet'!U18</f>
        <v>572.07715762135501</v>
      </c>
      <c r="V32" s="2">
        <f>V10/'Output-Calculation-sheet'!V9*'Output-Calculation-sheet'!V18</f>
        <v>548.81430954534767</v>
      </c>
      <c r="W32" s="2">
        <f>W10/'Output-Calculation-sheet'!W9*'Output-Calculation-sheet'!W18</f>
        <v>378.69486295149829</v>
      </c>
      <c r="X32" s="2">
        <f>X10/'Output-Calculation-sheet'!X9*'Output-Calculation-sheet'!X18</f>
        <v>0</v>
      </c>
      <c r="Y32" s="2">
        <f>Y10/'Output-Calculation-sheet'!Y9*'Output-Calculation-sheet'!Y18</f>
        <v>251.0944654507793</v>
      </c>
      <c r="AA32" s="2">
        <f t="shared" si="1"/>
        <v>70.367579921279628</v>
      </c>
    </row>
    <row r="33" spans="1:27" x14ac:dyDescent="0.25">
      <c r="A33" s="2">
        <v>2034</v>
      </c>
      <c r="B33" s="2">
        <f>B11/'Output-Calculation-sheet'!B10*'Output-Calculation-sheet'!B19</f>
        <v>24766.828210268446</v>
      </c>
      <c r="C33" s="2">
        <f>C11/'Output-Calculation-sheet'!C10*'Output-Calculation-sheet'!C19</f>
        <v>0</v>
      </c>
      <c r="D33" s="2">
        <f>D11/'Output-Calculation-sheet'!D10*'Output-Calculation-sheet'!D19</f>
        <v>8757.0498082990198</v>
      </c>
      <c r="E33" s="2">
        <f>E11/'Output-Calculation-sheet'!E10*'Output-Calculation-sheet'!E19</f>
        <v>9089.5039586617386</v>
      </c>
      <c r="F33" s="2">
        <f>F11/'Output-Calculation-sheet'!F10*'Output-Calculation-sheet'!F19</f>
        <v>5067.7321258828915</v>
      </c>
      <c r="G33" s="2">
        <f>G11/'Output-Calculation-sheet'!G10*'Output-Calculation-sheet'!G19</f>
        <v>3051.6378001349385</v>
      </c>
      <c r="H33" s="2">
        <f>H11/'Output-Calculation-sheet'!H10*'Output-Calculation-sheet'!H19</f>
        <v>0</v>
      </c>
      <c r="I33" s="2">
        <f>I11/'Output-Calculation-sheet'!I10*'Output-Calculation-sheet'!I19</f>
        <v>3108.0962605120749</v>
      </c>
      <c r="J33" s="2">
        <f>J11/'Output-Calculation-sheet'!J10*'Output-Calculation-sheet'!J19</f>
        <v>2824.7313044920534</v>
      </c>
      <c r="K33" s="2">
        <f>K11/'Output-Calculation-sheet'!K10*'Output-Calculation-sheet'!K19</f>
        <v>3518.3902279175118</v>
      </c>
      <c r="L33" s="2">
        <f>L11/'Output-Calculation-sheet'!L10*'Output-Calculation-sheet'!L19</f>
        <v>2893.8289629805286</v>
      </c>
      <c r="M33" s="2">
        <f>M11/'Output-Calculation-sheet'!M10*'Output-Calculation-sheet'!M19</f>
        <v>0</v>
      </c>
      <c r="N33" s="2">
        <f>N11/'Output-Calculation-sheet'!N10*'Output-Calculation-sheet'!N19</f>
        <v>1072.3975384136456</v>
      </c>
      <c r="O33" s="2">
        <f>O11/'Output-Calculation-sheet'!O10*'Output-Calculation-sheet'!O19</f>
        <v>0</v>
      </c>
      <c r="P33" s="2">
        <f>P11/'Output-Calculation-sheet'!P10*'Output-Calculation-sheet'!P19</f>
        <v>2358.7370365828524</v>
      </c>
      <c r="Q33" s="2">
        <f>Q11/'Output-Calculation-sheet'!Q10*'Output-Calculation-sheet'!Q19</f>
        <v>2591.3143793287486</v>
      </c>
      <c r="R33" s="2">
        <f>R11/'Output-Calculation-sheet'!R10*'Output-Calculation-sheet'!R19</f>
        <v>2223.7704101975282</v>
      </c>
      <c r="S33" s="2">
        <f>S11/'Output-Calculation-sheet'!S10*'Output-Calculation-sheet'!S19</f>
        <v>1025.6364730754126</v>
      </c>
      <c r="T33" s="2">
        <f>T11/'Output-Calculation-sheet'!T10*'Output-Calculation-sheet'!T19</f>
        <v>808.13622018551109</v>
      </c>
      <c r="U33" s="2">
        <f>U11/'Output-Calculation-sheet'!U10*'Output-Calculation-sheet'!U19</f>
        <v>625.35962865741828</v>
      </c>
      <c r="V33" s="2">
        <f>V11/'Output-Calculation-sheet'!V10*'Output-Calculation-sheet'!V19</f>
        <v>599.51098989759271</v>
      </c>
      <c r="W33" s="2">
        <f>W11/'Output-Calculation-sheet'!W10*'Output-Calculation-sheet'!W19</f>
        <v>411.8874098617332</v>
      </c>
      <c r="X33" s="2">
        <f>X11/'Output-Calculation-sheet'!X10*'Output-Calculation-sheet'!X19</f>
        <v>0</v>
      </c>
      <c r="Y33" s="2">
        <f>Y11/'Output-Calculation-sheet'!Y10*'Output-Calculation-sheet'!Y19</f>
        <v>273.4774038174038</v>
      </c>
      <c r="AA33" s="2">
        <f t="shared" si="1"/>
        <v>75.068026149167039</v>
      </c>
    </row>
    <row r="34" spans="1:27" x14ac:dyDescent="0.25">
      <c r="A34" s="2">
        <v>2035</v>
      </c>
      <c r="B34" s="2">
        <f>B12/'Output-Calculation-sheet'!B11*'Output-Calculation-sheet'!B20</f>
        <v>25483.407755529934</v>
      </c>
      <c r="C34" s="2">
        <f>C12/'Output-Calculation-sheet'!C11*'Output-Calculation-sheet'!C20</f>
        <v>0</v>
      </c>
      <c r="D34" s="2">
        <f>D12/'Output-Calculation-sheet'!D11*'Output-Calculation-sheet'!D20</f>
        <v>9424.5683397289376</v>
      </c>
      <c r="E34" s="2">
        <f>E12/'Output-Calculation-sheet'!E11*'Output-Calculation-sheet'!E20</f>
        <v>9778.3460090914286</v>
      </c>
      <c r="F34" s="2">
        <f>F12/'Output-Calculation-sheet'!F11*'Output-Calculation-sheet'!F20</f>
        <v>5443.7982794910495</v>
      </c>
      <c r="G34" s="2">
        <f>G12/'Output-Calculation-sheet'!G11*'Output-Calculation-sheet'!G20</f>
        <v>3270.8702747973639</v>
      </c>
      <c r="H34" s="2">
        <f>H12/'Output-Calculation-sheet'!H11*'Output-Calculation-sheet'!H20</f>
        <v>0</v>
      </c>
      <c r="I34" s="2">
        <f>I12/'Output-Calculation-sheet'!I11*'Output-Calculation-sheet'!I20</f>
        <v>3340.8375144766501</v>
      </c>
      <c r="J34" s="2">
        <f>J12/'Output-Calculation-sheet'!J11*'Output-Calculation-sheet'!J20</f>
        <v>3025.7101267398334</v>
      </c>
      <c r="K34" s="2">
        <f>K12/'Output-Calculation-sheet'!K11*'Output-Calculation-sheet'!K20</f>
        <v>3784.9913068165692</v>
      </c>
      <c r="L34" s="2">
        <f>L12/'Output-Calculation-sheet'!L11*'Output-Calculation-sheet'!L20</f>
        <v>3107.7180074599532</v>
      </c>
      <c r="M34" s="2">
        <f>M12/'Output-Calculation-sheet'!M11*'Output-Calculation-sheet'!M20</f>
        <v>0</v>
      </c>
      <c r="N34" s="2">
        <f>N12/'Output-Calculation-sheet'!N11*'Output-Calculation-sheet'!N20</f>
        <v>1093.3315771258544</v>
      </c>
      <c r="O34" s="2">
        <f>O12/'Output-Calculation-sheet'!O11*'Output-Calculation-sheet'!O20</f>
        <v>0</v>
      </c>
      <c r="P34" s="2">
        <f>P12/'Output-Calculation-sheet'!P11*'Output-Calculation-sheet'!P20</f>
        <v>2551.8987125564267</v>
      </c>
      <c r="Q34" s="2">
        <f>Q12/'Output-Calculation-sheet'!Q11*'Output-Calculation-sheet'!Q20</f>
        <v>2798.254530155164</v>
      </c>
      <c r="R34" s="2">
        <f>R12/'Output-Calculation-sheet'!R11*'Output-Calculation-sheet'!R20</f>
        <v>2399.5253247827031</v>
      </c>
      <c r="S34" s="2">
        <f>S12/'Output-Calculation-sheet'!S11*'Output-Calculation-sheet'!S20</f>
        <v>1031.9063604981436</v>
      </c>
      <c r="T34" s="2">
        <f>T12/'Output-Calculation-sheet'!T11*'Output-Calculation-sheet'!T20</f>
        <v>868.5406311112929</v>
      </c>
      <c r="U34" s="2">
        <f>U12/'Output-Calculation-sheet'!U11*'Output-Calculation-sheet'!U20</f>
        <v>673.70858497727829</v>
      </c>
      <c r="V34" s="2">
        <f>V12/'Output-Calculation-sheet'!V11*'Output-Calculation-sheet'!V20</f>
        <v>647.01135173204466</v>
      </c>
      <c r="W34" s="2">
        <f>W12/'Output-Calculation-sheet'!W11*'Output-Calculation-sheet'!W20</f>
        <v>442.12577568053393</v>
      </c>
      <c r="X34" s="2">
        <f>X12/'Output-Calculation-sheet'!X11*'Output-Calculation-sheet'!X20</f>
        <v>0</v>
      </c>
      <c r="Y34" s="2">
        <f>Y12/'Output-Calculation-sheet'!Y11*'Output-Calculation-sheet'!Y20</f>
        <v>294.32342985560257</v>
      </c>
      <c r="AA34" s="2">
        <f t="shared" si="1"/>
        <v>79.460873892606756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3.0060100137761712</v>
      </c>
      <c r="C60" s="2">
        <f>C5*'Output-Calculation-sheet'!C49/10^9</f>
        <v>1.4212243978640822</v>
      </c>
      <c r="D60" s="2">
        <f>D5*'Output-Calculation-sheet'!D49/10^9</f>
        <v>0.66302434956235889</v>
      </c>
      <c r="E60" s="2">
        <f>E5*'Output-Calculation-sheet'!E49/10^9</f>
        <v>0.73632194821515551</v>
      </c>
      <c r="F60" s="2">
        <f>F5*'Output-Calculation-sheet'!F49/10^9</f>
        <v>0.34183244001444207</v>
      </c>
      <c r="G60" s="2">
        <f>G5*'Output-Calculation-sheet'!G49/10^9</f>
        <v>0.23545133291989423</v>
      </c>
      <c r="H60" s="2">
        <f>H5*'Output-Calculation-sheet'!H49/10^9</f>
        <v>0.44341104576312135</v>
      </c>
      <c r="I60" s="2">
        <f>I5*'Output-Calculation-sheet'!I49/10^9</f>
        <v>0.23244510856491585</v>
      </c>
      <c r="J60" s="2">
        <f>J5*'Output-Calculation-sheet'!J49/10^9</f>
        <v>0.20990640795155396</v>
      </c>
      <c r="K60" s="2">
        <f>K5*'Output-Calculation-sheet'!K49/10^9</f>
        <v>0.27057590198789888</v>
      </c>
      <c r="L60" s="2">
        <f>L5*'Output-Calculation-sheet'!L49/10^9</f>
        <v>0.22352872589046338</v>
      </c>
      <c r="M60" s="2">
        <f>M5*'Output-Calculation-sheet'!M49/10^9</f>
        <v>0.30591492868909198</v>
      </c>
      <c r="N60" s="2">
        <f>N5*'Output-Calculation-sheet'!N49/10^9</f>
        <v>0.31973718599438178</v>
      </c>
      <c r="O60" s="2">
        <f>O5*'Output-Calculation-sheet'!O49/10^9</f>
        <v>0.27614511467731345</v>
      </c>
      <c r="P60" s="2">
        <f>P5*'Output-Calculation-sheet'!P49/10^9</f>
        <v>0.23577878328658511</v>
      </c>
      <c r="Q60" s="2">
        <f>Q5*'Output-Calculation-sheet'!Q49/10^9</f>
        <v>0.24339250005258106</v>
      </c>
      <c r="R60" s="2">
        <f>R5*'Output-Calculation-sheet'!R49/10^9</f>
        <v>0.19506400726475606</v>
      </c>
      <c r="S60" s="2">
        <f>S5*'Output-Calculation-sheet'!S49/10^9</f>
        <v>0.17894048649759606</v>
      </c>
      <c r="T60" s="2">
        <f>T5*'Output-Calculation-sheet'!T49/10^9</f>
        <v>6.1199005265985831E-2</v>
      </c>
      <c r="U60" s="2">
        <f>U5*'Output-Calculation-sheet'!U49/10^9</f>
        <v>6.1157223242074898E-2</v>
      </c>
      <c r="V60" s="2">
        <f>V5*'Output-Calculation-sheet'!V49/10^9</f>
        <v>4.5795211674809592E-2</v>
      </c>
      <c r="W60" s="2">
        <f>W5*'Output-Calculation-sheet'!W49/10^9</f>
        <v>2.8713763581913399E-2</v>
      </c>
      <c r="X60" s="2">
        <f>X5*'Output-Calculation-sheet'!X49/10^9</f>
        <v>3.6143545706913818E-2</v>
      </c>
      <c r="Y60" s="2">
        <f>Y5*'Output-Calculation-sheet'!Y49/10^9</f>
        <v>2.3890595406720935E-2</v>
      </c>
      <c r="AA60" s="2">
        <f t="shared" ref="AA60:AA67" si="4">SUM(B60:Y60)</f>
        <v>9.79560402385078</v>
      </c>
    </row>
    <row r="61" spans="1:27" x14ac:dyDescent="0.25">
      <c r="A61" s="2">
        <v>2029</v>
      </c>
      <c r="B61" s="2">
        <f>B6*'Output-Calculation-sheet'!B50/10^9</f>
        <v>4.1574906383255188</v>
      </c>
      <c r="C61" s="2">
        <f>C6*'Output-Calculation-sheet'!C50/10^9</f>
        <v>1.9793042382945278</v>
      </c>
      <c r="D61" s="2">
        <f>D6*'Output-Calculation-sheet'!D50/10^9</f>
        <v>0.91410544082879996</v>
      </c>
      <c r="E61" s="2">
        <f>E6*'Output-Calculation-sheet'!E50/10^9</f>
        <v>1.0159646282404968</v>
      </c>
      <c r="F61" s="2">
        <f>F6*'Output-Calculation-sheet'!F50/10^9</f>
        <v>0.47069186001195856</v>
      </c>
      <c r="G61" s="2">
        <f>G6*'Output-Calculation-sheet'!G50/10^9</f>
        <v>0.32465289573759615</v>
      </c>
      <c r="H61" s="2">
        <f>H6*'Output-Calculation-sheet'!H50/10^9</f>
        <v>0.6135459540727739</v>
      </c>
      <c r="I61" s="2">
        <f>I6*'Output-Calculation-sheet'!I50/10^9</f>
        <v>0.32046032210889397</v>
      </c>
      <c r="J61" s="2">
        <f>J6*'Output-Calculation-sheet'!J50/10^9</f>
        <v>0.28933705547889588</v>
      </c>
      <c r="K61" s="2">
        <f>K6*'Output-Calculation-sheet'!K50/10^9</f>
        <v>0.37316510714666096</v>
      </c>
      <c r="L61" s="2">
        <f>L6*'Output-Calculation-sheet'!L50/10^9</f>
        <v>0.30827540981472162</v>
      </c>
      <c r="M61" s="2">
        <f>M6*'Output-Calculation-sheet'!M50/10^9</f>
        <v>0.4238528592022317</v>
      </c>
      <c r="N61" s="2">
        <f>N6*'Output-Calculation-sheet'!N50/10^9</f>
        <v>0.4421779470167016</v>
      </c>
      <c r="O61" s="2">
        <f>O6*'Output-Calculation-sheet'!O50/10^9</f>
        <v>0.38458050444853559</v>
      </c>
      <c r="P61" s="2">
        <f>P6*'Output-Calculation-sheet'!P50/10^9</f>
        <v>0.32597901717145639</v>
      </c>
      <c r="Q61" s="2">
        <f>Q6*'Output-Calculation-sheet'!Q50/10^9</f>
        <v>0.336386683799411</v>
      </c>
      <c r="R61" s="2">
        <f>R6*'Output-Calculation-sheet'!R50/10^9</f>
        <v>0.26934955662443572</v>
      </c>
      <c r="S61" s="2">
        <f>S6*'Output-Calculation-sheet'!S50/10^9</f>
        <v>0.24780508547046071</v>
      </c>
      <c r="T61" s="2">
        <f>T6*'Output-Calculation-sheet'!T50/10^9</f>
        <v>8.4382792647610796E-2</v>
      </c>
      <c r="U61" s="2">
        <f>U6*'Output-Calculation-sheet'!U50/10^9</f>
        <v>8.4523629867882644E-2</v>
      </c>
      <c r="V61" s="2">
        <f>V6*'Output-Calculation-sheet'!V50/10^9</f>
        <v>6.3157805943707082E-2</v>
      </c>
      <c r="W61" s="2">
        <f>W6*'Output-Calculation-sheet'!W50/10^9</f>
        <v>3.9554852242881564E-2</v>
      </c>
      <c r="X61" s="2">
        <f>X6*'Output-Calculation-sheet'!X50/10^9</f>
        <v>5.0302010066648833E-2</v>
      </c>
      <c r="Y61" s="2">
        <f>Y6*'Output-Calculation-sheet'!Y50/10^9</f>
        <v>3.2986822304259922E-2</v>
      </c>
      <c r="AA61" s="2">
        <f t="shared" si="4"/>
        <v>13.552033116867067</v>
      </c>
    </row>
    <row r="62" spans="1:27" x14ac:dyDescent="0.25">
      <c r="A62" s="2">
        <v>2030</v>
      </c>
      <c r="B62" s="2">
        <f>B7*'Output-Calculation-sheet'!B51/10^9</f>
        <v>5.2363852698385802</v>
      </c>
      <c r="C62" s="2">
        <f>C7*'Output-Calculation-sheet'!C51/10^9</f>
        <v>2.5107953431126679</v>
      </c>
      <c r="D62" s="2">
        <f>D7*'Output-Calculation-sheet'!D51/10^9</f>
        <v>1.1477123874586215</v>
      </c>
      <c r="E62" s="2">
        <f>E7*'Output-Calculation-sheet'!E51/10^9</f>
        <v>1.2765701129862965</v>
      </c>
      <c r="F62" s="2">
        <f>F7*'Output-Calculation-sheet'!F51/10^9</f>
        <v>0.59022230560172029</v>
      </c>
      <c r="G62" s="2">
        <f>G7*'Output-Calculation-sheet'!G51/10^9</f>
        <v>0.40767492276770367</v>
      </c>
      <c r="H62" s="2">
        <f>H7*'Output-Calculation-sheet'!H51/10^9</f>
        <v>0.77177989645846179</v>
      </c>
      <c r="I62" s="2">
        <f>I7*'Output-Calculation-sheet'!I51/10^9</f>
        <v>0.40233240717884367</v>
      </c>
      <c r="J62" s="2">
        <f>J7*'Output-Calculation-sheet'!J51/10^9</f>
        <v>0.36320326501551942</v>
      </c>
      <c r="K62" s="2">
        <f>K7*'Output-Calculation-sheet'!K51/10^9</f>
        <v>0.46866829305403573</v>
      </c>
      <c r="L62" s="2">
        <f>L7*'Output-Calculation-sheet'!L51/10^9</f>
        <v>0.38716382242139352</v>
      </c>
      <c r="M62" s="2">
        <f>M7*'Output-Calculation-sheet'!M51/10^9</f>
        <v>0.53317270787262949</v>
      </c>
      <c r="N62" s="2">
        <f>N7*'Output-Calculation-sheet'!N51/10^9</f>
        <v>0.5563167087305495</v>
      </c>
      <c r="O62" s="2">
        <f>O7*'Output-Calculation-sheet'!O51/10^9</f>
        <v>0.48784968017514974</v>
      </c>
      <c r="P62" s="2">
        <f>P7*'Output-Calculation-sheet'!P51/10^9</f>
        <v>0.41042730938946942</v>
      </c>
      <c r="Q62" s="2">
        <f>Q7*'Output-Calculation-sheet'!Q51/10^9</f>
        <v>0.42335188570084159</v>
      </c>
      <c r="R62" s="2">
        <f>R7*'Output-Calculation-sheet'!R51/10^9</f>
        <v>0.33870217906158329</v>
      </c>
      <c r="S62" s="2">
        <f>S7*'Output-Calculation-sheet'!S51/10^9</f>
        <v>0.31236743854143306</v>
      </c>
      <c r="T62" s="2">
        <f>T7*'Output-Calculation-sheet'!T51/10^9</f>
        <v>0.10595529737545947</v>
      </c>
      <c r="U62" s="2">
        <f>U7*'Output-Calculation-sheet'!U51/10^9</f>
        <v>0.10638579957255417</v>
      </c>
      <c r="V62" s="2">
        <f>V7*'Output-Calculation-sheet'!V51/10^9</f>
        <v>7.9318377965394843E-2</v>
      </c>
      <c r="W62" s="2">
        <f>W7*'Output-Calculation-sheet'!W51/10^9</f>
        <v>4.9619304073846966E-2</v>
      </c>
      <c r="X62" s="2">
        <f>X7*'Output-Calculation-sheet'!X51/10^9</f>
        <v>6.3341017813370981E-2</v>
      </c>
      <c r="Y62" s="2">
        <f>Y7*'Output-Calculation-sheet'!Y51/10^9</f>
        <v>4.1478545875218015E-2</v>
      </c>
      <c r="AA62" s="2">
        <f t="shared" si="4"/>
        <v>17.070794278041344</v>
      </c>
    </row>
    <row r="63" spans="1:27" x14ac:dyDescent="0.25">
      <c r="A63" s="2">
        <v>2031</v>
      </c>
      <c r="B63" s="2">
        <f>B8*'Output-Calculation-sheet'!B52/10^9</f>
        <v>6.2721236954931614</v>
      </c>
      <c r="C63" s="2">
        <f>C8*'Output-Calculation-sheet'!C52/10^9</f>
        <v>3.0180105707325842</v>
      </c>
      <c r="D63" s="2">
        <f>D8*'Output-Calculation-sheet'!D52/10^9</f>
        <v>1.3726421728937763</v>
      </c>
      <c r="E63" s="2">
        <f>E8*'Output-Calculation-sheet'!E52/10^9</f>
        <v>1.5273036649387526</v>
      </c>
      <c r="F63" s="2">
        <f>F8*'Output-Calculation-sheet'!F52/10^9</f>
        <v>0.70544858399140797</v>
      </c>
      <c r="G63" s="2">
        <f>G8*'Output-Calculation-sheet'!G52/10^9</f>
        <v>0.48761032635633067</v>
      </c>
      <c r="H63" s="2">
        <f>H8*'Output-Calculation-sheet'!H52/10^9</f>
        <v>0.91946146862243716</v>
      </c>
      <c r="I63" s="2">
        <f>I8*'Output-Calculation-sheet'!I52/10^9</f>
        <v>0.48116470094706482</v>
      </c>
      <c r="J63" s="2">
        <f>J8*'Output-Calculation-sheet'!J52/10^9</f>
        <v>0.43434036085322825</v>
      </c>
      <c r="K63" s="2">
        <f>K8*'Output-Calculation-sheet'!K52/10^9</f>
        <v>0.56058928391229124</v>
      </c>
      <c r="L63" s="2">
        <f>L8*'Output-Calculation-sheet'!L52/10^9</f>
        <v>0.46309752977000884</v>
      </c>
      <c r="M63" s="2">
        <f>M8*'Output-Calculation-sheet'!M52/10^9</f>
        <v>0.63524039175942826</v>
      </c>
      <c r="N63" s="2">
        <f>N8*'Output-Calculation-sheet'!N52/10^9</f>
        <v>0.66395168538995086</v>
      </c>
      <c r="O63" s="2">
        <f>O8*'Output-Calculation-sheet'!O52/10^9</f>
        <v>0.58640203222292009</v>
      </c>
      <c r="P63" s="2">
        <f>P8*'Output-Calculation-sheet'!P52/10^9</f>
        <v>0.49152488357850638</v>
      </c>
      <c r="Q63" s="2">
        <f>Q8*'Output-Calculation-sheet'!Q52/10^9</f>
        <v>0.50688835681611444</v>
      </c>
      <c r="R63" s="2">
        <f>R8*'Output-Calculation-sheet'!R52/10^9</f>
        <v>0.40537906366021231</v>
      </c>
      <c r="S63" s="2">
        <f>S8*'Output-Calculation-sheet'!S52/10^9</f>
        <v>0.37368974920631387</v>
      </c>
      <c r="T63" s="2">
        <f>T8*'Output-Calculation-sheet'!T52/10^9</f>
        <v>0.12672335072929009</v>
      </c>
      <c r="U63" s="2">
        <f>U8*'Output-Calculation-sheet'!U52/10^9</f>
        <v>0.12738829575438182</v>
      </c>
      <c r="V63" s="2">
        <f>V8*'Output-Calculation-sheet'!V52/10^9</f>
        <v>9.4873793959532535E-2</v>
      </c>
      <c r="W63" s="2">
        <f>W8*'Output-Calculation-sheet'!W52/10^9</f>
        <v>5.9317462161025458E-2</v>
      </c>
      <c r="X63" s="2">
        <f>X8*'Output-Calculation-sheet'!X52/10^9</f>
        <v>7.5541534688721032E-2</v>
      </c>
      <c r="Y63" s="2">
        <f>Y8*'Output-Calculation-sheet'!Y52/10^9</f>
        <v>4.9642970796110325E-2</v>
      </c>
      <c r="AA63" s="2">
        <f t="shared" si="4"/>
        <v>20.438355929233555</v>
      </c>
    </row>
    <row r="64" spans="1:27" x14ac:dyDescent="0.25">
      <c r="A64" s="2">
        <v>2032</v>
      </c>
      <c r="B64" s="2">
        <f>B9*'Output-Calculation-sheet'!B53/10^9</f>
        <v>7.1697902062155485</v>
      </c>
      <c r="C64" s="2">
        <f>C9*'Output-Calculation-sheet'!C53/10^9</f>
        <v>3.4622864660654296</v>
      </c>
      <c r="D64" s="2">
        <f>D9*'Output-Calculation-sheet'!D53/10^9</f>
        <v>1.5667222095118323</v>
      </c>
      <c r="E64" s="2">
        <f>E9*'Output-Calculation-sheet'!E53/10^9</f>
        <v>1.7438775928487997</v>
      </c>
      <c r="F64" s="2">
        <f>F9*'Output-Calculation-sheet'!F53/10^9</f>
        <v>0.80467577997993256</v>
      </c>
      <c r="G64" s="2">
        <f>G9*'Output-Calculation-sheet'!G53/10^9</f>
        <v>0.55660507016204352</v>
      </c>
      <c r="H64" s="2">
        <f>H9*'Output-Calculation-sheet'!H53/10^9</f>
        <v>1.0450584597236001</v>
      </c>
      <c r="I64" s="2">
        <f>I9*'Output-Calculation-sheet'!I53/10^9</f>
        <v>0.54917404734040476</v>
      </c>
      <c r="J64" s="2">
        <f>J9*'Output-Calculation-sheet'!J53/10^9</f>
        <v>0.49570262473435872</v>
      </c>
      <c r="K64" s="2">
        <f>K9*'Output-Calculation-sheet'!K53/10^9</f>
        <v>0.63992779841802294</v>
      </c>
      <c r="L64" s="2">
        <f>L9*'Output-Calculation-sheet'!L53/10^9</f>
        <v>0.52863962652582763</v>
      </c>
      <c r="M64" s="2">
        <f>M9*'Output-Calculation-sheet'!M53/10^9</f>
        <v>0.72204849397691695</v>
      </c>
      <c r="N64" s="2">
        <f>N9*'Output-Calculation-sheet'!N53/10^9</f>
        <v>0.75565351459200969</v>
      </c>
      <c r="O64" s="2">
        <f>O9*'Output-Calculation-sheet'!O53/10^9</f>
        <v>0.67272521823734088</v>
      </c>
      <c r="P64" s="2">
        <f>P9*'Output-Calculation-sheet'!P53/10^9</f>
        <v>0.56177320579284673</v>
      </c>
      <c r="Q64" s="2">
        <f>Q9*'Output-Calculation-sheet'!Q53/10^9</f>
        <v>0.57919589487097611</v>
      </c>
      <c r="R64" s="2">
        <f>R9*'Output-Calculation-sheet'!R53/10^9</f>
        <v>0.46304068533659365</v>
      </c>
      <c r="S64" s="2">
        <f>S9*'Output-Calculation-sheet'!S53/10^9</f>
        <v>0.42612928365291053</v>
      </c>
      <c r="T64" s="2">
        <f>T9*'Output-Calculation-sheet'!T53/10^9</f>
        <v>0.14464390747291794</v>
      </c>
      <c r="U64" s="2">
        <f>U9*'Output-Calculation-sheet'!U53/10^9</f>
        <v>0.14557587282896703</v>
      </c>
      <c r="V64" s="2">
        <f>V9*'Output-Calculation-sheet'!V53/10^9</f>
        <v>0.10829864752182085</v>
      </c>
      <c r="W64" s="2">
        <f>W9*'Output-Calculation-sheet'!W53/10^9</f>
        <v>6.767420079806255E-2</v>
      </c>
      <c r="X64" s="2">
        <f>X9*'Output-Calculation-sheet'!X53/10^9</f>
        <v>8.5947417567930839E-2</v>
      </c>
      <c r="Y64" s="2">
        <f>Y9*'Output-Calculation-sheet'!Y53/10^9</f>
        <v>5.6702517267784844E-2</v>
      </c>
      <c r="AA64" s="2">
        <f t="shared" si="4"/>
        <v>23.351868741442875</v>
      </c>
    </row>
    <row r="65" spans="1:27" x14ac:dyDescent="0.25">
      <c r="A65" s="2">
        <v>2033</v>
      </c>
      <c r="B65" s="2">
        <f>B10*'Output-Calculation-sheet'!B54/10^9</f>
        <v>7.8992683657095606</v>
      </c>
      <c r="C65" s="2">
        <f>C10*'Output-Calculation-sheet'!C54/10^9</f>
        <v>3.8239576317965409</v>
      </c>
      <c r="D65" s="2">
        <f>D10*'Output-Calculation-sheet'!D54/10^9</f>
        <v>1.7252977715637483</v>
      </c>
      <c r="E65" s="2">
        <f>E10*'Output-Calculation-sheet'!E54/10^9</f>
        <v>1.9210733829519937</v>
      </c>
      <c r="F65" s="2">
        <f>F10*'Output-Calculation-sheet'!F54/10^9</f>
        <v>0.88554547761648894</v>
      </c>
      <c r="G65" s="2">
        <f>G10*'Output-Calculation-sheet'!G54/10^9</f>
        <v>0.61300022070413207</v>
      </c>
      <c r="H65" s="2">
        <f>H10*'Output-Calculation-sheet'!H54/10^9</f>
        <v>1.145618057612408</v>
      </c>
      <c r="I65" s="2">
        <f>I10*'Output-Calculation-sheet'!I54/10^9</f>
        <v>0.60473253797762661</v>
      </c>
      <c r="J65" s="2">
        <f>J10*'Output-Calculation-sheet'!J54/10^9</f>
        <v>0.54581988676618109</v>
      </c>
      <c r="K65" s="2">
        <f>K10*'Output-Calculation-sheet'!K54/10^9</f>
        <v>0.70477417620218707</v>
      </c>
      <c r="L65" s="2">
        <f>L10*'Output-Calculation-sheet'!L54/10^9</f>
        <v>0.58221292569546768</v>
      </c>
      <c r="M65" s="2">
        <f>M10*'Output-Calculation-sheet'!M54/10^9</f>
        <v>0.79156127392606468</v>
      </c>
      <c r="N65" s="2">
        <f>N10*'Output-Calculation-sheet'!N54/10^9</f>
        <v>0.82927891994487724</v>
      </c>
      <c r="O65" s="2">
        <f>O10*'Output-Calculation-sheet'!O54/10^9</f>
        <v>0.7446266125130252</v>
      </c>
      <c r="P65" s="2">
        <f>P10*'Output-Calculation-sheet'!P54/10^9</f>
        <v>0.6194533629866239</v>
      </c>
      <c r="Q65" s="2">
        <f>Q10*'Output-Calculation-sheet'!Q54/10^9</f>
        <v>0.63850977069207537</v>
      </c>
      <c r="R65" s="2">
        <f>R10*'Output-Calculation-sheet'!R54/10^9</f>
        <v>0.51028562393120036</v>
      </c>
      <c r="S65" s="2">
        <f>S10*'Output-Calculation-sheet'!S54/10^9</f>
        <v>0.46840645585176777</v>
      </c>
      <c r="T65" s="2">
        <f>T10*'Output-Calculation-sheet'!T54/10^9</f>
        <v>0.15928609335703237</v>
      </c>
      <c r="U65" s="2">
        <f>U10*'Output-Calculation-sheet'!U54/10^9</f>
        <v>0.16050486354379651</v>
      </c>
      <c r="V65" s="2">
        <f>V10*'Output-Calculation-sheet'!V54/10^9</f>
        <v>0.11926954113607803</v>
      </c>
      <c r="W65" s="2">
        <f>W10*'Output-Calculation-sheet'!W54/10^9</f>
        <v>7.4489678576451696E-2</v>
      </c>
      <c r="X65" s="2">
        <f>X10*'Output-Calculation-sheet'!X54/10^9</f>
        <v>9.430922021651704E-2</v>
      </c>
      <c r="Y65" s="2">
        <f>Y10*'Output-Calculation-sheet'!Y54/10^9</f>
        <v>6.2486459495348104E-2</v>
      </c>
      <c r="AA65" s="2">
        <f t="shared" si="4"/>
        <v>25.723768310767184</v>
      </c>
    </row>
    <row r="66" spans="1:27" x14ac:dyDescent="0.25">
      <c r="A66" s="2">
        <v>2034</v>
      </c>
      <c r="B66" s="2">
        <f>B11*'Output-Calculation-sheet'!B55/10^9</f>
        <v>8.5037986698554491</v>
      </c>
      <c r="C66" s="2">
        <f>C11*'Output-Calculation-sheet'!C55/10^9</f>
        <v>4.1085778069551848</v>
      </c>
      <c r="D66" s="2">
        <f>D11*'Output-Calculation-sheet'!D55/10^9</f>
        <v>1.8593753608935375</v>
      </c>
      <c r="E66" s="2">
        <f>E11*'Output-Calculation-sheet'!E55/10^9</f>
        <v>2.0711065103359982</v>
      </c>
      <c r="F66" s="2">
        <f>F11*'Output-Calculation-sheet'!F55/10^9</f>
        <v>0.95373276324968681</v>
      </c>
      <c r="G66" s="2">
        <f>G11*'Output-Calculation-sheet'!G55/10^9</f>
        <v>0.66070126327487344</v>
      </c>
      <c r="H66" s="2">
        <f>H11*'Output-Calculation-sheet'!H55/10^9</f>
        <v>1.2286109731781749</v>
      </c>
      <c r="I66" s="2">
        <f>I11*'Output-Calculation-sheet'!I55/10^9</f>
        <v>0.6516927273530333</v>
      </c>
      <c r="J66" s="2">
        <f>J11*'Output-Calculation-sheet'!J55/10^9</f>
        <v>0.58817816968507253</v>
      </c>
      <c r="K66" s="2">
        <f>K11*'Output-Calculation-sheet'!K55/10^9</f>
        <v>0.75961474061080614</v>
      </c>
      <c r="L66" s="2">
        <f>L11*'Output-Calculation-sheet'!L55/10^9</f>
        <v>0.62752638228418056</v>
      </c>
      <c r="M66" s="2">
        <f>M11*'Output-Calculation-sheet'!M55/10^9</f>
        <v>0.84894171558408049</v>
      </c>
      <c r="N66" s="2">
        <f>N11*'Output-Calculation-sheet'!N55/10^9</f>
        <v>0.89018547770113088</v>
      </c>
      <c r="O66" s="2">
        <f>O11*'Output-Calculation-sheet'!O55/10^9</f>
        <v>0.8066610246549839</v>
      </c>
      <c r="P66" s="2">
        <f>P11*'Output-Calculation-sheet'!P55/10^9</f>
        <v>0.66847079224842987</v>
      </c>
      <c r="Q66" s="2">
        <f>Q11*'Output-Calculation-sheet'!Q55/10^9</f>
        <v>0.68886003959981512</v>
      </c>
      <c r="R66" s="2">
        <f>R11*'Output-Calculation-sheet'!R55/10^9</f>
        <v>0.55034795821417071</v>
      </c>
      <c r="S66" s="2">
        <f>S11*'Output-Calculation-sheet'!S55/10^9</f>
        <v>0.50350217191498803</v>
      </c>
      <c r="T66" s="2">
        <f>T11*'Output-Calculation-sheet'!T55/10^9</f>
        <v>0.17166571498348662</v>
      </c>
      <c r="U66" s="2">
        <f>U11*'Output-Calculation-sheet'!U55/10^9</f>
        <v>0.17318860013460893</v>
      </c>
      <c r="V66" s="2">
        <f>V11*'Output-Calculation-sheet'!V55/10^9</f>
        <v>0.12854652142331086</v>
      </c>
      <c r="W66" s="2">
        <f>W11*'Output-Calculation-sheet'!W55/10^9</f>
        <v>8.0241394980337485E-2</v>
      </c>
      <c r="X66" s="2">
        <f>X11*'Output-Calculation-sheet'!X55/10^9</f>
        <v>0.10124186217889951</v>
      </c>
      <c r="Y66" s="2">
        <f>Y11*'Output-Calculation-sheet'!Y55/10^9</f>
        <v>6.739091393045607E-2</v>
      </c>
      <c r="AA66" s="2">
        <f t="shared" si="4"/>
        <v>27.692159555224698</v>
      </c>
    </row>
    <row r="67" spans="1:27" x14ac:dyDescent="0.25">
      <c r="A67" s="2">
        <v>2035</v>
      </c>
      <c r="B67" s="2">
        <f>B12*'Output-Calculation-sheet'!B56/10^9</f>
        <v>9.0250112529591089</v>
      </c>
      <c r="C67" s="2">
        <f>C12*'Output-Calculation-sheet'!C56/10^9</f>
        <v>4.354366089365044</v>
      </c>
      <c r="D67" s="2">
        <f>D12*'Output-Calculation-sheet'!D56/10^9</f>
        <v>1.9775704615329632</v>
      </c>
      <c r="E67" s="2">
        <f>E12*'Output-Calculation-sheet'!E56/10^9</f>
        <v>2.2035469416617306</v>
      </c>
      <c r="F67" s="2">
        <f>F12*'Output-Calculation-sheet'!F56/10^9</f>
        <v>1.0136786332553249</v>
      </c>
      <c r="G67" s="2">
        <f>G12*'Output-Calculation-sheet'!G56/10^9</f>
        <v>0.70277925816603315</v>
      </c>
      <c r="H67" s="2">
        <f>H12*'Output-Calculation-sheet'!H56/10^9</f>
        <v>1.2998519403023741</v>
      </c>
      <c r="I67" s="2">
        <f>I12*'Output-Calculation-sheet'!I56/10^9</f>
        <v>0.69307702648652525</v>
      </c>
      <c r="J67" s="2">
        <f>J12*'Output-Calculation-sheet'!J56/10^9</f>
        <v>0.62550972701669694</v>
      </c>
      <c r="K67" s="2">
        <f>K12*'Output-Calculation-sheet'!K56/10^9</f>
        <v>0.80797291758594347</v>
      </c>
      <c r="L67" s="2">
        <f>L12*'Output-Calculation-sheet'!L56/10^9</f>
        <v>0.6674926492099148</v>
      </c>
      <c r="M67" s="2">
        <f>M12*'Output-Calculation-sheet'!M56/10^9</f>
        <v>0.89820678417052291</v>
      </c>
      <c r="N67" s="2">
        <f>N12*'Output-Calculation-sheet'!N56/10^9</f>
        <v>0.94267691248758001</v>
      </c>
      <c r="O67" s="2">
        <f>O12*'Output-Calculation-sheet'!O56/10^9</f>
        <v>0.85743697035972699</v>
      </c>
      <c r="P67" s="2">
        <f>P12*'Output-Calculation-sheet'!P56/10^9</f>
        <v>0.71189182504073278</v>
      </c>
      <c r="Q67" s="2">
        <f>Q12*'Output-Calculation-sheet'!Q56/10^9</f>
        <v>0.73339590131423538</v>
      </c>
      <c r="R67" s="2">
        <f>R12*'Output-Calculation-sheet'!R56/10^9</f>
        <v>0.5857631036561487</v>
      </c>
      <c r="S67" s="2">
        <f>S12*'Output-Calculation-sheet'!S56/10^9</f>
        <v>0.53379800256147869</v>
      </c>
      <c r="T67" s="2">
        <f>T12*'Output-Calculation-sheet'!T56/10^9</f>
        <v>0.18257908423236427</v>
      </c>
      <c r="U67" s="2">
        <f>U12*'Output-Calculation-sheet'!U56/10^9</f>
        <v>0.1844225516848314</v>
      </c>
      <c r="V67" s="2">
        <f>V12*'Output-Calculation-sheet'!V56/10^9</f>
        <v>0.13672349037595513</v>
      </c>
      <c r="W67" s="2">
        <f>W12*'Output-Calculation-sheet'!W56/10^9</f>
        <v>8.5302421537391301E-2</v>
      </c>
      <c r="X67" s="2">
        <f>X12*'Output-Calculation-sheet'!X56/10^9</f>
        <v>0.10721388682844857</v>
      </c>
      <c r="Y67" s="2">
        <f>Y12*'Output-Calculation-sheet'!Y56/10^9</f>
        <v>7.1726576321378077E-2</v>
      </c>
      <c r="AA67" s="2">
        <f t="shared" si="4"/>
        <v>29.401994408112458</v>
      </c>
    </row>
    <row r="68" spans="1:27" x14ac:dyDescent="0.25">
      <c r="B68" s="2">
        <f>SUM(B60:B67)</f>
        <v>51.269878112173103</v>
      </c>
      <c r="C68" s="2">
        <f t="shared" ref="C68:Y68" si="5">SUM(C60:C67)</f>
        <v>24.678522544186063</v>
      </c>
      <c r="D68" s="2">
        <f t="shared" si="5"/>
        <v>11.226450154245638</v>
      </c>
      <c r="E68" s="2">
        <f t="shared" si="5"/>
        <v>12.495764782179224</v>
      </c>
      <c r="F68" s="2">
        <f t="shared" si="5"/>
        <v>5.7658278437209631</v>
      </c>
      <c r="G68" s="2">
        <f t="shared" si="5"/>
        <v>3.9884752900886067</v>
      </c>
      <c r="H68" s="2">
        <f t="shared" si="5"/>
        <v>7.4673377957333518</v>
      </c>
      <c r="I68" s="2">
        <f t="shared" si="5"/>
        <v>3.935078877957308</v>
      </c>
      <c r="J68" s="2">
        <f t="shared" si="5"/>
        <v>3.5519974975015067</v>
      </c>
      <c r="K68" s="2">
        <f t="shared" si="5"/>
        <v>4.5852882189178468</v>
      </c>
      <c r="L68" s="2">
        <f t="shared" si="5"/>
        <v>3.7879370716119785</v>
      </c>
      <c r="M68" s="2">
        <f t="shared" si="5"/>
        <v>5.1589391551809669</v>
      </c>
      <c r="N68" s="2">
        <f t="shared" si="5"/>
        <v>5.3999783518571816</v>
      </c>
      <c r="O68" s="2">
        <f t="shared" si="5"/>
        <v>4.8164271572889952</v>
      </c>
      <c r="P68" s="2">
        <f t="shared" si="5"/>
        <v>4.0252991794946507</v>
      </c>
      <c r="Q68" s="2">
        <f t="shared" si="5"/>
        <v>4.1499810328460498</v>
      </c>
      <c r="R68" s="2">
        <f t="shared" si="5"/>
        <v>3.3179321777491007</v>
      </c>
      <c r="S68" s="2">
        <f t="shared" si="5"/>
        <v>3.0446386736969484</v>
      </c>
      <c r="T68" s="2">
        <f t="shared" si="5"/>
        <v>1.0364352460641473</v>
      </c>
      <c r="U68" s="2">
        <f t="shared" si="5"/>
        <v>1.0431468366290972</v>
      </c>
      <c r="V68" s="2">
        <f t="shared" si="5"/>
        <v>0.77598339000060879</v>
      </c>
      <c r="W68" s="2">
        <f t="shared" si="5"/>
        <v>0.48491307795191047</v>
      </c>
      <c r="X68" s="2">
        <f t="shared" si="5"/>
        <v>0.61404049506745062</v>
      </c>
      <c r="Y68" s="2">
        <f t="shared" si="5"/>
        <v>0.40630540139727628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6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6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5966628699.0305729</v>
      </c>
      <c r="C93" s="2">
        <f>C5/'Output-Calculation-sheet'!C4*'Output-Calculation-sheet'!C76</f>
        <v>0</v>
      </c>
      <c r="D93" s="2">
        <f>D5/'Output-Calculation-sheet'!D4*'Output-Calculation-sheet'!D76</f>
        <v>3905917038.797399</v>
      </c>
      <c r="E93" s="2">
        <f>E5/'Output-Calculation-sheet'!E4*'Output-Calculation-sheet'!E76</f>
        <v>5703276372.1990891</v>
      </c>
      <c r="F93" s="2">
        <f>F5/'Output-Calculation-sheet'!F4*'Output-Calculation-sheet'!F76</f>
        <v>2856662789.3471451</v>
      </c>
      <c r="G93" s="2">
        <f>G5/'Output-Calculation-sheet'!G4*'Output-Calculation-sheet'!G76</f>
        <v>2182867668.5061936</v>
      </c>
      <c r="H93" s="2">
        <f>H5/'Output-Calculation-sheet'!H4*'Output-Calculation-sheet'!H76</f>
        <v>0</v>
      </c>
      <c r="I93" s="2">
        <f>I5/'Output-Calculation-sheet'!I4*'Output-Calculation-sheet'!I76</f>
        <v>1482934391.7271521</v>
      </c>
      <c r="J93" s="2">
        <f>J5/'Output-Calculation-sheet'!J4*'Output-Calculation-sheet'!J76</f>
        <v>1063961737.465071</v>
      </c>
      <c r="K93" s="2">
        <f>K5/'Output-Calculation-sheet'!K4*'Output-Calculation-sheet'!K76</f>
        <v>1339489707.242244</v>
      </c>
      <c r="L93" s="2">
        <f>L5/'Output-Calculation-sheet'!L4*'Output-Calculation-sheet'!L76</f>
        <v>883317219.57225549</v>
      </c>
      <c r="M93" s="2">
        <f>M5/'Output-Calculation-sheet'!M4*'Output-Calculation-sheet'!M76</f>
        <v>0</v>
      </c>
      <c r="N93" s="2">
        <f>N5/'Output-Calculation-sheet'!N4*'Output-Calculation-sheet'!N76</f>
        <v>418144241.16601771</v>
      </c>
      <c r="O93" s="2">
        <f>O5/'Output-Calculation-sheet'!O4*'Output-Calculation-sheet'!O76</f>
        <v>0</v>
      </c>
      <c r="P93" s="2">
        <f>P5/'Output-Calculation-sheet'!P4*'Output-Calculation-sheet'!P76</f>
        <v>1100758194.194417</v>
      </c>
      <c r="Q93" s="2">
        <f>Q5/'Output-Calculation-sheet'!Q4*'Output-Calculation-sheet'!Q76</f>
        <v>494859168.31282169</v>
      </c>
      <c r="R93" s="2">
        <f>R5/'Output-Calculation-sheet'!R4*'Output-Calculation-sheet'!R76</f>
        <v>789742720.11581492</v>
      </c>
      <c r="S93" s="2">
        <f>S5/'Output-Calculation-sheet'!S4*'Output-Calculation-sheet'!S76</f>
        <v>261658849.24845123</v>
      </c>
      <c r="T93" s="2">
        <f>T5/'Output-Calculation-sheet'!T4*'Output-Calculation-sheet'!T76</f>
        <v>424363684.74642038</v>
      </c>
      <c r="U93" s="2">
        <f>U5/'Output-Calculation-sheet'!U4*'Output-Calculation-sheet'!U76</f>
        <v>221317134.54542851</v>
      </c>
      <c r="V93" s="2">
        <f>V5/'Output-Calculation-sheet'!V4*'Output-Calculation-sheet'!V76</f>
        <v>132410028.64540793</v>
      </c>
      <c r="W93" s="2">
        <f>W5/'Output-Calculation-sheet'!W4*'Output-Calculation-sheet'!W76</f>
        <v>441251265.77602917</v>
      </c>
      <c r="X93" s="2">
        <f>X5/'Output-Calculation-sheet'!X4*'Output-Calculation-sheet'!X76</f>
        <v>0</v>
      </c>
      <c r="Y93" s="2">
        <f>Y5/'Output-Calculation-sheet'!Y4*'Output-Calculation-sheet'!Y76</f>
        <v>185030541.04040933</v>
      </c>
      <c r="AA93" s="2">
        <f t="shared" ref="AA93:AA100" si="8">SUM(B93:Y93)/10^9</f>
        <v>29.854591451678345</v>
      </c>
    </row>
    <row r="94" spans="1:27" x14ac:dyDescent="0.25">
      <c r="A94" s="2">
        <v>2029</v>
      </c>
      <c r="B94" s="2">
        <f>B6/'Output-Calculation-sheet'!B5*'Output-Calculation-sheet'!B77</f>
        <v>8297198192.5046215</v>
      </c>
      <c r="C94" s="2">
        <f>C6/'Output-Calculation-sheet'!C5*'Output-Calculation-sheet'!C77</f>
        <v>0</v>
      </c>
      <c r="D94" s="2">
        <f>D6/'Output-Calculation-sheet'!D5*'Output-Calculation-sheet'!D77</f>
        <v>5353870192.7012606</v>
      </c>
      <c r="E94" s="2">
        <f>E6/'Output-Calculation-sheet'!E5*'Output-Calculation-sheet'!E77</f>
        <v>7980188988.1780348</v>
      </c>
      <c r="F94" s="2">
        <f>F6/'Output-Calculation-sheet'!F5*'Output-Calculation-sheet'!F77</f>
        <v>3911958534.0107565</v>
      </c>
      <c r="G94" s="2">
        <f>G6/'Output-Calculation-sheet'!G5*'Output-Calculation-sheet'!G77</f>
        <v>3027908764.6441665</v>
      </c>
      <c r="H94" s="2">
        <f>H6/'Output-Calculation-sheet'!H5*'Output-Calculation-sheet'!H77</f>
        <v>740540303.39315557</v>
      </c>
      <c r="I94" s="2">
        <f>I6/'Output-Calculation-sheet'!I5*'Output-Calculation-sheet'!I77</f>
        <v>2028654664.0173559</v>
      </c>
      <c r="J94" s="2">
        <f>J6/'Output-Calculation-sheet'!J5*'Output-Calculation-sheet'!J77</f>
        <v>1470754331.1456723</v>
      </c>
      <c r="K94" s="2">
        <f>K6/'Output-Calculation-sheet'!K5*'Output-Calculation-sheet'!K77</f>
        <v>1833807444.8346951</v>
      </c>
      <c r="L94" s="2">
        <f>L6/'Output-Calculation-sheet'!L5*'Output-Calculation-sheet'!L77</f>
        <v>1223048459.4043322</v>
      </c>
      <c r="M94" s="2">
        <f>M6/'Output-Calculation-sheet'!M5*'Output-Calculation-sheet'!M77</f>
        <v>538635646.4745872</v>
      </c>
      <c r="N94" s="2">
        <f>N6/'Output-Calculation-sheet'!N5*'Output-Calculation-sheet'!N77</f>
        <v>634974560.89070761</v>
      </c>
      <c r="O94" s="2">
        <f>O6/'Output-Calculation-sheet'!O5*'Output-Calculation-sheet'!O77</f>
        <v>0</v>
      </c>
      <c r="P94" s="2">
        <f>P6/'Output-Calculation-sheet'!P5*'Output-Calculation-sheet'!P77</f>
        <v>1536511294.4946253</v>
      </c>
      <c r="Q94" s="2">
        <f>Q6/'Output-Calculation-sheet'!Q5*'Output-Calculation-sheet'!Q77</f>
        <v>699916776.47313893</v>
      </c>
      <c r="R94" s="2">
        <f>R6/'Output-Calculation-sheet'!R5*'Output-Calculation-sheet'!R77</f>
        <v>1091755434.2909131</v>
      </c>
      <c r="S94" s="2">
        <f>S6/'Output-Calculation-sheet'!S5*'Output-Calculation-sheet'!S77</f>
        <v>368585031.00968581</v>
      </c>
      <c r="T94" s="2">
        <f>T6/'Output-Calculation-sheet'!T5*'Output-Calculation-sheet'!T77</f>
        <v>584151705.60632217</v>
      </c>
      <c r="U94" s="2">
        <f>U6/'Output-Calculation-sheet'!U5*'Output-Calculation-sheet'!U77</f>
        <v>298337188.44328165</v>
      </c>
      <c r="V94" s="2">
        <f>V6/'Output-Calculation-sheet'!V5*'Output-Calculation-sheet'!V77</f>
        <v>178546284.31512573</v>
      </c>
      <c r="W94" s="2">
        <f>W6/'Output-Calculation-sheet'!W5*'Output-Calculation-sheet'!W77</f>
        <v>614184873.27890646</v>
      </c>
      <c r="X94" s="2">
        <f>X6/'Output-Calculation-sheet'!X5*'Output-Calculation-sheet'!X77</f>
        <v>50232395.204404488</v>
      </c>
      <c r="Y94" s="2">
        <f>Y6/'Output-Calculation-sheet'!Y5*'Output-Calculation-sheet'!Y77</f>
        <v>259047629.43697304</v>
      </c>
      <c r="AA94" s="2">
        <f t="shared" si="8"/>
        <v>42.722808694752736</v>
      </c>
    </row>
    <row r="95" spans="1:27" x14ac:dyDescent="0.25">
      <c r="A95" s="2">
        <v>2030</v>
      </c>
      <c r="B95" s="2">
        <f>B7/'Output-Calculation-sheet'!B6*'Output-Calculation-sheet'!B78</f>
        <v>10485876589.651588</v>
      </c>
      <c r="C95" s="2">
        <f>C7/'Output-Calculation-sheet'!C6*'Output-Calculation-sheet'!C78</f>
        <v>0</v>
      </c>
      <c r="D95" s="2">
        <f>D7/'Output-Calculation-sheet'!D6*'Output-Calculation-sheet'!D78</f>
        <v>6688072799.3687325</v>
      </c>
      <c r="E95" s="2">
        <f>E7/'Output-Calculation-sheet'!E6*'Output-Calculation-sheet'!E78</f>
        <v>10165091797.688051</v>
      </c>
      <c r="F95" s="2">
        <f>F7/'Output-Calculation-sheet'!F6*'Output-Calculation-sheet'!F78</f>
        <v>4878519937.6285858</v>
      </c>
      <c r="G95" s="2">
        <f>G7/'Output-Calculation-sheet'!G6*'Output-Calculation-sheet'!G78</f>
        <v>3825787016.7412529</v>
      </c>
      <c r="H95" s="2">
        <f>H7/'Output-Calculation-sheet'!H6*'Output-Calculation-sheet'!H78</f>
        <v>978519734.72250628</v>
      </c>
      <c r="I95" s="2">
        <f>I7/'Output-Calculation-sheet'!I6*'Output-Calculation-sheet'!I78</f>
        <v>2524903766.2913709</v>
      </c>
      <c r="J95" s="2">
        <f>J7/'Output-Calculation-sheet'!J6*'Output-Calculation-sheet'!J78</f>
        <v>1851726098.6938124</v>
      </c>
      <c r="K95" s="2">
        <f>K7/'Output-Calculation-sheet'!K6*'Output-Calculation-sheet'!K78</f>
        <v>2282551799.969882</v>
      </c>
      <c r="L95" s="2">
        <f>L7/'Output-Calculation-sheet'!L6*'Output-Calculation-sheet'!L78</f>
        <v>1544021602.558006</v>
      </c>
      <c r="M95" s="2">
        <f>M7/'Output-Calculation-sheet'!M6*'Output-Calculation-sheet'!M78</f>
        <v>717893162.24894857</v>
      </c>
      <c r="N95" s="2">
        <f>N7/'Output-Calculation-sheet'!N6*'Output-Calculation-sheet'!N78</f>
        <v>837739158.50885439</v>
      </c>
      <c r="O95" s="2">
        <f>O7/'Output-Calculation-sheet'!O6*'Output-Calculation-sheet'!O78</f>
        <v>0</v>
      </c>
      <c r="P95" s="2">
        <f>P7/'Output-Calculation-sheet'!P6*'Output-Calculation-sheet'!P78</f>
        <v>1942926732.6236575</v>
      </c>
      <c r="Q95" s="2">
        <f>Q7/'Output-Calculation-sheet'!Q6*'Output-Calculation-sheet'!Q78</f>
        <v>896990298.39234483</v>
      </c>
      <c r="R95" s="2">
        <f>R7/'Output-Calculation-sheet'!R6*'Output-Calculation-sheet'!R78</f>
        <v>1372793100.9957714</v>
      </c>
      <c r="S95" s="2">
        <f>S7/'Output-Calculation-sheet'!S6*'Output-Calculation-sheet'!S78</f>
        <v>486378378.34823805</v>
      </c>
      <c r="T95" s="2">
        <f>T7/'Output-Calculation-sheet'!T6*'Output-Calculation-sheet'!T78</f>
        <v>732526496.6214658</v>
      </c>
      <c r="U95" s="2">
        <f>U7/'Output-Calculation-sheet'!U6*'Output-Calculation-sheet'!U78</f>
        <v>365348650.11750811</v>
      </c>
      <c r="V95" s="2">
        <f>V7/'Output-Calculation-sheet'!V6*'Output-Calculation-sheet'!V78</f>
        <v>218967391.58444452</v>
      </c>
      <c r="W95" s="2">
        <f>W7/'Output-Calculation-sheet'!W6*'Output-Calculation-sheet'!W78</f>
        <v>779063385.79010904</v>
      </c>
      <c r="X95" s="2">
        <f>X7/'Output-Calculation-sheet'!X6*'Output-Calculation-sheet'!X78</f>
        <v>67935276.003234491</v>
      </c>
      <c r="Y95" s="2">
        <f>Y7/'Output-Calculation-sheet'!Y6*'Output-Calculation-sheet'!Y78</f>
        <v>330610534.1201961</v>
      </c>
      <c r="AA95" s="2">
        <f t="shared" si="8"/>
        <v>53.974243708668553</v>
      </c>
    </row>
    <row r="96" spans="1:27" x14ac:dyDescent="0.25">
      <c r="A96" s="2">
        <v>2031</v>
      </c>
      <c r="B96" s="2">
        <f>B8/'Output-Calculation-sheet'!B7*'Output-Calculation-sheet'!B79</f>
        <v>12689006188.481871</v>
      </c>
      <c r="C96" s="2">
        <f>C8/'Output-Calculation-sheet'!C7*'Output-Calculation-sheet'!C79</f>
        <v>0</v>
      </c>
      <c r="D96" s="2">
        <f>D8/'Output-Calculation-sheet'!D7*'Output-Calculation-sheet'!D79</f>
        <v>7723693610.0595713</v>
      </c>
      <c r="E96" s="2">
        <f>E8/'Output-Calculation-sheet'!E7*'Output-Calculation-sheet'!E79</f>
        <v>12098051045.143538</v>
      </c>
      <c r="F96" s="2">
        <f>F8/'Output-Calculation-sheet'!F7*'Output-Calculation-sheet'!F79</f>
        <v>5791062049.2193146</v>
      </c>
      <c r="G96" s="2">
        <f>G8/'Output-Calculation-sheet'!G7*'Output-Calculation-sheet'!G79</f>
        <v>4414821895.6244831</v>
      </c>
      <c r="H96" s="2">
        <f>H8/'Output-Calculation-sheet'!H7*'Output-Calculation-sheet'!H79</f>
        <v>1193169111.3111932</v>
      </c>
      <c r="I96" s="2">
        <f>I8/'Output-Calculation-sheet'!I7*'Output-Calculation-sheet'!I79</f>
        <v>3027616514.209383</v>
      </c>
      <c r="J96" s="2">
        <f>J8/'Output-Calculation-sheet'!J7*'Output-Calculation-sheet'!J79</f>
        <v>2155133612.4588938</v>
      </c>
      <c r="K96" s="2">
        <f>K8/'Output-Calculation-sheet'!K7*'Output-Calculation-sheet'!K79</f>
        <v>2685996109.2140527</v>
      </c>
      <c r="L96" s="2">
        <f>L8/'Output-Calculation-sheet'!L7*'Output-Calculation-sheet'!L79</f>
        <v>1869073932.5614002</v>
      </c>
      <c r="M96" s="2">
        <f>M8/'Output-Calculation-sheet'!M7*'Output-Calculation-sheet'!M79</f>
        <v>884528121.88511312</v>
      </c>
      <c r="N96" s="2">
        <f>N8/'Output-Calculation-sheet'!N7*'Output-Calculation-sheet'!N79</f>
        <v>985811462.62273228</v>
      </c>
      <c r="O96" s="2">
        <f>O8/'Output-Calculation-sheet'!O7*'Output-Calculation-sheet'!O79</f>
        <v>0</v>
      </c>
      <c r="P96" s="2">
        <f>P8/'Output-Calculation-sheet'!P7*'Output-Calculation-sheet'!P79</f>
        <v>2279945911.5810022</v>
      </c>
      <c r="Q96" s="2">
        <f>Q8/'Output-Calculation-sheet'!Q7*'Output-Calculation-sheet'!Q79</f>
        <v>1058466621.5870416</v>
      </c>
      <c r="R96" s="2">
        <f>R8/'Output-Calculation-sheet'!R7*'Output-Calculation-sheet'!R79</f>
        <v>1633073064.1088295</v>
      </c>
      <c r="S96" s="2">
        <f>S8/'Output-Calculation-sheet'!S7*'Output-Calculation-sheet'!S79</f>
        <v>598172799.05926645</v>
      </c>
      <c r="T96" s="2">
        <f>T8/'Output-Calculation-sheet'!T7*'Output-Calculation-sheet'!T79</f>
        <v>855990324.82509911</v>
      </c>
      <c r="U96" s="2">
        <f>U8/'Output-Calculation-sheet'!U7*'Output-Calculation-sheet'!U79</f>
        <v>434616157.24897552</v>
      </c>
      <c r="V96" s="2">
        <f>V8/'Output-Calculation-sheet'!V7*'Output-Calculation-sheet'!V79</f>
        <v>263468502.23383155</v>
      </c>
      <c r="W96" s="2">
        <f>W8/'Output-Calculation-sheet'!W7*'Output-Calculation-sheet'!W79</f>
        <v>917515419.29098344</v>
      </c>
      <c r="X96" s="2">
        <f>X8/'Output-Calculation-sheet'!X7*'Output-Calculation-sheet'!X79</f>
        <v>85542757.023641974</v>
      </c>
      <c r="Y96" s="2">
        <f>Y8/'Output-Calculation-sheet'!Y7*'Output-Calculation-sheet'!Y79</f>
        <v>390287475.40448684</v>
      </c>
      <c r="AA96" s="2">
        <f t="shared" si="8"/>
        <v>64.035042685154707</v>
      </c>
    </row>
    <row r="97" spans="1:27" x14ac:dyDescent="0.25">
      <c r="A97" s="2">
        <v>2032</v>
      </c>
      <c r="B97" s="2">
        <f>B9/'Output-Calculation-sheet'!B8*'Output-Calculation-sheet'!B80</f>
        <v>14687525388.260281</v>
      </c>
      <c r="C97" s="2">
        <f>C9/'Output-Calculation-sheet'!C8*'Output-Calculation-sheet'!C80</f>
        <v>0</v>
      </c>
      <c r="D97" s="2">
        <f>D9/'Output-Calculation-sheet'!D8*'Output-Calculation-sheet'!D80</f>
        <v>8526570439.4444952</v>
      </c>
      <c r="E97" s="2">
        <f>E9/'Output-Calculation-sheet'!E8*'Output-Calculation-sheet'!E80</f>
        <v>13756134789.139214</v>
      </c>
      <c r="F97" s="2">
        <f>F9/'Output-Calculation-sheet'!F8*'Output-Calculation-sheet'!F80</f>
        <v>6561895229.2696209</v>
      </c>
      <c r="G97" s="2">
        <f>G9/'Output-Calculation-sheet'!G8*'Output-Calculation-sheet'!G80</f>
        <v>4858921878.5198975</v>
      </c>
      <c r="H97" s="2">
        <f>H9/'Output-Calculation-sheet'!H8*'Output-Calculation-sheet'!H80</f>
        <v>1387616547.7302759</v>
      </c>
      <c r="I97" s="2">
        <f>I9/'Output-Calculation-sheet'!I8*'Output-Calculation-sheet'!I80</f>
        <v>3464783813.4379773</v>
      </c>
      <c r="J97" s="2">
        <f>J9/'Output-Calculation-sheet'!J8*'Output-Calculation-sheet'!J80</f>
        <v>2396217456.9297981</v>
      </c>
      <c r="K97" s="2">
        <f>K9/'Output-Calculation-sheet'!K8*'Output-Calculation-sheet'!K80</f>
        <v>3014234309.9426312</v>
      </c>
      <c r="L97" s="2">
        <f>L9/'Output-Calculation-sheet'!L8*'Output-Calculation-sheet'!L80</f>
        <v>2164172862.334878</v>
      </c>
      <c r="M97" s="2">
        <f>M9/'Output-Calculation-sheet'!M8*'Output-Calculation-sheet'!M80</f>
        <v>1030498192.0000083</v>
      </c>
      <c r="N97" s="2">
        <f>N9/'Output-Calculation-sheet'!N8*'Output-Calculation-sheet'!N80</f>
        <v>1096857341.5149202</v>
      </c>
      <c r="O97" s="2">
        <f>O9/'Output-Calculation-sheet'!O8*'Output-Calculation-sheet'!O80</f>
        <v>0</v>
      </c>
      <c r="P97" s="2">
        <f>P9/'Output-Calculation-sheet'!P8*'Output-Calculation-sheet'!P80</f>
        <v>2566829021.0004449</v>
      </c>
      <c r="Q97" s="2">
        <f>Q9/'Output-Calculation-sheet'!Q8*'Output-Calculation-sheet'!Q80</f>
        <v>1196782691.592402</v>
      </c>
      <c r="R97" s="2">
        <f>R9/'Output-Calculation-sheet'!R8*'Output-Calculation-sheet'!R80</f>
        <v>1854917971.2406468</v>
      </c>
      <c r="S97" s="2">
        <f>S9/'Output-Calculation-sheet'!S8*'Output-Calculation-sheet'!S80</f>
        <v>698917516.47856045</v>
      </c>
      <c r="T97" s="2">
        <f>T9/'Output-Calculation-sheet'!T8*'Output-Calculation-sheet'!T80</f>
        <v>953862693.88401127</v>
      </c>
      <c r="U97" s="2">
        <f>U9/'Output-Calculation-sheet'!U8*'Output-Calculation-sheet'!U80</f>
        <v>493871944.75397879</v>
      </c>
      <c r="V97" s="2">
        <f>V9/'Output-Calculation-sheet'!V8*'Output-Calculation-sheet'!V80</f>
        <v>302762015.80040592</v>
      </c>
      <c r="W97" s="2">
        <f>W9/'Output-Calculation-sheet'!W8*'Output-Calculation-sheet'!W80</f>
        <v>1030746335.4579662</v>
      </c>
      <c r="X97" s="2">
        <f>X9/'Output-Calculation-sheet'!X8*'Output-Calculation-sheet'!X80</f>
        <v>102047962.46035765</v>
      </c>
      <c r="Y97" s="2">
        <f>Y9/'Output-Calculation-sheet'!Y8*'Output-Calculation-sheet'!Y80</f>
        <v>438896861.635427</v>
      </c>
      <c r="AA97" s="2">
        <f t="shared" si="8"/>
        <v>72.5850632628282</v>
      </c>
    </row>
    <row r="98" spans="1:27" x14ac:dyDescent="0.25">
      <c r="A98" s="2">
        <v>2033</v>
      </c>
      <c r="B98" s="2">
        <f>B10/'Output-Calculation-sheet'!B9*'Output-Calculation-sheet'!B81</f>
        <v>17042009214.18115</v>
      </c>
      <c r="C98" s="2">
        <f>C10/'Output-Calculation-sheet'!C9*'Output-Calculation-sheet'!C81</f>
        <v>2231995810.2725544</v>
      </c>
      <c r="D98" s="2">
        <f>D10/'Output-Calculation-sheet'!D9*'Output-Calculation-sheet'!D81</f>
        <v>9085671427.0666828</v>
      </c>
      <c r="E98" s="2">
        <f>E10/'Output-Calculation-sheet'!E9*'Output-Calculation-sheet'!E81</f>
        <v>15085378017.047646</v>
      </c>
      <c r="F98" s="2">
        <f>F10/'Output-Calculation-sheet'!F9*'Output-Calculation-sheet'!F81</f>
        <v>7182003224.7725296</v>
      </c>
      <c r="G98" s="2">
        <f>G10/'Output-Calculation-sheet'!G9*'Output-Calculation-sheet'!G81</f>
        <v>5157218894.54422</v>
      </c>
      <c r="H98" s="2">
        <f>H10/'Output-Calculation-sheet'!H9*'Output-Calculation-sheet'!H81</f>
        <v>1554253157.458034</v>
      </c>
      <c r="I98" s="2">
        <f>I10/'Output-Calculation-sheet'!I9*'Output-Calculation-sheet'!I81</f>
        <v>3827832506.8658471</v>
      </c>
      <c r="J98" s="2">
        <f>J10/'Output-Calculation-sheet'!J9*'Output-Calculation-sheet'!J81</f>
        <v>2573945421.5628529</v>
      </c>
      <c r="K98" s="2">
        <f>K10/'Output-Calculation-sheet'!K9*'Output-Calculation-sheet'!K81</f>
        <v>3268823081.1197658</v>
      </c>
      <c r="L98" s="2">
        <f>L10/'Output-Calculation-sheet'!L9*'Output-Calculation-sheet'!L81</f>
        <v>2416780016.1102548</v>
      </c>
      <c r="M98" s="2">
        <f>M10/'Output-Calculation-sheet'!M9*'Output-Calculation-sheet'!M81</f>
        <v>1158857945.5232763</v>
      </c>
      <c r="N98" s="2">
        <f>N10/'Output-Calculation-sheet'!N9*'Output-Calculation-sheet'!N81</f>
        <v>1179259310.659575</v>
      </c>
      <c r="O98" s="2">
        <f>O10/'Output-Calculation-sheet'!O9*'Output-Calculation-sheet'!O81</f>
        <v>0</v>
      </c>
      <c r="P98" s="2">
        <f>P10/'Output-Calculation-sheet'!P9*'Output-Calculation-sheet'!P81</f>
        <v>2780949131.340807</v>
      </c>
      <c r="Q98" s="2">
        <f>Q10/'Output-Calculation-sheet'!Q9*'Output-Calculation-sheet'!Q81</f>
        <v>1305339562.2703915</v>
      </c>
      <c r="R98" s="2">
        <f>R10/'Output-Calculation-sheet'!R9*'Output-Calculation-sheet'!R81</f>
        <v>2036924370.3267233</v>
      </c>
      <c r="S98" s="2">
        <f>S10/'Output-Calculation-sheet'!S9*'Output-Calculation-sheet'!S81</f>
        <v>773455518.0960809</v>
      </c>
      <c r="T98" s="2">
        <f>T10/'Output-Calculation-sheet'!T9*'Output-Calculation-sheet'!T81</f>
        <v>1026619677.1932074</v>
      </c>
      <c r="U98" s="2">
        <f>U10/'Output-Calculation-sheet'!U9*'Output-Calculation-sheet'!U81</f>
        <v>541132335.35782015</v>
      </c>
      <c r="V98" s="2">
        <f>V10/'Output-Calculation-sheet'!V9*'Output-Calculation-sheet'!V81</f>
        <v>335337316.83301711</v>
      </c>
      <c r="W98" s="2">
        <f>W10/'Output-Calculation-sheet'!W9*'Output-Calculation-sheet'!W81</f>
        <v>1114877633.9385498</v>
      </c>
      <c r="X98" s="2">
        <f>X10/'Output-Calculation-sheet'!X9*'Output-Calculation-sheet'!X81</f>
        <v>115976747.79465364</v>
      </c>
      <c r="Y98" s="2">
        <f>Y10/'Output-Calculation-sheet'!Y9*'Output-Calculation-sheet'!Y81</f>
        <v>475947669.83216804</v>
      </c>
      <c r="AA98" s="2">
        <f t="shared" si="8"/>
        <v>82.270587990167783</v>
      </c>
    </row>
    <row r="99" spans="1:27" x14ac:dyDescent="0.25">
      <c r="A99" s="2">
        <v>2034</v>
      </c>
      <c r="B99" s="2">
        <f>B11/'Output-Calculation-sheet'!B10*'Output-Calculation-sheet'!B82</f>
        <v>18994828209.246937</v>
      </c>
      <c r="C99" s="2">
        <f>C11/'Output-Calculation-sheet'!C10*'Output-Calculation-sheet'!C82</f>
        <v>2576165567.7327685</v>
      </c>
      <c r="D99" s="2">
        <f>D11/'Output-Calculation-sheet'!D10*'Output-Calculation-sheet'!D82</f>
        <v>9477548091.5536728</v>
      </c>
      <c r="E99" s="2">
        <f>E11/'Output-Calculation-sheet'!E10*'Output-Calculation-sheet'!E82</f>
        <v>16208210031.147915</v>
      </c>
      <c r="F99" s="2">
        <f>F11/'Output-Calculation-sheet'!F10*'Output-Calculation-sheet'!F82</f>
        <v>7697411683.2941914</v>
      </c>
      <c r="G99" s="2">
        <f>G11/'Output-Calculation-sheet'!G10*'Output-Calculation-sheet'!G82</f>
        <v>5347049154.0114756</v>
      </c>
      <c r="H99" s="2">
        <f>H11/'Output-Calculation-sheet'!H10*'Output-Calculation-sheet'!H82</f>
        <v>1706206184.6607335</v>
      </c>
      <c r="I99" s="2">
        <f>I11/'Output-Calculation-sheet'!I10*'Output-Calculation-sheet'!I82</f>
        <v>4144930516.0740819</v>
      </c>
      <c r="J99" s="2">
        <f>J11/'Output-Calculation-sheet'!J10*'Output-Calculation-sheet'!J82</f>
        <v>2708028725.4607821</v>
      </c>
      <c r="K99" s="2">
        <f>K11/'Output-Calculation-sheet'!K10*'Output-Calculation-sheet'!K82</f>
        <v>3472174901.2772865</v>
      </c>
      <c r="L99" s="2">
        <f>L11/'Output-Calculation-sheet'!L10*'Output-Calculation-sheet'!L82</f>
        <v>2640246798.6921291</v>
      </c>
      <c r="M99" s="2">
        <f>M11/'Output-Calculation-sheet'!M10*'Output-Calculation-sheet'!M82</f>
        <v>1276296111.7800901</v>
      </c>
      <c r="N99" s="2">
        <f>N11/'Output-Calculation-sheet'!N10*'Output-Calculation-sheet'!N82</f>
        <v>1245609809.5049345</v>
      </c>
      <c r="O99" s="2">
        <f>O11/'Output-Calculation-sheet'!O10*'Output-Calculation-sheet'!O82</f>
        <v>0</v>
      </c>
      <c r="P99" s="2">
        <f>P11/'Output-Calculation-sheet'!P10*'Output-Calculation-sheet'!P82</f>
        <v>2946153416.5815358</v>
      </c>
      <c r="Q99" s="2">
        <f>Q11/'Output-Calculation-sheet'!Q10*'Output-Calculation-sheet'!Q82</f>
        <v>1395025378.9863691</v>
      </c>
      <c r="R99" s="2">
        <f>R11/'Output-Calculation-sheet'!R10*'Output-Calculation-sheet'!R82</f>
        <v>2189256221.968946</v>
      </c>
      <c r="S99" s="2">
        <f>S11/'Output-Calculation-sheet'!S10*'Output-Calculation-sheet'!S82</f>
        <v>853009452.64911091</v>
      </c>
      <c r="T99" s="2">
        <f>T11/'Output-Calculation-sheet'!T10*'Output-Calculation-sheet'!T82</f>
        <v>1081666354.0107267</v>
      </c>
      <c r="U99" s="2">
        <f>U11/'Output-Calculation-sheet'!U10*'Output-Calculation-sheet'!U82</f>
        <v>581424055.08918679</v>
      </c>
      <c r="V99" s="2">
        <f>V11/'Output-Calculation-sheet'!V10*'Output-Calculation-sheet'!V82</f>
        <v>363725779.23444623</v>
      </c>
      <c r="W99" s="2">
        <f>W11/'Output-Calculation-sheet'!W10*'Output-Calculation-sheet'!W82</f>
        <v>1179048112.7583134</v>
      </c>
      <c r="X99" s="2">
        <f>X11/'Output-Calculation-sheet'!X10*'Output-Calculation-sheet'!X82</f>
        <v>129735851.32463174</v>
      </c>
      <c r="Y99" s="2">
        <f>Y11/'Output-Calculation-sheet'!Y10*'Output-Calculation-sheet'!Y82</f>
        <v>504485101.42630851</v>
      </c>
      <c r="AA99" s="2">
        <f t="shared" si="8"/>
        <v>88.718235508466577</v>
      </c>
    </row>
    <row r="100" spans="1:27" x14ac:dyDescent="0.25">
      <c r="A100" s="2">
        <v>2035</v>
      </c>
      <c r="B100" s="2">
        <f>B12/'Output-Calculation-sheet'!B11*'Output-Calculation-sheet'!B83</f>
        <v>20553218737.900269</v>
      </c>
      <c r="C100" s="2">
        <f>C12/'Output-Calculation-sheet'!C11*'Output-Calculation-sheet'!C83</f>
        <v>2907976319.0899677</v>
      </c>
      <c r="D100" s="2">
        <f>D12/'Output-Calculation-sheet'!D11*'Output-Calculation-sheet'!D83</f>
        <v>9775224356.1741848</v>
      </c>
      <c r="E100" s="2">
        <f>E12/'Output-Calculation-sheet'!E11*'Output-Calculation-sheet'!E83</f>
        <v>17197716733.239483</v>
      </c>
      <c r="F100" s="2">
        <f>F12/'Output-Calculation-sheet'!F11*'Output-Calculation-sheet'!F83</f>
        <v>8150113799.2730856</v>
      </c>
      <c r="G100" s="2">
        <f>G12/'Output-Calculation-sheet'!G11*'Output-Calculation-sheet'!G83</f>
        <v>5466070130.8904972</v>
      </c>
      <c r="H100" s="2">
        <f>H12/'Output-Calculation-sheet'!H11*'Output-Calculation-sheet'!H83</f>
        <v>1841837768.5314236</v>
      </c>
      <c r="I100" s="2">
        <f>I12/'Output-Calculation-sheet'!I11*'Output-Calculation-sheet'!I83</f>
        <v>4428786679.8929167</v>
      </c>
      <c r="J100" s="2">
        <f>J12/'Output-Calculation-sheet'!J11*'Output-Calculation-sheet'!J83</f>
        <v>2813691827.0311189</v>
      </c>
      <c r="K100" s="2">
        <f>K12/'Output-Calculation-sheet'!K11*'Output-Calculation-sheet'!K83</f>
        <v>3642081050.5584059</v>
      </c>
      <c r="L100" s="2">
        <f>L12/'Output-Calculation-sheet'!L11*'Output-Calculation-sheet'!L83</f>
        <v>2845685974.608645</v>
      </c>
      <c r="M100" s="2">
        <f>M12/'Output-Calculation-sheet'!M11*'Output-Calculation-sheet'!M83</f>
        <v>1380547497.1596432</v>
      </c>
      <c r="N100" s="2">
        <f>N12/'Output-Calculation-sheet'!N11*'Output-Calculation-sheet'!N83</f>
        <v>1300518505.6240413</v>
      </c>
      <c r="O100" s="2">
        <f>O12/'Output-Calculation-sheet'!O11*'Output-Calculation-sheet'!O83</f>
        <v>350863824.28517753</v>
      </c>
      <c r="P100" s="2">
        <f>P12/'Output-Calculation-sheet'!P11*'Output-Calculation-sheet'!P83</f>
        <v>3080699441.7320557</v>
      </c>
      <c r="Q100" s="2">
        <f>Q12/'Output-Calculation-sheet'!Q11*'Output-Calculation-sheet'!Q83</f>
        <v>1477432892.3188958</v>
      </c>
      <c r="R100" s="2">
        <f>R12/'Output-Calculation-sheet'!R11*'Output-Calculation-sheet'!R83</f>
        <v>2327249376.2663617</v>
      </c>
      <c r="S100" s="2">
        <f>S12/'Output-Calculation-sheet'!S11*'Output-Calculation-sheet'!S83</f>
        <v>902629089.23641157</v>
      </c>
      <c r="T100" s="2">
        <f>T12/'Output-Calculation-sheet'!T11*'Output-Calculation-sheet'!T83</f>
        <v>1125076037.1298819</v>
      </c>
      <c r="U100" s="2">
        <f>U12/'Output-Calculation-sheet'!U11*'Output-Calculation-sheet'!U83</f>
        <v>616310235.17343915</v>
      </c>
      <c r="V100" s="2">
        <f>V12/'Output-Calculation-sheet'!V11*'Output-Calculation-sheet'!V83</f>
        <v>389536423.9600113</v>
      </c>
      <c r="W100" s="2">
        <f>W12/'Output-Calculation-sheet'!W11*'Output-Calculation-sheet'!W83</f>
        <v>1229183896.9198918</v>
      </c>
      <c r="X100" s="2">
        <f>X12/'Output-Calculation-sheet'!X11*'Output-Calculation-sheet'!X83</f>
        <v>143030956.60303587</v>
      </c>
      <c r="Y100" s="2">
        <f>Y12/'Output-Calculation-sheet'!Y11*'Output-Calculation-sheet'!Y83</f>
        <v>527752148.39089805</v>
      </c>
      <c r="AA100" s="2">
        <f t="shared" si="8"/>
        <v>94.473233701989713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B34FB-F9BA-4C4B-8367-590C5B500664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113232851912.61148</v>
      </c>
      <c r="C8" s="2">
        <v>53361017782.036362</v>
      </c>
      <c r="D8" s="2">
        <v>47559092425.728462</v>
      </c>
      <c r="E8" s="2">
        <v>37733313695.378159</v>
      </c>
      <c r="F8" s="2">
        <v>24290288072.568779</v>
      </c>
      <c r="G8" s="2">
        <v>17067023028.749872</v>
      </c>
      <c r="H8" s="2">
        <v>16648225816.431158</v>
      </c>
      <c r="I8" s="2">
        <v>15549401447.47616</v>
      </c>
      <c r="J8" s="2">
        <v>15134713423.646673</v>
      </c>
      <c r="K8" s="2">
        <v>14989622995.367044</v>
      </c>
      <c r="L8" s="2">
        <v>12024870452.714918</v>
      </c>
      <c r="M8" s="2">
        <v>11485824535.869081</v>
      </c>
      <c r="N8" s="2">
        <v>11273303609.899086</v>
      </c>
      <c r="O8" s="2">
        <v>10368092094.753942</v>
      </c>
      <c r="P8" s="2">
        <v>10262604955.334274</v>
      </c>
      <c r="Q8" s="2">
        <v>10096744673.227861</v>
      </c>
      <c r="R8" s="2">
        <v>9713532784.4351025</v>
      </c>
      <c r="S8" s="2">
        <v>6456111480.9920874</v>
      </c>
      <c r="T8" s="2">
        <v>3570611127.6374855</v>
      </c>
      <c r="U8" s="2">
        <v>3109880289.4952369</v>
      </c>
      <c r="V8" s="2">
        <v>2394670020.5171242</v>
      </c>
      <c r="W8" s="2">
        <v>2073253526.3301561</v>
      </c>
      <c r="X8" s="2">
        <v>1243952115.7980945</v>
      </c>
      <c r="Y8" s="2">
        <v>1209730993.0924871</v>
      </c>
    </row>
    <row r="9" spans="1:27" x14ac:dyDescent="0.25">
      <c r="A9" s="2">
        <v>2032</v>
      </c>
      <c r="B9" s="2">
        <v>120757734320.87694</v>
      </c>
      <c r="C9" s="2">
        <v>56907121030.45649</v>
      </c>
      <c r="D9" s="2">
        <v>50719629071.256294</v>
      </c>
      <c r="E9" s="2">
        <v>40240878802.464272</v>
      </c>
      <c r="F9" s="2">
        <v>25904497715.102879</v>
      </c>
      <c r="G9" s="2">
        <v>18201211024.38224</v>
      </c>
      <c r="H9" s="2">
        <v>17754582668.341736</v>
      </c>
      <c r="I9" s="2">
        <v>16582735991.601858</v>
      </c>
      <c r="J9" s="2">
        <v>16140489899.926113</v>
      </c>
      <c r="K9" s="2">
        <v>15985757495.904217</v>
      </c>
      <c r="L9" s="2">
        <v>12823982500.172125</v>
      </c>
      <c r="M9" s="2">
        <v>12249114319.12993</v>
      </c>
      <c r="N9" s="2">
        <v>12022470327.722582</v>
      </c>
      <c r="O9" s="2">
        <v>11057103035.42425</v>
      </c>
      <c r="P9" s="2">
        <v>10944605754.457233</v>
      </c>
      <c r="Q9" s="2">
        <v>10767723237.213482</v>
      </c>
      <c r="R9" s="2">
        <v>10359045025.247652</v>
      </c>
      <c r="S9" s="2">
        <v>6885151983.7130747</v>
      </c>
      <c r="T9" s="2">
        <v>3807895876.7830086</v>
      </c>
      <c r="U9" s="2">
        <v>3316547198.3203764</v>
      </c>
      <c r="V9" s="2">
        <v>2553807673.6506577</v>
      </c>
      <c r="W9" s="2">
        <v>2211031465.546916</v>
      </c>
      <c r="X9" s="2">
        <v>1326618879.3281503</v>
      </c>
      <c r="Y9" s="2">
        <v>1290123593.9578309</v>
      </c>
    </row>
    <row r="10" spans="1:27" x14ac:dyDescent="0.25">
      <c r="A10" s="2">
        <v>2033</v>
      </c>
      <c r="B10" s="2">
        <v>118244473119.52695</v>
      </c>
      <c r="C10" s="2">
        <v>55722745883.218826</v>
      </c>
      <c r="D10" s="2">
        <v>49664030631.880684</v>
      </c>
      <c r="E10" s="2">
        <v>39403368559.569817</v>
      </c>
      <c r="F10" s="2">
        <v>25365362317.987595</v>
      </c>
      <c r="G10" s="2">
        <v>17822399698.197433</v>
      </c>
      <c r="H10" s="2">
        <v>17385066760.996746</v>
      </c>
      <c r="I10" s="2">
        <v>16237609054.480135</v>
      </c>
      <c r="J10" s="2">
        <v>15804567176.098949</v>
      </c>
      <c r="K10" s="2">
        <v>15653055128.518875</v>
      </c>
      <c r="L10" s="2">
        <v>12557084335.464659</v>
      </c>
      <c r="M10" s="2">
        <v>11994180554.909351</v>
      </c>
      <c r="N10" s="2">
        <v>11772253574.410883</v>
      </c>
      <c r="O10" s="2">
        <v>10826977915.782478</v>
      </c>
      <c r="P10" s="2">
        <v>10716821975.956898</v>
      </c>
      <c r="Q10" s="2">
        <v>10543620812.70911</v>
      </c>
      <c r="R10" s="2">
        <v>10143448185.083256</v>
      </c>
      <c r="S10" s="2">
        <v>6741855279.4201365</v>
      </c>
      <c r="T10" s="2">
        <v>3728644332.1948223</v>
      </c>
      <c r="U10" s="2">
        <v>3247521810.8960314</v>
      </c>
      <c r="V10" s="2">
        <v>2500656744.8261642</v>
      </c>
      <c r="W10" s="2">
        <v>2165014540.597353</v>
      </c>
      <c r="X10" s="2">
        <v>1299008724.3584125</v>
      </c>
      <c r="Y10" s="2">
        <v>1263272994.3513105</v>
      </c>
    </row>
    <row r="11" spans="1:27" x14ac:dyDescent="0.25">
      <c r="A11" s="2">
        <v>2034</v>
      </c>
      <c r="B11" s="2">
        <v>106657695292.00003</v>
      </c>
      <c r="C11" s="2">
        <v>50262473115.662521</v>
      </c>
      <c r="D11" s="2">
        <v>44797451469.492226</v>
      </c>
      <c r="E11" s="2">
        <v>35542231839.087463</v>
      </c>
      <c r="F11" s="2">
        <v>22879810055.4632</v>
      </c>
      <c r="G11" s="2">
        <v>16075982464.407129</v>
      </c>
      <c r="H11" s="2">
        <v>15681503788.774183</v>
      </c>
      <c r="I11" s="2">
        <v>14646485481.420458</v>
      </c>
      <c r="J11" s="2">
        <v>14255877383.684105</v>
      </c>
      <c r="K11" s="2">
        <v>14119212004.089344</v>
      </c>
      <c r="L11" s="2">
        <v>11326615438.965172</v>
      </c>
      <c r="M11" s="2">
        <v>10818870608.9426</v>
      </c>
      <c r="N11" s="2">
        <v>10618690256.841471</v>
      </c>
      <c r="O11" s="2">
        <v>9766042175.2434559</v>
      </c>
      <c r="P11" s="2">
        <v>9666680417.7375088</v>
      </c>
      <c r="Q11" s="2">
        <v>9510451239.2690239</v>
      </c>
      <c r="R11" s="2">
        <v>9149491533.8765144</v>
      </c>
      <c r="S11" s="2">
        <v>6081220771.8857594</v>
      </c>
      <c r="T11" s="2">
        <v>3363274413.9633179</v>
      </c>
      <c r="U11" s="2">
        <v>2929297096.2840958</v>
      </c>
      <c r="V11" s="2">
        <v>2255617350.0806808</v>
      </c>
      <c r="W11" s="2">
        <v>1952864730.8560622</v>
      </c>
      <c r="X11" s="2">
        <v>1171718838.513638</v>
      </c>
      <c r="Y11" s="2">
        <v>1139484853.2661262</v>
      </c>
    </row>
    <row r="12" spans="1:27" x14ac:dyDescent="0.25">
      <c r="A12" s="2">
        <v>2035</v>
      </c>
      <c r="B12" s="2">
        <v>88497345426.730377</v>
      </c>
      <c r="C12" s="2">
        <v>41704402416.917488</v>
      </c>
      <c r="D12" s="2">
        <v>37169896893.78936</v>
      </c>
      <c r="E12" s="2">
        <v>29490541303.085716</v>
      </c>
      <c r="F12" s="2">
        <v>18984119694.626278</v>
      </c>
      <c r="G12" s="2">
        <v>13338763502.546896</v>
      </c>
      <c r="H12" s="2">
        <v>13011451764.510622</v>
      </c>
      <c r="I12" s="2">
        <v>12152663540.950134</v>
      </c>
      <c r="J12" s="2">
        <v>11828563346.798979</v>
      </c>
      <c r="K12" s="2">
        <v>11715167653.47595</v>
      </c>
      <c r="L12" s="2">
        <v>9398059805.0014534</v>
      </c>
      <c r="M12" s="2">
        <v>8976767468.915184</v>
      </c>
      <c r="N12" s="2">
        <v>8810671345.0580368</v>
      </c>
      <c r="O12" s="2">
        <v>8103201606.4888916</v>
      </c>
      <c r="P12" s="2">
        <v>8020757937.0270958</v>
      </c>
      <c r="Q12" s="2">
        <v>7891129525.9236279</v>
      </c>
      <c r="R12" s="2">
        <v>7591629563.4896193</v>
      </c>
      <c r="S12" s="2">
        <v>5045785902.2024841</v>
      </c>
      <c r="T12" s="2">
        <v>2790617749.2635245</v>
      </c>
      <c r="U12" s="2">
        <v>2430532708.1900306</v>
      </c>
      <c r="V12" s="2">
        <v>1871558795.9604888</v>
      </c>
      <c r="W12" s="2">
        <v>1620355138.7933526</v>
      </c>
      <c r="X12" s="2">
        <v>972213083.27601206</v>
      </c>
      <c r="Y12" s="2">
        <v>945467501.35508752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-4.8443221004840817E-11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192.67004507413145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3.0244191121304652E-12</v>
      </c>
      <c r="Y16" s="2">
        <f>Y5/'Output-Calculation-sheet'!Y4*'Output-Calculation-sheet'!Y22</f>
        <v>0</v>
      </c>
      <c r="AA16" s="2">
        <f t="shared" ref="AA16:AA23" si="0">SUM(B16:Y16)/1000</f>
        <v>0.19267004507408603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1533.4245836019963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1043.7250850070277</v>
      </c>
      <c r="N17" s="2">
        <f>N6/'Output-Calculation-sheet'!N5*'Output-Calculation-sheet'!N23</f>
        <v>428.04132238536522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96.208542383248712</v>
      </c>
      <c r="Y17" s="2">
        <f>Y6/'Output-Calculation-sheet'!Y5*'Output-Calculation-sheet'!Y23</f>
        <v>0</v>
      </c>
      <c r="AA17" s="2">
        <f t="shared" si="0"/>
        <v>3.1013995333776379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2058.9994115891145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1399.453207171937</v>
      </c>
      <c r="N18" s="2">
        <f>N7/'Output-Calculation-sheet'!N6*'Output-Calculation-sheet'!N24</f>
        <v>774.67774409618482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137.62596254687006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131.38296544028265</v>
      </c>
      <c r="Y18" s="2">
        <f>Y7/'Output-Calculation-sheet'!Y6*'Output-Calculation-sheet'!Y24</f>
        <v>0</v>
      </c>
      <c r="AA18" s="2">
        <f t="shared" si="0"/>
        <v>4.5021392908443891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2488.3712863971359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1704.1533293701684</v>
      </c>
      <c r="N19" s="2">
        <f>N8/'Output-Calculation-sheet'!N7*'Output-Calculation-sheet'!N25</f>
        <v>1146.2906047762599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304.04837019456897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161.73061224031963</v>
      </c>
      <c r="Y19" s="2">
        <f>Y8/'Output-Calculation-sheet'!Y7*'Output-Calculation-sheet'!Y25</f>
        <v>0</v>
      </c>
      <c r="AA19" s="2">
        <f t="shared" si="0"/>
        <v>5.8045942029784525</v>
      </c>
    </row>
    <row r="20" spans="1:27" x14ac:dyDescent="0.25">
      <c r="A20" s="2">
        <v>2032</v>
      </c>
      <c r="B20" s="2">
        <f>B9/'Output-Calculation-sheet'!B8*'Output-Calculation-sheet'!B26</f>
        <v>2.5932886250889435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2741.2935657799021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1874.6883710557886</v>
      </c>
      <c r="N20" s="2">
        <f>N9/'Output-Calculation-sheet'!N8*'Output-Calculation-sheet'!N26</f>
        <v>1365.3085930726515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469.73616185035587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180.44763267462818</v>
      </c>
      <c r="Y20" s="2">
        <f>Y9/'Output-Calculation-sheet'!Y8*'Output-Calculation-sheet'!Y26</f>
        <v>0</v>
      </c>
      <c r="AA20" s="2">
        <f t="shared" si="0"/>
        <v>6.6340676130584155</v>
      </c>
    </row>
    <row r="21" spans="1:27" x14ac:dyDescent="0.25">
      <c r="A21" s="2">
        <v>2033</v>
      </c>
      <c r="B21" s="2">
        <f>B10/'Output-Calculation-sheet'!B9*'Output-Calculation-sheet'!B27</f>
        <v>3953.7150150396965</v>
      </c>
      <c r="C21" s="2">
        <f>C10/'Output-Calculation-sheet'!C9*'Output-Calculation-sheet'!C27</f>
        <v>6169.5007560998502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2768.019829190082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1894.851586845838</v>
      </c>
      <c r="N21" s="2">
        <f>N10/'Output-Calculation-sheet'!N9*'Output-Calculation-sheet'!N27</f>
        <v>1480.5024256554123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564.79686469353601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182.38993556222252</v>
      </c>
      <c r="Y21" s="2">
        <f>Y10/'Output-Calculation-sheet'!Y9*'Output-Calculation-sheet'!Y27</f>
        <v>0</v>
      </c>
      <c r="AA21" s="2">
        <f t="shared" si="0"/>
        <v>17.013776413086639</v>
      </c>
    </row>
    <row r="22" spans="1:27" x14ac:dyDescent="0.25">
      <c r="A22" s="2">
        <v>2034</v>
      </c>
      <c r="B22" s="2">
        <f>B11/'Output-Calculation-sheet'!B10*'Output-Calculation-sheet'!B28</f>
        <v>6094.7813688696851</v>
      </c>
      <c r="C22" s="2">
        <f>C11/'Output-Calculation-sheet'!C10*'Output-Calculation-sheet'!C28</f>
        <v>5904.8235438404017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2579.8351775671458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1766.1775559338521</v>
      </c>
      <c r="N22" s="2">
        <f>N11/'Output-Calculation-sheet'!N10*'Output-Calculation-sheet'!N28</f>
        <v>1416.2651128625164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577.73950820010236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171.11992332189368</v>
      </c>
      <c r="Y22" s="2">
        <f>Y11/'Output-Calculation-sheet'!Y10*'Output-Calculation-sheet'!Y28</f>
        <v>0</v>
      </c>
      <c r="AA22" s="2">
        <f t="shared" si="0"/>
        <v>18.510742190595597</v>
      </c>
    </row>
    <row r="23" spans="1:27" x14ac:dyDescent="0.25">
      <c r="A23" s="2">
        <v>2035</v>
      </c>
      <c r="B23" s="2">
        <f>B12/'Output-Calculation-sheet'!B11*'Output-Calculation-sheet'!B29</f>
        <v>6300.1323863691532</v>
      </c>
      <c r="C23" s="2">
        <f>C12/'Output-Calculation-sheet'!C11*'Output-Calculation-sheet'!C29</f>
        <v>5162.4841000010574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2202.5434250690155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1505.5259049904096</v>
      </c>
      <c r="N23" s="2">
        <f>N12/'Output-Calculation-sheet'!N11*'Output-Calculation-sheet'!N29</f>
        <v>1230.636967145829</v>
      </c>
      <c r="O23" s="2">
        <f>O12/'Output-Calculation-sheet'!O11*'Output-Calculation-sheet'!O29</f>
        <v>877.74850859164735</v>
      </c>
      <c r="P23" s="2">
        <f>P12/'Output-Calculation-sheet'!P11*'Output-Calculation-sheet'!P29</f>
        <v>0</v>
      </c>
      <c r="Q23" s="2">
        <f>Q12/'Output-Calculation-sheet'!Q11*'Output-Calculation-sheet'!Q29</f>
        <v>16.796756203889739</v>
      </c>
      <c r="R23" s="2">
        <f>R12/'Output-Calculation-sheet'!R11*'Output-Calculation-sheet'!R29</f>
        <v>0</v>
      </c>
      <c r="S23" s="2">
        <f>S12/'Output-Calculation-sheet'!S11*'Output-Calculation-sheet'!S29</f>
        <v>540.44261963084239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147.58199779370088</v>
      </c>
      <c r="Y23" s="2">
        <f>Y12/'Output-Calculation-sheet'!Y11*'Output-Calculation-sheet'!Y29</f>
        <v>0</v>
      </c>
      <c r="AA23" s="2">
        <f t="shared" si="0"/>
        <v>17.983892665795548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8969.926294256602</v>
      </c>
      <c r="C27" s="2">
        <f>C5/'Output-Calculation-sheet'!C4*'Output-Calculation-sheet'!C13</f>
        <v>0</v>
      </c>
      <c r="D27" s="2">
        <f>D5/'Output-Calculation-sheet'!D4*'Output-Calculation-sheet'!D13</f>
        <v>2896.8118516387653</v>
      </c>
      <c r="E27" s="2">
        <f>E5/'Output-Calculation-sheet'!E4*'Output-Calculation-sheet'!E13</f>
        <v>2955.1996595598139</v>
      </c>
      <c r="F27" s="2">
        <f>F5/'Output-Calculation-sheet'!F4*'Output-Calculation-sheet'!F13</f>
        <v>1678.7357198057578</v>
      </c>
      <c r="G27" s="2">
        <f>G5/'Output-Calculation-sheet'!G4*'Output-Calculation-sheet'!G13</f>
        <v>1018.0627903483304</v>
      </c>
      <c r="H27" s="2">
        <f>H5/'Output-Calculation-sheet'!H4*'Output-Calculation-sheet'!H13</f>
        <v>0</v>
      </c>
      <c r="I27" s="2">
        <f>I5/'Output-Calculation-sheet'!I4*'Output-Calculation-sheet'!I13</f>
        <v>1017.3102620508267</v>
      </c>
      <c r="J27" s="2">
        <f>J5/'Output-Calculation-sheet'!J4*'Output-Calculation-sheet'!J13</f>
        <v>935.245890013289</v>
      </c>
      <c r="K27" s="2">
        <f>K5/'Output-Calculation-sheet'!K4*'Output-Calculation-sheet'!K13</f>
        <v>1140.0845893762462</v>
      </c>
      <c r="L27" s="2">
        <f>L5/'Output-Calculation-sheet'!L4*'Output-Calculation-sheet'!L13</f>
        <v>945.33125398479945</v>
      </c>
      <c r="M27" s="2">
        <f>M5/'Output-Calculation-sheet'!M4*'Output-Calculation-sheet'!M13</f>
        <v>0</v>
      </c>
      <c r="N27" s="2">
        <f>N5/'Output-Calculation-sheet'!N4*'Output-Calculation-sheet'!N13</f>
        <v>614.0689978991835</v>
      </c>
      <c r="O27" s="2">
        <f>O5/'Output-Calculation-sheet'!O4*'Output-Calculation-sheet'!O13</f>
        <v>0</v>
      </c>
      <c r="P27" s="2">
        <f>P5/'Output-Calculation-sheet'!P4*'Output-Calculation-sheet'!P13</f>
        <v>738.78330105439738</v>
      </c>
      <c r="Q27" s="2">
        <f>Q5/'Output-Calculation-sheet'!Q4*'Output-Calculation-sheet'!Q13</f>
        <v>797.01630657061492</v>
      </c>
      <c r="R27" s="2">
        <f>R5/'Output-Calculation-sheet'!R4*'Output-Calculation-sheet'!R13</f>
        <v>719.2927449293843</v>
      </c>
      <c r="S27" s="2">
        <f>S5/'Output-Calculation-sheet'!S4*'Output-Calculation-sheet'!S13</f>
        <v>431.79892974432403</v>
      </c>
      <c r="T27" s="2">
        <f>T5/'Output-Calculation-sheet'!T4*'Output-Calculation-sheet'!T13</f>
        <v>264.40956595950104</v>
      </c>
      <c r="U27" s="2">
        <f>U5/'Output-Calculation-sheet'!U4*'Output-Calculation-sheet'!U13</f>
        <v>201.9153050149969</v>
      </c>
      <c r="V27" s="2">
        <f>V5/'Output-Calculation-sheet'!V4*'Output-Calculation-sheet'!V13</f>
        <v>193.42744364782652</v>
      </c>
      <c r="W27" s="2">
        <f>W5/'Output-Calculation-sheet'!W4*'Output-Calculation-sheet'!W13</f>
        <v>135.37298936876249</v>
      </c>
      <c r="X27" s="2">
        <f>X5/'Output-Calculation-sheet'!X4*'Output-Calculation-sheet'!X13</f>
        <v>0</v>
      </c>
      <c r="Y27" s="2">
        <f>Y5/'Output-Calculation-sheet'!Y4*'Output-Calculation-sheet'!Y13</f>
        <v>88.859631842540509</v>
      </c>
      <c r="AA27" s="2">
        <f t="shared" ref="AA27:AA34" si="1">SUM(B27:Y27)/1000</f>
        <v>25.741653527065964</v>
      </c>
    </row>
    <row r="28" spans="1:27" x14ac:dyDescent="0.25">
      <c r="A28" s="2">
        <v>2029</v>
      </c>
      <c r="B28" s="2">
        <f>B6/'Output-Calculation-sheet'!B5*'Output-Calculation-sheet'!B14</f>
        <v>12779.040034731768</v>
      </c>
      <c r="C28" s="2">
        <f>C6/'Output-Calculation-sheet'!C5*'Output-Calculation-sheet'!C14</f>
        <v>0</v>
      </c>
      <c r="D28" s="2">
        <f>D6/'Output-Calculation-sheet'!D5*'Output-Calculation-sheet'!D14</f>
        <v>4065.0952735208048</v>
      </c>
      <c r="E28" s="2">
        <f>E6/'Output-Calculation-sheet'!E5*'Output-Calculation-sheet'!E14</f>
        <v>4174.4157888742584</v>
      </c>
      <c r="F28" s="2">
        <f>F6/'Output-Calculation-sheet'!F5*'Output-Calculation-sheet'!F14</f>
        <v>2353.9437307853668</v>
      </c>
      <c r="G28" s="2">
        <f>G6/'Output-Calculation-sheet'!G5*'Output-Calculation-sheet'!G14</f>
        <v>1426.1730245532369</v>
      </c>
      <c r="H28" s="2">
        <f>H6/'Output-Calculation-sheet'!H5*'Output-Calculation-sheet'!H14</f>
        <v>0</v>
      </c>
      <c r="I28" s="2">
        <f>I6/'Output-Calculation-sheet'!I5*'Output-Calculation-sheet'!I14</f>
        <v>1432.4364589543388</v>
      </c>
      <c r="J28" s="2">
        <f>J6/'Output-Calculation-sheet'!J5*'Output-Calculation-sheet'!J14</f>
        <v>1312.6817060850306</v>
      </c>
      <c r="K28" s="2">
        <f>K6/'Output-Calculation-sheet'!K5*'Output-Calculation-sheet'!K14</f>
        <v>1609.9904127531968</v>
      </c>
      <c r="L28" s="2">
        <f>L6/'Output-Calculation-sheet'!L5*'Output-Calculation-sheet'!L14</f>
        <v>1331.5230569250796</v>
      </c>
      <c r="M28" s="2">
        <f>M6/'Output-Calculation-sheet'!M5*'Output-Calculation-sheet'!M14</f>
        <v>0</v>
      </c>
      <c r="N28" s="2">
        <f>N6/'Output-Calculation-sheet'!N5*'Output-Calculation-sheet'!N14</f>
        <v>844.13572965717674</v>
      </c>
      <c r="O28" s="2">
        <f>O6/'Output-Calculation-sheet'!O5*'Output-Calculation-sheet'!O14</f>
        <v>0</v>
      </c>
      <c r="P28" s="2">
        <f>P6/'Output-Calculation-sheet'!P5*'Output-Calculation-sheet'!P14</f>
        <v>1054.2386522009647</v>
      </c>
      <c r="Q28" s="2">
        <f>Q6/'Output-Calculation-sheet'!Q5*'Output-Calculation-sheet'!Q14</f>
        <v>1144.3941278729947</v>
      </c>
      <c r="R28" s="2">
        <f>R6/'Output-Calculation-sheet'!R5*'Output-Calculation-sheet'!R14</f>
        <v>1017.5357025492629</v>
      </c>
      <c r="S28" s="2">
        <f>S6/'Output-Calculation-sheet'!S5*'Output-Calculation-sheet'!S14</f>
        <v>623.71637297207519</v>
      </c>
      <c r="T28" s="2">
        <f>T6/'Output-Calculation-sheet'!T5*'Output-Calculation-sheet'!T14</f>
        <v>372.03441370894404</v>
      </c>
      <c r="U28" s="2">
        <f>U6/'Output-Calculation-sheet'!U5*'Output-Calculation-sheet'!U14</f>
        <v>285.40284641845471</v>
      </c>
      <c r="V28" s="2">
        <f>V6/'Output-Calculation-sheet'!V5*'Output-Calculation-sheet'!V14</f>
        <v>272.98249783361518</v>
      </c>
      <c r="W28" s="2">
        <f>W6/'Output-Calculation-sheet'!W5*'Output-Calculation-sheet'!W14</f>
        <v>190.49386096810699</v>
      </c>
      <c r="X28" s="2">
        <f>X6/'Output-Calculation-sheet'!X5*'Output-Calculation-sheet'!X14</f>
        <v>0</v>
      </c>
      <c r="Y28" s="2">
        <f>Y6/'Output-Calculation-sheet'!Y5*'Output-Calculation-sheet'!Y14</f>
        <v>125.25843350925551</v>
      </c>
      <c r="AA28" s="2">
        <f t="shared" si="1"/>
        <v>36.415492124873936</v>
      </c>
    </row>
    <row r="29" spans="1:27" x14ac:dyDescent="0.25">
      <c r="A29" s="2">
        <v>2030</v>
      </c>
      <c r="B29" s="2">
        <f>B7/'Output-Calculation-sheet'!B6*'Output-Calculation-sheet'!B15</f>
        <v>16562.287039378967</v>
      </c>
      <c r="C29" s="2">
        <f>C7/'Output-Calculation-sheet'!C6*'Output-Calculation-sheet'!C15</f>
        <v>0</v>
      </c>
      <c r="D29" s="2">
        <f>D7/'Output-Calculation-sheet'!D6*'Output-Calculation-sheet'!D15</f>
        <v>5206.2880240946552</v>
      </c>
      <c r="E29" s="2">
        <f>E7/'Output-Calculation-sheet'!E6*'Output-Calculation-sheet'!E15</f>
        <v>5367.0070014605262</v>
      </c>
      <c r="F29" s="2">
        <f>F7/'Output-Calculation-sheet'!F6*'Output-Calculation-sheet'!F15</f>
        <v>3010.4370053739203</v>
      </c>
      <c r="G29" s="2">
        <f>G7/'Output-Calculation-sheet'!G6*'Output-Calculation-sheet'!G15</f>
        <v>1820.8865272024243</v>
      </c>
      <c r="H29" s="2">
        <f>H7/'Output-Calculation-sheet'!H6*'Output-Calculation-sheet'!H15</f>
        <v>0</v>
      </c>
      <c r="I29" s="2">
        <f>I7/'Output-Calculation-sheet'!I6*'Output-Calculation-sheet'!I15</f>
        <v>1834.7308492356367</v>
      </c>
      <c r="J29" s="2">
        <f>J7/'Output-Calculation-sheet'!J6*'Output-Calculation-sheet'!J15</f>
        <v>1678.3204698292923</v>
      </c>
      <c r="K29" s="2">
        <f>K7/'Output-Calculation-sheet'!K6*'Output-Calculation-sheet'!K15</f>
        <v>2066.4674589858942</v>
      </c>
      <c r="L29" s="2">
        <f>L7/'Output-Calculation-sheet'!L6*'Output-Calculation-sheet'!L15</f>
        <v>1713.24891664391</v>
      </c>
      <c r="M29" s="2">
        <f>M7/'Output-Calculation-sheet'!M6*'Output-Calculation-sheet'!M15</f>
        <v>0</v>
      </c>
      <c r="N29" s="2">
        <f>N7/'Output-Calculation-sheet'!N6*'Output-Calculation-sheet'!N15</f>
        <v>971.5239269481051</v>
      </c>
      <c r="O29" s="2">
        <f>O7/'Output-Calculation-sheet'!O6*'Output-Calculation-sheet'!O15</f>
        <v>0</v>
      </c>
      <c r="P29" s="2">
        <f>P7/'Output-Calculation-sheet'!P6*'Output-Calculation-sheet'!P15</f>
        <v>1361.9272927686075</v>
      </c>
      <c r="Q29" s="2">
        <f>Q7/'Output-Calculation-sheet'!Q6*'Output-Calculation-sheet'!Q15</f>
        <v>1487.7109373751125</v>
      </c>
      <c r="R29" s="2">
        <f>R7/'Output-Calculation-sheet'!R6*'Output-Calculation-sheet'!R15</f>
        <v>1309.9762010223048</v>
      </c>
      <c r="S29" s="2">
        <f>S7/'Output-Calculation-sheet'!S6*'Output-Calculation-sheet'!S15</f>
        <v>749.00530659750882</v>
      </c>
      <c r="T29" s="2">
        <f>T7/'Output-Calculation-sheet'!T6*'Output-Calculation-sheet'!T15</f>
        <v>477.61714626322271</v>
      </c>
      <c r="U29" s="2">
        <f>U7/'Output-Calculation-sheet'!U6*'Output-Calculation-sheet'!U15</f>
        <v>366.98735498790091</v>
      </c>
      <c r="V29" s="2">
        <f>V7/'Output-Calculation-sheet'!V6*'Output-Calculation-sheet'!V15</f>
        <v>351.27159667851555</v>
      </c>
      <c r="W29" s="2">
        <f>W7/'Output-Calculation-sheet'!W6*'Output-Calculation-sheet'!W15</f>
        <v>244.60735484863318</v>
      </c>
      <c r="X29" s="2">
        <f>X7/'Output-Calculation-sheet'!X6*'Output-Calculation-sheet'!X15</f>
        <v>0</v>
      </c>
      <c r="Y29" s="2">
        <f>Y7/'Output-Calculation-sheet'!Y6*'Output-Calculation-sheet'!Y15</f>
        <v>161.11952483526542</v>
      </c>
      <c r="AA29" s="2">
        <f t="shared" si="1"/>
        <v>46.741419934530391</v>
      </c>
    </row>
    <row r="30" spans="1:27" x14ac:dyDescent="0.25">
      <c r="A30" s="2">
        <v>2031</v>
      </c>
      <c r="B30" s="2">
        <f>B8/'Output-Calculation-sheet'!B7*'Output-Calculation-sheet'!B16</f>
        <v>19558.309852452916</v>
      </c>
      <c r="C30" s="2">
        <f>C8/'Output-Calculation-sheet'!C7*'Output-Calculation-sheet'!C16</f>
        <v>0</v>
      </c>
      <c r="D30" s="2">
        <f>D8/'Output-Calculation-sheet'!D7*'Output-Calculation-sheet'!D16</f>
        <v>6105.4007835120683</v>
      </c>
      <c r="E30" s="2">
        <f>E8/'Output-Calculation-sheet'!E7*'Output-Calculation-sheet'!E16</f>
        <v>6315.0533790452746</v>
      </c>
      <c r="F30" s="2">
        <f>F8/'Output-Calculation-sheet'!F7*'Output-Calculation-sheet'!F16</f>
        <v>3537.931606494742</v>
      </c>
      <c r="G30" s="2">
        <f>G8/'Output-Calculation-sheet'!G7*'Output-Calculation-sheet'!G16</f>
        <v>2133.7596274919165</v>
      </c>
      <c r="H30" s="2">
        <f>H8/'Output-Calculation-sheet'!H7*'Output-Calculation-sheet'!H16</f>
        <v>0</v>
      </c>
      <c r="I30" s="2">
        <f>I8/'Output-Calculation-sheet'!I7*'Output-Calculation-sheet'!I16</f>
        <v>2159.601605173767</v>
      </c>
      <c r="J30" s="2">
        <f>J8/'Output-Calculation-sheet'!J7*'Output-Calculation-sheet'!J16</f>
        <v>1971.188345510737</v>
      </c>
      <c r="K30" s="2">
        <f>K8/'Output-Calculation-sheet'!K7*'Output-Calculation-sheet'!K16</f>
        <v>2437.8242203701816</v>
      </c>
      <c r="L30" s="2">
        <f>L8/'Output-Calculation-sheet'!L7*'Output-Calculation-sheet'!L16</f>
        <v>2011.841765609423</v>
      </c>
      <c r="M30" s="2">
        <f>M8/'Output-Calculation-sheet'!M7*'Output-Calculation-sheet'!M16</f>
        <v>0</v>
      </c>
      <c r="N30" s="2">
        <f>N8/'Output-Calculation-sheet'!N7*'Output-Calculation-sheet'!N16</f>
        <v>987.1218013119294</v>
      </c>
      <c r="O30" s="2">
        <f>O8/'Output-Calculation-sheet'!O7*'Output-Calculation-sheet'!O16</f>
        <v>0</v>
      </c>
      <c r="P30" s="2">
        <f>P8/'Output-Calculation-sheet'!P7*'Output-Calculation-sheet'!P16</f>
        <v>1603.5326548601058</v>
      </c>
      <c r="Q30" s="2">
        <f>Q8/'Output-Calculation-sheet'!Q7*'Output-Calculation-sheet'!Q16</f>
        <v>1758.8044376885073</v>
      </c>
      <c r="R30" s="2">
        <f>R8/'Output-Calculation-sheet'!R7*'Output-Calculation-sheet'!R16</f>
        <v>1540.9416229178337</v>
      </c>
      <c r="S30" s="2">
        <f>S8/'Output-Calculation-sheet'!S7*'Output-Calculation-sheet'!S16</f>
        <v>822.92019249259374</v>
      </c>
      <c r="T30" s="2">
        <f>T8/'Output-Calculation-sheet'!T7*'Output-Calculation-sheet'!T16</f>
        <v>562.16711639284404</v>
      </c>
      <c r="U30" s="2">
        <f>U8/'Output-Calculation-sheet'!U7*'Output-Calculation-sheet'!U16</f>
        <v>432.0654589627548</v>
      </c>
      <c r="V30" s="2">
        <f>V8/'Output-Calculation-sheet'!V7*'Output-Calculation-sheet'!V16</f>
        <v>413.74006888075019</v>
      </c>
      <c r="W30" s="2">
        <f>W8/'Output-Calculation-sheet'!W7*'Output-Calculation-sheet'!W16</f>
        <v>287.23312652290696</v>
      </c>
      <c r="X30" s="2">
        <f>X8/'Output-Calculation-sheet'!X7*'Output-Calculation-sheet'!X16</f>
        <v>0</v>
      </c>
      <c r="Y30" s="2">
        <f>Y8/'Output-Calculation-sheet'!Y7*'Output-Calculation-sheet'!Y16</f>
        <v>189.89168931786844</v>
      </c>
      <c r="AA30" s="2">
        <f t="shared" si="1"/>
        <v>54.829329355009129</v>
      </c>
    </row>
    <row r="31" spans="1:27" x14ac:dyDescent="0.25">
      <c r="A31" s="2">
        <v>2032</v>
      </c>
      <c r="B31" s="2">
        <f>B9/'Output-Calculation-sheet'!B8*'Output-Calculation-sheet'!B17</f>
        <v>21115.734753031036</v>
      </c>
      <c r="C31" s="2">
        <f>C9/'Output-Calculation-sheet'!C8*'Output-Calculation-sheet'!C17</f>
        <v>0</v>
      </c>
      <c r="D31" s="2">
        <f>D9/'Output-Calculation-sheet'!D8*'Output-Calculation-sheet'!D17</f>
        <v>6546.3221144949912</v>
      </c>
      <c r="E31" s="2">
        <f>E9/'Output-Calculation-sheet'!E8*'Output-Calculation-sheet'!E17</f>
        <v>6779.4630857781403</v>
      </c>
      <c r="F31" s="2">
        <f>F9/'Output-Calculation-sheet'!F8*'Output-Calculation-sheet'!F17</f>
        <v>3787.4121038807984</v>
      </c>
      <c r="G31" s="2">
        <f>G9/'Output-Calculation-sheet'!G8*'Output-Calculation-sheet'!G17</f>
        <v>2283.2030698153026</v>
      </c>
      <c r="H31" s="2">
        <f>H9/'Output-Calculation-sheet'!H8*'Output-Calculation-sheet'!H17</f>
        <v>0</v>
      </c>
      <c r="I31" s="2">
        <f>I9/'Output-Calculation-sheet'!I8*'Output-Calculation-sheet'!I17</f>
        <v>2314.886676487055</v>
      </c>
      <c r="J31" s="2">
        <f>J9/'Output-Calculation-sheet'!J8*'Output-Calculation-sheet'!J17</f>
        <v>2111.330495826991</v>
      </c>
      <c r="K31" s="2">
        <f>K9/'Output-Calculation-sheet'!K8*'Output-Calculation-sheet'!K17</f>
        <v>2615.2627636204616</v>
      </c>
      <c r="L31" s="2">
        <f>L9/'Output-Calculation-sheet'!L8*'Output-Calculation-sheet'!L17</f>
        <v>2158.8599489959897</v>
      </c>
      <c r="M31" s="2">
        <f>M9/'Output-Calculation-sheet'!M8*'Output-Calculation-sheet'!M17</f>
        <v>0</v>
      </c>
      <c r="N31" s="2">
        <f>N9/'Output-Calculation-sheet'!N8*'Output-Calculation-sheet'!N17</f>
        <v>954.95428798371199</v>
      </c>
      <c r="O31" s="2">
        <f>O9/'Output-Calculation-sheet'!O8*'Output-Calculation-sheet'!O17</f>
        <v>0</v>
      </c>
      <c r="P31" s="2">
        <f>P9/'Output-Calculation-sheet'!P8*'Output-Calculation-sheet'!P17</f>
        <v>1736.7368791273398</v>
      </c>
      <c r="Q31" s="2">
        <f>Q9/'Output-Calculation-sheet'!Q8*'Output-Calculation-sheet'!Q17</f>
        <v>1903.299608442411</v>
      </c>
      <c r="R31" s="2">
        <f>R9/'Output-Calculation-sheet'!R8*'Output-Calculation-sheet'!R17</f>
        <v>1652.5538844944192</v>
      </c>
      <c r="S31" s="2">
        <f>S9/'Output-Calculation-sheet'!S8*'Output-Calculation-sheet'!S17</f>
        <v>824.54199380572027</v>
      </c>
      <c r="T31" s="2">
        <f>T9/'Output-Calculation-sheet'!T8*'Output-Calculation-sheet'!T17</f>
        <v>602.20659885049906</v>
      </c>
      <c r="U31" s="2">
        <f>U9/'Output-Calculation-sheet'!U8*'Output-Calculation-sheet'!U17</f>
        <v>464.45102532506752</v>
      </c>
      <c r="V31" s="2">
        <f>V9/'Output-Calculation-sheet'!V8*'Output-Calculation-sheet'!V17</f>
        <v>445.0813989164314</v>
      </c>
      <c r="W31" s="2">
        <f>W9/'Output-Calculation-sheet'!W8*'Output-Calculation-sheet'!W17</f>
        <v>308.1995242482044</v>
      </c>
      <c r="X31" s="2">
        <f>X9/'Output-Calculation-sheet'!X8*'Output-Calculation-sheet'!X17</f>
        <v>0</v>
      </c>
      <c r="Y31" s="2">
        <f>Y9/'Output-Calculation-sheet'!Y8*'Output-Calculation-sheet'!Y17</f>
        <v>203.75043457799933</v>
      </c>
      <c r="AA31" s="2">
        <f t="shared" si="1"/>
        <v>58.808250647702565</v>
      </c>
    </row>
    <row r="32" spans="1:27" x14ac:dyDescent="0.25">
      <c r="A32" s="2">
        <v>2033</v>
      </c>
      <c r="B32" s="2">
        <f>B10/'Output-Calculation-sheet'!B9*'Output-Calculation-sheet'!B18</f>
        <v>19294.415523561216</v>
      </c>
      <c r="C32" s="2">
        <f>C10/'Output-Calculation-sheet'!C9*'Output-Calculation-sheet'!C18</f>
        <v>0</v>
      </c>
      <c r="D32" s="2">
        <f>D10/'Output-Calculation-sheet'!D9*'Output-Calculation-sheet'!D18</f>
        <v>6441.3293802899761</v>
      </c>
      <c r="E32" s="2">
        <f>E10/'Output-Calculation-sheet'!E9*'Output-Calculation-sheet'!E18</f>
        <v>6670.1451482854663</v>
      </c>
      <c r="F32" s="2">
        <f>F10/'Output-Calculation-sheet'!F9*'Output-Calculation-sheet'!F18</f>
        <v>3725.711566145887</v>
      </c>
      <c r="G32" s="2">
        <f>G10/'Output-Calculation-sheet'!G9*'Output-Calculation-sheet'!G18</f>
        <v>2247.0341428169672</v>
      </c>
      <c r="H32" s="2">
        <f>H10/'Output-Calculation-sheet'!H9*'Output-Calculation-sheet'!H18</f>
        <v>0</v>
      </c>
      <c r="I32" s="2">
        <f>I10/'Output-Calculation-sheet'!I9*'Output-Calculation-sheet'!I18</f>
        <v>2277.9503742545639</v>
      </c>
      <c r="J32" s="2">
        <f>J10/'Output-Calculation-sheet'!J9*'Output-Calculation-sheet'!J18</f>
        <v>2077.6158223950915</v>
      </c>
      <c r="K32" s="2">
        <f>K10/'Output-Calculation-sheet'!K9*'Output-Calculation-sheet'!K18</f>
        <v>2579.3917951214312</v>
      </c>
      <c r="L32" s="2">
        <f>L10/'Output-Calculation-sheet'!L9*'Output-Calculation-sheet'!L18</f>
        <v>2125.7492990400415</v>
      </c>
      <c r="M32" s="2">
        <f>M10/'Output-Calculation-sheet'!M9*'Output-Calculation-sheet'!M18</f>
        <v>0</v>
      </c>
      <c r="N32" s="2">
        <f>N10/'Output-Calculation-sheet'!N9*'Output-Calculation-sheet'!N18</f>
        <v>841.40036479234664</v>
      </c>
      <c r="O32" s="2">
        <f>O10/'Output-Calculation-sheet'!O9*'Output-Calculation-sheet'!O18</f>
        <v>0</v>
      </c>
      <c r="P32" s="2">
        <f>P10/'Output-Calculation-sheet'!P9*'Output-Calculation-sheet'!P18</f>
        <v>1721.5366990660045</v>
      </c>
      <c r="Q32" s="2">
        <f>Q10/'Output-Calculation-sheet'!Q9*'Output-Calculation-sheet'!Q18</f>
        <v>1888.0685868861756</v>
      </c>
      <c r="R32" s="2">
        <f>R10/'Output-Calculation-sheet'!R9*'Output-Calculation-sheet'!R18</f>
        <v>1630.8242496963876</v>
      </c>
      <c r="S32" s="2">
        <f>S10/'Output-Calculation-sheet'!S9*'Output-Calculation-sheet'!S18</f>
        <v>759.0945174703196</v>
      </c>
      <c r="T32" s="2">
        <f>T10/'Output-Calculation-sheet'!T9*'Output-Calculation-sheet'!T18</f>
        <v>593.20731423599011</v>
      </c>
      <c r="U32" s="2">
        <f>U10/'Output-Calculation-sheet'!U9*'Output-Calculation-sheet'!U18</f>
        <v>457.49460968440098</v>
      </c>
      <c r="V32" s="2">
        <f>V10/'Output-Calculation-sheet'!V9*'Output-Calculation-sheet'!V18</f>
        <v>438.89112681692978</v>
      </c>
      <c r="W32" s="2">
        <f>W10/'Output-Calculation-sheet'!W9*'Output-Calculation-sheet'!W18</f>
        <v>302.84526520136694</v>
      </c>
      <c r="X32" s="2">
        <f>X10/'Output-Calculation-sheet'!X9*'Output-Calculation-sheet'!X18</f>
        <v>0</v>
      </c>
      <c r="Y32" s="2">
        <f>Y10/'Output-Calculation-sheet'!Y9*'Output-Calculation-sheet'!Y18</f>
        <v>200.80222210401615</v>
      </c>
      <c r="AA32" s="2">
        <f t="shared" si="1"/>
        <v>56.273508007864585</v>
      </c>
    </row>
    <row r="33" spans="1:27" x14ac:dyDescent="0.25">
      <c r="A33" s="2">
        <v>2034</v>
      </c>
      <c r="B33" s="2">
        <f>B11/'Output-Calculation-sheet'!B10*'Output-Calculation-sheet'!B19</f>
        <v>16491.516379039258</v>
      </c>
      <c r="C33" s="2">
        <f>C11/'Output-Calculation-sheet'!C10*'Output-Calculation-sheet'!C19</f>
        <v>0</v>
      </c>
      <c r="D33" s="2">
        <f>D11/'Output-Calculation-sheet'!D10*'Output-Calculation-sheet'!D19</f>
        <v>5831.0668253333251</v>
      </c>
      <c r="E33" s="2">
        <f>E11/'Output-Calculation-sheet'!E10*'Output-Calculation-sheet'!E19</f>
        <v>6052.4384527148732</v>
      </c>
      <c r="F33" s="2">
        <f>F11/'Output-Calculation-sheet'!F10*'Output-Calculation-sheet'!F19</f>
        <v>3374.4566179019535</v>
      </c>
      <c r="G33" s="2">
        <f>G11/'Output-Calculation-sheet'!G10*'Output-Calculation-sheet'!G19</f>
        <v>2031.9975709669279</v>
      </c>
      <c r="H33" s="2">
        <f>H11/'Output-Calculation-sheet'!H10*'Output-Calculation-sheet'!H19</f>
        <v>0</v>
      </c>
      <c r="I33" s="2">
        <f>I11/'Output-Calculation-sheet'!I10*'Output-Calculation-sheet'!I19</f>
        <v>2069.5916308982214</v>
      </c>
      <c r="J33" s="2">
        <f>J11/'Output-Calculation-sheet'!J10*'Output-Calculation-sheet'!J19</f>
        <v>1880.907081799907</v>
      </c>
      <c r="K33" s="2">
        <f>K11/'Output-Calculation-sheet'!K10*'Output-Calculation-sheet'!K19</f>
        <v>2342.7945467597847</v>
      </c>
      <c r="L33" s="2">
        <f>L11/'Output-Calculation-sheet'!L10*'Output-Calculation-sheet'!L19</f>
        <v>1926.9172191110495</v>
      </c>
      <c r="M33" s="2">
        <f>M11/'Output-Calculation-sheet'!M10*'Output-Calculation-sheet'!M19</f>
        <v>0</v>
      </c>
      <c r="N33" s="2">
        <f>N11/'Output-Calculation-sheet'!N10*'Output-Calculation-sheet'!N19</f>
        <v>714.07858202276952</v>
      </c>
      <c r="O33" s="2">
        <f>O11/'Output-Calculation-sheet'!O10*'Output-Calculation-sheet'!O19</f>
        <v>0</v>
      </c>
      <c r="P33" s="2">
        <f>P11/'Output-Calculation-sheet'!P10*'Output-Calculation-sheet'!P19</f>
        <v>1570.6149427937185</v>
      </c>
      <c r="Q33" s="2">
        <f>Q11/'Output-Calculation-sheet'!Q10*'Output-Calculation-sheet'!Q19</f>
        <v>1725.4814854419665</v>
      </c>
      <c r="R33" s="2">
        <f>R11/'Output-Calculation-sheet'!R10*'Output-Calculation-sheet'!R19</f>
        <v>1480.744560088257</v>
      </c>
      <c r="S33" s="2">
        <f>S11/'Output-Calculation-sheet'!S10*'Output-Calculation-sheet'!S19</f>
        <v>682.94173767678774</v>
      </c>
      <c r="T33" s="2">
        <f>T11/'Output-Calculation-sheet'!T10*'Output-Calculation-sheet'!T19</f>
        <v>538.11459418766538</v>
      </c>
      <c r="U33" s="2">
        <f>U11/'Output-Calculation-sheet'!U10*'Output-Calculation-sheet'!U19</f>
        <v>416.40893501727646</v>
      </c>
      <c r="V33" s="2">
        <f>V11/'Output-Calculation-sheet'!V10*'Output-Calculation-sheet'!V19</f>
        <v>399.19707220366047</v>
      </c>
      <c r="W33" s="2">
        <f>W11/'Output-Calculation-sheet'!W10*'Output-Calculation-sheet'!W19</f>
        <v>274.26394322219119</v>
      </c>
      <c r="X33" s="2">
        <f>X11/'Output-Calculation-sheet'!X10*'Output-Calculation-sheet'!X19</f>
        <v>0</v>
      </c>
      <c r="Y33" s="2">
        <f>Y11/'Output-Calculation-sheet'!Y10*'Output-Calculation-sheet'!Y19</f>
        <v>182.10071334374405</v>
      </c>
      <c r="AA33" s="2">
        <f t="shared" si="1"/>
        <v>49.985632890523348</v>
      </c>
    </row>
    <row r="34" spans="1:27" x14ac:dyDescent="0.25">
      <c r="A34" s="2">
        <v>2035</v>
      </c>
      <c r="B34" s="2">
        <f>B12/'Output-Calculation-sheet'!B11*'Output-Calculation-sheet'!B20</f>
        <v>13168.857551664423</v>
      </c>
      <c r="C34" s="2">
        <f>C12/'Output-Calculation-sheet'!C11*'Output-Calculation-sheet'!C20</f>
        <v>0</v>
      </c>
      <c r="D34" s="2">
        <f>D12/'Output-Calculation-sheet'!D11*'Output-Calculation-sheet'!D20</f>
        <v>4870.2590776888801</v>
      </c>
      <c r="E34" s="2">
        <f>E12/'Output-Calculation-sheet'!E11*'Output-Calculation-sheet'!E20</f>
        <v>5053.0779446743391</v>
      </c>
      <c r="F34" s="2">
        <f>F12/'Output-Calculation-sheet'!F11*'Output-Calculation-sheet'!F20</f>
        <v>2813.1482559296633</v>
      </c>
      <c r="G34" s="2">
        <f>G12/'Output-Calculation-sheet'!G11*'Output-Calculation-sheet'!G20</f>
        <v>1690.2615667417128</v>
      </c>
      <c r="H34" s="2">
        <f>H12/'Output-Calculation-sheet'!H11*'Output-Calculation-sheet'!H20</f>
        <v>0</v>
      </c>
      <c r="I34" s="2">
        <f>I12/'Output-Calculation-sheet'!I11*'Output-Calculation-sheet'!I20</f>
        <v>1726.4179796303988</v>
      </c>
      <c r="J34" s="2">
        <f>J12/'Output-Calculation-sheet'!J11*'Output-Calculation-sheet'!J20</f>
        <v>1563.5721106812698</v>
      </c>
      <c r="K34" s="2">
        <f>K12/'Output-Calculation-sheet'!K11*'Output-Calculation-sheet'!K20</f>
        <v>1955.9397954906306</v>
      </c>
      <c r="L34" s="2">
        <f>L12/'Output-Calculation-sheet'!L11*'Output-Calculation-sheet'!L20</f>
        <v>1605.9506696902304</v>
      </c>
      <c r="M34" s="2">
        <f>M12/'Output-Calculation-sheet'!M11*'Output-Calculation-sheet'!M20</f>
        <v>0</v>
      </c>
      <c r="N34" s="2">
        <f>N12/'Output-Calculation-sheet'!N11*'Output-Calculation-sheet'!N20</f>
        <v>564.99224648566133</v>
      </c>
      <c r="O34" s="2">
        <f>O12/'Output-Calculation-sheet'!O11*'Output-Calculation-sheet'!O20</f>
        <v>0</v>
      </c>
      <c r="P34" s="2">
        <f>P12/'Output-Calculation-sheet'!P11*'Output-Calculation-sheet'!P20</f>
        <v>1318.7243619189419</v>
      </c>
      <c r="Q34" s="2">
        <f>Q12/'Output-Calculation-sheet'!Q11*'Output-Calculation-sheet'!Q20</f>
        <v>1446.0316946000501</v>
      </c>
      <c r="R34" s="2">
        <f>R12/'Output-Calculation-sheet'!R11*'Output-Calculation-sheet'!R20</f>
        <v>1239.9835805640123</v>
      </c>
      <c r="S34" s="2">
        <f>S12/'Output-Calculation-sheet'!S11*'Output-Calculation-sheet'!S20</f>
        <v>533.25002677900056</v>
      </c>
      <c r="T34" s="2">
        <f>T12/'Output-Calculation-sheet'!T11*'Output-Calculation-sheet'!T20</f>
        <v>448.82882064528195</v>
      </c>
      <c r="U34" s="2">
        <f>U12/'Output-Calculation-sheet'!U11*'Output-Calculation-sheet'!U20</f>
        <v>348.14701675736256</v>
      </c>
      <c r="V34" s="2">
        <f>V12/'Output-Calculation-sheet'!V11*'Output-Calculation-sheet'!V20</f>
        <v>334.35090028021091</v>
      </c>
      <c r="W34" s="2">
        <f>W12/'Output-Calculation-sheet'!W11*'Output-Calculation-sheet'!W20</f>
        <v>228.47381385217778</v>
      </c>
      <c r="X34" s="2">
        <f>X12/'Output-Calculation-sheet'!X11*'Output-Calculation-sheet'!X20</f>
        <v>0</v>
      </c>
      <c r="Y34" s="2">
        <f>Y12/'Output-Calculation-sheet'!Y11*'Output-Calculation-sheet'!Y20</f>
        <v>152.09517341905146</v>
      </c>
      <c r="AA34" s="2">
        <f t="shared" si="1"/>
        <v>41.062362587493304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3.0060100137761712</v>
      </c>
      <c r="C60" s="2">
        <f>C5*'Output-Calculation-sheet'!C49/10^9</f>
        <v>1.4212243978640822</v>
      </c>
      <c r="D60" s="2">
        <f>D5*'Output-Calculation-sheet'!D49/10^9</f>
        <v>0.66302434956235889</v>
      </c>
      <c r="E60" s="2">
        <f>E5*'Output-Calculation-sheet'!E49/10^9</f>
        <v>0.73632194821515551</v>
      </c>
      <c r="F60" s="2">
        <f>F5*'Output-Calculation-sheet'!F49/10^9</f>
        <v>0.34183244001444207</v>
      </c>
      <c r="G60" s="2">
        <f>G5*'Output-Calculation-sheet'!G49/10^9</f>
        <v>0.23545133291989423</v>
      </c>
      <c r="H60" s="2">
        <f>H5*'Output-Calculation-sheet'!H49/10^9</f>
        <v>0.44341104576312135</v>
      </c>
      <c r="I60" s="2">
        <f>I5*'Output-Calculation-sheet'!I49/10^9</f>
        <v>0.23244510856491585</v>
      </c>
      <c r="J60" s="2">
        <f>J5*'Output-Calculation-sheet'!J49/10^9</f>
        <v>0.20990640795155396</v>
      </c>
      <c r="K60" s="2">
        <f>K5*'Output-Calculation-sheet'!K49/10^9</f>
        <v>0.27057590198789888</v>
      </c>
      <c r="L60" s="2">
        <f>L5*'Output-Calculation-sheet'!L49/10^9</f>
        <v>0.22352872589046338</v>
      </c>
      <c r="M60" s="2">
        <f>M5*'Output-Calculation-sheet'!M49/10^9</f>
        <v>0.30591492868909198</v>
      </c>
      <c r="N60" s="2">
        <f>N5*'Output-Calculation-sheet'!N49/10^9</f>
        <v>0.31973718599438178</v>
      </c>
      <c r="O60" s="2">
        <f>O5*'Output-Calculation-sheet'!O49/10^9</f>
        <v>0.27614511467731345</v>
      </c>
      <c r="P60" s="2">
        <f>P5*'Output-Calculation-sheet'!P49/10^9</f>
        <v>0.23577878328658511</v>
      </c>
      <c r="Q60" s="2">
        <f>Q5*'Output-Calculation-sheet'!Q49/10^9</f>
        <v>0.24339250005258106</v>
      </c>
      <c r="R60" s="2">
        <f>R5*'Output-Calculation-sheet'!R49/10^9</f>
        <v>0.19506400726475606</v>
      </c>
      <c r="S60" s="2">
        <f>S5*'Output-Calculation-sheet'!S49/10^9</f>
        <v>0.17894048649759606</v>
      </c>
      <c r="T60" s="2">
        <f>T5*'Output-Calculation-sheet'!T49/10^9</f>
        <v>6.1199005265985831E-2</v>
      </c>
      <c r="U60" s="2">
        <f>U5*'Output-Calculation-sheet'!U49/10^9</f>
        <v>6.1157223242074898E-2</v>
      </c>
      <c r="V60" s="2">
        <f>V5*'Output-Calculation-sheet'!V49/10^9</f>
        <v>4.5795211674809592E-2</v>
      </c>
      <c r="W60" s="2">
        <f>W5*'Output-Calculation-sheet'!W49/10^9</f>
        <v>2.8713763581913399E-2</v>
      </c>
      <c r="X60" s="2">
        <f>X5*'Output-Calculation-sheet'!X49/10^9</f>
        <v>3.6143545706913818E-2</v>
      </c>
      <c r="Y60" s="2">
        <f>Y5*'Output-Calculation-sheet'!Y49/10^9</f>
        <v>2.3890595406720935E-2</v>
      </c>
      <c r="AA60" s="2">
        <f t="shared" ref="AA60:AA67" si="4">SUM(B60:Y60)</f>
        <v>9.79560402385078</v>
      </c>
    </row>
    <row r="61" spans="1:27" x14ac:dyDescent="0.25">
      <c r="A61" s="2">
        <v>2029</v>
      </c>
      <c r="B61" s="2">
        <f>B6*'Output-Calculation-sheet'!B50/10^9</f>
        <v>4.1574906383255188</v>
      </c>
      <c r="C61" s="2">
        <f>C6*'Output-Calculation-sheet'!C50/10^9</f>
        <v>1.9793042382945278</v>
      </c>
      <c r="D61" s="2">
        <f>D6*'Output-Calculation-sheet'!D50/10^9</f>
        <v>0.91410544082879996</v>
      </c>
      <c r="E61" s="2">
        <f>E6*'Output-Calculation-sheet'!E50/10^9</f>
        <v>1.0159646282404968</v>
      </c>
      <c r="F61" s="2">
        <f>F6*'Output-Calculation-sheet'!F50/10^9</f>
        <v>0.47069186001195856</v>
      </c>
      <c r="G61" s="2">
        <f>G6*'Output-Calculation-sheet'!G50/10^9</f>
        <v>0.32465289573759615</v>
      </c>
      <c r="H61" s="2">
        <f>H6*'Output-Calculation-sheet'!H50/10^9</f>
        <v>0.6135459540727739</v>
      </c>
      <c r="I61" s="2">
        <f>I6*'Output-Calculation-sheet'!I50/10^9</f>
        <v>0.32046032210889397</v>
      </c>
      <c r="J61" s="2">
        <f>J6*'Output-Calculation-sheet'!J50/10^9</f>
        <v>0.28933705547889588</v>
      </c>
      <c r="K61" s="2">
        <f>K6*'Output-Calculation-sheet'!K50/10^9</f>
        <v>0.37316510714666096</v>
      </c>
      <c r="L61" s="2">
        <f>L6*'Output-Calculation-sheet'!L50/10^9</f>
        <v>0.30827540981472162</v>
      </c>
      <c r="M61" s="2">
        <f>M6*'Output-Calculation-sheet'!M50/10^9</f>
        <v>0.4238528592022317</v>
      </c>
      <c r="N61" s="2">
        <f>N6*'Output-Calculation-sheet'!N50/10^9</f>
        <v>0.4421779470167016</v>
      </c>
      <c r="O61" s="2">
        <f>O6*'Output-Calculation-sheet'!O50/10^9</f>
        <v>0.38458050444853559</v>
      </c>
      <c r="P61" s="2">
        <f>P6*'Output-Calculation-sheet'!P50/10^9</f>
        <v>0.32597901717145639</v>
      </c>
      <c r="Q61" s="2">
        <f>Q6*'Output-Calculation-sheet'!Q50/10^9</f>
        <v>0.336386683799411</v>
      </c>
      <c r="R61" s="2">
        <f>R6*'Output-Calculation-sheet'!R50/10^9</f>
        <v>0.26934955662443572</v>
      </c>
      <c r="S61" s="2">
        <f>S6*'Output-Calculation-sheet'!S50/10^9</f>
        <v>0.24780508547046071</v>
      </c>
      <c r="T61" s="2">
        <f>T6*'Output-Calculation-sheet'!T50/10^9</f>
        <v>8.4382792647610796E-2</v>
      </c>
      <c r="U61" s="2">
        <f>U6*'Output-Calculation-sheet'!U50/10^9</f>
        <v>8.4523629867882644E-2</v>
      </c>
      <c r="V61" s="2">
        <f>V6*'Output-Calculation-sheet'!V50/10^9</f>
        <v>6.3157805943707082E-2</v>
      </c>
      <c r="W61" s="2">
        <f>W6*'Output-Calculation-sheet'!W50/10^9</f>
        <v>3.9554852242881564E-2</v>
      </c>
      <c r="X61" s="2">
        <f>X6*'Output-Calculation-sheet'!X50/10^9</f>
        <v>5.0302010066648833E-2</v>
      </c>
      <c r="Y61" s="2">
        <f>Y6*'Output-Calculation-sheet'!Y50/10^9</f>
        <v>3.2986822304259922E-2</v>
      </c>
      <c r="AA61" s="2">
        <f t="shared" si="4"/>
        <v>13.552033116867067</v>
      </c>
    </row>
    <row r="62" spans="1:27" x14ac:dyDescent="0.25">
      <c r="A62" s="2">
        <v>2030</v>
      </c>
      <c r="B62" s="2">
        <f>B7*'Output-Calculation-sheet'!B51/10^9</f>
        <v>5.2363852698385802</v>
      </c>
      <c r="C62" s="2">
        <f>C7*'Output-Calculation-sheet'!C51/10^9</f>
        <v>2.5107953431126679</v>
      </c>
      <c r="D62" s="2">
        <f>D7*'Output-Calculation-sheet'!D51/10^9</f>
        <v>1.1477123874586215</v>
      </c>
      <c r="E62" s="2">
        <f>E7*'Output-Calculation-sheet'!E51/10^9</f>
        <v>1.2765701129862965</v>
      </c>
      <c r="F62" s="2">
        <f>F7*'Output-Calculation-sheet'!F51/10^9</f>
        <v>0.59022230560172029</v>
      </c>
      <c r="G62" s="2">
        <f>G7*'Output-Calculation-sheet'!G51/10^9</f>
        <v>0.40767492276770367</v>
      </c>
      <c r="H62" s="2">
        <f>H7*'Output-Calculation-sheet'!H51/10^9</f>
        <v>0.77177989645846179</v>
      </c>
      <c r="I62" s="2">
        <f>I7*'Output-Calculation-sheet'!I51/10^9</f>
        <v>0.40233240717884367</v>
      </c>
      <c r="J62" s="2">
        <f>J7*'Output-Calculation-sheet'!J51/10^9</f>
        <v>0.36320326501551942</v>
      </c>
      <c r="K62" s="2">
        <f>K7*'Output-Calculation-sheet'!K51/10^9</f>
        <v>0.46866829305403573</v>
      </c>
      <c r="L62" s="2">
        <f>L7*'Output-Calculation-sheet'!L51/10^9</f>
        <v>0.38716382242139352</v>
      </c>
      <c r="M62" s="2">
        <f>M7*'Output-Calculation-sheet'!M51/10^9</f>
        <v>0.53317270787262949</v>
      </c>
      <c r="N62" s="2">
        <f>N7*'Output-Calculation-sheet'!N51/10^9</f>
        <v>0.5563167087305495</v>
      </c>
      <c r="O62" s="2">
        <f>O7*'Output-Calculation-sheet'!O51/10^9</f>
        <v>0.48784968017514974</v>
      </c>
      <c r="P62" s="2">
        <f>P7*'Output-Calculation-sheet'!P51/10^9</f>
        <v>0.41042730938946942</v>
      </c>
      <c r="Q62" s="2">
        <f>Q7*'Output-Calculation-sheet'!Q51/10^9</f>
        <v>0.42335188570084159</v>
      </c>
      <c r="R62" s="2">
        <f>R7*'Output-Calculation-sheet'!R51/10^9</f>
        <v>0.33870217906158329</v>
      </c>
      <c r="S62" s="2">
        <f>S7*'Output-Calculation-sheet'!S51/10^9</f>
        <v>0.31236743854143306</v>
      </c>
      <c r="T62" s="2">
        <f>T7*'Output-Calculation-sheet'!T51/10^9</f>
        <v>0.10595529737545947</v>
      </c>
      <c r="U62" s="2">
        <f>U7*'Output-Calculation-sheet'!U51/10^9</f>
        <v>0.10638579957255417</v>
      </c>
      <c r="V62" s="2">
        <f>V7*'Output-Calculation-sheet'!V51/10^9</f>
        <v>7.9318377965394843E-2</v>
      </c>
      <c r="W62" s="2">
        <f>W7*'Output-Calculation-sheet'!W51/10^9</f>
        <v>4.9619304073846966E-2</v>
      </c>
      <c r="X62" s="2">
        <f>X7*'Output-Calculation-sheet'!X51/10^9</f>
        <v>6.3341017813370981E-2</v>
      </c>
      <c r="Y62" s="2">
        <f>Y7*'Output-Calculation-sheet'!Y51/10^9</f>
        <v>4.1478545875218015E-2</v>
      </c>
      <c r="AA62" s="2">
        <f t="shared" si="4"/>
        <v>17.070794278041344</v>
      </c>
    </row>
    <row r="63" spans="1:27" x14ac:dyDescent="0.25">
      <c r="A63" s="2">
        <v>2031</v>
      </c>
      <c r="B63" s="2">
        <f>B8*'Output-Calculation-sheet'!B52/10^9</f>
        <v>6.0993094930953866</v>
      </c>
      <c r="C63" s="2">
        <f>C8*'Output-Calculation-sheet'!C52/10^9</f>
        <v>2.9348561058447236</v>
      </c>
      <c r="D63" s="2">
        <f>D8*'Output-Calculation-sheet'!D52/10^9</f>
        <v>1.334822118028367</v>
      </c>
      <c r="E63" s="2">
        <f>E8*'Output-Calculation-sheet'!E52/10^9</f>
        <v>1.4852222619738775</v>
      </c>
      <c r="F63" s="2">
        <f>F8*'Output-Calculation-sheet'!F52/10^9</f>
        <v>0.6860115415646596</v>
      </c>
      <c r="G63" s="2">
        <f>G8*'Output-Calculation-sheet'!G52/10^9</f>
        <v>0.47417532511572419</v>
      </c>
      <c r="H63" s="2">
        <f>H8*'Output-Calculation-sheet'!H52/10^9</f>
        <v>0.89412778452279995</v>
      </c>
      <c r="I63" s="2">
        <f>I8*'Output-Calculation-sheet'!I52/10^9</f>
        <v>0.4679072943567133</v>
      </c>
      <c r="J63" s="2">
        <f>J8*'Output-Calculation-sheet'!J52/10^9</f>
        <v>0.42237309319810429</v>
      </c>
      <c r="K63" s="2">
        <f>K8*'Output-Calculation-sheet'!K52/10^9</f>
        <v>0.54514351232432745</v>
      </c>
      <c r="L63" s="2">
        <f>L8*'Output-Calculation-sheet'!L52/10^9</f>
        <v>0.45033792327546701</v>
      </c>
      <c r="M63" s="2">
        <f>M8*'Output-Calculation-sheet'!M52/10^9</f>
        <v>0.61773777749950276</v>
      </c>
      <c r="N63" s="2">
        <f>N8*'Output-Calculation-sheet'!N52/10^9</f>
        <v>0.6456579962805078</v>
      </c>
      <c r="O63" s="2">
        <f>O8*'Output-Calculation-sheet'!O52/10^9</f>
        <v>0.57024504865516057</v>
      </c>
      <c r="P63" s="2">
        <f>P8*'Output-Calculation-sheet'!P52/10^9</f>
        <v>0.47798202555494501</v>
      </c>
      <c r="Q63" s="2">
        <f>Q8*'Output-Calculation-sheet'!Q52/10^9</f>
        <v>0.49292219298697326</v>
      </c>
      <c r="R63" s="2">
        <f>R8*'Output-Calculation-sheet'!R52/10^9</f>
        <v>0.39420975913811968</v>
      </c>
      <c r="S63" s="2">
        <f>S8*'Output-Calculation-sheet'!S52/10^9</f>
        <v>0.36339357217145779</v>
      </c>
      <c r="T63" s="2">
        <f>T8*'Output-Calculation-sheet'!T52/10^9</f>
        <v>0.12323177501352547</v>
      </c>
      <c r="U63" s="2">
        <f>U8*'Output-Calculation-sheet'!U52/10^9</f>
        <v>0.12387839898027579</v>
      </c>
      <c r="V63" s="2">
        <f>V8*'Output-Calculation-sheet'!V52/10^9</f>
        <v>9.2259760846099437E-2</v>
      </c>
      <c r="W63" s="2">
        <f>W8*'Output-Calculation-sheet'!W52/10^9</f>
        <v>5.768310346382953E-2</v>
      </c>
      <c r="X63" s="2">
        <f>X8*'Output-Calculation-sheet'!X52/10^9</f>
        <v>7.3460158316230859E-2</v>
      </c>
      <c r="Y63" s="2">
        <f>Y8*'Output-Calculation-sheet'!Y52/10^9</f>
        <v>4.8275170857956962E-2</v>
      </c>
      <c r="AA63" s="2">
        <f t="shared" si="4"/>
        <v>19.875223193064734</v>
      </c>
    </row>
    <row r="64" spans="1:27" x14ac:dyDescent="0.25">
      <c r="A64" s="2">
        <v>2032</v>
      </c>
      <c r="B64" s="2">
        <f>B9*'Output-Calculation-sheet'!B53/10^9</f>
        <v>6.4814589271952139</v>
      </c>
      <c r="C64" s="2">
        <f>C9*'Output-Calculation-sheet'!C53/10^9</f>
        <v>3.1298917930029471</v>
      </c>
      <c r="D64" s="2">
        <f>D9*'Output-Calculation-sheet'!D53/10^9</f>
        <v>1.4163100117591074</v>
      </c>
      <c r="E64" s="2">
        <f>E9*'Output-Calculation-sheet'!E53/10^9</f>
        <v>1.576457701971113</v>
      </c>
      <c r="F64" s="2">
        <f>F9*'Output-Calculation-sheet'!F53/10^9</f>
        <v>0.72742337887758146</v>
      </c>
      <c r="G64" s="2">
        <f>G9*'Output-Calculation-sheet'!G53/10^9</f>
        <v>0.50316854428968194</v>
      </c>
      <c r="H64" s="2">
        <f>H9*'Output-Calculation-sheet'!H53/10^9</f>
        <v>0.94472826796862241</v>
      </c>
      <c r="I64" s="2">
        <f>I9*'Output-Calculation-sheet'!I53/10^9</f>
        <v>0.4964509322229092</v>
      </c>
      <c r="J64" s="2">
        <f>J9*'Output-Calculation-sheet'!J53/10^9</f>
        <v>0.44811300050778902</v>
      </c>
      <c r="K64" s="2">
        <f>K9*'Output-Calculation-sheet'!K53/10^9</f>
        <v>0.57849192549891204</v>
      </c>
      <c r="L64" s="2">
        <f>L9*'Output-Calculation-sheet'!L53/10^9</f>
        <v>0.47788790579180884</v>
      </c>
      <c r="M64" s="2">
        <f>M9*'Output-Calculation-sheet'!M53/10^9</f>
        <v>0.65272867441748594</v>
      </c>
      <c r="N64" s="2">
        <f>N9*'Output-Calculation-sheet'!N53/10^9</f>
        <v>0.68310746579069115</v>
      </c>
      <c r="O64" s="2">
        <f>O9*'Output-Calculation-sheet'!O53/10^9</f>
        <v>0.60814064929177913</v>
      </c>
      <c r="P64" s="2">
        <f>P9*'Output-Calculation-sheet'!P53/10^9</f>
        <v>0.50784051625229043</v>
      </c>
      <c r="Q64" s="2">
        <f>Q9*'Output-Calculation-sheet'!Q53/10^9</f>
        <v>0.52359055082977268</v>
      </c>
      <c r="R64" s="2">
        <f>R9*'Output-Calculation-sheet'!R53/10^9</f>
        <v>0.41858675042230786</v>
      </c>
      <c r="S64" s="2">
        <f>S9*'Output-Calculation-sheet'!S53/10^9</f>
        <v>0.38521900505221351</v>
      </c>
      <c r="T64" s="2">
        <f>T9*'Output-Calculation-sheet'!T53/10^9</f>
        <v>0.13075745850164672</v>
      </c>
      <c r="U64" s="2">
        <f>U9*'Output-Calculation-sheet'!U53/10^9</f>
        <v>0.13159995109948652</v>
      </c>
      <c r="V64" s="2">
        <f>V9*'Output-Calculation-sheet'!V53/10^9</f>
        <v>9.7901502776882102E-2</v>
      </c>
      <c r="W64" s="2">
        <f>W9*'Output-Calculation-sheet'!W53/10^9</f>
        <v>6.1177180961746173E-2</v>
      </c>
      <c r="X64" s="2">
        <f>X9*'Output-Calculation-sheet'!X53/10^9</f>
        <v>7.7696088845405312E-2</v>
      </c>
      <c r="Y64" s="2">
        <f>Y9*'Output-Calculation-sheet'!Y53/10^9</f>
        <v>5.125882713013321E-2</v>
      </c>
      <c r="AA64" s="2">
        <f t="shared" si="4"/>
        <v>21.10998701045753</v>
      </c>
    </row>
    <row r="65" spans="1:27" x14ac:dyDescent="0.25">
      <c r="A65" s="2">
        <v>2033</v>
      </c>
      <c r="B65" s="2">
        <f>B10*'Output-Calculation-sheet'!B54/10^9</f>
        <v>6.3171071412618325</v>
      </c>
      <c r="C65" s="2">
        <f>C10*'Output-Calculation-sheet'!C54/10^9</f>
        <v>3.0580490426893778</v>
      </c>
      <c r="D65" s="2">
        <f>D10*'Output-Calculation-sheet'!D54/10^9</f>
        <v>1.3797342195462265</v>
      </c>
      <c r="E65" s="2">
        <f>E10*'Output-Calculation-sheet'!E54/10^9</f>
        <v>1.5362975182631315</v>
      </c>
      <c r="F65" s="2">
        <f>F10*'Output-Calculation-sheet'!F54/10^9</f>
        <v>0.70817769463903335</v>
      </c>
      <c r="G65" s="2">
        <f>G10*'Output-Calculation-sheet'!G54/10^9</f>
        <v>0.49022110561720478</v>
      </c>
      <c r="H65" s="2">
        <f>H10*'Output-Calculation-sheet'!H54/10^9</f>
        <v>0.91615978567298351</v>
      </c>
      <c r="I65" s="2">
        <f>I10*'Output-Calculation-sheet'!I54/10^9</f>
        <v>0.48360937460930359</v>
      </c>
      <c r="J65" s="2">
        <f>J10*'Output-Calculation-sheet'!J54/10^9</f>
        <v>0.43649646333083475</v>
      </c>
      <c r="K65" s="2">
        <f>K10*'Output-Calculation-sheet'!K54/10^9</f>
        <v>0.56361346080990393</v>
      </c>
      <c r="L65" s="2">
        <f>L10*'Output-Calculation-sheet'!L54/10^9</f>
        <v>0.46560026326126863</v>
      </c>
      <c r="M65" s="2">
        <f>M10*'Output-Calculation-sheet'!M54/10^9</f>
        <v>0.63301778655490615</v>
      </c>
      <c r="N65" s="2">
        <f>N10*'Output-Calculation-sheet'!N54/10^9</f>
        <v>0.66318088520988183</v>
      </c>
      <c r="O65" s="2">
        <f>O10*'Output-Calculation-sheet'!O54/10^9</f>
        <v>0.59548376807895742</v>
      </c>
      <c r="P65" s="2">
        <f>P10*'Output-Calculation-sheet'!P54/10^9</f>
        <v>0.49538173433736177</v>
      </c>
      <c r="Q65" s="2">
        <f>Q10*'Output-Calculation-sheet'!Q54/10^9</f>
        <v>0.51062129370281828</v>
      </c>
      <c r="R65" s="2">
        <f>R10*'Output-Calculation-sheet'!R54/10^9</f>
        <v>0.40807943340832137</v>
      </c>
      <c r="S65" s="2">
        <f>S10*'Output-Calculation-sheet'!S54/10^9</f>
        <v>0.3745883327776463</v>
      </c>
      <c r="T65" s="2">
        <f>T10*'Output-Calculation-sheet'!T54/10^9</f>
        <v>0.12738234368861354</v>
      </c>
      <c r="U65" s="2">
        <f>U10*'Output-Calculation-sheet'!U54/10^9</f>
        <v>0.12835700380825021</v>
      </c>
      <c r="V65" s="2">
        <f>V10*'Output-Calculation-sheet'!V54/10^9</f>
        <v>9.5380791633360565E-2</v>
      </c>
      <c r="W65" s="2">
        <f>W10*'Output-Calculation-sheet'!W54/10^9</f>
        <v>5.9569982775655818E-2</v>
      </c>
      <c r="X65" s="2">
        <f>X10*'Output-Calculation-sheet'!X54/10^9</f>
        <v>7.5419826360473258E-2</v>
      </c>
      <c r="Y65" s="2">
        <f>Y10*'Output-Calculation-sheet'!Y54/10^9</f>
        <v>4.997091391700987E-2</v>
      </c>
      <c r="AA65" s="2">
        <f t="shared" si="4"/>
        <v>20.571500165954355</v>
      </c>
    </row>
    <row r="66" spans="1:27" x14ac:dyDescent="0.25">
      <c r="A66" s="2">
        <v>2034</v>
      </c>
      <c r="B66" s="2">
        <f>B11*'Output-Calculation-sheet'!B55/10^9</f>
        <v>5.6624341985716597</v>
      </c>
      <c r="C66" s="2">
        <f>C11*'Output-Calculation-sheet'!C55/10^9</f>
        <v>2.7357834286534266</v>
      </c>
      <c r="D66" s="2">
        <f>D11*'Output-Calculation-sheet'!D55/10^9</f>
        <v>1.2381044096007578</v>
      </c>
      <c r="E66" s="2">
        <f>E11*'Output-Calculation-sheet'!E55/10^9</f>
        <v>1.3790900735436054</v>
      </c>
      <c r="F66" s="2">
        <f>F11*'Output-Calculation-sheet'!F55/10^9</f>
        <v>0.6350631317351112</v>
      </c>
      <c r="G66" s="2">
        <f>G11*'Output-Calculation-sheet'!G55/10^9</f>
        <v>0.4399419098983367</v>
      </c>
      <c r="H66" s="2">
        <f>H11*'Output-Calculation-sheet'!H55/10^9</f>
        <v>0.81809660145478991</v>
      </c>
      <c r="I66" s="2">
        <f>I11*'Output-Calculation-sheet'!I55/10^9</f>
        <v>0.43394338572540303</v>
      </c>
      <c r="J66" s="2">
        <f>J11*'Output-Calculation-sheet'!J55/10^9</f>
        <v>0.39165087417746369</v>
      </c>
      <c r="K66" s="2">
        <f>K11*'Output-Calculation-sheet'!K55/10^9</f>
        <v>0.50580554078979434</v>
      </c>
      <c r="L66" s="2">
        <f>L11*'Output-Calculation-sheet'!L55/10^9</f>
        <v>0.41785171374621655</v>
      </c>
      <c r="M66" s="2">
        <f>M11*'Output-Calculation-sheet'!M55/10^9</f>
        <v>0.56528579632978371</v>
      </c>
      <c r="N66" s="2">
        <f>N11*'Output-Calculation-sheet'!N55/10^9</f>
        <v>0.59274882763568715</v>
      </c>
      <c r="O66" s="2">
        <f>O11*'Output-Calculation-sheet'!O55/10^9</f>
        <v>0.53713230404346823</v>
      </c>
      <c r="P66" s="2">
        <f>P11*'Output-Calculation-sheet'!P55/10^9</f>
        <v>0.44511541508991803</v>
      </c>
      <c r="Q66" s="2">
        <f>Q11*'Output-Calculation-sheet'!Q55/10^9</f>
        <v>0.45869202666879749</v>
      </c>
      <c r="R66" s="2">
        <f>R11*'Output-Calculation-sheet'!R55/10^9</f>
        <v>0.36646082776545541</v>
      </c>
      <c r="S66" s="2">
        <f>S11*'Output-Calculation-sheet'!S55/10^9</f>
        <v>0.33526757017578807</v>
      </c>
      <c r="T66" s="2">
        <f>T11*'Output-Calculation-sheet'!T55/10^9</f>
        <v>0.11430724702955286</v>
      </c>
      <c r="U66" s="2">
        <f>U11*'Output-Calculation-sheet'!U55/10^9</f>
        <v>0.11532129231625279</v>
      </c>
      <c r="V66" s="2">
        <f>V11*'Output-Calculation-sheet'!V55/10^9</f>
        <v>8.5595420032110514E-2</v>
      </c>
      <c r="W66" s="2">
        <f>W11*'Output-Calculation-sheet'!W55/10^9</f>
        <v>5.3430429942843728E-2</v>
      </c>
      <c r="X66" s="2">
        <f>X11*'Output-Calculation-sheet'!X55/10^9</f>
        <v>6.7414035184187163E-2</v>
      </c>
      <c r="Y66" s="2">
        <f>Y11*'Output-Calculation-sheet'!Y55/10^9</f>
        <v>4.4873665349758382E-2</v>
      </c>
      <c r="AA66" s="2">
        <f t="shared" si="4"/>
        <v>18.439410125460164</v>
      </c>
    </row>
    <row r="67" spans="1:27" x14ac:dyDescent="0.25">
      <c r="A67" s="2">
        <v>2035</v>
      </c>
      <c r="B67" s="2">
        <f>B12*'Output-Calculation-sheet'!B56/10^9</f>
        <v>4.6637831459804096</v>
      </c>
      <c r="C67" s="2">
        <f>C12*'Output-Calculation-sheet'!C56/10^9</f>
        <v>2.2501710645901758</v>
      </c>
      <c r="D67" s="2">
        <f>D12*'Output-Calculation-sheet'!D56/10^9</f>
        <v>1.021933328389161</v>
      </c>
      <c r="E67" s="2">
        <f>E12*'Output-Calculation-sheet'!E56/10^9</f>
        <v>1.1387093932463619</v>
      </c>
      <c r="F67" s="2">
        <f>F12*'Output-Calculation-sheet'!F56/10^9</f>
        <v>0.52383062942625902</v>
      </c>
      <c r="G67" s="2">
        <f>G12*'Output-Calculation-sheet'!G56/10^9</f>
        <v>0.36316963688047499</v>
      </c>
      <c r="H67" s="2">
        <f>H12*'Output-Calculation-sheet'!H56/10^9</f>
        <v>0.6717141288288665</v>
      </c>
      <c r="I67" s="2">
        <f>I12*'Output-Calculation-sheet'!I56/10^9</f>
        <v>0.35815589193135372</v>
      </c>
      <c r="J67" s="2">
        <f>J12*'Output-Calculation-sheet'!J56/10^9</f>
        <v>0.32323967701987916</v>
      </c>
      <c r="K67" s="2">
        <f>K12*'Output-Calculation-sheet'!K56/10^9</f>
        <v>0.41752972598349125</v>
      </c>
      <c r="L67" s="2">
        <f>L12*'Output-Calculation-sheet'!L56/10^9</f>
        <v>0.34493485716489425</v>
      </c>
      <c r="M67" s="2">
        <f>M12*'Output-Calculation-sheet'!M56/10^9</f>
        <v>0.46415916215575359</v>
      </c>
      <c r="N67" s="2">
        <f>N12*'Output-Calculation-sheet'!N56/10^9</f>
        <v>0.48713963598914373</v>
      </c>
      <c r="O67" s="2">
        <f>O12*'Output-Calculation-sheet'!O56/10^9</f>
        <v>0.44309087036241029</v>
      </c>
      <c r="P67" s="2">
        <f>P12*'Output-Calculation-sheet'!P56/10^9</f>
        <v>0.36787866544738229</v>
      </c>
      <c r="Q67" s="2">
        <f>Q12*'Output-Calculation-sheet'!Q56/10^9</f>
        <v>0.37899115557988544</v>
      </c>
      <c r="R67" s="2">
        <f>R12*'Output-Calculation-sheet'!R56/10^9</f>
        <v>0.30270013120183081</v>
      </c>
      <c r="S67" s="2">
        <f>S12*'Output-Calculation-sheet'!S56/10^9</f>
        <v>0.27584654001267545</v>
      </c>
      <c r="T67" s="2">
        <f>T12*'Output-Calculation-sheet'!T56/10^9</f>
        <v>9.4349938408358897E-2</v>
      </c>
      <c r="U67" s="2">
        <f>U12*'Output-Calculation-sheet'!U56/10^9</f>
        <v>9.5302572393403603E-2</v>
      </c>
      <c r="V67" s="2">
        <f>V12*'Output-Calculation-sheet'!V56/10^9</f>
        <v>7.0653508588803454E-2</v>
      </c>
      <c r="W67" s="2">
        <f>W12*'Output-Calculation-sheet'!W56/10^9</f>
        <v>4.4081052613309614E-2</v>
      </c>
      <c r="X67" s="2">
        <f>X12*'Output-Calculation-sheet'!X56/10^9</f>
        <v>5.5404065921981285E-2</v>
      </c>
      <c r="Y67" s="2">
        <f>Y12*'Output-Calculation-sheet'!Y56/10^9</f>
        <v>3.7065571265281191E-2</v>
      </c>
      <c r="AA67" s="2">
        <f t="shared" si="4"/>
        <v>15.193834349381547</v>
      </c>
    </row>
    <row r="68" spans="1:27" x14ac:dyDescent="0.25">
      <c r="B68" s="2">
        <f>SUM(B60:B67)</f>
        <v>41.623978828044777</v>
      </c>
      <c r="C68" s="2">
        <f t="shared" ref="C68:Y68" si="5">SUM(C60:C67)</f>
        <v>20.020075414051931</v>
      </c>
      <c r="D68" s="2">
        <f t="shared" si="5"/>
        <v>9.1157462651733994</v>
      </c>
      <c r="E68" s="2">
        <f t="shared" si="5"/>
        <v>10.144633638440038</v>
      </c>
      <c r="F68" s="2">
        <f t="shared" si="5"/>
        <v>4.6832529818707656</v>
      </c>
      <c r="G68" s="2">
        <f t="shared" si="5"/>
        <v>3.2384556732266168</v>
      </c>
      <c r="H68" s="2">
        <f t="shared" si="5"/>
        <v>6.0735634647424188</v>
      </c>
      <c r="I68" s="2">
        <f t="shared" si="5"/>
        <v>3.1953047166983364</v>
      </c>
      <c r="J68" s="2">
        <f t="shared" si="5"/>
        <v>2.88431983668004</v>
      </c>
      <c r="K68" s="2">
        <f t="shared" si="5"/>
        <v>3.7229934675950251</v>
      </c>
      <c r="L68" s="2">
        <f t="shared" si="5"/>
        <v>3.0755806213662336</v>
      </c>
      <c r="M68" s="2">
        <f t="shared" si="5"/>
        <v>4.1958696927213852</v>
      </c>
      <c r="N68" s="2">
        <f t="shared" si="5"/>
        <v>4.3900666526475449</v>
      </c>
      <c r="O68" s="2">
        <f t="shared" si="5"/>
        <v>3.9026679397327748</v>
      </c>
      <c r="P68" s="2">
        <f t="shared" si="5"/>
        <v>3.2663834665294083</v>
      </c>
      <c r="Q68" s="2">
        <f t="shared" si="5"/>
        <v>3.367948289321081</v>
      </c>
      <c r="R68" s="2">
        <f t="shared" si="5"/>
        <v>2.6931526448868102</v>
      </c>
      <c r="S68" s="2">
        <f t="shared" si="5"/>
        <v>2.4734280306992709</v>
      </c>
      <c r="T68" s="2">
        <f t="shared" si="5"/>
        <v>0.84156585793075356</v>
      </c>
      <c r="U68" s="2">
        <f t="shared" si="5"/>
        <v>0.84652587128018064</v>
      </c>
      <c r="V68" s="2">
        <f t="shared" si="5"/>
        <v>0.63006237946116761</v>
      </c>
      <c r="W68" s="2">
        <f t="shared" si="5"/>
        <v>0.39382966965602684</v>
      </c>
      <c r="X68" s="2">
        <f t="shared" si="5"/>
        <v>0.49918074821521152</v>
      </c>
      <c r="Y68" s="2">
        <f t="shared" si="5"/>
        <v>0.32980011210633847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6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6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5966628699.0305729</v>
      </c>
      <c r="C93" s="2">
        <f>C5/'Output-Calculation-sheet'!C4*'Output-Calculation-sheet'!C76</f>
        <v>0</v>
      </c>
      <c r="D93" s="2">
        <f>D5/'Output-Calculation-sheet'!D4*'Output-Calculation-sheet'!D76</f>
        <v>3905917038.797399</v>
      </c>
      <c r="E93" s="2">
        <f>E5/'Output-Calculation-sheet'!E4*'Output-Calculation-sheet'!E76</f>
        <v>5703276372.1990891</v>
      </c>
      <c r="F93" s="2">
        <f>F5/'Output-Calculation-sheet'!F4*'Output-Calculation-sheet'!F76</f>
        <v>2856662789.3471451</v>
      </c>
      <c r="G93" s="2">
        <f>G5/'Output-Calculation-sheet'!G4*'Output-Calculation-sheet'!G76</f>
        <v>2182867668.5061936</v>
      </c>
      <c r="H93" s="2">
        <f>H5/'Output-Calculation-sheet'!H4*'Output-Calculation-sheet'!H76</f>
        <v>0</v>
      </c>
      <c r="I93" s="2">
        <f>I5/'Output-Calculation-sheet'!I4*'Output-Calculation-sheet'!I76</f>
        <v>1482934391.7271521</v>
      </c>
      <c r="J93" s="2">
        <f>J5/'Output-Calculation-sheet'!J4*'Output-Calculation-sheet'!J76</f>
        <v>1063961737.465071</v>
      </c>
      <c r="K93" s="2">
        <f>K5/'Output-Calculation-sheet'!K4*'Output-Calculation-sheet'!K76</f>
        <v>1339489707.242244</v>
      </c>
      <c r="L93" s="2">
        <f>L5/'Output-Calculation-sheet'!L4*'Output-Calculation-sheet'!L76</f>
        <v>883317219.57225549</v>
      </c>
      <c r="M93" s="2">
        <f>M5/'Output-Calculation-sheet'!M4*'Output-Calculation-sheet'!M76</f>
        <v>0</v>
      </c>
      <c r="N93" s="2">
        <f>N5/'Output-Calculation-sheet'!N4*'Output-Calculation-sheet'!N76</f>
        <v>418144241.16601771</v>
      </c>
      <c r="O93" s="2">
        <f>O5/'Output-Calculation-sheet'!O4*'Output-Calculation-sheet'!O76</f>
        <v>0</v>
      </c>
      <c r="P93" s="2">
        <f>P5/'Output-Calculation-sheet'!P4*'Output-Calculation-sheet'!P76</f>
        <v>1100758194.194417</v>
      </c>
      <c r="Q93" s="2">
        <f>Q5/'Output-Calculation-sheet'!Q4*'Output-Calculation-sheet'!Q76</f>
        <v>494859168.31282169</v>
      </c>
      <c r="R93" s="2">
        <f>R5/'Output-Calculation-sheet'!R4*'Output-Calculation-sheet'!R76</f>
        <v>789742720.11581492</v>
      </c>
      <c r="S93" s="2">
        <f>S5/'Output-Calculation-sheet'!S4*'Output-Calculation-sheet'!S76</f>
        <v>261658849.24845123</v>
      </c>
      <c r="T93" s="2">
        <f>T5/'Output-Calculation-sheet'!T4*'Output-Calculation-sheet'!T76</f>
        <v>424363684.74642038</v>
      </c>
      <c r="U93" s="2">
        <f>U5/'Output-Calculation-sheet'!U4*'Output-Calculation-sheet'!U76</f>
        <v>221317134.54542851</v>
      </c>
      <c r="V93" s="2">
        <f>V5/'Output-Calculation-sheet'!V4*'Output-Calculation-sheet'!V76</f>
        <v>132410028.64540793</v>
      </c>
      <c r="W93" s="2">
        <f>W5/'Output-Calculation-sheet'!W4*'Output-Calculation-sheet'!W76</f>
        <v>441251265.77602917</v>
      </c>
      <c r="X93" s="2">
        <f>X5/'Output-Calculation-sheet'!X4*'Output-Calculation-sheet'!X76</f>
        <v>0</v>
      </c>
      <c r="Y93" s="2">
        <f>Y5/'Output-Calculation-sheet'!Y4*'Output-Calculation-sheet'!Y76</f>
        <v>185030541.04040933</v>
      </c>
      <c r="AA93" s="2">
        <f t="shared" ref="AA93:AA100" si="8">SUM(B93:Y93)/10^9</f>
        <v>29.854591451678345</v>
      </c>
    </row>
    <row r="94" spans="1:27" x14ac:dyDescent="0.25">
      <c r="A94" s="2">
        <v>2029</v>
      </c>
      <c r="B94" s="2">
        <f>B6/'Output-Calculation-sheet'!B5*'Output-Calculation-sheet'!B77</f>
        <v>8297198192.5046215</v>
      </c>
      <c r="C94" s="2">
        <f>C6/'Output-Calculation-sheet'!C5*'Output-Calculation-sheet'!C77</f>
        <v>0</v>
      </c>
      <c r="D94" s="2">
        <f>D6/'Output-Calculation-sheet'!D5*'Output-Calculation-sheet'!D77</f>
        <v>5353870192.7012606</v>
      </c>
      <c r="E94" s="2">
        <f>E6/'Output-Calculation-sheet'!E5*'Output-Calculation-sheet'!E77</f>
        <v>7980188988.1780348</v>
      </c>
      <c r="F94" s="2">
        <f>F6/'Output-Calculation-sheet'!F5*'Output-Calculation-sheet'!F77</f>
        <v>3911958534.0107565</v>
      </c>
      <c r="G94" s="2">
        <f>G6/'Output-Calculation-sheet'!G5*'Output-Calculation-sheet'!G77</f>
        <v>3027908764.6441665</v>
      </c>
      <c r="H94" s="2">
        <f>H6/'Output-Calculation-sheet'!H5*'Output-Calculation-sheet'!H77</f>
        <v>740540303.39315557</v>
      </c>
      <c r="I94" s="2">
        <f>I6/'Output-Calculation-sheet'!I5*'Output-Calculation-sheet'!I77</f>
        <v>2028654664.0173559</v>
      </c>
      <c r="J94" s="2">
        <f>J6/'Output-Calculation-sheet'!J5*'Output-Calculation-sheet'!J77</f>
        <v>1470754331.1456723</v>
      </c>
      <c r="K94" s="2">
        <f>K6/'Output-Calculation-sheet'!K5*'Output-Calculation-sheet'!K77</f>
        <v>1833807444.8346951</v>
      </c>
      <c r="L94" s="2">
        <f>L6/'Output-Calculation-sheet'!L5*'Output-Calculation-sheet'!L77</f>
        <v>1223048459.4043322</v>
      </c>
      <c r="M94" s="2">
        <f>M6/'Output-Calculation-sheet'!M5*'Output-Calculation-sheet'!M77</f>
        <v>538635646.4745872</v>
      </c>
      <c r="N94" s="2">
        <f>N6/'Output-Calculation-sheet'!N5*'Output-Calculation-sheet'!N77</f>
        <v>634974560.89070761</v>
      </c>
      <c r="O94" s="2">
        <f>O6/'Output-Calculation-sheet'!O5*'Output-Calculation-sheet'!O77</f>
        <v>0</v>
      </c>
      <c r="P94" s="2">
        <f>P6/'Output-Calculation-sheet'!P5*'Output-Calculation-sheet'!P77</f>
        <v>1536511294.4946253</v>
      </c>
      <c r="Q94" s="2">
        <f>Q6/'Output-Calculation-sheet'!Q5*'Output-Calculation-sheet'!Q77</f>
        <v>699916776.47313893</v>
      </c>
      <c r="R94" s="2">
        <f>R6/'Output-Calculation-sheet'!R5*'Output-Calculation-sheet'!R77</f>
        <v>1091755434.2909131</v>
      </c>
      <c r="S94" s="2">
        <f>S6/'Output-Calculation-sheet'!S5*'Output-Calculation-sheet'!S77</f>
        <v>368585031.00968581</v>
      </c>
      <c r="T94" s="2">
        <f>T6/'Output-Calculation-sheet'!T5*'Output-Calculation-sheet'!T77</f>
        <v>584151705.60632217</v>
      </c>
      <c r="U94" s="2">
        <f>U6/'Output-Calculation-sheet'!U5*'Output-Calculation-sheet'!U77</f>
        <v>298337188.44328165</v>
      </c>
      <c r="V94" s="2">
        <f>V6/'Output-Calculation-sheet'!V5*'Output-Calculation-sheet'!V77</f>
        <v>178546284.31512573</v>
      </c>
      <c r="W94" s="2">
        <f>W6/'Output-Calculation-sheet'!W5*'Output-Calculation-sheet'!W77</f>
        <v>614184873.27890646</v>
      </c>
      <c r="X94" s="2">
        <f>X6/'Output-Calculation-sheet'!X5*'Output-Calculation-sheet'!X77</f>
        <v>50232395.204404488</v>
      </c>
      <c r="Y94" s="2">
        <f>Y6/'Output-Calculation-sheet'!Y5*'Output-Calculation-sheet'!Y77</f>
        <v>259047629.43697304</v>
      </c>
      <c r="AA94" s="2">
        <f t="shared" si="8"/>
        <v>42.722808694752736</v>
      </c>
    </row>
    <row r="95" spans="1:27" x14ac:dyDescent="0.25">
      <c r="A95" s="2">
        <v>2030</v>
      </c>
      <c r="B95" s="2">
        <f>B7/'Output-Calculation-sheet'!B6*'Output-Calculation-sheet'!B78</f>
        <v>10485876589.651588</v>
      </c>
      <c r="C95" s="2">
        <f>C7/'Output-Calculation-sheet'!C6*'Output-Calculation-sheet'!C78</f>
        <v>0</v>
      </c>
      <c r="D95" s="2">
        <f>D7/'Output-Calculation-sheet'!D6*'Output-Calculation-sheet'!D78</f>
        <v>6688072799.3687325</v>
      </c>
      <c r="E95" s="2">
        <f>E7/'Output-Calculation-sheet'!E6*'Output-Calculation-sheet'!E78</f>
        <v>10165091797.688051</v>
      </c>
      <c r="F95" s="2">
        <f>F7/'Output-Calculation-sheet'!F6*'Output-Calculation-sheet'!F78</f>
        <v>4878519937.6285858</v>
      </c>
      <c r="G95" s="2">
        <f>G7/'Output-Calculation-sheet'!G6*'Output-Calculation-sheet'!G78</f>
        <v>3825787016.7412529</v>
      </c>
      <c r="H95" s="2">
        <f>H7/'Output-Calculation-sheet'!H6*'Output-Calculation-sheet'!H78</f>
        <v>978519734.72250628</v>
      </c>
      <c r="I95" s="2">
        <f>I7/'Output-Calculation-sheet'!I6*'Output-Calculation-sheet'!I78</f>
        <v>2524903766.2913709</v>
      </c>
      <c r="J95" s="2">
        <f>J7/'Output-Calculation-sheet'!J6*'Output-Calculation-sheet'!J78</f>
        <v>1851726098.6938124</v>
      </c>
      <c r="K95" s="2">
        <f>K7/'Output-Calculation-sheet'!K6*'Output-Calculation-sheet'!K78</f>
        <v>2282551799.969882</v>
      </c>
      <c r="L95" s="2">
        <f>L7/'Output-Calculation-sheet'!L6*'Output-Calculation-sheet'!L78</f>
        <v>1544021602.558006</v>
      </c>
      <c r="M95" s="2">
        <f>M7/'Output-Calculation-sheet'!M6*'Output-Calculation-sheet'!M78</f>
        <v>717893162.24894857</v>
      </c>
      <c r="N95" s="2">
        <f>N7/'Output-Calculation-sheet'!N6*'Output-Calculation-sheet'!N78</f>
        <v>837739158.50885439</v>
      </c>
      <c r="O95" s="2">
        <f>O7/'Output-Calculation-sheet'!O6*'Output-Calculation-sheet'!O78</f>
        <v>0</v>
      </c>
      <c r="P95" s="2">
        <f>P7/'Output-Calculation-sheet'!P6*'Output-Calculation-sheet'!P78</f>
        <v>1942926732.6236575</v>
      </c>
      <c r="Q95" s="2">
        <f>Q7/'Output-Calculation-sheet'!Q6*'Output-Calculation-sheet'!Q78</f>
        <v>896990298.39234483</v>
      </c>
      <c r="R95" s="2">
        <f>R7/'Output-Calculation-sheet'!R6*'Output-Calculation-sheet'!R78</f>
        <v>1372793100.9957714</v>
      </c>
      <c r="S95" s="2">
        <f>S7/'Output-Calculation-sheet'!S6*'Output-Calculation-sheet'!S78</f>
        <v>486378378.34823805</v>
      </c>
      <c r="T95" s="2">
        <f>T7/'Output-Calculation-sheet'!T6*'Output-Calculation-sheet'!T78</f>
        <v>732526496.6214658</v>
      </c>
      <c r="U95" s="2">
        <f>U7/'Output-Calculation-sheet'!U6*'Output-Calculation-sheet'!U78</f>
        <v>365348650.11750811</v>
      </c>
      <c r="V95" s="2">
        <f>V7/'Output-Calculation-sheet'!V6*'Output-Calculation-sheet'!V78</f>
        <v>218967391.58444452</v>
      </c>
      <c r="W95" s="2">
        <f>W7/'Output-Calculation-sheet'!W6*'Output-Calculation-sheet'!W78</f>
        <v>779063385.79010904</v>
      </c>
      <c r="X95" s="2">
        <f>X7/'Output-Calculation-sheet'!X6*'Output-Calculation-sheet'!X78</f>
        <v>67935276.003234491</v>
      </c>
      <c r="Y95" s="2">
        <f>Y7/'Output-Calculation-sheet'!Y6*'Output-Calculation-sheet'!Y78</f>
        <v>330610534.1201961</v>
      </c>
      <c r="AA95" s="2">
        <f t="shared" si="8"/>
        <v>53.974243708668553</v>
      </c>
    </row>
    <row r="96" spans="1:27" x14ac:dyDescent="0.25">
      <c r="A96" s="2">
        <v>2031</v>
      </c>
      <c r="B96" s="2">
        <f>B8/'Output-Calculation-sheet'!B7*'Output-Calculation-sheet'!B79</f>
        <v>12339389281.969234</v>
      </c>
      <c r="C96" s="2">
        <f>C8/'Output-Calculation-sheet'!C7*'Output-Calculation-sheet'!C79</f>
        <v>0</v>
      </c>
      <c r="D96" s="2">
        <f>D8/'Output-Calculation-sheet'!D7*'Output-Calculation-sheet'!D79</f>
        <v>7510884677.138442</v>
      </c>
      <c r="E96" s="2">
        <f>E8/'Output-Calculation-sheet'!E7*'Output-Calculation-sheet'!E79</f>
        <v>11764716572.891924</v>
      </c>
      <c r="F96" s="2">
        <f>F8/'Output-Calculation-sheet'!F7*'Output-Calculation-sheet'!F79</f>
        <v>5631502413.9731274</v>
      </c>
      <c r="G96" s="2">
        <f>G8/'Output-Calculation-sheet'!G7*'Output-Calculation-sheet'!G79</f>
        <v>4293181449.4756298</v>
      </c>
      <c r="H96" s="2">
        <f>H8/'Output-Calculation-sheet'!H7*'Output-Calculation-sheet'!H79</f>
        <v>1160294031.305187</v>
      </c>
      <c r="I96" s="2">
        <f>I8/'Output-Calculation-sheet'!I7*'Output-Calculation-sheet'!I79</f>
        <v>2944197379.2447166</v>
      </c>
      <c r="J96" s="2">
        <f>J8/'Output-Calculation-sheet'!J7*'Output-Calculation-sheet'!J79</f>
        <v>2095753773.2880986</v>
      </c>
      <c r="K96" s="2">
        <f>K8/'Output-Calculation-sheet'!K7*'Output-Calculation-sheet'!K79</f>
        <v>2611989552.9353733</v>
      </c>
      <c r="L96" s="2">
        <f>L8/'Output-Calculation-sheet'!L7*'Output-Calculation-sheet'!L79</f>
        <v>1817575821.7843173</v>
      </c>
      <c r="M96" s="2">
        <f>M8/'Output-Calculation-sheet'!M7*'Output-Calculation-sheet'!M79</f>
        <v>860156947.25540757</v>
      </c>
      <c r="N96" s="2">
        <f>N8/'Output-Calculation-sheet'!N7*'Output-Calculation-sheet'!N79</f>
        <v>958649654.29453468</v>
      </c>
      <c r="O96" s="2">
        <f>O8/'Output-Calculation-sheet'!O7*'Output-Calculation-sheet'!O79</f>
        <v>0</v>
      </c>
      <c r="P96" s="2">
        <f>P8/'Output-Calculation-sheet'!P7*'Output-Calculation-sheet'!P79</f>
        <v>2217127151.4052339</v>
      </c>
      <c r="Q96" s="2">
        <f>Q8/'Output-Calculation-sheet'!Q7*'Output-Calculation-sheet'!Q79</f>
        <v>1029302964.4503577</v>
      </c>
      <c r="R96" s="2">
        <f>R8/'Output-Calculation-sheet'!R7*'Output-Calculation-sheet'!R79</f>
        <v>1588077424.2374341</v>
      </c>
      <c r="S96" s="2">
        <f>S8/'Output-Calculation-sheet'!S7*'Output-Calculation-sheet'!S79</f>
        <v>581691498.59643435</v>
      </c>
      <c r="T96" s="2">
        <f>T8/'Output-Calculation-sheet'!T7*'Output-Calculation-sheet'!T79</f>
        <v>832405444.73876476</v>
      </c>
      <c r="U96" s="2">
        <f>U8/'Output-Calculation-sheet'!U7*'Output-Calculation-sheet'!U79</f>
        <v>422641290.64707214</v>
      </c>
      <c r="V96" s="2">
        <f>V8/'Output-Calculation-sheet'!V7*'Output-Calculation-sheet'!V79</f>
        <v>256209222.71688062</v>
      </c>
      <c r="W96" s="2">
        <f>W8/'Output-Calculation-sheet'!W7*'Output-Calculation-sheet'!W79</f>
        <v>892235354.18538535</v>
      </c>
      <c r="X96" s="2">
        <f>X8/'Output-Calculation-sheet'!X7*'Output-Calculation-sheet'!X79</f>
        <v>83185819.558175579</v>
      </c>
      <c r="Y96" s="2">
        <f>Y8/'Output-Calculation-sheet'!Y7*'Output-Calculation-sheet'!Y79</f>
        <v>379533985.51136947</v>
      </c>
      <c r="AA96" s="2">
        <f t="shared" si="8"/>
        <v>62.270701711603095</v>
      </c>
    </row>
    <row r="97" spans="1:27" x14ac:dyDescent="0.25">
      <c r="A97" s="2">
        <v>2032</v>
      </c>
      <c r="B97" s="2">
        <f>B9/'Output-Calculation-sheet'!B8*'Output-Calculation-sheet'!B80</f>
        <v>13277458587.786751</v>
      </c>
      <c r="C97" s="2">
        <f>C9/'Output-Calculation-sheet'!C8*'Output-Calculation-sheet'!C80</f>
        <v>0</v>
      </c>
      <c r="D97" s="2">
        <f>D9/'Output-Calculation-sheet'!D8*'Output-Calculation-sheet'!D80</f>
        <v>7707982312.3955584</v>
      </c>
      <c r="E97" s="2">
        <f>E9/'Output-Calculation-sheet'!E8*'Output-Calculation-sheet'!E80</f>
        <v>12435485567.691179</v>
      </c>
      <c r="F97" s="2">
        <f>F9/'Output-Calculation-sheet'!F8*'Output-Calculation-sheet'!F80</f>
        <v>5931924531.9338789</v>
      </c>
      <c r="G97" s="2">
        <f>G9/'Output-Calculation-sheet'!G8*'Output-Calculation-sheet'!G80</f>
        <v>4392444085.5710802</v>
      </c>
      <c r="H97" s="2">
        <f>H9/'Output-Calculation-sheet'!H8*'Output-Calculation-sheet'!H80</f>
        <v>1254399278.3796408</v>
      </c>
      <c r="I97" s="2">
        <f>I9/'Output-Calculation-sheet'!I8*'Output-Calculation-sheet'!I80</f>
        <v>3132149384.0839348</v>
      </c>
      <c r="J97" s="2">
        <f>J9/'Output-Calculation-sheet'!J8*'Output-Calculation-sheet'!J80</f>
        <v>2166170080.4376006</v>
      </c>
      <c r="K97" s="2">
        <f>K9/'Output-Calculation-sheet'!K8*'Output-Calculation-sheet'!K80</f>
        <v>2724854607.3076601</v>
      </c>
      <c r="L97" s="2">
        <f>L9/'Output-Calculation-sheet'!L8*'Output-Calculation-sheet'!L80</f>
        <v>1956402783.7821388</v>
      </c>
      <c r="M97" s="2">
        <f>M9/'Output-Calculation-sheet'!M8*'Output-Calculation-sheet'!M80</f>
        <v>931565849.7520318</v>
      </c>
      <c r="N97" s="2">
        <f>N9/'Output-Calculation-sheet'!N8*'Output-Calculation-sheet'!N80</f>
        <v>991554230.11658502</v>
      </c>
      <c r="O97" s="2">
        <f>O9/'Output-Calculation-sheet'!O8*'Output-Calculation-sheet'!O80</f>
        <v>0</v>
      </c>
      <c r="P97" s="2">
        <f>P9/'Output-Calculation-sheet'!P8*'Output-Calculation-sheet'!P80</f>
        <v>2320402186.7089658</v>
      </c>
      <c r="Q97" s="2">
        <f>Q9/'Output-Calculation-sheet'!Q8*'Output-Calculation-sheet'!Q80</f>
        <v>1081886308.6969788</v>
      </c>
      <c r="R97" s="2">
        <f>R9/'Output-Calculation-sheet'!R8*'Output-Calculation-sheet'!R80</f>
        <v>1676837717.4397738</v>
      </c>
      <c r="S97" s="2">
        <f>S9/'Output-Calculation-sheet'!S8*'Output-Calculation-sheet'!S80</f>
        <v>631818372.12279594</v>
      </c>
      <c r="T97" s="2">
        <f>T9/'Output-Calculation-sheet'!T8*'Output-Calculation-sheet'!T80</f>
        <v>862287695.2847811</v>
      </c>
      <c r="U97" s="2">
        <f>U9/'Output-Calculation-sheet'!U8*'Output-Calculation-sheet'!U80</f>
        <v>446458073.82787234</v>
      </c>
      <c r="V97" s="2">
        <f>V9/'Output-Calculation-sheet'!V8*'Output-Calculation-sheet'!V80</f>
        <v>273695535.52961582</v>
      </c>
      <c r="W97" s="2">
        <f>W9/'Output-Calculation-sheet'!W8*'Output-Calculation-sheet'!W80</f>
        <v>931790170.35061944</v>
      </c>
      <c r="X97" s="2">
        <f>X9/'Output-Calculation-sheet'!X8*'Output-Calculation-sheet'!X80</f>
        <v>92250910.872870073</v>
      </c>
      <c r="Y97" s="2">
        <f>Y9/'Output-Calculation-sheet'!Y8*'Output-Calculation-sheet'!Y80</f>
        <v>396760839.59873962</v>
      </c>
      <c r="AA97" s="2">
        <f t="shared" si="8"/>
        <v>65.616579109671065</v>
      </c>
    </row>
    <row r="98" spans="1:27" x14ac:dyDescent="0.25">
      <c r="A98" s="2">
        <v>2033</v>
      </c>
      <c r="B98" s="2">
        <f>B10/'Output-Calculation-sheet'!B9*'Output-Calculation-sheet'!B81</f>
        <v>13628629022.870695</v>
      </c>
      <c r="C98" s="2">
        <f>C10/'Output-Calculation-sheet'!C9*'Output-Calculation-sheet'!C81</f>
        <v>1784944632.7897627</v>
      </c>
      <c r="D98" s="2">
        <f>D10/'Output-Calculation-sheet'!D9*'Output-Calculation-sheet'!D81</f>
        <v>7265883015.7273598</v>
      </c>
      <c r="E98" s="2">
        <f>E10/'Output-Calculation-sheet'!E9*'Output-Calculation-sheet'!E81</f>
        <v>12063895640.487692</v>
      </c>
      <c r="F98" s="2">
        <f>F10/'Output-Calculation-sheet'!F9*'Output-Calculation-sheet'!F81</f>
        <v>5743504557.5516005</v>
      </c>
      <c r="G98" s="2">
        <f>G10/'Output-Calculation-sheet'!G9*'Output-Calculation-sheet'!G81</f>
        <v>4124268577.7329359</v>
      </c>
      <c r="H98" s="2">
        <f>H10/'Output-Calculation-sheet'!H9*'Output-Calculation-sheet'!H81</f>
        <v>1242948494.1830997</v>
      </c>
      <c r="I98" s="2">
        <f>I10/'Output-Calculation-sheet'!I9*'Output-Calculation-sheet'!I81</f>
        <v>3061147810.8079638</v>
      </c>
      <c r="J98" s="2">
        <f>J10/'Output-Calculation-sheet'!J9*'Output-Calculation-sheet'!J81</f>
        <v>2058404430.7643077</v>
      </c>
      <c r="K98" s="2">
        <f>K10/'Output-Calculation-sheet'!K9*'Output-Calculation-sheet'!K81</f>
        <v>2614103569.2497721</v>
      </c>
      <c r="L98" s="2">
        <f>L10/'Output-Calculation-sheet'!L9*'Output-Calculation-sheet'!L81</f>
        <v>1932718017.8993189</v>
      </c>
      <c r="M98" s="2">
        <f>M10/'Output-Calculation-sheet'!M9*'Output-Calculation-sheet'!M81</f>
        <v>926747828.33707654</v>
      </c>
      <c r="N98" s="2">
        <f>N10/'Output-Calculation-sheet'!N9*'Output-Calculation-sheet'!N81</f>
        <v>943062960.75534654</v>
      </c>
      <c r="O98" s="2">
        <f>O10/'Output-Calculation-sheet'!O9*'Output-Calculation-sheet'!O81</f>
        <v>0</v>
      </c>
      <c r="P98" s="2">
        <f>P10/'Output-Calculation-sheet'!P9*'Output-Calculation-sheet'!P81</f>
        <v>2223946928.216671</v>
      </c>
      <c r="Q98" s="2">
        <f>Q10/'Output-Calculation-sheet'!Q9*'Output-Calculation-sheet'!Q81</f>
        <v>1043890331.2090701</v>
      </c>
      <c r="R98" s="2">
        <f>R10/'Output-Calculation-sheet'!R9*'Output-Calculation-sheet'!R81</f>
        <v>1628944465.5227087</v>
      </c>
      <c r="S98" s="2">
        <f>S10/'Output-Calculation-sheet'!S9*'Output-Calculation-sheet'!S81</f>
        <v>618538470.98334813</v>
      </c>
      <c r="T98" s="2">
        <f>T10/'Output-Calculation-sheet'!T9*'Output-Calculation-sheet'!T81</f>
        <v>820995843.40107167</v>
      </c>
      <c r="U98" s="2">
        <f>U10/'Output-Calculation-sheet'!U9*'Output-Calculation-sheet'!U81</f>
        <v>432747791.5417698</v>
      </c>
      <c r="V98" s="2">
        <f>V10/'Output-Calculation-sheet'!V9*'Output-Calculation-sheet'!V81</f>
        <v>268171894.00643301</v>
      </c>
      <c r="W98" s="2">
        <f>W10/'Output-Calculation-sheet'!W9*'Output-Calculation-sheet'!W81</f>
        <v>891576426.6927371</v>
      </c>
      <c r="X98" s="2">
        <f>X10/'Output-Calculation-sheet'!X9*'Output-Calculation-sheet'!X81</f>
        <v>92747518.858111203</v>
      </c>
      <c r="Y98" s="2">
        <f>Y10/'Output-Calculation-sheet'!Y9*'Output-Calculation-sheet'!Y81</f>
        <v>380619101.00627965</v>
      </c>
      <c r="AA98" s="2">
        <f t="shared" si="8"/>
        <v>65.792437330595106</v>
      </c>
    </row>
    <row r="99" spans="1:27" x14ac:dyDescent="0.25">
      <c r="A99" s="2">
        <v>2034</v>
      </c>
      <c r="B99" s="2">
        <f>B11/'Output-Calculation-sheet'!B10*'Output-Calculation-sheet'!B82</f>
        <v>12648108101.301256</v>
      </c>
      <c r="C99" s="2">
        <f>C11/'Output-Calculation-sheet'!C10*'Output-Calculation-sheet'!C82</f>
        <v>1715394328.8453662</v>
      </c>
      <c r="D99" s="2">
        <f>D11/'Output-Calculation-sheet'!D10*'Output-Calculation-sheet'!D82</f>
        <v>6310825845.6844826</v>
      </c>
      <c r="E99" s="2">
        <f>E11/'Output-Calculation-sheet'!E10*'Output-Calculation-sheet'!E82</f>
        <v>10792579450.797871</v>
      </c>
      <c r="F99" s="2">
        <f>F11/'Output-Calculation-sheet'!F10*'Output-Calculation-sheet'!F82</f>
        <v>5125484368.5887699</v>
      </c>
      <c r="G99" s="2">
        <f>G11/'Output-Calculation-sheet'!G10*'Output-Calculation-sheet'!G82</f>
        <v>3560445768.6006002</v>
      </c>
      <c r="H99" s="2">
        <f>H11/'Output-Calculation-sheet'!H10*'Output-Calculation-sheet'!H82</f>
        <v>1136113474.0977631</v>
      </c>
      <c r="I99" s="2">
        <f>I11/'Output-Calculation-sheet'!I10*'Output-Calculation-sheet'!I82</f>
        <v>2759989648.8753681</v>
      </c>
      <c r="J99" s="2">
        <f>J11/'Output-Calculation-sheet'!J10*'Output-Calculation-sheet'!J82</f>
        <v>1803198201.3073945</v>
      </c>
      <c r="K99" s="2">
        <f>K11/'Output-Calculation-sheet'!K10*'Output-Calculation-sheet'!K82</f>
        <v>2312021094.0681744</v>
      </c>
      <c r="L99" s="2">
        <f>L11/'Output-Calculation-sheet'!L10*'Output-Calculation-sheet'!L82</f>
        <v>1758064171.7894509</v>
      </c>
      <c r="M99" s="2">
        <f>M11/'Output-Calculation-sheet'!M10*'Output-Calculation-sheet'!M82</f>
        <v>849848759.52742517</v>
      </c>
      <c r="N99" s="2">
        <f>N11/'Output-Calculation-sheet'!N10*'Output-Calculation-sheet'!N82</f>
        <v>829415636.14616537</v>
      </c>
      <c r="O99" s="2">
        <f>O11/'Output-Calculation-sheet'!O10*'Output-Calculation-sheet'!O82</f>
        <v>0</v>
      </c>
      <c r="P99" s="2">
        <f>P11/'Output-Calculation-sheet'!P10*'Output-Calculation-sheet'!P82</f>
        <v>1961758563.1967461</v>
      </c>
      <c r="Q99" s="2">
        <f>Q11/'Output-Calculation-sheet'!Q10*'Output-Calculation-sheet'!Q82</f>
        <v>928907153.20546043</v>
      </c>
      <c r="R99" s="2">
        <f>R11/'Output-Calculation-sheet'!R10*'Output-Calculation-sheet'!R82</f>
        <v>1457762557.8856125</v>
      </c>
      <c r="S99" s="2">
        <f>S11/'Output-Calculation-sheet'!S10*'Output-Calculation-sheet'!S82</f>
        <v>567994385.08664989</v>
      </c>
      <c r="T99" s="2">
        <f>T11/'Output-Calculation-sheet'!T10*'Output-Calculation-sheet'!T82</f>
        <v>720250418.92234373</v>
      </c>
      <c r="U99" s="2">
        <f>U11/'Output-Calculation-sheet'!U10*'Output-Calculation-sheet'!U82</f>
        <v>387153504.12513793</v>
      </c>
      <c r="V99" s="2">
        <f>V11/'Output-Calculation-sheet'!V10*'Output-Calculation-sheet'!V82</f>
        <v>242194502.85671723</v>
      </c>
      <c r="W99" s="2">
        <f>W11/'Output-Calculation-sheet'!W10*'Output-Calculation-sheet'!W82</f>
        <v>785094122.59610021</v>
      </c>
      <c r="X99" s="2">
        <f>X11/'Output-Calculation-sheet'!X10*'Output-Calculation-sheet'!X82</f>
        <v>86387360.5010795</v>
      </c>
      <c r="Y99" s="2">
        <f>Y11/'Output-Calculation-sheet'!Y10*'Output-Calculation-sheet'!Y82</f>
        <v>335922074.57973367</v>
      </c>
      <c r="AA99" s="2">
        <f t="shared" si="8"/>
        <v>59.074913492585665</v>
      </c>
    </row>
    <row r="100" spans="1:27" x14ac:dyDescent="0.25">
      <c r="A100" s="2">
        <v>2035</v>
      </c>
      <c r="B100" s="2">
        <f>B12/'Output-Calculation-sheet'!B11*'Output-Calculation-sheet'!B83</f>
        <v>10621123061.097454</v>
      </c>
      <c r="C100" s="2">
        <f>C12/'Output-Calculation-sheet'!C11*'Output-Calculation-sheet'!C83</f>
        <v>1502731749.1083672</v>
      </c>
      <c r="D100" s="2">
        <f>D12/'Output-Calculation-sheet'!D11*'Output-Calculation-sheet'!D83</f>
        <v>5051464792.9723673</v>
      </c>
      <c r="E100" s="2">
        <f>E12/'Output-Calculation-sheet'!E11*'Output-Calculation-sheet'!E83</f>
        <v>8887127029.734127</v>
      </c>
      <c r="F100" s="2">
        <f>F12/'Output-Calculation-sheet'!F11*'Output-Calculation-sheet'!F83</f>
        <v>4211669360.7899256</v>
      </c>
      <c r="G100" s="2">
        <f>G12/'Output-Calculation-sheet'!G11*'Output-Calculation-sheet'!G83</f>
        <v>2824657503.095695</v>
      </c>
      <c r="H100" s="2">
        <f>H12/'Output-Calculation-sheet'!H11*'Output-Calculation-sheet'!H83</f>
        <v>951791826.26399088</v>
      </c>
      <c r="I100" s="2">
        <f>I12/'Output-Calculation-sheet'!I11*'Output-Calculation-sheet'!I83</f>
        <v>2288628800.1086774</v>
      </c>
      <c r="J100" s="2">
        <f>J12/'Output-Calculation-sheet'!J11*'Output-Calculation-sheet'!J83</f>
        <v>1454009103.4887061</v>
      </c>
      <c r="K100" s="2">
        <f>K12/'Output-Calculation-sheet'!K11*'Output-Calculation-sheet'!K83</f>
        <v>1882089201.1984594</v>
      </c>
      <c r="L100" s="2">
        <f>L12/'Output-Calculation-sheet'!L11*'Output-Calculation-sheet'!L83</f>
        <v>1470542464.1748934</v>
      </c>
      <c r="M100" s="2">
        <f>M12/'Output-Calculation-sheet'!M11*'Output-Calculation-sheet'!M83</f>
        <v>713414528.69297087</v>
      </c>
      <c r="N100" s="2">
        <f>N12/'Output-Calculation-sheet'!N11*'Output-Calculation-sheet'!N83</f>
        <v>672058584.47836709</v>
      </c>
      <c r="O100" s="2">
        <f>O12/'Output-Calculation-sheet'!O11*'Output-Calculation-sheet'!O83</f>
        <v>181313102.48493236</v>
      </c>
      <c r="P100" s="2">
        <f>P12/'Output-Calculation-sheet'!P11*'Output-Calculation-sheet'!P83</f>
        <v>1591988500.7866724</v>
      </c>
      <c r="Q100" s="2">
        <f>Q12/'Output-Calculation-sheet'!Q11*'Output-Calculation-sheet'!Q83</f>
        <v>763481222.2815491</v>
      </c>
      <c r="R100" s="2">
        <f>R12/'Output-Calculation-sheet'!R11*'Output-Calculation-sheet'!R83</f>
        <v>1202634114.6074197</v>
      </c>
      <c r="S100" s="2">
        <f>S12/'Output-Calculation-sheet'!S11*'Output-Calculation-sheet'!S83</f>
        <v>466444441.50384444</v>
      </c>
      <c r="T100" s="2">
        <f>T12/'Output-Calculation-sheet'!T11*'Output-Calculation-sheet'!T83</f>
        <v>581396578.11422181</v>
      </c>
      <c r="U100" s="2">
        <f>U12/'Output-Calculation-sheet'!U11*'Output-Calculation-sheet'!U83</f>
        <v>318485728.92966467</v>
      </c>
      <c r="V100" s="2">
        <f>V12/'Output-Calculation-sheet'!V11*'Output-Calculation-sheet'!V83</f>
        <v>201297633.64167759</v>
      </c>
      <c r="W100" s="2">
        <f>W12/'Output-Calculation-sheet'!W11*'Output-Calculation-sheet'!W83</f>
        <v>635195567.195099</v>
      </c>
      <c r="X100" s="2">
        <f>X12/'Output-Calculation-sheet'!X11*'Output-Calculation-sheet'!X83</f>
        <v>73912967.647544742</v>
      </c>
      <c r="Y100" s="2">
        <f>Y12/'Output-Calculation-sheet'!Y11*'Output-Calculation-sheet'!Y83</f>
        <v>272722272.13161731</v>
      </c>
      <c r="AA100" s="2">
        <f t="shared" si="8"/>
        <v>48.82018013452825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83F77-DE23-4E3E-BCE4-97F674DE8B83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115437324158.81642</v>
      </c>
      <c r="C8" s="2">
        <v>54399876035.121178</v>
      </c>
      <c r="D8" s="2">
        <v>48484995973.473839</v>
      </c>
      <c r="E8" s="2">
        <v>38467924202.786407</v>
      </c>
      <c r="F8" s="2">
        <v>24763183217.430328</v>
      </c>
      <c r="G8" s="2">
        <v>17399292135.786549</v>
      </c>
      <c r="H8" s="2">
        <v>16972341575.603231</v>
      </c>
      <c r="I8" s="2">
        <v>15852124759.280712</v>
      </c>
      <c r="J8" s="2">
        <v>15429363387.267155</v>
      </c>
      <c r="K8" s="2">
        <v>15281448267.946632</v>
      </c>
      <c r="L8" s="2">
        <v>12258976480.510439</v>
      </c>
      <c r="M8" s="2">
        <v>11709436155.522043</v>
      </c>
      <c r="N8" s="2">
        <v>11492777768.778736</v>
      </c>
      <c r="O8" s="2">
        <v>10569943155.492228</v>
      </c>
      <c r="P8" s="2">
        <v>10462402341.125278</v>
      </c>
      <c r="Q8" s="2">
        <v>10293313010.359619</v>
      </c>
      <c r="R8" s="2">
        <v>9902640566.0920982</v>
      </c>
      <c r="S8" s="2">
        <v>6581802200.0533371</v>
      </c>
      <c r="T8" s="2">
        <v>3640125522.0902729</v>
      </c>
      <c r="U8" s="2">
        <v>3170424951.8561473</v>
      </c>
      <c r="V8" s="2">
        <v>2441290621.4282722</v>
      </c>
      <c r="W8" s="2">
        <v>2113616634.5707633</v>
      </c>
      <c r="X8" s="2">
        <v>1268169980.7424588</v>
      </c>
      <c r="Y8" s="2">
        <v>1233282624.5722318</v>
      </c>
    </row>
    <row r="9" spans="1:27" x14ac:dyDescent="0.25">
      <c r="A9" s="2">
        <v>2032</v>
      </c>
      <c r="B9" s="2">
        <v>129652667705.26318</v>
      </c>
      <c r="C9" s="2">
        <v>61098861240.802628</v>
      </c>
      <c r="D9" s="2">
        <v>54455602790.925606</v>
      </c>
      <c r="E9" s="2">
        <v>43204994834.369637</v>
      </c>
      <c r="F9" s="2">
        <v>27812605571.114468</v>
      </c>
      <c r="G9" s="2">
        <v>19541899970.622654</v>
      </c>
      <c r="H9" s="2">
        <v>19062373270.663231</v>
      </c>
      <c r="I9" s="2">
        <v>17804209156.908356</v>
      </c>
      <c r="J9" s="2">
        <v>17329387515.955505</v>
      </c>
      <c r="K9" s="2">
        <v>17163257627.259682</v>
      </c>
      <c r="L9" s="2">
        <v>13768588414.675817</v>
      </c>
      <c r="M9" s="2">
        <v>13151375830.569664</v>
      </c>
      <c r="N9" s="2">
        <v>12908037395.391264</v>
      </c>
      <c r="O9" s="2">
        <v>11871561798.479977</v>
      </c>
      <c r="P9" s="2">
        <v>11750778043.559525</v>
      </c>
      <c r="Q9" s="2">
        <v>11560866479.219168</v>
      </c>
      <c r="R9" s="2">
        <v>11122085305.388994</v>
      </c>
      <c r="S9" s="2">
        <v>7392307641.9483328</v>
      </c>
      <c r="T9" s="2">
        <v>4088382922.5954294</v>
      </c>
      <c r="U9" s="2">
        <v>3560841831.3816762</v>
      </c>
      <c r="V9" s="2">
        <v>2741919427.0005207</v>
      </c>
      <c r="W9" s="2">
        <v>2373894554.2544489</v>
      </c>
      <c r="X9" s="2">
        <v>1424336732.5526702</v>
      </c>
      <c r="Y9" s="2">
        <v>1385153229.0401442</v>
      </c>
    </row>
    <row r="10" spans="1:27" x14ac:dyDescent="0.25">
      <c r="A10" s="2">
        <v>2033</v>
      </c>
      <c r="B10" s="2">
        <v>138706781470.43759</v>
      </c>
      <c r="C10" s="2">
        <v>65365615256.650574</v>
      </c>
      <c r="D10" s="2">
        <v>58258434090.479141</v>
      </c>
      <c r="E10" s="2">
        <v>46222155571.419983</v>
      </c>
      <c r="F10" s="2">
        <v>29754860207.318695</v>
      </c>
      <c r="G10" s="2">
        <v>20906581381.759506</v>
      </c>
      <c r="H10" s="2">
        <v>20393567601.497643</v>
      </c>
      <c r="I10" s="2">
        <v>19047541346.355194</v>
      </c>
      <c r="J10" s="2">
        <v>18539561196.353176</v>
      </c>
      <c r="K10" s="2">
        <v>18361829857.886433</v>
      </c>
      <c r="L10" s="2">
        <v>14730098641.181376</v>
      </c>
      <c r="M10" s="2">
        <v>14069783874.507729</v>
      </c>
      <c r="N10" s="2">
        <v>13809452238.074471</v>
      </c>
      <c r="O10" s="2">
        <v>12700595809.088097</v>
      </c>
      <c r="P10" s="2">
        <v>12571377288.594435</v>
      </c>
      <c r="Q10" s="2">
        <v>12368203514.233315</v>
      </c>
      <c r="R10" s="2">
        <v>11898780667.260662</v>
      </c>
      <c r="S10" s="2">
        <v>7908539167.0066576</v>
      </c>
      <c r="T10" s="2">
        <v>4373889459.0357323</v>
      </c>
      <c r="U10" s="2">
        <v>3809508269.2710443</v>
      </c>
      <c r="V10" s="2">
        <v>2933397557.5040913</v>
      </c>
      <c r="W10" s="2">
        <v>2539672179.5140276</v>
      </c>
      <c r="X10" s="2">
        <v>1523803307.7084174</v>
      </c>
      <c r="Y10" s="2">
        <v>1481883478.7133565</v>
      </c>
    </row>
    <row r="11" spans="1:27" x14ac:dyDescent="0.25">
      <c r="A11" s="2">
        <v>2034</v>
      </c>
      <c r="B11" s="2">
        <v>143023383650.79559</v>
      </c>
      <c r="C11" s="2">
        <v>67399815418.647972</v>
      </c>
      <c r="D11" s="2">
        <v>60071456359.132996</v>
      </c>
      <c r="E11" s="2">
        <v>47660604761.901436</v>
      </c>
      <c r="F11" s="2">
        <v>30680841569.48111</v>
      </c>
      <c r="G11" s="2">
        <v>21557201299.687378</v>
      </c>
      <c r="H11" s="2">
        <v>21028222356.230495</v>
      </c>
      <c r="I11" s="2">
        <v>19640307306.566448</v>
      </c>
      <c r="J11" s="2">
        <v>19116518641.653828</v>
      </c>
      <c r="K11" s="2">
        <v>18933256243.530087</v>
      </c>
      <c r="L11" s="2">
        <v>15188504317.078079</v>
      </c>
      <c r="M11" s="2">
        <v>14507640330.450443</v>
      </c>
      <c r="N11" s="2">
        <v>14239207085.014864</v>
      </c>
      <c r="O11" s="2">
        <v>13095842667.101599</v>
      </c>
      <c r="P11" s="2">
        <v>12962602822.333866</v>
      </c>
      <c r="Q11" s="2">
        <v>12753106211.063824</v>
      </c>
      <c r="R11" s="2">
        <v>12269074765.554955</v>
      </c>
      <c r="S11" s="2">
        <v>8154655593.6863689</v>
      </c>
      <c r="T11" s="2">
        <v>4510006385.5145044</v>
      </c>
      <c r="U11" s="2">
        <v>3928061461.3132954</v>
      </c>
      <c r="V11" s="2">
        <v>3024685886.4404659</v>
      </c>
      <c r="W11" s="2">
        <v>2618707640.8755283</v>
      </c>
      <c r="X11" s="2">
        <v>1571224584.5253179</v>
      </c>
      <c r="Y11" s="2">
        <v>1528000196.205024</v>
      </c>
    </row>
    <row r="12" spans="1:27" x14ac:dyDescent="0.25">
      <c r="A12" s="2">
        <v>2035</v>
      </c>
      <c r="B12" s="2">
        <v>143187215953.00287</v>
      </c>
      <c r="C12" s="2">
        <v>67477021443.610596</v>
      </c>
      <c r="D12" s="2">
        <v>60140267799.199944</v>
      </c>
      <c r="E12" s="2">
        <v>47715199656.829933</v>
      </c>
      <c r="F12" s="2">
        <v>30715986262.46542</v>
      </c>
      <c r="G12" s="2">
        <v>21581894925.498219</v>
      </c>
      <c r="H12" s="2">
        <v>21052310040.300106</v>
      </c>
      <c r="I12" s="2">
        <v>19662805143.493233</v>
      </c>
      <c r="J12" s="2">
        <v>19138416482.267757</v>
      </c>
      <c r="K12" s="2">
        <v>18954944158.327507</v>
      </c>
      <c r="L12" s="2">
        <v>15205902644.30146</v>
      </c>
      <c r="M12" s="2">
        <v>14524258732.660364</v>
      </c>
      <c r="N12" s="2">
        <v>14255517998.788513</v>
      </c>
      <c r="O12" s="2">
        <v>13110843864.798988</v>
      </c>
      <c r="P12" s="2">
        <v>12977451394.705544</v>
      </c>
      <c r="Q12" s="2">
        <v>12767714806.508284</v>
      </c>
      <c r="R12" s="2">
        <v>12283128906.30792</v>
      </c>
      <c r="S12" s="2">
        <v>8163996695.578371</v>
      </c>
      <c r="T12" s="2">
        <v>4515172566.8077145</v>
      </c>
      <c r="U12" s="2">
        <v>3932561028.6986527</v>
      </c>
      <c r="V12" s="2">
        <v>3028150643.3185387</v>
      </c>
      <c r="W12" s="2">
        <v>2621707352.465766</v>
      </c>
      <c r="X12" s="2">
        <v>1573024411.479461</v>
      </c>
      <c r="Y12" s="2">
        <v>1529750509.9196584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-4.8443221004840817E-11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192.67004507413145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3.0244191121304652E-12</v>
      </c>
      <c r="Y16" s="2">
        <f>Y5/'Output-Calculation-sheet'!Y4*'Output-Calculation-sheet'!Y22</f>
        <v>0</v>
      </c>
      <c r="AA16" s="2">
        <f t="shared" ref="AA16:AA23" si="0">SUM(B16:Y16)/1000</f>
        <v>0.19267004507408603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1533.4245836019963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1043.7250850070277</v>
      </c>
      <c r="N17" s="2">
        <f>N6/'Output-Calculation-sheet'!N5*'Output-Calculation-sheet'!N23</f>
        <v>428.04132238536522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96.208542383248712</v>
      </c>
      <c r="Y17" s="2">
        <f>Y6/'Output-Calculation-sheet'!Y5*'Output-Calculation-sheet'!Y23</f>
        <v>0</v>
      </c>
      <c r="AA17" s="2">
        <f t="shared" si="0"/>
        <v>3.1013995333776379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2058.9994115891145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1399.453207171937</v>
      </c>
      <c r="N18" s="2">
        <f>N7/'Output-Calculation-sheet'!N6*'Output-Calculation-sheet'!N24</f>
        <v>774.67774409618482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137.62596254687006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131.38296544028265</v>
      </c>
      <c r="Y18" s="2">
        <f>Y7/'Output-Calculation-sheet'!Y6*'Output-Calculation-sheet'!Y24</f>
        <v>0</v>
      </c>
      <c r="AA18" s="2">
        <f t="shared" si="0"/>
        <v>4.5021392908443891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2536.8161091359402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1737.3306154176273</v>
      </c>
      <c r="N19" s="2">
        <f>N8/'Output-Calculation-sheet'!N7*'Output-Calculation-sheet'!N25</f>
        <v>1168.6071479139789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309.9677317780347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164.87926247762601</v>
      </c>
      <c r="Y19" s="2">
        <f>Y8/'Output-Calculation-sheet'!Y7*'Output-Calculation-sheet'!Y25</f>
        <v>0</v>
      </c>
      <c r="AA19" s="2">
        <f t="shared" si="0"/>
        <v>5.9176008667232081</v>
      </c>
    </row>
    <row r="20" spans="1:27" x14ac:dyDescent="0.25">
      <c r="A20" s="2">
        <v>2032</v>
      </c>
      <c r="B20" s="2">
        <f>B9/'Output-Calculation-sheet'!B8*'Output-Calculation-sheet'!B26</f>
        <v>2.784308518732848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2943.2154036794682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2012.7766539372433</v>
      </c>
      <c r="N20" s="2">
        <f>N9/'Output-Calculation-sheet'!N8*'Output-Calculation-sheet'!N26</f>
        <v>1465.8763045555575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504.33661118301484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193.73928377290093</v>
      </c>
      <c r="Y20" s="2">
        <f>Y9/'Output-Calculation-sheet'!Y8*'Output-Calculation-sheet'!Y26</f>
        <v>0</v>
      </c>
      <c r="AA20" s="2">
        <f t="shared" si="0"/>
        <v>7.1227285656469164</v>
      </c>
    </row>
    <row r="21" spans="1:27" x14ac:dyDescent="0.25">
      <c r="A21" s="2">
        <v>2033</v>
      </c>
      <c r="B21" s="2">
        <f>B10/'Output-Calculation-sheet'!B9*'Output-Calculation-sheet'!B27</f>
        <v>4637.9088182256437</v>
      </c>
      <c r="C21" s="2">
        <f>C10/'Output-Calculation-sheet'!C9*'Output-Calculation-sheet'!C27</f>
        <v>7237.138198357974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3247.0280548774513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2222.7572929337516</v>
      </c>
      <c r="N21" s="2">
        <f>N10/'Output-Calculation-sheet'!N9*'Output-Calculation-sheet'!N27</f>
        <v>1736.7046510009395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662.53545065944661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213.95267167255489</v>
      </c>
      <c r="Y21" s="2">
        <f>Y10/'Output-Calculation-sheet'!Y9*'Output-Calculation-sheet'!Y27</f>
        <v>0</v>
      </c>
      <c r="AA21" s="2">
        <f t="shared" si="0"/>
        <v>19.958025137727759</v>
      </c>
    </row>
    <row r="22" spans="1:27" x14ac:dyDescent="0.25">
      <c r="A22" s="2">
        <v>2034</v>
      </c>
      <c r="B22" s="2">
        <f>B11/'Output-Calculation-sheet'!B10*'Output-Calculation-sheet'!B28</f>
        <v>8172.8397712054511</v>
      </c>
      <c r="C22" s="2">
        <f>C11/'Output-Calculation-sheet'!C10*'Output-Calculation-sheet'!C28</f>
        <v>7918.114495056795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3459.4480533902911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2368.3681658992182</v>
      </c>
      <c r="N22" s="2">
        <f>N11/'Output-Calculation-sheet'!N10*'Output-Calculation-sheet'!N28</f>
        <v>1899.1506241872282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774.72384065027677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229.46445989254033</v>
      </c>
      <c r="Y22" s="2">
        <f>Y11/'Output-Calculation-sheet'!Y10*'Output-Calculation-sheet'!Y28</f>
        <v>0</v>
      </c>
      <c r="AA22" s="2">
        <f t="shared" si="0"/>
        <v>24.822109410281797</v>
      </c>
    </row>
    <row r="23" spans="1:27" x14ac:dyDescent="0.25">
      <c r="A23" s="2">
        <v>2035</v>
      </c>
      <c r="B23" s="2">
        <f>B12/'Output-Calculation-sheet'!B11*'Output-Calculation-sheet'!B29</f>
        <v>10193.508202869449</v>
      </c>
      <c r="C23" s="2">
        <f>C12/'Output-Calculation-sheet'!C11*'Output-Calculation-sheet'!C29</f>
        <v>8352.8124161961732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3563.6782044760089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2435.9155841480065</v>
      </c>
      <c r="N23" s="2">
        <f>N12/'Output-Calculation-sheet'!N11*'Output-Calculation-sheet'!N29</f>
        <v>1991.1499076585196</v>
      </c>
      <c r="O23" s="2">
        <f>O12/'Output-Calculation-sheet'!O11*'Output-Calculation-sheet'!O29</f>
        <v>1420.1823189848631</v>
      </c>
      <c r="P23" s="2">
        <f>P12/'Output-Calculation-sheet'!P11*'Output-Calculation-sheet'!P29</f>
        <v>0</v>
      </c>
      <c r="Q23" s="2">
        <f>Q12/'Output-Calculation-sheet'!Q11*'Output-Calculation-sheet'!Q29</f>
        <v>27.176868936340469</v>
      </c>
      <c r="R23" s="2">
        <f>R12/'Output-Calculation-sheet'!R11*'Output-Calculation-sheet'!R29</f>
        <v>0</v>
      </c>
      <c r="S23" s="2">
        <f>S12/'Output-Calculation-sheet'!S11*'Output-Calculation-sheet'!S29</f>
        <v>874.42706574014653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238.78518939709829</v>
      </c>
      <c r="Y23" s="2">
        <f>Y12/'Output-Calculation-sheet'!Y11*'Output-Calculation-sheet'!Y29</f>
        <v>0</v>
      </c>
      <c r="AA23" s="2">
        <f t="shared" si="0"/>
        <v>29.097635758406604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8969.926294256602</v>
      </c>
      <c r="C27" s="2">
        <f>C5/'Output-Calculation-sheet'!C4*'Output-Calculation-sheet'!C13</f>
        <v>0</v>
      </c>
      <c r="D27" s="2">
        <f>D5/'Output-Calculation-sheet'!D4*'Output-Calculation-sheet'!D13</f>
        <v>2896.8118516387653</v>
      </c>
      <c r="E27" s="2">
        <f>E5/'Output-Calculation-sheet'!E4*'Output-Calculation-sheet'!E13</f>
        <v>2955.1996595598139</v>
      </c>
      <c r="F27" s="2">
        <f>F5/'Output-Calculation-sheet'!F4*'Output-Calculation-sheet'!F13</f>
        <v>1678.7357198057578</v>
      </c>
      <c r="G27" s="2">
        <f>G5/'Output-Calculation-sheet'!G4*'Output-Calculation-sheet'!G13</f>
        <v>1018.0627903483304</v>
      </c>
      <c r="H27" s="2">
        <f>H5/'Output-Calculation-sheet'!H4*'Output-Calculation-sheet'!H13</f>
        <v>0</v>
      </c>
      <c r="I27" s="2">
        <f>I5/'Output-Calculation-sheet'!I4*'Output-Calculation-sheet'!I13</f>
        <v>1017.3102620508267</v>
      </c>
      <c r="J27" s="2">
        <f>J5/'Output-Calculation-sheet'!J4*'Output-Calculation-sheet'!J13</f>
        <v>935.245890013289</v>
      </c>
      <c r="K27" s="2">
        <f>K5/'Output-Calculation-sheet'!K4*'Output-Calculation-sheet'!K13</f>
        <v>1140.0845893762462</v>
      </c>
      <c r="L27" s="2">
        <f>L5/'Output-Calculation-sheet'!L4*'Output-Calculation-sheet'!L13</f>
        <v>945.33125398479945</v>
      </c>
      <c r="M27" s="2">
        <f>M5/'Output-Calculation-sheet'!M4*'Output-Calculation-sheet'!M13</f>
        <v>0</v>
      </c>
      <c r="N27" s="2">
        <f>N5/'Output-Calculation-sheet'!N4*'Output-Calculation-sheet'!N13</f>
        <v>614.0689978991835</v>
      </c>
      <c r="O27" s="2">
        <f>O5/'Output-Calculation-sheet'!O4*'Output-Calculation-sheet'!O13</f>
        <v>0</v>
      </c>
      <c r="P27" s="2">
        <f>P5/'Output-Calculation-sheet'!P4*'Output-Calculation-sheet'!P13</f>
        <v>738.78330105439738</v>
      </c>
      <c r="Q27" s="2">
        <f>Q5/'Output-Calculation-sheet'!Q4*'Output-Calculation-sheet'!Q13</f>
        <v>797.01630657061492</v>
      </c>
      <c r="R27" s="2">
        <f>R5/'Output-Calculation-sheet'!R4*'Output-Calculation-sheet'!R13</f>
        <v>719.2927449293843</v>
      </c>
      <c r="S27" s="2">
        <f>S5/'Output-Calculation-sheet'!S4*'Output-Calculation-sheet'!S13</f>
        <v>431.79892974432403</v>
      </c>
      <c r="T27" s="2">
        <f>T5/'Output-Calculation-sheet'!T4*'Output-Calculation-sheet'!T13</f>
        <v>264.40956595950104</v>
      </c>
      <c r="U27" s="2">
        <f>U5/'Output-Calculation-sheet'!U4*'Output-Calculation-sheet'!U13</f>
        <v>201.9153050149969</v>
      </c>
      <c r="V27" s="2">
        <f>V5/'Output-Calculation-sheet'!V4*'Output-Calculation-sheet'!V13</f>
        <v>193.42744364782652</v>
      </c>
      <c r="W27" s="2">
        <f>W5/'Output-Calculation-sheet'!W4*'Output-Calculation-sheet'!W13</f>
        <v>135.37298936876249</v>
      </c>
      <c r="X27" s="2">
        <f>X5/'Output-Calculation-sheet'!X4*'Output-Calculation-sheet'!X13</f>
        <v>0</v>
      </c>
      <c r="Y27" s="2">
        <f>Y5/'Output-Calculation-sheet'!Y4*'Output-Calculation-sheet'!Y13</f>
        <v>88.859631842540509</v>
      </c>
      <c r="AA27" s="2">
        <f t="shared" ref="AA27:AA34" si="1">SUM(B27:Y27)/1000</f>
        <v>25.741653527065964</v>
      </c>
    </row>
    <row r="28" spans="1:27" x14ac:dyDescent="0.25">
      <c r="A28" s="2">
        <v>2029</v>
      </c>
      <c r="B28" s="2">
        <f>B6/'Output-Calculation-sheet'!B5*'Output-Calculation-sheet'!B14</f>
        <v>12779.040034731768</v>
      </c>
      <c r="C28" s="2">
        <f>C6/'Output-Calculation-sheet'!C5*'Output-Calculation-sheet'!C14</f>
        <v>0</v>
      </c>
      <c r="D28" s="2">
        <f>D6/'Output-Calculation-sheet'!D5*'Output-Calculation-sheet'!D14</f>
        <v>4065.0952735208048</v>
      </c>
      <c r="E28" s="2">
        <f>E6/'Output-Calculation-sheet'!E5*'Output-Calculation-sheet'!E14</f>
        <v>4174.4157888742584</v>
      </c>
      <c r="F28" s="2">
        <f>F6/'Output-Calculation-sheet'!F5*'Output-Calculation-sheet'!F14</f>
        <v>2353.9437307853668</v>
      </c>
      <c r="G28" s="2">
        <f>G6/'Output-Calculation-sheet'!G5*'Output-Calculation-sheet'!G14</f>
        <v>1426.1730245532369</v>
      </c>
      <c r="H28" s="2">
        <f>H6/'Output-Calculation-sheet'!H5*'Output-Calculation-sheet'!H14</f>
        <v>0</v>
      </c>
      <c r="I28" s="2">
        <f>I6/'Output-Calculation-sheet'!I5*'Output-Calculation-sheet'!I14</f>
        <v>1432.4364589543388</v>
      </c>
      <c r="J28" s="2">
        <f>J6/'Output-Calculation-sheet'!J5*'Output-Calculation-sheet'!J14</f>
        <v>1312.6817060850306</v>
      </c>
      <c r="K28" s="2">
        <f>K6/'Output-Calculation-sheet'!K5*'Output-Calculation-sheet'!K14</f>
        <v>1609.9904127531968</v>
      </c>
      <c r="L28" s="2">
        <f>L6/'Output-Calculation-sheet'!L5*'Output-Calculation-sheet'!L14</f>
        <v>1331.5230569250796</v>
      </c>
      <c r="M28" s="2">
        <f>M6/'Output-Calculation-sheet'!M5*'Output-Calculation-sheet'!M14</f>
        <v>0</v>
      </c>
      <c r="N28" s="2">
        <f>N6/'Output-Calculation-sheet'!N5*'Output-Calculation-sheet'!N14</f>
        <v>844.13572965717674</v>
      </c>
      <c r="O28" s="2">
        <f>O6/'Output-Calculation-sheet'!O5*'Output-Calculation-sheet'!O14</f>
        <v>0</v>
      </c>
      <c r="P28" s="2">
        <f>P6/'Output-Calculation-sheet'!P5*'Output-Calculation-sheet'!P14</f>
        <v>1054.2386522009647</v>
      </c>
      <c r="Q28" s="2">
        <f>Q6/'Output-Calculation-sheet'!Q5*'Output-Calculation-sheet'!Q14</f>
        <v>1144.3941278729947</v>
      </c>
      <c r="R28" s="2">
        <f>R6/'Output-Calculation-sheet'!R5*'Output-Calculation-sheet'!R14</f>
        <v>1017.5357025492629</v>
      </c>
      <c r="S28" s="2">
        <f>S6/'Output-Calculation-sheet'!S5*'Output-Calculation-sheet'!S14</f>
        <v>623.71637297207519</v>
      </c>
      <c r="T28" s="2">
        <f>T6/'Output-Calculation-sheet'!T5*'Output-Calculation-sheet'!T14</f>
        <v>372.03441370894404</v>
      </c>
      <c r="U28" s="2">
        <f>U6/'Output-Calculation-sheet'!U5*'Output-Calculation-sheet'!U14</f>
        <v>285.40284641845471</v>
      </c>
      <c r="V28" s="2">
        <f>V6/'Output-Calculation-sheet'!V5*'Output-Calculation-sheet'!V14</f>
        <v>272.98249783361518</v>
      </c>
      <c r="W28" s="2">
        <f>W6/'Output-Calculation-sheet'!W5*'Output-Calculation-sheet'!W14</f>
        <v>190.49386096810699</v>
      </c>
      <c r="X28" s="2">
        <f>X6/'Output-Calculation-sheet'!X5*'Output-Calculation-sheet'!X14</f>
        <v>0</v>
      </c>
      <c r="Y28" s="2">
        <f>Y6/'Output-Calculation-sheet'!Y5*'Output-Calculation-sheet'!Y14</f>
        <v>125.25843350925551</v>
      </c>
      <c r="AA28" s="2">
        <f t="shared" si="1"/>
        <v>36.415492124873936</v>
      </c>
    </row>
    <row r="29" spans="1:27" x14ac:dyDescent="0.25">
      <c r="A29" s="2">
        <v>2030</v>
      </c>
      <c r="B29" s="2">
        <f>B7/'Output-Calculation-sheet'!B6*'Output-Calculation-sheet'!B15</f>
        <v>16562.287039378967</v>
      </c>
      <c r="C29" s="2">
        <f>C7/'Output-Calculation-sheet'!C6*'Output-Calculation-sheet'!C15</f>
        <v>0</v>
      </c>
      <c r="D29" s="2">
        <f>D7/'Output-Calculation-sheet'!D6*'Output-Calculation-sheet'!D15</f>
        <v>5206.2880240946552</v>
      </c>
      <c r="E29" s="2">
        <f>E7/'Output-Calculation-sheet'!E6*'Output-Calculation-sheet'!E15</f>
        <v>5367.0070014605262</v>
      </c>
      <c r="F29" s="2">
        <f>F7/'Output-Calculation-sheet'!F6*'Output-Calculation-sheet'!F15</f>
        <v>3010.4370053739203</v>
      </c>
      <c r="G29" s="2">
        <f>G7/'Output-Calculation-sheet'!G6*'Output-Calculation-sheet'!G15</f>
        <v>1820.8865272024243</v>
      </c>
      <c r="H29" s="2">
        <f>H7/'Output-Calculation-sheet'!H6*'Output-Calculation-sheet'!H15</f>
        <v>0</v>
      </c>
      <c r="I29" s="2">
        <f>I7/'Output-Calculation-sheet'!I6*'Output-Calculation-sheet'!I15</f>
        <v>1834.7308492356367</v>
      </c>
      <c r="J29" s="2">
        <f>J7/'Output-Calculation-sheet'!J6*'Output-Calculation-sheet'!J15</f>
        <v>1678.3204698292923</v>
      </c>
      <c r="K29" s="2">
        <f>K7/'Output-Calculation-sheet'!K6*'Output-Calculation-sheet'!K15</f>
        <v>2066.4674589858942</v>
      </c>
      <c r="L29" s="2">
        <f>L7/'Output-Calculation-sheet'!L6*'Output-Calculation-sheet'!L15</f>
        <v>1713.24891664391</v>
      </c>
      <c r="M29" s="2">
        <f>M7/'Output-Calculation-sheet'!M6*'Output-Calculation-sheet'!M15</f>
        <v>0</v>
      </c>
      <c r="N29" s="2">
        <f>N7/'Output-Calculation-sheet'!N6*'Output-Calculation-sheet'!N15</f>
        <v>971.5239269481051</v>
      </c>
      <c r="O29" s="2">
        <f>O7/'Output-Calculation-sheet'!O6*'Output-Calculation-sheet'!O15</f>
        <v>0</v>
      </c>
      <c r="P29" s="2">
        <f>P7/'Output-Calculation-sheet'!P6*'Output-Calculation-sheet'!P15</f>
        <v>1361.9272927686075</v>
      </c>
      <c r="Q29" s="2">
        <f>Q7/'Output-Calculation-sheet'!Q6*'Output-Calculation-sheet'!Q15</f>
        <v>1487.7109373751125</v>
      </c>
      <c r="R29" s="2">
        <f>R7/'Output-Calculation-sheet'!R6*'Output-Calculation-sheet'!R15</f>
        <v>1309.9762010223048</v>
      </c>
      <c r="S29" s="2">
        <f>S7/'Output-Calculation-sheet'!S6*'Output-Calculation-sheet'!S15</f>
        <v>749.00530659750882</v>
      </c>
      <c r="T29" s="2">
        <f>T7/'Output-Calculation-sheet'!T6*'Output-Calculation-sheet'!T15</f>
        <v>477.61714626322271</v>
      </c>
      <c r="U29" s="2">
        <f>U7/'Output-Calculation-sheet'!U6*'Output-Calculation-sheet'!U15</f>
        <v>366.98735498790091</v>
      </c>
      <c r="V29" s="2">
        <f>V7/'Output-Calculation-sheet'!V6*'Output-Calculation-sheet'!V15</f>
        <v>351.27159667851555</v>
      </c>
      <c r="W29" s="2">
        <f>W7/'Output-Calculation-sheet'!W6*'Output-Calculation-sheet'!W15</f>
        <v>244.60735484863318</v>
      </c>
      <c r="X29" s="2">
        <f>X7/'Output-Calculation-sheet'!X6*'Output-Calculation-sheet'!X15</f>
        <v>0</v>
      </c>
      <c r="Y29" s="2">
        <f>Y7/'Output-Calculation-sheet'!Y6*'Output-Calculation-sheet'!Y15</f>
        <v>161.11952483526542</v>
      </c>
      <c r="AA29" s="2">
        <f t="shared" si="1"/>
        <v>46.741419934530391</v>
      </c>
    </row>
    <row r="30" spans="1:27" x14ac:dyDescent="0.25">
      <c r="A30" s="2">
        <v>2031</v>
      </c>
      <c r="B30" s="2">
        <f>B8/'Output-Calculation-sheet'!B7*'Output-Calculation-sheet'!B16</f>
        <v>19939.080543327011</v>
      </c>
      <c r="C30" s="2">
        <f>C8/'Output-Calculation-sheet'!C7*'Output-Calculation-sheet'!C16</f>
        <v>0</v>
      </c>
      <c r="D30" s="2">
        <f>D8/'Output-Calculation-sheet'!D7*'Output-Calculation-sheet'!D16</f>
        <v>6224.2636961021126</v>
      </c>
      <c r="E30" s="2">
        <f>E8/'Output-Calculation-sheet'!E7*'Output-Calculation-sheet'!E16</f>
        <v>6437.9979103563119</v>
      </c>
      <c r="F30" s="2">
        <f>F8/'Output-Calculation-sheet'!F7*'Output-Calculation-sheet'!F16</f>
        <v>3606.8097801320891</v>
      </c>
      <c r="G30" s="2">
        <f>G8/'Output-Calculation-sheet'!G7*'Output-Calculation-sheet'!G16</f>
        <v>2175.3006979447628</v>
      </c>
      <c r="H30" s="2">
        <f>H8/'Output-Calculation-sheet'!H7*'Output-Calculation-sheet'!H16</f>
        <v>0</v>
      </c>
      <c r="I30" s="2">
        <f>I8/'Output-Calculation-sheet'!I7*'Output-Calculation-sheet'!I16</f>
        <v>2201.6457798196493</v>
      </c>
      <c r="J30" s="2">
        <f>J8/'Output-Calculation-sheet'!J7*'Output-Calculation-sheet'!J16</f>
        <v>2009.5643991587956</v>
      </c>
      <c r="K30" s="2">
        <f>K8/'Output-Calculation-sheet'!K7*'Output-Calculation-sheet'!K16</f>
        <v>2485.2849682375922</v>
      </c>
      <c r="L30" s="2">
        <f>L8/'Output-Calculation-sheet'!L7*'Output-Calculation-sheet'!L16</f>
        <v>2051.0092798169139</v>
      </c>
      <c r="M30" s="2">
        <f>M8/'Output-Calculation-sheet'!M7*'Output-Calculation-sheet'!M16</f>
        <v>0</v>
      </c>
      <c r="N30" s="2">
        <f>N8/'Output-Calculation-sheet'!N7*'Output-Calculation-sheet'!N16</f>
        <v>1006.3395687518538</v>
      </c>
      <c r="O30" s="2">
        <f>O8/'Output-Calculation-sheet'!O7*'Output-Calculation-sheet'!O16</f>
        <v>0</v>
      </c>
      <c r="P30" s="2">
        <f>P8/'Output-Calculation-sheet'!P7*'Output-Calculation-sheet'!P16</f>
        <v>1634.7510086665661</v>
      </c>
      <c r="Q30" s="2">
        <f>Q8/'Output-Calculation-sheet'!Q7*'Output-Calculation-sheet'!Q16</f>
        <v>1793.0456980992114</v>
      </c>
      <c r="R30" s="2">
        <f>R8/'Output-Calculation-sheet'!R7*'Output-Calculation-sheet'!R16</f>
        <v>1570.9414240653489</v>
      </c>
      <c r="S30" s="2">
        <f>S8/'Output-Calculation-sheet'!S7*'Output-Calculation-sheet'!S16</f>
        <v>838.9412031317288</v>
      </c>
      <c r="T30" s="2">
        <f>T8/'Output-Calculation-sheet'!T7*'Output-Calculation-sheet'!T16</f>
        <v>573.11165929611309</v>
      </c>
      <c r="U30" s="2">
        <f>U8/'Output-Calculation-sheet'!U7*'Output-Calculation-sheet'!U16</f>
        <v>440.47711950771998</v>
      </c>
      <c r="V30" s="2">
        <f>V8/'Output-Calculation-sheet'!V7*'Output-Calculation-sheet'!V16</f>
        <v>421.79496181671936</v>
      </c>
      <c r="W30" s="2">
        <f>W8/'Output-Calculation-sheet'!W7*'Output-Calculation-sheet'!W16</f>
        <v>292.82512076234468</v>
      </c>
      <c r="X30" s="2">
        <f>X8/'Output-Calculation-sheet'!X7*'Output-Calculation-sheet'!X16</f>
        <v>0</v>
      </c>
      <c r="Y30" s="2">
        <f>Y8/'Output-Calculation-sheet'!Y7*'Output-Calculation-sheet'!Y16</f>
        <v>193.58859310343482</v>
      </c>
      <c r="AA30" s="2">
        <f t="shared" si="1"/>
        <v>55.896773412096273</v>
      </c>
    </row>
    <row r="31" spans="1:27" x14ac:dyDescent="0.25">
      <c r="A31" s="2">
        <v>2032</v>
      </c>
      <c r="B31" s="2">
        <f>B9/'Output-Calculation-sheet'!B8*'Output-Calculation-sheet'!B17</f>
        <v>22671.105554304089</v>
      </c>
      <c r="C31" s="2">
        <f>C9/'Output-Calculation-sheet'!C8*'Output-Calculation-sheet'!C17</f>
        <v>0</v>
      </c>
      <c r="D31" s="2">
        <f>D9/'Output-Calculation-sheet'!D8*'Output-Calculation-sheet'!D17</f>
        <v>7028.5197927525287</v>
      </c>
      <c r="E31" s="2">
        <f>E9/'Output-Calculation-sheet'!E8*'Output-Calculation-sheet'!E17</f>
        <v>7278.8337709689176</v>
      </c>
      <c r="F31" s="2">
        <f>F9/'Output-Calculation-sheet'!F8*'Output-Calculation-sheet'!F17</f>
        <v>4066.3903287762746</v>
      </c>
      <c r="G31" s="2">
        <f>G9/'Output-Calculation-sheet'!G8*'Output-Calculation-sheet'!G17</f>
        <v>2451.3822702884449</v>
      </c>
      <c r="H31" s="2">
        <f>H9/'Output-Calculation-sheet'!H8*'Output-Calculation-sheet'!H17</f>
        <v>0</v>
      </c>
      <c r="I31" s="2">
        <f>I9/'Output-Calculation-sheet'!I8*'Output-Calculation-sheet'!I17</f>
        <v>2485.3996700899484</v>
      </c>
      <c r="J31" s="2">
        <f>J9/'Output-Calculation-sheet'!J8*'Output-Calculation-sheet'!J17</f>
        <v>2266.8496782497227</v>
      </c>
      <c r="K31" s="2">
        <f>K9/'Output-Calculation-sheet'!K8*'Output-Calculation-sheet'!K17</f>
        <v>2807.90125750986</v>
      </c>
      <c r="L31" s="2">
        <f>L9/'Output-Calculation-sheet'!L8*'Output-Calculation-sheet'!L17</f>
        <v>2317.8801189298911</v>
      </c>
      <c r="M31" s="2">
        <f>M9/'Output-Calculation-sheet'!M8*'Output-Calculation-sheet'!M17</f>
        <v>0</v>
      </c>
      <c r="N31" s="2">
        <f>N9/'Output-Calculation-sheet'!N8*'Output-Calculation-sheet'!N17</f>
        <v>1025.2955777116083</v>
      </c>
      <c r="O31" s="2">
        <f>O9/'Output-Calculation-sheet'!O8*'Output-Calculation-sheet'!O17</f>
        <v>0</v>
      </c>
      <c r="P31" s="2">
        <f>P9/'Output-Calculation-sheet'!P8*'Output-Calculation-sheet'!P17</f>
        <v>1864.663748018369</v>
      </c>
      <c r="Q31" s="2">
        <f>Q9/'Output-Calculation-sheet'!Q8*'Output-Calculation-sheet'!Q17</f>
        <v>2043.4953758011964</v>
      </c>
      <c r="R31" s="2">
        <f>R9/'Output-Calculation-sheet'!R8*'Output-Calculation-sheet'!R17</f>
        <v>1774.2798906947967</v>
      </c>
      <c r="S31" s="2">
        <f>S9/'Output-Calculation-sheet'!S8*'Output-Calculation-sheet'!S17</f>
        <v>885.27720177212996</v>
      </c>
      <c r="T31" s="2">
        <f>T9/'Output-Calculation-sheet'!T8*'Output-Calculation-sheet'!T17</f>
        <v>646.56473135884426</v>
      </c>
      <c r="U31" s="2">
        <f>U9/'Output-Calculation-sheet'!U8*'Output-Calculation-sheet'!U17</f>
        <v>498.66217506060985</v>
      </c>
      <c r="V31" s="2">
        <f>V9/'Output-Calculation-sheet'!V8*'Output-Calculation-sheet'!V17</f>
        <v>477.86579501541217</v>
      </c>
      <c r="W31" s="2">
        <f>W9/'Output-Calculation-sheet'!W8*'Output-Calculation-sheet'!W17</f>
        <v>330.9012936438013</v>
      </c>
      <c r="X31" s="2">
        <f>X9/'Output-Calculation-sheet'!X8*'Output-Calculation-sheet'!X17</f>
        <v>0</v>
      </c>
      <c r="Y31" s="2">
        <f>Y9/'Output-Calculation-sheet'!Y8*'Output-Calculation-sheet'!Y17</f>
        <v>218.75855437093364</v>
      </c>
      <c r="AA31" s="2">
        <f t="shared" si="1"/>
        <v>63.140026785317382</v>
      </c>
    </row>
    <row r="32" spans="1:27" x14ac:dyDescent="0.25">
      <c r="A32" s="2">
        <v>2033</v>
      </c>
      <c r="B32" s="2">
        <f>B10/'Output-Calculation-sheet'!B9*'Output-Calculation-sheet'!B18</f>
        <v>22633.330818947717</v>
      </c>
      <c r="C32" s="2">
        <f>C10/'Output-Calculation-sheet'!C9*'Output-Calculation-sheet'!C18</f>
        <v>0</v>
      </c>
      <c r="D32" s="2">
        <f>D10/'Output-Calculation-sheet'!D9*'Output-Calculation-sheet'!D18</f>
        <v>7556.007001087014</v>
      </c>
      <c r="E32" s="2">
        <f>E10/'Output-Calculation-sheet'!E9*'Output-Calculation-sheet'!E18</f>
        <v>7824.4195356522314</v>
      </c>
      <c r="F32" s="2">
        <f>F10/'Output-Calculation-sheet'!F9*'Output-Calculation-sheet'!F18</f>
        <v>4370.4491752852828</v>
      </c>
      <c r="G32" s="2">
        <f>G10/'Output-Calculation-sheet'!G9*'Output-Calculation-sheet'!G18</f>
        <v>2635.8853448420018</v>
      </c>
      <c r="H32" s="2">
        <f>H10/'Output-Calculation-sheet'!H9*'Output-Calculation-sheet'!H18</f>
        <v>0</v>
      </c>
      <c r="I32" s="2">
        <f>I10/'Output-Calculation-sheet'!I9*'Output-Calculation-sheet'!I18</f>
        <v>2672.1516568713973</v>
      </c>
      <c r="J32" s="2">
        <f>J10/'Output-Calculation-sheet'!J9*'Output-Calculation-sheet'!J18</f>
        <v>2437.1490375298508</v>
      </c>
      <c r="K32" s="2">
        <f>K10/'Output-Calculation-sheet'!K9*'Output-Calculation-sheet'!K18</f>
        <v>3025.7577763561808</v>
      </c>
      <c r="L32" s="2">
        <f>L10/'Output-Calculation-sheet'!L9*'Output-Calculation-sheet'!L18</f>
        <v>2493.6120539420826</v>
      </c>
      <c r="M32" s="2">
        <f>M10/'Output-Calculation-sheet'!M9*'Output-Calculation-sheet'!M18</f>
        <v>0</v>
      </c>
      <c r="N32" s="2">
        <f>N10/'Output-Calculation-sheet'!N9*'Output-Calculation-sheet'!N18</f>
        <v>987.00542570327787</v>
      </c>
      <c r="O32" s="2">
        <f>O10/'Output-Calculation-sheet'!O9*'Output-Calculation-sheet'!O18</f>
        <v>0</v>
      </c>
      <c r="P32" s="2">
        <f>P10/'Output-Calculation-sheet'!P9*'Output-Calculation-sheet'!P18</f>
        <v>2019.4501139119459</v>
      </c>
      <c r="Q32" s="2">
        <f>Q10/'Output-Calculation-sheet'!Q9*'Output-Calculation-sheet'!Q18</f>
        <v>2214.8004889639983</v>
      </c>
      <c r="R32" s="2">
        <f>R10/'Output-Calculation-sheet'!R9*'Output-Calculation-sheet'!R18</f>
        <v>1913.0397967156352</v>
      </c>
      <c r="S32" s="2">
        <f>S10/'Output-Calculation-sheet'!S9*'Output-Calculation-sheet'!S18</f>
        <v>890.45648031032567</v>
      </c>
      <c r="T32" s="2">
        <f>T10/'Output-Calculation-sheet'!T9*'Output-Calculation-sheet'!T18</f>
        <v>695.86235306932576</v>
      </c>
      <c r="U32" s="2">
        <f>U10/'Output-Calculation-sheet'!U9*'Output-Calculation-sheet'!U18</f>
        <v>536.66444760806269</v>
      </c>
      <c r="V32" s="2">
        <f>V10/'Output-Calculation-sheet'!V9*'Output-Calculation-sheet'!V18</f>
        <v>514.84161593897534</v>
      </c>
      <c r="W32" s="2">
        <f>W10/'Output-Calculation-sheet'!W9*'Output-Calculation-sheet'!W18</f>
        <v>355.25290029564786</v>
      </c>
      <c r="X32" s="2">
        <f>X10/'Output-Calculation-sheet'!X9*'Output-Calculation-sheet'!X18</f>
        <v>0</v>
      </c>
      <c r="Y32" s="2">
        <f>Y10/'Output-Calculation-sheet'!Y9*'Output-Calculation-sheet'!Y18</f>
        <v>235.55122032642765</v>
      </c>
      <c r="AA32" s="2">
        <f t="shared" si="1"/>
        <v>66.011687243357386</v>
      </c>
    </row>
    <row r="33" spans="1:27" x14ac:dyDescent="0.25">
      <c r="A33" s="2">
        <v>2034</v>
      </c>
      <c r="B33" s="2">
        <f>B11/'Output-Calculation-sheet'!B10*'Output-Calculation-sheet'!B19</f>
        <v>22114.414413374503</v>
      </c>
      <c r="C33" s="2">
        <f>C11/'Output-Calculation-sheet'!C10*'Output-Calculation-sheet'!C19</f>
        <v>0</v>
      </c>
      <c r="D33" s="2">
        <f>D11/'Output-Calculation-sheet'!D10*'Output-Calculation-sheet'!D19</f>
        <v>7819.2099067007357</v>
      </c>
      <c r="E33" s="2">
        <f>E11/'Output-Calculation-sheet'!E10*'Output-Calculation-sheet'!E19</f>
        <v>8116.0597411708295</v>
      </c>
      <c r="F33" s="2">
        <f>F11/'Output-Calculation-sheet'!F10*'Output-Calculation-sheet'!F19</f>
        <v>4525.0012402185966</v>
      </c>
      <c r="G33" s="2">
        <f>G11/'Output-Calculation-sheet'!G10*'Output-Calculation-sheet'!G19</f>
        <v>2724.821377156517</v>
      </c>
      <c r="H33" s="2">
        <f>H11/'Output-Calculation-sheet'!H10*'Output-Calculation-sheet'!H19</f>
        <v>0</v>
      </c>
      <c r="I33" s="2">
        <f>I11/'Output-Calculation-sheet'!I10*'Output-Calculation-sheet'!I19</f>
        <v>2775.2333951719461</v>
      </c>
      <c r="J33" s="2">
        <f>J11/'Output-Calculation-sheet'!J10*'Output-Calculation-sheet'!J19</f>
        <v>2522.2155273023618</v>
      </c>
      <c r="K33" s="2">
        <f>K11/'Output-Calculation-sheet'!K10*'Output-Calculation-sheet'!K19</f>
        <v>3141.5867590132439</v>
      </c>
      <c r="L33" s="2">
        <f>L11/'Output-Calculation-sheet'!L10*'Output-Calculation-sheet'!L19</f>
        <v>2583.9131432358549</v>
      </c>
      <c r="M33" s="2">
        <f>M11/'Output-Calculation-sheet'!M10*'Output-Calculation-sheet'!M19</f>
        <v>0</v>
      </c>
      <c r="N33" s="2">
        <f>N11/'Output-Calculation-sheet'!N10*'Output-Calculation-sheet'!N19</f>
        <v>957.54867676312017</v>
      </c>
      <c r="O33" s="2">
        <f>O11/'Output-Calculation-sheet'!O10*'Output-Calculation-sheet'!O19</f>
        <v>0</v>
      </c>
      <c r="P33" s="2">
        <f>P11/'Output-Calculation-sheet'!P10*'Output-Calculation-sheet'!P19</f>
        <v>2106.1271098711559</v>
      </c>
      <c r="Q33" s="2">
        <f>Q11/'Output-Calculation-sheet'!Q10*'Output-Calculation-sheet'!Q19</f>
        <v>2313.7964850926364</v>
      </c>
      <c r="R33" s="2">
        <f>R11/'Output-Calculation-sheet'!R10*'Output-Calculation-sheet'!R19</f>
        <v>1985.6147906302658</v>
      </c>
      <c r="S33" s="2">
        <f>S11/'Output-Calculation-sheet'!S10*'Output-Calculation-sheet'!S19</f>
        <v>915.79550722032684</v>
      </c>
      <c r="T33" s="2">
        <f>T11/'Output-Calculation-sheet'!T10*'Output-Calculation-sheet'!T19</f>
        <v>721.58853462838101</v>
      </c>
      <c r="U33" s="2">
        <f>U11/'Output-Calculation-sheet'!U10*'Output-Calculation-sheet'!U19</f>
        <v>558.38647840220324</v>
      </c>
      <c r="V33" s="2">
        <f>V11/'Output-Calculation-sheet'!V10*'Output-Calculation-sheet'!V19</f>
        <v>535.30611039127655</v>
      </c>
      <c r="W33" s="2">
        <f>W11/'Output-Calculation-sheet'!W10*'Output-Calculation-sheet'!W19</f>
        <v>367.77615591314662</v>
      </c>
      <c r="X33" s="2">
        <f>X11/'Output-Calculation-sheet'!X10*'Output-Calculation-sheet'!X19</f>
        <v>0</v>
      </c>
      <c r="Y33" s="2">
        <f>Y11/'Output-Calculation-sheet'!Y10*'Output-Calculation-sheet'!Y19</f>
        <v>244.18922719399291</v>
      </c>
      <c r="AA33" s="2">
        <f t="shared" si="1"/>
        <v>67.028584579451092</v>
      </c>
    </row>
    <row r="34" spans="1:27" x14ac:dyDescent="0.25">
      <c r="A34" s="2">
        <v>2035</v>
      </c>
      <c r="B34" s="2">
        <f>B12/'Output-Calculation-sheet'!B11*'Output-Calculation-sheet'!B20</f>
        <v>21306.989955598856</v>
      </c>
      <c r="C34" s="2">
        <f>C12/'Output-Calculation-sheet'!C11*'Output-Calculation-sheet'!C20</f>
        <v>0</v>
      </c>
      <c r="D34" s="2">
        <f>D12/'Output-Calculation-sheet'!D11*'Output-Calculation-sheet'!D20</f>
        <v>7879.9972467137404</v>
      </c>
      <c r="E34" s="2">
        <f>E12/'Output-Calculation-sheet'!E11*'Output-Calculation-sheet'!E20</f>
        <v>8175.7950976108987</v>
      </c>
      <c r="F34" s="2">
        <f>F12/'Output-Calculation-sheet'!F11*'Output-Calculation-sheet'!F20</f>
        <v>4551.6265475229429</v>
      </c>
      <c r="G34" s="2">
        <f>G12/'Output-Calculation-sheet'!G11*'Output-Calculation-sheet'!G20</f>
        <v>2734.8147767266696</v>
      </c>
      <c r="H34" s="2">
        <f>H12/'Output-Calculation-sheet'!H11*'Output-Calculation-sheet'!H20</f>
        <v>0</v>
      </c>
      <c r="I34" s="2">
        <f>I12/'Output-Calculation-sheet'!I11*'Output-Calculation-sheet'!I20</f>
        <v>2793.3152444572474</v>
      </c>
      <c r="J34" s="2">
        <f>J12/'Output-Calculation-sheet'!J11*'Output-Calculation-sheet'!J20</f>
        <v>2529.8333683417818</v>
      </c>
      <c r="K34" s="2">
        <f>K12/'Output-Calculation-sheet'!K11*'Output-Calculation-sheet'!K20</f>
        <v>3164.6776808674322</v>
      </c>
      <c r="L34" s="2">
        <f>L12/'Output-Calculation-sheet'!L11*'Output-Calculation-sheet'!L20</f>
        <v>2598.4011638087891</v>
      </c>
      <c r="M34" s="2">
        <f>M12/'Output-Calculation-sheet'!M11*'Output-Calculation-sheet'!M20</f>
        <v>0</v>
      </c>
      <c r="N34" s="2">
        <f>N12/'Output-Calculation-sheet'!N11*'Output-Calculation-sheet'!N20</f>
        <v>914.14794894942793</v>
      </c>
      <c r="O34" s="2">
        <f>O12/'Output-Calculation-sheet'!O11*'Output-Calculation-sheet'!O20</f>
        <v>0</v>
      </c>
      <c r="P34" s="2">
        <f>P12/'Output-Calculation-sheet'!P11*'Output-Calculation-sheet'!P20</f>
        <v>2133.6738303512943</v>
      </c>
      <c r="Q34" s="2">
        <f>Q12/'Output-Calculation-sheet'!Q11*'Output-Calculation-sheet'!Q20</f>
        <v>2339.6549527127872</v>
      </c>
      <c r="R34" s="2">
        <f>R12/'Output-Calculation-sheet'!R11*'Output-Calculation-sheet'!R20</f>
        <v>2006.2725709145227</v>
      </c>
      <c r="S34" s="2">
        <f>S12/'Output-Calculation-sheet'!S11*'Output-Calculation-sheet'!S20</f>
        <v>862.789571519584</v>
      </c>
      <c r="T34" s="2">
        <f>T12/'Output-Calculation-sheet'!T11*'Output-Calculation-sheet'!T20</f>
        <v>726.19748036256988</v>
      </c>
      <c r="U34" s="2">
        <f>U12/'Output-Calculation-sheet'!U11*'Output-Calculation-sheet'!U20</f>
        <v>563.29601562006928</v>
      </c>
      <c r="V34" s="2">
        <f>V12/'Output-Calculation-sheet'!V11*'Output-Calculation-sheet'!V20</f>
        <v>540.97413127651907</v>
      </c>
      <c r="W34" s="2">
        <f>W12/'Output-Calculation-sheet'!W11*'Output-Calculation-sheet'!W20</f>
        <v>369.66678679354618</v>
      </c>
      <c r="X34" s="2">
        <f>X12/'Output-Calculation-sheet'!X11*'Output-Calculation-sheet'!X20</f>
        <v>0</v>
      </c>
      <c r="Y34" s="2">
        <f>Y12/'Output-Calculation-sheet'!Y11*'Output-Calculation-sheet'!Y20</f>
        <v>246.08743162577545</v>
      </c>
      <c r="AA34" s="2">
        <f t="shared" si="1"/>
        <v>66.438211801774472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3.0060100137761712</v>
      </c>
      <c r="C60" s="2">
        <f>C5*'Output-Calculation-sheet'!C49/10^9</f>
        <v>1.4212243978640822</v>
      </c>
      <c r="D60" s="2">
        <f>D5*'Output-Calculation-sheet'!D49/10^9</f>
        <v>0.66302434956235889</v>
      </c>
      <c r="E60" s="2">
        <f>E5*'Output-Calculation-sheet'!E49/10^9</f>
        <v>0.73632194821515551</v>
      </c>
      <c r="F60" s="2">
        <f>F5*'Output-Calculation-sheet'!F49/10^9</f>
        <v>0.34183244001444207</v>
      </c>
      <c r="G60" s="2">
        <f>G5*'Output-Calculation-sheet'!G49/10^9</f>
        <v>0.23545133291989423</v>
      </c>
      <c r="H60" s="2">
        <f>H5*'Output-Calculation-sheet'!H49/10^9</f>
        <v>0.44341104576312135</v>
      </c>
      <c r="I60" s="2">
        <f>I5*'Output-Calculation-sheet'!I49/10^9</f>
        <v>0.23244510856491585</v>
      </c>
      <c r="J60" s="2">
        <f>J5*'Output-Calculation-sheet'!J49/10^9</f>
        <v>0.20990640795155396</v>
      </c>
      <c r="K60" s="2">
        <f>K5*'Output-Calculation-sheet'!K49/10^9</f>
        <v>0.27057590198789888</v>
      </c>
      <c r="L60" s="2">
        <f>L5*'Output-Calculation-sheet'!L49/10^9</f>
        <v>0.22352872589046338</v>
      </c>
      <c r="M60" s="2">
        <f>M5*'Output-Calculation-sheet'!M49/10^9</f>
        <v>0.30591492868909198</v>
      </c>
      <c r="N60" s="2">
        <f>N5*'Output-Calculation-sheet'!N49/10^9</f>
        <v>0.31973718599438178</v>
      </c>
      <c r="O60" s="2">
        <f>O5*'Output-Calculation-sheet'!O49/10^9</f>
        <v>0.27614511467731345</v>
      </c>
      <c r="P60" s="2">
        <f>P5*'Output-Calculation-sheet'!P49/10^9</f>
        <v>0.23577878328658511</v>
      </c>
      <c r="Q60" s="2">
        <f>Q5*'Output-Calculation-sheet'!Q49/10^9</f>
        <v>0.24339250005258106</v>
      </c>
      <c r="R60" s="2">
        <f>R5*'Output-Calculation-sheet'!R49/10^9</f>
        <v>0.19506400726475606</v>
      </c>
      <c r="S60" s="2">
        <f>S5*'Output-Calculation-sheet'!S49/10^9</f>
        <v>0.17894048649759606</v>
      </c>
      <c r="T60" s="2">
        <f>T5*'Output-Calculation-sheet'!T49/10^9</f>
        <v>6.1199005265985831E-2</v>
      </c>
      <c r="U60" s="2">
        <f>U5*'Output-Calculation-sheet'!U49/10^9</f>
        <v>6.1157223242074898E-2</v>
      </c>
      <c r="V60" s="2">
        <f>V5*'Output-Calculation-sheet'!V49/10^9</f>
        <v>4.5795211674809592E-2</v>
      </c>
      <c r="W60" s="2">
        <f>W5*'Output-Calculation-sheet'!W49/10^9</f>
        <v>2.8713763581913399E-2</v>
      </c>
      <c r="X60" s="2">
        <f>X5*'Output-Calculation-sheet'!X49/10^9</f>
        <v>3.6143545706913818E-2</v>
      </c>
      <c r="Y60" s="2">
        <f>Y5*'Output-Calculation-sheet'!Y49/10^9</f>
        <v>2.3890595406720935E-2</v>
      </c>
      <c r="AA60" s="2">
        <f t="shared" ref="AA60:AA67" si="4">SUM(B60:Y60)</f>
        <v>9.79560402385078</v>
      </c>
    </row>
    <row r="61" spans="1:27" x14ac:dyDescent="0.25">
      <c r="A61" s="2">
        <v>2029</v>
      </c>
      <c r="B61" s="2">
        <f>B6*'Output-Calculation-sheet'!B50/10^9</f>
        <v>4.1574906383255188</v>
      </c>
      <c r="C61" s="2">
        <f>C6*'Output-Calculation-sheet'!C50/10^9</f>
        <v>1.9793042382945278</v>
      </c>
      <c r="D61" s="2">
        <f>D6*'Output-Calculation-sheet'!D50/10^9</f>
        <v>0.91410544082879996</v>
      </c>
      <c r="E61" s="2">
        <f>E6*'Output-Calculation-sheet'!E50/10^9</f>
        <v>1.0159646282404968</v>
      </c>
      <c r="F61" s="2">
        <f>F6*'Output-Calculation-sheet'!F50/10^9</f>
        <v>0.47069186001195856</v>
      </c>
      <c r="G61" s="2">
        <f>G6*'Output-Calculation-sheet'!G50/10^9</f>
        <v>0.32465289573759615</v>
      </c>
      <c r="H61" s="2">
        <f>H6*'Output-Calculation-sheet'!H50/10^9</f>
        <v>0.6135459540727739</v>
      </c>
      <c r="I61" s="2">
        <f>I6*'Output-Calculation-sheet'!I50/10^9</f>
        <v>0.32046032210889397</v>
      </c>
      <c r="J61" s="2">
        <f>J6*'Output-Calculation-sheet'!J50/10^9</f>
        <v>0.28933705547889588</v>
      </c>
      <c r="K61" s="2">
        <f>K6*'Output-Calculation-sheet'!K50/10^9</f>
        <v>0.37316510714666096</v>
      </c>
      <c r="L61" s="2">
        <f>L6*'Output-Calculation-sheet'!L50/10^9</f>
        <v>0.30827540981472162</v>
      </c>
      <c r="M61" s="2">
        <f>M6*'Output-Calculation-sheet'!M50/10^9</f>
        <v>0.4238528592022317</v>
      </c>
      <c r="N61" s="2">
        <f>N6*'Output-Calculation-sheet'!N50/10^9</f>
        <v>0.4421779470167016</v>
      </c>
      <c r="O61" s="2">
        <f>O6*'Output-Calculation-sheet'!O50/10^9</f>
        <v>0.38458050444853559</v>
      </c>
      <c r="P61" s="2">
        <f>P6*'Output-Calculation-sheet'!P50/10^9</f>
        <v>0.32597901717145639</v>
      </c>
      <c r="Q61" s="2">
        <f>Q6*'Output-Calculation-sheet'!Q50/10^9</f>
        <v>0.336386683799411</v>
      </c>
      <c r="R61" s="2">
        <f>R6*'Output-Calculation-sheet'!R50/10^9</f>
        <v>0.26934955662443572</v>
      </c>
      <c r="S61" s="2">
        <f>S6*'Output-Calculation-sheet'!S50/10^9</f>
        <v>0.24780508547046071</v>
      </c>
      <c r="T61" s="2">
        <f>T6*'Output-Calculation-sheet'!T50/10^9</f>
        <v>8.4382792647610796E-2</v>
      </c>
      <c r="U61" s="2">
        <f>U6*'Output-Calculation-sheet'!U50/10^9</f>
        <v>8.4523629867882644E-2</v>
      </c>
      <c r="V61" s="2">
        <f>V6*'Output-Calculation-sheet'!V50/10^9</f>
        <v>6.3157805943707082E-2</v>
      </c>
      <c r="W61" s="2">
        <f>W6*'Output-Calculation-sheet'!W50/10^9</f>
        <v>3.9554852242881564E-2</v>
      </c>
      <c r="X61" s="2">
        <f>X6*'Output-Calculation-sheet'!X50/10^9</f>
        <v>5.0302010066648833E-2</v>
      </c>
      <c r="Y61" s="2">
        <f>Y6*'Output-Calculation-sheet'!Y50/10^9</f>
        <v>3.2986822304259922E-2</v>
      </c>
      <c r="AA61" s="2">
        <f t="shared" si="4"/>
        <v>13.552033116867067</v>
      </c>
    </row>
    <row r="62" spans="1:27" x14ac:dyDescent="0.25">
      <c r="A62" s="2">
        <v>2030</v>
      </c>
      <c r="B62" s="2">
        <f>B7*'Output-Calculation-sheet'!B51/10^9</f>
        <v>5.2363852698385802</v>
      </c>
      <c r="C62" s="2">
        <f>C7*'Output-Calculation-sheet'!C51/10^9</f>
        <v>2.5107953431126679</v>
      </c>
      <c r="D62" s="2">
        <f>D7*'Output-Calculation-sheet'!D51/10^9</f>
        <v>1.1477123874586215</v>
      </c>
      <c r="E62" s="2">
        <f>E7*'Output-Calculation-sheet'!E51/10^9</f>
        <v>1.2765701129862965</v>
      </c>
      <c r="F62" s="2">
        <f>F7*'Output-Calculation-sheet'!F51/10^9</f>
        <v>0.59022230560172029</v>
      </c>
      <c r="G62" s="2">
        <f>G7*'Output-Calculation-sheet'!G51/10^9</f>
        <v>0.40767492276770367</v>
      </c>
      <c r="H62" s="2">
        <f>H7*'Output-Calculation-sheet'!H51/10^9</f>
        <v>0.77177989645846179</v>
      </c>
      <c r="I62" s="2">
        <f>I7*'Output-Calculation-sheet'!I51/10^9</f>
        <v>0.40233240717884367</v>
      </c>
      <c r="J62" s="2">
        <f>J7*'Output-Calculation-sheet'!J51/10^9</f>
        <v>0.36320326501551942</v>
      </c>
      <c r="K62" s="2">
        <f>K7*'Output-Calculation-sheet'!K51/10^9</f>
        <v>0.46866829305403573</v>
      </c>
      <c r="L62" s="2">
        <f>L7*'Output-Calculation-sheet'!L51/10^9</f>
        <v>0.38716382242139352</v>
      </c>
      <c r="M62" s="2">
        <f>M7*'Output-Calculation-sheet'!M51/10^9</f>
        <v>0.53317270787262949</v>
      </c>
      <c r="N62" s="2">
        <f>N7*'Output-Calculation-sheet'!N51/10^9</f>
        <v>0.5563167087305495</v>
      </c>
      <c r="O62" s="2">
        <f>O7*'Output-Calculation-sheet'!O51/10^9</f>
        <v>0.48784968017514974</v>
      </c>
      <c r="P62" s="2">
        <f>P7*'Output-Calculation-sheet'!P51/10^9</f>
        <v>0.41042730938946942</v>
      </c>
      <c r="Q62" s="2">
        <f>Q7*'Output-Calculation-sheet'!Q51/10^9</f>
        <v>0.42335188570084159</v>
      </c>
      <c r="R62" s="2">
        <f>R7*'Output-Calculation-sheet'!R51/10^9</f>
        <v>0.33870217906158329</v>
      </c>
      <c r="S62" s="2">
        <f>S7*'Output-Calculation-sheet'!S51/10^9</f>
        <v>0.31236743854143306</v>
      </c>
      <c r="T62" s="2">
        <f>T7*'Output-Calculation-sheet'!T51/10^9</f>
        <v>0.10595529737545947</v>
      </c>
      <c r="U62" s="2">
        <f>U7*'Output-Calculation-sheet'!U51/10^9</f>
        <v>0.10638579957255417</v>
      </c>
      <c r="V62" s="2">
        <f>V7*'Output-Calculation-sheet'!V51/10^9</f>
        <v>7.9318377965394843E-2</v>
      </c>
      <c r="W62" s="2">
        <f>W7*'Output-Calculation-sheet'!W51/10^9</f>
        <v>4.9619304073846966E-2</v>
      </c>
      <c r="X62" s="2">
        <f>X7*'Output-Calculation-sheet'!X51/10^9</f>
        <v>6.3341017813370981E-2</v>
      </c>
      <c r="Y62" s="2">
        <f>Y7*'Output-Calculation-sheet'!Y51/10^9</f>
        <v>4.1478545875218015E-2</v>
      </c>
      <c r="AA62" s="2">
        <f t="shared" si="4"/>
        <v>17.070794278041344</v>
      </c>
    </row>
    <row r="63" spans="1:27" x14ac:dyDescent="0.25">
      <c r="A63" s="2">
        <v>2031</v>
      </c>
      <c r="B63" s="2">
        <f>B8*'Output-Calculation-sheet'!B52/10^9</f>
        <v>6.2180538174803273</v>
      </c>
      <c r="C63" s="2">
        <f>C8*'Output-Calculation-sheet'!C52/10^9</f>
        <v>2.9919933122530979</v>
      </c>
      <c r="D63" s="2">
        <f>D8*'Output-Calculation-sheet'!D52/10^9</f>
        <v>1.36080908438231</v>
      </c>
      <c r="E63" s="2">
        <f>E8*'Output-Calculation-sheet'!E52/10^9</f>
        <v>1.5141372914963522</v>
      </c>
      <c r="F63" s="2">
        <f>F8*'Output-Calculation-sheet'!F52/10^9</f>
        <v>0.69936714798462929</v>
      </c>
      <c r="G63" s="2">
        <f>G8*'Output-Calculation-sheet'!G52/10^9</f>
        <v>0.48340680102043376</v>
      </c>
      <c r="H63" s="2">
        <f>H8*'Output-Calculation-sheet'!H52/10^9</f>
        <v>0.91153509920442988</v>
      </c>
      <c r="I63" s="2">
        <f>I8*'Output-Calculation-sheet'!I52/10^9</f>
        <v>0.47701674118935405</v>
      </c>
      <c r="J63" s="2">
        <f>J8*'Output-Calculation-sheet'!J52/10^9</f>
        <v>0.43059605805125084</v>
      </c>
      <c r="K63" s="2">
        <f>K8*'Output-Calculation-sheet'!K52/10^9</f>
        <v>0.55575663142200005</v>
      </c>
      <c r="L63" s="2">
        <f>L8*'Output-Calculation-sheet'!L52/10^9</f>
        <v>0.45910532104480445</v>
      </c>
      <c r="M63" s="2">
        <f>M8*'Output-Calculation-sheet'!M52/10^9</f>
        <v>0.62976419706704079</v>
      </c>
      <c r="N63" s="2">
        <f>N8*'Output-Calculation-sheet'!N52/10^9</f>
        <v>0.65822798024981688</v>
      </c>
      <c r="O63" s="2">
        <f>O8*'Output-Calculation-sheet'!O52/10^9</f>
        <v>0.58134685667343999</v>
      </c>
      <c r="P63" s="2">
        <f>P8*'Output-Calculation-sheet'!P52/10^9</f>
        <v>0.48728761215567729</v>
      </c>
      <c r="Q63" s="2">
        <f>Q8*'Output-Calculation-sheet'!Q52/10^9</f>
        <v>0.50251864203531915</v>
      </c>
      <c r="R63" s="2">
        <f>R8*'Output-Calculation-sheet'!R52/10^9</f>
        <v>0.40188442650297423</v>
      </c>
      <c r="S63" s="2">
        <f>S8*'Output-Calculation-sheet'!S52/10^9</f>
        <v>0.37046829501708123</v>
      </c>
      <c r="T63" s="2">
        <f>T8*'Output-Calculation-sheet'!T52/10^9</f>
        <v>0.1256309111589044</v>
      </c>
      <c r="U63" s="2">
        <f>U8*'Output-Calculation-sheet'!U52/10^9</f>
        <v>0.12629012391560707</v>
      </c>
      <c r="V63" s="2">
        <f>V8*'Output-Calculation-sheet'!V52/10^9</f>
        <v>9.405591875249654E-2</v>
      </c>
      <c r="W63" s="2">
        <f>W8*'Output-Calculation-sheet'!W52/10^9</f>
        <v>5.8806106183562488E-2</v>
      </c>
      <c r="X63" s="2">
        <f>X8*'Output-Calculation-sheet'!X52/10^9</f>
        <v>7.4890316415003585E-2</v>
      </c>
      <c r="Y63" s="2">
        <f>Y8*'Output-Calculation-sheet'!Y52/10^9</f>
        <v>4.92150153689766E-2</v>
      </c>
      <c r="AA63" s="2">
        <f t="shared" si="4"/>
        <v>20.262163707024886</v>
      </c>
    </row>
    <row r="64" spans="1:27" x14ac:dyDescent="0.25">
      <c r="A64" s="2">
        <v>2032</v>
      </c>
      <c r="B64" s="2">
        <f>B9*'Output-Calculation-sheet'!B53/10^9</f>
        <v>6.9588788267591122</v>
      </c>
      <c r="C64" s="2">
        <f>C9*'Output-Calculation-sheet'!C53/10^9</f>
        <v>3.360437514613801</v>
      </c>
      <c r="D64" s="2">
        <f>D9*'Output-Calculation-sheet'!D53/10^9</f>
        <v>1.5206344533949638</v>
      </c>
      <c r="E64" s="2">
        <f>E9*'Output-Calculation-sheet'!E53/10^9</f>
        <v>1.6925785146146755</v>
      </c>
      <c r="F64" s="2">
        <f>F9*'Output-Calculation-sheet'!F53/10^9</f>
        <v>0.78100489507403625</v>
      </c>
      <c r="G64" s="2">
        <f>G9*'Output-Calculation-sheet'!G53/10^9</f>
        <v>0.54023160039739793</v>
      </c>
      <c r="H64" s="2">
        <f>H9*'Output-Calculation-sheet'!H53/10^9</f>
        <v>1.0143163159490385</v>
      </c>
      <c r="I64" s="2">
        <f>I9*'Output-Calculation-sheet'!I53/10^9</f>
        <v>0.53301917354984008</v>
      </c>
      <c r="J64" s="2">
        <f>J9*'Output-Calculation-sheet'!J53/10^9</f>
        <v>0.48112070233832188</v>
      </c>
      <c r="K64" s="2">
        <f>K9*'Output-Calculation-sheet'!K53/10^9</f>
        <v>0.6211032511390997</v>
      </c>
      <c r="L64" s="2">
        <f>L9*'Output-Calculation-sheet'!L53/10^9</f>
        <v>0.51308880709330906</v>
      </c>
      <c r="M64" s="2">
        <f>M9*'Output-Calculation-sheet'!M53/10^9</f>
        <v>0.70080822898742057</v>
      </c>
      <c r="N64" s="2">
        <f>N9*'Output-Calculation-sheet'!N53/10^9</f>
        <v>0.73342470167422857</v>
      </c>
      <c r="O64" s="2">
        <f>O9*'Output-Calculation-sheet'!O53/10^9</f>
        <v>0.65293587995927416</v>
      </c>
      <c r="P64" s="2">
        <f>P9*'Output-Calculation-sheet'!P53/10^9</f>
        <v>0.54524770666837885</v>
      </c>
      <c r="Q64" s="2">
        <f>Q9*'Output-Calculation-sheet'!Q53/10^9</f>
        <v>0.56215787818579577</v>
      </c>
      <c r="R64" s="2">
        <f>R9*'Output-Calculation-sheet'!R53/10^9</f>
        <v>0.44941956855633813</v>
      </c>
      <c r="S64" s="2">
        <f>S9*'Output-Calculation-sheet'!S53/10^9</f>
        <v>0.41359397753417582</v>
      </c>
      <c r="T64" s="2">
        <f>T9*'Output-Calculation-sheet'!T53/10^9</f>
        <v>0.14038896483475885</v>
      </c>
      <c r="U64" s="2">
        <f>U9*'Output-Calculation-sheet'!U53/10^9</f>
        <v>0.14129351486996916</v>
      </c>
      <c r="V64" s="2">
        <f>V9*'Output-Calculation-sheet'!V53/10^9</f>
        <v>0.10511286153853057</v>
      </c>
      <c r="W64" s="2">
        <f>W9*'Output-Calculation-sheet'!W53/10^9</f>
        <v>6.5683450910909977E-2</v>
      </c>
      <c r="X64" s="2">
        <f>X9*'Output-Calculation-sheet'!X53/10^9</f>
        <v>8.3419130424430332E-2</v>
      </c>
      <c r="Y64" s="2">
        <f>Y9*'Output-Calculation-sheet'!Y53/10^9</f>
        <v>5.5034517815690236E-2</v>
      </c>
      <c r="AA64" s="2">
        <f t="shared" si="4"/>
        <v>22.664934436883495</v>
      </c>
    </row>
    <row r="65" spans="1:27" x14ac:dyDescent="0.25">
      <c r="A65" s="2">
        <v>2033</v>
      </c>
      <c r="B65" s="2">
        <f>B10*'Output-Calculation-sheet'!B54/10^9</f>
        <v>7.410287996146903</v>
      </c>
      <c r="C65" s="2">
        <f>C10*'Output-Calculation-sheet'!C54/10^9</f>
        <v>3.5872470746385217</v>
      </c>
      <c r="D65" s="2">
        <f>D10*'Output-Calculation-sheet'!D54/10^9</f>
        <v>1.6184984196633787</v>
      </c>
      <c r="E65" s="2">
        <f>E10*'Output-Calculation-sheet'!E54/10^9</f>
        <v>1.8021551326453435</v>
      </c>
      <c r="F65" s="2">
        <f>F10*'Output-Calculation-sheet'!F54/10^9</f>
        <v>0.83072845724670985</v>
      </c>
      <c r="G65" s="2">
        <f>G10*'Output-Calculation-sheet'!G54/10^9</f>
        <v>0.57505429196937974</v>
      </c>
      <c r="H65" s="2">
        <f>H10*'Output-Calculation-sheet'!H54/10^9</f>
        <v>1.0747020290317468</v>
      </c>
      <c r="I65" s="2">
        <f>I10*'Output-Calculation-sheet'!I54/10^9</f>
        <v>0.56729839519163172</v>
      </c>
      <c r="J65" s="2">
        <f>J10*'Output-Calculation-sheet'!J54/10^9</f>
        <v>0.51203255386530655</v>
      </c>
      <c r="K65" s="2">
        <f>K10*'Output-Calculation-sheet'!K54/10^9</f>
        <v>0.6611472577101466</v>
      </c>
      <c r="L65" s="2">
        <f>L10*'Output-Calculation-sheet'!L54/10^9</f>
        <v>0.54617279154753073</v>
      </c>
      <c r="M65" s="2">
        <f>M10*'Output-Calculation-sheet'!M54/10^9</f>
        <v>0.74256206205777808</v>
      </c>
      <c r="N65" s="2">
        <f>N10*'Output-Calculation-sheet'!N54/10^9</f>
        <v>0.77794491102508478</v>
      </c>
      <c r="O65" s="2">
        <f>O10*'Output-Calculation-sheet'!O54/10^9</f>
        <v>0.69853274921887631</v>
      </c>
      <c r="P65" s="2">
        <f>P10*'Output-Calculation-sheet'!P54/10^9</f>
        <v>0.58110797195333375</v>
      </c>
      <c r="Q65" s="2">
        <f>Q10*'Output-Calculation-sheet'!Q54/10^9</f>
        <v>0.59898475024869979</v>
      </c>
      <c r="R65" s="2">
        <f>R10*'Output-Calculation-sheet'!R54/10^9</f>
        <v>0.47869793233490698</v>
      </c>
      <c r="S65" s="2">
        <f>S10*'Output-Calculation-sheet'!S54/10^9</f>
        <v>0.43941116777139394</v>
      </c>
      <c r="T65" s="2">
        <f>T10*'Output-Calculation-sheet'!T54/10^9</f>
        <v>0.1494259684454618</v>
      </c>
      <c r="U65" s="2">
        <f>U10*'Output-Calculation-sheet'!U54/10^9</f>
        <v>0.15056929434185054</v>
      </c>
      <c r="V65" s="2">
        <f>V10*'Output-Calculation-sheet'!V54/10^9</f>
        <v>0.1118865201267583</v>
      </c>
      <c r="W65" s="2">
        <f>W10*'Output-Calculation-sheet'!W54/10^9</f>
        <v>6.9878619821057045E-2</v>
      </c>
      <c r="X65" s="2">
        <f>X10*'Output-Calculation-sheet'!X54/10^9</f>
        <v>8.8471292547820046E-2</v>
      </c>
      <c r="Y65" s="2">
        <f>Y10*'Output-Calculation-sheet'!Y54/10^9</f>
        <v>5.8618423793543858E-2</v>
      </c>
      <c r="AA65" s="2">
        <f t="shared" si="4"/>
        <v>24.131416063343167</v>
      </c>
    </row>
    <row r="66" spans="1:27" x14ac:dyDescent="0.25">
      <c r="A66" s="2">
        <v>2034</v>
      </c>
      <c r="B66" s="2">
        <f>B11*'Output-Calculation-sheet'!B55/10^9</f>
        <v>7.5930808045544209</v>
      </c>
      <c r="C66" s="2">
        <f>C11*'Output-Calculation-sheet'!C55/10^9</f>
        <v>3.6685679531192394</v>
      </c>
      <c r="D66" s="2">
        <f>D11*'Output-Calculation-sheet'!D55/10^9</f>
        <v>1.6602447811128813</v>
      </c>
      <c r="E66" s="2">
        <f>E11*'Output-Calculation-sheet'!E55/10^9</f>
        <v>1.8493004947972593</v>
      </c>
      <c r="F66" s="2">
        <f>F11*'Output-Calculation-sheet'!F55/10^9</f>
        <v>0.85159235518788934</v>
      </c>
      <c r="G66" s="2">
        <f>G11*'Output-Calculation-sheet'!G55/10^9</f>
        <v>0.58994318592006079</v>
      </c>
      <c r="H66" s="2">
        <f>H11*'Output-Calculation-sheet'!H55/10^9</f>
        <v>1.0970323685782537</v>
      </c>
      <c r="I66" s="2">
        <f>I11*'Output-Calculation-sheet'!I55/10^9</f>
        <v>0.58189942291003816</v>
      </c>
      <c r="J66" s="2">
        <f>J11*'Output-Calculation-sheet'!J55/10^9</f>
        <v>0.52518698328609348</v>
      </c>
      <c r="K66" s="2">
        <f>K11*'Output-Calculation-sheet'!K55/10^9</f>
        <v>0.67826348314600227</v>
      </c>
      <c r="L66" s="2">
        <f>L11*'Output-Calculation-sheet'!L55/10^9</f>
        <v>0.5603211826456006</v>
      </c>
      <c r="M66" s="2">
        <f>M11*'Output-Calculation-sheet'!M55/10^9</f>
        <v>0.75802394847813959</v>
      </c>
      <c r="N66" s="2">
        <f>N11*'Output-Calculation-sheet'!N55/10^9</f>
        <v>0.79485069268937214</v>
      </c>
      <c r="O66" s="2">
        <f>O11*'Output-Calculation-sheet'!O55/10^9</f>
        <v>0.72027132577846842</v>
      </c>
      <c r="P66" s="2">
        <f>P11*'Output-Calculation-sheet'!P55/10^9</f>
        <v>0.59688063394768964</v>
      </c>
      <c r="Q66" s="2">
        <f>Q11*'Output-Calculation-sheet'!Q55/10^9</f>
        <v>0.61508628635005835</v>
      </c>
      <c r="R66" s="2">
        <f>R11*'Output-Calculation-sheet'!R55/10^9</f>
        <v>0.49140821409084123</v>
      </c>
      <c r="S66" s="2">
        <f>S11*'Output-Calculation-sheet'!S55/10^9</f>
        <v>0.44957939681374676</v>
      </c>
      <c r="T66" s="2">
        <f>T11*'Output-Calculation-sheet'!T55/10^9</f>
        <v>0.15328110363922567</v>
      </c>
      <c r="U66" s="2">
        <f>U11*'Output-Calculation-sheet'!U55/10^9</f>
        <v>0.15464089476992568</v>
      </c>
      <c r="V66" s="2">
        <f>V11*'Output-Calculation-sheet'!V55/10^9</f>
        <v>0.11477977809747193</v>
      </c>
      <c r="W66" s="2">
        <f>W11*'Output-Calculation-sheet'!W55/10^9</f>
        <v>7.1647909317945666E-2</v>
      </c>
      <c r="X66" s="2">
        <f>X11*'Output-Calculation-sheet'!X55/10^9</f>
        <v>9.0399322723031195E-2</v>
      </c>
      <c r="Y66" s="2">
        <f>Y11*'Output-Calculation-sheet'!Y55/10^9</f>
        <v>6.0173655895762575E-2</v>
      </c>
      <c r="AA66" s="2">
        <f t="shared" si="4"/>
        <v>24.726456177849425</v>
      </c>
    </row>
    <row r="67" spans="1:27" x14ac:dyDescent="0.25">
      <c r="A67" s="2">
        <v>2035</v>
      </c>
      <c r="B67" s="2">
        <f>B12*'Output-Calculation-sheet'!B56/10^9</f>
        <v>7.5459226631194145</v>
      </c>
      <c r="C67" s="2">
        <f>C12*'Output-Calculation-sheet'!C56/10^9</f>
        <v>3.6407389238971852</v>
      </c>
      <c r="D67" s="2">
        <f>D12*'Output-Calculation-sheet'!D56/10^9</f>
        <v>1.6534709315408671</v>
      </c>
      <c r="E67" s="2">
        <f>E12*'Output-Calculation-sheet'!E56/10^9</f>
        <v>1.8424126397494327</v>
      </c>
      <c r="F67" s="2">
        <f>F12*'Output-Calculation-sheet'!F56/10^9</f>
        <v>0.84754914508203827</v>
      </c>
      <c r="G67" s="2">
        <f>G12*'Output-Calculation-sheet'!G56/10^9</f>
        <v>0.58760236222714279</v>
      </c>
      <c r="H67" s="2">
        <f>H12*'Output-Calculation-sheet'!H56/10^9</f>
        <v>1.0868221590096523</v>
      </c>
      <c r="I67" s="2">
        <f>I12*'Output-Calculation-sheet'!I56/10^9</f>
        <v>0.57949020725456823</v>
      </c>
      <c r="J67" s="2">
        <f>J12*'Output-Calculation-sheet'!J56/10^9</f>
        <v>0.52299635898507357</v>
      </c>
      <c r="K67" s="2">
        <f>K12*'Output-Calculation-sheet'!K56/10^9</f>
        <v>0.67555607179984856</v>
      </c>
      <c r="L67" s="2">
        <f>L12*'Output-Calculation-sheet'!L56/10^9</f>
        <v>0.55809879544330065</v>
      </c>
      <c r="M67" s="2">
        <f>M12*'Output-Calculation-sheet'!M56/10^9</f>
        <v>0.75100171499704904</v>
      </c>
      <c r="N67" s="2">
        <f>N12*'Output-Calculation-sheet'!N56/10^9</f>
        <v>0.78818373501829664</v>
      </c>
      <c r="O67" s="2">
        <f>O12*'Output-Calculation-sheet'!O56/10^9</f>
        <v>0.71691357334457484</v>
      </c>
      <c r="P67" s="2">
        <f>P12*'Output-Calculation-sheet'!P56/10^9</f>
        <v>0.59522149122007806</v>
      </c>
      <c r="Q67" s="2">
        <f>Q12*'Output-Calculation-sheet'!Q56/10^9</f>
        <v>0.6132013132893821</v>
      </c>
      <c r="R67" s="2">
        <f>R12*'Output-Calculation-sheet'!R56/10^9</f>
        <v>0.48976371942459729</v>
      </c>
      <c r="S67" s="2">
        <f>S12*'Output-Calculation-sheet'!S56/10^9</f>
        <v>0.44631506068602866</v>
      </c>
      <c r="T67" s="2">
        <f>T12*'Output-Calculation-sheet'!T56/10^9</f>
        <v>0.15265661292874935</v>
      </c>
      <c r="U67" s="2">
        <f>U12*'Output-Calculation-sheet'!U56/10^9</f>
        <v>0.15419795868870437</v>
      </c>
      <c r="V67" s="2">
        <f>V12*'Output-Calculation-sheet'!V56/10^9</f>
        <v>0.11431618816768065</v>
      </c>
      <c r="W67" s="2">
        <f>W12*'Output-Calculation-sheet'!W56/10^9</f>
        <v>7.1322401474781069E-2</v>
      </c>
      <c r="X67" s="2">
        <f>X12*'Output-Calculation-sheet'!X56/10^9</f>
        <v>8.9642846501121753E-2</v>
      </c>
      <c r="Y67" s="2">
        <f>Y12*'Output-Calculation-sheet'!Y56/10^9</f>
        <v>5.9971470687528394E-2</v>
      </c>
      <c r="AA67" s="2">
        <f t="shared" si="4"/>
        <v>24.583368344537092</v>
      </c>
    </row>
    <row r="68" spans="1:27" x14ac:dyDescent="0.25">
      <c r="B68" s="2">
        <f>SUM(B60:B67)</f>
        <v>48.126110030000447</v>
      </c>
      <c r="C68" s="2">
        <f t="shared" ref="C68:Y68" si="5">SUM(C60:C67)</f>
        <v>23.160308757793125</v>
      </c>
      <c r="D68" s="2">
        <f t="shared" si="5"/>
        <v>10.53849984794418</v>
      </c>
      <c r="E68" s="2">
        <f t="shared" si="5"/>
        <v>11.729440762745012</v>
      </c>
      <c r="F68" s="2">
        <f t="shared" si="5"/>
        <v>5.4129886062034238</v>
      </c>
      <c r="G68" s="2">
        <f t="shared" si="5"/>
        <v>3.7440173929596092</v>
      </c>
      <c r="H68" s="2">
        <f t="shared" si="5"/>
        <v>7.0131448680674779</v>
      </c>
      <c r="I68" s="2">
        <f t="shared" si="5"/>
        <v>3.6939617779480862</v>
      </c>
      <c r="J68" s="2">
        <f t="shared" si="5"/>
        <v>3.3343793849720158</v>
      </c>
      <c r="K68" s="2">
        <f t="shared" si="5"/>
        <v>4.3042359974056925</v>
      </c>
      <c r="L68" s="2">
        <f t="shared" si="5"/>
        <v>3.5557548559011241</v>
      </c>
      <c r="M68" s="2">
        <f t="shared" si="5"/>
        <v>4.8451006473513809</v>
      </c>
      <c r="N68" s="2">
        <f t="shared" si="5"/>
        <v>5.0708638623984328</v>
      </c>
      <c r="O68" s="2">
        <f t="shared" si="5"/>
        <v>4.5185756842756328</v>
      </c>
      <c r="P68" s="2">
        <f t="shared" si="5"/>
        <v>3.7779305257926681</v>
      </c>
      <c r="Q68" s="2">
        <f t="shared" si="5"/>
        <v>3.8950799396620885</v>
      </c>
      <c r="R68" s="2">
        <f t="shared" si="5"/>
        <v>3.1142896038604331</v>
      </c>
      <c r="S68" s="2">
        <f t="shared" si="5"/>
        <v>2.8584809083319165</v>
      </c>
      <c r="T68" s="2">
        <f t="shared" si="5"/>
        <v>0.97292065629615621</v>
      </c>
      <c r="U68" s="2">
        <f t="shared" si="5"/>
        <v>0.9790584392685685</v>
      </c>
      <c r="V68" s="2">
        <f t="shared" si="5"/>
        <v>0.72842266226684949</v>
      </c>
      <c r="W68" s="2">
        <f t="shared" si="5"/>
        <v>0.4552264076068982</v>
      </c>
      <c r="X68" s="2">
        <f t="shared" si="5"/>
        <v>0.57660948219834052</v>
      </c>
      <c r="Y68" s="2">
        <f t="shared" si="5"/>
        <v>0.38136904714770054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6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6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5966628699.0305729</v>
      </c>
      <c r="C93" s="2">
        <f>C5/'Output-Calculation-sheet'!C4*'Output-Calculation-sheet'!C76</f>
        <v>0</v>
      </c>
      <c r="D93" s="2">
        <f>D5/'Output-Calculation-sheet'!D4*'Output-Calculation-sheet'!D76</f>
        <v>3905917038.797399</v>
      </c>
      <c r="E93" s="2">
        <f>E5/'Output-Calculation-sheet'!E4*'Output-Calculation-sheet'!E76</f>
        <v>5703276372.1990891</v>
      </c>
      <c r="F93" s="2">
        <f>F5/'Output-Calculation-sheet'!F4*'Output-Calculation-sheet'!F76</f>
        <v>2856662789.3471451</v>
      </c>
      <c r="G93" s="2">
        <f>G5/'Output-Calculation-sheet'!G4*'Output-Calculation-sheet'!G76</f>
        <v>2182867668.5061936</v>
      </c>
      <c r="H93" s="2">
        <f>H5/'Output-Calculation-sheet'!H4*'Output-Calculation-sheet'!H76</f>
        <v>0</v>
      </c>
      <c r="I93" s="2">
        <f>I5/'Output-Calculation-sheet'!I4*'Output-Calculation-sheet'!I76</f>
        <v>1482934391.7271521</v>
      </c>
      <c r="J93" s="2">
        <f>J5/'Output-Calculation-sheet'!J4*'Output-Calculation-sheet'!J76</f>
        <v>1063961737.465071</v>
      </c>
      <c r="K93" s="2">
        <f>K5/'Output-Calculation-sheet'!K4*'Output-Calculation-sheet'!K76</f>
        <v>1339489707.242244</v>
      </c>
      <c r="L93" s="2">
        <f>L5/'Output-Calculation-sheet'!L4*'Output-Calculation-sheet'!L76</f>
        <v>883317219.57225549</v>
      </c>
      <c r="M93" s="2">
        <f>M5/'Output-Calculation-sheet'!M4*'Output-Calculation-sheet'!M76</f>
        <v>0</v>
      </c>
      <c r="N93" s="2">
        <f>N5/'Output-Calculation-sheet'!N4*'Output-Calculation-sheet'!N76</f>
        <v>418144241.16601771</v>
      </c>
      <c r="O93" s="2">
        <f>O5/'Output-Calculation-sheet'!O4*'Output-Calculation-sheet'!O76</f>
        <v>0</v>
      </c>
      <c r="P93" s="2">
        <f>P5/'Output-Calculation-sheet'!P4*'Output-Calculation-sheet'!P76</f>
        <v>1100758194.194417</v>
      </c>
      <c r="Q93" s="2">
        <f>Q5/'Output-Calculation-sheet'!Q4*'Output-Calculation-sheet'!Q76</f>
        <v>494859168.31282169</v>
      </c>
      <c r="R93" s="2">
        <f>R5/'Output-Calculation-sheet'!R4*'Output-Calculation-sheet'!R76</f>
        <v>789742720.11581492</v>
      </c>
      <c r="S93" s="2">
        <f>S5/'Output-Calculation-sheet'!S4*'Output-Calculation-sheet'!S76</f>
        <v>261658849.24845123</v>
      </c>
      <c r="T93" s="2">
        <f>T5/'Output-Calculation-sheet'!T4*'Output-Calculation-sheet'!T76</f>
        <v>424363684.74642038</v>
      </c>
      <c r="U93" s="2">
        <f>U5/'Output-Calculation-sheet'!U4*'Output-Calculation-sheet'!U76</f>
        <v>221317134.54542851</v>
      </c>
      <c r="V93" s="2">
        <f>V5/'Output-Calculation-sheet'!V4*'Output-Calculation-sheet'!V76</f>
        <v>132410028.64540793</v>
      </c>
      <c r="W93" s="2">
        <f>W5/'Output-Calculation-sheet'!W4*'Output-Calculation-sheet'!W76</f>
        <v>441251265.77602917</v>
      </c>
      <c r="X93" s="2">
        <f>X5/'Output-Calculation-sheet'!X4*'Output-Calculation-sheet'!X76</f>
        <v>0</v>
      </c>
      <c r="Y93" s="2">
        <f>Y5/'Output-Calculation-sheet'!Y4*'Output-Calculation-sheet'!Y76</f>
        <v>185030541.04040933</v>
      </c>
      <c r="AA93" s="2">
        <f t="shared" ref="AA93:AA100" si="8">SUM(B93:Y93)/10^9</f>
        <v>29.854591451678345</v>
      </c>
    </row>
    <row r="94" spans="1:27" x14ac:dyDescent="0.25">
      <c r="A94" s="2">
        <v>2029</v>
      </c>
      <c r="B94" s="2">
        <f>B6/'Output-Calculation-sheet'!B5*'Output-Calculation-sheet'!B77</f>
        <v>8297198192.5046215</v>
      </c>
      <c r="C94" s="2">
        <f>C6/'Output-Calculation-sheet'!C5*'Output-Calculation-sheet'!C77</f>
        <v>0</v>
      </c>
      <c r="D94" s="2">
        <f>D6/'Output-Calculation-sheet'!D5*'Output-Calculation-sheet'!D77</f>
        <v>5353870192.7012606</v>
      </c>
      <c r="E94" s="2">
        <f>E6/'Output-Calculation-sheet'!E5*'Output-Calculation-sheet'!E77</f>
        <v>7980188988.1780348</v>
      </c>
      <c r="F94" s="2">
        <f>F6/'Output-Calculation-sheet'!F5*'Output-Calculation-sheet'!F77</f>
        <v>3911958534.0107565</v>
      </c>
      <c r="G94" s="2">
        <f>G6/'Output-Calculation-sheet'!G5*'Output-Calculation-sheet'!G77</f>
        <v>3027908764.6441665</v>
      </c>
      <c r="H94" s="2">
        <f>H6/'Output-Calculation-sheet'!H5*'Output-Calculation-sheet'!H77</f>
        <v>740540303.39315557</v>
      </c>
      <c r="I94" s="2">
        <f>I6/'Output-Calculation-sheet'!I5*'Output-Calculation-sheet'!I77</f>
        <v>2028654664.0173559</v>
      </c>
      <c r="J94" s="2">
        <f>J6/'Output-Calculation-sheet'!J5*'Output-Calculation-sheet'!J77</f>
        <v>1470754331.1456723</v>
      </c>
      <c r="K94" s="2">
        <f>K6/'Output-Calculation-sheet'!K5*'Output-Calculation-sheet'!K77</f>
        <v>1833807444.8346951</v>
      </c>
      <c r="L94" s="2">
        <f>L6/'Output-Calculation-sheet'!L5*'Output-Calculation-sheet'!L77</f>
        <v>1223048459.4043322</v>
      </c>
      <c r="M94" s="2">
        <f>M6/'Output-Calculation-sheet'!M5*'Output-Calculation-sheet'!M77</f>
        <v>538635646.4745872</v>
      </c>
      <c r="N94" s="2">
        <f>N6/'Output-Calculation-sheet'!N5*'Output-Calculation-sheet'!N77</f>
        <v>634974560.89070761</v>
      </c>
      <c r="O94" s="2">
        <f>O6/'Output-Calculation-sheet'!O5*'Output-Calculation-sheet'!O77</f>
        <v>0</v>
      </c>
      <c r="P94" s="2">
        <f>P6/'Output-Calculation-sheet'!P5*'Output-Calculation-sheet'!P77</f>
        <v>1536511294.4946253</v>
      </c>
      <c r="Q94" s="2">
        <f>Q6/'Output-Calculation-sheet'!Q5*'Output-Calculation-sheet'!Q77</f>
        <v>699916776.47313893</v>
      </c>
      <c r="R94" s="2">
        <f>R6/'Output-Calculation-sheet'!R5*'Output-Calculation-sheet'!R77</f>
        <v>1091755434.2909131</v>
      </c>
      <c r="S94" s="2">
        <f>S6/'Output-Calculation-sheet'!S5*'Output-Calculation-sheet'!S77</f>
        <v>368585031.00968581</v>
      </c>
      <c r="T94" s="2">
        <f>T6/'Output-Calculation-sheet'!T5*'Output-Calculation-sheet'!T77</f>
        <v>584151705.60632217</v>
      </c>
      <c r="U94" s="2">
        <f>U6/'Output-Calculation-sheet'!U5*'Output-Calculation-sheet'!U77</f>
        <v>298337188.44328165</v>
      </c>
      <c r="V94" s="2">
        <f>V6/'Output-Calculation-sheet'!V5*'Output-Calculation-sheet'!V77</f>
        <v>178546284.31512573</v>
      </c>
      <c r="W94" s="2">
        <f>W6/'Output-Calculation-sheet'!W5*'Output-Calculation-sheet'!W77</f>
        <v>614184873.27890646</v>
      </c>
      <c r="X94" s="2">
        <f>X6/'Output-Calculation-sheet'!X5*'Output-Calculation-sheet'!X77</f>
        <v>50232395.204404488</v>
      </c>
      <c r="Y94" s="2">
        <f>Y6/'Output-Calculation-sheet'!Y5*'Output-Calculation-sheet'!Y77</f>
        <v>259047629.43697304</v>
      </c>
      <c r="AA94" s="2">
        <f t="shared" si="8"/>
        <v>42.722808694752736</v>
      </c>
    </row>
    <row r="95" spans="1:27" x14ac:dyDescent="0.25">
      <c r="A95" s="2">
        <v>2030</v>
      </c>
      <c r="B95" s="2">
        <f>B7/'Output-Calculation-sheet'!B6*'Output-Calculation-sheet'!B78</f>
        <v>10485876589.651588</v>
      </c>
      <c r="C95" s="2">
        <f>C7/'Output-Calculation-sheet'!C6*'Output-Calculation-sheet'!C78</f>
        <v>0</v>
      </c>
      <c r="D95" s="2">
        <f>D7/'Output-Calculation-sheet'!D6*'Output-Calculation-sheet'!D78</f>
        <v>6688072799.3687325</v>
      </c>
      <c r="E95" s="2">
        <f>E7/'Output-Calculation-sheet'!E6*'Output-Calculation-sheet'!E78</f>
        <v>10165091797.688051</v>
      </c>
      <c r="F95" s="2">
        <f>F7/'Output-Calculation-sheet'!F6*'Output-Calculation-sheet'!F78</f>
        <v>4878519937.6285858</v>
      </c>
      <c r="G95" s="2">
        <f>G7/'Output-Calculation-sheet'!G6*'Output-Calculation-sheet'!G78</f>
        <v>3825787016.7412529</v>
      </c>
      <c r="H95" s="2">
        <f>H7/'Output-Calculation-sheet'!H6*'Output-Calculation-sheet'!H78</f>
        <v>978519734.72250628</v>
      </c>
      <c r="I95" s="2">
        <f>I7/'Output-Calculation-sheet'!I6*'Output-Calculation-sheet'!I78</f>
        <v>2524903766.2913709</v>
      </c>
      <c r="J95" s="2">
        <f>J7/'Output-Calculation-sheet'!J6*'Output-Calculation-sheet'!J78</f>
        <v>1851726098.6938124</v>
      </c>
      <c r="K95" s="2">
        <f>K7/'Output-Calculation-sheet'!K6*'Output-Calculation-sheet'!K78</f>
        <v>2282551799.969882</v>
      </c>
      <c r="L95" s="2">
        <f>L7/'Output-Calculation-sheet'!L6*'Output-Calculation-sheet'!L78</f>
        <v>1544021602.558006</v>
      </c>
      <c r="M95" s="2">
        <f>M7/'Output-Calculation-sheet'!M6*'Output-Calculation-sheet'!M78</f>
        <v>717893162.24894857</v>
      </c>
      <c r="N95" s="2">
        <f>N7/'Output-Calculation-sheet'!N6*'Output-Calculation-sheet'!N78</f>
        <v>837739158.50885439</v>
      </c>
      <c r="O95" s="2">
        <f>O7/'Output-Calculation-sheet'!O6*'Output-Calculation-sheet'!O78</f>
        <v>0</v>
      </c>
      <c r="P95" s="2">
        <f>P7/'Output-Calculation-sheet'!P6*'Output-Calculation-sheet'!P78</f>
        <v>1942926732.6236575</v>
      </c>
      <c r="Q95" s="2">
        <f>Q7/'Output-Calculation-sheet'!Q6*'Output-Calculation-sheet'!Q78</f>
        <v>896990298.39234483</v>
      </c>
      <c r="R95" s="2">
        <f>R7/'Output-Calculation-sheet'!R6*'Output-Calculation-sheet'!R78</f>
        <v>1372793100.9957714</v>
      </c>
      <c r="S95" s="2">
        <f>S7/'Output-Calculation-sheet'!S6*'Output-Calculation-sheet'!S78</f>
        <v>486378378.34823805</v>
      </c>
      <c r="T95" s="2">
        <f>T7/'Output-Calculation-sheet'!T6*'Output-Calculation-sheet'!T78</f>
        <v>732526496.6214658</v>
      </c>
      <c r="U95" s="2">
        <f>U7/'Output-Calculation-sheet'!U6*'Output-Calculation-sheet'!U78</f>
        <v>365348650.11750811</v>
      </c>
      <c r="V95" s="2">
        <f>V7/'Output-Calculation-sheet'!V6*'Output-Calculation-sheet'!V78</f>
        <v>218967391.58444452</v>
      </c>
      <c r="W95" s="2">
        <f>W7/'Output-Calculation-sheet'!W6*'Output-Calculation-sheet'!W78</f>
        <v>779063385.79010904</v>
      </c>
      <c r="X95" s="2">
        <f>X7/'Output-Calculation-sheet'!X6*'Output-Calculation-sheet'!X78</f>
        <v>67935276.003234491</v>
      </c>
      <c r="Y95" s="2">
        <f>Y7/'Output-Calculation-sheet'!Y6*'Output-Calculation-sheet'!Y78</f>
        <v>330610534.1201961</v>
      </c>
      <c r="AA95" s="2">
        <f t="shared" si="8"/>
        <v>53.974243708668553</v>
      </c>
    </row>
    <row r="96" spans="1:27" x14ac:dyDescent="0.25">
      <c r="A96" s="2">
        <v>2031</v>
      </c>
      <c r="B96" s="2">
        <f>B8/'Output-Calculation-sheet'!B7*'Output-Calculation-sheet'!B79</f>
        <v>12579618515.338833</v>
      </c>
      <c r="C96" s="2">
        <f>C8/'Output-Calculation-sheet'!C7*'Output-Calculation-sheet'!C79</f>
        <v>0</v>
      </c>
      <c r="D96" s="2">
        <f>D8/'Output-Calculation-sheet'!D7*'Output-Calculation-sheet'!D79</f>
        <v>7657110233.9050961</v>
      </c>
      <c r="E96" s="2">
        <f>E8/'Output-Calculation-sheet'!E7*'Output-Calculation-sheet'!E79</f>
        <v>11993757798.396189</v>
      </c>
      <c r="F96" s="2">
        <f>F8/'Output-Calculation-sheet'!F7*'Output-Calculation-sheet'!F79</f>
        <v>5741139242.5643635</v>
      </c>
      <c r="G96" s="2">
        <f>G8/'Output-Calculation-sheet'!G7*'Output-Calculation-sheet'!G79</f>
        <v>4376763194.4677544</v>
      </c>
      <c r="H96" s="2">
        <f>H8/'Output-Calculation-sheet'!H7*'Output-Calculation-sheet'!H79</f>
        <v>1182883199.9629149</v>
      </c>
      <c r="I96" s="2">
        <f>I8/'Output-Calculation-sheet'!I7*'Output-Calculation-sheet'!I79</f>
        <v>3001516446.1079564</v>
      </c>
      <c r="J96" s="2">
        <f>J8/'Output-Calculation-sheet'!J7*'Output-Calculation-sheet'!J79</f>
        <v>2136554927.2823339</v>
      </c>
      <c r="K96" s="2">
        <f>K8/'Output-Calculation-sheet'!K7*'Output-Calculation-sheet'!K79</f>
        <v>2662841036.2245793</v>
      </c>
      <c r="L96" s="2">
        <f>L8/'Output-Calculation-sheet'!L7*'Output-Calculation-sheet'!L79</f>
        <v>1852961272.091521</v>
      </c>
      <c r="M96" s="2">
        <f>M8/'Output-Calculation-sheet'!M7*'Output-Calculation-sheet'!M79</f>
        <v>876902901.15108716</v>
      </c>
      <c r="N96" s="2">
        <f>N8/'Output-Calculation-sheet'!N7*'Output-Calculation-sheet'!N79</f>
        <v>977313112.12528181</v>
      </c>
      <c r="O96" s="2">
        <f>O8/'Output-Calculation-sheet'!O7*'Output-Calculation-sheet'!O79</f>
        <v>0</v>
      </c>
      <c r="P96" s="2">
        <f>P8/'Output-Calculation-sheet'!P7*'Output-Calculation-sheet'!P79</f>
        <v>2260291261.3700018</v>
      </c>
      <c r="Q96" s="2">
        <f>Q8/'Output-Calculation-sheet'!Q7*'Output-Calculation-sheet'!Q79</f>
        <v>1049341935.2944241</v>
      </c>
      <c r="R96" s="2">
        <f>R8/'Output-Calculation-sheet'!R7*'Output-Calculation-sheet'!R79</f>
        <v>1618994888.0955193</v>
      </c>
      <c r="S96" s="2">
        <f>S8/'Output-Calculation-sheet'!S7*'Output-Calculation-sheet'!S79</f>
        <v>593016151.67060447</v>
      </c>
      <c r="T96" s="2">
        <f>T8/'Output-Calculation-sheet'!T7*'Output-Calculation-sheet'!T79</f>
        <v>848611118.88298464</v>
      </c>
      <c r="U96" s="2">
        <f>U8/'Output-Calculation-sheet'!U7*'Output-Calculation-sheet'!U79</f>
        <v>430869476.8986271</v>
      </c>
      <c r="V96" s="2">
        <f>V8/'Output-Calculation-sheet'!V7*'Output-Calculation-sheet'!V79</f>
        <v>261197228.50460908</v>
      </c>
      <c r="W96" s="2">
        <f>W8/'Output-Calculation-sheet'!W7*'Output-Calculation-sheet'!W79</f>
        <v>909605826.1125828</v>
      </c>
      <c r="X96" s="2">
        <f>X8/'Output-Calculation-sheet'!X7*'Output-Calculation-sheet'!X79</f>
        <v>84805321.561316311</v>
      </c>
      <c r="Y96" s="2">
        <f>Y8/'Output-Calculation-sheet'!Y7*'Output-Calculation-sheet'!Y79</f>
        <v>386922937.77583307</v>
      </c>
      <c r="AA96" s="2">
        <f t="shared" si="8"/>
        <v>63.483018025784403</v>
      </c>
    </row>
    <row r="97" spans="1:27" x14ac:dyDescent="0.25">
      <c r="A97" s="2">
        <v>2032</v>
      </c>
      <c r="B97" s="2">
        <f>B9/'Output-Calculation-sheet'!B8*'Output-Calculation-sheet'!B80</f>
        <v>14255467245.505432</v>
      </c>
      <c r="C97" s="2">
        <f>C9/'Output-Calculation-sheet'!C8*'Output-Calculation-sheet'!C80</f>
        <v>0</v>
      </c>
      <c r="D97" s="2">
        <f>D9/'Output-Calculation-sheet'!D8*'Output-Calculation-sheet'!D80</f>
        <v>8275747098.4969883</v>
      </c>
      <c r="E97" s="2">
        <f>E9/'Output-Calculation-sheet'!E8*'Output-Calculation-sheet'!E80</f>
        <v>13351475059.78607</v>
      </c>
      <c r="F97" s="2">
        <f>F9/'Output-Calculation-sheet'!F8*'Output-Calculation-sheet'!F80</f>
        <v>6368866098.0331049</v>
      </c>
      <c r="G97" s="2">
        <f>G9/'Output-Calculation-sheet'!G8*'Output-Calculation-sheet'!G80</f>
        <v>4715988558.7720928</v>
      </c>
      <c r="H97" s="2">
        <f>H9/'Output-Calculation-sheet'!H8*'Output-Calculation-sheet'!H80</f>
        <v>1346797484.4354174</v>
      </c>
      <c r="I97" s="2">
        <f>I9/'Output-Calculation-sheet'!I8*'Output-Calculation-sheet'!I80</f>
        <v>3362861398.3334141</v>
      </c>
      <c r="J97" s="2">
        <f>J9/'Output-Calculation-sheet'!J8*'Output-Calculation-sheet'!J80</f>
        <v>2325728709.7303991</v>
      </c>
      <c r="K97" s="2">
        <f>K9/'Output-Calculation-sheet'!K8*'Output-Calculation-sheet'!K80</f>
        <v>2925565562.5971656</v>
      </c>
      <c r="L97" s="2">
        <f>L9/'Output-Calculation-sheet'!L8*'Output-Calculation-sheet'!L80</f>
        <v>2100510095.2735021</v>
      </c>
      <c r="M97" s="2">
        <f>M9/'Output-Calculation-sheet'!M8*'Output-Calculation-sheet'!M80</f>
        <v>1000184362.870996</v>
      </c>
      <c r="N97" s="2">
        <f>N9/'Output-Calculation-sheet'!N8*'Output-Calculation-sheet'!N80</f>
        <v>1064591446.9333354</v>
      </c>
      <c r="O97" s="2">
        <f>O9/'Output-Calculation-sheet'!O8*'Output-Calculation-sheet'!O80</f>
        <v>0</v>
      </c>
      <c r="P97" s="2">
        <f>P9/'Output-Calculation-sheet'!P8*'Output-Calculation-sheet'!P80</f>
        <v>2491321449.0803218</v>
      </c>
      <c r="Q97" s="2">
        <f>Q9/'Output-Calculation-sheet'!Q8*'Output-Calculation-sheet'!Q80</f>
        <v>1161577325.5867803</v>
      </c>
      <c r="R97" s="2">
        <f>R9/'Output-Calculation-sheet'!R8*'Output-Calculation-sheet'!R80</f>
        <v>1800352454.4206784</v>
      </c>
      <c r="S97" s="2">
        <f>S9/'Output-Calculation-sheet'!S8*'Output-Calculation-sheet'!S80</f>
        <v>678357687.90798819</v>
      </c>
      <c r="T97" s="2">
        <f>T9/'Output-Calculation-sheet'!T8*'Output-Calculation-sheet'!T80</f>
        <v>925803226.20186019</v>
      </c>
      <c r="U97" s="2">
        <f>U9/'Output-Calculation-sheet'!U8*'Output-Calculation-sheet'!U80</f>
        <v>479343874.8736921</v>
      </c>
      <c r="V97" s="2">
        <f>V9/'Output-Calculation-sheet'!V8*'Output-Calculation-sheet'!V80</f>
        <v>293855764.35331094</v>
      </c>
      <c r="W97" s="2">
        <f>W9/'Output-Calculation-sheet'!W8*'Output-Calculation-sheet'!W80</f>
        <v>1000425206.7738041</v>
      </c>
      <c r="X97" s="2">
        <f>X9/'Output-Calculation-sheet'!X8*'Output-Calculation-sheet'!X80</f>
        <v>99046050.840325296</v>
      </c>
      <c r="Y97" s="2">
        <f>Y9/'Output-Calculation-sheet'!Y8*'Output-Calculation-sheet'!Y80</f>
        <v>425985975.84041733</v>
      </c>
      <c r="AA97" s="2">
        <f t="shared" si="8"/>
        <v>70.44985213664711</v>
      </c>
    </row>
    <row r="98" spans="1:27" x14ac:dyDescent="0.25">
      <c r="A98" s="2">
        <v>2033</v>
      </c>
      <c r="B98" s="2">
        <f>B10/'Output-Calculation-sheet'!B9*'Output-Calculation-sheet'!B81</f>
        <v>15987075063.593904</v>
      </c>
      <c r="C98" s="2">
        <f>C10/'Output-Calculation-sheet'!C9*'Output-Calculation-sheet'!C81</f>
        <v>2093830845.4123759</v>
      </c>
      <c r="D98" s="2">
        <f>D10/'Output-Calculation-sheet'!D9*'Output-Calculation-sheet'!D81</f>
        <v>8523250356.348588</v>
      </c>
      <c r="E98" s="2">
        <f>E10/'Output-Calculation-sheet'!E9*'Output-Calculation-sheet'!E81</f>
        <v>14151563215.946661</v>
      </c>
      <c r="F98" s="2">
        <f>F10/'Output-Calculation-sheet'!F9*'Output-Calculation-sheet'!F81</f>
        <v>6737422989.1782646</v>
      </c>
      <c r="G98" s="2">
        <f>G10/'Output-Calculation-sheet'!G9*'Output-Calculation-sheet'!G81</f>
        <v>4837976822.4661636</v>
      </c>
      <c r="H98" s="2">
        <f>H10/'Output-Calculation-sheet'!H9*'Output-Calculation-sheet'!H81</f>
        <v>1458041806.2110133</v>
      </c>
      <c r="I98" s="2">
        <f>I10/'Output-Calculation-sheet'!I9*'Output-Calculation-sheet'!I81</f>
        <v>3590882087.2603621</v>
      </c>
      <c r="J98" s="2">
        <f>J10/'Output-Calculation-sheet'!J9*'Output-Calculation-sheet'!J81</f>
        <v>2414613097.9601383</v>
      </c>
      <c r="K98" s="2">
        <f>K10/'Output-Calculation-sheet'!K9*'Output-Calculation-sheet'!K81</f>
        <v>3066476453.0219727</v>
      </c>
      <c r="L98" s="2">
        <f>L10/'Output-Calculation-sheet'!L9*'Output-Calculation-sheet'!L81</f>
        <v>2267176542.6342545</v>
      </c>
      <c r="M98" s="2">
        <f>M10/'Output-Calculation-sheet'!M9*'Output-Calculation-sheet'!M81</f>
        <v>1087122341.6371694</v>
      </c>
      <c r="N98" s="2">
        <f>N10/'Output-Calculation-sheet'!N9*'Output-Calculation-sheet'!N81</f>
        <v>1106260821.8324735</v>
      </c>
      <c r="O98" s="2">
        <f>O10/'Output-Calculation-sheet'!O9*'Output-Calculation-sheet'!O81</f>
        <v>0</v>
      </c>
      <c r="P98" s="2">
        <f>P10/'Output-Calculation-sheet'!P9*'Output-Calculation-sheet'!P81</f>
        <v>2608802867.7854433</v>
      </c>
      <c r="Q98" s="2">
        <f>Q10/'Output-Calculation-sheet'!Q9*'Output-Calculation-sheet'!Q81</f>
        <v>1224536455.9555697</v>
      </c>
      <c r="R98" s="2">
        <f>R10/'Output-Calculation-sheet'!R9*'Output-Calculation-sheet'!R81</f>
        <v>1910834714.2647498</v>
      </c>
      <c r="S98" s="2">
        <f>S10/'Output-Calculation-sheet'!S9*'Output-Calculation-sheet'!S81</f>
        <v>725577088.40243089</v>
      </c>
      <c r="T98" s="2">
        <f>T10/'Output-Calculation-sheet'!T9*'Output-Calculation-sheet'!T81</f>
        <v>963069884.2360034</v>
      </c>
      <c r="U98" s="2">
        <f>U10/'Output-Calculation-sheet'!U9*'Output-Calculation-sheet'!U81</f>
        <v>507635171.18066627</v>
      </c>
      <c r="V98" s="2">
        <f>V10/'Output-Calculation-sheet'!V9*'Output-Calculation-sheet'!V81</f>
        <v>314579272.22410601</v>
      </c>
      <c r="W98" s="2">
        <f>W10/'Output-Calculation-sheet'!W9*'Output-Calculation-sheet'!W81</f>
        <v>1045864498.5161725</v>
      </c>
      <c r="X98" s="2">
        <f>X10/'Output-Calculation-sheet'!X9*'Output-Calculation-sheet'!X81</f>
        <v>108797557.2200578</v>
      </c>
      <c r="Y98" s="2">
        <f>Y10/'Output-Calculation-sheet'!Y9*'Output-Calculation-sheet'!Y81</f>
        <v>446485565.65840834</v>
      </c>
      <c r="AA98" s="2">
        <f t="shared" si="8"/>
        <v>77.177875518946962</v>
      </c>
    </row>
    <row r="99" spans="1:27" x14ac:dyDescent="0.25">
      <c r="A99" s="2">
        <v>2034</v>
      </c>
      <c r="B99" s="2">
        <f>B11/'Output-Calculation-sheet'!B10*'Output-Calculation-sheet'!B82</f>
        <v>16960569159.840355</v>
      </c>
      <c r="C99" s="2">
        <f>C11/'Output-Calculation-sheet'!C10*'Output-Calculation-sheet'!C82</f>
        <v>2300270041.7927742</v>
      </c>
      <c r="D99" s="2">
        <f>D11/'Output-Calculation-sheet'!D10*'Output-Calculation-sheet'!D82</f>
        <v>8462546125.8057823</v>
      </c>
      <c r="E99" s="2">
        <f>E11/'Output-Calculation-sheet'!E10*'Output-Calculation-sheet'!E82</f>
        <v>14472385017.763788</v>
      </c>
      <c r="F99" s="2">
        <f>F11/'Output-Calculation-sheet'!F10*'Output-Calculation-sheet'!F82</f>
        <v>6873054168.6457367</v>
      </c>
      <c r="G99" s="2">
        <f>G11/'Output-Calculation-sheet'!G10*'Output-Calculation-sheet'!G82</f>
        <v>4774404694.7225809</v>
      </c>
      <c r="H99" s="2">
        <f>H11/'Output-Calculation-sheet'!H10*'Output-Calculation-sheet'!H82</f>
        <v>1523479321.6923223</v>
      </c>
      <c r="I99" s="2">
        <f>I11/'Output-Calculation-sheet'!I10*'Output-Calculation-sheet'!I82</f>
        <v>3701027453.6931095</v>
      </c>
      <c r="J99" s="2">
        <f>J11/'Output-Calculation-sheet'!J10*'Output-Calculation-sheet'!J82</f>
        <v>2418011259.6465983</v>
      </c>
      <c r="K99" s="2">
        <f>K11/'Output-Calculation-sheet'!K10*'Output-Calculation-sheet'!K82</f>
        <v>3100320882.0549793</v>
      </c>
      <c r="L99" s="2">
        <f>L11/'Output-Calculation-sheet'!L10*'Output-Calculation-sheet'!L82</f>
        <v>2357488466.5956283</v>
      </c>
      <c r="M99" s="2">
        <f>M11/'Output-Calculation-sheet'!M10*'Output-Calculation-sheet'!M82</f>
        <v>1139610647.3731434</v>
      </c>
      <c r="N99" s="2">
        <f>N11/'Output-Calculation-sheet'!N10*'Output-Calculation-sheet'!N82</f>
        <v>1112210707.4387476</v>
      </c>
      <c r="O99" s="2">
        <f>O11/'Output-Calculation-sheet'!O10*'Output-Calculation-sheet'!O82</f>
        <v>0</v>
      </c>
      <c r="P99" s="2">
        <f>P11/'Output-Calculation-sheet'!P10*'Output-Calculation-sheet'!P82</f>
        <v>2630633887.6550508</v>
      </c>
      <c r="Q99" s="2">
        <f>Q11/'Output-Calculation-sheet'!Q10*'Output-Calculation-sheet'!Q82</f>
        <v>1245624554.1885238</v>
      </c>
      <c r="R99" s="2">
        <f>R11/'Output-Calculation-sheet'!R10*'Output-Calculation-sheet'!R82</f>
        <v>1954796913.7851546</v>
      </c>
      <c r="S99" s="2">
        <f>S11/'Output-Calculation-sheet'!S10*'Output-Calculation-sheet'!S82</f>
        <v>761656049.54562426</v>
      </c>
      <c r="T99" s="2">
        <f>T11/'Output-Calculation-sheet'!T10*'Output-Calculation-sheet'!T82</f>
        <v>965824844.68800652</v>
      </c>
      <c r="U99" s="2">
        <f>U11/'Output-Calculation-sheet'!U10*'Output-Calculation-sheet'!U82</f>
        <v>519156203.40985101</v>
      </c>
      <c r="V99" s="2">
        <f>V11/'Output-Calculation-sheet'!V10*'Output-Calculation-sheet'!V82</f>
        <v>324772415.20507675</v>
      </c>
      <c r="W99" s="2">
        <f>W11/'Output-Calculation-sheet'!W10*'Output-Calculation-sheet'!W82</f>
        <v>1052777463.3666683</v>
      </c>
      <c r="X99" s="2">
        <f>X11/'Output-Calculation-sheet'!X10*'Output-Calculation-sheet'!X82</f>
        <v>115841736.21696673</v>
      </c>
      <c r="Y99" s="2">
        <f>Y11/'Output-Calculation-sheet'!Y10*'Output-Calculation-sheet'!Y82</f>
        <v>450457059.07909369</v>
      </c>
      <c r="AA99" s="2">
        <f t="shared" si="8"/>
        <v>79.216919074205535</v>
      </c>
    </row>
    <row r="100" spans="1:27" x14ac:dyDescent="0.25">
      <c r="A100" s="2">
        <v>2035</v>
      </c>
      <c r="B100" s="2">
        <f>B12/'Output-Calculation-sheet'!B11*'Output-Calculation-sheet'!B83</f>
        <v>17184798414.907299</v>
      </c>
      <c r="C100" s="2">
        <f>C12/'Output-Calculation-sheet'!C11*'Output-Calculation-sheet'!C83</f>
        <v>2431394686.9418912</v>
      </c>
      <c r="D100" s="2">
        <f>D12/'Output-Calculation-sheet'!D11*'Output-Calculation-sheet'!D83</f>
        <v>8173185045.2980118</v>
      </c>
      <c r="E100" s="2">
        <f>E12/'Output-Calculation-sheet'!E11*'Output-Calculation-sheet'!E83</f>
        <v>14379222010.245152</v>
      </c>
      <c r="F100" s="2">
        <f>F12/'Output-Calculation-sheet'!F11*'Output-Calculation-sheet'!F83</f>
        <v>6814410165.3914785</v>
      </c>
      <c r="G100" s="2">
        <f>G12/'Output-Calculation-sheet'!G11*'Output-Calculation-sheet'!G83</f>
        <v>4570248315.7971506</v>
      </c>
      <c r="H100" s="2">
        <f>H12/'Output-Calculation-sheet'!H11*'Output-Calculation-sheet'!H83</f>
        <v>1539983161.2169545</v>
      </c>
      <c r="I100" s="2">
        <f>I12/'Output-Calculation-sheet'!I11*'Output-Calculation-sheet'!I83</f>
        <v>3702962892.9235816</v>
      </c>
      <c r="J100" s="2">
        <f>J12/'Output-Calculation-sheet'!J11*'Output-Calculation-sheet'!J83</f>
        <v>2352562266.0765662</v>
      </c>
      <c r="K100" s="2">
        <f>K12/'Output-Calculation-sheet'!K11*'Output-Calculation-sheet'!K83</f>
        <v>3045188661.8219328</v>
      </c>
      <c r="L100" s="2">
        <f>L12/'Output-Calculation-sheet'!L11*'Output-Calculation-sheet'!L83</f>
        <v>2379312965.4968333</v>
      </c>
      <c r="M100" s="2">
        <f>M12/'Output-Calculation-sheet'!M11*'Output-Calculation-sheet'!M83</f>
        <v>1154292704.3901532</v>
      </c>
      <c r="N100" s="2">
        <f>N12/'Output-Calculation-sheet'!N11*'Output-Calculation-sheet'!N83</f>
        <v>1087379482.4551573</v>
      </c>
      <c r="O100" s="2">
        <f>O12/'Output-Calculation-sheet'!O11*'Output-Calculation-sheet'!O83</f>
        <v>293361549.26944607</v>
      </c>
      <c r="P100" s="2">
        <f>P12/'Output-Calculation-sheet'!P11*'Output-Calculation-sheet'!P83</f>
        <v>2575810609.4331064</v>
      </c>
      <c r="Q100" s="2">
        <f>Q12/'Output-Calculation-sheet'!Q11*'Output-Calculation-sheet'!Q83</f>
        <v>1235299772.2558887</v>
      </c>
      <c r="R100" s="2">
        <f>R12/'Output-Calculation-sheet'!R11*'Output-Calculation-sheet'!R83</f>
        <v>1945841763.3929157</v>
      </c>
      <c r="S100" s="2">
        <f>S12/'Output-Calculation-sheet'!S11*'Output-Calculation-sheet'!S83</f>
        <v>754699258.53296149</v>
      </c>
      <c r="T100" s="2">
        <f>T12/'Output-Calculation-sheet'!T11*'Output-Calculation-sheet'!T83</f>
        <v>940689881.52533889</v>
      </c>
      <c r="U100" s="2">
        <f>U12/'Output-Calculation-sheet'!U11*'Output-Calculation-sheet'!U83</f>
        <v>515304550.95918775</v>
      </c>
      <c r="V100" s="2">
        <f>V12/'Output-Calculation-sheet'!V11*'Output-Calculation-sheet'!V83</f>
        <v>325696184.44592762</v>
      </c>
      <c r="W100" s="2">
        <f>W12/'Output-Calculation-sheet'!W11*'Output-Calculation-sheet'!W83</f>
        <v>1027735740.7026019</v>
      </c>
      <c r="X100" s="2">
        <f>X12/'Output-Calculation-sheet'!X11*'Output-Calculation-sheet'!X83</f>
        <v>119589938.08507641</v>
      </c>
      <c r="Y100" s="2">
        <f>Y12/'Output-Calculation-sheet'!Y11*'Output-Calculation-sheet'!Y83</f>
        <v>441260047.81956381</v>
      </c>
      <c r="AA100" s="2">
        <f t="shared" si="8"/>
        <v>78.990230069384168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47D6-1B68-45AD-A5B8-B3797AAB5507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115754880080.18588</v>
      </c>
      <c r="C8" s="2">
        <v>54549524364.919197</v>
      </c>
      <c r="D8" s="2">
        <v>48618373091.153465</v>
      </c>
      <c r="E8" s="2">
        <v>38573745410.9823</v>
      </c>
      <c r="F8" s="2">
        <v>24831304126.503319</v>
      </c>
      <c r="G8" s="2">
        <v>17447155756.029121</v>
      </c>
      <c r="H8" s="2">
        <v>17019030699.819447</v>
      </c>
      <c r="I8" s="2">
        <v>15895732285.011921</v>
      </c>
      <c r="J8" s="2">
        <v>15471807940.987467</v>
      </c>
      <c r="K8" s="2">
        <v>15323485922.751516</v>
      </c>
      <c r="L8" s="2">
        <v>12292699633.742573</v>
      </c>
      <c r="M8" s="2">
        <v>11741647581.195496</v>
      </c>
      <c r="N8" s="2">
        <v>11524393190.04784</v>
      </c>
      <c r="O8" s="2">
        <v>10599019955.929386</v>
      </c>
      <c r="P8" s="2">
        <v>10491183308.107874</v>
      </c>
      <c r="Q8" s="2">
        <v>10321628830.401081</v>
      </c>
      <c r="R8" s="2">
        <v>9929881687.383419</v>
      </c>
      <c r="S8" s="2">
        <v>6599908044.7369337</v>
      </c>
      <c r="T8" s="2">
        <v>3650139124.0382671</v>
      </c>
      <c r="U8" s="2">
        <v>3179146457.0023885</v>
      </c>
      <c r="V8" s="2">
        <v>2448006354.820981</v>
      </c>
      <c r="W8" s="2">
        <v>2119430971.334924</v>
      </c>
      <c r="X8" s="2">
        <v>1271658582.8009555</v>
      </c>
      <c r="Y8" s="2">
        <v>1236675255.1880991</v>
      </c>
    </row>
    <row r="9" spans="1:27" x14ac:dyDescent="0.25">
      <c r="A9" s="2">
        <v>2032</v>
      </c>
      <c r="B9" s="2">
        <v>130743735110.03711</v>
      </c>
      <c r="C9" s="2">
        <v>61613027105.250465</v>
      </c>
      <c r="D9" s="2">
        <v>54913863575.405266</v>
      </c>
      <c r="E9" s="2">
        <v>43568578264.016975</v>
      </c>
      <c r="F9" s="2">
        <v>28046657271.843529</v>
      </c>
      <c r="G9" s="2">
        <v>19706351118.930447</v>
      </c>
      <c r="H9" s="2">
        <v>19222789053.086891</v>
      </c>
      <c r="I9" s="2">
        <v>17954037098.150879</v>
      </c>
      <c r="J9" s="2">
        <v>17475219685.844505</v>
      </c>
      <c r="K9" s="2">
        <v>17307691762.617474</v>
      </c>
      <c r="L9" s="2">
        <v>13884455355.90337</v>
      </c>
      <c r="M9" s="2">
        <v>13262048736.500809</v>
      </c>
      <c r="N9" s="2">
        <v>13016662532.929737</v>
      </c>
      <c r="O9" s="2">
        <v>11971464672.45343</v>
      </c>
      <c r="P9" s="2">
        <v>11849664484.779589</v>
      </c>
      <c r="Q9" s="2">
        <v>11658154755.732645</v>
      </c>
      <c r="R9" s="2">
        <v>11215681102.256138</v>
      </c>
      <c r="S9" s="2">
        <v>7454516203.1522264</v>
      </c>
      <c r="T9" s="2">
        <v>4122787932.7200084</v>
      </c>
      <c r="U9" s="2">
        <v>3590807419.6301808</v>
      </c>
      <c r="V9" s="2">
        <v>2764993529.2636337</v>
      </c>
      <c r="W9" s="2">
        <v>2393871613.0867853</v>
      </c>
      <c r="X9" s="2">
        <v>1436322967.8520722</v>
      </c>
      <c r="Y9" s="2">
        <v>1396809723.0064592</v>
      </c>
    </row>
    <row r="10" spans="1:27" x14ac:dyDescent="0.25">
      <c r="A10" s="2">
        <v>2033</v>
      </c>
      <c r="B10" s="2">
        <v>141149328097.67581</v>
      </c>
      <c r="C10" s="2">
        <v>66516666138.15712</v>
      </c>
      <c r="D10" s="2">
        <v>59284331600.228561</v>
      </c>
      <c r="E10" s="2">
        <v>47036101140.611298</v>
      </c>
      <c r="F10" s="2">
        <v>30278826178.361145</v>
      </c>
      <c r="G10" s="2">
        <v>21274734252.871876</v>
      </c>
      <c r="H10" s="2">
        <v>20752686595.063286</v>
      </c>
      <c r="I10" s="2">
        <v>19382957591.902176</v>
      </c>
      <c r="J10" s="2">
        <v>18866032203.686588</v>
      </c>
      <c r="K10" s="2">
        <v>18685171118.593731</v>
      </c>
      <c r="L10" s="2">
        <v>14989487204.404377</v>
      </c>
      <c r="M10" s="2">
        <v>14317544674.551771</v>
      </c>
      <c r="N10" s="2">
        <v>14052628747.763037</v>
      </c>
      <c r="O10" s="2">
        <v>12924245994.958899</v>
      </c>
      <c r="P10" s="2">
        <v>12792752010.655447</v>
      </c>
      <c r="Q10" s="2">
        <v>12586000463.00849</v>
      </c>
      <c r="R10" s="2">
        <v>12108311349.747581</v>
      </c>
      <c r="S10" s="2">
        <v>8047803992.1577654</v>
      </c>
      <c r="T10" s="2">
        <v>4450911136.2228527</v>
      </c>
      <c r="U10" s="2">
        <v>3876591518.3804412</v>
      </c>
      <c r="V10" s="2">
        <v>2985053000.9833093</v>
      </c>
      <c r="W10" s="2">
        <v>2584394345.5869589</v>
      </c>
      <c r="X10" s="2">
        <v>1550636607.3521764</v>
      </c>
      <c r="Y10" s="2">
        <v>1507978594.2839155</v>
      </c>
    </row>
    <row r="11" spans="1:27" x14ac:dyDescent="0.25">
      <c r="A11" s="2">
        <v>2034</v>
      </c>
      <c r="B11" s="2">
        <v>147641388569.98682</v>
      </c>
      <c r="C11" s="2">
        <v>69576051717.992188</v>
      </c>
      <c r="D11" s="2">
        <v>62011071224.117432</v>
      </c>
      <c r="E11" s="2">
        <v>49199492331.359833</v>
      </c>
      <c r="F11" s="2">
        <v>31671478720.387321</v>
      </c>
      <c r="G11" s="2">
        <v>22253250149.216873</v>
      </c>
      <c r="H11" s="2">
        <v>21707191289.870171</v>
      </c>
      <c r="I11" s="2">
        <v>20274462599.505119</v>
      </c>
      <c r="J11" s="2">
        <v>19733761604.808102</v>
      </c>
      <c r="K11" s="2">
        <v>19544581945.92297</v>
      </c>
      <c r="L11" s="2">
        <v>15678917743.617321</v>
      </c>
      <c r="M11" s="2">
        <v>14976069706.83448</v>
      </c>
      <c r="N11" s="2">
        <v>14698969165.071169</v>
      </c>
      <c r="O11" s="2">
        <v>13518687269.94842</v>
      </c>
      <c r="P11" s="2">
        <v>13381145315.673389</v>
      </c>
      <c r="Q11" s="2">
        <v>13164884381.278669</v>
      </c>
      <c r="R11" s="2">
        <v>12665224305.406387</v>
      </c>
      <c r="S11" s="2">
        <v>8417956871.3145065</v>
      </c>
      <c r="T11" s="2">
        <v>4655627549.9860525</v>
      </c>
      <c r="U11" s="2">
        <v>4054892519.9010305</v>
      </c>
      <c r="V11" s="2">
        <v>3122348338.1741939</v>
      </c>
      <c r="W11" s="2">
        <v>2703261679.9340181</v>
      </c>
      <c r="X11" s="2">
        <v>1621957007.960412</v>
      </c>
      <c r="Y11" s="2">
        <v>1577336970.6714184</v>
      </c>
    </row>
    <row r="12" spans="1:27" x14ac:dyDescent="0.25">
      <c r="A12" s="2">
        <v>2035</v>
      </c>
      <c r="B12" s="2">
        <v>150921593283.44193</v>
      </c>
      <c r="C12" s="2">
        <v>71121849241.298264</v>
      </c>
      <c r="D12" s="2">
        <v>63388794707.253929</v>
      </c>
      <c r="E12" s="2">
        <v>50292576108.260399</v>
      </c>
      <c r="F12" s="2">
        <v>32375135972.509823</v>
      </c>
      <c r="G12" s="2">
        <v>22747659045.910191</v>
      </c>
      <c r="H12" s="2">
        <v>22189468189.827332</v>
      </c>
      <c r="I12" s="2">
        <v>20724908022.877316</v>
      </c>
      <c r="J12" s="2">
        <v>20172194069.154686</v>
      </c>
      <c r="K12" s="2">
        <v>19978811334.053764</v>
      </c>
      <c r="L12" s="2">
        <v>16027262204.358482</v>
      </c>
      <c r="M12" s="2">
        <v>15308798726.232073</v>
      </c>
      <c r="N12" s="2">
        <v>15025541736.65967</v>
      </c>
      <c r="O12" s="2">
        <v>13819037071.126223</v>
      </c>
      <c r="P12" s="2">
        <v>13678439295.099037</v>
      </c>
      <c r="Q12" s="2">
        <v>13457373609.521681</v>
      </c>
      <c r="R12" s="2">
        <v>12946612396.279472</v>
      </c>
      <c r="S12" s="2">
        <v>8604981811.0986404</v>
      </c>
      <c r="T12" s="2">
        <v>4759063392.614398</v>
      </c>
      <c r="U12" s="2">
        <v>4144981604.5754695</v>
      </c>
      <c r="V12" s="2">
        <v>3191718735.1552048</v>
      </c>
      <c r="W12" s="2">
        <v>2763321069.7169776</v>
      </c>
      <c r="X12" s="2">
        <v>1657992641.8301873</v>
      </c>
      <c r="Y12" s="2">
        <v>1612381264.2534363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-4.8443221004840817E-11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192.67004507413145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3.0244191121304652E-12</v>
      </c>
      <c r="Y16" s="2">
        <f>Y5/'Output-Calculation-sheet'!Y4*'Output-Calculation-sheet'!Y22</f>
        <v>0</v>
      </c>
      <c r="AA16" s="2">
        <f t="shared" ref="AA16:AA23" si="0">SUM(B16:Y16)/1000</f>
        <v>0.19267004507408603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1533.4245836019963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1043.7250850070277</v>
      </c>
      <c r="N17" s="2">
        <f>N6/'Output-Calculation-sheet'!N5*'Output-Calculation-sheet'!N23</f>
        <v>428.04132238536522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96.208542383248712</v>
      </c>
      <c r="Y17" s="2">
        <f>Y6/'Output-Calculation-sheet'!Y5*'Output-Calculation-sheet'!Y23</f>
        <v>0</v>
      </c>
      <c r="AA17" s="2">
        <f t="shared" si="0"/>
        <v>3.1013995333776379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2058.9994115891145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1399.453207171937</v>
      </c>
      <c r="N18" s="2">
        <f>N7/'Output-Calculation-sheet'!N6*'Output-Calculation-sheet'!N24</f>
        <v>774.67774409618482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137.62596254687006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131.38296544028265</v>
      </c>
      <c r="Y18" s="2">
        <f>Y7/'Output-Calculation-sheet'!Y6*'Output-Calculation-sheet'!Y24</f>
        <v>0</v>
      </c>
      <c r="AA18" s="2">
        <f t="shared" si="0"/>
        <v>4.5021392908443891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2543.7946230849761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1742.1098289720178</v>
      </c>
      <c r="N19" s="2">
        <f>N8/'Output-Calculation-sheet'!N7*'Output-Calculation-sheet'!N25</f>
        <v>1171.8218631049185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310.82042036360997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165.33282796428583</v>
      </c>
      <c r="Y19" s="2">
        <f>Y8/'Output-Calculation-sheet'!Y7*'Output-Calculation-sheet'!Y25</f>
        <v>0</v>
      </c>
      <c r="AA19" s="2">
        <f t="shared" si="0"/>
        <v>5.9338795634898078</v>
      </c>
    </row>
    <row r="20" spans="1:27" x14ac:dyDescent="0.25">
      <c r="A20" s="2">
        <v>2032</v>
      </c>
      <c r="B20" s="2">
        <f>B9/'Output-Calculation-sheet'!B8*'Output-Calculation-sheet'!B26</f>
        <v>2.8077393383479885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2967.9834740093688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2029.714793653683</v>
      </c>
      <c r="N20" s="2">
        <f>N9/'Output-Calculation-sheet'!N8*'Output-Calculation-sheet'!N26</f>
        <v>1478.2121082350222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508.58076016378891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195.36965992551043</v>
      </c>
      <c r="Y20" s="2">
        <f>Y9/'Output-Calculation-sheet'!Y8*'Output-Calculation-sheet'!Y26</f>
        <v>0</v>
      </c>
      <c r="AA20" s="2">
        <f t="shared" si="0"/>
        <v>7.182668535325722</v>
      </c>
    </row>
    <row r="21" spans="1:27" x14ac:dyDescent="0.25">
      <c r="A21" s="2">
        <v>2033</v>
      </c>
      <c r="B21" s="2">
        <f>B10/'Output-Calculation-sheet'!B9*'Output-Calculation-sheet'!B27</f>
        <v>4719.5797244445275</v>
      </c>
      <c r="C21" s="2">
        <f>C10/'Output-Calculation-sheet'!C9*'Output-Calculation-sheet'!C27</f>
        <v>7364.5800386909496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3304.206350991828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2261.8987701670162</v>
      </c>
      <c r="N21" s="2">
        <f>N10/'Output-Calculation-sheet'!N9*'Output-Calculation-sheet'!N27</f>
        <v>1767.2870208233935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674.20231880589608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217.7202551392204</v>
      </c>
      <c r="Y21" s="2">
        <f>Y10/'Output-Calculation-sheet'!Y9*'Output-Calculation-sheet'!Y27</f>
        <v>0</v>
      </c>
      <c r="AA21" s="2">
        <f t="shared" si="0"/>
        <v>20.309474479062835</v>
      </c>
    </row>
    <row r="22" spans="1:27" x14ac:dyDescent="0.25">
      <c r="A22" s="2">
        <v>2034</v>
      </c>
      <c r="B22" s="2">
        <f>B11/'Output-Calculation-sheet'!B10*'Output-Calculation-sheet'!B28</f>
        <v>8436.7281879369366</v>
      </c>
      <c r="C22" s="2">
        <f>C11/'Output-Calculation-sheet'!C10*'Output-Calculation-sheet'!C28</f>
        <v>8173.7782246897787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3571.1483063171063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2444.8391286285187</v>
      </c>
      <c r="N22" s="2">
        <f>N11/'Output-Calculation-sheet'!N10*'Output-Calculation-sheet'!N28</f>
        <v>1960.4712747054336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799.73848102455929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236.87351411510426</v>
      </c>
      <c r="Y22" s="2">
        <f>Y11/'Output-Calculation-sheet'!Y10*'Output-Calculation-sheet'!Y28</f>
        <v>0</v>
      </c>
      <c r="AA22" s="2">
        <f t="shared" si="0"/>
        <v>25.62357711741744</v>
      </c>
    </row>
    <row r="23" spans="1:27" x14ac:dyDescent="0.25">
      <c r="A23" s="2">
        <v>2035</v>
      </c>
      <c r="B23" s="2">
        <f>B12/'Output-Calculation-sheet'!B11*'Output-Calculation-sheet'!B29</f>
        <v>10744.119081341974</v>
      </c>
      <c r="C23" s="2">
        <f>C12/'Output-Calculation-sheet'!C11*'Output-Calculation-sheet'!C29</f>
        <v>8803.996570921563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3756.1732658139272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2567.4936035089063</v>
      </c>
      <c r="N23" s="2">
        <f>N12/'Output-Calculation-sheet'!N11*'Output-Calculation-sheet'!N29</f>
        <v>2098.7035366944706</v>
      </c>
      <c r="O23" s="2">
        <f>O12/'Output-Calculation-sheet'!O11*'Output-Calculation-sheet'!O29</f>
        <v>1496.8946557667455</v>
      </c>
      <c r="P23" s="2">
        <f>P12/'Output-Calculation-sheet'!P11*'Output-Calculation-sheet'!P29</f>
        <v>0</v>
      </c>
      <c r="Q23" s="2">
        <f>Q12/'Output-Calculation-sheet'!Q11*'Output-Calculation-sheet'!Q29</f>
        <v>28.644850261450777</v>
      </c>
      <c r="R23" s="2">
        <f>R12/'Output-Calculation-sheet'!R11*'Output-Calculation-sheet'!R29</f>
        <v>0</v>
      </c>
      <c r="S23" s="2">
        <f>S12/'Output-Calculation-sheet'!S11*'Output-Calculation-sheet'!S29</f>
        <v>921.65997567117518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251.68337128732855</v>
      </c>
      <c r="Y23" s="2">
        <f>Y12/'Output-Calculation-sheet'!Y11*'Output-Calculation-sheet'!Y29</f>
        <v>0</v>
      </c>
      <c r="AA23" s="2">
        <f t="shared" si="0"/>
        <v>30.669368911267533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8969.926294256602</v>
      </c>
      <c r="C27" s="2">
        <f>C5/'Output-Calculation-sheet'!C4*'Output-Calculation-sheet'!C13</f>
        <v>0</v>
      </c>
      <c r="D27" s="2">
        <f>D5/'Output-Calculation-sheet'!D4*'Output-Calculation-sheet'!D13</f>
        <v>2896.8118516387653</v>
      </c>
      <c r="E27" s="2">
        <f>E5/'Output-Calculation-sheet'!E4*'Output-Calculation-sheet'!E13</f>
        <v>2955.1996595598139</v>
      </c>
      <c r="F27" s="2">
        <f>F5/'Output-Calculation-sheet'!F4*'Output-Calculation-sheet'!F13</f>
        <v>1678.7357198057578</v>
      </c>
      <c r="G27" s="2">
        <f>G5/'Output-Calculation-sheet'!G4*'Output-Calculation-sheet'!G13</f>
        <v>1018.0627903483304</v>
      </c>
      <c r="H27" s="2">
        <f>H5/'Output-Calculation-sheet'!H4*'Output-Calculation-sheet'!H13</f>
        <v>0</v>
      </c>
      <c r="I27" s="2">
        <f>I5/'Output-Calculation-sheet'!I4*'Output-Calculation-sheet'!I13</f>
        <v>1017.3102620508267</v>
      </c>
      <c r="J27" s="2">
        <f>J5/'Output-Calculation-sheet'!J4*'Output-Calculation-sheet'!J13</f>
        <v>935.245890013289</v>
      </c>
      <c r="K27" s="2">
        <f>K5/'Output-Calculation-sheet'!K4*'Output-Calculation-sheet'!K13</f>
        <v>1140.0845893762462</v>
      </c>
      <c r="L27" s="2">
        <f>L5/'Output-Calculation-sheet'!L4*'Output-Calculation-sheet'!L13</f>
        <v>945.33125398479945</v>
      </c>
      <c r="M27" s="2">
        <f>M5/'Output-Calculation-sheet'!M4*'Output-Calculation-sheet'!M13</f>
        <v>0</v>
      </c>
      <c r="N27" s="2">
        <f>N5/'Output-Calculation-sheet'!N4*'Output-Calculation-sheet'!N13</f>
        <v>614.0689978991835</v>
      </c>
      <c r="O27" s="2">
        <f>O5/'Output-Calculation-sheet'!O4*'Output-Calculation-sheet'!O13</f>
        <v>0</v>
      </c>
      <c r="P27" s="2">
        <f>P5/'Output-Calculation-sheet'!P4*'Output-Calculation-sheet'!P13</f>
        <v>738.78330105439738</v>
      </c>
      <c r="Q27" s="2">
        <f>Q5/'Output-Calculation-sheet'!Q4*'Output-Calculation-sheet'!Q13</f>
        <v>797.01630657061492</v>
      </c>
      <c r="R27" s="2">
        <f>R5/'Output-Calculation-sheet'!R4*'Output-Calculation-sheet'!R13</f>
        <v>719.2927449293843</v>
      </c>
      <c r="S27" s="2">
        <f>S5/'Output-Calculation-sheet'!S4*'Output-Calculation-sheet'!S13</f>
        <v>431.79892974432403</v>
      </c>
      <c r="T27" s="2">
        <f>T5/'Output-Calculation-sheet'!T4*'Output-Calculation-sheet'!T13</f>
        <v>264.40956595950104</v>
      </c>
      <c r="U27" s="2">
        <f>U5/'Output-Calculation-sheet'!U4*'Output-Calculation-sheet'!U13</f>
        <v>201.9153050149969</v>
      </c>
      <c r="V27" s="2">
        <f>V5/'Output-Calculation-sheet'!V4*'Output-Calculation-sheet'!V13</f>
        <v>193.42744364782652</v>
      </c>
      <c r="W27" s="2">
        <f>W5/'Output-Calculation-sheet'!W4*'Output-Calculation-sheet'!W13</f>
        <v>135.37298936876249</v>
      </c>
      <c r="X27" s="2">
        <f>X5/'Output-Calculation-sheet'!X4*'Output-Calculation-sheet'!X13</f>
        <v>0</v>
      </c>
      <c r="Y27" s="2">
        <f>Y5/'Output-Calculation-sheet'!Y4*'Output-Calculation-sheet'!Y13</f>
        <v>88.859631842540509</v>
      </c>
      <c r="AA27" s="2">
        <f t="shared" ref="AA27:AA34" si="1">SUM(B27:Y27)/1000</f>
        <v>25.741653527065964</v>
      </c>
    </row>
    <row r="28" spans="1:27" x14ac:dyDescent="0.25">
      <c r="A28" s="2">
        <v>2029</v>
      </c>
      <c r="B28" s="2">
        <f>B6/'Output-Calculation-sheet'!B5*'Output-Calculation-sheet'!B14</f>
        <v>12779.040034731768</v>
      </c>
      <c r="C28" s="2">
        <f>C6/'Output-Calculation-sheet'!C5*'Output-Calculation-sheet'!C14</f>
        <v>0</v>
      </c>
      <c r="D28" s="2">
        <f>D6/'Output-Calculation-sheet'!D5*'Output-Calculation-sheet'!D14</f>
        <v>4065.0952735208048</v>
      </c>
      <c r="E28" s="2">
        <f>E6/'Output-Calculation-sheet'!E5*'Output-Calculation-sheet'!E14</f>
        <v>4174.4157888742584</v>
      </c>
      <c r="F28" s="2">
        <f>F6/'Output-Calculation-sheet'!F5*'Output-Calculation-sheet'!F14</f>
        <v>2353.9437307853668</v>
      </c>
      <c r="G28" s="2">
        <f>G6/'Output-Calculation-sheet'!G5*'Output-Calculation-sheet'!G14</f>
        <v>1426.1730245532369</v>
      </c>
      <c r="H28" s="2">
        <f>H6/'Output-Calculation-sheet'!H5*'Output-Calculation-sheet'!H14</f>
        <v>0</v>
      </c>
      <c r="I28" s="2">
        <f>I6/'Output-Calculation-sheet'!I5*'Output-Calculation-sheet'!I14</f>
        <v>1432.4364589543388</v>
      </c>
      <c r="J28" s="2">
        <f>J6/'Output-Calculation-sheet'!J5*'Output-Calculation-sheet'!J14</f>
        <v>1312.6817060850306</v>
      </c>
      <c r="K28" s="2">
        <f>K6/'Output-Calculation-sheet'!K5*'Output-Calculation-sheet'!K14</f>
        <v>1609.9904127531968</v>
      </c>
      <c r="L28" s="2">
        <f>L6/'Output-Calculation-sheet'!L5*'Output-Calculation-sheet'!L14</f>
        <v>1331.5230569250796</v>
      </c>
      <c r="M28" s="2">
        <f>M6/'Output-Calculation-sheet'!M5*'Output-Calculation-sheet'!M14</f>
        <v>0</v>
      </c>
      <c r="N28" s="2">
        <f>N6/'Output-Calculation-sheet'!N5*'Output-Calculation-sheet'!N14</f>
        <v>844.13572965717674</v>
      </c>
      <c r="O28" s="2">
        <f>O6/'Output-Calculation-sheet'!O5*'Output-Calculation-sheet'!O14</f>
        <v>0</v>
      </c>
      <c r="P28" s="2">
        <f>P6/'Output-Calculation-sheet'!P5*'Output-Calculation-sheet'!P14</f>
        <v>1054.2386522009647</v>
      </c>
      <c r="Q28" s="2">
        <f>Q6/'Output-Calculation-sheet'!Q5*'Output-Calculation-sheet'!Q14</f>
        <v>1144.3941278729947</v>
      </c>
      <c r="R28" s="2">
        <f>R6/'Output-Calculation-sheet'!R5*'Output-Calculation-sheet'!R14</f>
        <v>1017.5357025492629</v>
      </c>
      <c r="S28" s="2">
        <f>S6/'Output-Calculation-sheet'!S5*'Output-Calculation-sheet'!S14</f>
        <v>623.71637297207519</v>
      </c>
      <c r="T28" s="2">
        <f>T6/'Output-Calculation-sheet'!T5*'Output-Calculation-sheet'!T14</f>
        <v>372.03441370894404</v>
      </c>
      <c r="U28" s="2">
        <f>U6/'Output-Calculation-sheet'!U5*'Output-Calculation-sheet'!U14</f>
        <v>285.40284641845471</v>
      </c>
      <c r="V28" s="2">
        <f>V6/'Output-Calculation-sheet'!V5*'Output-Calculation-sheet'!V14</f>
        <v>272.98249783361518</v>
      </c>
      <c r="W28" s="2">
        <f>W6/'Output-Calculation-sheet'!W5*'Output-Calculation-sheet'!W14</f>
        <v>190.49386096810699</v>
      </c>
      <c r="X28" s="2">
        <f>X6/'Output-Calculation-sheet'!X5*'Output-Calculation-sheet'!X14</f>
        <v>0</v>
      </c>
      <c r="Y28" s="2">
        <f>Y6/'Output-Calculation-sheet'!Y5*'Output-Calculation-sheet'!Y14</f>
        <v>125.25843350925551</v>
      </c>
      <c r="AA28" s="2">
        <f t="shared" si="1"/>
        <v>36.415492124873936</v>
      </c>
    </row>
    <row r="29" spans="1:27" x14ac:dyDescent="0.25">
      <c r="A29" s="2">
        <v>2030</v>
      </c>
      <c r="B29" s="2">
        <f>B7/'Output-Calculation-sheet'!B6*'Output-Calculation-sheet'!B15</f>
        <v>16562.287039378967</v>
      </c>
      <c r="C29" s="2">
        <f>C7/'Output-Calculation-sheet'!C6*'Output-Calculation-sheet'!C15</f>
        <v>0</v>
      </c>
      <c r="D29" s="2">
        <f>D7/'Output-Calculation-sheet'!D6*'Output-Calculation-sheet'!D15</f>
        <v>5206.2880240946552</v>
      </c>
      <c r="E29" s="2">
        <f>E7/'Output-Calculation-sheet'!E6*'Output-Calculation-sheet'!E15</f>
        <v>5367.0070014605262</v>
      </c>
      <c r="F29" s="2">
        <f>F7/'Output-Calculation-sheet'!F6*'Output-Calculation-sheet'!F15</f>
        <v>3010.4370053739203</v>
      </c>
      <c r="G29" s="2">
        <f>G7/'Output-Calculation-sheet'!G6*'Output-Calculation-sheet'!G15</f>
        <v>1820.8865272024243</v>
      </c>
      <c r="H29" s="2">
        <f>H7/'Output-Calculation-sheet'!H6*'Output-Calculation-sheet'!H15</f>
        <v>0</v>
      </c>
      <c r="I29" s="2">
        <f>I7/'Output-Calculation-sheet'!I6*'Output-Calculation-sheet'!I15</f>
        <v>1834.7308492356367</v>
      </c>
      <c r="J29" s="2">
        <f>J7/'Output-Calculation-sheet'!J6*'Output-Calculation-sheet'!J15</f>
        <v>1678.3204698292923</v>
      </c>
      <c r="K29" s="2">
        <f>K7/'Output-Calculation-sheet'!K6*'Output-Calculation-sheet'!K15</f>
        <v>2066.4674589858942</v>
      </c>
      <c r="L29" s="2">
        <f>L7/'Output-Calculation-sheet'!L6*'Output-Calculation-sheet'!L15</f>
        <v>1713.24891664391</v>
      </c>
      <c r="M29" s="2">
        <f>M7/'Output-Calculation-sheet'!M6*'Output-Calculation-sheet'!M15</f>
        <v>0</v>
      </c>
      <c r="N29" s="2">
        <f>N7/'Output-Calculation-sheet'!N6*'Output-Calculation-sheet'!N15</f>
        <v>971.5239269481051</v>
      </c>
      <c r="O29" s="2">
        <f>O7/'Output-Calculation-sheet'!O6*'Output-Calculation-sheet'!O15</f>
        <v>0</v>
      </c>
      <c r="P29" s="2">
        <f>P7/'Output-Calculation-sheet'!P6*'Output-Calculation-sheet'!P15</f>
        <v>1361.9272927686075</v>
      </c>
      <c r="Q29" s="2">
        <f>Q7/'Output-Calculation-sheet'!Q6*'Output-Calculation-sheet'!Q15</f>
        <v>1487.7109373751125</v>
      </c>
      <c r="R29" s="2">
        <f>R7/'Output-Calculation-sheet'!R6*'Output-Calculation-sheet'!R15</f>
        <v>1309.9762010223048</v>
      </c>
      <c r="S29" s="2">
        <f>S7/'Output-Calculation-sheet'!S6*'Output-Calculation-sheet'!S15</f>
        <v>749.00530659750882</v>
      </c>
      <c r="T29" s="2">
        <f>T7/'Output-Calculation-sheet'!T6*'Output-Calculation-sheet'!T15</f>
        <v>477.61714626322271</v>
      </c>
      <c r="U29" s="2">
        <f>U7/'Output-Calculation-sheet'!U6*'Output-Calculation-sheet'!U15</f>
        <v>366.98735498790091</v>
      </c>
      <c r="V29" s="2">
        <f>V7/'Output-Calculation-sheet'!V6*'Output-Calculation-sheet'!V15</f>
        <v>351.27159667851555</v>
      </c>
      <c r="W29" s="2">
        <f>W7/'Output-Calculation-sheet'!W6*'Output-Calculation-sheet'!W15</f>
        <v>244.60735484863318</v>
      </c>
      <c r="X29" s="2">
        <f>X7/'Output-Calculation-sheet'!X6*'Output-Calculation-sheet'!X15</f>
        <v>0</v>
      </c>
      <c r="Y29" s="2">
        <f>Y7/'Output-Calculation-sheet'!Y6*'Output-Calculation-sheet'!Y15</f>
        <v>161.11952483526542</v>
      </c>
      <c r="AA29" s="2">
        <f t="shared" si="1"/>
        <v>46.741419934530391</v>
      </c>
    </row>
    <row r="30" spans="1:27" x14ac:dyDescent="0.25">
      <c r="A30" s="2">
        <v>2031</v>
      </c>
      <c r="B30" s="2">
        <f>B8/'Output-Calculation-sheet'!B7*'Output-Calculation-sheet'!B16</f>
        <v>19993.9308539985</v>
      </c>
      <c r="C30" s="2">
        <f>C8/'Output-Calculation-sheet'!C7*'Output-Calculation-sheet'!C16</f>
        <v>0</v>
      </c>
      <c r="D30" s="2">
        <f>D8/'Output-Calculation-sheet'!D7*'Output-Calculation-sheet'!D16</f>
        <v>6241.3859900158468</v>
      </c>
      <c r="E30" s="2">
        <f>E8/'Output-Calculation-sheet'!E7*'Output-Calculation-sheet'!E16</f>
        <v>6455.708164583838</v>
      </c>
      <c r="F30" s="2">
        <f>F8/'Output-Calculation-sheet'!F7*'Output-Calculation-sheet'!F16</f>
        <v>3616.731733982635</v>
      </c>
      <c r="G30" s="2">
        <f>G8/'Output-Calculation-sheet'!G7*'Output-Calculation-sheet'!G16</f>
        <v>2181.2847210709497</v>
      </c>
      <c r="H30" s="2">
        <f>H8/'Output-Calculation-sheet'!H7*'Output-Calculation-sheet'!H16</f>
        <v>0</v>
      </c>
      <c r="I30" s="2">
        <f>I8/'Output-Calculation-sheet'!I7*'Output-Calculation-sheet'!I16</f>
        <v>2207.7022754915174</v>
      </c>
      <c r="J30" s="2">
        <f>J8/'Output-Calculation-sheet'!J7*'Output-Calculation-sheet'!J16</f>
        <v>2015.092499181698</v>
      </c>
      <c r="K30" s="2">
        <f>K8/'Output-Calculation-sheet'!K7*'Output-Calculation-sheet'!K16</f>
        <v>2492.1217254450671</v>
      </c>
      <c r="L30" s="2">
        <f>L8/'Output-Calculation-sheet'!L7*'Output-Calculation-sheet'!L16</f>
        <v>2056.6513903416999</v>
      </c>
      <c r="M30" s="2">
        <f>M8/'Output-Calculation-sheet'!M7*'Output-Calculation-sheet'!M16</f>
        <v>0</v>
      </c>
      <c r="N30" s="2">
        <f>N8/'Output-Calculation-sheet'!N7*'Output-Calculation-sheet'!N16</f>
        <v>1009.1079029218827</v>
      </c>
      <c r="O30" s="2">
        <f>O8/'Output-Calculation-sheet'!O7*'Output-Calculation-sheet'!O16</f>
        <v>0</v>
      </c>
      <c r="P30" s="2">
        <f>P8/'Output-Calculation-sheet'!P7*'Output-Calculation-sheet'!P16</f>
        <v>1639.2480365260526</v>
      </c>
      <c r="Q30" s="2">
        <f>Q8/'Output-Calculation-sheet'!Q7*'Output-Calculation-sheet'!Q16</f>
        <v>1797.9781779783718</v>
      </c>
      <c r="R30" s="2">
        <f>R8/'Output-Calculation-sheet'!R7*'Output-Calculation-sheet'!R16</f>
        <v>1575.2629184777643</v>
      </c>
      <c r="S30" s="2">
        <f>S8/'Output-Calculation-sheet'!S7*'Output-Calculation-sheet'!S16</f>
        <v>841.24904202765458</v>
      </c>
      <c r="T30" s="2">
        <f>T8/'Output-Calculation-sheet'!T7*'Output-Calculation-sheet'!T16</f>
        <v>574.68822911303801</v>
      </c>
      <c r="U30" s="2">
        <f>U8/'Output-Calculation-sheet'!U7*'Output-Calculation-sheet'!U16</f>
        <v>441.68882567421952</v>
      </c>
      <c r="V30" s="2">
        <f>V8/'Output-Calculation-sheet'!V7*'Output-Calculation-sheet'!V16</f>
        <v>422.9552753349401</v>
      </c>
      <c r="W30" s="2">
        <f>W8/'Output-Calculation-sheet'!W7*'Output-Calculation-sheet'!W16</f>
        <v>293.63065183040612</v>
      </c>
      <c r="X30" s="2">
        <f>X8/'Output-Calculation-sheet'!X7*'Output-Calculation-sheet'!X16</f>
        <v>0</v>
      </c>
      <c r="Y30" s="2">
        <f>Y8/'Output-Calculation-sheet'!Y7*'Output-Calculation-sheet'!Y16</f>
        <v>194.12113493509588</v>
      </c>
      <c r="AA30" s="2">
        <f t="shared" si="1"/>
        <v>56.050539548931162</v>
      </c>
    </row>
    <row r="31" spans="1:27" x14ac:dyDescent="0.25">
      <c r="A31" s="2">
        <v>2032</v>
      </c>
      <c r="B31" s="2">
        <f>B9/'Output-Calculation-sheet'!B8*'Output-Calculation-sheet'!B17</f>
        <v>22861.889937983116</v>
      </c>
      <c r="C31" s="2">
        <f>C9/'Output-Calculation-sheet'!C8*'Output-Calculation-sheet'!C17</f>
        <v>0</v>
      </c>
      <c r="D31" s="2">
        <f>D9/'Output-Calculation-sheet'!D8*'Output-Calculation-sheet'!D17</f>
        <v>7087.6669663927469</v>
      </c>
      <c r="E31" s="2">
        <f>E9/'Output-Calculation-sheet'!E8*'Output-Calculation-sheet'!E17</f>
        <v>7340.0874143596229</v>
      </c>
      <c r="F31" s="2">
        <f>F9/'Output-Calculation-sheet'!F8*'Output-Calculation-sheet'!F17</f>
        <v>4100.6102644038365</v>
      </c>
      <c r="G31" s="2">
        <f>G9/'Output-Calculation-sheet'!G8*'Output-Calculation-sheet'!G17</f>
        <v>2472.0114122805917</v>
      </c>
      <c r="H31" s="2">
        <f>H9/'Output-Calculation-sheet'!H8*'Output-Calculation-sheet'!H17</f>
        <v>0</v>
      </c>
      <c r="I31" s="2">
        <f>I9/'Output-Calculation-sheet'!I8*'Output-Calculation-sheet'!I17</f>
        <v>2506.3150790504151</v>
      </c>
      <c r="J31" s="2">
        <f>J9/'Output-Calculation-sheet'!J8*'Output-Calculation-sheet'!J17</f>
        <v>2285.9259212552511</v>
      </c>
      <c r="K31" s="2">
        <f>K9/'Output-Calculation-sheet'!K8*'Output-Calculation-sheet'!K17</f>
        <v>2831.5306173380532</v>
      </c>
      <c r="L31" s="2">
        <f>L9/'Output-Calculation-sheet'!L8*'Output-Calculation-sheet'!L17</f>
        <v>2337.3857989185749</v>
      </c>
      <c r="M31" s="2">
        <f>M9/'Output-Calculation-sheet'!M8*'Output-Calculation-sheet'!M17</f>
        <v>0</v>
      </c>
      <c r="N31" s="2">
        <f>N9/'Output-Calculation-sheet'!N8*'Output-Calculation-sheet'!N17</f>
        <v>1033.9237579480769</v>
      </c>
      <c r="O31" s="2">
        <f>O9/'Output-Calculation-sheet'!O8*'Output-Calculation-sheet'!O17</f>
        <v>0</v>
      </c>
      <c r="P31" s="2">
        <f>P9/'Output-Calculation-sheet'!P8*'Output-Calculation-sheet'!P17</f>
        <v>1880.3554717008419</v>
      </c>
      <c r="Q31" s="2">
        <f>Q9/'Output-Calculation-sheet'!Q8*'Output-Calculation-sheet'!Q17</f>
        <v>2060.6920230881724</v>
      </c>
      <c r="R31" s="2">
        <f>R9/'Output-Calculation-sheet'!R8*'Output-Calculation-sheet'!R17</f>
        <v>1789.2110061893402</v>
      </c>
      <c r="S31" s="2">
        <f>S9/'Output-Calculation-sheet'!S8*'Output-Calculation-sheet'!S17</f>
        <v>892.72708395456834</v>
      </c>
      <c r="T31" s="2">
        <f>T9/'Output-Calculation-sheet'!T8*'Output-Calculation-sheet'!T17</f>
        <v>652.00577407665173</v>
      </c>
      <c r="U31" s="2">
        <f>U9/'Output-Calculation-sheet'!U8*'Output-Calculation-sheet'!U17</f>
        <v>502.85857190173874</v>
      </c>
      <c r="V31" s="2">
        <f>V9/'Output-Calculation-sheet'!V8*'Output-Calculation-sheet'!V17</f>
        <v>481.88718386938427</v>
      </c>
      <c r="W31" s="2">
        <f>W9/'Output-Calculation-sheet'!W8*'Output-Calculation-sheet'!W17</f>
        <v>333.68593064419861</v>
      </c>
      <c r="X31" s="2">
        <f>X9/'Output-Calculation-sheet'!X8*'Output-Calculation-sheet'!X17</f>
        <v>0</v>
      </c>
      <c r="Y31" s="2">
        <f>Y9/'Output-Calculation-sheet'!Y8*'Output-Calculation-sheet'!Y17</f>
        <v>220.59947544424449</v>
      </c>
      <c r="AA31" s="2">
        <f t="shared" si="1"/>
        <v>63.671369690799416</v>
      </c>
    </row>
    <row r="32" spans="1:27" x14ac:dyDescent="0.25">
      <c r="A32" s="2">
        <v>2033</v>
      </c>
      <c r="B32" s="2">
        <f>B10/'Output-Calculation-sheet'!B9*'Output-Calculation-sheet'!B18</f>
        <v>23031.89075429428</v>
      </c>
      <c r="C32" s="2">
        <f>C10/'Output-Calculation-sheet'!C9*'Output-Calculation-sheet'!C18</f>
        <v>0</v>
      </c>
      <c r="D32" s="2">
        <f>D10/'Output-Calculation-sheet'!D9*'Output-Calculation-sheet'!D18</f>
        <v>7689.0639375989958</v>
      </c>
      <c r="E32" s="2">
        <f>E10/'Output-Calculation-sheet'!E9*'Output-Calculation-sheet'!E18</f>
        <v>7962.203062487054</v>
      </c>
      <c r="F32" s="2">
        <f>F10/'Output-Calculation-sheet'!F9*'Output-Calculation-sheet'!F18</f>
        <v>4447.4102710546649</v>
      </c>
      <c r="G32" s="2">
        <f>G10/'Output-Calculation-sheet'!G9*'Output-Calculation-sheet'!G18</f>
        <v>2682.3017694073906</v>
      </c>
      <c r="H32" s="2">
        <f>H10/'Output-Calculation-sheet'!H9*'Output-Calculation-sheet'!H18</f>
        <v>0</v>
      </c>
      <c r="I32" s="2">
        <f>I10/'Output-Calculation-sheet'!I9*'Output-Calculation-sheet'!I18</f>
        <v>2719.2067103285435</v>
      </c>
      <c r="J32" s="2">
        <f>J10/'Output-Calculation-sheet'!J9*'Output-Calculation-sheet'!J18</f>
        <v>2480.0658300513774</v>
      </c>
      <c r="K32" s="2">
        <f>K10/'Output-Calculation-sheet'!K9*'Output-Calculation-sheet'!K18</f>
        <v>3079.0396301569176</v>
      </c>
      <c r="L32" s="2">
        <f>L10/'Output-Calculation-sheet'!L9*'Output-Calculation-sheet'!L18</f>
        <v>2537.5231277009011</v>
      </c>
      <c r="M32" s="2">
        <f>M10/'Output-Calculation-sheet'!M9*'Output-Calculation-sheet'!M18</f>
        <v>0</v>
      </c>
      <c r="N32" s="2">
        <f>N10/'Output-Calculation-sheet'!N9*'Output-Calculation-sheet'!N18</f>
        <v>1004.386023450989</v>
      </c>
      <c r="O32" s="2">
        <f>O10/'Output-Calculation-sheet'!O9*'Output-Calculation-sheet'!O18</f>
        <v>0</v>
      </c>
      <c r="P32" s="2">
        <f>P10/'Output-Calculation-sheet'!P9*'Output-Calculation-sheet'!P18</f>
        <v>2055.0114686800453</v>
      </c>
      <c r="Q32" s="2">
        <f>Q10/'Output-Calculation-sheet'!Q9*'Output-Calculation-sheet'!Q18</f>
        <v>2253.8018514567002</v>
      </c>
      <c r="R32" s="2">
        <f>R10/'Output-Calculation-sheet'!R9*'Output-Calculation-sheet'!R18</f>
        <v>1946.7273270130356</v>
      </c>
      <c r="S32" s="2">
        <f>S10/'Output-Calculation-sheet'!S9*'Output-Calculation-sheet'!S18</f>
        <v>906.13690667180072</v>
      </c>
      <c r="T32" s="2">
        <f>T10/'Output-Calculation-sheet'!T9*'Output-Calculation-sheet'!T18</f>
        <v>708.11608879510061</v>
      </c>
      <c r="U32" s="2">
        <f>U10/'Output-Calculation-sheet'!U9*'Output-Calculation-sheet'!U18</f>
        <v>546.11479980113916</v>
      </c>
      <c r="V32" s="2">
        <f>V10/'Output-Calculation-sheet'!V9*'Output-Calculation-sheet'!V18</f>
        <v>523.90768062047493</v>
      </c>
      <c r="W32" s="2">
        <f>W10/'Output-Calculation-sheet'!W9*'Output-Calculation-sheet'!W18</f>
        <v>361.50869950196613</v>
      </c>
      <c r="X32" s="2">
        <f>X10/'Output-Calculation-sheet'!X9*'Output-Calculation-sheet'!X18</f>
        <v>0</v>
      </c>
      <c r="Y32" s="2">
        <f>Y10/'Output-Calculation-sheet'!Y9*'Output-Calculation-sheet'!Y18</f>
        <v>239.69914180979637</v>
      </c>
      <c r="AA32" s="2">
        <f t="shared" si="1"/>
        <v>67.174115080881165</v>
      </c>
    </row>
    <row r="33" spans="1:27" x14ac:dyDescent="0.25">
      <c r="A33" s="2">
        <v>2034</v>
      </c>
      <c r="B33" s="2">
        <f>B11/'Output-Calculation-sheet'!B10*'Output-Calculation-sheet'!B19</f>
        <v>22828.454816693044</v>
      </c>
      <c r="C33" s="2">
        <f>C11/'Output-Calculation-sheet'!C10*'Output-Calculation-sheet'!C19</f>
        <v>0</v>
      </c>
      <c r="D33" s="2">
        <f>D11/'Output-Calculation-sheet'!D10*'Output-Calculation-sheet'!D19</f>
        <v>8071.680159407777</v>
      </c>
      <c r="E33" s="2">
        <f>E11/'Output-Calculation-sheet'!E10*'Output-Calculation-sheet'!E19</f>
        <v>8378.1148181272474</v>
      </c>
      <c r="F33" s="2">
        <f>F11/'Output-Calculation-sheet'!F10*'Output-Calculation-sheet'!F19</f>
        <v>4671.1065654687418</v>
      </c>
      <c r="G33" s="2">
        <f>G11/'Output-Calculation-sheet'!G10*'Output-Calculation-sheet'!G19</f>
        <v>2812.8016654312605</v>
      </c>
      <c r="H33" s="2">
        <f>H11/'Output-Calculation-sheet'!H10*'Output-Calculation-sheet'!H19</f>
        <v>0</v>
      </c>
      <c r="I33" s="2">
        <f>I11/'Output-Calculation-sheet'!I10*'Output-Calculation-sheet'!I19</f>
        <v>2864.8414099151801</v>
      </c>
      <c r="J33" s="2">
        <f>J11/'Output-Calculation-sheet'!J10*'Output-Calculation-sheet'!J19</f>
        <v>2603.6539845324151</v>
      </c>
      <c r="K33" s="2">
        <f>K11/'Output-Calculation-sheet'!K10*'Output-Calculation-sheet'!K19</f>
        <v>3243.02375999073</v>
      </c>
      <c r="L33" s="2">
        <f>L11/'Output-Calculation-sheet'!L10*'Output-Calculation-sheet'!L19</f>
        <v>2667.343721520594</v>
      </c>
      <c r="M33" s="2">
        <f>M11/'Output-Calculation-sheet'!M10*'Output-Calculation-sheet'!M19</f>
        <v>0</v>
      </c>
      <c r="N33" s="2">
        <f>N11/'Output-Calculation-sheet'!N10*'Output-Calculation-sheet'!N19</f>
        <v>988.46644969494866</v>
      </c>
      <c r="O33" s="2">
        <f>O11/'Output-Calculation-sheet'!O10*'Output-Calculation-sheet'!O19</f>
        <v>0</v>
      </c>
      <c r="P33" s="2">
        <f>P11/'Output-Calculation-sheet'!P10*'Output-Calculation-sheet'!P19</f>
        <v>2174.1307125377948</v>
      </c>
      <c r="Q33" s="2">
        <f>Q11/'Output-Calculation-sheet'!Q10*'Output-Calculation-sheet'!Q19</f>
        <v>2388.5054122443935</v>
      </c>
      <c r="R33" s="2">
        <f>R11/'Output-Calculation-sheet'!R10*'Output-Calculation-sheet'!R19</f>
        <v>2049.7272359989038</v>
      </c>
      <c r="S33" s="2">
        <f>S11/'Output-Calculation-sheet'!S10*'Output-Calculation-sheet'!S19</f>
        <v>945.36513457330932</v>
      </c>
      <c r="T33" s="2">
        <f>T11/'Output-Calculation-sheet'!T10*'Output-Calculation-sheet'!T19</f>
        <v>744.8875177560767</v>
      </c>
      <c r="U33" s="2">
        <f>U11/'Output-Calculation-sheet'!U10*'Output-Calculation-sheet'!U19</f>
        <v>576.41591833188068</v>
      </c>
      <c r="V33" s="2">
        <f>V11/'Output-Calculation-sheet'!V10*'Output-Calculation-sheet'!V19</f>
        <v>552.59032076274798</v>
      </c>
      <c r="W33" s="2">
        <f>W11/'Output-Calculation-sheet'!W10*'Output-Calculation-sheet'!W19</f>
        <v>379.65108191346354</v>
      </c>
      <c r="X33" s="2">
        <f>X11/'Output-Calculation-sheet'!X10*'Output-Calculation-sheet'!X19</f>
        <v>0</v>
      </c>
      <c r="Y33" s="2">
        <f>Y11/'Output-Calculation-sheet'!Y10*'Output-Calculation-sheet'!Y19</f>
        <v>252.07372148863675</v>
      </c>
      <c r="AA33" s="2">
        <f t="shared" si="1"/>
        <v>69.192834406389125</v>
      </c>
    </row>
    <row r="34" spans="1:27" x14ac:dyDescent="0.25">
      <c r="A34" s="2">
        <v>2035</v>
      </c>
      <c r="B34" s="2">
        <f>B12/'Output-Calculation-sheet'!B11*'Output-Calculation-sheet'!B20</f>
        <v>22457.904853941222</v>
      </c>
      <c r="C34" s="2">
        <f>C12/'Output-Calculation-sheet'!C11*'Output-Calculation-sheet'!C20</f>
        <v>0</v>
      </c>
      <c r="D34" s="2">
        <f>D12/'Output-Calculation-sheet'!D11*'Output-Calculation-sheet'!D20</f>
        <v>8305.6418942701894</v>
      </c>
      <c r="E34" s="2">
        <f>E12/'Output-Calculation-sheet'!E11*'Output-Calculation-sheet'!E20</f>
        <v>8617.4175136932918</v>
      </c>
      <c r="F34" s="2">
        <f>F12/'Output-Calculation-sheet'!F11*'Output-Calculation-sheet'!F20</f>
        <v>4797.4864656132613</v>
      </c>
      <c r="G34" s="2">
        <f>G12/'Output-Calculation-sheet'!G11*'Output-Calculation-sheet'!G20</f>
        <v>2882.5380861805465</v>
      </c>
      <c r="H34" s="2">
        <f>H12/'Output-Calculation-sheet'!H11*'Output-Calculation-sheet'!H20</f>
        <v>0</v>
      </c>
      <c r="I34" s="2">
        <f>I12/'Output-Calculation-sheet'!I11*'Output-Calculation-sheet'!I20</f>
        <v>2944.1985056458093</v>
      </c>
      <c r="J34" s="2">
        <f>J12/'Output-Calculation-sheet'!J11*'Output-Calculation-sheet'!J20</f>
        <v>2666.4844354336451</v>
      </c>
      <c r="K34" s="2">
        <f>K12/'Output-Calculation-sheet'!K11*'Output-Calculation-sheet'!K20</f>
        <v>3335.6203949228639</v>
      </c>
      <c r="L34" s="2">
        <f>L12/'Output-Calculation-sheet'!L11*'Output-Calculation-sheet'!L20</f>
        <v>2738.7559777702909</v>
      </c>
      <c r="M34" s="2">
        <f>M12/'Output-Calculation-sheet'!M11*'Output-Calculation-sheet'!M20</f>
        <v>0</v>
      </c>
      <c r="N34" s="2">
        <f>N12/'Output-Calculation-sheet'!N11*'Output-Calculation-sheet'!N20</f>
        <v>963.52641563700195</v>
      </c>
      <c r="O34" s="2">
        <f>O12/'Output-Calculation-sheet'!O11*'Output-Calculation-sheet'!O20</f>
        <v>0</v>
      </c>
      <c r="P34" s="2">
        <f>P12/'Output-Calculation-sheet'!P11*'Output-Calculation-sheet'!P20</f>
        <v>2248.9260083769964</v>
      </c>
      <c r="Q34" s="2">
        <f>Q12/'Output-Calculation-sheet'!Q11*'Output-Calculation-sheet'!Q20</f>
        <v>2466.0333734878004</v>
      </c>
      <c r="R34" s="2">
        <f>R12/'Output-Calculation-sheet'!R11*'Output-Calculation-sheet'!R20</f>
        <v>2114.6430632652928</v>
      </c>
      <c r="S34" s="2">
        <f>S12/'Output-Calculation-sheet'!S11*'Output-Calculation-sheet'!S20</f>
        <v>909.39387245864657</v>
      </c>
      <c r="T34" s="2">
        <f>T12/'Output-Calculation-sheet'!T11*'Output-Calculation-sheet'!T20</f>
        <v>765.42364515776853</v>
      </c>
      <c r="U34" s="2">
        <f>U12/'Output-Calculation-sheet'!U11*'Output-Calculation-sheet'!U20</f>
        <v>593.72292143384311</v>
      </c>
      <c r="V34" s="2">
        <f>V12/'Output-Calculation-sheet'!V11*'Output-Calculation-sheet'!V20</f>
        <v>570.19530182202618</v>
      </c>
      <c r="W34" s="2">
        <f>W12/'Output-Calculation-sheet'!W11*'Output-Calculation-sheet'!W20</f>
        <v>389.63464772696011</v>
      </c>
      <c r="X34" s="2">
        <f>X12/'Output-Calculation-sheet'!X11*'Output-Calculation-sheet'!X20</f>
        <v>0</v>
      </c>
      <c r="Y34" s="2">
        <f>Y12/'Output-Calculation-sheet'!Y11*'Output-Calculation-sheet'!Y20</f>
        <v>259.38005024262935</v>
      </c>
      <c r="AA34" s="2">
        <f t="shared" si="1"/>
        <v>70.026927427080096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3.0060100137761712</v>
      </c>
      <c r="C60" s="2">
        <f>C5*'Output-Calculation-sheet'!C49/10^9</f>
        <v>1.4212243978640822</v>
      </c>
      <c r="D60" s="2">
        <f>D5*'Output-Calculation-sheet'!D49/10^9</f>
        <v>0.66302434956235889</v>
      </c>
      <c r="E60" s="2">
        <f>E5*'Output-Calculation-sheet'!E49/10^9</f>
        <v>0.73632194821515551</v>
      </c>
      <c r="F60" s="2">
        <f>F5*'Output-Calculation-sheet'!F49/10^9</f>
        <v>0.34183244001444207</v>
      </c>
      <c r="G60" s="2">
        <f>G5*'Output-Calculation-sheet'!G49/10^9</f>
        <v>0.23545133291989423</v>
      </c>
      <c r="H60" s="2">
        <f>H5*'Output-Calculation-sheet'!H49/10^9</f>
        <v>0.44341104576312135</v>
      </c>
      <c r="I60" s="2">
        <f>I5*'Output-Calculation-sheet'!I49/10^9</f>
        <v>0.23244510856491585</v>
      </c>
      <c r="J60" s="2">
        <f>J5*'Output-Calculation-sheet'!J49/10^9</f>
        <v>0.20990640795155396</v>
      </c>
      <c r="K60" s="2">
        <f>K5*'Output-Calculation-sheet'!K49/10^9</f>
        <v>0.27057590198789888</v>
      </c>
      <c r="L60" s="2">
        <f>L5*'Output-Calculation-sheet'!L49/10^9</f>
        <v>0.22352872589046338</v>
      </c>
      <c r="M60" s="2">
        <f>M5*'Output-Calculation-sheet'!M49/10^9</f>
        <v>0.30591492868909198</v>
      </c>
      <c r="N60" s="2">
        <f>N5*'Output-Calculation-sheet'!N49/10^9</f>
        <v>0.31973718599438178</v>
      </c>
      <c r="O60" s="2">
        <f>O5*'Output-Calculation-sheet'!O49/10^9</f>
        <v>0.27614511467731345</v>
      </c>
      <c r="P60" s="2">
        <f>P5*'Output-Calculation-sheet'!P49/10^9</f>
        <v>0.23577878328658511</v>
      </c>
      <c r="Q60" s="2">
        <f>Q5*'Output-Calculation-sheet'!Q49/10^9</f>
        <v>0.24339250005258106</v>
      </c>
      <c r="R60" s="2">
        <f>R5*'Output-Calculation-sheet'!R49/10^9</f>
        <v>0.19506400726475606</v>
      </c>
      <c r="S60" s="2">
        <f>S5*'Output-Calculation-sheet'!S49/10^9</f>
        <v>0.17894048649759606</v>
      </c>
      <c r="T60" s="2">
        <f>T5*'Output-Calculation-sheet'!T49/10^9</f>
        <v>6.1199005265985831E-2</v>
      </c>
      <c r="U60" s="2">
        <f>U5*'Output-Calculation-sheet'!U49/10^9</f>
        <v>6.1157223242074898E-2</v>
      </c>
      <c r="V60" s="2">
        <f>V5*'Output-Calculation-sheet'!V49/10^9</f>
        <v>4.5795211674809592E-2</v>
      </c>
      <c r="W60" s="2">
        <f>W5*'Output-Calculation-sheet'!W49/10^9</f>
        <v>2.8713763581913399E-2</v>
      </c>
      <c r="X60" s="2">
        <f>X5*'Output-Calculation-sheet'!X49/10^9</f>
        <v>3.6143545706913818E-2</v>
      </c>
      <c r="Y60" s="2">
        <f>Y5*'Output-Calculation-sheet'!Y49/10^9</f>
        <v>2.3890595406720935E-2</v>
      </c>
      <c r="AA60" s="2">
        <f t="shared" ref="AA60:AA67" si="4">SUM(B60:Y60)</f>
        <v>9.79560402385078</v>
      </c>
    </row>
    <row r="61" spans="1:27" x14ac:dyDescent="0.25">
      <c r="A61" s="2">
        <v>2029</v>
      </c>
      <c r="B61" s="2">
        <f>B6*'Output-Calculation-sheet'!B50/10^9</f>
        <v>4.1574906383255188</v>
      </c>
      <c r="C61" s="2">
        <f>C6*'Output-Calculation-sheet'!C50/10^9</f>
        <v>1.9793042382945278</v>
      </c>
      <c r="D61" s="2">
        <f>D6*'Output-Calculation-sheet'!D50/10^9</f>
        <v>0.91410544082879996</v>
      </c>
      <c r="E61" s="2">
        <f>E6*'Output-Calculation-sheet'!E50/10^9</f>
        <v>1.0159646282404968</v>
      </c>
      <c r="F61" s="2">
        <f>F6*'Output-Calculation-sheet'!F50/10^9</f>
        <v>0.47069186001195856</v>
      </c>
      <c r="G61" s="2">
        <f>G6*'Output-Calculation-sheet'!G50/10^9</f>
        <v>0.32465289573759615</v>
      </c>
      <c r="H61" s="2">
        <f>H6*'Output-Calculation-sheet'!H50/10^9</f>
        <v>0.6135459540727739</v>
      </c>
      <c r="I61" s="2">
        <f>I6*'Output-Calculation-sheet'!I50/10^9</f>
        <v>0.32046032210889397</v>
      </c>
      <c r="J61" s="2">
        <f>J6*'Output-Calculation-sheet'!J50/10^9</f>
        <v>0.28933705547889588</v>
      </c>
      <c r="K61" s="2">
        <f>K6*'Output-Calculation-sheet'!K50/10^9</f>
        <v>0.37316510714666096</v>
      </c>
      <c r="L61" s="2">
        <f>L6*'Output-Calculation-sheet'!L50/10^9</f>
        <v>0.30827540981472162</v>
      </c>
      <c r="M61" s="2">
        <f>M6*'Output-Calculation-sheet'!M50/10^9</f>
        <v>0.4238528592022317</v>
      </c>
      <c r="N61" s="2">
        <f>N6*'Output-Calculation-sheet'!N50/10^9</f>
        <v>0.4421779470167016</v>
      </c>
      <c r="O61" s="2">
        <f>O6*'Output-Calculation-sheet'!O50/10^9</f>
        <v>0.38458050444853559</v>
      </c>
      <c r="P61" s="2">
        <f>P6*'Output-Calculation-sheet'!P50/10^9</f>
        <v>0.32597901717145639</v>
      </c>
      <c r="Q61" s="2">
        <f>Q6*'Output-Calculation-sheet'!Q50/10^9</f>
        <v>0.336386683799411</v>
      </c>
      <c r="R61" s="2">
        <f>R6*'Output-Calculation-sheet'!R50/10^9</f>
        <v>0.26934955662443572</v>
      </c>
      <c r="S61" s="2">
        <f>S6*'Output-Calculation-sheet'!S50/10^9</f>
        <v>0.24780508547046071</v>
      </c>
      <c r="T61" s="2">
        <f>T6*'Output-Calculation-sheet'!T50/10^9</f>
        <v>8.4382792647610796E-2</v>
      </c>
      <c r="U61" s="2">
        <f>U6*'Output-Calculation-sheet'!U50/10^9</f>
        <v>8.4523629867882644E-2</v>
      </c>
      <c r="V61" s="2">
        <f>V6*'Output-Calculation-sheet'!V50/10^9</f>
        <v>6.3157805943707082E-2</v>
      </c>
      <c r="W61" s="2">
        <f>W6*'Output-Calculation-sheet'!W50/10^9</f>
        <v>3.9554852242881564E-2</v>
      </c>
      <c r="X61" s="2">
        <f>X6*'Output-Calculation-sheet'!X50/10^9</f>
        <v>5.0302010066648833E-2</v>
      </c>
      <c r="Y61" s="2">
        <f>Y6*'Output-Calculation-sheet'!Y50/10^9</f>
        <v>3.2986822304259922E-2</v>
      </c>
      <c r="AA61" s="2">
        <f t="shared" si="4"/>
        <v>13.552033116867067</v>
      </c>
    </row>
    <row r="62" spans="1:27" x14ac:dyDescent="0.25">
      <c r="A62" s="2">
        <v>2030</v>
      </c>
      <c r="B62" s="2">
        <f>B7*'Output-Calculation-sheet'!B51/10^9</f>
        <v>5.2363852698385802</v>
      </c>
      <c r="C62" s="2">
        <f>C7*'Output-Calculation-sheet'!C51/10^9</f>
        <v>2.5107953431126679</v>
      </c>
      <c r="D62" s="2">
        <f>D7*'Output-Calculation-sheet'!D51/10^9</f>
        <v>1.1477123874586215</v>
      </c>
      <c r="E62" s="2">
        <f>E7*'Output-Calculation-sheet'!E51/10^9</f>
        <v>1.2765701129862965</v>
      </c>
      <c r="F62" s="2">
        <f>F7*'Output-Calculation-sheet'!F51/10^9</f>
        <v>0.59022230560172029</v>
      </c>
      <c r="G62" s="2">
        <f>G7*'Output-Calculation-sheet'!G51/10^9</f>
        <v>0.40767492276770367</v>
      </c>
      <c r="H62" s="2">
        <f>H7*'Output-Calculation-sheet'!H51/10^9</f>
        <v>0.77177989645846179</v>
      </c>
      <c r="I62" s="2">
        <f>I7*'Output-Calculation-sheet'!I51/10^9</f>
        <v>0.40233240717884367</v>
      </c>
      <c r="J62" s="2">
        <f>J7*'Output-Calculation-sheet'!J51/10^9</f>
        <v>0.36320326501551942</v>
      </c>
      <c r="K62" s="2">
        <f>K7*'Output-Calculation-sheet'!K51/10^9</f>
        <v>0.46866829305403573</v>
      </c>
      <c r="L62" s="2">
        <f>L7*'Output-Calculation-sheet'!L51/10^9</f>
        <v>0.38716382242139352</v>
      </c>
      <c r="M62" s="2">
        <f>M7*'Output-Calculation-sheet'!M51/10^9</f>
        <v>0.53317270787262949</v>
      </c>
      <c r="N62" s="2">
        <f>N7*'Output-Calculation-sheet'!N51/10^9</f>
        <v>0.5563167087305495</v>
      </c>
      <c r="O62" s="2">
        <f>O7*'Output-Calculation-sheet'!O51/10^9</f>
        <v>0.48784968017514974</v>
      </c>
      <c r="P62" s="2">
        <f>P7*'Output-Calculation-sheet'!P51/10^9</f>
        <v>0.41042730938946942</v>
      </c>
      <c r="Q62" s="2">
        <f>Q7*'Output-Calculation-sheet'!Q51/10^9</f>
        <v>0.42335188570084159</v>
      </c>
      <c r="R62" s="2">
        <f>R7*'Output-Calculation-sheet'!R51/10^9</f>
        <v>0.33870217906158329</v>
      </c>
      <c r="S62" s="2">
        <f>S7*'Output-Calculation-sheet'!S51/10^9</f>
        <v>0.31236743854143306</v>
      </c>
      <c r="T62" s="2">
        <f>T7*'Output-Calculation-sheet'!T51/10^9</f>
        <v>0.10595529737545947</v>
      </c>
      <c r="U62" s="2">
        <f>U7*'Output-Calculation-sheet'!U51/10^9</f>
        <v>0.10638579957255417</v>
      </c>
      <c r="V62" s="2">
        <f>V7*'Output-Calculation-sheet'!V51/10^9</f>
        <v>7.9318377965394843E-2</v>
      </c>
      <c r="W62" s="2">
        <f>W7*'Output-Calculation-sheet'!W51/10^9</f>
        <v>4.9619304073846966E-2</v>
      </c>
      <c r="X62" s="2">
        <f>X7*'Output-Calculation-sheet'!X51/10^9</f>
        <v>6.3341017813370981E-2</v>
      </c>
      <c r="Y62" s="2">
        <f>Y7*'Output-Calculation-sheet'!Y51/10^9</f>
        <v>4.1478545875218015E-2</v>
      </c>
      <c r="AA62" s="2">
        <f t="shared" si="4"/>
        <v>17.070794278041344</v>
      </c>
    </row>
    <row r="63" spans="1:27" x14ac:dyDescent="0.25">
      <c r="A63" s="2">
        <v>2031</v>
      </c>
      <c r="B63" s="2">
        <f>B8*'Output-Calculation-sheet'!B52/10^9</f>
        <v>6.2351590286719709</v>
      </c>
      <c r="C63" s="2">
        <f>C8*'Output-Calculation-sheet'!C52/10^9</f>
        <v>3.0002239707504899</v>
      </c>
      <c r="D63" s="2">
        <f>D8*'Output-Calculation-sheet'!D52/10^9</f>
        <v>1.3645525268585443</v>
      </c>
      <c r="E63" s="2">
        <f>E8*'Output-Calculation-sheet'!E52/10^9</f>
        <v>1.5183025237224517</v>
      </c>
      <c r="F63" s="2">
        <f>F8*'Output-Calculation-sheet'!F52/10^9</f>
        <v>0.70129103335421961</v>
      </c>
      <c r="G63" s="2">
        <f>G8*'Output-Calculation-sheet'!G52/10^9</f>
        <v>0.48473660221959458</v>
      </c>
      <c r="H63" s="2">
        <f>H8*'Output-Calculation-sheet'!H52/10^9</f>
        <v>0.91404263626315663</v>
      </c>
      <c r="I63" s="2">
        <f>I8*'Output-Calculation-sheet'!I52/10^9</f>
        <v>0.4783289640068949</v>
      </c>
      <c r="J63" s="2">
        <f>J8*'Output-Calculation-sheet'!J52/10^9</f>
        <v>0.43178058245831696</v>
      </c>
      <c r="K63" s="2">
        <f>K8*'Output-Calculation-sheet'!K52/10^9</f>
        <v>0.55728545938500451</v>
      </c>
      <c r="L63" s="2">
        <f>L8*'Output-Calculation-sheet'!L52/10^9</f>
        <v>0.4603682714318858</v>
      </c>
      <c r="M63" s="2">
        <f>M8*'Output-Calculation-sheet'!M52/10^9</f>
        <v>0.63149661204895779</v>
      </c>
      <c r="N63" s="2">
        <f>N8*'Output-Calculation-sheet'!N52/10^9</f>
        <v>0.66003869610157917</v>
      </c>
      <c r="O63" s="2">
        <f>O8*'Output-Calculation-sheet'!O52/10^9</f>
        <v>0.58294608065105236</v>
      </c>
      <c r="P63" s="2">
        <f>P8*'Output-Calculation-sheet'!P52/10^9</f>
        <v>0.48862808905755978</v>
      </c>
      <c r="Q63" s="2">
        <f>Q8*'Output-Calculation-sheet'!Q52/10^9</f>
        <v>0.50390101789633013</v>
      </c>
      <c r="R63" s="2">
        <f>R8*'Output-Calculation-sheet'!R52/10^9</f>
        <v>0.40298996823544375</v>
      </c>
      <c r="S63" s="2">
        <f>S8*'Output-Calculation-sheet'!S52/10^9</f>
        <v>0.37148741428045284</v>
      </c>
      <c r="T63" s="2">
        <f>T8*'Output-Calculation-sheet'!T52/10^9</f>
        <v>0.12597650856456383</v>
      </c>
      <c r="U63" s="2">
        <f>U8*'Output-Calculation-sheet'!U52/10^9</f>
        <v>0.12663753474613457</v>
      </c>
      <c r="V63" s="2">
        <f>V8*'Output-Calculation-sheet'!V52/10^9</f>
        <v>9.4314656679396258E-2</v>
      </c>
      <c r="W63" s="2">
        <f>W8*'Output-Calculation-sheet'!W52/10^9</f>
        <v>5.8967875588452533E-2</v>
      </c>
      <c r="X63" s="2">
        <f>X8*'Output-Calculation-sheet'!X52/10^9</f>
        <v>7.509633178831647E-2</v>
      </c>
      <c r="Y63" s="2">
        <f>Y8*'Output-Calculation-sheet'!Y52/10^9</f>
        <v>4.9350400693130576E-2</v>
      </c>
      <c r="AA63" s="2">
        <f t="shared" si="4"/>
        <v>20.317902785453903</v>
      </c>
    </row>
    <row r="64" spans="1:27" x14ac:dyDescent="0.25">
      <c r="A64" s="2">
        <v>2032</v>
      </c>
      <c r="B64" s="2">
        <f>B9*'Output-Calculation-sheet'!B53/10^9</f>
        <v>7.0174399500744347</v>
      </c>
      <c r="C64" s="2">
        <f>C9*'Output-Calculation-sheet'!C53/10^9</f>
        <v>3.3887166383901781</v>
      </c>
      <c r="D64" s="2">
        <f>D9*'Output-Calculation-sheet'!D53/10^9</f>
        <v>1.5334310638777275</v>
      </c>
      <c r="E64" s="2">
        <f>E9*'Output-Calculation-sheet'!E53/10^9</f>
        <v>1.7068220876934403</v>
      </c>
      <c r="F64" s="2">
        <f>F9*'Output-Calculation-sheet'!F53/10^9</f>
        <v>0.78757729346017114</v>
      </c>
      <c r="G64" s="2">
        <f>G9*'Output-Calculation-sheet'!G53/10^9</f>
        <v>0.54477781684365245</v>
      </c>
      <c r="H64" s="2">
        <f>H9*'Output-Calculation-sheet'!H53/10^9</f>
        <v>1.0228521022930432</v>
      </c>
      <c r="I64" s="2">
        <f>I9*'Output-Calculation-sheet'!I53/10^9</f>
        <v>0.53750469518755772</v>
      </c>
      <c r="J64" s="2">
        <f>J9*'Output-Calculation-sheet'!J53/10^9</f>
        <v>0.4851694822467818</v>
      </c>
      <c r="K64" s="2">
        <f>K9*'Output-Calculation-sheet'!K53/10^9</f>
        <v>0.62633002760510759</v>
      </c>
      <c r="L64" s="2">
        <f>L9*'Output-Calculation-sheet'!L53/10^9</f>
        <v>0.51740660851677445</v>
      </c>
      <c r="M64" s="2">
        <f>M9*'Output-Calculation-sheet'!M53/10^9</f>
        <v>0.70670574755899163</v>
      </c>
      <c r="N64" s="2">
        <f>N9*'Output-Calculation-sheet'!N53/10^9</f>
        <v>0.73959669797801386</v>
      </c>
      <c r="O64" s="2">
        <f>O9*'Output-Calculation-sheet'!O53/10^9</f>
        <v>0.65843053786828398</v>
      </c>
      <c r="P64" s="2">
        <f>P9*'Output-Calculation-sheet'!P53/10^9</f>
        <v>0.54983613520442698</v>
      </c>
      <c r="Q64" s="2">
        <f>Q9*'Output-Calculation-sheet'!Q53/10^9</f>
        <v>0.56688861105910404</v>
      </c>
      <c r="R64" s="2">
        <f>R9*'Output-Calculation-sheet'!R53/10^9</f>
        <v>0.45320157359331953</v>
      </c>
      <c r="S64" s="2">
        <f>S9*'Output-Calculation-sheet'!S53/10^9</f>
        <v>0.41707449911298489</v>
      </c>
      <c r="T64" s="2">
        <f>T9*'Output-Calculation-sheet'!T53/10^9</f>
        <v>0.14157038150926465</v>
      </c>
      <c r="U64" s="2">
        <f>U9*'Output-Calculation-sheet'!U53/10^9</f>
        <v>0.14248254361352741</v>
      </c>
      <c r="V64" s="2">
        <f>V9*'Output-Calculation-sheet'!V53/10^9</f>
        <v>0.10599741886447712</v>
      </c>
      <c r="W64" s="2">
        <f>W9*'Output-Calculation-sheet'!W53/10^9</f>
        <v>6.6236197519139256E-2</v>
      </c>
      <c r="X64" s="2">
        <f>X9*'Output-Calculation-sheet'!X53/10^9</f>
        <v>8.4121128275701604E-2</v>
      </c>
      <c r="Y64" s="2">
        <f>Y9*'Output-Calculation-sheet'!Y53/10^9</f>
        <v>5.5497650349628155E-2</v>
      </c>
      <c r="AA64" s="2">
        <f t="shared" si="4"/>
        <v>22.855666888695733</v>
      </c>
    </row>
    <row r="65" spans="1:27" x14ac:dyDescent="0.25">
      <c r="A65" s="2">
        <v>2033</v>
      </c>
      <c r="B65" s="2">
        <f>B10*'Output-Calculation-sheet'!B54/10^9</f>
        <v>7.5407789048102991</v>
      </c>
      <c r="C65" s="2">
        <f>C10*'Output-Calculation-sheet'!C54/10^9</f>
        <v>3.650416431971609</v>
      </c>
      <c r="D65" s="2">
        <f>D10*'Output-Calculation-sheet'!D54/10^9</f>
        <v>1.6469992457529936</v>
      </c>
      <c r="E65" s="2">
        <f>E10*'Output-Calculation-sheet'!E54/10^9</f>
        <v>1.8338900477975708</v>
      </c>
      <c r="F65" s="2">
        <f>F10*'Output-Calculation-sheet'!F54/10^9</f>
        <v>0.8453571074820353</v>
      </c>
      <c r="G65" s="2">
        <f>G10*'Output-Calculation-sheet'!G54/10^9</f>
        <v>0.58518066723696549</v>
      </c>
      <c r="H65" s="2">
        <f>H10*'Output-Calculation-sheet'!H54/10^9</f>
        <v>1.0936269135144643</v>
      </c>
      <c r="I65" s="2">
        <f>I10*'Output-Calculation-sheet'!I54/10^9</f>
        <v>0.57728819357872985</v>
      </c>
      <c r="J65" s="2">
        <f>J10*'Output-Calculation-sheet'!J54/10^9</f>
        <v>0.52104915257967033</v>
      </c>
      <c r="K65" s="2">
        <f>K10*'Output-Calculation-sheet'!K54/10^9</f>
        <v>0.67278968057735089</v>
      </c>
      <c r="L65" s="2">
        <f>L10*'Output-Calculation-sheet'!L54/10^9</f>
        <v>0.55579058020747474</v>
      </c>
      <c r="M65" s="2">
        <f>M10*'Output-Calculation-sheet'!M54/10^9</f>
        <v>0.75563815279369406</v>
      </c>
      <c r="N65" s="2">
        <f>N10*'Output-Calculation-sheet'!N54/10^9</f>
        <v>0.79164407337646858</v>
      </c>
      <c r="O65" s="2">
        <f>O10*'Output-Calculation-sheet'!O54/10^9</f>
        <v>0.71083350908463427</v>
      </c>
      <c r="P65" s="2">
        <f>P10*'Output-Calculation-sheet'!P54/10^9</f>
        <v>0.59134094904291012</v>
      </c>
      <c r="Q65" s="2">
        <f>Q10*'Output-Calculation-sheet'!Q54/10^9</f>
        <v>0.60953252712000516</v>
      </c>
      <c r="R65" s="2">
        <f>R10*'Output-Calculation-sheet'!R54/10^9</f>
        <v>0.48712752754067368</v>
      </c>
      <c r="S65" s="2">
        <f>S10*'Output-Calculation-sheet'!S54/10^9</f>
        <v>0.44714894565386593</v>
      </c>
      <c r="T65" s="2">
        <f>T10*'Output-Calculation-sheet'!T54/10^9</f>
        <v>0.15205727378885669</v>
      </c>
      <c r="U65" s="2">
        <f>U10*'Output-Calculation-sheet'!U54/10^9</f>
        <v>0.15322073299655473</v>
      </c>
      <c r="V65" s="2">
        <f>V10*'Output-Calculation-sheet'!V54/10^9</f>
        <v>0.11385677738074325</v>
      </c>
      <c r="W65" s="2">
        <f>W10*'Output-Calculation-sheet'!W54/10^9</f>
        <v>7.1109142116726934E-2</v>
      </c>
      <c r="X65" s="2">
        <f>X10*'Output-Calculation-sheet'!X54/10^9</f>
        <v>9.0029221114320171E-2</v>
      </c>
      <c r="Y65" s="2">
        <f>Y10*'Output-Calculation-sheet'!Y54/10^9</f>
        <v>5.9650660514871411E-2</v>
      </c>
      <c r="AA65" s="2">
        <f t="shared" si="4"/>
        <v>24.556356418033488</v>
      </c>
    </row>
    <row r="66" spans="1:27" x14ac:dyDescent="0.25">
      <c r="A66" s="2">
        <v>2034</v>
      </c>
      <c r="B66" s="2">
        <f>B11*'Output-Calculation-sheet'!B55/10^9</f>
        <v>7.8382496966068054</v>
      </c>
      <c r="C66" s="2">
        <f>C11*'Output-Calculation-sheet'!C55/10^9</f>
        <v>3.7870203657348989</v>
      </c>
      <c r="D66" s="2">
        <f>D11*'Output-Calculation-sheet'!D55/10^9</f>
        <v>1.7138515296775811</v>
      </c>
      <c r="E66" s="2">
        <f>E11*'Output-Calculation-sheet'!E55/10^9</f>
        <v>1.9090115613658412</v>
      </c>
      <c r="F66" s="2">
        <f>F11*'Output-Calculation-sheet'!F55/10^9</f>
        <v>0.87908896158202443</v>
      </c>
      <c r="G66" s="2">
        <f>G11*'Output-Calculation-sheet'!G55/10^9</f>
        <v>0.6089915433640013</v>
      </c>
      <c r="H66" s="2">
        <f>H11*'Output-Calculation-sheet'!H55/10^9</f>
        <v>1.1324538552281269</v>
      </c>
      <c r="I66" s="2">
        <f>I11*'Output-Calculation-sheet'!I55/10^9</f>
        <v>0.60068805962719285</v>
      </c>
      <c r="J66" s="2">
        <f>J11*'Output-Calculation-sheet'!J55/10^9</f>
        <v>0.54214446261850813</v>
      </c>
      <c r="K66" s="2">
        <f>K11*'Output-Calculation-sheet'!K55/10^9</f>
        <v>0.70016356704643357</v>
      </c>
      <c r="L66" s="2">
        <f>L11*'Output-Calculation-sheet'!L55/10^9</f>
        <v>0.578413091197437</v>
      </c>
      <c r="M66" s="2">
        <f>M11*'Output-Calculation-sheet'!M55/10^9</f>
        <v>0.78249937503834266</v>
      </c>
      <c r="N66" s="2">
        <f>N11*'Output-Calculation-sheet'!N55/10^9</f>
        <v>0.82051519813712626</v>
      </c>
      <c r="O66" s="2">
        <f>O11*'Output-Calculation-sheet'!O55/10^9</f>
        <v>0.7435277782598233</v>
      </c>
      <c r="P66" s="2">
        <f>P11*'Output-Calculation-sheet'!P55/10^9</f>
        <v>0.61615299091045295</v>
      </c>
      <c r="Q66" s="2">
        <f>Q11*'Output-Calculation-sheet'!Q55/10^9</f>
        <v>0.63494647580709751</v>
      </c>
      <c r="R66" s="2">
        <f>R11*'Output-Calculation-sheet'!R55/10^9</f>
        <v>0.50727502895758525</v>
      </c>
      <c r="S66" s="2">
        <f>S11*'Output-Calculation-sheet'!S55/10^9</f>
        <v>0.46409562355273948</v>
      </c>
      <c r="T66" s="2">
        <f>T11*'Output-Calculation-sheet'!T55/10^9</f>
        <v>0.15823031454835429</v>
      </c>
      <c r="U66" s="2">
        <f>U11*'Output-Calculation-sheet'!U55/10^9</f>
        <v>0.15963401124169974</v>
      </c>
      <c r="V66" s="2">
        <f>V11*'Output-Calculation-sheet'!V55/10^9</f>
        <v>0.11848584046537097</v>
      </c>
      <c r="W66" s="2">
        <f>W11*'Output-Calculation-sheet'!W55/10^9</f>
        <v>7.3961310030712227E-2</v>
      </c>
      <c r="X66" s="2">
        <f>X11*'Output-Calculation-sheet'!X55/10^9</f>
        <v>9.3318177712826356E-2</v>
      </c>
      <c r="Y66" s="2">
        <f>Y11*'Output-Calculation-sheet'!Y55/10^9</f>
        <v>6.2116570626481182E-2</v>
      </c>
      <c r="AA66" s="2">
        <f t="shared" si="4"/>
        <v>25.524835389337472</v>
      </c>
    </row>
    <row r="67" spans="1:27" x14ac:dyDescent="0.25">
      <c r="A67" s="2">
        <v>2035</v>
      </c>
      <c r="B67" s="2">
        <f>B12*'Output-Calculation-sheet'!B56/10^9</f>
        <v>7.9535219923921687</v>
      </c>
      <c r="C67" s="2">
        <f>C12*'Output-Calculation-sheet'!C56/10^9</f>
        <v>3.8373964845014772</v>
      </c>
      <c r="D67" s="2">
        <f>D12*'Output-Calculation-sheet'!D56/10^9</f>
        <v>1.7427845480137729</v>
      </c>
      <c r="E67" s="2">
        <f>E12*'Output-Calculation-sheet'!E56/10^9</f>
        <v>1.9419321007526378</v>
      </c>
      <c r="F67" s="2">
        <f>F12*'Output-Calculation-sheet'!F56/10^9</f>
        <v>0.89333022162945219</v>
      </c>
      <c r="G67" s="2">
        <f>G12*'Output-Calculation-sheet'!G56/10^9</f>
        <v>0.61934219569952309</v>
      </c>
      <c r="H67" s="2">
        <f>H12*'Output-Calculation-sheet'!H56/10^9</f>
        <v>1.1455277676976658</v>
      </c>
      <c r="I67" s="2">
        <f>I12*'Output-Calculation-sheet'!I56/10^9</f>
        <v>0.61079185588549256</v>
      </c>
      <c r="J67" s="2">
        <f>J12*'Output-Calculation-sheet'!J56/10^9</f>
        <v>0.55124644511122611</v>
      </c>
      <c r="K67" s="2">
        <f>K12*'Output-Calculation-sheet'!K56/10^9</f>
        <v>0.71204679852006192</v>
      </c>
      <c r="L67" s="2">
        <f>L12*'Output-Calculation-sheet'!L56/10^9</f>
        <v>0.58824496905867973</v>
      </c>
      <c r="M67" s="2">
        <f>M12*'Output-Calculation-sheet'!M56/10^9</f>
        <v>0.79156770128943221</v>
      </c>
      <c r="N67" s="2">
        <f>N12*'Output-Calculation-sheet'!N56/10^9</f>
        <v>0.83075813924686381</v>
      </c>
      <c r="O67" s="2">
        <f>O12*'Output-Calculation-sheet'!O56/10^9</f>
        <v>0.75563826013072122</v>
      </c>
      <c r="P67" s="2">
        <f>P12*'Output-Calculation-sheet'!P56/10^9</f>
        <v>0.62737287832291644</v>
      </c>
      <c r="Q67" s="2">
        <f>Q12*'Output-Calculation-sheet'!Q56/10^9</f>
        <v>0.64632389553204217</v>
      </c>
      <c r="R67" s="2">
        <f>R12*'Output-Calculation-sheet'!R56/10^9</f>
        <v>0.51621871670614528</v>
      </c>
      <c r="S67" s="2">
        <f>S12*'Output-Calculation-sheet'!S56/10^9</f>
        <v>0.47042314229532933</v>
      </c>
      <c r="T67" s="2">
        <f>T12*'Output-Calculation-sheet'!T56/10^9</f>
        <v>0.16090248766358084</v>
      </c>
      <c r="U67" s="2">
        <f>U12*'Output-Calculation-sheet'!U56/10^9</f>
        <v>0.16252709050500661</v>
      </c>
      <c r="V67" s="2">
        <f>V12*'Output-Calculation-sheet'!V56/10^9</f>
        <v>0.12049107276461643</v>
      </c>
      <c r="W67" s="2">
        <f>W12*'Output-Calculation-sheet'!W56/10^9</f>
        <v>7.517494069378565E-2</v>
      </c>
      <c r="X67" s="2">
        <f>X12*'Output-Calculation-sheet'!X56/10^9</f>
        <v>9.4484979894104759E-2</v>
      </c>
      <c r="Y67" s="2">
        <f>Y12*'Output-Calculation-sheet'!Y56/10^9</f>
        <v>6.3210879878296877E-2</v>
      </c>
      <c r="AA67" s="2">
        <f t="shared" si="4"/>
        <v>25.911259564184991</v>
      </c>
    </row>
    <row r="68" spans="1:27" x14ac:dyDescent="0.25">
      <c r="B68" s="2">
        <f>SUM(B60:B67)</f>
        <v>48.985035494495946</v>
      </c>
      <c r="C68" s="2">
        <f t="shared" ref="C68:Y68" si="5">SUM(C60:C67)</f>
        <v>23.575097870619928</v>
      </c>
      <c r="D68" s="2">
        <f t="shared" si="5"/>
        <v>10.726461092030402</v>
      </c>
      <c r="E68" s="2">
        <f t="shared" si="5"/>
        <v>11.93881501077389</v>
      </c>
      <c r="F68" s="2">
        <f t="shared" si="5"/>
        <v>5.5093912231360234</v>
      </c>
      <c r="G68" s="2">
        <f t="shared" si="5"/>
        <v>3.8108079767889311</v>
      </c>
      <c r="H68" s="2">
        <f t="shared" si="5"/>
        <v>7.1372401712908138</v>
      </c>
      <c r="I68" s="2">
        <f t="shared" si="5"/>
        <v>3.7598396061385215</v>
      </c>
      <c r="J68" s="2">
        <f t="shared" si="5"/>
        <v>3.3938368534604724</v>
      </c>
      <c r="K68" s="2">
        <f t="shared" si="5"/>
        <v>4.3810248353225543</v>
      </c>
      <c r="L68" s="2">
        <f t="shared" si="5"/>
        <v>3.6191914785388297</v>
      </c>
      <c r="M68" s="2">
        <f t="shared" si="5"/>
        <v>4.9308480844933715</v>
      </c>
      <c r="N68" s="2">
        <f t="shared" si="5"/>
        <v>5.1607846465816847</v>
      </c>
      <c r="O68" s="2">
        <f t="shared" si="5"/>
        <v>4.5999514652955131</v>
      </c>
      <c r="P68" s="2">
        <f t="shared" si="5"/>
        <v>3.8455161523857773</v>
      </c>
      <c r="Q68" s="2">
        <f t="shared" si="5"/>
        <v>3.9647235969674126</v>
      </c>
      <c r="R68" s="2">
        <f t="shared" si="5"/>
        <v>3.1699285579839427</v>
      </c>
      <c r="S68" s="2">
        <f t="shared" si="5"/>
        <v>2.9093426354048626</v>
      </c>
      <c r="T68" s="2">
        <f t="shared" si="5"/>
        <v>0.99027406136367635</v>
      </c>
      <c r="U68" s="2">
        <f t="shared" si="5"/>
        <v>0.99656856578543473</v>
      </c>
      <c r="V68" s="2">
        <f t="shared" si="5"/>
        <v>0.74141716173851568</v>
      </c>
      <c r="W68" s="2">
        <f t="shared" si="5"/>
        <v>0.46333738584745854</v>
      </c>
      <c r="X68" s="2">
        <f t="shared" si="5"/>
        <v>0.58683641237220296</v>
      </c>
      <c r="Y68" s="2">
        <f t="shared" si="5"/>
        <v>0.38818212564860705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6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6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5966628699.0305729</v>
      </c>
      <c r="C93" s="2">
        <f>C5/'Output-Calculation-sheet'!C4*'Output-Calculation-sheet'!C76</f>
        <v>0</v>
      </c>
      <c r="D93" s="2">
        <f>D5/'Output-Calculation-sheet'!D4*'Output-Calculation-sheet'!D76</f>
        <v>3905917038.797399</v>
      </c>
      <c r="E93" s="2">
        <f>E5/'Output-Calculation-sheet'!E4*'Output-Calculation-sheet'!E76</f>
        <v>5703276372.1990891</v>
      </c>
      <c r="F93" s="2">
        <f>F5/'Output-Calculation-sheet'!F4*'Output-Calculation-sheet'!F76</f>
        <v>2856662789.3471451</v>
      </c>
      <c r="G93" s="2">
        <f>G5/'Output-Calculation-sheet'!G4*'Output-Calculation-sheet'!G76</f>
        <v>2182867668.5061936</v>
      </c>
      <c r="H93" s="2">
        <f>H5/'Output-Calculation-sheet'!H4*'Output-Calculation-sheet'!H76</f>
        <v>0</v>
      </c>
      <c r="I93" s="2">
        <f>I5/'Output-Calculation-sheet'!I4*'Output-Calculation-sheet'!I76</f>
        <v>1482934391.7271521</v>
      </c>
      <c r="J93" s="2">
        <f>J5/'Output-Calculation-sheet'!J4*'Output-Calculation-sheet'!J76</f>
        <v>1063961737.465071</v>
      </c>
      <c r="K93" s="2">
        <f>K5/'Output-Calculation-sheet'!K4*'Output-Calculation-sheet'!K76</f>
        <v>1339489707.242244</v>
      </c>
      <c r="L93" s="2">
        <f>L5/'Output-Calculation-sheet'!L4*'Output-Calculation-sheet'!L76</f>
        <v>883317219.57225549</v>
      </c>
      <c r="M93" s="2">
        <f>M5/'Output-Calculation-sheet'!M4*'Output-Calculation-sheet'!M76</f>
        <v>0</v>
      </c>
      <c r="N93" s="2">
        <f>N5/'Output-Calculation-sheet'!N4*'Output-Calculation-sheet'!N76</f>
        <v>418144241.16601771</v>
      </c>
      <c r="O93" s="2">
        <f>O5/'Output-Calculation-sheet'!O4*'Output-Calculation-sheet'!O76</f>
        <v>0</v>
      </c>
      <c r="P93" s="2">
        <f>P5/'Output-Calculation-sheet'!P4*'Output-Calculation-sheet'!P76</f>
        <v>1100758194.194417</v>
      </c>
      <c r="Q93" s="2">
        <f>Q5/'Output-Calculation-sheet'!Q4*'Output-Calculation-sheet'!Q76</f>
        <v>494859168.31282169</v>
      </c>
      <c r="R93" s="2">
        <f>R5/'Output-Calculation-sheet'!R4*'Output-Calculation-sheet'!R76</f>
        <v>789742720.11581492</v>
      </c>
      <c r="S93" s="2">
        <f>S5/'Output-Calculation-sheet'!S4*'Output-Calculation-sheet'!S76</f>
        <v>261658849.24845123</v>
      </c>
      <c r="T93" s="2">
        <f>T5/'Output-Calculation-sheet'!T4*'Output-Calculation-sheet'!T76</f>
        <v>424363684.74642038</v>
      </c>
      <c r="U93" s="2">
        <f>U5/'Output-Calculation-sheet'!U4*'Output-Calculation-sheet'!U76</f>
        <v>221317134.54542851</v>
      </c>
      <c r="V93" s="2">
        <f>V5/'Output-Calculation-sheet'!V4*'Output-Calculation-sheet'!V76</f>
        <v>132410028.64540793</v>
      </c>
      <c r="W93" s="2">
        <f>W5/'Output-Calculation-sheet'!W4*'Output-Calculation-sheet'!W76</f>
        <v>441251265.77602917</v>
      </c>
      <c r="X93" s="2">
        <f>X5/'Output-Calculation-sheet'!X4*'Output-Calculation-sheet'!X76</f>
        <v>0</v>
      </c>
      <c r="Y93" s="2">
        <f>Y5/'Output-Calculation-sheet'!Y4*'Output-Calculation-sheet'!Y76</f>
        <v>185030541.04040933</v>
      </c>
      <c r="AA93" s="2">
        <f t="shared" ref="AA93:AA100" si="8">SUM(B93:Y93)/10^9</f>
        <v>29.854591451678345</v>
      </c>
    </row>
    <row r="94" spans="1:27" x14ac:dyDescent="0.25">
      <c r="A94" s="2">
        <v>2029</v>
      </c>
      <c r="B94" s="2">
        <f>B6/'Output-Calculation-sheet'!B5*'Output-Calculation-sheet'!B77</f>
        <v>8297198192.5046215</v>
      </c>
      <c r="C94" s="2">
        <f>C6/'Output-Calculation-sheet'!C5*'Output-Calculation-sheet'!C77</f>
        <v>0</v>
      </c>
      <c r="D94" s="2">
        <f>D6/'Output-Calculation-sheet'!D5*'Output-Calculation-sheet'!D77</f>
        <v>5353870192.7012606</v>
      </c>
      <c r="E94" s="2">
        <f>E6/'Output-Calculation-sheet'!E5*'Output-Calculation-sheet'!E77</f>
        <v>7980188988.1780348</v>
      </c>
      <c r="F94" s="2">
        <f>F6/'Output-Calculation-sheet'!F5*'Output-Calculation-sheet'!F77</f>
        <v>3911958534.0107565</v>
      </c>
      <c r="G94" s="2">
        <f>G6/'Output-Calculation-sheet'!G5*'Output-Calculation-sheet'!G77</f>
        <v>3027908764.6441665</v>
      </c>
      <c r="H94" s="2">
        <f>H6/'Output-Calculation-sheet'!H5*'Output-Calculation-sheet'!H77</f>
        <v>740540303.39315557</v>
      </c>
      <c r="I94" s="2">
        <f>I6/'Output-Calculation-sheet'!I5*'Output-Calculation-sheet'!I77</f>
        <v>2028654664.0173559</v>
      </c>
      <c r="J94" s="2">
        <f>J6/'Output-Calculation-sheet'!J5*'Output-Calculation-sheet'!J77</f>
        <v>1470754331.1456723</v>
      </c>
      <c r="K94" s="2">
        <f>K6/'Output-Calculation-sheet'!K5*'Output-Calculation-sheet'!K77</f>
        <v>1833807444.8346951</v>
      </c>
      <c r="L94" s="2">
        <f>L6/'Output-Calculation-sheet'!L5*'Output-Calculation-sheet'!L77</f>
        <v>1223048459.4043322</v>
      </c>
      <c r="M94" s="2">
        <f>M6/'Output-Calculation-sheet'!M5*'Output-Calculation-sheet'!M77</f>
        <v>538635646.4745872</v>
      </c>
      <c r="N94" s="2">
        <f>N6/'Output-Calculation-sheet'!N5*'Output-Calculation-sheet'!N77</f>
        <v>634974560.89070761</v>
      </c>
      <c r="O94" s="2">
        <f>O6/'Output-Calculation-sheet'!O5*'Output-Calculation-sheet'!O77</f>
        <v>0</v>
      </c>
      <c r="P94" s="2">
        <f>P6/'Output-Calculation-sheet'!P5*'Output-Calculation-sheet'!P77</f>
        <v>1536511294.4946253</v>
      </c>
      <c r="Q94" s="2">
        <f>Q6/'Output-Calculation-sheet'!Q5*'Output-Calculation-sheet'!Q77</f>
        <v>699916776.47313893</v>
      </c>
      <c r="R94" s="2">
        <f>R6/'Output-Calculation-sheet'!R5*'Output-Calculation-sheet'!R77</f>
        <v>1091755434.2909131</v>
      </c>
      <c r="S94" s="2">
        <f>S6/'Output-Calculation-sheet'!S5*'Output-Calculation-sheet'!S77</f>
        <v>368585031.00968581</v>
      </c>
      <c r="T94" s="2">
        <f>T6/'Output-Calculation-sheet'!T5*'Output-Calculation-sheet'!T77</f>
        <v>584151705.60632217</v>
      </c>
      <c r="U94" s="2">
        <f>U6/'Output-Calculation-sheet'!U5*'Output-Calculation-sheet'!U77</f>
        <v>298337188.44328165</v>
      </c>
      <c r="V94" s="2">
        <f>V6/'Output-Calculation-sheet'!V5*'Output-Calculation-sheet'!V77</f>
        <v>178546284.31512573</v>
      </c>
      <c r="W94" s="2">
        <f>W6/'Output-Calculation-sheet'!W5*'Output-Calculation-sheet'!W77</f>
        <v>614184873.27890646</v>
      </c>
      <c r="X94" s="2">
        <f>X6/'Output-Calculation-sheet'!X5*'Output-Calculation-sheet'!X77</f>
        <v>50232395.204404488</v>
      </c>
      <c r="Y94" s="2">
        <f>Y6/'Output-Calculation-sheet'!Y5*'Output-Calculation-sheet'!Y77</f>
        <v>259047629.43697304</v>
      </c>
      <c r="AA94" s="2">
        <f t="shared" si="8"/>
        <v>42.722808694752736</v>
      </c>
    </row>
    <row r="95" spans="1:27" x14ac:dyDescent="0.25">
      <c r="A95" s="2">
        <v>2030</v>
      </c>
      <c r="B95" s="2">
        <f>B7/'Output-Calculation-sheet'!B6*'Output-Calculation-sheet'!B78</f>
        <v>10485876589.651588</v>
      </c>
      <c r="C95" s="2">
        <f>C7/'Output-Calculation-sheet'!C6*'Output-Calculation-sheet'!C78</f>
        <v>0</v>
      </c>
      <c r="D95" s="2">
        <f>D7/'Output-Calculation-sheet'!D6*'Output-Calculation-sheet'!D78</f>
        <v>6688072799.3687325</v>
      </c>
      <c r="E95" s="2">
        <f>E7/'Output-Calculation-sheet'!E6*'Output-Calculation-sheet'!E78</f>
        <v>10165091797.688051</v>
      </c>
      <c r="F95" s="2">
        <f>F7/'Output-Calculation-sheet'!F6*'Output-Calculation-sheet'!F78</f>
        <v>4878519937.6285858</v>
      </c>
      <c r="G95" s="2">
        <f>G7/'Output-Calculation-sheet'!G6*'Output-Calculation-sheet'!G78</f>
        <v>3825787016.7412529</v>
      </c>
      <c r="H95" s="2">
        <f>H7/'Output-Calculation-sheet'!H6*'Output-Calculation-sheet'!H78</f>
        <v>978519734.72250628</v>
      </c>
      <c r="I95" s="2">
        <f>I7/'Output-Calculation-sheet'!I6*'Output-Calculation-sheet'!I78</f>
        <v>2524903766.2913709</v>
      </c>
      <c r="J95" s="2">
        <f>J7/'Output-Calculation-sheet'!J6*'Output-Calculation-sheet'!J78</f>
        <v>1851726098.6938124</v>
      </c>
      <c r="K95" s="2">
        <f>K7/'Output-Calculation-sheet'!K6*'Output-Calculation-sheet'!K78</f>
        <v>2282551799.969882</v>
      </c>
      <c r="L95" s="2">
        <f>L7/'Output-Calculation-sheet'!L6*'Output-Calculation-sheet'!L78</f>
        <v>1544021602.558006</v>
      </c>
      <c r="M95" s="2">
        <f>M7/'Output-Calculation-sheet'!M6*'Output-Calculation-sheet'!M78</f>
        <v>717893162.24894857</v>
      </c>
      <c r="N95" s="2">
        <f>N7/'Output-Calculation-sheet'!N6*'Output-Calculation-sheet'!N78</f>
        <v>837739158.50885439</v>
      </c>
      <c r="O95" s="2">
        <f>O7/'Output-Calculation-sheet'!O6*'Output-Calculation-sheet'!O78</f>
        <v>0</v>
      </c>
      <c r="P95" s="2">
        <f>P7/'Output-Calculation-sheet'!P6*'Output-Calculation-sheet'!P78</f>
        <v>1942926732.6236575</v>
      </c>
      <c r="Q95" s="2">
        <f>Q7/'Output-Calculation-sheet'!Q6*'Output-Calculation-sheet'!Q78</f>
        <v>896990298.39234483</v>
      </c>
      <c r="R95" s="2">
        <f>R7/'Output-Calculation-sheet'!R6*'Output-Calculation-sheet'!R78</f>
        <v>1372793100.9957714</v>
      </c>
      <c r="S95" s="2">
        <f>S7/'Output-Calculation-sheet'!S6*'Output-Calculation-sheet'!S78</f>
        <v>486378378.34823805</v>
      </c>
      <c r="T95" s="2">
        <f>T7/'Output-Calculation-sheet'!T6*'Output-Calculation-sheet'!T78</f>
        <v>732526496.6214658</v>
      </c>
      <c r="U95" s="2">
        <f>U7/'Output-Calculation-sheet'!U6*'Output-Calculation-sheet'!U78</f>
        <v>365348650.11750811</v>
      </c>
      <c r="V95" s="2">
        <f>V7/'Output-Calculation-sheet'!V6*'Output-Calculation-sheet'!V78</f>
        <v>218967391.58444452</v>
      </c>
      <c r="W95" s="2">
        <f>W7/'Output-Calculation-sheet'!W6*'Output-Calculation-sheet'!W78</f>
        <v>779063385.79010904</v>
      </c>
      <c r="X95" s="2">
        <f>X7/'Output-Calculation-sheet'!X6*'Output-Calculation-sheet'!X78</f>
        <v>67935276.003234491</v>
      </c>
      <c r="Y95" s="2">
        <f>Y7/'Output-Calculation-sheet'!Y6*'Output-Calculation-sheet'!Y78</f>
        <v>330610534.1201961</v>
      </c>
      <c r="AA95" s="2">
        <f t="shared" si="8"/>
        <v>53.974243708668553</v>
      </c>
    </row>
    <row r="96" spans="1:27" x14ac:dyDescent="0.25">
      <c r="A96" s="2">
        <v>2031</v>
      </c>
      <c r="B96" s="2">
        <f>B8/'Output-Calculation-sheet'!B7*'Output-Calculation-sheet'!B79</f>
        <v>12614223721.040058</v>
      </c>
      <c r="C96" s="2">
        <f>C8/'Output-Calculation-sheet'!C7*'Output-Calculation-sheet'!C79</f>
        <v>0</v>
      </c>
      <c r="D96" s="2">
        <f>D8/'Output-Calculation-sheet'!D7*'Output-Calculation-sheet'!D79</f>
        <v>7678174137.742732</v>
      </c>
      <c r="E96" s="2">
        <f>E8/'Output-Calculation-sheet'!E7*'Output-Calculation-sheet'!E79</f>
        <v>12026751362.965584</v>
      </c>
      <c r="F96" s="2">
        <f>F8/'Output-Calculation-sheet'!F7*'Output-Calculation-sheet'!F79</f>
        <v>5756932511.9871264</v>
      </c>
      <c r="G96" s="2">
        <f>G8/'Output-Calculation-sheet'!G7*'Output-Calculation-sheet'!G79</f>
        <v>4388803209.0727625</v>
      </c>
      <c r="H96" s="2">
        <f>H8/'Output-Calculation-sheet'!H7*'Output-Calculation-sheet'!H79</f>
        <v>1186137187.0695455</v>
      </c>
      <c r="I96" s="2">
        <f>I8/'Output-Calculation-sheet'!I7*'Output-Calculation-sheet'!I79</f>
        <v>3009773301.7436447</v>
      </c>
      <c r="J96" s="2">
        <f>J8/'Output-Calculation-sheet'!J7*'Output-Calculation-sheet'!J79</f>
        <v>2142432364.873976</v>
      </c>
      <c r="K96" s="2">
        <f>K8/'Output-Calculation-sheet'!K7*'Output-Calculation-sheet'!K79</f>
        <v>2670166231.4756007</v>
      </c>
      <c r="L96" s="2">
        <f>L8/'Output-Calculation-sheet'!L7*'Output-Calculation-sheet'!L79</f>
        <v>1858058573.4046688</v>
      </c>
      <c r="M96" s="2">
        <f>M8/'Output-Calculation-sheet'!M7*'Output-Calculation-sheet'!M79</f>
        <v>879315168.68029213</v>
      </c>
      <c r="N96" s="2">
        <f>N8/'Output-Calculation-sheet'!N7*'Output-Calculation-sheet'!N79</f>
        <v>980001597.5700798</v>
      </c>
      <c r="O96" s="2">
        <f>O8/'Output-Calculation-sheet'!O7*'Output-Calculation-sheet'!O79</f>
        <v>0</v>
      </c>
      <c r="P96" s="2">
        <f>P8/'Output-Calculation-sheet'!P7*'Output-Calculation-sheet'!P79</f>
        <v>2266509084.5853095</v>
      </c>
      <c r="Q96" s="2">
        <f>Q8/'Output-Calculation-sheet'!Q7*'Output-Calculation-sheet'!Q79</f>
        <v>1052228564.4459765</v>
      </c>
      <c r="R96" s="2">
        <f>R8/'Output-Calculation-sheet'!R7*'Output-Calculation-sheet'!R79</f>
        <v>1623448572.5266855</v>
      </c>
      <c r="S96" s="2">
        <f>S8/'Output-Calculation-sheet'!S7*'Output-Calculation-sheet'!S79</f>
        <v>594647476.649791</v>
      </c>
      <c r="T96" s="2">
        <f>T8/'Output-Calculation-sheet'!T7*'Output-Calculation-sheet'!T79</f>
        <v>850945558.69874585</v>
      </c>
      <c r="U96" s="2">
        <f>U8/'Output-Calculation-sheet'!U7*'Output-Calculation-sheet'!U79</f>
        <v>432054753.45214701</v>
      </c>
      <c r="V96" s="2">
        <f>V8/'Output-Calculation-sheet'!V7*'Output-Calculation-sheet'!V79</f>
        <v>261915754.57199106</v>
      </c>
      <c r="W96" s="2">
        <f>W8/'Output-Calculation-sheet'!W7*'Output-Calculation-sheet'!W79</f>
        <v>912108055.94421685</v>
      </c>
      <c r="X96" s="2">
        <f>X8/'Output-Calculation-sheet'!X7*'Output-Calculation-sheet'!X79</f>
        <v>85038612.069578514</v>
      </c>
      <c r="Y96" s="2">
        <f>Y8/'Output-Calculation-sheet'!Y7*'Output-Calculation-sheet'!Y79</f>
        <v>387987322.02849782</v>
      </c>
      <c r="AA96" s="2">
        <f t="shared" si="8"/>
        <v>63.657653122599008</v>
      </c>
    </row>
    <row r="97" spans="1:27" x14ac:dyDescent="0.25">
      <c r="A97" s="2">
        <v>2032</v>
      </c>
      <c r="B97" s="2">
        <f>B9/'Output-Calculation-sheet'!B8*'Output-Calculation-sheet'!B80</f>
        <v>14375431423.078325</v>
      </c>
      <c r="C97" s="2">
        <f>C9/'Output-Calculation-sheet'!C8*'Output-Calculation-sheet'!C80</f>
        <v>0</v>
      </c>
      <c r="D97" s="2">
        <f>D9/'Output-Calculation-sheet'!D8*'Output-Calculation-sheet'!D80</f>
        <v>8345390076.6873703</v>
      </c>
      <c r="E97" s="2">
        <f>E9/'Output-Calculation-sheet'!E8*'Output-Calculation-sheet'!E80</f>
        <v>13463831862.782982</v>
      </c>
      <c r="F97" s="2">
        <f>F9/'Output-Calculation-sheet'!F8*'Output-Calculation-sheet'!F80</f>
        <v>6422462081.2698746</v>
      </c>
      <c r="G97" s="2">
        <f>G9/'Output-Calculation-sheet'!G8*'Output-Calculation-sheet'!G80</f>
        <v>4755675064.9491978</v>
      </c>
      <c r="H97" s="2">
        <f>H9/'Output-Calculation-sheet'!H8*'Output-Calculation-sheet'!H80</f>
        <v>1358131202.9165478</v>
      </c>
      <c r="I97" s="2">
        <f>I9/'Output-Calculation-sheet'!I8*'Output-Calculation-sheet'!I80</f>
        <v>3391160919.8429527</v>
      </c>
      <c r="J97" s="2">
        <f>J9/'Output-Calculation-sheet'!J8*'Output-Calculation-sheet'!J80</f>
        <v>2345300438.0445619</v>
      </c>
      <c r="K97" s="2">
        <f>K9/'Output-Calculation-sheet'!K8*'Output-Calculation-sheet'!K80</f>
        <v>2950185104.0410428</v>
      </c>
      <c r="L97" s="2">
        <f>L9/'Output-Calculation-sheet'!L8*'Output-Calculation-sheet'!L80</f>
        <v>2118186539.1054289</v>
      </c>
      <c r="M97" s="2">
        <f>M9/'Output-Calculation-sheet'!M8*'Output-Calculation-sheet'!M80</f>
        <v>1008601224.4474497</v>
      </c>
      <c r="N97" s="2">
        <f>N9/'Output-Calculation-sheet'!N8*'Output-Calculation-sheet'!N80</f>
        <v>1073550314.0951787</v>
      </c>
      <c r="O97" s="2">
        <f>O9/'Output-Calculation-sheet'!O8*'Output-Calculation-sheet'!O80</f>
        <v>0</v>
      </c>
      <c r="P97" s="2">
        <f>P9/'Output-Calculation-sheet'!P8*'Output-Calculation-sheet'!P80</f>
        <v>2512286691.6473699</v>
      </c>
      <c r="Q97" s="2">
        <f>Q9/'Output-Calculation-sheet'!Q8*'Output-Calculation-sheet'!Q80</f>
        <v>1171352358.9933684</v>
      </c>
      <c r="R97" s="2">
        <f>R9/'Output-Calculation-sheet'!R8*'Output-Calculation-sheet'!R80</f>
        <v>1815502978.6242263</v>
      </c>
      <c r="S97" s="2">
        <f>S9/'Output-Calculation-sheet'!S8*'Output-Calculation-sheet'!S80</f>
        <v>684066278.21433461</v>
      </c>
      <c r="T97" s="2">
        <f>T9/'Output-Calculation-sheet'!T8*'Output-Calculation-sheet'!T80</f>
        <v>933594147.44722676</v>
      </c>
      <c r="U97" s="2">
        <f>U9/'Output-Calculation-sheet'!U8*'Output-Calculation-sheet'!U80</f>
        <v>483377702.22803271</v>
      </c>
      <c r="V97" s="2">
        <f>V9/'Output-Calculation-sheet'!V8*'Output-Calculation-sheet'!V80</f>
        <v>296328651.73669803</v>
      </c>
      <c r="W97" s="2">
        <f>W9/'Output-Calculation-sheet'!W8*'Output-Calculation-sheet'!W80</f>
        <v>1008844095.126387</v>
      </c>
      <c r="X97" s="2">
        <f>X9/'Output-Calculation-sheet'!X8*'Output-Calculation-sheet'!X80</f>
        <v>99879554.072893783</v>
      </c>
      <c r="Y97" s="2">
        <f>Y9/'Output-Calculation-sheet'!Y8*'Output-Calculation-sheet'!Y80</f>
        <v>429570779.92780304</v>
      </c>
      <c r="AA97" s="2">
        <f t="shared" si="8"/>
        <v>71.042709489279233</v>
      </c>
    </row>
    <row r="98" spans="1:27" x14ac:dyDescent="0.25">
      <c r="A98" s="2">
        <v>2033</v>
      </c>
      <c r="B98" s="2">
        <f>B10/'Output-Calculation-sheet'!B9*'Output-Calculation-sheet'!B81</f>
        <v>16268598258.509274</v>
      </c>
      <c r="C98" s="2">
        <f>C10/'Output-Calculation-sheet'!C9*'Output-Calculation-sheet'!C81</f>
        <v>2130702002.0728698</v>
      </c>
      <c r="D98" s="2">
        <f>D10/'Output-Calculation-sheet'!D9*'Output-Calculation-sheet'!D81</f>
        <v>8673339891.9164143</v>
      </c>
      <c r="E98" s="2">
        <f>E10/'Output-Calculation-sheet'!E9*'Output-Calculation-sheet'!E81</f>
        <v>14400764103.147879</v>
      </c>
      <c r="F98" s="2">
        <f>F10/'Output-Calculation-sheet'!F9*'Output-Calculation-sheet'!F81</f>
        <v>6856065132.1509352</v>
      </c>
      <c r="G98" s="2">
        <f>G10/'Output-Calculation-sheet'!G9*'Output-Calculation-sheet'!G81</f>
        <v>4923170811.1457291</v>
      </c>
      <c r="H98" s="2">
        <f>H10/'Output-Calculation-sheet'!H9*'Output-Calculation-sheet'!H81</f>
        <v>1483717083.6443093</v>
      </c>
      <c r="I98" s="2">
        <f>I10/'Output-Calculation-sheet'!I9*'Output-Calculation-sheet'!I81</f>
        <v>3654115455.0745893</v>
      </c>
      <c r="J98" s="2">
        <f>J10/'Output-Calculation-sheet'!J9*'Output-Calculation-sheet'!J81</f>
        <v>2457133045.5501909</v>
      </c>
      <c r="K98" s="2">
        <f>K10/'Output-Calculation-sheet'!K9*'Output-Calculation-sheet'!K81</f>
        <v>3120475339.294383</v>
      </c>
      <c r="L98" s="2">
        <f>L10/'Output-Calculation-sheet'!L9*'Output-Calculation-sheet'!L81</f>
        <v>2307100217.3014884</v>
      </c>
      <c r="M98" s="2">
        <f>M10/'Output-Calculation-sheet'!M9*'Output-Calculation-sheet'!M81</f>
        <v>1106265940.679781</v>
      </c>
      <c r="N98" s="2">
        <f>N10/'Output-Calculation-sheet'!N9*'Output-Calculation-sheet'!N81</f>
        <v>1125741438.501447</v>
      </c>
      <c r="O98" s="2">
        <f>O10/'Output-Calculation-sheet'!O9*'Output-Calculation-sheet'!O81</f>
        <v>0</v>
      </c>
      <c r="P98" s="2">
        <f>P10/'Output-Calculation-sheet'!P9*'Output-Calculation-sheet'!P81</f>
        <v>2654742385.5097213</v>
      </c>
      <c r="Q98" s="2">
        <f>Q10/'Output-Calculation-sheet'!Q9*'Output-Calculation-sheet'!Q81</f>
        <v>1246099838.5005102</v>
      </c>
      <c r="R98" s="2">
        <f>R10/'Output-Calculation-sheet'!R9*'Output-Calculation-sheet'!R81</f>
        <v>1944483414.3287175</v>
      </c>
      <c r="S98" s="2">
        <f>S10/'Output-Calculation-sheet'!S9*'Output-Calculation-sheet'!S81</f>
        <v>738354083.523296</v>
      </c>
      <c r="T98" s="2">
        <f>T10/'Output-Calculation-sheet'!T9*'Output-Calculation-sheet'!T81</f>
        <v>980028990.86797953</v>
      </c>
      <c r="U98" s="2">
        <f>U10/'Output-Calculation-sheet'!U9*'Output-Calculation-sheet'!U81</f>
        <v>516574334.51565492</v>
      </c>
      <c r="V98" s="2">
        <f>V10/'Output-Calculation-sheet'!V9*'Output-Calculation-sheet'!V81</f>
        <v>320118832.23858017</v>
      </c>
      <c r="W98" s="2">
        <f>W10/'Output-Calculation-sheet'!W9*'Output-Calculation-sheet'!W81</f>
        <v>1064281570.6760027</v>
      </c>
      <c r="X98" s="2">
        <f>X10/'Output-Calculation-sheet'!X9*'Output-Calculation-sheet'!X81</f>
        <v>110713419.61425695</v>
      </c>
      <c r="Y98" s="2">
        <f>Y10/'Output-Calculation-sheet'!Y9*'Output-Calculation-sheet'!Y81</f>
        <v>454347919.6179508</v>
      </c>
      <c r="AA98" s="2">
        <f t="shared" si="8"/>
        <v>78.536933508381992</v>
      </c>
    </row>
    <row r="99" spans="1:27" x14ac:dyDescent="0.25">
      <c r="A99" s="2">
        <v>2034</v>
      </c>
      <c r="B99" s="2">
        <f>B11/'Output-Calculation-sheet'!B10*'Output-Calculation-sheet'!B82</f>
        <v>17508199832.623627</v>
      </c>
      <c r="C99" s="2">
        <f>C11/'Output-Calculation-sheet'!C10*'Output-Calculation-sheet'!C82</f>
        <v>2374542220.9100251</v>
      </c>
      <c r="D99" s="2">
        <f>D11/'Output-Calculation-sheet'!D10*'Output-Calculation-sheet'!D82</f>
        <v>8735788714.8167591</v>
      </c>
      <c r="E99" s="2">
        <f>E11/'Output-Calculation-sheet'!E10*'Output-Calculation-sheet'!E82</f>
        <v>14939676054.365482</v>
      </c>
      <c r="F99" s="2">
        <f>F11/'Output-Calculation-sheet'!F10*'Output-Calculation-sheet'!F82</f>
        <v>7094974508.8760395</v>
      </c>
      <c r="G99" s="2">
        <f>G11/'Output-Calculation-sheet'!G10*'Output-Calculation-sheet'!G82</f>
        <v>4928562873.6415701</v>
      </c>
      <c r="H99" s="2">
        <f>H11/'Output-Calculation-sheet'!H10*'Output-Calculation-sheet'!H82</f>
        <v>1572670124.0791464</v>
      </c>
      <c r="I99" s="2">
        <f>I11/'Output-Calculation-sheet'!I10*'Output-Calculation-sheet'!I82</f>
        <v>3820527933.6212482</v>
      </c>
      <c r="J99" s="2">
        <f>J11/'Output-Calculation-sheet'!J10*'Output-Calculation-sheet'!J82</f>
        <v>2496085121.4632888</v>
      </c>
      <c r="K99" s="2">
        <f>K11/'Output-Calculation-sheet'!K10*'Output-Calculation-sheet'!K82</f>
        <v>3200425471.3811421</v>
      </c>
      <c r="L99" s="2">
        <f>L11/'Output-Calculation-sheet'!L10*'Output-Calculation-sheet'!L82</f>
        <v>2433608140.5802436</v>
      </c>
      <c r="M99" s="2">
        <f>M11/'Output-Calculation-sheet'!M10*'Output-Calculation-sheet'!M82</f>
        <v>1176406921.1096206</v>
      </c>
      <c r="N99" s="2">
        <f>N11/'Output-Calculation-sheet'!N10*'Output-Calculation-sheet'!N82</f>
        <v>1148122279.2882133</v>
      </c>
      <c r="O99" s="2">
        <f>O11/'Output-Calculation-sheet'!O10*'Output-Calculation-sheet'!O82</f>
        <v>0</v>
      </c>
      <c r="P99" s="2">
        <f>P11/'Output-Calculation-sheet'!P10*'Output-Calculation-sheet'!P82</f>
        <v>2715573006.865397</v>
      </c>
      <c r="Q99" s="2">
        <f>Q11/'Output-Calculation-sheet'!Q10*'Output-Calculation-sheet'!Q82</f>
        <v>1285843853.8014648</v>
      </c>
      <c r="R99" s="2">
        <f>R11/'Output-Calculation-sheet'!R10*'Output-Calculation-sheet'!R82</f>
        <v>2017914297.3447585</v>
      </c>
      <c r="S99" s="2">
        <f>S11/'Output-Calculation-sheet'!S10*'Output-Calculation-sheet'!S82</f>
        <v>786248751.05883503</v>
      </c>
      <c r="T99" s="2">
        <f>T11/'Output-Calculation-sheet'!T10*'Output-Calculation-sheet'!T82</f>
        <v>997009842.34360838</v>
      </c>
      <c r="U99" s="2">
        <f>U11/'Output-Calculation-sheet'!U10*'Output-Calculation-sheet'!U82</f>
        <v>535918958.14252436</v>
      </c>
      <c r="V99" s="2">
        <f>V11/'Output-Calculation-sheet'!V10*'Output-Calculation-sheet'!V82</f>
        <v>335258816.60847622</v>
      </c>
      <c r="W99" s="2">
        <f>W11/'Output-Calculation-sheet'!W10*'Output-Calculation-sheet'!W82</f>
        <v>1086770027.2435741</v>
      </c>
      <c r="X99" s="2">
        <f>X11/'Output-Calculation-sheet'!X10*'Output-Calculation-sheet'!X82</f>
        <v>119582087.57799837</v>
      </c>
      <c r="Y99" s="2">
        <f>Y11/'Output-Calculation-sheet'!Y10*'Output-Calculation-sheet'!Y82</f>
        <v>465001624.18175322</v>
      </c>
      <c r="AA99" s="2">
        <f t="shared" si="8"/>
        <v>81.774711461924795</v>
      </c>
    </row>
    <row r="100" spans="1:27" x14ac:dyDescent="0.25">
      <c r="A100" s="2">
        <v>2035</v>
      </c>
      <c r="B100" s="2">
        <f>B12/'Output-Calculation-sheet'!B11*'Output-Calculation-sheet'!B83</f>
        <v>18113049686.529545</v>
      </c>
      <c r="C100" s="2">
        <f>C12/'Output-Calculation-sheet'!C11*'Output-Calculation-sheet'!C83</f>
        <v>2562728506.2557998</v>
      </c>
      <c r="D100" s="2">
        <f>D12/'Output-Calculation-sheet'!D11*'Output-Calculation-sheet'!D83</f>
        <v>8614666477.2198734</v>
      </c>
      <c r="E100" s="2">
        <f>E12/'Output-Calculation-sheet'!E11*'Output-Calculation-sheet'!E83</f>
        <v>15155927723.846659</v>
      </c>
      <c r="F100" s="2">
        <f>F12/'Output-Calculation-sheet'!F11*'Output-Calculation-sheet'!F83</f>
        <v>7182496234.7568913</v>
      </c>
      <c r="G100" s="2">
        <f>G12/'Output-Calculation-sheet'!G11*'Output-Calculation-sheet'!G83</f>
        <v>4817114104.2889166</v>
      </c>
      <c r="H100" s="2">
        <f>H12/'Output-Calculation-sheet'!H11*'Output-Calculation-sheet'!H83</f>
        <v>1623166640.776217</v>
      </c>
      <c r="I100" s="2">
        <f>I12/'Output-Calculation-sheet'!I11*'Output-Calculation-sheet'!I83</f>
        <v>3902981533.3019619</v>
      </c>
      <c r="J100" s="2">
        <f>J12/'Output-Calculation-sheet'!J11*'Output-Calculation-sheet'!J83</f>
        <v>2479637886.18752</v>
      </c>
      <c r="K100" s="2">
        <f>K12/'Output-Calculation-sheet'!K11*'Output-Calculation-sheet'!K83</f>
        <v>3209677076.4904332</v>
      </c>
      <c r="L100" s="2">
        <f>L12/'Output-Calculation-sheet'!L11*'Output-Calculation-sheet'!L83</f>
        <v>2507833547.0297437</v>
      </c>
      <c r="M100" s="2">
        <f>M12/'Output-Calculation-sheet'!M11*'Output-Calculation-sheet'!M83</f>
        <v>1216642791.0658846</v>
      </c>
      <c r="N100" s="2">
        <f>N12/'Output-Calculation-sheet'!N11*'Output-Calculation-sheet'!N83</f>
        <v>1146115195.4356105</v>
      </c>
      <c r="O100" s="2">
        <f>O12/'Output-Calculation-sheet'!O11*'Output-Calculation-sheet'!O83</f>
        <v>309207718.9235639</v>
      </c>
      <c r="P100" s="2">
        <f>P12/'Output-Calculation-sheet'!P11*'Output-Calculation-sheet'!P83</f>
        <v>2714945175.6896553</v>
      </c>
      <c r="Q100" s="2">
        <f>Q12/'Output-Calculation-sheet'!Q11*'Output-Calculation-sheet'!Q83</f>
        <v>1302025523.5126796</v>
      </c>
      <c r="R100" s="2">
        <f>R12/'Output-Calculation-sheet'!R11*'Output-Calculation-sheet'!R83</f>
        <v>2050948035.0893176</v>
      </c>
      <c r="S100" s="2">
        <f>S12/'Output-Calculation-sheet'!S11*'Output-Calculation-sheet'!S83</f>
        <v>795464970.73461759</v>
      </c>
      <c r="T100" s="2">
        <f>T12/'Output-Calculation-sheet'!T11*'Output-Calculation-sheet'!T83</f>
        <v>991502032.91901493</v>
      </c>
      <c r="U100" s="2">
        <f>U12/'Output-Calculation-sheet'!U11*'Output-Calculation-sheet'!U83</f>
        <v>543139157.63607824</v>
      </c>
      <c r="V100" s="2">
        <f>V12/'Output-Calculation-sheet'!V11*'Output-Calculation-sheet'!V83</f>
        <v>343288936.48613685</v>
      </c>
      <c r="W100" s="2">
        <f>W12/'Output-Calculation-sheet'!W11*'Output-Calculation-sheet'!W83</f>
        <v>1083249747.0450482</v>
      </c>
      <c r="X100" s="2">
        <f>X12/'Output-Calculation-sheet'!X11*'Output-Calculation-sheet'!X83</f>
        <v>126049688.69840918</v>
      </c>
      <c r="Y100" s="2">
        <f>Y12/'Output-Calculation-sheet'!Y11*'Output-Calculation-sheet'!Y83</f>
        <v>465095078.67737627</v>
      </c>
      <c r="AA100" s="2">
        <f t="shared" si="8"/>
        <v>83.256953468596976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14440-7B07-4798-B5FD-A51C8754CFF0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111996457403.11165</v>
      </c>
      <c r="C8" s="2">
        <v>52778366472.874344</v>
      </c>
      <c r="D8" s="2">
        <v>47039792595.699043</v>
      </c>
      <c r="E8" s="2">
        <v>37321301977.13401</v>
      </c>
      <c r="F8" s="2">
        <v>24025061344.637638</v>
      </c>
      <c r="G8" s="2">
        <v>16880667450.754374</v>
      </c>
      <c r="H8" s="2">
        <v>16466443103.687737</v>
      </c>
      <c r="I8" s="2">
        <v>15379616846.532742</v>
      </c>
      <c r="J8" s="2">
        <v>14969456819.544785</v>
      </c>
      <c r="K8" s="2">
        <v>14825950640.057587</v>
      </c>
      <c r="L8" s="2">
        <v>11893570361.318674</v>
      </c>
      <c r="M8" s="2">
        <v>11360410310.638874</v>
      </c>
      <c r="N8" s="2">
        <v>11150209910.042786</v>
      </c>
      <c r="O8" s="2">
        <v>10254882439.398483</v>
      </c>
      <c r="P8" s="2">
        <v>10150547118.711617</v>
      </c>
      <c r="Q8" s="2">
        <v>9986497872.3486023</v>
      </c>
      <c r="R8" s="2">
        <v>9607470291.0891724</v>
      </c>
      <c r="S8" s="2">
        <v>6385616914.6803789</v>
      </c>
      <c r="T8" s="2">
        <v>3531623467.0849013</v>
      </c>
      <c r="U8" s="2">
        <v>3075923369.3065529</v>
      </c>
      <c r="V8" s="2">
        <v>2368522512.8334332</v>
      </c>
      <c r="W8" s="2">
        <v>2050615579.5377002</v>
      </c>
      <c r="X8" s="2">
        <v>1230369347.722621</v>
      </c>
      <c r="Y8" s="2">
        <v>1196521886.9667697</v>
      </c>
    </row>
    <row r="9" spans="1:27" x14ac:dyDescent="0.25">
      <c r="A9" s="2">
        <v>2032</v>
      </c>
      <c r="B9" s="2">
        <v>115634237372.98776</v>
      </c>
      <c r="C9" s="2">
        <v>54492671450.457222</v>
      </c>
      <c r="D9" s="2">
        <v>48567701774.788895</v>
      </c>
      <c r="E9" s="2">
        <v>38533542863.409973</v>
      </c>
      <c r="F9" s="2">
        <v>24805424303.976559</v>
      </c>
      <c r="G9" s="2">
        <v>17428971882.469257</v>
      </c>
      <c r="H9" s="2">
        <v>17001293029.182215</v>
      </c>
      <c r="I9" s="2">
        <v>15879165344.815254</v>
      </c>
      <c r="J9" s="2">
        <v>15455682825.623369</v>
      </c>
      <c r="K9" s="2">
        <v>15307515392.40193</v>
      </c>
      <c r="L9" s="2">
        <v>12279887866.657152</v>
      </c>
      <c r="M9" s="2">
        <v>11729410134.703558</v>
      </c>
      <c r="N9" s="2">
        <v>11512382171.65881</v>
      </c>
      <c r="O9" s="2">
        <v>10587973385.27729</v>
      </c>
      <c r="P9" s="2">
        <v>10480249127.578075</v>
      </c>
      <c r="Q9" s="2">
        <v>10310871363.900047</v>
      </c>
      <c r="R9" s="2">
        <v>9919532509.8101444</v>
      </c>
      <c r="S9" s="2">
        <v>6593029451.1672783</v>
      </c>
      <c r="T9" s="2">
        <v>3646334855.3519812</v>
      </c>
      <c r="U9" s="2">
        <v>3175833068.9630556</v>
      </c>
      <c r="V9" s="2">
        <v>2445454979.7629337</v>
      </c>
      <c r="W9" s="2">
        <v>2117222045.9753687</v>
      </c>
      <c r="X9" s="2">
        <v>1270333227.5852222</v>
      </c>
      <c r="Y9" s="2">
        <v>1235386360.4943507</v>
      </c>
    </row>
    <row r="10" spans="1:27" x14ac:dyDescent="0.25">
      <c r="A10" s="2">
        <v>2033</v>
      </c>
      <c r="B10" s="2">
        <v>107567153601.76149</v>
      </c>
      <c r="C10" s="2">
        <v>50691055635.836571</v>
      </c>
      <c r="D10" s="2">
        <v>45179434357.679771</v>
      </c>
      <c r="E10" s="2">
        <v>35845296498.463715</v>
      </c>
      <c r="F10" s="2">
        <v>23074903652.073715</v>
      </c>
      <c r="G10" s="2">
        <v>16213060579.584919</v>
      </c>
      <c r="H10" s="2">
        <v>15815218228.14222</v>
      </c>
      <c r="I10" s="2">
        <v>14771374434.752993</v>
      </c>
      <c r="J10" s="2">
        <v>14377435665.194286</v>
      </c>
      <c r="K10" s="2">
        <v>14239604955.101908</v>
      </c>
      <c r="L10" s="2">
        <v>11423196229.542334</v>
      </c>
      <c r="M10" s="2">
        <v>10911121915.804232</v>
      </c>
      <c r="N10" s="2">
        <v>10709234648.096397</v>
      </c>
      <c r="O10" s="2">
        <v>9849316131.1023369</v>
      </c>
      <c r="P10" s="2">
        <v>9749107126.9369831</v>
      </c>
      <c r="Q10" s="2">
        <v>9591545799.6329517</v>
      </c>
      <c r="R10" s="2">
        <v>9227508230.9633503</v>
      </c>
      <c r="S10" s="2">
        <v>6133074665.3094282</v>
      </c>
      <c r="T10" s="2">
        <v>3391952680.9689293</v>
      </c>
      <c r="U10" s="2">
        <v>2954274886.950603</v>
      </c>
      <c r="V10" s="2">
        <v>2274850748.4497046</v>
      </c>
      <c r="W10" s="2">
        <v>1969516591.3004005</v>
      </c>
      <c r="X10" s="2">
        <v>1181709954.780241</v>
      </c>
      <c r="Y10" s="2">
        <v>1149201113.9242349</v>
      </c>
    </row>
    <row r="11" spans="1:27" x14ac:dyDescent="0.25">
      <c r="A11" s="2">
        <v>2034</v>
      </c>
      <c r="B11" s="2">
        <v>90605439880.145462</v>
      </c>
      <c r="C11" s="2">
        <v>42697842604.237946</v>
      </c>
      <c r="D11" s="2">
        <v>38055320666.649109</v>
      </c>
      <c r="E11" s="2">
        <v>30193035216.880169</v>
      </c>
      <c r="F11" s="2">
        <v>19436340235.685822</v>
      </c>
      <c r="G11" s="2">
        <v>13656506065.553101</v>
      </c>
      <c r="H11" s="2">
        <v>13321397437.608269</v>
      </c>
      <c r="I11" s="2">
        <v>12442152027.654037</v>
      </c>
      <c r="J11" s="2">
        <v>12110331445.751743</v>
      </c>
      <c r="K11" s="2">
        <v>11994234554.658512</v>
      </c>
      <c r="L11" s="2">
        <v>9621930901.3858051</v>
      </c>
      <c r="M11" s="2">
        <v>9190602964.4271336</v>
      </c>
      <c r="N11" s="2">
        <v>9020550266.3275776</v>
      </c>
      <c r="O11" s="2">
        <v>8296227897.6072664</v>
      </c>
      <c r="P11" s="2">
        <v>8211820338.2516718</v>
      </c>
      <c r="Q11" s="2">
        <v>8079104049.9566956</v>
      </c>
      <c r="R11" s="2">
        <v>7772469701.6655664</v>
      </c>
      <c r="S11" s="2">
        <v>5165981521.8819447</v>
      </c>
      <c r="T11" s="2">
        <v>2857093029.063807</v>
      </c>
      <c r="U11" s="2">
        <v>2488430405.5308113</v>
      </c>
      <c r="V11" s="2">
        <v>1916141180.8668365</v>
      </c>
      <c r="W11" s="2">
        <v>1658953603.687206</v>
      </c>
      <c r="X11" s="2">
        <v>995372162.21232438</v>
      </c>
      <c r="Y11" s="2">
        <v>967989474.02986169</v>
      </c>
    </row>
    <row r="12" spans="1:27" x14ac:dyDescent="0.25">
      <c r="A12" s="2">
        <v>2035</v>
      </c>
      <c r="B12" s="2">
        <v>68515589266.077843</v>
      </c>
      <c r="C12" s="2">
        <v>32287993417.27681</v>
      </c>
      <c r="D12" s="2">
        <v>28777330849.385063</v>
      </c>
      <c r="E12" s="2">
        <v>22831891797.584019</v>
      </c>
      <c r="F12" s="2">
        <v>14697708064.610462</v>
      </c>
      <c r="G12" s="2">
        <v>10327013053.905773</v>
      </c>
      <c r="H12" s="2">
        <v>10073604813.272989</v>
      </c>
      <c r="I12" s="2">
        <v>9408721805.6721497</v>
      </c>
      <c r="J12" s="2">
        <v>9157799976.5885677</v>
      </c>
      <c r="K12" s="2">
        <v>9070007820.6679668</v>
      </c>
      <c r="L12" s="2">
        <v>7276078196.3864746</v>
      </c>
      <c r="M12" s="2">
        <v>6949909173.7898407</v>
      </c>
      <c r="N12" s="2">
        <v>6821315782.1348791</v>
      </c>
      <c r="O12" s="2">
        <v>6273585160.4732962</v>
      </c>
      <c r="P12" s="2">
        <v>6209756391.7436228</v>
      </c>
      <c r="Q12" s="2">
        <v>6109396692.48312</v>
      </c>
      <c r="R12" s="2">
        <v>5877520625.3266916</v>
      </c>
      <c r="S12" s="2">
        <v>3906501293.7150669</v>
      </c>
      <c r="T12" s="2">
        <v>2160526042.7327414</v>
      </c>
      <c r="U12" s="2">
        <v>1881744361.1344326</v>
      </c>
      <c r="V12" s="2">
        <v>1448980792.9607368</v>
      </c>
      <c r="W12" s="2">
        <v>1254496240.7562873</v>
      </c>
      <c r="X12" s="2">
        <v>752697744.4537729</v>
      </c>
      <c r="Y12" s="2">
        <v>731991029.50384843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-4.8443221004840817E-11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192.67004507413145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3.0244191121304652E-12</v>
      </c>
      <c r="Y16" s="2">
        <f>Y5/'Output-Calculation-sheet'!Y4*'Output-Calculation-sheet'!Y22</f>
        <v>0</v>
      </c>
      <c r="AA16" s="2">
        <f t="shared" ref="AA16:AA23" si="0">SUM(B16:Y16)/1000</f>
        <v>0.19267004507408603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1533.4245836019963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1043.7250850070277</v>
      </c>
      <c r="N17" s="2">
        <f>N6/'Output-Calculation-sheet'!N5*'Output-Calculation-sheet'!N23</f>
        <v>428.04132238536522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96.208542383248712</v>
      </c>
      <c r="Y17" s="2">
        <f>Y6/'Output-Calculation-sheet'!Y5*'Output-Calculation-sheet'!Y23</f>
        <v>0</v>
      </c>
      <c r="AA17" s="2">
        <f t="shared" si="0"/>
        <v>3.1013995333776379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2058.9994115891145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1399.453207171937</v>
      </c>
      <c r="N18" s="2">
        <f>N7/'Output-Calculation-sheet'!N6*'Output-Calculation-sheet'!N24</f>
        <v>774.67774409618482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137.62596254687006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131.38296544028265</v>
      </c>
      <c r="Y18" s="2">
        <f>Y7/'Output-Calculation-sheet'!Y6*'Output-Calculation-sheet'!Y24</f>
        <v>0</v>
      </c>
      <c r="AA18" s="2">
        <f t="shared" si="0"/>
        <v>4.5021392908443891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2461.200650454196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1685.5456039248602</v>
      </c>
      <c r="N19" s="2">
        <f>N8/'Output-Calculation-sheet'!N7*'Output-Calculation-sheet'!N25</f>
        <v>1133.7742070515926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300.72845261604624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159.96466854452456</v>
      </c>
      <c r="Y19" s="2">
        <f>Y8/'Output-Calculation-sheet'!Y7*'Output-Calculation-sheet'!Y25</f>
        <v>0</v>
      </c>
      <c r="AA19" s="2">
        <f t="shared" si="0"/>
        <v>5.7412135825912189</v>
      </c>
    </row>
    <row r="20" spans="1:27" x14ac:dyDescent="0.25">
      <c r="A20" s="2">
        <v>2032</v>
      </c>
      <c r="B20" s="2">
        <f>B9/'Output-Calculation-sheet'!B8*'Output-Calculation-sheet'!B26</f>
        <v>2.4832608373835736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2624.9862394083989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1795.1492823061983</v>
      </c>
      <c r="N20" s="2">
        <f>N9/'Output-Calculation-sheet'!N8*'Output-Calculation-sheet'!N26</f>
        <v>1307.3814180649858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449.80624344729586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172.7916187516968</v>
      </c>
      <c r="Y20" s="2">
        <f>Y9/'Output-Calculation-sheet'!Y8*'Output-Calculation-sheet'!Y26</f>
        <v>0</v>
      </c>
      <c r="AA20" s="2">
        <f t="shared" si="0"/>
        <v>6.35259806281596</v>
      </c>
    </row>
    <row r="21" spans="1:27" x14ac:dyDescent="0.25">
      <c r="A21" s="2">
        <v>2033</v>
      </c>
      <c r="B21" s="2">
        <f>B10/'Output-Calculation-sheet'!B9*'Output-Calculation-sheet'!B27</f>
        <v>3596.6997788595431</v>
      </c>
      <c r="C21" s="2">
        <f>C10/'Output-Calculation-sheet'!C9*'Output-Calculation-sheet'!C27</f>
        <v>5612.4029983772916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2518.0712999434131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1723.7489949213377</v>
      </c>
      <c r="N21" s="2">
        <f>N10/'Output-Calculation-sheet'!N9*'Output-Calculation-sheet'!N27</f>
        <v>1346.8150149163885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513.79645488267658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165.92036563269232</v>
      </c>
      <c r="Y21" s="2">
        <f>Y10/'Output-Calculation-sheet'!Y9*'Output-Calculation-sheet'!Y27</f>
        <v>0</v>
      </c>
      <c r="AA21" s="2">
        <f t="shared" si="0"/>
        <v>15.477454907533341</v>
      </c>
    </row>
    <row r="22" spans="1:27" x14ac:dyDescent="0.25">
      <c r="A22" s="2">
        <v>2034</v>
      </c>
      <c r="B22" s="2">
        <f>B11/'Output-Calculation-sheet'!B10*'Output-Calculation-sheet'!B28</f>
        <v>5177.5012144029779</v>
      </c>
      <c r="C22" s="2">
        <f>C11/'Output-Calculation-sheet'!C10*'Output-Calculation-sheet'!C28</f>
        <v>5016.1325269553981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2191.5633976695995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1500.3633251564336</v>
      </c>
      <c r="N22" s="2">
        <f>N11/'Output-Calculation-sheet'!N10*'Output-Calculation-sheet'!N28</f>
        <v>1203.1135980062479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490.78823739158258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145.36593803560149</v>
      </c>
      <c r="Y22" s="2">
        <f>Y11/'Output-Calculation-sheet'!Y10*'Output-Calculation-sheet'!Y28</f>
        <v>0</v>
      </c>
      <c r="AA22" s="2">
        <f t="shared" si="0"/>
        <v>15.724828237617839</v>
      </c>
    </row>
    <row r="23" spans="1:27" x14ac:dyDescent="0.25">
      <c r="A23" s="2">
        <v>2035</v>
      </c>
      <c r="B23" s="2">
        <f>B12/'Output-Calculation-sheet'!B11*'Output-Calculation-sheet'!B29</f>
        <v>4877.6297280438293</v>
      </c>
      <c r="C23" s="2">
        <f>C12/'Output-Calculation-sheet'!C11*'Output-Calculation-sheet'!C29</f>
        <v>3996.8502838447016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1705.2326250584622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1165.5942224975061</v>
      </c>
      <c r="N23" s="2">
        <f>N12/'Output-Calculation-sheet'!N11*'Output-Calculation-sheet'!N29</f>
        <v>952.77227322512852</v>
      </c>
      <c r="O23" s="2">
        <f>O12/'Output-Calculation-sheet'!O11*'Output-Calculation-sheet'!O29</f>
        <v>679.56226261463382</v>
      </c>
      <c r="P23" s="2">
        <f>P12/'Output-Calculation-sheet'!P11*'Output-Calculation-sheet'!P29</f>
        <v>0</v>
      </c>
      <c r="Q23" s="2">
        <f>Q12/'Output-Calculation-sheet'!Q11*'Output-Calculation-sheet'!Q29</f>
        <v>13.004227906711268</v>
      </c>
      <c r="R23" s="2">
        <f>R12/'Output-Calculation-sheet'!R11*'Output-Calculation-sheet'!R29</f>
        <v>0</v>
      </c>
      <c r="S23" s="2">
        <f>S12/'Output-Calculation-sheet'!S11*'Output-Calculation-sheet'!S29</f>
        <v>418.41644367928694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114.25955767534485</v>
      </c>
      <c r="Y23" s="2">
        <f>Y12/'Output-Calculation-sheet'!Y11*'Output-Calculation-sheet'!Y29</f>
        <v>0</v>
      </c>
      <c r="AA23" s="2">
        <f t="shared" si="0"/>
        <v>13.923321624545604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8969.926294256602</v>
      </c>
      <c r="C27" s="2">
        <f>C5/'Output-Calculation-sheet'!C4*'Output-Calculation-sheet'!C13</f>
        <v>0</v>
      </c>
      <c r="D27" s="2">
        <f>D5/'Output-Calculation-sheet'!D4*'Output-Calculation-sheet'!D13</f>
        <v>2896.8118516387653</v>
      </c>
      <c r="E27" s="2">
        <f>E5/'Output-Calculation-sheet'!E4*'Output-Calculation-sheet'!E13</f>
        <v>2955.1996595598139</v>
      </c>
      <c r="F27" s="2">
        <f>F5/'Output-Calculation-sheet'!F4*'Output-Calculation-sheet'!F13</f>
        <v>1678.7357198057578</v>
      </c>
      <c r="G27" s="2">
        <f>G5/'Output-Calculation-sheet'!G4*'Output-Calculation-sheet'!G13</f>
        <v>1018.0627903483304</v>
      </c>
      <c r="H27" s="2">
        <f>H5/'Output-Calculation-sheet'!H4*'Output-Calculation-sheet'!H13</f>
        <v>0</v>
      </c>
      <c r="I27" s="2">
        <f>I5/'Output-Calculation-sheet'!I4*'Output-Calculation-sheet'!I13</f>
        <v>1017.3102620508267</v>
      </c>
      <c r="J27" s="2">
        <f>J5/'Output-Calculation-sheet'!J4*'Output-Calculation-sheet'!J13</f>
        <v>935.245890013289</v>
      </c>
      <c r="K27" s="2">
        <f>K5/'Output-Calculation-sheet'!K4*'Output-Calculation-sheet'!K13</f>
        <v>1140.0845893762462</v>
      </c>
      <c r="L27" s="2">
        <f>L5/'Output-Calculation-sheet'!L4*'Output-Calculation-sheet'!L13</f>
        <v>945.33125398479945</v>
      </c>
      <c r="M27" s="2">
        <f>M5/'Output-Calculation-sheet'!M4*'Output-Calculation-sheet'!M13</f>
        <v>0</v>
      </c>
      <c r="N27" s="2">
        <f>N5/'Output-Calculation-sheet'!N4*'Output-Calculation-sheet'!N13</f>
        <v>614.0689978991835</v>
      </c>
      <c r="O27" s="2">
        <f>O5/'Output-Calculation-sheet'!O4*'Output-Calculation-sheet'!O13</f>
        <v>0</v>
      </c>
      <c r="P27" s="2">
        <f>P5/'Output-Calculation-sheet'!P4*'Output-Calculation-sheet'!P13</f>
        <v>738.78330105439738</v>
      </c>
      <c r="Q27" s="2">
        <f>Q5/'Output-Calculation-sheet'!Q4*'Output-Calculation-sheet'!Q13</f>
        <v>797.01630657061492</v>
      </c>
      <c r="R27" s="2">
        <f>R5/'Output-Calculation-sheet'!R4*'Output-Calculation-sheet'!R13</f>
        <v>719.2927449293843</v>
      </c>
      <c r="S27" s="2">
        <f>S5/'Output-Calculation-sheet'!S4*'Output-Calculation-sheet'!S13</f>
        <v>431.79892974432403</v>
      </c>
      <c r="T27" s="2">
        <f>T5/'Output-Calculation-sheet'!T4*'Output-Calculation-sheet'!T13</f>
        <v>264.40956595950104</v>
      </c>
      <c r="U27" s="2">
        <f>U5/'Output-Calculation-sheet'!U4*'Output-Calculation-sheet'!U13</f>
        <v>201.9153050149969</v>
      </c>
      <c r="V27" s="2">
        <f>V5/'Output-Calculation-sheet'!V4*'Output-Calculation-sheet'!V13</f>
        <v>193.42744364782652</v>
      </c>
      <c r="W27" s="2">
        <f>W5/'Output-Calculation-sheet'!W4*'Output-Calculation-sheet'!W13</f>
        <v>135.37298936876249</v>
      </c>
      <c r="X27" s="2">
        <f>X5/'Output-Calculation-sheet'!X4*'Output-Calculation-sheet'!X13</f>
        <v>0</v>
      </c>
      <c r="Y27" s="2">
        <f>Y5/'Output-Calculation-sheet'!Y4*'Output-Calculation-sheet'!Y13</f>
        <v>88.859631842540509</v>
      </c>
      <c r="AA27" s="2">
        <f t="shared" ref="AA27:AA34" si="1">SUM(B27:Y27)/1000</f>
        <v>25.741653527065964</v>
      </c>
    </row>
    <row r="28" spans="1:27" x14ac:dyDescent="0.25">
      <c r="A28" s="2">
        <v>2029</v>
      </c>
      <c r="B28" s="2">
        <f>B6/'Output-Calculation-sheet'!B5*'Output-Calculation-sheet'!B14</f>
        <v>12779.040034731768</v>
      </c>
      <c r="C28" s="2">
        <f>C6/'Output-Calculation-sheet'!C5*'Output-Calculation-sheet'!C14</f>
        <v>0</v>
      </c>
      <c r="D28" s="2">
        <f>D6/'Output-Calculation-sheet'!D5*'Output-Calculation-sheet'!D14</f>
        <v>4065.0952735208048</v>
      </c>
      <c r="E28" s="2">
        <f>E6/'Output-Calculation-sheet'!E5*'Output-Calculation-sheet'!E14</f>
        <v>4174.4157888742584</v>
      </c>
      <c r="F28" s="2">
        <f>F6/'Output-Calculation-sheet'!F5*'Output-Calculation-sheet'!F14</f>
        <v>2353.9437307853668</v>
      </c>
      <c r="G28" s="2">
        <f>G6/'Output-Calculation-sheet'!G5*'Output-Calculation-sheet'!G14</f>
        <v>1426.1730245532369</v>
      </c>
      <c r="H28" s="2">
        <f>H6/'Output-Calculation-sheet'!H5*'Output-Calculation-sheet'!H14</f>
        <v>0</v>
      </c>
      <c r="I28" s="2">
        <f>I6/'Output-Calculation-sheet'!I5*'Output-Calculation-sheet'!I14</f>
        <v>1432.4364589543388</v>
      </c>
      <c r="J28" s="2">
        <f>J6/'Output-Calculation-sheet'!J5*'Output-Calculation-sheet'!J14</f>
        <v>1312.6817060850306</v>
      </c>
      <c r="K28" s="2">
        <f>K6/'Output-Calculation-sheet'!K5*'Output-Calculation-sheet'!K14</f>
        <v>1609.9904127531968</v>
      </c>
      <c r="L28" s="2">
        <f>L6/'Output-Calculation-sheet'!L5*'Output-Calculation-sheet'!L14</f>
        <v>1331.5230569250796</v>
      </c>
      <c r="M28" s="2">
        <f>M6/'Output-Calculation-sheet'!M5*'Output-Calculation-sheet'!M14</f>
        <v>0</v>
      </c>
      <c r="N28" s="2">
        <f>N6/'Output-Calculation-sheet'!N5*'Output-Calculation-sheet'!N14</f>
        <v>844.13572965717674</v>
      </c>
      <c r="O28" s="2">
        <f>O6/'Output-Calculation-sheet'!O5*'Output-Calculation-sheet'!O14</f>
        <v>0</v>
      </c>
      <c r="P28" s="2">
        <f>P6/'Output-Calculation-sheet'!P5*'Output-Calculation-sheet'!P14</f>
        <v>1054.2386522009647</v>
      </c>
      <c r="Q28" s="2">
        <f>Q6/'Output-Calculation-sheet'!Q5*'Output-Calculation-sheet'!Q14</f>
        <v>1144.3941278729947</v>
      </c>
      <c r="R28" s="2">
        <f>R6/'Output-Calculation-sheet'!R5*'Output-Calculation-sheet'!R14</f>
        <v>1017.5357025492629</v>
      </c>
      <c r="S28" s="2">
        <f>S6/'Output-Calculation-sheet'!S5*'Output-Calculation-sheet'!S14</f>
        <v>623.71637297207519</v>
      </c>
      <c r="T28" s="2">
        <f>T6/'Output-Calculation-sheet'!T5*'Output-Calculation-sheet'!T14</f>
        <v>372.03441370894404</v>
      </c>
      <c r="U28" s="2">
        <f>U6/'Output-Calculation-sheet'!U5*'Output-Calculation-sheet'!U14</f>
        <v>285.40284641845471</v>
      </c>
      <c r="V28" s="2">
        <f>V6/'Output-Calculation-sheet'!V5*'Output-Calculation-sheet'!V14</f>
        <v>272.98249783361518</v>
      </c>
      <c r="W28" s="2">
        <f>W6/'Output-Calculation-sheet'!W5*'Output-Calculation-sheet'!W14</f>
        <v>190.49386096810699</v>
      </c>
      <c r="X28" s="2">
        <f>X6/'Output-Calculation-sheet'!X5*'Output-Calculation-sheet'!X14</f>
        <v>0</v>
      </c>
      <c r="Y28" s="2">
        <f>Y6/'Output-Calculation-sheet'!Y5*'Output-Calculation-sheet'!Y14</f>
        <v>125.25843350925551</v>
      </c>
      <c r="AA28" s="2">
        <f t="shared" si="1"/>
        <v>36.415492124873936</v>
      </c>
    </row>
    <row r="29" spans="1:27" x14ac:dyDescent="0.25">
      <c r="A29" s="2">
        <v>2030</v>
      </c>
      <c r="B29" s="2">
        <f>B7/'Output-Calculation-sheet'!B6*'Output-Calculation-sheet'!B15</f>
        <v>16562.287039378967</v>
      </c>
      <c r="C29" s="2">
        <f>C7/'Output-Calculation-sheet'!C6*'Output-Calculation-sheet'!C15</f>
        <v>0</v>
      </c>
      <c r="D29" s="2">
        <f>D7/'Output-Calculation-sheet'!D6*'Output-Calculation-sheet'!D15</f>
        <v>5206.2880240946552</v>
      </c>
      <c r="E29" s="2">
        <f>E7/'Output-Calculation-sheet'!E6*'Output-Calculation-sheet'!E15</f>
        <v>5367.0070014605262</v>
      </c>
      <c r="F29" s="2">
        <f>F7/'Output-Calculation-sheet'!F6*'Output-Calculation-sheet'!F15</f>
        <v>3010.4370053739203</v>
      </c>
      <c r="G29" s="2">
        <f>G7/'Output-Calculation-sheet'!G6*'Output-Calculation-sheet'!G15</f>
        <v>1820.8865272024243</v>
      </c>
      <c r="H29" s="2">
        <f>H7/'Output-Calculation-sheet'!H6*'Output-Calculation-sheet'!H15</f>
        <v>0</v>
      </c>
      <c r="I29" s="2">
        <f>I7/'Output-Calculation-sheet'!I6*'Output-Calculation-sheet'!I15</f>
        <v>1834.7308492356367</v>
      </c>
      <c r="J29" s="2">
        <f>J7/'Output-Calculation-sheet'!J6*'Output-Calculation-sheet'!J15</f>
        <v>1678.3204698292923</v>
      </c>
      <c r="K29" s="2">
        <f>K7/'Output-Calculation-sheet'!K6*'Output-Calculation-sheet'!K15</f>
        <v>2066.4674589858942</v>
      </c>
      <c r="L29" s="2">
        <f>L7/'Output-Calculation-sheet'!L6*'Output-Calculation-sheet'!L15</f>
        <v>1713.24891664391</v>
      </c>
      <c r="M29" s="2">
        <f>M7/'Output-Calculation-sheet'!M6*'Output-Calculation-sheet'!M15</f>
        <v>0</v>
      </c>
      <c r="N29" s="2">
        <f>N7/'Output-Calculation-sheet'!N6*'Output-Calculation-sheet'!N15</f>
        <v>971.5239269481051</v>
      </c>
      <c r="O29" s="2">
        <f>O7/'Output-Calculation-sheet'!O6*'Output-Calculation-sheet'!O15</f>
        <v>0</v>
      </c>
      <c r="P29" s="2">
        <f>P7/'Output-Calculation-sheet'!P6*'Output-Calculation-sheet'!P15</f>
        <v>1361.9272927686075</v>
      </c>
      <c r="Q29" s="2">
        <f>Q7/'Output-Calculation-sheet'!Q6*'Output-Calculation-sheet'!Q15</f>
        <v>1487.7109373751125</v>
      </c>
      <c r="R29" s="2">
        <f>R7/'Output-Calculation-sheet'!R6*'Output-Calculation-sheet'!R15</f>
        <v>1309.9762010223048</v>
      </c>
      <c r="S29" s="2">
        <f>S7/'Output-Calculation-sheet'!S6*'Output-Calculation-sheet'!S15</f>
        <v>749.00530659750882</v>
      </c>
      <c r="T29" s="2">
        <f>T7/'Output-Calculation-sheet'!T6*'Output-Calculation-sheet'!T15</f>
        <v>477.61714626322271</v>
      </c>
      <c r="U29" s="2">
        <f>U7/'Output-Calculation-sheet'!U6*'Output-Calculation-sheet'!U15</f>
        <v>366.98735498790091</v>
      </c>
      <c r="V29" s="2">
        <f>V7/'Output-Calculation-sheet'!V6*'Output-Calculation-sheet'!V15</f>
        <v>351.27159667851555</v>
      </c>
      <c r="W29" s="2">
        <f>W7/'Output-Calculation-sheet'!W6*'Output-Calculation-sheet'!W15</f>
        <v>244.60735484863318</v>
      </c>
      <c r="X29" s="2">
        <f>X7/'Output-Calculation-sheet'!X6*'Output-Calculation-sheet'!X15</f>
        <v>0</v>
      </c>
      <c r="Y29" s="2">
        <f>Y7/'Output-Calculation-sheet'!Y6*'Output-Calculation-sheet'!Y15</f>
        <v>161.11952483526542</v>
      </c>
      <c r="AA29" s="2">
        <f t="shared" si="1"/>
        <v>46.741419934530391</v>
      </c>
    </row>
    <row r="30" spans="1:27" x14ac:dyDescent="0.25">
      <c r="A30" s="2">
        <v>2031</v>
      </c>
      <c r="B30" s="2">
        <f>B8/'Output-Calculation-sheet'!B7*'Output-Calculation-sheet'!B16</f>
        <v>19344.751803633906</v>
      </c>
      <c r="C30" s="2">
        <f>C8/'Output-Calculation-sheet'!C7*'Output-Calculation-sheet'!C16</f>
        <v>0</v>
      </c>
      <c r="D30" s="2">
        <f>D8/'Output-Calculation-sheet'!D7*'Output-Calculation-sheet'!D16</f>
        <v>6038.7356427907507</v>
      </c>
      <c r="E30" s="2">
        <f>E8/'Output-Calculation-sheet'!E7*'Output-Calculation-sheet'!E16</f>
        <v>6246.0990323767319</v>
      </c>
      <c r="F30" s="2">
        <f>F8/'Output-Calculation-sheet'!F7*'Output-Calculation-sheet'!F16</f>
        <v>3499.3007750763832</v>
      </c>
      <c r="G30" s="2">
        <f>G8/'Output-Calculation-sheet'!G7*'Output-Calculation-sheet'!G16</f>
        <v>2110.461011909405</v>
      </c>
      <c r="H30" s="2">
        <f>H8/'Output-Calculation-sheet'!H7*'Output-Calculation-sheet'!H16</f>
        <v>0</v>
      </c>
      <c r="I30" s="2">
        <f>I8/'Output-Calculation-sheet'!I7*'Output-Calculation-sheet'!I16</f>
        <v>2136.0208198959699</v>
      </c>
      <c r="J30" s="2">
        <f>J8/'Output-Calculation-sheet'!J7*'Output-Calculation-sheet'!J16</f>
        <v>1949.6648529340382</v>
      </c>
      <c r="K30" s="2">
        <f>K8/'Output-Calculation-sheet'!K7*'Output-Calculation-sheet'!K16</f>
        <v>2411.2055100729476</v>
      </c>
      <c r="L30" s="2">
        <f>L8/'Output-Calculation-sheet'!L7*'Output-Calculation-sheet'!L16</f>
        <v>1989.8743765437339</v>
      </c>
      <c r="M30" s="2">
        <f>M8/'Output-Calculation-sheet'!M7*'Output-Calculation-sheet'!M16</f>
        <v>0</v>
      </c>
      <c r="N30" s="2">
        <f>N8/'Output-Calculation-sheet'!N7*'Output-Calculation-sheet'!N16</f>
        <v>976.3433747799229</v>
      </c>
      <c r="O30" s="2">
        <f>O8/'Output-Calculation-sheet'!O7*'Output-Calculation-sheet'!O16</f>
        <v>0</v>
      </c>
      <c r="P30" s="2">
        <f>P8/'Output-Calculation-sheet'!P7*'Output-Calculation-sheet'!P16</f>
        <v>1586.0236110023852</v>
      </c>
      <c r="Q30" s="2">
        <f>Q8/'Output-Calculation-sheet'!Q7*'Output-Calculation-sheet'!Q16</f>
        <v>1739.5999743785114</v>
      </c>
      <c r="R30" s="2">
        <f>R8/'Output-Calculation-sheet'!R7*'Output-Calculation-sheet'!R16</f>
        <v>1524.1160133014148</v>
      </c>
      <c r="S30" s="2">
        <f>S8/'Output-Calculation-sheet'!S7*'Output-Calculation-sheet'!S16</f>
        <v>813.93469057712832</v>
      </c>
      <c r="T30" s="2">
        <f>T8/'Output-Calculation-sheet'!T7*'Output-Calculation-sheet'!T16</f>
        <v>556.02878882810273</v>
      </c>
      <c r="U30" s="2">
        <f>U8/'Output-Calculation-sheet'!U7*'Output-Calculation-sheet'!U16</f>
        <v>427.34771713975152</v>
      </c>
      <c r="V30" s="2">
        <f>V8/'Output-Calculation-sheet'!V7*'Output-Calculation-sheet'!V16</f>
        <v>409.22242280115626</v>
      </c>
      <c r="W30" s="2">
        <f>W8/'Output-Calculation-sheet'!W7*'Output-Calculation-sheet'!W16</f>
        <v>284.09681533246311</v>
      </c>
      <c r="X30" s="2">
        <f>X8/'Output-Calculation-sheet'!X7*'Output-Calculation-sheet'!X16</f>
        <v>0</v>
      </c>
      <c r="Y30" s="2">
        <f>Y8/'Output-Calculation-sheet'!Y7*'Output-Calculation-sheet'!Y16</f>
        <v>187.81825357809345</v>
      </c>
      <c r="AA30" s="2">
        <f t="shared" si="1"/>
        <v>54.230645486952803</v>
      </c>
    </row>
    <row r="31" spans="1:27" x14ac:dyDescent="0.25">
      <c r="A31" s="2">
        <v>2032</v>
      </c>
      <c r="B31" s="2">
        <f>B9/'Output-Calculation-sheet'!B8*'Output-Calculation-sheet'!B17</f>
        <v>20219.838492903138</v>
      </c>
      <c r="C31" s="2">
        <f>C9/'Output-Calculation-sheet'!C8*'Output-Calculation-sheet'!C17</f>
        <v>0</v>
      </c>
      <c r="D31" s="2">
        <f>D9/'Output-Calculation-sheet'!D8*'Output-Calculation-sheet'!D17</f>
        <v>6268.5754213979508</v>
      </c>
      <c r="E31" s="2">
        <f>E9/'Output-Calculation-sheet'!E8*'Output-Calculation-sheet'!E17</f>
        <v>6491.8247111129185</v>
      </c>
      <c r="F31" s="2">
        <f>F9/'Output-Calculation-sheet'!F8*'Output-Calculation-sheet'!F17</f>
        <v>3626.7201658963577</v>
      </c>
      <c r="G31" s="2">
        <f>G9/'Output-Calculation-sheet'!G8*'Output-Calculation-sheet'!G17</f>
        <v>2186.3315607115774</v>
      </c>
      <c r="H31" s="2">
        <f>H9/'Output-Calculation-sheet'!H8*'Output-Calculation-sheet'!H17</f>
        <v>0</v>
      </c>
      <c r="I31" s="2">
        <f>I9/'Output-Calculation-sheet'!I8*'Output-Calculation-sheet'!I17</f>
        <v>2216.6708985214332</v>
      </c>
      <c r="J31" s="2">
        <f>J9/'Output-Calculation-sheet'!J8*'Output-Calculation-sheet'!J17</f>
        <v>2021.7511789228579</v>
      </c>
      <c r="K31" s="2">
        <f>K9/'Output-Calculation-sheet'!K8*'Output-Calculation-sheet'!K17</f>
        <v>2504.302659386201</v>
      </c>
      <c r="L31" s="2">
        <f>L9/'Output-Calculation-sheet'!L8*'Output-Calculation-sheet'!L17</f>
        <v>2067.2640572561686</v>
      </c>
      <c r="M31" s="2">
        <f>M9/'Output-Calculation-sheet'!M8*'Output-Calculation-sheet'!M17</f>
        <v>0</v>
      </c>
      <c r="N31" s="2">
        <f>N9/'Output-Calculation-sheet'!N8*'Output-Calculation-sheet'!N17</f>
        <v>914.43758396161297</v>
      </c>
      <c r="O31" s="2">
        <f>O9/'Output-Calculation-sheet'!O8*'Output-Calculation-sheet'!O17</f>
        <v>0</v>
      </c>
      <c r="P31" s="2">
        <f>P9/'Output-Calculation-sheet'!P8*'Output-Calculation-sheet'!P17</f>
        <v>1663.0507823357973</v>
      </c>
      <c r="Q31" s="2">
        <f>Q9/'Output-Calculation-sheet'!Q8*'Output-Calculation-sheet'!Q17</f>
        <v>1822.5466050044568</v>
      </c>
      <c r="R31" s="2">
        <f>R9/'Output-Calculation-sheet'!R8*'Output-Calculation-sheet'!R17</f>
        <v>1582.4394952915591</v>
      </c>
      <c r="S31" s="2">
        <f>S9/'Output-Calculation-sheet'!S8*'Output-Calculation-sheet'!S17</f>
        <v>789.55840942143027</v>
      </c>
      <c r="T31" s="2">
        <f>T9/'Output-Calculation-sheet'!T8*'Output-Calculation-sheet'!T17</f>
        <v>576.6562381339694</v>
      </c>
      <c r="U31" s="2">
        <f>U9/'Output-Calculation-sheet'!U8*'Output-Calculation-sheet'!U17</f>
        <v>444.7453441603821</v>
      </c>
      <c r="V31" s="2">
        <f>V9/'Output-Calculation-sheet'!V8*'Output-Calculation-sheet'!V17</f>
        <v>426.19753030350114</v>
      </c>
      <c r="W31" s="2">
        <f>W9/'Output-Calculation-sheet'!W8*'Output-Calculation-sheet'!W17</f>
        <v>295.12326598030165</v>
      </c>
      <c r="X31" s="2">
        <f>X9/'Output-Calculation-sheet'!X8*'Output-Calculation-sheet'!X17</f>
        <v>0</v>
      </c>
      <c r="Y31" s="2">
        <f>Y9/'Output-Calculation-sheet'!Y8*'Output-Calculation-sheet'!Y17</f>
        <v>195.10573173091223</v>
      </c>
      <c r="AA31" s="2">
        <f t="shared" si="1"/>
        <v>56.31314013243253</v>
      </c>
    </row>
    <row r="32" spans="1:27" x14ac:dyDescent="0.25">
      <c r="A32" s="2">
        <v>2033</v>
      </c>
      <c r="B32" s="2">
        <f>B10/'Output-Calculation-sheet'!B9*'Output-Calculation-sheet'!B18</f>
        <v>17552.155322990569</v>
      </c>
      <c r="C32" s="2">
        <f>C10/'Output-Calculation-sheet'!C9*'Output-Calculation-sheet'!C18</f>
        <v>0</v>
      </c>
      <c r="D32" s="2">
        <f>D10/'Output-Calculation-sheet'!D9*'Output-Calculation-sheet'!D18</f>
        <v>5859.6858573575837</v>
      </c>
      <c r="E32" s="2">
        <f>E10/'Output-Calculation-sheet'!E9*'Output-Calculation-sheet'!E18</f>
        <v>6067.8398641634312</v>
      </c>
      <c r="F32" s="2">
        <f>F10/'Output-Calculation-sheet'!F9*'Output-Calculation-sheet'!F18</f>
        <v>3389.2847398149697</v>
      </c>
      <c r="G32" s="2">
        <f>G10/'Output-Calculation-sheet'!G9*'Output-Calculation-sheet'!G18</f>
        <v>2044.1299319289667</v>
      </c>
      <c r="H32" s="2">
        <f>H10/'Output-Calculation-sheet'!H9*'Output-Calculation-sheet'!H18</f>
        <v>0</v>
      </c>
      <c r="I32" s="2">
        <f>I10/'Output-Calculation-sheet'!I9*'Output-Calculation-sheet'!I18</f>
        <v>2072.2544685614225</v>
      </c>
      <c r="J32" s="2">
        <f>J10/'Output-Calculation-sheet'!J9*'Output-Calculation-sheet'!J18</f>
        <v>1890.0098617473288</v>
      </c>
      <c r="K32" s="2">
        <f>K10/'Output-Calculation-sheet'!K9*'Output-Calculation-sheet'!K18</f>
        <v>2346.4761278481333</v>
      </c>
      <c r="L32" s="2">
        <f>L10/'Output-Calculation-sheet'!L9*'Output-Calculation-sheet'!L18</f>
        <v>1933.7969491185954</v>
      </c>
      <c r="M32" s="2">
        <f>M10/'Output-Calculation-sheet'!M9*'Output-Calculation-sheet'!M18</f>
        <v>0</v>
      </c>
      <c r="N32" s="2">
        <f>N10/'Output-Calculation-sheet'!N9*'Output-Calculation-sheet'!N18</f>
        <v>765.42302479294585</v>
      </c>
      <c r="O32" s="2">
        <f>O10/'Output-Calculation-sheet'!O9*'Output-Calculation-sheet'!O18</f>
        <v>0</v>
      </c>
      <c r="P32" s="2">
        <f>P10/'Output-Calculation-sheet'!P9*'Output-Calculation-sheet'!P18</f>
        <v>1566.0842122600782</v>
      </c>
      <c r="Q32" s="2">
        <f>Q10/'Output-Calculation-sheet'!Q9*'Output-Calculation-sheet'!Q18</f>
        <v>1717.5784908859891</v>
      </c>
      <c r="R32" s="2">
        <f>R10/'Output-Calculation-sheet'!R9*'Output-Calculation-sheet'!R18</f>
        <v>1483.5629770809078</v>
      </c>
      <c r="S32" s="2">
        <f>S10/'Output-Calculation-sheet'!S9*'Output-Calculation-sheet'!S18</f>
        <v>690.54928661609108</v>
      </c>
      <c r="T32" s="2">
        <f>T10/'Output-Calculation-sheet'!T9*'Output-Calculation-sheet'!T18</f>
        <v>539.64147841066062</v>
      </c>
      <c r="U32" s="2">
        <f>U10/'Output-Calculation-sheet'!U9*'Output-Calculation-sheet'!U18</f>
        <v>416.1834515694847</v>
      </c>
      <c r="V32" s="2">
        <f>V10/'Output-Calculation-sheet'!V9*'Output-Calculation-sheet'!V18</f>
        <v>399.25983859765319</v>
      </c>
      <c r="W32" s="2">
        <f>W10/'Output-Calculation-sheet'!W9*'Output-Calculation-sheet'!W18</f>
        <v>275.49873833470514</v>
      </c>
      <c r="X32" s="2">
        <f>X10/'Output-Calculation-sheet'!X9*'Output-Calculation-sheet'!X18</f>
        <v>0</v>
      </c>
      <c r="Y32" s="2">
        <f>Y10/'Output-Calculation-sheet'!Y9*'Output-Calculation-sheet'!Y18</f>
        <v>182.67004705415485</v>
      </c>
      <c r="AA32" s="2">
        <f t="shared" si="1"/>
        <v>51.192084669133664</v>
      </c>
    </row>
    <row r="33" spans="1:27" x14ac:dyDescent="0.25">
      <c r="A33" s="2">
        <v>2034</v>
      </c>
      <c r="B33" s="2">
        <f>B11/'Output-Calculation-sheet'!B10*'Output-Calculation-sheet'!B19</f>
        <v>14009.501065278984</v>
      </c>
      <c r="C33" s="2">
        <f>C11/'Output-Calculation-sheet'!C10*'Output-Calculation-sheet'!C19</f>
        <v>0</v>
      </c>
      <c r="D33" s="2">
        <f>D11/'Output-Calculation-sheet'!D10*'Output-Calculation-sheet'!D19</f>
        <v>4953.4763828660853</v>
      </c>
      <c r="E33" s="2">
        <f>E11/'Output-Calculation-sheet'!E10*'Output-Calculation-sheet'!E19</f>
        <v>5141.5310152203347</v>
      </c>
      <c r="F33" s="2">
        <f>F11/'Output-Calculation-sheet'!F10*'Output-Calculation-sheet'!F19</f>
        <v>2866.5922827643085</v>
      </c>
      <c r="G33" s="2">
        <f>G11/'Output-Calculation-sheet'!G10*'Output-Calculation-sheet'!G19</f>
        <v>1726.1767493550458</v>
      </c>
      <c r="H33" s="2">
        <f>H11/'Output-Calculation-sheet'!H10*'Output-Calculation-sheet'!H19</f>
        <v>0</v>
      </c>
      <c r="I33" s="2">
        <f>I11/'Output-Calculation-sheet'!I10*'Output-Calculation-sheet'!I19</f>
        <v>1758.1128072984516</v>
      </c>
      <c r="J33" s="2">
        <f>J11/'Output-Calculation-sheet'!J10*'Output-Calculation-sheet'!J19</f>
        <v>1597.8257645038752</v>
      </c>
      <c r="K33" s="2">
        <f>K11/'Output-Calculation-sheet'!K10*'Output-Calculation-sheet'!K19</f>
        <v>1990.1979869041654</v>
      </c>
      <c r="L33" s="2">
        <f>L11/'Output-Calculation-sheet'!L10*'Output-Calculation-sheet'!L19</f>
        <v>1636.9112586973226</v>
      </c>
      <c r="M33" s="2">
        <f>M11/'Output-Calculation-sheet'!M10*'Output-Calculation-sheet'!M19</f>
        <v>0</v>
      </c>
      <c r="N33" s="2">
        <f>N11/'Output-Calculation-sheet'!N10*'Output-Calculation-sheet'!N19</f>
        <v>606.60793256439717</v>
      </c>
      <c r="O33" s="2">
        <f>O11/'Output-Calculation-sheet'!O10*'Output-Calculation-sheet'!O19</f>
        <v>0</v>
      </c>
      <c r="P33" s="2">
        <f>P11/'Output-Calculation-sheet'!P10*'Output-Calculation-sheet'!P19</f>
        <v>1334.2333845163089</v>
      </c>
      <c r="Q33" s="2">
        <f>Q11/'Output-Calculation-sheet'!Q10*'Output-Calculation-sheet'!Q19</f>
        <v>1465.7921171604626</v>
      </c>
      <c r="R33" s="2">
        <f>R11/'Output-Calculation-sheet'!R10*'Output-Calculation-sheet'!R19</f>
        <v>1257.8887238246189</v>
      </c>
      <c r="S33" s="2">
        <f>S11/'Output-Calculation-sheet'!S10*'Output-Calculation-sheet'!S19</f>
        <v>580.15726277705835</v>
      </c>
      <c r="T33" s="2">
        <f>T11/'Output-Calculation-sheet'!T10*'Output-Calculation-sheet'!T19</f>
        <v>457.12697409050804</v>
      </c>
      <c r="U33" s="2">
        <f>U11/'Output-Calculation-sheet'!U10*'Output-Calculation-sheet'!U19</f>
        <v>353.73832730935766</v>
      </c>
      <c r="V33" s="2">
        <f>V11/'Output-Calculation-sheet'!V10*'Output-Calculation-sheet'!V19</f>
        <v>339.11689378676999</v>
      </c>
      <c r="W33" s="2">
        <f>W11/'Output-Calculation-sheet'!W10*'Output-Calculation-sheet'!W19</f>
        <v>232.98651964002977</v>
      </c>
      <c r="X33" s="2">
        <f>X11/'Output-Calculation-sheet'!X10*'Output-Calculation-sheet'!X19</f>
        <v>0</v>
      </c>
      <c r="Y33" s="2">
        <f>Y11/'Output-Calculation-sheet'!Y10*'Output-Calculation-sheet'!Y19</f>
        <v>154.69409112795401</v>
      </c>
      <c r="AA33" s="2">
        <f t="shared" si="1"/>
        <v>42.462667539686024</v>
      </c>
    </row>
    <row r="34" spans="1:27" x14ac:dyDescent="0.25">
      <c r="A34" s="2">
        <v>2035</v>
      </c>
      <c r="B34" s="2">
        <f>B12/'Output-Calculation-sheet'!B11*'Output-Calculation-sheet'!B20</f>
        <v>10195.470053509631</v>
      </c>
      <c r="C34" s="2">
        <f>C12/'Output-Calculation-sheet'!C11*'Output-Calculation-sheet'!C20</f>
        <v>0</v>
      </c>
      <c r="D34" s="2">
        <f>D12/'Output-Calculation-sheet'!D11*'Output-Calculation-sheet'!D20</f>
        <v>3770.6065529681828</v>
      </c>
      <c r="E34" s="2">
        <f>E12/'Output-Calculation-sheet'!E11*'Output-Calculation-sheet'!E20</f>
        <v>3912.1468708168809</v>
      </c>
      <c r="F34" s="2">
        <f>F12/'Output-Calculation-sheet'!F11*'Output-Calculation-sheet'!F20</f>
        <v>2177.9694014374595</v>
      </c>
      <c r="G34" s="2">
        <f>G12/'Output-Calculation-sheet'!G11*'Output-Calculation-sheet'!G20</f>
        <v>1308.6185433098037</v>
      </c>
      <c r="H34" s="2">
        <f>H12/'Output-Calculation-sheet'!H11*'Output-Calculation-sheet'!H20</f>
        <v>0</v>
      </c>
      <c r="I34" s="2">
        <f>I12/'Output-Calculation-sheet'!I11*'Output-Calculation-sheet'!I20</f>
        <v>1336.6112240266161</v>
      </c>
      <c r="J34" s="2">
        <f>J12/'Output-Calculation-sheet'!J11*'Output-Calculation-sheet'!J20</f>
        <v>1210.5342144079075</v>
      </c>
      <c r="K34" s="2">
        <f>K12/'Output-Calculation-sheet'!K11*'Output-Calculation-sheet'!K20</f>
        <v>1514.3094633043563</v>
      </c>
      <c r="L34" s="2">
        <f>L12/'Output-Calculation-sheet'!L11*'Output-Calculation-sheet'!L20</f>
        <v>1243.3441470532903</v>
      </c>
      <c r="M34" s="2">
        <f>M12/'Output-Calculation-sheet'!M11*'Output-Calculation-sheet'!M20</f>
        <v>0</v>
      </c>
      <c r="N34" s="2">
        <f>N12/'Output-Calculation-sheet'!N11*'Output-Calculation-sheet'!N20</f>
        <v>437.42302678197274</v>
      </c>
      <c r="O34" s="2">
        <f>O12/'Output-Calculation-sheet'!O11*'Output-Calculation-sheet'!O20</f>
        <v>0</v>
      </c>
      <c r="P34" s="2">
        <f>P12/'Output-Calculation-sheet'!P11*'Output-Calculation-sheet'!P20</f>
        <v>1020.9704743202146</v>
      </c>
      <c r="Q34" s="2">
        <f>Q12/'Output-Calculation-sheet'!Q11*'Output-Calculation-sheet'!Q20</f>
        <v>1119.5331698957602</v>
      </c>
      <c r="R34" s="2">
        <f>R12/'Output-Calculation-sheet'!R11*'Output-Calculation-sheet'!R20</f>
        <v>960.00852107980859</v>
      </c>
      <c r="S34" s="2">
        <f>S12/'Output-Calculation-sheet'!S11*'Output-Calculation-sheet'!S20</f>
        <v>412.84786153460635</v>
      </c>
      <c r="T34" s="2">
        <f>T12/'Output-Calculation-sheet'!T11*'Output-Calculation-sheet'!T20</f>
        <v>347.48806280941585</v>
      </c>
      <c r="U34" s="2">
        <f>U12/'Output-Calculation-sheet'!U11*'Output-Calculation-sheet'!U20</f>
        <v>269.53913577110404</v>
      </c>
      <c r="V34" s="2">
        <f>V12/'Output-Calculation-sheet'!V11*'Output-Calculation-sheet'!V20</f>
        <v>258.85803516342429</v>
      </c>
      <c r="W34" s="2">
        <f>W12/'Output-Calculation-sheet'!W11*'Output-Calculation-sheet'!W20</f>
        <v>176.88686493891015</v>
      </c>
      <c r="X34" s="2">
        <f>X12/'Output-Calculation-sheet'!X11*'Output-Calculation-sheet'!X20</f>
        <v>0</v>
      </c>
      <c r="Y34" s="2">
        <f>Y12/'Output-Calculation-sheet'!Y11*'Output-Calculation-sheet'!Y20</f>
        <v>117.75370640874621</v>
      </c>
      <c r="AA34" s="2">
        <f t="shared" si="1"/>
        <v>31.790919329538088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3.0060100137761712</v>
      </c>
      <c r="C60" s="2">
        <f>C5*'Output-Calculation-sheet'!C49/10^9</f>
        <v>1.4212243978640822</v>
      </c>
      <c r="D60" s="2">
        <f>D5*'Output-Calculation-sheet'!D49/10^9</f>
        <v>0.66302434956235889</v>
      </c>
      <c r="E60" s="2">
        <f>E5*'Output-Calculation-sheet'!E49/10^9</f>
        <v>0.73632194821515551</v>
      </c>
      <c r="F60" s="2">
        <f>F5*'Output-Calculation-sheet'!F49/10^9</f>
        <v>0.34183244001444207</v>
      </c>
      <c r="G60" s="2">
        <f>G5*'Output-Calculation-sheet'!G49/10^9</f>
        <v>0.23545133291989423</v>
      </c>
      <c r="H60" s="2">
        <f>H5*'Output-Calculation-sheet'!H49/10^9</f>
        <v>0.44341104576312135</v>
      </c>
      <c r="I60" s="2">
        <f>I5*'Output-Calculation-sheet'!I49/10^9</f>
        <v>0.23244510856491585</v>
      </c>
      <c r="J60" s="2">
        <f>J5*'Output-Calculation-sheet'!J49/10^9</f>
        <v>0.20990640795155396</v>
      </c>
      <c r="K60" s="2">
        <f>K5*'Output-Calculation-sheet'!K49/10^9</f>
        <v>0.27057590198789888</v>
      </c>
      <c r="L60" s="2">
        <f>L5*'Output-Calculation-sheet'!L49/10^9</f>
        <v>0.22352872589046338</v>
      </c>
      <c r="M60" s="2">
        <f>M5*'Output-Calculation-sheet'!M49/10^9</f>
        <v>0.30591492868909198</v>
      </c>
      <c r="N60" s="2">
        <f>N5*'Output-Calculation-sheet'!N49/10^9</f>
        <v>0.31973718599438178</v>
      </c>
      <c r="O60" s="2">
        <f>O5*'Output-Calculation-sheet'!O49/10^9</f>
        <v>0.27614511467731345</v>
      </c>
      <c r="P60" s="2">
        <f>P5*'Output-Calculation-sheet'!P49/10^9</f>
        <v>0.23577878328658511</v>
      </c>
      <c r="Q60" s="2">
        <f>Q5*'Output-Calculation-sheet'!Q49/10^9</f>
        <v>0.24339250005258106</v>
      </c>
      <c r="R60" s="2">
        <f>R5*'Output-Calculation-sheet'!R49/10^9</f>
        <v>0.19506400726475606</v>
      </c>
      <c r="S60" s="2">
        <f>S5*'Output-Calculation-sheet'!S49/10^9</f>
        <v>0.17894048649759606</v>
      </c>
      <c r="T60" s="2">
        <f>T5*'Output-Calculation-sheet'!T49/10^9</f>
        <v>6.1199005265985831E-2</v>
      </c>
      <c r="U60" s="2">
        <f>U5*'Output-Calculation-sheet'!U49/10^9</f>
        <v>6.1157223242074898E-2</v>
      </c>
      <c r="V60" s="2">
        <f>V5*'Output-Calculation-sheet'!V49/10^9</f>
        <v>4.5795211674809592E-2</v>
      </c>
      <c r="W60" s="2">
        <f>W5*'Output-Calculation-sheet'!W49/10^9</f>
        <v>2.8713763581913399E-2</v>
      </c>
      <c r="X60" s="2">
        <f>X5*'Output-Calculation-sheet'!X49/10^9</f>
        <v>3.6143545706913818E-2</v>
      </c>
      <c r="Y60" s="2">
        <f>Y5*'Output-Calculation-sheet'!Y49/10^9</f>
        <v>2.3890595406720935E-2</v>
      </c>
      <c r="AA60" s="2">
        <f t="shared" ref="AA60:AA67" si="4">SUM(B60:Y60)</f>
        <v>9.79560402385078</v>
      </c>
    </row>
    <row r="61" spans="1:27" x14ac:dyDescent="0.25">
      <c r="A61" s="2">
        <v>2029</v>
      </c>
      <c r="B61" s="2">
        <f>B6*'Output-Calculation-sheet'!B50/10^9</f>
        <v>4.1574906383255188</v>
      </c>
      <c r="C61" s="2">
        <f>C6*'Output-Calculation-sheet'!C50/10^9</f>
        <v>1.9793042382945278</v>
      </c>
      <c r="D61" s="2">
        <f>D6*'Output-Calculation-sheet'!D50/10^9</f>
        <v>0.91410544082879996</v>
      </c>
      <c r="E61" s="2">
        <f>E6*'Output-Calculation-sheet'!E50/10^9</f>
        <v>1.0159646282404968</v>
      </c>
      <c r="F61" s="2">
        <f>F6*'Output-Calculation-sheet'!F50/10^9</f>
        <v>0.47069186001195856</v>
      </c>
      <c r="G61" s="2">
        <f>G6*'Output-Calculation-sheet'!G50/10^9</f>
        <v>0.32465289573759615</v>
      </c>
      <c r="H61" s="2">
        <f>H6*'Output-Calculation-sheet'!H50/10^9</f>
        <v>0.6135459540727739</v>
      </c>
      <c r="I61" s="2">
        <f>I6*'Output-Calculation-sheet'!I50/10^9</f>
        <v>0.32046032210889397</v>
      </c>
      <c r="J61" s="2">
        <f>J6*'Output-Calculation-sheet'!J50/10^9</f>
        <v>0.28933705547889588</v>
      </c>
      <c r="K61" s="2">
        <f>K6*'Output-Calculation-sheet'!K50/10^9</f>
        <v>0.37316510714666096</v>
      </c>
      <c r="L61" s="2">
        <f>L6*'Output-Calculation-sheet'!L50/10^9</f>
        <v>0.30827540981472162</v>
      </c>
      <c r="M61" s="2">
        <f>M6*'Output-Calculation-sheet'!M50/10^9</f>
        <v>0.4238528592022317</v>
      </c>
      <c r="N61" s="2">
        <f>N6*'Output-Calculation-sheet'!N50/10^9</f>
        <v>0.4421779470167016</v>
      </c>
      <c r="O61" s="2">
        <f>O6*'Output-Calculation-sheet'!O50/10^9</f>
        <v>0.38458050444853559</v>
      </c>
      <c r="P61" s="2">
        <f>P6*'Output-Calculation-sheet'!P50/10^9</f>
        <v>0.32597901717145639</v>
      </c>
      <c r="Q61" s="2">
        <f>Q6*'Output-Calculation-sheet'!Q50/10^9</f>
        <v>0.336386683799411</v>
      </c>
      <c r="R61" s="2">
        <f>R6*'Output-Calculation-sheet'!R50/10^9</f>
        <v>0.26934955662443572</v>
      </c>
      <c r="S61" s="2">
        <f>S6*'Output-Calculation-sheet'!S50/10^9</f>
        <v>0.24780508547046071</v>
      </c>
      <c r="T61" s="2">
        <f>T6*'Output-Calculation-sheet'!T50/10^9</f>
        <v>8.4382792647610796E-2</v>
      </c>
      <c r="U61" s="2">
        <f>U6*'Output-Calculation-sheet'!U50/10^9</f>
        <v>8.4523629867882644E-2</v>
      </c>
      <c r="V61" s="2">
        <f>V6*'Output-Calculation-sheet'!V50/10^9</f>
        <v>6.3157805943707082E-2</v>
      </c>
      <c r="W61" s="2">
        <f>W6*'Output-Calculation-sheet'!W50/10^9</f>
        <v>3.9554852242881564E-2</v>
      </c>
      <c r="X61" s="2">
        <f>X6*'Output-Calculation-sheet'!X50/10^9</f>
        <v>5.0302010066648833E-2</v>
      </c>
      <c r="Y61" s="2">
        <f>Y6*'Output-Calculation-sheet'!Y50/10^9</f>
        <v>3.2986822304259922E-2</v>
      </c>
      <c r="AA61" s="2">
        <f t="shared" si="4"/>
        <v>13.552033116867067</v>
      </c>
    </row>
    <row r="62" spans="1:27" x14ac:dyDescent="0.25">
      <c r="A62" s="2">
        <v>2030</v>
      </c>
      <c r="B62" s="2">
        <f>B7*'Output-Calculation-sheet'!B51/10^9</f>
        <v>5.2363852698385802</v>
      </c>
      <c r="C62" s="2">
        <f>C7*'Output-Calculation-sheet'!C51/10^9</f>
        <v>2.5107953431126679</v>
      </c>
      <c r="D62" s="2">
        <f>D7*'Output-Calculation-sheet'!D51/10^9</f>
        <v>1.1477123874586215</v>
      </c>
      <c r="E62" s="2">
        <f>E7*'Output-Calculation-sheet'!E51/10^9</f>
        <v>1.2765701129862965</v>
      </c>
      <c r="F62" s="2">
        <f>F7*'Output-Calculation-sheet'!F51/10^9</f>
        <v>0.59022230560172029</v>
      </c>
      <c r="G62" s="2">
        <f>G7*'Output-Calculation-sheet'!G51/10^9</f>
        <v>0.40767492276770367</v>
      </c>
      <c r="H62" s="2">
        <f>H7*'Output-Calculation-sheet'!H51/10^9</f>
        <v>0.77177989645846179</v>
      </c>
      <c r="I62" s="2">
        <f>I7*'Output-Calculation-sheet'!I51/10^9</f>
        <v>0.40233240717884367</v>
      </c>
      <c r="J62" s="2">
        <f>J7*'Output-Calculation-sheet'!J51/10^9</f>
        <v>0.36320326501551942</v>
      </c>
      <c r="K62" s="2">
        <f>K7*'Output-Calculation-sheet'!K51/10^9</f>
        <v>0.46866829305403573</v>
      </c>
      <c r="L62" s="2">
        <f>L7*'Output-Calculation-sheet'!L51/10^9</f>
        <v>0.38716382242139352</v>
      </c>
      <c r="M62" s="2">
        <f>M7*'Output-Calculation-sheet'!M51/10^9</f>
        <v>0.53317270787262949</v>
      </c>
      <c r="N62" s="2">
        <f>N7*'Output-Calculation-sheet'!N51/10^9</f>
        <v>0.5563167087305495</v>
      </c>
      <c r="O62" s="2">
        <f>O7*'Output-Calculation-sheet'!O51/10^9</f>
        <v>0.48784968017514974</v>
      </c>
      <c r="P62" s="2">
        <f>P7*'Output-Calculation-sheet'!P51/10^9</f>
        <v>0.41042730938946942</v>
      </c>
      <c r="Q62" s="2">
        <f>Q7*'Output-Calculation-sheet'!Q51/10^9</f>
        <v>0.42335188570084159</v>
      </c>
      <c r="R62" s="2">
        <f>R7*'Output-Calculation-sheet'!R51/10^9</f>
        <v>0.33870217906158329</v>
      </c>
      <c r="S62" s="2">
        <f>S7*'Output-Calculation-sheet'!S51/10^9</f>
        <v>0.31236743854143306</v>
      </c>
      <c r="T62" s="2">
        <f>T7*'Output-Calculation-sheet'!T51/10^9</f>
        <v>0.10595529737545947</v>
      </c>
      <c r="U62" s="2">
        <f>U7*'Output-Calculation-sheet'!U51/10^9</f>
        <v>0.10638579957255417</v>
      </c>
      <c r="V62" s="2">
        <f>V7*'Output-Calculation-sheet'!V51/10^9</f>
        <v>7.9318377965394843E-2</v>
      </c>
      <c r="W62" s="2">
        <f>W7*'Output-Calculation-sheet'!W51/10^9</f>
        <v>4.9619304073846966E-2</v>
      </c>
      <c r="X62" s="2">
        <f>X7*'Output-Calculation-sheet'!X51/10^9</f>
        <v>6.3341017813370981E-2</v>
      </c>
      <c r="Y62" s="2">
        <f>Y7*'Output-Calculation-sheet'!Y51/10^9</f>
        <v>4.1478545875218015E-2</v>
      </c>
      <c r="AA62" s="2">
        <f t="shared" si="4"/>
        <v>17.070794278041344</v>
      </c>
    </row>
    <row r="63" spans="1:27" x14ac:dyDescent="0.25">
      <c r="A63" s="2">
        <v>2031</v>
      </c>
      <c r="B63" s="2">
        <f>B8*'Output-Calculation-sheet'!B52/10^9</f>
        <v>6.0327108634430724</v>
      </c>
      <c r="C63" s="2">
        <f>C8*'Output-Calculation-sheet'!C52/10^9</f>
        <v>2.9028102824450017</v>
      </c>
      <c r="D63" s="2">
        <f>D8*'Output-Calculation-sheet'!D52/10^9</f>
        <v>1.3202471363864412</v>
      </c>
      <c r="E63" s="2">
        <f>E8*'Output-Calculation-sheet'!E52/10^9</f>
        <v>1.4690050545197315</v>
      </c>
      <c r="F63" s="2">
        <f>F8*'Output-Calculation-sheet'!F52/10^9</f>
        <v>0.678520951253478</v>
      </c>
      <c r="G63" s="2">
        <f>G8*'Output-Calculation-sheet'!G52/10^9</f>
        <v>0.46899778380495838</v>
      </c>
      <c r="H63" s="2">
        <f>H8*'Output-Calculation-sheet'!H52/10^9</f>
        <v>0.88436476376599349</v>
      </c>
      <c r="I63" s="2">
        <f>I8*'Output-Calculation-sheet'!I52/10^9</f>
        <v>0.46279819395055177</v>
      </c>
      <c r="J63" s="2">
        <f>J8*'Output-Calculation-sheet'!J52/10^9</f>
        <v>0.41776118274482321</v>
      </c>
      <c r="K63" s="2">
        <f>K8*'Output-Calculation-sheet'!K52/10^9</f>
        <v>0.53919106624403779</v>
      </c>
      <c r="L63" s="2">
        <f>L8*'Output-Calculation-sheet'!L52/10^9</f>
        <v>0.44542066360786592</v>
      </c>
      <c r="M63" s="2">
        <f>M8*'Output-Calculation-sheet'!M52/10^9</f>
        <v>0.61099267143257741</v>
      </c>
      <c r="N63" s="2">
        <f>N8*'Output-Calculation-sheet'!N52/10^9</f>
        <v>0.63860802811197703</v>
      </c>
      <c r="O63" s="2">
        <f>O8*'Output-Calculation-sheet'!O52/10^9</f>
        <v>0.56401851779138934</v>
      </c>
      <c r="P63" s="2">
        <f>P8*'Output-Calculation-sheet'!P52/10^9</f>
        <v>0.47276291871400961</v>
      </c>
      <c r="Q63" s="2">
        <f>Q8*'Output-Calculation-sheet'!Q52/10^9</f>
        <v>0.48753995379820819</v>
      </c>
      <c r="R63" s="2">
        <f>R8*'Output-Calculation-sheet'!R52/10^9</f>
        <v>0.38990536537290948</v>
      </c>
      <c r="S63" s="2">
        <f>S8*'Output-Calculation-sheet'!S52/10^9</f>
        <v>0.35942566171233525</v>
      </c>
      <c r="T63" s="2">
        <f>T8*'Output-Calculation-sheet'!T52/10^9</f>
        <v>0.12188620182121351</v>
      </c>
      <c r="U63" s="2">
        <f>U8*'Output-Calculation-sheet'!U52/10^9</f>
        <v>0.12252576527232109</v>
      </c>
      <c r="V63" s="2">
        <f>V8*'Output-Calculation-sheet'!V52/10^9</f>
        <v>9.125237244396045E-2</v>
      </c>
      <c r="W63" s="2">
        <f>W8*'Output-Calculation-sheet'!W52/10^9</f>
        <v>5.7053259110278941E-2</v>
      </c>
      <c r="X63" s="2">
        <f>X8*'Output-Calculation-sheet'!X52/10^9</f>
        <v>7.2658043604157105E-2</v>
      </c>
      <c r="Y63" s="2">
        <f>Y8*'Output-Calculation-sheet'!Y52/10^9</f>
        <v>4.7748052135909685E-2</v>
      </c>
      <c r="AA63" s="2">
        <f t="shared" si="4"/>
        <v>19.658204753487208</v>
      </c>
    </row>
    <row r="64" spans="1:27" x14ac:dyDescent="0.25">
      <c r="A64" s="2">
        <v>2032</v>
      </c>
      <c r="B64" s="2">
        <f>B9*'Output-Calculation-sheet'!B53/10^9</f>
        <v>6.2064642428538015</v>
      </c>
      <c r="C64" s="2">
        <f>C9*'Output-Calculation-sheet'!C53/10^9</f>
        <v>2.9970970603188829</v>
      </c>
      <c r="D64" s="2">
        <f>D9*'Output-Calculation-sheet'!D53/10^9</f>
        <v>1.3562189537136589</v>
      </c>
      <c r="E64" s="2">
        <f>E9*'Output-Calculation-sheet'!E53/10^9</f>
        <v>1.5095719139100081</v>
      </c>
      <c r="F64" s="2">
        <f>F9*'Output-Calculation-sheet'!F53/10^9</f>
        <v>0.69656033327257472</v>
      </c>
      <c r="G64" s="2">
        <f>G9*'Output-Calculation-sheet'!G53/10^9</f>
        <v>0.4818201601431904</v>
      </c>
      <c r="H64" s="2">
        <f>H9*'Output-Calculation-sheet'!H53/10^9</f>
        <v>0.90464543249027374</v>
      </c>
      <c r="I64" s="2">
        <f>I9*'Output-Calculation-sheet'!I53/10^9</f>
        <v>0.47538756224229939</v>
      </c>
      <c r="J64" s="2">
        <f>J9*'Output-Calculation-sheet'!J53/10^9</f>
        <v>0.4291005074089167</v>
      </c>
      <c r="K64" s="2">
        <f>K9*'Output-Calculation-sheet'!K53/10^9</f>
        <v>0.55394772854671903</v>
      </c>
      <c r="L64" s="2">
        <f>L9*'Output-Calculation-sheet'!L53/10^9</f>
        <v>0.4576121260206229</v>
      </c>
      <c r="M64" s="2">
        <f>M9*'Output-Calculation-sheet'!M53/10^9</f>
        <v>0.62503476818460313</v>
      </c>
      <c r="N64" s="2">
        <f>N9*'Output-Calculation-sheet'!N53/10^9</f>
        <v>0.65412465126753172</v>
      </c>
      <c r="O64" s="2">
        <f>O9*'Output-Calculation-sheet'!O53/10^9</f>
        <v>0.58233851928282687</v>
      </c>
      <c r="P64" s="2">
        <f>P9*'Output-Calculation-sheet'!P53/10^9</f>
        <v>0.4862939101515229</v>
      </c>
      <c r="Q64" s="2">
        <f>Q9*'Output-Calculation-sheet'!Q53/10^9</f>
        <v>0.50137570385366337</v>
      </c>
      <c r="R64" s="2">
        <f>R9*'Output-Calculation-sheet'!R53/10^9</f>
        <v>0.40082699407811506</v>
      </c>
      <c r="S64" s="2">
        <f>S9*'Output-Calculation-sheet'!S53/10^9</f>
        <v>0.36887497203641101</v>
      </c>
      <c r="T64" s="2">
        <f>T9*'Output-Calculation-sheet'!T53/10^9</f>
        <v>0.12520969426679629</v>
      </c>
      <c r="U64" s="2">
        <f>U9*'Output-Calculation-sheet'!U53/10^9</f>
        <v>0.12601644167383794</v>
      </c>
      <c r="V64" s="2">
        <f>V9*'Output-Calculation-sheet'!V53/10^9</f>
        <v>9.3747747711071791E-2</v>
      </c>
      <c r="W64" s="2">
        <f>W9*'Output-Calculation-sheet'!W53/10^9</f>
        <v>5.8581561710517947E-2</v>
      </c>
      <c r="X64" s="2">
        <f>X9*'Output-Calculation-sheet'!X53/10^9</f>
        <v>7.4399607039903781E-2</v>
      </c>
      <c r="Y64" s="2">
        <f>Y9*'Output-Calculation-sheet'!Y53/10^9</f>
        <v>4.9084022792915592E-2</v>
      </c>
      <c r="AA64" s="2">
        <f t="shared" si="4"/>
        <v>20.214334614970667</v>
      </c>
    </row>
    <row r="65" spans="1:27" x14ac:dyDescent="0.25">
      <c r="A65" s="2">
        <v>2033</v>
      </c>
      <c r="B65" s="2">
        <f>B10*'Output-Calculation-sheet'!B54/10^9</f>
        <v>5.7466807222018126</v>
      </c>
      <c r="C65" s="2">
        <f>C10*'Output-Calculation-sheet'!C54/10^9</f>
        <v>2.7819112590926309</v>
      </c>
      <c r="D65" s="2">
        <f>D10*'Output-Calculation-sheet'!D54/10^9</f>
        <v>1.2551460445302312</v>
      </c>
      <c r="E65" s="2">
        <f>E10*'Output-Calculation-sheet'!E54/10^9</f>
        <v>1.3975718844631981</v>
      </c>
      <c r="F65" s="2">
        <f>F10*'Output-Calculation-sheet'!F54/10^9</f>
        <v>0.64423018553751243</v>
      </c>
      <c r="G65" s="2">
        <f>G10*'Output-Calculation-sheet'!G54/10^9</f>
        <v>0.44595478820771267</v>
      </c>
      <c r="H65" s="2">
        <f>H10*'Output-Calculation-sheet'!H54/10^9</f>
        <v>0.83343176885422088</v>
      </c>
      <c r="I65" s="2">
        <f>I10*'Output-Calculation-sheet'!I54/10^9</f>
        <v>0.43994008776432264</v>
      </c>
      <c r="J65" s="2">
        <f>J10*'Output-Calculation-sheet'!J54/10^9</f>
        <v>0.3970814100568712</v>
      </c>
      <c r="K65" s="2">
        <f>K10*'Output-Calculation-sheet'!K54/10^9</f>
        <v>0.51271991080441859</v>
      </c>
      <c r="L65" s="2">
        <f>L10*'Output-Calculation-sheet'!L54/10^9</f>
        <v>0.42355717534991227</v>
      </c>
      <c r="M65" s="2">
        <f>M10*'Output-Calculation-sheet'!M54/10^9</f>
        <v>0.57585711773748782</v>
      </c>
      <c r="N65" s="2">
        <f>N10*'Output-Calculation-sheet'!N54/10^9</f>
        <v>0.60329652848140569</v>
      </c>
      <c r="O65" s="2">
        <f>O10*'Output-Calculation-sheet'!O54/10^9</f>
        <v>0.54171237148273066</v>
      </c>
      <c r="P65" s="2">
        <f>P10*'Output-Calculation-sheet'!P54/10^9</f>
        <v>0.45064941898053235</v>
      </c>
      <c r="Q65" s="2">
        <f>Q10*'Output-Calculation-sheet'!Q54/10^9</f>
        <v>0.46451286629303534</v>
      </c>
      <c r="R65" s="2">
        <f>R10*'Output-Calculation-sheet'!R54/10^9</f>
        <v>0.37123040034844312</v>
      </c>
      <c r="S65" s="2">
        <f>S10*'Output-Calculation-sheet'!S54/10^9</f>
        <v>0.34076350180519988</v>
      </c>
      <c r="T65" s="2">
        <f>T10*'Output-Calculation-sheet'!T54/10^9</f>
        <v>0.11587988654534997</v>
      </c>
      <c r="U65" s="2">
        <f>U10*'Output-Calculation-sheet'!U54/10^9</f>
        <v>0.11676653614539083</v>
      </c>
      <c r="V65" s="2">
        <f>V10*'Output-Calculation-sheet'!V54/10^9</f>
        <v>8.6768032311431459E-2</v>
      </c>
      <c r="W65" s="2">
        <f>W10*'Output-Calculation-sheet'!W54/10^9</f>
        <v>5.4190892125723152E-2</v>
      </c>
      <c r="X65" s="2">
        <f>X10*'Output-Calculation-sheet'!X54/10^9</f>
        <v>6.8609515799816889E-2</v>
      </c>
      <c r="Y65" s="2">
        <f>Y10*'Output-Calculation-sheet'!Y54/10^9</f>
        <v>4.5458606488084002E-2</v>
      </c>
      <c r="AA65" s="2">
        <f t="shared" si="4"/>
        <v>18.713920911407481</v>
      </c>
    </row>
    <row r="66" spans="1:27" x14ac:dyDescent="0.25">
      <c r="A66" s="2">
        <v>2034</v>
      </c>
      <c r="B66" s="2">
        <f>B11*'Output-Calculation-sheet'!B55/10^9</f>
        <v>4.8102233969089507</v>
      </c>
      <c r="C66" s="2">
        <f>C11*'Output-Calculation-sheet'!C55/10^9</f>
        <v>2.3240410388705306</v>
      </c>
      <c r="D66" s="2">
        <f>D11*'Output-Calculation-sheet'!D55/10^9</f>
        <v>1.0517665353850802</v>
      </c>
      <c r="E66" s="2">
        <f>E11*'Output-Calculation-sheet'!E55/10^9</f>
        <v>1.1715334970034061</v>
      </c>
      <c r="F66" s="2">
        <f>F11*'Output-Calculation-sheet'!F55/10^9</f>
        <v>0.53948450925170488</v>
      </c>
      <c r="G66" s="2">
        <f>G11*'Output-Calculation-sheet'!G55/10^9</f>
        <v>0.37372952939702181</v>
      </c>
      <c r="H66" s="2">
        <f>H11*'Output-Calculation-sheet'!H55/10^9</f>
        <v>0.69497097453992185</v>
      </c>
      <c r="I66" s="2">
        <f>I11*'Output-Calculation-sheet'!I55/10^9</f>
        <v>0.36863379842484595</v>
      </c>
      <c r="J66" s="2">
        <f>J11*'Output-Calculation-sheet'!J55/10^9</f>
        <v>0.33270641782707117</v>
      </c>
      <c r="K66" s="2">
        <f>K11*'Output-Calculation-sheet'!K55/10^9</f>
        <v>0.42968051570594556</v>
      </c>
      <c r="L66" s="2">
        <f>L11*'Output-Calculation-sheet'!L55/10^9</f>
        <v>0.35496396415653919</v>
      </c>
      <c r="M66" s="2">
        <f>M11*'Output-Calculation-sheet'!M55/10^9</f>
        <v>0.48020884094895705</v>
      </c>
      <c r="N66" s="2">
        <f>N11*'Output-Calculation-sheet'!N55/10^9</f>
        <v>0.50353861593707494</v>
      </c>
      <c r="O66" s="2">
        <f>O11*'Output-Calculation-sheet'!O55/10^9</f>
        <v>0.45629252112055341</v>
      </c>
      <c r="P66" s="2">
        <f>P11*'Output-Calculation-sheet'!P55/10^9</f>
        <v>0.37812440885060589</v>
      </c>
      <c r="Q66" s="2">
        <f>Q11*'Output-Calculation-sheet'!Q55/10^9</f>
        <v>0.38965770572917174</v>
      </c>
      <c r="R66" s="2">
        <f>R11*'Output-Calculation-sheet'!R55/10^9</f>
        <v>0.31130753770395564</v>
      </c>
      <c r="S66" s="2">
        <f>S11*'Output-Calculation-sheet'!S55/10^9</f>
        <v>0.28480894501011478</v>
      </c>
      <c r="T66" s="2">
        <f>T11*'Output-Calculation-sheet'!T55/10^9</f>
        <v>9.7103714553805065E-2</v>
      </c>
      <c r="U66" s="2">
        <f>U11*'Output-Calculation-sheet'!U55/10^9</f>
        <v>9.7965143436252775E-2</v>
      </c>
      <c r="V66" s="2">
        <f>V11*'Output-Calculation-sheet'!V55/10^9</f>
        <v>7.2713090813587927E-2</v>
      </c>
      <c r="W66" s="2">
        <f>W11*'Output-Calculation-sheet'!W55/10^9</f>
        <v>4.5389013841927284E-2</v>
      </c>
      <c r="X66" s="2">
        <f>X11*'Output-Calculation-sheet'!X55/10^9</f>
        <v>5.726805079780329E-2</v>
      </c>
      <c r="Y66" s="2">
        <f>Y11*'Output-Calculation-sheet'!Y55/10^9</f>
        <v>3.8120064163380235E-2</v>
      </c>
      <c r="AA66" s="2">
        <f t="shared" si="4"/>
        <v>15.66423183037821</v>
      </c>
    </row>
    <row r="67" spans="1:27" x14ac:dyDescent="0.25">
      <c r="A67" s="2">
        <v>2035</v>
      </c>
      <c r="B67" s="2">
        <f>B12*'Output-Calculation-sheet'!B56/10^9</f>
        <v>3.6107506831445972</v>
      </c>
      <c r="C67" s="2">
        <f>C12*'Output-Calculation-sheet'!C56/10^9</f>
        <v>1.7421064518541638</v>
      </c>
      <c r="D67" s="2">
        <f>D12*'Output-Calculation-sheet'!D56/10^9</f>
        <v>0.79119168883091429</v>
      </c>
      <c r="E67" s="2">
        <f>E12*'Output-Calculation-sheet'!E56/10^9</f>
        <v>0.88160096446832992</v>
      </c>
      <c r="F67" s="2">
        <f>F12*'Output-Calculation-sheet'!F56/10^9</f>
        <v>0.40555526358104682</v>
      </c>
      <c r="G67" s="2">
        <f>G12*'Output-Calculation-sheet'!G56/10^9</f>
        <v>0.28116980859063689</v>
      </c>
      <c r="H67" s="2">
        <f>H12*'Output-Calculation-sheet'!H56/10^9</f>
        <v>0.52004824701960861</v>
      </c>
      <c r="I67" s="2">
        <f>I12*'Output-Calculation-sheet'!I56/10^9</f>
        <v>0.27728811374473589</v>
      </c>
      <c r="J67" s="2">
        <f>J12*'Output-Calculation-sheet'!J56/10^9</f>
        <v>0.25025560753717563</v>
      </c>
      <c r="K67" s="2">
        <f>K12*'Output-Calculation-sheet'!K56/10^9</f>
        <v>0.3232559697007833</v>
      </c>
      <c r="L67" s="2">
        <f>L12*'Output-Calculation-sheet'!L56/10^9</f>
        <v>0.2670522475347008</v>
      </c>
      <c r="M67" s="2">
        <f>M12*'Output-Calculation-sheet'!M56/10^9</f>
        <v>0.35935697681102063</v>
      </c>
      <c r="N67" s="2">
        <f>N12*'Output-Calculation-sheet'!N56/10^9</f>
        <v>0.37714870489863878</v>
      </c>
      <c r="O67" s="2">
        <f>O12*'Output-Calculation-sheet'!O56/10^9</f>
        <v>0.34304568046546291</v>
      </c>
      <c r="P67" s="2">
        <f>P12*'Output-Calculation-sheet'!P56/10^9</f>
        <v>0.28481558876151863</v>
      </c>
      <c r="Q67" s="2">
        <f>Q12*'Output-Calculation-sheet'!Q56/10^9</f>
        <v>0.29341899721372239</v>
      </c>
      <c r="R67" s="2">
        <f>R12*'Output-Calculation-sheet'!R56/10^9</f>
        <v>0.2343536719684266</v>
      </c>
      <c r="S67" s="2">
        <f>S12*'Output-Calculation-sheet'!S56/10^9</f>
        <v>0.21356333509037151</v>
      </c>
      <c r="T67" s="2">
        <f>T12*'Output-Calculation-sheet'!T56/10^9</f>
        <v>7.3046729210866176E-2</v>
      </c>
      <c r="U67" s="2">
        <f>U12*'Output-Calculation-sheet'!U56/10^9</f>
        <v>7.3784268608522663E-2</v>
      </c>
      <c r="V67" s="2">
        <f>V12*'Output-Calculation-sheet'!V56/10^9</f>
        <v>5.4700700358132882E-2</v>
      </c>
      <c r="W67" s="2">
        <f>W12*'Output-Calculation-sheet'!W56/10^9</f>
        <v>3.4128021362747375E-2</v>
      </c>
      <c r="X67" s="2">
        <f>X12*'Output-Calculation-sheet'!X56/10^9</f>
        <v>4.2894419104627581E-2</v>
      </c>
      <c r="Y67" s="2">
        <f>Y12*'Output-Calculation-sheet'!Y56/10^9</f>
        <v>2.8696560834439142E-2</v>
      </c>
      <c r="AA67" s="2">
        <f t="shared" si="4"/>
        <v>11.763228700695189</v>
      </c>
    </row>
    <row r="68" spans="1:27" x14ac:dyDescent="0.25">
      <c r="B68" s="2">
        <f>SUM(B60:B67)</f>
        <v>38.8067158304925</v>
      </c>
      <c r="C68" s="2">
        <f t="shared" ref="C68:Y68" si="5">SUM(C60:C67)</f>
        <v>18.659290071852485</v>
      </c>
      <c r="D68" s="2">
        <f t="shared" si="5"/>
        <v>8.4994125366961057</v>
      </c>
      <c r="E68" s="2">
        <f t="shared" si="5"/>
        <v>9.4581400038066228</v>
      </c>
      <c r="F68" s="2">
        <f t="shared" si="5"/>
        <v>4.3670978485244376</v>
      </c>
      <c r="G68" s="2">
        <f t="shared" si="5"/>
        <v>3.0194512215687141</v>
      </c>
      <c r="H68" s="2">
        <f t="shared" si="5"/>
        <v>5.6661980829643754</v>
      </c>
      <c r="I68" s="2">
        <f t="shared" si="5"/>
        <v>2.9792855939794087</v>
      </c>
      <c r="J68" s="2">
        <f t="shared" si="5"/>
        <v>2.6893518540208272</v>
      </c>
      <c r="K68" s="2">
        <f t="shared" si="5"/>
        <v>3.4712044931905002</v>
      </c>
      <c r="L68" s="2">
        <f t="shared" si="5"/>
        <v>2.8675741347962198</v>
      </c>
      <c r="M68" s="2">
        <f t="shared" si="5"/>
        <v>3.914390870878599</v>
      </c>
      <c r="N68" s="2">
        <f t="shared" si="5"/>
        <v>4.094948370438261</v>
      </c>
      <c r="O68" s="2">
        <f t="shared" si="5"/>
        <v>3.6359829094439622</v>
      </c>
      <c r="P68" s="2">
        <f t="shared" si="5"/>
        <v>3.0448313553057003</v>
      </c>
      <c r="Q68" s="2">
        <f t="shared" si="5"/>
        <v>3.1396362964406341</v>
      </c>
      <c r="R68" s="2">
        <f t="shared" si="5"/>
        <v>2.5107397124226254</v>
      </c>
      <c r="S68" s="2">
        <f t="shared" si="5"/>
        <v>2.3065494261639228</v>
      </c>
      <c r="T68" s="2">
        <f t="shared" si="5"/>
        <v>0.78466332168708708</v>
      </c>
      <c r="U68" s="2">
        <f t="shared" si="5"/>
        <v>0.78912480781883687</v>
      </c>
      <c r="V68" s="2">
        <f t="shared" si="5"/>
        <v>0.58745333922209597</v>
      </c>
      <c r="W68" s="2">
        <f t="shared" si="5"/>
        <v>0.36723066804983667</v>
      </c>
      <c r="X68" s="2">
        <f t="shared" si="5"/>
        <v>0.46561620993324232</v>
      </c>
      <c r="Y68" s="2">
        <f t="shared" si="5"/>
        <v>0.30746327000092755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6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6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5966628699.0305729</v>
      </c>
      <c r="C93" s="2">
        <f>C5/'Output-Calculation-sheet'!C4*'Output-Calculation-sheet'!C76</f>
        <v>0</v>
      </c>
      <c r="D93" s="2">
        <f>D5/'Output-Calculation-sheet'!D4*'Output-Calculation-sheet'!D76</f>
        <v>3905917038.797399</v>
      </c>
      <c r="E93" s="2">
        <f>E5/'Output-Calculation-sheet'!E4*'Output-Calculation-sheet'!E76</f>
        <v>5703276372.1990891</v>
      </c>
      <c r="F93" s="2">
        <f>F5/'Output-Calculation-sheet'!F4*'Output-Calculation-sheet'!F76</f>
        <v>2856662789.3471451</v>
      </c>
      <c r="G93" s="2">
        <f>G5/'Output-Calculation-sheet'!G4*'Output-Calculation-sheet'!G76</f>
        <v>2182867668.5061936</v>
      </c>
      <c r="H93" s="2">
        <f>H5/'Output-Calculation-sheet'!H4*'Output-Calculation-sheet'!H76</f>
        <v>0</v>
      </c>
      <c r="I93" s="2">
        <f>I5/'Output-Calculation-sheet'!I4*'Output-Calculation-sheet'!I76</f>
        <v>1482934391.7271521</v>
      </c>
      <c r="J93" s="2">
        <f>J5/'Output-Calculation-sheet'!J4*'Output-Calculation-sheet'!J76</f>
        <v>1063961737.465071</v>
      </c>
      <c r="K93" s="2">
        <f>K5/'Output-Calculation-sheet'!K4*'Output-Calculation-sheet'!K76</f>
        <v>1339489707.242244</v>
      </c>
      <c r="L93" s="2">
        <f>L5/'Output-Calculation-sheet'!L4*'Output-Calculation-sheet'!L76</f>
        <v>883317219.57225549</v>
      </c>
      <c r="M93" s="2">
        <f>M5/'Output-Calculation-sheet'!M4*'Output-Calculation-sheet'!M76</f>
        <v>0</v>
      </c>
      <c r="N93" s="2">
        <f>N5/'Output-Calculation-sheet'!N4*'Output-Calculation-sheet'!N76</f>
        <v>418144241.16601771</v>
      </c>
      <c r="O93" s="2">
        <f>O5/'Output-Calculation-sheet'!O4*'Output-Calculation-sheet'!O76</f>
        <v>0</v>
      </c>
      <c r="P93" s="2">
        <f>P5/'Output-Calculation-sheet'!P4*'Output-Calculation-sheet'!P76</f>
        <v>1100758194.194417</v>
      </c>
      <c r="Q93" s="2">
        <f>Q5/'Output-Calculation-sheet'!Q4*'Output-Calculation-sheet'!Q76</f>
        <v>494859168.31282169</v>
      </c>
      <c r="R93" s="2">
        <f>R5/'Output-Calculation-sheet'!R4*'Output-Calculation-sheet'!R76</f>
        <v>789742720.11581492</v>
      </c>
      <c r="S93" s="2">
        <f>S5/'Output-Calculation-sheet'!S4*'Output-Calculation-sheet'!S76</f>
        <v>261658849.24845123</v>
      </c>
      <c r="T93" s="2">
        <f>T5/'Output-Calculation-sheet'!T4*'Output-Calculation-sheet'!T76</f>
        <v>424363684.74642038</v>
      </c>
      <c r="U93" s="2">
        <f>U5/'Output-Calculation-sheet'!U4*'Output-Calculation-sheet'!U76</f>
        <v>221317134.54542851</v>
      </c>
      <c r="V93" s="2">
        <f>V5/'Output-Calculation-sheet'!V4*'Output-Calculation-sheet'!V76</f>
        <v>132410028.64540793</v>
      </c>
      <c r="W93" s="2">
        <f>W5/'Output-Calculation-sheet'!W4*'Output-Calculation-sheet'!W76</f>
        <v>441251265.77602917</v>
      </c>
      <c r="X93" s="2">
        <f>X5/'Output-Calculation-sheet'!X4*'Output-Calculation-sheet'!X76</f>
        <v>0</v>
      </c>
      <c r="Y93" s="2">
        <f>Y5/'Output-Calculation-sheet'!Y4*'Output-Calculation-sheet'!Y76</f>
        <v>185030541.04040933</v>
      </c>
      <c r="AA93" s="2">
        <f t="shared" ref="AA93:AA100" si="8">SUM(B93:Y93)/10^9</f>
        <v>29.854591451678345</v>
      </c>
    </row>
    <row r="94" spans="1:27" x14ac:dyDescent="0.25">
      <c r="A94" s="2">
        <v>2029</v>
      </c>
      <c r="B94" s="2">
        <f>B6/'Output-Calculation-sheet'!B5*'Output-Calculation-sheet'!B77</f>
        <v>8297198192.5046215</v>
      </c>
      <c r="C94" s="2">
        <f>C6/'Output-Calculation-sheet'!C5*'Output-Calculation-sheet'!C77</f>
        <v>0</v>
      </c>
      <c r="D94" s="2">
        <f>D6/'Output-Calculation-sheet'!D5*'Output-Calculation-sheet'!D77</f>
        <v>5353870192.7012606</v>
      </c>
      <c r="E94" s="2">
        <f>E6/'Output-Calculation-sheet'!E5*'Output-Calculation-sheet'!E77</f>
        <v>7980188988.1780348</v>
      </c>
      <c r="F94" s="2">
        <f>F6/'Output-Calculation-sheet'!F5*'Output-Calculation-sheet'!F77</f>
        <v>3911958534.0107565</v>
      </c>
      <c r="G94" s="2">
        <f>G6/'Output-Calculation-sheet'!G5*'Output-Calculation-sheet'!G77</f>
        <v>3027908764.6441665</v>
      </c>
      <c r="H94" s="2">
        <f>H6/'Output-Calculation-sheet'!H5*'Output-Calculation-sheet'!H77</f>
        <v>740540303.39315557</v>
      </c>
      <c r="I94" s="2">
        <f>I6/'Output-Calculation-sheet'!I5*'Output-Calculation-sheet'!I77</f>
        <v>2028654664.0173559</v>
      </c>
      <c r="J94" s="2">
        <f>J6/'Output-Calculation-sheet'!J5*'Output-Calculation-sheet'!J77</f>
        <v>1470754331.1456723</v>
      </c>
      <c r="K94" s="2">
        <f>K6/'Output-Calculation-sheet'!K5*'Output-Calculation-sheet'!K77</f>
        <v>1833807444.8346951</v>
      </c>
      <c r="L94" s="2">
        <f>L6/'Output-Calculation-sheet'!L5*'Output-Calculation-sheet'!L77</f>
        <v>1223048459.4043322</v>
      </c>
      <c r="M94" s="2">
        <f>M6/'Output-Calculation-sheet'!M5*'Output-Calculation-sheet'!M77</f>
        <v>538635646.4745872</v>
      </c>
      <c r="N94" s="2">
        <f>N6/'Output-Calculation-sheet'!N5*'Output-Calculation-sheet'!N77</f>
        <v>634974560.89070761</v>
      </c>
      <c r="O94" s="2">
        <f>O6/'Output-Calculation-sheet'!O5*'Output-Calculation-sheet'!O77</f>
        <v>0</v>
      </c>
      <c r="P94" s="2">
        <f>P6/'Output-Calculation-sheet'!P5*'Output-Calculation-sheet'!P77</f>
        <v>1536511294.4946253</v>
      </c>
      <c r="Q94" s="2">
        <f>Q6/'Output-Calculation-sheet'!Q5*'Output-Calculation-sheet'!Q77</f>
        <v>699916776.47313893</v>
      </c>
      <c r="R94" s="2">
        <f>R6/'Output-Calculation-sheet'!R5*'Output-Calculation-sheet'!R77</f>
        <v>1091755434.2909131</v>
      </c>
      <c r="S94" s="2">
        <f>S6/'Output-Calculation-sheet'!S5*'Output-Calculation-sheet'!S77</f>
        <v>368585031.00968581</v>
      </c>
      <c r="T94" s="2">
        <f>T6/'Output-Calculation-sheet'!T5*'Output-Calculation-sheet'!T77</f>
        <v>584151705.60632217</v>
      </c>
      <c r="U94" s="2">
        <f>U6/'Output-Calculation-sheet'!U5*'Output-Calculation-sheet'!U77</f>
        <v>298337188.44328165</v>
      </c>
      <c r="V94" s="2">
        <f>V6/'Output-Calculation-sheet'!V5*'Output-Calculation-sheet'!V77</f>
        <v>178546284.31512573</v>
      </c>
      <c r="W94" s="2">
        <f>W6/'Output-Calculation-sheet'!W5*'Output-Calculation-sheet'!W77</f>
        <v>614184873.27890646</v>
      </c>
      <c r="X94" s="2">
        <f>X6/'Output-Calculation-sheet'!X5*'Output-Calculation-sheet'!X77</f>
        <v>50232395.204404488</v>
      </c>
      <c r="Y94" s="2">
        <f>Y6/'Output-Calculation-sheet'!Y5*'Output-Calculation-sheet'!Y77</f>
        <v>259047629.43697304</v>
      </c>
      <c r="AA94" s="2">
        <f t="shared" si="8"/>
        <v>42.722808694752736</v>
      </c>
    </row>
    <row r="95" spans="1:27" x14ac:dyDescent="0.25">
      <c r="A95" s="2">
        <v>2030</v>
      </c>
      <c r="B95" s="2">
        <f>B7/'Output-Calculation-sheet'!B6*'Output-Calculation-sheet'!B78</f>
        <v>10485876589.651588</v>
      </c>
      <c r="C95" s="2">
        <f>C7/'Output-Calculation-sheet'!C6*'Output-Calculation-sheet'!C78</f>
        <v>0</v>
      </c>
      <c r="D95" s="2">
        <f>D7/'Output-Calculation-sheet'!D6*'Output-Calculation-sheet'!D78</f>
        <v>6688072799.3687325</v>
      </c>
      <c r="E95" s="2">
        <f>E7/'Output-Calculation-sheet'!E6*'Output-Calculation-sheet'!E78</f>
        <v>10165091797.688051</v>
      </c>
      <c r="F95" s="2">
        <f>F7/'Output-Calculation-sheet'!F6*'Output-Calculation-sheet'!F78</f>
        <v>4878519937.6285858</v>
      </c>
      <c r="G95" s="2">
        <f>G7/'Output-Calculation-sheet'!G6*'Output-Calculation-sheet'!G78</f>
        <v>3825787016.7412529</v>
      </c>
      <c r="H95" s="2">
        <f>H7/'Output-Calculation-sheet'!H6*'Output-Calculation-sheet'!H78</f>
        <v>978519734.72250628</v>
      </c>
      <c r="I95" s="2">
        <f>I7/'Output-Calculation-sheet'!I6*'Output-Calculation-sheet'!I78</f>
        <v>2524903766.2913709</v>
      </c>
      <c r="J95" s="2">
        <f>J7/'Output-Calculation-sheet'!J6*'Output-Calculation-sheet'!J78</f>
        <v>1851726098.6938124</v>
      </c>
      <c r="K95" s="2">
        <f>K7/'Output-Calculation-sheet'!K6*'Output-Calculation-sheet'!K78</f>
        <v>2282551799.969882</v>
      </c>
      <c r="L95" s="2">
        <f>L7/'Output-Calculation-sheet'!L6*'Output-Calculation-sheet'!L78</f>
        <v>1544021602.558006</v>
      </c>
      <c r="M95" s="2">
        <f>M7/'Output-Calculation-sheet'!M6*'Output-Calculation-sheet'!M78</f>
        <v>717893162.24894857</v>
      </c>
      <c r="N95" s="2">
        <f>N7/'Output-Calculation-sheet'!N6*'Output-Calculation-sheet'!N78</f>
        <v>837739158.50885439</v>
      </c>
      <c r="O95" s="2">
        <f>O7/'Output-Calculation-sheet'!O6*'Output-Calculation-sheet'!O78</f>
        <v>0</v>
      </c>
      <c r="P95" s="2">
        <f>P7/'Output-Calculation-sheet'!P6*'Output-Calculation-sheet'!P78</f>
        <v>1942926732.6236575</v>
      </c>
      <c r="Q95" s="2">
        <f>Q7/'Output-Calculation-sheet'!Q6*'Output-Calculation-sheet'!Q78</f>
        <v>896990298.39234483</v>
      </c>
      <c r="R95" s="2">
        <f>R7/'Output-Calculation-sheet'!R6*'Output-Calculation-sheet'!R78</f>
        <v>1372793100.9957714</v>
      </c>
      <c r="S95" s="2">
        <f>S7/'Output-Calculation-sheet'!S6*'Output-Calculation-sheet'!S78</f>
        <v>486378378.34823805</v>
      </c>
      <c r="T95" s="2">
        <f>T7/'Output-Calculation-sheet'!T6*'Output-Calculation-sheet'!T78</f>
        <v>732526496.6214658</v>
      </c>
      <c r="U95" s="2">
        <f>U7/'Output-Calculation-sheet'!U6*'Output-Calculation-sheet'!U78</f>
        <v>365348650.11750811</v>
      </c>
      <c r="V95" s="2">
        <f>V7/'Output-Calculation-sheet'!V6*'Output-Calculation-sheet'!V78</f>
        <v>218967391.58444452</v>
      </c>
      <c r="W95" s="2">
        <f>W7/'Output-Calculation-sheet'!W6*'Output-Calculation-sheet'!W78</f>
        <v>779063385.79010904</v>
      </c>
      <c r="X95" s="2">
        <f>X7/'Output-Calculation-sheet'!X6*'Output-Calculation-sheet'!X78</f>
        <v>67935276.003234491</v>
      </c>
      <c r="Y95" s="2">
        <f>Y7/'Output-Calculation-sheet'!Y6*'Output-Calculation-sheet'!Y78</f>
        <v>330610534.1201961</v>
      </c>
      <c r="AA95" s="2">
        <f t="shared" si="8"/>
        <v>53.974243708668553</v>
      </c>
    </row>
    <row r="96" spans="1:27" x14ac:dyDescent="0.25">
      <c r="A96" s="2">
        <v>2031</v>
      </c>
      <c r="B96" s="2">
        <f>B8/'Output-Calculation-sheet'!B7*'Output-Calculation-sheet'!B79</f>
        <v>12204654945.589699</v>
      </c>
      <c r="C96" s="2">
        <f>C8/'Output-Calculation-sheet'!C7*'Output-Calculation-sheet'!C79</f>
        <v>0</v>
      </c>
      <c r="D96" s="2">
        <f>D8/'Output-Calculation-sheet'!D7*'Output-Calculation-sheet'!D79</f>
        <v>7428872995.7275801</v>
      </c>
      <c r="E96" s="2">
        <f>E8/'Output-Calculation-sheet'!E7*'Output-Calculation-sheet'!E79</f>
        <v>11636257113.195799</v>
      </c>
      <c r="F96" s="2">
        <f>F8/'Output-Calculation-sheet'!F7*'Output-Calculation-sheet'!F79</f>
        <v>5570011790.4724045</v>
      </c>
      <c r="G96" s="2">
        <f>G8/'Output-Calculation-sheet'!G7*'Output-Calculation-sheet'!G79</f>
        <v>4246304011.6759119</v>
      </c>
      <c r="H96" s="2">
        <f>H8/'Output-Calculation-sheet'!H7*'Output-Calculation-sheet'!H79</f>
        <v>1147624729.5479698</v>
      </c>
      <c r="I96" s="2">
        <f>I8/'Output-Calculation-sheet'!I7*'Output-Calculation-sheet'!I79</f>
        <v>2912049558.0683036</v>
      </c>
      <c r="J96" s="2">
        <f>J8/'Output-Calculation-sheet'!J7*'Output-Calculation-sheet'!J79</f>
        <v>2072870145.305676</v>
      </c>
      <c r="K96" s="2">
        <f>K8/'Output-Calculation-sheet'!K7*'Output-Calculation-sheet'!K79</f>
        <v>2583469123.6820984</v>
      </c>
      <c r="L96" s="2">
        <f>L8/'Output-Calculation-sheet'!L7*'Output-Calculation-sheet'!L79</f>
        <v>1797729631.1365001</v>
      </c>
      <c r="M96" s="2">
        <f>M8/'Output-Calculation-sheet'!M7*'Output-Calculation-sheet'!M79</f>
        <v>850764855.57060683</v>
      </c>
      <c r="N96" s="2">
        <f>N8/'Output-Calculation-sheet'!N7*'Output-Calculation-sheet'!N79</f>
        <v>948182116.39291573</v>
      </c>
      <c r="O96" s="2">
        <f>O8/'Output-Calculation-sheet'!O7*'Output-Calculation-sheet'!O79</f>
        <v>0</v>
      </c>
      <c r="P96" s="2">
        <f>P8/'Output-Calculation-sheet'!P7*'Output-Calculation-sheet'!P79</f>
        <v>2192918242.148263</v>
      </c>
      <c r="Q96" s="2">
        <f>Q8/'Output-Calculation-sheet'!Q7*'Output-Calculation-sheet'!Q79</f>
        <v>1018063959.9356569</v>
      </c>
      <c r="R96" s="2">
        <f>R8/'Output-Calculation-sheet'!R7*'Output-Calculation-sheet'!R79</f>
        <v>1570737136.7252629</v>
      </c>
      <c r="S96" s="2">
        <f>S8/'Output-Calculation-sheet'!S7*'Output-Calculation-sheet'!S79</f>
        <v>575339983.44036984</v>
      </c>
      <c r="T96" s="2">
        <f>T8/'Output-Calculation-sheet'!T7*'Output-Calculation-sheet'!T79</f>
        <v>823316372.9352299</v>
      </c>
      <c r="U96" s="2">
        <f>U8/'Output-Calculation-sheet'!U7*'Output-Calculation-sheet'!U79</f>
        <v>418026451.73400438</v>
      </c>
      <c r="V96" s="2">
        <f>V8/'Output-Calculation-sheet'!V7*'Output-Calculation-sheet'!V79</f>
        <v>253411662.90186468</v>
      </c>
      <c r="W96" s="2">
        <f>W8/'Output-Calculation-sheet'!W7*'Output-Calculation-sheet'!W79</f>
        <v>882492996.95898759</v>
      </c>
      <c r="X96" s="2">
        <f>X8/'Output-Calculation-sheet'!X7*'Output-Calculation-sheet'!X79</f>
        <v>82277509.921592861</v>
      </c>
      <c r="Y96" s="2">
        <f>Y8/'Output-Calculation-sheet'!Y7*'Output-Calculation-sheet'!Y79</f>
        <v>375389837.16635567</v>
      </c>
      <c r="AA96" s="2">
        <f t="shared" si="8"/>
        <v>61.590765170233048</v>
      </c>
    </row>
    <row r="97" spans="1:27" x14ac:dyDescent="0.25">
      <c r="A97" s="2">
        <v>2032</v>
      </c>
      <c r="B97" s="2">
        <f>B9/'Output-Calculation-sheet'!B8*'Output-Calculation-sheet'!B80</f>
        <v>12714123916.655132</v>
      </c>
      <c r="C97" s="2">
        <f>C9/'Output-Calculation-sheet'!C8*'Output-Calculation-sheet'!C80</f>
        <v>0</v>
      </c>
      <c r="D97" s="2">
        <f>D9/'Output-Calculation-sheet'!D8*'Output-Calculation-sheet'!D80</f>
        <v>7380948817.8203373</v>
      </c>
      <c r="E97" s="2">
        <f>E9/'Output-Calculation-sheet'!E8*'Output-Calculation-sheet'!E80</f>
        <v>11907874042.765684</v>
      </c>
      <c r="F97" s="2">
        <f>F9/'Output-Calculation-sheet'!F8*'Output-Calculation-sheet'!F80</f>
        <v>5680245437.3782101</v>
      </c>
      <c r="G97" s="2">
        <f>G9/'Output-Calculation-sheet'!G8*'Output-Calculation-sheet'!G80</f>
        <v>4206081911.8125176</v>
      </c>
      <c r="H97" s="2">
        <f>H9/'Output-Calculation-sheet'!H8*'Output-Calculation-sheet'!H80</f>
        <v>1201177752.567183</v>
      </c>
      <c r="I97" s="2">
        <f>I9/'Output-Calculation-sheet'!I8*'Output-Calculation-sheet'!I80</f>
        <v>2999258866.5536413</v>
      </c>
      <c r="J97" s="2">
        <f>J9/'Output-Calculation-sheet'!J8*'Output-Calculation-sheet'!J80</f>
        <v>2074264035.1797428</v>
      </c>
      <c r="K97" s="2">
        <f>K9/'Output-Calculation-sheet'!K8*'Output-Calculation-sheet'!K80</f>
        <v>2609244751.404882</v>
      </c>
      <c r="L97" s="2">
        <f>L9/'Output-Calculation-sheet'!L8*'Output-Calculation-sheet'!L80</f>
        <v>1873396724.1875217</v>
      </c>
      <c r="M97" s="2">
        <f>M9/'Output-Calculation-sheet'!M8*'Output-Calculation-sheet'!M80</f>
        <v>892041468.02357149</v>
      </c>
      <c r="N97" s="2">
        <f>N9/'Output-Calculation-sheet'!N8*'Output-Calculation-sheet'!N80</f>
        <v>949484667.448493</v>
      </c>
      <c r="O97" s="2">
        <f>O9/'Output-Calculation-sheet'!O8*'Output-Calculation-sheet'!O80</f>
        <v>0</v>
      </c>
      <c r="P97" s="2">
        <f>P9/'Output-Calculation-sheet'!P8*'Output-Calculation-sheet'!P80</f>
        <v>2221952397.2330513</v>
      </c>
      <c r="Q97" s="2">
        <f>Q9/'Output-Calculation-sheet'!Q8*'Output-Calculation-sheet'!Q80</f>
        <v>1035984145.7279129</v>
      </c>
      <c r="R97" s="2">
        <f>R9/'Output-Calculation-sheet'!R8*'Output-Calculation-sheet'!R80</f>
        <v>1605693016.2268524</v>
      </c>
      <c r="S97" s="2">
        <f>S9/'Output-Calculation-sheet'!S8*'Output-Calculation-sheet'!S80</f>
        <v>605011646.08245981</v>
      </c>
      <c r="T97" s="2">
        <f>T9/'Output-Calculation-sheet'!T8*'Output-Calculation-sheet'!T80</f>
        <v>825702640.09274948</v>
      </c>
      <c r="U97" s="2">
        <f>U9/'Output-Calculation-sheet'!U8*'Output-Calculation-sheet'!U80</f>
        <v>427515795.79092735</v>
      </c>
      <c r="V97" s="2">
        <f>V9/'Output-Calculation-sheet'!V8*'Output-Calculation-sheet'!V80</f>
        <v>262083209.00806358</v>
      </c>
      <c r="W97" s="2">
        <f>W9/'Output-Calculation-sheet'!W8*'Output-Calculation-sheet'!W80</f>
        <v>892256271.17047226</v>
      </c>
      <c r="X97" s="2">
        <f>X9/'Output-Calculation-sheet'!X8*'Output-Calculation-sheet'!X80</f>
        <v>88336898.549309671</v>
      </c>
      <c r="Y97" s="2">
        <f>Y9/'Output-Calculation-sheet'!Y8*'Output-Calculation-sheet'!Y80</f>
        <v>379927110.79322445</v>
      </c>
      <c r="AA97" s="2">
        <f t="shared" si="8"/>
        <v>62.832605522471951</v>
      </c>
    </row>
    <row r="98" spans="1:27" x14ac:dyDescent="0.25">
      <c r="A98" s="2">
        <v>2033</v>
      </c>
      <c r="B98" s="2">
        <f>B10/'Output-Calculation-sheet'!B9*'Output-Calculation-sheet'!B81</f>
        <v>12397981849.034616</v>
      </c>
      <c r="C98" s="2">
        <f>C10/'Output-Calculation-sheet'!C9*'Output-Calculation-sheet'!C81</f>
        <v>1623766493.4398439</v>
      </c>
      <c r="D98" s="2">
        <f>D10/'Output-Calculation-sheet'!D9*'Output-Calculation-sheet'!D81</f>
        <v>6609783390.1727295</v>
      </c>
      <c r="E98" s="2">
        <f>E10/'Output-Calculation-sheet'!E9*'Output-Calculation-sheet'!E81</f>
        <v>10974541821.368742</v>
      </c>
      <c r="F98" s="2">
        <f>F10/'Output-Calculation-sheet'!F9*'Output-Calculation-sheet'!F81</f>
        <v>5224873693.0821037</v>
      </c>
      <c r="G98" s="2">
        <f>G10/'Output-Calculation-sheet'!G9*'Output-Calculation-sheet'!G81</f>
        <v>3751852580.4370542</v>
      </c>
      <c r="H98" s="2">
        <f>H10/'Output-Calculation-sheet'!H9*'Output-Calculation-sheet'!H81</f>
        <v>1130711889.2374878</v>
      </c>
      <c r="I98" s="2">
        <f>I10/'Output-Calculation-sheet'!I9*'Output-Calculation-sheet'!I81</f>
        <v>2784730212.5489268</v>
      </c>
      <c r="J98" s="2">
        <f>J10/'Output-Calculation-sheet'!J9*'Output-Calculation-sheet'!J81</f>
        <v>1872533233.3694155</v>
      </c>
      <c r="K98" s="2">
        <f>K10/'Output-Calculation-sheet'!K9*'Output-Calculation-sheet'!K81</f>
        <v>2378053474.6868181</v>
      </c>
      <c r="L98" s="2">
        <f>L10/'Output-Calculation-sheet'!L9*'Output-Calculation-sheet'!L81</f>
        <v>1758196137.3375671</v>
      </c>
      <c r="M98" s="2">
        <f>M10/'Output-Calculation-sheet'!M9*'Output-Calculation-sheet'!M81</f>
        <v>843063725.27081537</v>
      </c>
      <c r="N98" s="2">
        <f>N10/'Output-Calculation-sheet'!N9*'Output-Calculation-sheet'!N81</f>
        <v>857905622.81215024</v>
      </c>
      <c r="O98" s="2">
        <f>O10/'Output-Calculation-sheet'!O9*'Output-Calculation-sheet'!O81</f>
        <v>0</v>
      </c>
      <c r="P98" s="2">
        <f>P10/'Output-Calculation-sheet'!P9*'Output-Calculation-sheet'!P81</f>
        <v>2023127462.2690401</v>
      </c>
      <c r="Q98" s="2">
        <f>Q10/'Output-Calculation-sheet'!Q9*'Output-Calculation-sheet'!Q81</f>
        <v>949628415.08079219</v>
      </c>
      <c r="R98" s="2">
        <f>R10/'Output-Calculation-sheet'!R9*'Output-Calculation-sheet'!R81</f>
        <v>1481852934.9316745</v>
      </c>
      <c r="S98" s="2">
        <f>S10/'Output-Calculation-sheet'!S9*'Output-Calculation-sheet'!S81</f>
        <v>562685265.2098881</v>
      </c>
      <c r="T98" s="2">
        <f>T10/'Output-Calculation-sheet'!T9*'Output-Calculation-sheet'!T81</f>
        <v>746861004.69373143</v>
      </c>
      <c r="U98" s="2">
        <f>U10/'Output-Calculation-sheet'!U9*'Output-Calculation-sheet'!U81</f>
        <v>393671238.37189662</v>
      </c>
      <c r="V98" s="2">
        <f>V10/'Output-Calculation-sheet'!V9*'Output-Calculation-sheet'!V81</f>
        <v>243956326.69533676</v>
      </c>
      <c r="W98" s="2">
        <f>W10/'Output-Calculation-sheet'!W9*'Output-Calculation-sheet'!W81</f>
        <v>811068254.67286551</v>
      </c>
      <c r="X98" s="2">
        <f>X10/'Output-Calculation-sheet'!X9*'Output-Calculation-sheet'!X81</f>
        <v>84372540.584691226</v>
      </c>
      <c r="Y98" s="2">
        <f>Y10/'Output-Calculation-sheet'!Y9*'Output-Calculation-sheet'!Y81</f>
        <v>346249699.63983595</v>
      </c>
      <c r="AA98" s="2">
        <f t="shared" si="8"/>
        <v>59.851467264948035</v>
      </c>
    </row>
    <row r="99" spans="1:27" x14ac:dyDescent="0.25">
      <c r="A99" s="2">
        <v>2034</v>
      </c>
      <c r="B99" s="2">
        <f>B11/'Output-Calculation-sheet'!B10*'Output-Calculation-sheet'!B82</f>
        <v>10744535544.600201</v>
      </c>
      <c r="C99" s="2">
        <f>C11/'Output-Calculation-sheet'!C10*'Output-Calculation-sheet'!C82</f>
        <v>1457223103.3816369</v>
      </c>
      <c r="D99" s="2">
        <f>D11/'Output-Calculation-sheet'!D10*'Output-Calculation-sheet'!D82</f>
        <v>5361030445.9496574</v>
      </c>
      <c r="E99" s="2">
        <f>E11/'Output-Calculation-sheet'!E10*'Output-Calculation-sheet'!E82</f>
        <v>9168268692.6979332</v>
      </c>
      <c r="F99" s="2">
        <f>F11/'Output-Calculation-sheet'!F10*'Output-Calculation-sheet'!F82</f>
        <v>4354085887.0370474</v>
      </c>
      <c r="G99" s="2">
        <f>G11/'Output-Calculation-sheet'!G10*'Output-Calculation-sheet'!G82</f>
        <v>3024589591.4990444</v>
      </c>
      <c r="H99" s="2">
        <f>H11/'Output-Calculation-sheet'!H10*'Output-Calculation-sheet'!H82</f>
        <v>965125496.03262472</v>
      </c>
      <c r="I99" s="2">
        <f>I11/'Output-Calculation-sheet'!I10*'Output-Calculation-sheet'!I82</f>
        <v>2344604161.1566467</v>
      </c>
      <c r="J99" s="2">
        <f>J11/'Output-Calculation-sheet'!J10*'Output-Calculation-sheet'!J82</f>
        <v>1531812268.8968136</v>
      </c>
      <c r="K99" s="2">
        <f>K11/'Output-Calculation-sheet'!K10*'Output-Calculation-sheet'!K82</f>
        <v>1964056017.3995674</v>
      </c>
      <c r="L99" s="2">
        <f>L11/'Output-Calculation-sheet'!L10*'Output-Calculation-sheet'!L82</f>
        <v>1493471026.0372047</v>
      </c>
      <c r="M99" s="2">
        <f>M11/'Output-Calculation-sheet'!M10*'Output-Calculation-sheet'!M82</f>
        <v>721944351.76731062</v>
      </c>
      <c r="N99" s="2">
        <f>N11/'Output-Calculation-sheet'!N10*'Output-Calculation-sheet'!N82</f>
        <v>704586465.61558211</v>
      </c>
      <c r="O99" s="2">
        <f>O11/'Output-Calculation-sheet'!O10*'Output-Calculation-sheet'!O82</f>
        <v>0</v>
      </c>
      <c r="P99" s="2">
        <f>P11/'Output-Calculation-sheet'!P10*'Output-Calculation-sheet'!P82</f>
        <v>1666508891.5568886</v>
      </c>
      <c r="Q99" s="2">
        <f>Q11/'Output-Calculation-sheet'!Q10*'Output-Calculation-sheet'!Q82</f>
        <v>789104255.38050461</v>
      </c>
      <c r="R99" s="2">
        <f>R11/'Output-Calculation-sheet'!R10*'Output-Calculation-sheet'!R82</f>
        <v>1238365571.6207736</v>
      </c>
      <c r="S99" s="2">
        <f>S11/'Output-Calculation-sheet'!S10*'Output-Calculation-sheet'!S82</f>
        <v>482509780.18356568</v>
      </c>
      <c r="T99" s="2">
        <f>T11/'Output-Calculation-sheet'!T10*'Output-Calculation-sheet'!T82</f>
        <v>611850892.25543022</v>
      </c>
      <c r="U99" s="2">
        <f>U11/'Output-Calculation-sheet'!U10*'Output-Calculation-sheet'!U82</f>
        <v>328885913.44828087</v>
      </c>
      <c r="V99" s="2">
        <f>V11/'Output-Calculation-sheet'!V10*'Output-Calculation-sheet'!V82</f>
        <v>205743611.91481659</v>
      </c>
      <c r="W99" s="2">
        <f>W11/'Output-Calculation-sheet'!W10*'Output-Calculation-sheet'!W82</f>
        <v>666935452.99653578</v>
      </c>
      <c r="X99" s="2">
        <f>X11/'Output-Calculation-sheet'!X10*'Output-Calculation-sheet'!X82</f>
        <v>73385842.220351234</v>
      </c>
      <c r="Y99" s="2">
        <f>Y11/'Output-Calculation-sheet'!Y10*'Output-Calculation-sheet'!Y82</f>
        <v>285364944.83048058</v>
      </c>
      <c r="AA99" s="2">
        <f t="shared" si="8"/>
        <v>50.183988208478908</v>
      </c>
    </row>
    <row r="100" spans="1:27" x14ac:dyDescent="0.25">
      <c r="A100" s="2">
        <v>2035</v>
      </c>
      <c r="B100" s="2">
        <f>B12/'Output-Calculation-sheet'!B11*'Output-Calculation-sheet'!B83</f>
        <v>8222986821.6907778</v>
      </c>
      <c r="C100" s="2">
        <f>C12/'Output-Calculation-sheet'!C11*'Output-Calculation-sheet'!C83</f>
        <v>1163430957.1946173</v>
      </c>
      <c r="D100" s="2">
        <f>D12/'Output-Calculation-sheet'!D11*'Output-Calculation-sheet'!D83</f>
        <v>3910897951.5537853</v>
      </c>
      <c r="E100" s="2">
        <f>E12/'Output-Calculation-sheet'!E11*'Output-Calculation-sheet'!E83</f>
        <v>6880508589.1401577</v>
      </c>
      <c r="F100" s="2">
        <f>F12/'Output-Calculation-sheet'!F11*'Output-Calculation-sheet'!F83</f>
        <v>3260719365.7274027</v>
      </c>
      <c r="G100" s="2">
        <f>G12/'Output-Calculation-sheet'!G11*'Output-Calculation-sheet'!G83</f>
        <v>2186879983.4191809</v>
      </c>
      <c r="H100" s="2">
        <f>H12/'Output-Calculation-sheet'!H11*'Output-Calculation-sheet'!H83</f>
        <v>736887389.34101903</v>
      </c>
      <c r="I100" s="2">
        <f>I12/'Output-Calculation-sheet'!I11*'Output-Calculation-sheet'!I83</f>
        <v>1771880841.1105137</v>
      </c>
      <c r="J100" s="2">
        <f>J12/'Output-Calculation-sheet'!J11*'Output-Calculation-sheet'!J83</f>
        <v>1125709364.9916375</v>
      </c>
      <c r="K100" s="2">
        <f>K12/'Output-Calculation-sheet'!K11*'Output-Calculation-sheet'!K83</f>
        <v>1457133545.0756292</v>
      </c>
      <c r="L100" s="2">
        <f>L12/'Output-Calculation-sheet'!L11*'Output-Calculation-sheet'!L83</f>
        <v>1138509669.2776074</v>
      </c>
      <c r="M100" s="2">
        <f>M12/'Output-Calculation-sheet'!M11*'Output-Calculation-sheet'!M83</f>
        <v>552333141.61778247</v>
      </c>
      <c r="N100" s="2">
        <f>N12/'Output-Calculation-sheet'!N11*'Output-Calculation-sheet'!N83</f>
        <v>520314928.2594555</v>
      </c>
      <c r="O100" s="2">
        <f>O12/'Output-Calculation-sheet'!O11*'Output-Calculation-sheet'!O83</f>
        <v>140374538.90298995</v>
      </c>
      <c r="P100" s="2">
        <f>P12/'Output-Calculation-sheet'!P11*'Output-Calculation-sheet'!P83</f>
        <v>1232534486.8849881</v>
      </c>
      <c r="Q100" s="2">
        <f>Q12/'Output-Calculation-sheet'!Q11*'Output-Calculation-sheet'!Q83</f>
        <v>591095310.10187209</v>
      </c>
      <c r="R100" s="2">
        <f>R12/'Output-Calculation-sheet'!R11*'Output-Calculation-sheet'!R83</f>
        <v>931092165.94565451</v>
      </c>
      <c r="S100" s="2">
        <f>S12/'Output-Calculation-sheet'!S11*'Output-Calculation-sheet'!S83</f>
        <v>361126264.47063386</v>
      </c>
      <c r="T100" s="2">
        <f>T12/'Output-Calculation-sheet'!T11*'Output-Calculation-sheet'!T83</f>
        <v>450123435.39453995</v>
      </c>
      <c r="U100" s="2">
        <f>U12/'Output-Calculation-sheet'!U11*'Output-Calculation-sheet'!U83</f>
        <v>246575050.19197178</v>
      </c>
      <c r="V100" s="2">
        <f>V12/'Output-Calculation-sheet'!V11*'Output-Calculation-sheet'!V83</f>
        <v>155846776.19788525</v>
      </c>
      <c r="W100" s="2">
        <f>W12/'Output-Calculation-sheet'!W11*'Output-Calculation-sheet'!W83</f>
        <v>491775186.87953103</v>
      </c>
      <c r="X100" s="2">
        <f>X12/'Output-Calculation-sheet'!X11*'Output-Calculation-sheet'!X83</f>
        <v>57224208.346100859</v>
      </c>
      <c r="Y100" s="2">
        <f>Y12/'Output-Calculation-sheet'!Y11*'Output-Calculation-sheet'!Y83</f>
        <v>211144493.5549154</v>
      </c>
      <c r="AA100" s="2">
        <f t="shared" si="8"/>
        <v>37.797104465270642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A1C0-C290-4C53-9782-B1BA3078570B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113269989506.9044</v>
      </c>
      <c r="C8" s="2">
        <v>53378518885.258392</v>
      </c>
      <c r="D8" s="2">
        <v>47574690639.935852</v>
      </c>
      <c r="E8" s="2">
        <v>37745689295.494881</v>
      </c>
      <c r="F8" s="2">
        <v>24298254690.458027</v>
      </c>
      <c r="G8" s="2">
        <v>17072620593.116785</v>
      </c>
      <c r="H8" s="2">
        <v>16653686025.598593</v>
      </c>
      <c r="I8" s="2">
        <v>15554501269.239019</v>
      </c>
      <c r="J8" s="2">
        <v>15139677237.922947</v>
      </c>
      <c r="K8" s="2">
        <v>14994539223.546438</v>
      </c>
      <c r="L8" s="2">
        <v>12028814314.878195</v>
      </c>
      <c r="M8" s="2">
        <v>11489591604.211245</v>
      </c>
      <c r="N8" s="2">
        <v>11277000976.5973</v>
      </c>
      <c r="O8" s="2">
        <v>10371492574.308268</v>
      </c>
      <c r="P8" s="2">
        <v>10265970837.69776</v>
      </c>
      <c r="Q8" s="2">
        <v>10100056157.492546</v>
      </c>
      <c r="R8" s="2">
        <v>9716718584.6124039</v>
      </c>
      <c r="S8" s="2">
        <v>6458228926.9880247</v>
      </c>
      <c r="T8" s="2">
        <v>3571782200.3888664</v>
      </c>
      <c r="U8" s="2">
        <v>3110900253.8478084</v>
      </c>
      <c r="V8" s="2">
        <v>2395455413.4678912</v>
      </c>
      <c r="W8" s="2">
        <v>2073933502.5652039</v>
      </c>
      <c r="X8" s="2">
        <v>1244360101.5391233</v>
      </c>
      <c r="Y8" s="2">
        <v>1210127755.1457798</v>
      </c>
    </row>
    <row r="9" spans="1:27" x14ac:dyDescent="0.25">
      <c r="A9" s="2">
        <v>2032</v>
      </c>
      <c r="B9" s="2">
        <v>121148203730.30881</v>
      </c>
      <c r="C9" s="2">
        <v>57091129864.890114</v>
      </c>
      <c r="D9" s="2">
        <v>50883630687.562149</v>
      </c>
      <c r="E9" s="2">
        <v>40370997442.644005</v>
      </c>
      <c r="F9" s="2">
        <v>25988259753.048771</v>
      </c>
      <c r="G9" s="2">
        <v>18260064531.030106</v>
      </c>
      <c r="H9" s="2">
        <v>17811992004.879929</v>
      </c>
      <c r="I9" s="2">
        <v>16636356168.941389</v>
      </c>
      <c r="J9" s="2">
        <v>16192680077.181496</v>
      </c>
      <c r="K9" s="2">
        <v>16037447346.859526</v>
      </c>
      <c r="L9" s="2">
        <v>12865448770.648029</v>
      </c>
      <c r="M9" s="2">
        <v>12288721756.791397</v>
      </c>
      <c r="N9" s="2">
        <v>12061344913.3976</v>
      </c>
      <c r="O9" s="2">
        <v>11092856111.751411</v>
      </c>
      <c r="P9" s="2">
        <v>10979995071.501324</v>
      </c>
      <c r="Q9" s="2">
        <v>10802540605.699286</v>
      </c>
      <c r="R9" s="2">
        <v>10392540935.186958</v>
      </c>
      <c r="S9" s="2">
        <v>6907415081.344449</v>
      </c>
      <c r="T9" s="2">
        <v>3820208685.2548423</v>
      </c>
      <c r="U9" s="2">
        <v>3327271233.7882824</v>
      </c>
      <c r="V9" s="2">
        <v>2562065395.4416552</v>
      </c>
      <c r="W9" s="2">
        <v>2218180822.5255198</v>
      </c>
      <c r="X9" s="2">
        <v>1330908493.5153129</v>
      </c>
      <c r="Y9" s="2">
        <v>1294295200.8587046</v>
      </c>
    </row>
    <row r="10" spans="1:27" x14ac:dyDescent="0.25">
      <c r="A10" s="2">
        <v>2033</v>
      </c>
      <c r="B10" s="2">
        <v>120143050192.27116</v>
      </c>
      <c r="C10" s="2">
        <v>56617450937.697701</v>
      </c>
      <c r="D10" s="2">
        <v>50461454709.388664</v>
      </c>
      <c r="E10" s="2">
        <v>40036043645.029991</v>
      </c>
      <c r="F10" s="2">
        <v>25772637973.823963</v>
      </c>
      <c r="G10" s="2">
        <v>18108562751.366753</v>
      </c>
      <c r="H10" s="2">
        <v>17664207834.48431</v>
      </c>
      <c r="I10" s="2">
        <v>16498326121.872005</v>
      </c>
      <c r="J10" s="2">
        <v>16058331162.639408</v>
      </c>
      <c r="K10" s="2">
        <v>15904386381.484638</v>
      </c>
      <c r="L10" s="2">
        <v>12758705534.247705</v>
      </c>
      <c r="M10" s="2">
        <v>12186763562.022812</v>
      </c>
      <c r="N10" s="2">
        <v>11961273239.696335</v>
      </c>
      <c r="O10" s="2">
        <v>11000819884.8463</v>
      </c>
      <c r="P10" s="2">
        <v>10888895240.435532</v>
      </c>
      <c r="Q10" s="2">
        <v>10712913095.135563</v>
      </c>
      <c r="R10" s="2">
        <v>10306315147.527252</v>
      </c>
      <c r="S10" s="2">
        <v>6850105005.8012409</v>
      </c>
      <c r="T10" s="2">
        <v>3788512827.142293</v>
      </c>
      <c r="U10" s="2">
        <v>3299665224.3744059</v>
      </c>
      <c r="V10" s="2">
        <v>2540808216.0727816</v>
      </c>
      <c r="W10" s="2">
        <v>2199776816.2496023</v>
      </c>
      <c r="X10" s="2">
        <v>1319866089.7497623</v>
      </c>
      <c r="Y10" s="2">
        <v>1283556573.6207442</v>
      </c>
    </row>
    <row r="11" spans="1:27" x14ac:dyDescent="0.25">
      <c r="A11" s="2">
        <v>2034</v>
      </c>
      <c r="B11" s="2">
        <v>111625384379.06194</v>
      </c>
      <c r="C11" s="2">
        <v>52603498191.273239</v>
      </c>
      <c r="D11" s="2">
        <v>46883937683.017914</v>
      </c>
      <c r="E11" s="2">
        <v>37197646919.579109</v>
      </c>
      <c r="F11" s="2">
        <v>23945460146.77076</v>
      </c>
      <c r="G11" s="2">
        <v>16824737464.537193</v>
      </c>
      <c r="H11" s="2">
        <v>16411885549.105137</v>
      </c>
      <c r="I11" s="2">
        <v>15328660226.436914</v>
      </c>
      <c r="J11" s="2">
        <v>14919859164.947403</v>
      </c>
      <c r="K11" s="2">
        <v>14776828458.28521</v>
      </c>
      <c r="L11" s="2">
        <v>11854163908.444567</v>
      </c>
      <c r="M11" s="2">
        <v>11322770353.928091</v>
      </c>
      <c r="N11" s="2">
        <v>11113266401.238607</v>
      </c>
      <c r="O11" s="2">
        <v>10220905380.424507</v>
      </c>
      <c r="P11" s="2">
        <v>10116915749.44837</v>
      </c>
      <c r="Q11" s="2">
        <v>9953410040.3663788</v>
      </c>
      <c r="R11" s="2">
        <v>9575638274.8178864</v>
      </c>
      <c r="S11" s="2">
        <v>6364459726.016592</v>
      </c>
      <c r="T11" s="2">
        <v>3519922291.6180801</v>
      </c>
      <c r="U11" s="2">
        <v>3065732045.2873874</v>
      </c>
      <c r="V11" s="2">
        <v>2360674989.5121956</v>
      </c>
      <c r="W11" s="2">
        <v>2043821363.5249233</v>
      </c>
      <c r="X11" s="2">
        <v>1226292818.1149549</v>
      </c>
      <c r="Y11" s="2">
        <v>1192557502.6886103</v>
      </c>
    </row>
    <row r="12" spans="1:27" x14ac:dyDescent="0.25">
      <c r="A12" s="2">
        <v>2035</v>
      </c>
      <c r="B12" s="2">
        <v>97614257982.267181</v>
      </c>
      <c r="C12" s="2">
        <v>46000750382.865761</v>
      </c>
      <c r="D12" s="2">
        <v>40999104403.291</v>
      </c>
      <c r="E12" s="2">
        <v>32528628886.15654</v>
      </c>
      <c r="F12" s="2">
        <v>20939845692.566486</v>
      </c>
      <c r="G12" s="2">
        <v>14712910262.150991</v>
      </c>
      <c r="H12" s="2">
        <v>14351879179.430552</v>
      </c>
      <c r="I12" s="2">
        <v>13404619407.936369</v>
      </c>
      <c r="J12" s="2">
        <v>13047130719.304836</v>
      </c>
      <c r="K12" s="2">
        <v>12922053109.250681</v>
      </c>
      <c r="L12" s="2">
        <v>10366239008.804144</v>
      </c>
      <c r="M12" s="2">
        <v>9901545535.9956856</v>
      </c>
      <c r="N12" s="2">
        <v>9718338347.0583649</v>
      </c>
      <c r="O12" s="2">
        <v>8937985747.3014412</v>
      </c>
      <c r="P12" s="2">
        <v>8847048809.2380104</v>
      </c>
      <c r="Q12" s="2">
        <v>8704066202.2200222</v>
      </c>
      <c r="R12" s="2">
        <v>8373712037.8353128</v>
      </c>
      <c r="S12" s="2">
        <v>5565597978.175168</v>
      </c>
      <c r="T12" s="2">
        <v>3078104541.9270234</v>
      </c>
      <c r="U12" s="2">
        <v>2680923881.5872779</v>
      </c>
      <c r="V12" s="2">
        <v>2064365007.2998371</v>
      </c>
      <c r="W12" s="2">
        <v>1787282587.7248507</v>
      </c>
      <c r="X12" s="2">
        <v>1072369552.6349111</v>
      </c>
      <c r="Y12" s="2">
        <v>1042868666.2419229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-4.8443221004840817E-11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192.67004507413145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3.0244191121304652E-12</v>
      </c>
      <c r="Y16" s="2">
        <f>Y5/'Output-Calculation-sheet'!Y4*'Output-Calculation-sheet'!Y22</f>
        <v>0</v>
      </c>
      <c r="AA16" s="2">
        <f t="shared" ref="AA16:AA23" si="0">SUM(B16:Y16)/1000</f>
        <v>0.19267004507408603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1533.4245836019963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1043.7250850070277</v>
      </c>
      <c r="N17" s="2">
        <f>N6/'Output-Calculation-sheet'!N5*'Output-Calculation-sheet'!N23</f>
        <v>428.04132238536522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96.208542383248712</v>
      </c>
      <c r="Y17" s="2">
        <f>Y6/'Output-Calculation-sheet'!Y5*'Output-Calculation-sheet'!Y23</f>
        <v>0</v>
      </c>
      <c r="AA17" s="2">
        <f t="shared" si="0"/>
        <v>3.1013995333776379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2058.9994115891145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1399.453207171937</v>
      </c>
      <c r="N18" s="2">
        <f>N7/'Output-Calculation-sheet'!N6*'Output-Calculation-sheet'!N24</f>
        <v>774.67774409618482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137.62596254687006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131.38296544028265</v>
      </c>
      <c r="Y18" s="2">
        <f>Y7/'Output-Calculation-sheet'!Y6*'Output-Calculation-sheet'!Y24</f>
        <v>0</v>
      </c>
      <c r="AA18" s="2">
        <f t="shared" si="0"/>
        <v>4.5021392908443891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2489.1874110616964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1704.7122498061558</v>
      </c>
      <c r="N19" s="2">
        <f>N8/'Output-Calculation-sheet'!N7*'Output-Calculation-sheet'!N25</f>
        <v>1146.666559940357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304.14809059220079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161.78365590883703</v>
      </c>
      <c r="Y19" s="2">
        <f>Y8/'Output-Calculation-sheet'!Y7*'Output-Calculation-sheet'!Y25</f>
        <v>0</v>
      </c>
      <c r="AA19" s="2">
        <f t="shared" si="0"/>
        <v>5.8064979673092463</v>
      </c>
    </row>
    <row r="20" spans="1:27" x14ac:dyDescent="0.25">
      <c r="A20" s="2">
        <v>2032</v>
      </c>
      <c r="B20" s="2">
        <f>B9/'Output-Calculation-sheet'!B8*'Output-Calculation-sheet'!B26</f>
        <v>2.6016740082995478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2750.1575220782647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1880.75016465627</v>
      </c>
      <c r="N20" s="2">
        <f>N9/'Output-Calculation-sheet'!N8*'Output-Calculation-sheet'!N26</f>
        <v>1369.7233102170851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471.25505091148324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181.03110901227311</v>
      </c>
      <c r="Y20" s="2">
        <f>Y9/'Output-Calculation-sheet'!Y8*'Output-Calculation-sheet'!Y26</f>
        <v>0</v>
      </c>
      <c r="AA20" s="2">
        <f t="shared" si="0"/>
        <v>6.6555188308836764</v>
      </c>
    </row>
    <row r="21" spans="1:27" x14ac:dyDescent="0.25">
      <c r="A21" s="2">
        <v>2033</v>
      </c>
      <c r="B21" s="2">
        <f>B10/'Output-Calculation-sheet'!B9*'Output-Calculation-sheet'!B27</f>
        <v>4017.197328264866</v>
      </c>
      <c r="C21" s="2">
        <f>C10/'Output-Calculation-sheet'!C9*'Output-Calculation-sheet'!C27</f>
        <v>6268.560546183814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2812.4641811835099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1925.2760260109728</v>
      </c>
      <c r="N21" s="2">
        <f>N10/'Output-Calculation-sheet'!N9*'Output-Calculation-sheet'!N27</f>
        <v>1504.2739211624389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573.86545242347597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185.31845594733764</v>
      </c>
      <c r="Y21" s="2">
        <f>Y10/'Output-Calculation-sheet'!Y9*'Output-Calculation-sheet'!Y27</f>
        <v>0</v>
      </c>
      <c r="AA21" s="2">
        <f t="shared" si="0"/>
        <v>17.286955911176417</v>
      </c>
    </row>
    <row r="22" spans="1:27" x14ac:dyDescent="0.25">
      <c r="A22" s="2">
        <v>2034</v>
      </c>
      <c r="B22" s="2">
        <f>B11/'Output-Calculation-sheet'!B10*'Output-Calculation-sheet'!B28</f>
        <v>6378.6519214001146</v>
      </c>
      <c r="C22" s="2">
        <f>C11/'Output-Calculation-sheet'!C10*'Output-Calculation-sheet'!C28</f>
        <v>6179.846620229363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2699.9935873558857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1848.439046268946</v>
      </c>
      <c r="N22" s="2">
        <f>N11/'Output-Calculation-sheet'!N10*'Output-Calculation-sheet'!N28</f>
        <v>1482.229080359584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604.64830500274093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179.09000530554974</v>
      </c>
      <c r="Y22" s="2">
        <f>Y11/'Output-Calculation-sheet'!Y10*'Output-Calculation-sheet'!Y28</f>
        <v>0</v>
      </c>
      <c r="AA22" s="2">
        <f t="shared" si="0"/>
        <v>19.372898565922181</v>
      </c>
    </row>
    <row r="23" spans="1:27" x14ac:dyDescent="0.25">
      <c r="A23" s="2">
        <v>2035</v>
      </c>
      <c r="B23" s="2">
        <f>B12/'Output-Calculation-sheet'!B11*'Output-Calculation-sheet'!B29</f>
        <v>6949.1660469594299</v>
      </c>
      <c r="C23" s="2">
        <f>C12/'Output-Calculation-sheet'!C11*'Output-Calculation-sheet'!C29</f>
        <v>5694.3183135823683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2429.4473588457845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1660.6237552107523</v>
      </c>
      <c r="N23" s="2">
        <f>N12/'Output-Calculation-sheet'!N11*'Output-Calculation-sheet'!N29</f>
        <v>1357.4160198166076</v>
      </c>
      <c r="O23" s="2">
        <f>O12/'Output-Calculation-sheet'!O11*'Output-Calculation-sheet'!O29</f>
        <v>968.17332709886784</v>
      </c>
      <c r="P23" s="2">
        <f>P12/'Output-Calculation-sheet'!P11*'Output-Calculation-sheet'!P29</f>
        <v>0</v>
      </c>
      <c r="Q23" s="2">
        <f>Q12/'Output-Calculation-sheet'!Q11*'Output-Calculation-sheet'!Q29</f>
        <v>18.527142090484695</v>
      </c>
      <c r="R23" s="2">
        <f>R12/'Output-Calculation-sheet'!R11*'Output-Calculation-sheet'!R29</f>
        <v>0</v>
      </c>
      <c r="S23" s="2">
        <f>S12/'Output-Calculation-sheet'!S11*'Output-Calculation-sheet'!S29</f>
        <v>596.11850550856047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162.78575517386511</v>
      </c>
      <c r="Y23" s="2">
        <f>Y12/'Output-Calculation-sheet'!Y11*'Output-Calculation-sheet'!Y29</f>
        <v>0</v>
      </c>
      <c r="AA23" s="2">
        <f t="shared" si="0"/>
        <v>19.836576224286716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8969.926294256602</v>
      </c>
      <c r="C27" s="2">
        <f>C5/'Output-Calculation-sheet'!C4*'Output-Calculation-sheet'!C13</f>
        <v>0</v>
      </c>
      <c r="D27" s="2">
        <f>D5/'Output-Calculation-sheet'!D4*'Output-Calculation-sheet'!D13</f>
        <v>2896.8118516387653</v>
      </c>
      <c r="E27" s="2">
        <f>E5/'Output-Calculation-sheet'!E4*'Output-Calculation-sheet'!E13</f>
        <v>2955.1996595598139</v>
      </c>
      <c r="F27" s="2">
        <f>F5/'Output-Calculation-sheet'!F4*'Output-Calculation-sheet'!F13</f>
        <v>1678.7357198057578</v>
      </c>
      <c r="G27" s="2">
        <f>G5/'Output-Calculation-sheet'!G4*'Output-Calculation-sheet'!G13</f>
        <v>1018.0627903483304</v>
      </c>
      <c r="H27" s="2">
        <f>H5/'Output-Calculation-sheet'!H4*'Output-Calculation-sheet'!H13</f>
        <v>0</v>
      </c>
      <c r="I27" s="2">
        <f>I5/'Output-Calculation-sheet'!I4*'Output-Calculation-sheet'!I13</f>
        <v>1017.3102620508267</v>
      </c>
      <c r="J27" s="2">
        <f>J5/'Output-Calculation-sheet'!J4*'Output-Calculation-sheet'!J13</f>
        <v>935.245890013289</v>
      </c>
      <c r="K27" s="2">
        <f>K5/'Output-Calculation-sheet'!K4*'Output-Calculation-sheet'!K13</f>
        <v>1140.0845893762462</v>
      </c>
      <c r="L27" s="2">
        <f>L5/'Output-Calculation-sheet'!L4*'Output-Calculation-sheet'!L13</f>
        <v>945.33125398479945</v>
      </c>
      <c r="M27" s="2">
        <f>M5/'Output-Calculation-sheet'!M4*'Output-Calculation-sheet'!M13</f>
        <v>0</v>
      </c>
      <c r="N27" s="2">
        <f>N5/'Output-Calculation-sheet'!N4*'Output-Calculation-sheet'!N13</f>
        <v>614.0689978991835</v>
      </c>
      <c r="O27" s="2">
        <f>O5/'Output-Calculation-sheet'!O4*'Output-Calculation-sheet'!O13</f>
        <v>0</v>
      </c>
      <c r="P27" s="2">
        <f>P5/'Output-Calculation-sheet'!P4*'Output-Calculation-sheet'!P13</f>
        <v>738.78330105439738</v>
      </c>
      <c r="Q27" s="2">
        <f>Q5/'Output-Calculation-sheet'!Q4*'Output-Calculation-sheet'!Q13</f>
        <v>797.01630657061492</v>
      </c>
      <c r="R27" s="2">
        <f>R5/'Output-Calculation-sheet'!R4*'Output-Calculation-sheet'!R13</f>
        <v>719.2927449293843</v>
      </c>
      <c r="S27" s="2">
        <f>S5/'Output-Calculation-sheet'!S4*'Output-Calculation-sheet'!S13</f>
        <v>431.79892974432403</v>
      </c>
      <c r="T27" s="2">
        <f>T5/'Output-Calculation-sheet'!T4*'Output-Calculation-sheet'!T13</f>
        <v>264.40956595950104</v>
      </c>
      <c r="U27" s="2">
        <f>U5/'Output-Calculation-sheet'!U4*'Output-Calculation-sheet'!U13</f>
        <v>201.9153050149969</v>
      </c>
      <c r="V27" s="2">
        <f>V5/'Output-Calculation-sheet'!V4*'Output-Calculation-sheet'!V13</f>
        <v>193.42744364782652</v>
      </c>
      <c r="W27" s="2">
        <f>W5/'Output-Calculation-sheet'!W4*'Output-Calculation-sheet'!W13</f>
        <v>135.37298936876249</v>
      </c>
      <c r="X27" s="2">
        <f>X5/'Output-Calculation-sheet'!X4*'Output-Calculation-sheet'!X13</f>
        <v>0</v>
      </c>
      <c r="Y27" s="2">
        <f>Y5/'Output-Calculation-sheet'!Y4*'Output-Calculation-sheet'!Y13</f>
        <v>88.859631842540509</v>
      </c>
      <c r="AA27" s="2">
        <f t="shared" ref="AA27:AA34" si="1">SUM(B27:Y27)/1000</f>
        <v>25.741653527065964</v>
      </c>
    </row>
    <row r="28" spans="1:27" x14ac:dyDescent="0.25">
      <c r="A28" s="2">
        <v>2029</v>
      </c>
      <c r="B28" s="2">
        <f>B6/'Output-Calculation-sheet'!B5*'Output-Calculation-sheet'!B14</f>
        <v>12779.040034731768</v>
      </c>
      <c r="C28" s="2">
        <f>C6/'Output-Calculation-sheet'!C5*'Output-Calculation-sheet'!C14</f>
        <v>0</v>
      </c>
      <c r="D28" s="2">
        <f>D6/'Output-Calculation-sheet'!D5*'Output-Calculation-sheet'!D14</f>
        <v>4065.0952735208048</v>
      </c>
      <c r="E28" s="2">
        <f>E6/'Output-Calculation-sheet'!E5*'Output-Calculation-sheet'!E14</f>
        <v>4174.4157888742584</v>
      </c>
      <c r="F28" s="2">
        <f>F6/'Output-Calculation-sheet'!F5*'Output-Calculation-sheet'!F14</f>
        <v>2353.9437307853668</v>
      </c>
      <c r="G28" s="2">
        <f>G6/'Output-Calculation-sheet'!G5*'Output-Calculation-sheet'!G14</f>
        <v>1426.1730245532369</v>
      </c>
      <c r="H28" s="2">
        <f>H6/'Output-Calculation-sheet'!H5*'Output-Calculation-sheet'!H14</f>
        <v>0</v>
      </c>
      <c r="I28" s="2">
        <f>I6/'Output-Calculation-sheet'!I5*'Output-Calculation-sheet'!I14</f>
        <v>1432.4364589543388</v>
      </c>
      <c r="J28" s="2">
        <f>J6/'Output-Calculation-sheet'!J5*'Output-Calculation-sheet'!J14</f>
        <v>1312.6817060850306</v>
      </c>
      <c r="K28" s="2">
        <f>K6/'Output-Calculation-sheet'!K5*'Output-Calculation-sheet'!K14</f>
        <v>1609.9904127531968</v>
      </c>
      <c r="L28" s="2">
        <f>L6/'Output-Calculation-sheet'!L5*'Output-Calculation-sheet'!L14</f>
        <v>1331.5230569250796</v>
      </c>
      <c r="M28" s="2">
        <f>M6/'Output-Calculation-sheet'!M5*'Output-Calculation-sheet'!M14</f>
        <v>0</v>
      </c>
      <c r="N28" s="2">
        <f>N6/'Output-Calculation-sheet'!N5*'Output-Calculation-sheet'!N14</f>
        <v>844.13572965717674</v>
      </c>
      <c r="O28" s="2">
        <f>O6/'Output-Calculation-sheet'!O5*'Output-Calculation-sheet'!O14</f>
        <v>0</v>
      </c>
      <c r="P28" s="2">
        <f>P6/'Output-Calculation-sheet'!P5*'Output-Calculation-sheet'!P14</f>
        <v>1054.2386522009647</v>
      </c>
      <c r="Q28" s="2">
        <f>Q6/'Output-Calculation-sheet'!Q5*'Output-Calculation-sheet'!Q14</f>
        <v>1144.3941278729947</v>
      </c>
      <c r="R28" s="2">
        <f>R6/'Output-Calculation-sheet'!R5*'Output-Calculation-sheet'!R14</f>
        <v>1017.5357025492629</v>
      </c>
      <c r="S28" s="2">
        <f>S6/'Output-Calculation-sheet'!S5*'Output-Calculation-sheet'!S14</f>
        <v>623.71637297207519</v>
      </c>
      <c r="T28" s="2">
        <f>T6/'Output-Calculation-sheet'!T5*'Output-Calculation-sheet'!T14</f>
        <v>372.03441370894404</v>
      </c>
      <c r="U28" s="2">
        <f>U6/'Output-Calculation-sheet'!U5*'Output-Calculation-sheet'!U14</f>
        <v>285.40284641845471</v>
      </c>
      <c r="V28" s="2">
        <f>V6/'Output-Calculation-sheet'!V5*'Output-Calculation-sheet'!V14</f>
        <v>272.98249783361518</v>
      </c>
      <c r="W28" s="2">
        <f>W6/'Output-Calculation-sheet'!W5*'Output-Calculation-sheet'!W14</f>
        <v>190.49386096810699</v>
      </c>
      <c r="X28" s="2">
        <f>X6/'Output-Calculation-sheet'!X5*'Output-Calculation-sheet'!X14</f>
        <v>0</v>
      </c>
      <c r="Y28" s="2">
        <f>Y6/'Output-Calculation-sheet'!Y5*'Output-Calculation-sheet'!Y14</f>
        <v>125.25843350925551</v>
      </c>
      <c r="AA28" s="2">
        <f t="shared" si="1"/>
        <v>36.415492124873936</v>
      </c>
    </row>
    <row r="29" spans="1:27" x14ac:dyDescent="0.25">
      <c r="A29" s="2">
        <v>2030</v>
      </c>
      <c r="B29" s="2">
        <f>B7/'Output-Calculation-sheet'!B6*'Output-Calculation-sheet'!B15</f>
        <v>16562.287039378967</v>
      </c>
      <c r="C29" s="2">
        <f>C7/'Output-Calculation-sheet'!C6*'Output-Calculation-sheet'!C15</f>
        <v>0</v>
      </c>
      <c r="D29" s="2">
        <f>D7/'Output-Calculation-sheet'!D6*'Output-Calculation-sheet'!D15</f>
        <v>5206.2880240946552</v>
      </c>
      <c r="E29" s="2">
        <f>E7/'Output-Calculation-sheet'!E6*'Output-Calculation-sheet'!E15</f>
        <v>5367.0070014605262</v>
      </c>
      <c r="F29" s="2">
        <f>F7/'Output-Calculation-sheet'!F6*'Output-Calculation-sheet'!F15</f>
        <v>3010.4370053739203</v>
      </c>
      <c r="G29" s="2">
        <f>G7/'Output-Calculation-sheet'!G6*'Output-Calculation-sheet'!G15</f>
        <v>1820.8865272024243</v>
      </c>
      <c r="H29" s="2">
        <f>H7/'Output-Calculation-sheet'!H6*'Output-Calculation-sheet'!H15</f>
        <v>0</v>
      </c>
      <c r="I29" s="2">
        <f>I7/'Output-Calculation-sheet'!I6*'Output-Calculation-sheet'!I15</f>
        <v>1834.7308492356367</v>
      </c>
      <c r="J29" s="2">
        <f>J7/'Output-Calculation-sheet'!J6*'Output-Calculation-sheet'!J15</f>
        <v>1678.3204698292923</v>
      </c>
      <c r="K29" s="2">
        <f>K7/'Output-Calculation-sheet'!K6*'Output-Calculation-sheet'!K15</f>
        <v>2066.4674589858942</v>
      </c>
      <c r="L29" s="2">
        <f>L7/'Output-Calculation-sheet'!L6*'Output-Calculation-sheet'!L15</f>
        <v>1713.24891664391</v>
      </c>
      <c r="M29" s="2">
        <f>M7/'Output-Calculation-sheet'!M6*'Output-Calculation-sheet'!M15</f>
        <v>0</v>
      </c>
      <c r="N29" s="2">
        <f>N7/'Output-Calculation-sheet'!N6*'Output-Calculation-sheet'!N15</f>
        <v>971.5239269481051</v>
      </c>
      <c r="O29" s="2">
        <f>O7/'Output-Calculation-sheet'!O6*'Output-Calculation-sheet'!O15</f>
        <v>0</v>
      </c>
      <c r="P29" s="2">
        <f>P7/'Output-Calculation-sheet'!P6*'Output-Calculation-sheet'!P15</f>
        <v>1361.9272927686075</v>
      </c>
      <c r="Q29" s="2">
        <f>Q7/'Output-Calculation-sheet'!Q6*'Output-Calculation-sheet'!Q15</f>
        <v>1487.7109373751125</v>
      </c>
      <c r="R29" s="2">
        <f>R7/'Output-Calculation-sheet'!R6*'Output-Calculation-sheet'!R15</f>
        <v>1309.9762010223048</v>
      </c>
      <c r="S29" s="2">
        <f>S7/'Output-Calculation-sheet'!S6*'Output-Calculation-sheet'!S15</f>
        <v>749.00530659750882</v>
      </c>
      <c r="T29" s="2">
        <f>T7/'Output-Calculation-sheet'!T6*'Output-Calculation-sheet'!T15</f>
        <v>477.61714626322271</v>
      </c>
      <c r="U29" s="2">
        <f>U7/'Output-Calculation-sheet'!U6*'Output-Calculation-sheet'!U15</f>
        <v>366.98735498790091</v>
      </c>
      <c r="V29" s="2">
        <f>V7/'Output-Calculation-sheet'!V6*'Output-Calculation-sheet'!V15</f>
        <v>351.27159667851555</v>
      </c>
      <c r="W29" s="2">
        <f>W7/'Output-Calculation-sheet'!W6*'Output-Calculation-sheet'!W15</f>
        <v>244.60735484863318</v>
      </c>
      <c r="X29" s="2">
        <f>X7/'Output-Calculation-sheet'!X6*'Output-Calculation-sheet'!X15</f>
        <v>0</v>
      </c>
      <c r="Y29" s="2">
        <f>Y7/'Output-Calculation-sheet'!Y6*'Output-Calculation-sheet'!Y15</f>
        <v>161.11952483526542</v>
      </c>
      <c r="AA29" s="2">
        <f t="shared" si="1"/>
        <v>46.741419934530391</v>
      </c>
    </row>
    <row r="30" spans="1:27" x14ac:dyDescent="0.25">
      <c r="A30" s="2">
        <v>2031</v>
      </c>
      <c r="B30" s="2">
        <f>B8/'Output-Calculation-sheet'!B7*'Output-Calculation-sheet'!B16</f>
        <v>19564.724497709016</v>
      </c>
      <c r="C30" s="2">
        <f>C8/'Output-Calculation-sheet'!C7*'Output-Calculation-sheet'!C16</f>
        <v>0</v>
      </c>
      <c r="D30" s="2">
        <f>D8/'Output-Calculation-sheet'!D7*'Output-Calculation-sheet'!D16</f>
        <v>6107.4032050131073</v>
      </c>
      <c r="E30" s="2">
        <f>E8/'Output-Calculation-sheet'!E7*'Output-Calculation-sheet'!E16</f>
        <v>6317.1245614483296</v>
      </c>
      <c r="F30" s="2">
        <f>F8/'Output-Calculation-sheet'!F7*'Output-Calculation-sheet'!F16</f>
        <v>3539.0919611658364</v>
      </c>
      <c r="G30" s="2">
        <f>G8/'Output-Calculation-sheet'!G7*'Output-Calculation-sheet'!G16</f>
        <v>2134.459448242043</v>
      </c>
      <c r="H30" s="2">
        <f>H8/'Output-Calculation-sheet'!H7*'Output-Calculation-sheet'!H16</f>
        <v>0</v>
      </c>
      <c r="I30" s="2">
        <f>I8/'Output-Calculation-sheet'!I7*'Output-Calculation-sheet'!I16</f>
        <v>2160.3099014578634</v>
      </c>
      <c r="J30" s="2">
        <f>J8/'Output-Calculation-sheet'!J7*'Output-Calculation-sheet'!J16</f>
        <v>1971.8348468733186</v>
      </c>
      <c r="K30" s="2">
        <f>K8/'Output-Calculation-sheet'!K7*'Output-Calculation-sheet'!K16</f>
        <v>2438.6237668385816</v>
      </c>
      <c r="L30" s="2">
        <f>L8/'Output-Calculation-sheet'!L7*'Output-Calculation-sheet'!L16</f>
        <v>2012.5016002953007</v>
      </c>
      <c r="M30" s="2">
        <f>M8/'Output-Calculation-sheet'!M7*'Output-Calculation-sheet'!M16</f>
        <v>0</v>
      </c>
      <c r="N30" s="2">
        <f>N8/'Output-Calculation-sheet'!N7*'Output-Calculation-sheet'!N16</f>
        <v>987.44555301786659</v>
      </c>
      <c r="O30" s="2">
        <f>O8/'Output-Calculation-sheet'!O7*'Output-Calculation-sheet'!O16</f>
        <v>0</v>
      </c>
      <c r="P30" s="2">
        <f>P8/'Output-Calculation-sheet'!P7*'Output-Calculation-sheet'!P16</f>
        <v>1604.0585741862183</v>
      </c>
      <c r="Q30" s="2">
        <f>Q8/'Output-Calculation-sheet'!Q7*'Output-Calculation-sheet'!Q16</f>
        <v>1759.3812823457272</v>
      </c>
      <c r="R30" s="2">
        <f>R8/'Output-Calculation-sheet'!R7*'Output-Calculation-sheet'!R16</f>
        <v>1541.4470139227797</v>
      </c>
      <c r="S30" s="2">
        <f>S8/'Output-Calculation-sheet'!S7*'Output-Calculation-sheet'!S16</f>
        <v>823.19009010382615</v>
      </c>
      <c r="T30" s="2">
        <f>T8/'Output-Calculation-sheet'!T7*'Output-Calculation-sheet'!T16</f>
        <v>562.35149339952352</v>
      </c>
      <c r="U30" s="2">
        <f>U8/'Output-Calculation-sheet'!U7*'Output-Calculation-sheet'!U16</f>
        <v>432.2071658212497</v>
      </c>
      <c r="V30" s="2">
        <f>V8/'Output-Calculation-sheet'!V7*'Output-Calculation-sheet'!V16</f>
        <v>413.87576546139172</v>
      </c>
      <c r="W30" s="2">
        <f>W8/'Output-Calculation-sheet'!W7*'Output-Calculation-sheet'!W16</f>
        <v>287.32733193361702</v>
      </c>
      <c r="X30" s="2">
        <f>X8/'Output-Calculation-sheet'!X7*'Output-Calculation-sheet'!X16</f>
        <v>0</v>
      </c>
      <c r="Y30" s="2">
        <f>Y8/'Output-Calculation-sheet'!Y7*'Output-Calculation-sheet'!Y16</f>
        <v>189.95396912799745</v>
      </c>
      <c r="AA30" s="2">
        <f t="shared" si="1"/>
        <v>54.847312028363589</v>
      </c>
    </row>
    <row r="31" spans="1:27" x14ac:dyDescent="0.25">
      <c r="A31" s="2">
        <v>2032</v>
      </c>
      <c r="B31" s="2">
        <f>B9/'Output-Calculation-sheet'!B8*'Output-Calculation-sheet'!B17</f>
        <v>21184.012354669598</v>
      </c>
      <c r="C31" s="2">
        <f>C9/'Output-Calculation-sheet'!C8*'Output-Calculation-sheet'!C17</f>
        <v>0</v>
      </c>
      <c r="D31" s="2">
        <f>D9/'Output-Calculation-sheet'!D8*'Output-Calculation-sheet'!D17</f>
        <v>6567.4896077770809</v>
      </c>
      <c r="E31" s="2">
        <f>E9/'Output-Calculation-sheet'!E8*'Output-Calculation-sheet'!E17</f>
        <v>6801.3844389921296</v>
      </c>
      <c r="F31" s="2">
        <f>F9/'Output-Calculation-sheet'!F8*'Output-Calculation-sheet'!F17</f>
        <v>3799.6586781958458</v>
      </c>
      <c r="G31" s="2">
        <f>G9/'Output-Calculation-sheet'!G8*'Output-Calculation-sheet'!G17</f>
        <v>2290.5857932433091</v>
      </c>
      <c r="H31" s="2">
        <f>H9/'Output-Calculation-sheet'!H8*'Output-Calculation-sheet'!H17</f>
        <v>0</v>
      </c>
      <c r="I31" s="2">
        <f>I9/'Output-Calculation-sheet'!I8*'Output-Calculation-sheet'!I17</f>
        <v>2322.3718486671469</v>
      </c>
      <c r="J31" s="2">
        <f>J9/'Output-Calculation-sheet'!J8*'Output-Calculation-sheet'!J17</f>
        <v>2118.1574703181686</v>
      </c>
      <c r="K31" s="2">
        <f>K9/'Output-Calculation-sheet'!K8*'Output-Calculation-sheet'!K17</f>
        <v>2623.719200076172</v>
      </c>
      <c r="L31" s="2">
        <f>L9/'Output-Calculation-sheet'!L8*'Output-Calculation-sheet'!L17</f>
        <v>2165.840609688833</v>
      </c>
      <c r="M31" s="2">
        <f>M9/'Output-Calculation-sheet'!M8*'Output-Calculation-sheet'!M17</f>
        <v>0</v>
      </c>
      <c r="N31" s="2">
        <f>N9/'Output-Calculation-sheet'!N8*'Output-Calculation-sheet'!N17</f>
        <v>958.04212694459056</v>
      </c>
      <c r="O31" s="2">
        <f>O9/'Output-Calculation-sheet'!O8*'Output-Calculation-sheet'!O17</f>
        <v>0</v>
      </c>
      <c r="P31" s="2">
        <f>P9/'Output-Calculation-sheet'!P8*'Output-Calculation-sheet'!P17</f>
        <v>1742.3526074063204</v>
      </c>
      <c r="Q31" s="2">
        <f>Q9/'Output-Calculation-sheet'!Q8*'Output-Calculation-sheet'!Q17</f>
        <v>1909.4539163073275</v>
      </c>
      <c r="R31" s="2">
        <f>R9/'Output-Calculation-sheet'!R8*'Output-Calculation-sheet'!R17</f>
        <v>1657.8974075653168</v>
      </c>
      <c r="S31" s="2">
        <f>S9/'Output-Calculation-sheet'!S8*'Output-Calculation-sheet'!S17</f>
        <v>827.20814539579237</v>
      </c>
      <c r="T31" s="2">
        <f>T9/'Output-Calculation-sheet'!T8*'Output-Calculation-sheet'!T17</f>
        <v>604.15383027490054</v>
      </c>
      <c r="U31" s="2">
        <f>U9/'Output-Calculation-sheet'!U8*'Output-Calculation-sheet'!U17</f>
        <v>465.95282492894881</v>
      </c>
      <c r="V31" s="2">
        <f>V9/'Output-Calculation-sheet'!V8*'Output-Calculation-sheet'!V17</f>
        <v>446.52056694953001</v>
      </c>
      <c r="W31" s="2">
        <f>W9/'Output-Calculation-sheet'!W8*'Output-Calculation-sheet'!W17</f>
        <v>309.19608556079578</v>
      </c>
      <c r="X31" s="2">
        <f>X9/'Output-Calculation-sheet'!X8*'Output-Calculation-sheet'!X17</f>
        <v>0</v>
      </c>
      <c r="Y31" s="2">
        <f>Y9/'Output-Calculation-sheet'!Y8*'Output-Calculation-sheet'!Y17</f>
        <v>204.40926038579195</v>
      </c>
      <c r="AA31" s="2">
        <f t="shared" si="1"/>
        <v>58.998406773347618</v>
      </c>
    </row>
    <row r="32" spans="1:27" x14ac:dyDescent="0.25">
      <c r="A32" s="2">
        <v>2033</v>
      </c>
      <c r="B32" s="2">
        <f>B10/'Output-Calculation-sheet'!B9*'Output-Calculation-sheet'!B18</f>
        <v>19604.213808238794</v>
      </c>
      <c r="C32" s="2">
        <f>C10/'Output-Calculation-sheet'!C9*'Output-Calculation-sheet'!C18</f>
        <v>0</v>
      </c>
      <c r="D32" s="2">
        <f>D10/'Output-Calculation-sheet'!D9*'Output-Calculation-sheet'!D18</f>
        <v>6544.7537514827873</v>
      </c>
      <c r="E32" s="2">
        <f>E10/'Output-Calculation-sheet'!E9*'Output-Calculation-sheet'!E18</f>
        <v>6777.2434702307955</v>
      </c>
      <c r="F32" s="2">
        <f>F10/'Output-Calculation-sheet'!F9*'Output-Calculation-sheet'!F18</f>
        <v>3785.5329715150178</v>
      </c>
      <c r="G32" s="2">
        <f>G10/'Output-Calculation-sheet'!G9*'Output-Calculation-sheet'!G18</f>
        <v>2283.1133555926317</v>
      </c>
      <c r="H32" s="2">
        <f>H10/'Output-Calculation-sheet'!H9*'Output-Calculation-sheet'!H18</f>
        <v>0</v>
      </c>
      <c r="I32" s="2">
        <f>I10/'Output-Calculation-sheet'!I9*'Output-Calculation-sheet'!I18</f>
        <v>2314.525989497376</v>
      </c>
      <c r="J32" s="2">
        <f>J10/'Output-Calculation-sheet'!J9*'Output-Calculation-sheet'!J18</f>
        <v>2110.9747918446205</v>
      </c>
      <c r="K32" s="2">
        <f>K10/'Output-Calculation-sheet'!K9*'Output-Calculation-sheet'!K18</f>
        <v>2620.8074655087635</v>
      </c>
      <c r="L32" s="2">
        <f>L10/'Output-Calculation-sheet'!L9*'Output-Calculation-sheet'!L18</f>
        <v>2159.8811174251582</v>
      </c>
      <c r="M32" s="2">
        <f>M10/'Output-Calculation-sheet'!M9*'Output-Calculation-sheet'!M18</f>
        <v>0</v>
      </c>
      <c r="N32" s="2">
        <f>N10/'Output-Calculation-sheet'!N9*'Output-Calculation-sheet'!N18</f>
        <v>854.91020080792589</v>
      </c>
      <c r="O32" s="2">
        <f>O10/'Output-Calculation-sheet'!O9*'Output-Calculation-sheet'!O18</f>
        <v>0</v>
      </c>
      <c r="P32" s="2">
        <f>P10/'Output-Calculation-sheet'!P9*'Output-Calculation-sheet'!P18</f>
        <v>1749.1783301757357</v>
      </c>
      <c r="Q32" s="2">
        <f>Q10/'Output-Calculation-sheet'!Q9*'Output-Calculation-sheet'!Q18</f>
        <v>1918.3841156906983</v>
      </c>
      <c r="R32" s="2">
        <f>R10/'Output-Calculation-sheet'!R9*'Output-Calculation-sheet'!R18</f>
        <v>1657.0093681079604</v>
      </c>
      <c r="S32" s="2">
        <f>S10/'Output-Calculation-sheet'!S9*'Output-Calculation-sheet'!S18</f>
        <v>771.28282030505886</v>
      </c>
      <c r="T32" s="2">
        <f>T10/'Output-Calculation-sheet'!T9*'Output-Calculation-sheet'!T18</f>
        <v>602.73207067051828</v>
      </c>
      <c r="U32" s="2">
        <f>U10/'Output-Calculation-sheet'!U9*'Output-Calculation-sheet'!U18</f>
        <v>464.84031264992444</v>
      </c>
      <c r="V32" s="2">
        <f>V10/'Output-Calculation-sheet'!V9*'Output-Calculation-sheet'!V18</f>
        <v>445.93812536850851</v>
      </c>
      <c r="W32" s="2">
        <f>W10/'Output-Calculation-sheet'!W9*'Output-Calculation-sheet'!W18</f>
        <v>307.70786099067919</v>
      </c>
      <c r="X32" s="2">
        <f>X10/'Output-Calculation-sheet'!X9*'Output-Calculation-sheet'!X18</f>
        <v>0</v>
      </c>
      <c r="Y32" s="2">
        <f>Y10/'Output-Calculation-sheet'!Y9*'Output-Calculation-sheet'!Y18</f>
        <v>204.02637698402822</v>
      </c>
      <c r="AA32" s="2">
        <f t="shared" si="1"/>
        <v>57.177056303087006</v>
      </c>
    </row>
    <row r="33" spans="1:27" x14ac:dyDescent="0.25">
      <c r="A33" s="2">
        <v>2034</v>
      </c>
      <c r="B33" s="2">
        <f>B11/'Output-Calculation-sheet'!B10*'Output-Calculation-sheet'!B19</f>
        <v>17259.625287833587</v>
      </c>
      <c r="C33" s="2">
        <f>C11/'Output-Calculation-sheet'!C10*'Output-Calculation-sheet'!C19</f>
        <v>0</v>
      </c>
      <c r="D33" s="2">
        <f>D11/'Output-Calculation-sheet'!D10*'Output-Calculation-sheet'!D19</f>
        <v>6102.6546086135986</v>
      </c>
      <c r="E33" s="2">
        <f>E11/'Output-Calculation-sheet'!E10*'Output-Calculation-sheet'!E19</f>
        <v>6334.3368414748338</v>
      </c>
      <c r="F33" s="2">
        <f>F11/'Output-Calculation-sheet'!F10*'Output-Calculation-sheet'!F19</f>
        <v>3531.6253179157879</v>
      </c>
      <c r="G33" s="2">
        <f>G11/'Output-Calculation-sheet'!G10*'Output-Calculation-sheet'!G19</f>
        <v>2126.6398949979616</v>
      </c>
      <c r="H33" s="2">
        <f>H11/'Output-Calculation-sheet'!H10*'Output-Calculation-sheet'!H19</f>
        <v>0</v>
      </c>
      <c r="I33" s="2">
        <f>I11/'Output-Calculation-sheet'!I10*'Output-Calculation-sheet'!I19</f>
        <v>2165.9849359601853</v>
      </c>
      <c r="J33" s="2">
        <f>J11/'Output-Calculation-sheet'!J10*'Output-Calculation-sheet'!J19</f>
        <v>1968.5122148234002</v>
      </c>
      <c r="K33" s="2">
        <f>K11/'Output-Calculation-sheet'!K10*'Output-Calculation-sheet'!K19</f>
        <v>2451.9125515254445</v>
      </c>
      <c r="L33" s="2">
        <f>L11/'Output-Calculation-sheet'!L10*'Output-Calculation-sheet'!L19</f>
        <v>2016.6653204069119</v>
      </c>
      <c r="M33" s="2">
        <f>M11/'Output-Calculation-sheet'!M10*'Output-Calculation-sheet'!M19</f>
        <v>0</v>
      </c>
      <c r="N33" s="2">
        <f>N11/'Output-Calculation-sheet'!N10*'Output-Calculation-sheet'!N19</f>
        <v>747.33750787436929</v>
      </c>
      <c r="O33" s="2">
        <f>O11/'Output-Calculation-sheet'!O10*'Output-Calculation-sheet'!O19</f>
        <v>0</v>
      </c>
      <c r="P33" s="2">
        <f>P11/'Output-Calculation-sheet'!P10*'Output-Calculation-sheet'!P19</f>
        <v>1643.7679083620449</v>
      </c>
      <c r="Q33" s="2">
        <f>Q11/'Output-Calculation-sheet'!Q10*'Output-Calculation-sheet'!Q19</f>
        <v>1805.8475154943744</v>
      </c>
      <c r="R33" s="2">
        <f>R11/'Output-Calculation-sheet'!R10*'Output-Calculation-sheet'!R19</f>
        <v>1549.711722483228</v>
      </c>
      <c r="S33" s="2">
        <f>S11/'Output-Calculation-sheet'!S10*'Output-Calculation-sheet'!S19</f>
        <v>714.7504337869741</v>
      </c>
      <c r="T33" s="2">
        <f>T11/'Output-Calculation-sheet'!T10*'Output-Calculation-sheet'!T19</f>
        <v>563.17782089452749</v>
      </c>
      <c r="U33" s="2">
        <f>U11/'Output-Calculation-sheet'!U10*'Output-Calculation-sheet'!U19</f>
        <v>435.80359863322235</v>
      </c>
      <c r="V33" s="2">
        <f>V11/'Output-Calculation-sheet'!V10*'Output-Calculation-sheet'!V19</f>
        <v>417.79007605344401</v>
      </c>
      <c r="W33" s="2">
        <f>W11/'Output-Calculation-sheet'!W10*'Output-Calculation-sheet'!W19</f>
        <v>287.03806133893289</v>
      </c>
      <c r="X33" s="2">
        <f>X11/'Output-Calculation-sheet'!X10*'Output-Calculation-sheet'!X19</f>
        <v>0</v>
      </c>
      <c r="Y33" s="2">
        <f>Y11/'Output-Calculation-sheet'!Y10*'Output-Calculation-sheet'!Y19</f>
        <v>190.58223663137272</v>
      </c>
      <c r="AA33" s="2">
        <f t="shared" si="1"/>
        <v>52.313763855104213</v>
      </c>
    </row>
    <row r="34" spans="1:27" x14ac:dyDescent="0.25">
      <c r="A34" s="2">
        <v>2035</v>
      </c>
      <c r="B34" s="2">
        <f>B12/'Output-Calculation-sheet'!B11*'Output-Calculation-sheet'!B20</f>
        <v>14525.500761423136</v>
      </c>
      <c r="C34" s="2">
        <f>C12/'Output-Calculation-sheet'!C11*'Output-Calculation-sheet'!C20</f>
        <v>0</v>
      </c>
      <c r="D34" s="2">
        <f>D12/'Output-Calculation-sheet'!D11*'Output-Calculation-sheet'!D20</f>
        <v>5371.9885467480444</v>
      </c>
      <c r="E34" s="2">
        <f>E12/'Output-Calculation-sheet'!E11*'Output-Calculation-sheet'!E20</f>
        <v>5573.6412399434512</v>
      </c>
      <c r="F34" s="2">
        <f>F12/'Output-Calculation-sheet'!F11*'Output-Calculation-sheet'!F20</f>
        <v>3102.9561200119338</v>
      </c>
      <c r="G34" s="2">
        <f>G12/'Output-Calculation-sheet'!G11*'Output-Calculation-sheet'!G20</f>
        <v>1864.3907095500383</v>
      </c>
      <c r="H34" s="2">
        <f>H12/'Output-Calculation-sheet'!H11*'Output-Calculation-sheet'!H20</f>
        <v>0</v>
      </c>
      <c r="I34" s="2">
        <f>I12/'Output-Calculation-sheet'!I11*'Output-Calculation-sheet'!I20</f>
        <v>1904.2719217876599</v>
      </c>
      <c r="J34" s="2">
        <f>J12/'Output-Calculation-sheet'!J11*'Output-Calculation-sheet'!J20</f>
        <v>1724.6498259349928</v>
      </c>
      <c r="K34" s="2">
        <f>K12/'Output-Calculation-sheet'!K11*'Output-Calculation-sheet'!K20</f>
        <v>2157.4388573370261</v>
      </c>
      <c r="L34" s="2">
        <f>L12/'Output-Calculation-sheet'!L11*'Output-Calculation-sheet'!L20</f>
        <v>1771.3941838823437</v>
      </c>
      <c r="M34" s="2">
        <f>M12/'Output-Calculation-sheet'!M11*'Output-Calculation-sheet'!M20</f>
        <v>0</v>
      </c>
      <c r="N34" s="2">
        <f>N12/'Output-Calculation-sheet'!N11*'Output-Calculation-sheet'!N20</f>
        <v>623.19721162815506</v>
      </c>
      <c r="O34" s="2">
        <f>O12/'Output-Calculation-sheet'!O11*'Output-Calculation-sheet'!O20</f>
        <v>0</v>
      </c>
      <c r="P34" s="2">
        <f>P12/'Output-Calculation-sheet'!P11*'Output-Calculation-sheet'!P20</f>
        <v>1454.5780944179012</v>
      </c>
      <c r="Q34" s="2">
        <f>Q12/'Output-Calculation-sheet'!Q11*'Output-Calculation-sheet'!Q20</f>
        <v>1595.000507716803</v>
      </c>
      <c r="R34" s="2">
        <f>R12/'Output-Calculation-sheet'!R11*'Output-Calculation-sheet'!R20</f>
        <v>1367.7255124806381</v>
      </c>
      <c r="S34" s="2">
        <f>S12/'Output-Calculation-sheet'!S11*'Output-Calculation-sheet'!S20</f>
        <v>588.18493856578255</v>
      </c>
      <c r="T34" s="2">
        <f>T12/'Output-Calculation-sheet'!T11*'Output-Calculation-sheet'!T20</f>
        <v>495.06673987886597</v>
      </c>
      <c r="U34" s="2">
        <f>U12/'Output-Calculation-sheet'!U11*'Output-Calculation-sheet'!U20</f>
        <v>384.01279208590898</v>
      </c>
      <c r="V34" s="2">
        <f>V12/'Output-Calculation-sheet'!V11*'Output-Calculation-sheet'!V20</f>
        <v>368.79541277966683</v>
      </c>
      <c r="W34" s="2">
        <f>W12/'Output-Calculation-sheet'!W11*'Output-Calculation-sheet'!W20</f>
        <v>252.01096936883511</v>
      </c>
      <c r="X34" s="2">
        <f>X12/'Output-Calculation-sheet'!X11*'Output-Calculation-sheet'!X20</f>
        <v>0</v>
      </c>
      <c r="Y34" s="2">
        <f>Y12/'Output-Calculation-sheet'!Y11*'Output-Calculation-sheet'!Y20</f>
        <v>167.76387386983205</v>
      </c>
      <c r="AA34" s="2">
        <f t="shared" si="1"/>
        <v>45.29256821941101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3.0060100137761712</v>
      </c>
      <c r="C60" s="2">
        <f>C5*'Output-Calculation-sheet'!C49/10^9</f>
        <v>1.4212243978640822</v>
      </c>
      <c r="D60" s="2">
        <f>D5*'Output-Calculation-sheet'!D49/10^9</f>
        <v>0.66302434956235889</v>
      </c>
      <c r="E60" s="2">
        <f>E5*'Output-Calculation-sheet'!E49/10^9</f>
        <v>0.73632194821515551</v>
      </c>
      <c r="F60" s="2">
        <f>F5*'Output-Calculation-sheet'!F49/10^9</f>
        <v>0.34183244001444207</v>
      </c>
      <c r="G60" s="2">
        <f>G5*'Output-Calculation-sheet'!G49/10^9</f>
        <v>0.23545133291989423</v>
      </c>
      <c r="H60" s="2">
        <f>H5*'Output-Calculation-sheet'!H49/10^9</f>
        <v>0.44341104576312135</v>
      </c>
      <c r="I60" s="2">
        <f>I5*'Output-Calculation-sheet'!I49/10^9</f>
        <v>0.23244510856491585</v>
      </c>
      <c r="J60" s="2">
        <f>J5*'Output-Calculation-sheet'!J49/10^9</f>
        <v>0.20990640795155396</v>
      </c>
      <c r="K60" s="2">
        <f>K5*'Output-Calculation-sheet'!K49/10^9</f>
        <v>0.27057590198789888</v>
      </c>
      <c r="L60" s="2">
        <f>L5*'Output-Calculation-sheet'!L49/10^9</f>
        <v>0.22352872589046338</v>
      </c>
      <c r="M60" s="2">
        <f>M5*'Output-Calculation-sheet'!M49/10^9</f>
        <v>0.30591492868909198</v>
      </c>
      <c r="N60" s="2">
        <f>N5*'Output-Calculation-sheet'!N49/10^9</f>
        <v>0.31973718599438178</v>
      </c>
      <c r="O60" s="2">
        <f>O5*'Output-Calculation-sheet'!O49/10^9</f>
        <v>0.27614511467731345</v>
      </c>
      <c r="P60" s="2">
        <f>P5*'Output-Calculation-sheet'!P49/10^9</f>
        <v>0.23577878328658511</v>
      </c>
      <c r="Q60" s="2">
        <f>Q5*'Output-Calculation-sheet'!Q49/10^9</f>
        <v>0.24339250005258106</v>
      </c>
      <c r="R60" s="2">
        <f>R5*'Output-Calculation-sheet'!R49/10^9</f>
        <v>0.19506400726475606</v>
      </c>
      <c r="S60" s="2">
        <f>S5*'Output-Calculation-sheet'!S49/10^9</f>
        <v>0.17894048649759606</v>
      </c>
      <c r="T60" s="2">
        <f>T5*'Output-Calculation-sheet'!T49/10^9</f>
        <v>6.1199005265985831E-2</v>
      </c>
      <c r="U60" s="2">
        <f>U5*'Output-Calculation-sheet'!U49/10^9</f>
        <v>6.1157223242074898E-2</v>
      </c>
      <c r="V60" s="2">
        <f>V5*'Output-Calculation-sheet'!V49/10^9</f>
        <v>4.5795211674809592E-2</v>
      </c>
      <c r="W60" s="2">
        <f>W5*'Output-Calculation-sheet'!W49/10^9</f>
        <v>2.8713763581913399E-2</v>
      </c>
      <c r="X60" s="2">
        <f>X5*'Output-Calculation-sheet'!X49/10^9</f>
        <v>3.6143545706913818E-2</v>
      </c>
      <c r="Y60" s="2">
        <f>Y5*'Output-Calculation-sheet'!Y49/10^9</f>
        <v>2.3890595406720935E-2</v>
      </c>
      <c r="AA60" s="2">
        <f t="shared" ref="AA60:AA67" si="4">SUM(B60:Y60)</f>
        <v>9.79560402385078</v>
      </c>
    </row>
    <row r="61" spans="1:27" x14ac:dyDescent="0.25">
      <c r="A61" s="2">
        <v>2029</v>
      </c>
      <c r="B61" s="2">
        <f>B6*'Output-Calculation-sheet'!B50/10^9</f>
        <v>4.1574906383255188</v>
      </c>
      <c r="C61" s="2">
        <f>C6*'Output-Calculation-sheet'!C50/10^9</f>
        <v>1.9793042382945278</v>
      </c>
      <c r="D61" s="2">
        <f>D6*'Output-Calculation-sheet'!D50/10^9</f>
        <v>0.91410544082879996</v>
      </c>
      <c r="E61" s="2">
        <f>E6*'Output-Calculation-sheet'!E50/10^9</f>
        <v>1.0159646282404968</v>
      </c>
      <c r="F61" s="2">
        <f>F6*'Output-Calculation-sheet'!F50/10^9</f>
        <v>0.47069186001195856</v>
      </c>
      <c r="G61" s="2">
        <f>G6*'Output-Calculation-sheet'!G50/10^9</f>
        <v>0.32465289573759615</v>
      </c>
      <c r="H61" s="2">
        <f>H6*'Output-Calculation-sheet'!H50/10^9</f>
        <v>0.6135459540727739</v>
      </c>
      <c r="I61" s="2">
        <f>I6*'Output-Calculation-sheet'!I50/10^9</f>
        <v>0.32046032210889397</v>
      </c>
      <c r="J61" s="2">
        <f>J6*'Output-Calculation-sheet'!J50/10^9</f>
        <v>0.28933705547889588</v>
      </c>
      <c r="K61" s="2">
        <f>K6*'Output-Calculation-sheet'!K50/10^9</f>
        <v>0.37316510714666096</v>
      </c>
      <c r="L61" s="2">
        <f>L6*'Output-Calculation-sheet'!L50/10^9</f>
        <v>0.30827540981472162</v>
      </c>
      <c r="M61" s="2">
        <f>M6*'Output-Calculation-sheet'!M50/10^9</f>
        <v>0.4238528592022317</v>
      </c>
      <c r="N61" s="2">
        <f>N6*'Output-Calculation-sheet'!N50/10^9</f>
        <v>0.4421779470167016</v>
      </c>
      <c r="O61" s="2">
        <f>O6*'Output-Calculation-sheet'!O50/10^9</f>
        <v>0.38458050444853559</v>
      </c>
      <c r="P61" s="2">
        <f>P6*'Output-Calculation-sheet'!P50/10^9</f>
        <v>0.32597901717145639</v>
      </c>
      <c r="Q61" s="2">
        <f>Q6*'Output-Calculation-sheet'!Q50/10^9</f>
        <v>0.336386683799411</v>
      </c>
      <c r="R61" s="2">
        <f>R6*'Output-Calculation-sheet'!R50/10^9</f>
        <v>0.26934955662443572</v>
      </c>
      <c r="S61" s="2">
        <f>S6*'Output-Calculation-sheet'!S50/10^9</f>
        <v>0.24780508547046071</v>
      </c>
      <c r="T61" s="2">
        <f>T6*'Output-Calculation-sheet'!T50/10^9</f>
        <v>8.4382792647610796E-2</v>
      </c>
      <c r="U61" s="2">
        <f>U6*'Output-Calculation-sheet'!U50/10^9</f>
        <v>8.4523629867882644E-2</v>
      </c>
      <c r="V61" s="2">
        <f>V6*'Output-Calculation-sheet'!V50/10^9</f>
        <v>6.3157805943707082E-2</v>
      </c>
      <c r="W61" s="2">
        <f>W6*'Output-Calculation-sheet'!W50/10^9</f>
        <v>3.9554852242881564E-2</v>
      </c>
      <c r="X61" s="2">
        <f>X6*'Output-Calculation-sheet'!X50/10^9</f>
        <v>5.0302010066648833E-2</v>
      </c>
      <c r="Y61" s="2">
        <f>Y6*'Output-Calculation-sheet'!Y50/10^9</f>
        <v>3.2986822304259922E-2</v>
      </c>
      <c r="AA61" s="2">
        <f t="shared" si="4"/>
        <v>13.552033116867067</v>
      </c>
    </row>
    <row r="62" spans="1:27" x14ac:dyDescent="0.25">
      <c r="A62" s="2">
        <v>2030</v>
      </c>
      <c r="B62" s="2">
        <f>B7*'Output-Calculation-sheet'!B51/10^9</f>
        <v>5.2363852698385802</v>
      </c>
      <c r="C62" s="2">
        <f>C7*'Output-Calculation-sheet'!C51/10^9</f>
        <v>2.5107953431126679</v>
      </c>
      <c r="D62" s="2">
        <f>D7*'Output-Calculation-sheet'!D51/10^9</f>
        <v>1.1477123874586215</v>
      </c>
      <c r="E62" s="2">
        <f>E7*'Output-Calculation-sheet'!E51/10^9</f>
        <v>1.2765701129862965</v>
      </c>
      <c r="F62" s="2">
        <f>F7*'Output-Calculation-sheet'!F51/10^9</f>
        <v>0.59022230560172029</v>
      </c>
      <c r="G62" s="2">
        <f>G7*'Output-Calculation-sheet'!G51/10^9</f>
        <v>0.40767492276770367</v>
      </c>
      <c r="H62" s="2">
        <f>H7*'Output-Calculation-sheet'!H51/10^9</f>
        <v>0.77177989645846179</v>
      </c>
      <c r="I62" s="2">
        <f>I7*'Output-Calculation-sheet'!I51/10^9</f>
        <v>0.40233240717884367</v>
      </c>
      <c r="J62" s="2">
        <f>J7*'Output-Calculation-sheet'!J51/10^9</f>
        <v>0.36320326501551942</v>
      </c>
      <c r="K62" s="2">
        <f>K7*'Output-Calculation-sheet'!K51/10^9</f>
        <v>0.46866829305403573</v>
      </c>
      <c r="L62" s="2">
        <f>L7*'Output-Calculation-sheet'!L51/10^9</f>
        <v>0.38716382242139352</v>
      </c>
      <c r="M62" s="2">
        <f>M7*'Output-Calculation-sheet'!M51/10^9</f>
        <v>0.53317270787262949</v>
      </c>
      <c r="N62" s="2">
        <f>N7*'Output-Calculation-sheet'!N51/10^9</f>
        <v>0.5563167087305495</v>
      </c>
      <c r="O62" s="2">
        <f>O7*'Output-Calculation-sheet'!O51/10^9</f>
        <v>0.48784968017514974</v>
      </c>
      <c r="P62" s="2">
        <f>P7*'Output-Calculation-sheet'!P51/10^9</f>
        <v>0.41042730938946942</v>
      </c>
      <c r="Q62" s="2">
        <f>Q7*'Output-Calculation-sheet'!Q51/10^9</f>
        <v>0.42335188570084159</v>
      </c>
      <c r="R62" s="2">
        <f>R7*'Output-Calculation-sheet'!R51/10^9</f>
        <v>0.33870217906158329</v>
      </c>
      <c r="S62" s="2">
        <f>S7*'Output-Calculation-sheet'!S51/10^9</f>
        <v>0.31236743854143306</v>
      </c>
      <c r="T62" s="2">
        <f>T7*'Output-Calculation-sheet'!T51/10^9</f>
        <v>0.10595529737545947</v>
      </c>
      <c r="U62" s="2">
        <f>U7*'Output-Calculation-sheet'!U51/10^9</f>
        <v>0.10638579957255417</v>
      </c>
      <c r="V62" s="2">
        <f>V7*'Output-Calculation-sheet'!V51/10^9</f>
        <v>7.9318377965394843E-2</v>
      </c>
      <c r="W62" s="2">
        <f>W7*'Output-Calculation-sheet'!W51/10^9</f>
        <v>4.9619304073846966E-2</v>
      </c>
      <c r="X62" s="2">
        <f>X7*'Output-Calculation-sheet'!X51/10^9</f>
        <v>6.3341017813370981E-2</v>
      </c>
      <c r="Y62" s="2">
        <f>Y7*'Output-Calculation-sheet'!Y51/10^9</f>
        <v>4.1478545875218015E-2</v>
      </c>
      <c r="AA62" s="2">
        <f t="shared" si="4"/>
        <v>17.070794278041344</v>
      </c>
    </row>
    <row r="63" spans="1:27" x14ac:dyDescent="0.25">
      <c r="A63" s="2">
        <v>2031</v>
      </c>
      <c r="B63" s="2">
        <f>B8*'Output-Calculation-sheet'!B52/10^9</f>
        <v>6.1013099168027782</v>
      </c>
      <c r="C63" s="2">
        <f>C8*'Output-Calculation-sheet'!C52/10^9</f>
        <v>2.9358186665638613</v>
      </c>
      <c r="D63" s="2">
        <f>D8*'Output-Calculation-sheet'!D52/10^9</f>
        <v>1.3352599068982511</v>
      </c>
      <c r="E63" s="2">
        <f>E8*'Output-Calculation-sheet'!E52/10^9</f>
        <v>1.4857093783969679</v>
      </c>
      <c r="F63" s="2">
        <f>F8*'Output-Calculation-sheet'!F52/10^9</f>
        <v>0.68623653650102812</v>
      </c>
      <c r="G63" s="2">
        <f>G8*'Output-Calculation-sheet'!G52/10^9</f>
        <v>0.47433084297604855</v>
      </c>
      <c r="H63" s="2">
        <f>H8*'Output-Calculation-sheet'!H52/10^9</f>
        <v>0.89442103647527482</v>
      </c>
      <c r="I63" s="2">
        <f>I8*'Output-Calculation-sheet'!I52/10^9</f>
        <v>0.46806075645689904</v>
      </c>
      <c r="J63" s="2">
        <f>J8*'Output-Calculation-sheet'!J52/10^9</f>
        <v>0.42251162119868441</v>
      </c>
      <c r="K63" s="2">
        <f>K8*'Output-Calculation-sheet'!K52/10^9</f>
        <v>0.54532230600699261</v>
      </c>
      <c r="L63" s="2">
        <f>L8*'Output-Calculation-sheet'!L52/10^9</f>
        <v>0.4504856230534629</v>
      </c>
      <c r="M63" s="2">
        <f>M8*'Output-Calculation-sheet'!M52/10^9</f>
        <v>0.61794038031814325</v>
      </c>
      <c r="N63" s="2">
        <f>N8*'Output-Calculation-sheet'!N52/10^9</f>
        <v>0.64586975624515452</v>
      </c>
      <c r="O63" s="2">
        <f>O8*'Output-Calculation-sheet'!O52/10^9</f>
        <v>0.57043207502521842</v>
      </c>
      <c r="P63" s="2">
        <f>P8*'Output-Calculation-sheet'!P52/10^9</f>
        <v>0.47813879191951619</v>
      </c>
      <c r="Q63" s="2">
        <f>Q8*'Output-Calculation-sheet'!Q52/10^9</f>
        <v>0.49308385935951393</v>
      </c>
      <c r="R63" s="2">
        <f>R8*'Output-Calculation-sheet'!R52/10^9</f>
        <v>0.3943390502568534</v>
      </c>
      <c r="S63" s="2">
        <f>S8*'Output-Calculation-sheet'!S52/10^9</f>
        <v>0.36351275633774877</v>
      </c>
      <c r="T63" s="2">
        <f>T8*'Output-Calculation-sheet'!T52/10^9</f>
        <v>0.12327219200900998</v>
      </c>
      <c r="U63" s="2">
        <f>U8*'Output-Calculation-sheet'!U52/10^9</f>
        <v>0.12391902805253954</v>
      </c>
      <c r="V63" s="2">
        <f>V8*'Output-Calculation-sheet'!V52/10^9</f>
        <v>9.2290019781646776E-2</v>
      </c>
      <c r="W63" s="2">
        <f>W8*'Output-Calculation-sheet'!W52/10^9</f>
        <v>5.7702022104999591E-2</v>
      </c>
      <c r="X63" s="2">
        <f>X8*'Output-Calculation-sheet'!X52/10^9</f>
        <v>7.3484251443889176E-2</v>
      </c>
      <c r="Y63" s="2">
        <f>Y8*'Output-Calculation-sheet'!Y52/10^9</f>
        <v>4.8291003928302378E-2</v>
      </c>
      <c r="AA63" s="2">
        <f t="shared" si="4"/>
        <v>19.88174177811279</v>
      </c>
    </row>
    <row r="64" spans="1:27" x14ac:dyDescent="0.25">
      <c r="A64" s="2">
        <v>2032</v>
      </c>
      <c r="B64" s="2">
        <f>B9*'Output-Calculation-sheet'!B53/10^9</f>
        <v>6.5024166857503225</v>
      </c>
      <c r="C64" s="2">
        <f>C9*'Output-Calculation-sheet'!C53/10^9</f>
        <v>3.1400122793376113</v>
      </c>
      <c r="D64" s="2">
        <f>D9*'Output-Calculation-sheet'!D53/10^9</f>
        <v>1.4208896416848769</v>
      </c>
      <c r="E64" s="2">
        <f>E9*'Output-Calculation-sheet'!E53/10^9</f>
        <v>1.5815551684923657</v>
      </c>
      <c r="F64" s="2">
        <f>F9*'Output-Calculation-sheet'!F53/10^9</f>
        <v>0.72977549800895347</v>
      </c>
      <c r="G64" s="2">
        <f>G9*'Output-Calculation-sheet'!G53/10^9</f>
        <v>0.50479553675884681</v>
      </c>
      <c r="H64" s="2">
        <f>H9*'Output-Calculation-sheet'!H53/10^9</f>
        <v>0.94778304115513412</v>
      </c>
      <c r="I64" s="2">
        <f>I9*'Output-Calculation-sheet'!I53/10^9</f>
        <v>0.49805620333375905</v>
      </c>
      <c r="J64" s="2">
        <f>J9*'Output-Calculation-sheet'!J53/10^9</f>
        <v>0.44956197120644481</v>
      </c>
      <c r="K64" s="2">
        <f>K9*'Output-Calculation-sheet'!K53/10^9</f>
        <v>0.5803624756693091</v>
      </c>
      <c r="L64" s="2">
        <f>L9*'Output-Calculation-sheet'!L53/10^9</f>
        <v>0.47943315346806387</v>
      </c>
      <c r="M64" s="2">
        <f>M9*'Output-Calculation-sheet'!M53/10^9</f>
        <v>0.65483926867012243</v>
      </c>
      <c r="N64" s="2">
        <f>N9*'Output-Calculation-sheet'!N53/10^9</f>
        <v>0.6853162896829732</v>
      </c>
      <c r="O64" s="2">
        <f>O9*'Output-Calculation-sheet'!O53/10^9</f>
        <v>0.61010706843268059</v>
      </c>
      <c r="P64" s="2">
        <f>P9*'Output-Calculation-sheet'!P53/10^9</f>
        <v>0.50948261551476659</v>
      </c>
      <c r="Q64" s="2">
        <f>Q9*'Output-Calculation-sheet'!Q53/10^9</f>
        <v>0.5252835777345618</v>
      </c>
      <c r="R64" s="2">
        <f>R9*'Output-Calculation-sheet'!R53/10^9</f>
        <v>0.41994024816845721</v>
      </c>
      <c r="S64" s="2">
        <f>S9*'Output-Calculation-sheet'!S53/10^9</f>
        <v>0.38646460839390084</v>
      </c>
      <c r="T64" s="2">
        <f>T9*'Output-Calculation-sheet'!T53/10^9</f>
        <v>0.13118026195922305</v>
      </c>
      <c r="U64" s="2">
        <f>U9*'Output-Calculation-sheet'!U53/10^9</f>
        <v>0.13202547875182338</v>
      </c>
      <c r="V64" s="2">
        <f>V9*'Output-Calculation-sheet'!V53/10^9</f>
        <v>9.8218066698744069E-2</v>
      </c>
      <c r="W64" s="2">
        <f>W9*'Output-Calculation-sheet'!W53/10^9</f>
        <v>6.1374997009349085E-2</v>
      </c>
      <c r="X64" s="2">
        <f>X9*'Output-Calculation-sheet'!X53/10^9</f>
        <v>7.7947318682543676E-2</v>
      </c>
      <c r="Y64" s="2">
        <f>Y9*'Output-Calculation-sheet'!Y53/10^9</f>
        <v>5.1424572240127489E-2</v>
      </c>
      <c r="AA64" s="2">
        <f t="shared" si="4"/>
        <v>21.17824602680496</v>
      </c>
    </row>
    <row r="65" spans="1:27" x14ac:dyDescent="0.25">
      <c r="A65" s="2">
        <v>2033</v>
      </c>
      <c r="B65" s="2">
        <f>B10*'Output-Calculation-sheet'!B54/10^9</f>
        <v>6.4185369541575676</v>
      </c>
      <c r="C65" s="2">
        <f>C10*'Output-Calculation-sheet'!C54/10^9</f>
        <v>3.1071502111973435</v>
      </c>
      <c r="D65" s="2">
        <f>D10*'Output-Calculation-sheet'!D54/10^9</f>
        <v>1.401887743398992</v>
      </c>
      <c r="E65" s="2">
        <f>E10*'Output-Calculation-sheet'!E54/10^9</f>
        <v>1.5609648804504521</v>
      </c>
      <c r="F65" s="2">
        <f>F10*'Output-Calculation-sheet'!F54/10^9</f>
        <v>0.71954845810052215</v>
      </c>
      <c r="G65" s="2">
        <f>G10*'Output-Calculation-sheet'!G54/10^9</f>
        <v>0.498092277327356</v>
      </c>
      <c r="H65" s="2">
        <f>H10*'Output-Calculation-sheet'!H54/10^9</f>
        <v>0.9308699866503326</v>
      </c>
      <c r="I65" s="2">
        <f>I10*'Output-Calculation-sheet'!I54/10^9</f>
        <v>0.49137438591659122</v>
      </c>
      <c r="J65" s="2">
        <f>J10*'Output-Calculation-sheet'!J54/10^9</f>
        <v>0.44350501227820205</v>
      </c>
      <c r="K65" s="2">
        <f>K10*'Output-Calculation-sheet'!K54/10^9</f>
        <v>0.57266304736860962</v>
      </c>
      <c r="L65" s="2">
        <f>L10*'Output-Calculation-sheet'!L54/10^9</f>
        <v>0.47307611360395613</v>
      </c>
      <c r="M65" s="2">
        <f>M10*'Output-Calculation-sheet'!M54/10^9</f>
        <v>0.64318175468369598</v>
      </c>
      <c r="N65" s="2">
        <f>N10*'Output-Calculation-sheet'!N54/10^9</f>
        <v>0.67382916322680808</v>
      </c>
      <c r="O65" s="2">
        <f>O10*'Output-Calculation-sheet'!O54/10^9</f>
        <v>0.60504507609986768</v>
      </c>
      <c r="P65" s="2">
        <f>P10*'Output-Calculation-sheet'!P54/10^9</f>
        <v>0.5033357670143771</v>
      </c>
      <c r="Q65" s="2">
        <f>Q10*'Output-Calculation-sheet'!Q54/10^9</f>
        <v>0.51882001839161784</v>
      </c>
      <c r="R65" s="2">
        <f>R10*'Output-Calculation-sheet'!R54/10^9</f>
        <v>0.41463170799408</v>
      </c>
      <c r="S65" s="2">
        <f>S10*'Output-Calculation-sheet'!S54/10^9</f>
        <v>0.38060286184244435</v>
      </c>
      <c r="T65" s="2">
        <f>T10*'Output-Calculation-sheet'!T54/10^9</f>
        <v>0.12942764179700933</v>
      </c>
      <c r="U65" s="2">
        <f>U10*'Output-Calculation-sheet'!U54/10^9</f>
        <v>0.13041795142066123</v>
      </c>
      <c r="V65" s="2">
        <f>V10*'Output-Calculation-sheet'!V54/10^9</f>
        <v>9.6912260964635247E-2</v>
      </c>
      <c r="W65" s="2">
        <f>W10*'Output-Calculation-sheet'!W54/10^9</f>
        <v>6.0526460491170719E-2</v>
      </c>
      <c r="X65" s="2">
        <f>X10*'Output-Calculation-sheet'!X54/10^9</f>
        <v>7.663079503732298E-2</v>
      </c>
      <c r="Y65" s="2">
        <f>Y10*'Output-Calculation-sheet'!Y54/10^9</f>
        <v>5.0773265426251303E-2</v>
      </c>
      <c r="AA65" s="2">
        <f t="shared" si="4"/>
        <v>20.901803794839868</v>
      </c>
    </row>
    <row r="66" spans="1:27" x14ac:dyDescent="0.25">
      <c r="A66" s="2">
        <v>2034</v>
      </c>
      <c r="B66" s="2">
        <f>B11*'Output-Calculation-sheet'!B55/10^9</f>
        <v>5.9261677481991892</v>
      </c>
      <c r="C66" s="2">
        <f>C11*'Output-Calculation-sheet'!C55/10^9</f>
        <v>2.8632052845812082</v>
      </c>
      <c r="D66" s="2">
        <f>D11*'Output-Calculation-sheet'!D55/10^9</f>
        <v>1.2957703637297915</v>
      </c>
      <c r="E66" s="2">
        <f>E11*'Output-Calculation-sheet'!E55/10^9</f>
        <v>1.4433225763148501</v>
      </c>
      <c r="F66" s="2">
        <f>F11*'Output-Calculation-sheet'!F55/10^9</f>
        <v>0.6646418337732426</v>
      </c>
      <c r="G66" s="2">
        <f>G11*'Output-Calculation-sheet'!G55/10^9</f>
        <v>0.46043264541216761</v>
      </c>
      <c r="H66" s="2">
        <f>H11*'Output-Calculation-sheet'!H55/10^9</f>
        <v>0.85620027084388672</v>
      </c>
      <c r="I66" s="2">
        <f>I11*'Output-Calculation-sheet'!I55/10^9</f>
        <v>0.45415473396210609</v>
      </c>
      <c r="J66" s="2">
        <f>J11*'Output-Calculation-sheet'!J55/10^9</f>
        <v>0.40989240628879536</v>
      </c>
      <c r="K66" s="2">
        <f>K11*'Output-Calculation-sheet'!K55/10^9</f>
        <v>0.52936394094346217</v>
      </c>
      <c r="L66" s="2">
        <f>L11*'Output-Calculation-sheet'!L55/10^9</f>
        <v>0.43731357622790934</v>
      </c>
      <c r="M66" s="2">
        <f>M11*'Output-Calculation-sheet'!M55/10^9</f>
        <v>0.59161454901669086</v>
      </c>
      <c r="N66" s="2">
        <f>N11*'Output-Calculation-sheet'!N55/10^9</f>
        <v>0.62035669853851361</v>
      </c>
      <c r="O66" s="2">
        <f>O11*'Output-Calculation-sheet'!O55/10^9</f>
        <v>0.56214977960207702</v>
      </c>
      <c r="P66" s="2">
        <f>P11*'Output-Calculation-sheet'!P55/10^9</f>
        <v>0.46584711179470389</v>
      </c>
      <c r="Q66" s="2">
        <f>Q11*'Output-Calculation-sheet'!Q55/10^9</f>
        <v>0.48005606766899539</v>
      </c>
      <c r="R66" s="2">
        <f>R11*'Output-Calculation-sheet'!R55/10^9</f>
        <v>0.38352910821106412</v>
      </c>
      <c r="S66" s="2">
        <f>S11*'Output-Calculation-sheet'!S55/10^9</f>
        <v>0.35088299337660189</v>
      </c>
      <c r="T66" s="2">
        <f>T11*'Output-Calculation-sheet'!T55/10^9</f>
        <v>0.11963122165778949</v>
      </c>
      <c r="U66" s="2">
        <f>U11*'Output-Calculation-sheet'!U55/10^9</f>
        <v>0.12069249712034062</v>
      </c>
      <c r="V66" s="2">
        <f>V11*'Output-Calculation-sheet'!V55/10^9</f>
        <v>8.9582112533123981E-2</v>
      </c>
      <c r="W66" s="2">
        <f>W11*'Output-Calculation-sheet'!W55/10^9</f>
        <v>5.5919005783690724E-2</v>
      </c>
      <c r="X66" s="2">
        <f>X11*'Output-Calculation-sheet'!X55/10^9</f>
        <v>7.0553911458303642E-2</v>
      </c>
      <c r="Y66" s="2">
        <f>Y11*'Output-Calculation-sheet'!Y55/10^9</f>
        <v>4.6963701301165083E-2</v>
      </c>
      <c r="AA66" s="2">
        <f t="shared" si="4"/>
        <v>19.298244138339673</v>
      </c>
    </row>
    <row r="67" spans="1:27" x14ac:dyDescent="0.25">
      <c r="A67" s="2">
        <v>2035</v>
      </c>
      <c r="B67" s="2">
        <f>B12*'Output-Calculation-sheet'!B56/10^9</f>
        <v>5.1442416604687651</v>
      </c>
      <c r="C67" s="2">
        <f>C12*'Output-Calculation-sheet'!C56/10^9</f>
        <v>2.4819815525991351</v>
      </c>
      <c r="D67" s="2">
        <f>D12*'Output-Calculation-sheet'!D56/10^9</f>
        <v>1.1272119302227761</v>
      </c>
      <c r="E67" s="2">
        <f>E12*'Output-Calculation-sheet'!E56/10^9</f>
        <v>1.2560181544791</v>
      </c>
      <c r="F67" s="2">
        <f>F12*'Output-Calculation-sheet'!F56/10^9</f>
        <v>0.57779516383531604</v>
      </c>
      <c r="G67" s="2">
        <f>G12*'Output-Calculation-sheet'!G56/10^9</f>
        <v>0.40058302827995612</v>
      </c>
      <c r="H67" s="2">
        <f>H12*'Output-Calculation-sheet'!H56/10^9</f>
        <v>0.74091348102775889</v>
      </c>
      <c r="I67" s="2">
        <f>I12*'Output-Calculation-sheet'!I56/10^9</f>
        <v>0.39505277208344663</v>
      </c>
      <c r="J67" s="2">
        <f>J12*'Output-Calculation-sheet'!J56/10^9</f>
        <v>0.35653952184189214</v>
      </c>
      <c r="K67" s="2">
        <f>K12*'Output-Calculation-sheet'!K56/10^9</f>
        <v>0.46054324218302861</v>
      </c>
      <c r="L67" s="2">
        <f>L12*'Output-Calculation-sheet'!L56/10^9</f>
        <v>0.38046971886006836</v>
      </c>
      <c r="M67" s="2">
        <f>M12*'Output-Calculation-sheet'!M56/10^9</f>
        <v>0.51197639862561795</v>
      </c>
      <c r="N67" s="2">
        <f>N12*'Output-Calculation-sheet'!N56/10^9</f>
        <v>0.53732429906840018</v>
      </c>
      <c r="O67" s="2">
        <f>O12*'Output-Calculation-sheet'!O56/10^9</f>
        <v>0.48873767140228225</v>
      </c>
      <c r="P67" s="2">
        <f>P12*'Output-Calculation-sheet'!P56/10^9</f>
        <v>0.4057771765016846</v>
      </c>
      <c r="Q67" s="2">
        <f>Q12*'Output-Calculation-sheet'!Q56/10^9</f>
        <v>0.41803446482359985</v>
      </c>
      <c r="R67" s="2">
        <f>R12*'Output-Calculation-sheet'!R56/10^9</f>
        <v>0.33388401150252789</v>
      </c>
      <c r="S67" s="2">
        <f>S12*'Output-Calculation-sheet'!S56/10^9</f>
        <v>0.30426398882898015</v>
      </c>
      <c r="T67" s="2">
        <f>T12*'Output-Calculation-sheet'!T56/10^9</f>
        <v>0.10406977953965543</v>
      </c>
      <c r="U67" s="2">
        <f>U12*'Output-Calculation-sheet'!U56/10^9</f>
        <v>0.10512055297393678</v>
      </c>
      <c r="V67" s="2">
        <f>V12*'Output-Calculation-sheet'!V56/10^9</f>
        <v>7.7932166004344716E-2</v>
      </c>
      <c r="W67" s="2">
        <f>W12*'Output-Calculation-sheet'!W56/10^9</f>
        <v>4.8622240827415897E-2</v>
      </c>
      <c r="X67" s="2">
        <f>X12*'Output-Calculation-sheet'!X56/10^9</f>
        <v>6.111174022335452E-2</v>
      </c>
      <c r="Y67" s="2">
        <f>Y12*'Output-Calculation-sheet'!Y56/10^9</f>
        <v>4.0884031247522837E-2</v>
      </c>
      <c r="AA67" s="2">
        <f t="shared" si="4"/>
        <v>16.759088747450562</v>
      </c>
    </row>
    <row r="68" spans="1:27" x14ac:dyDescent="0.25">
      <c r="B68" s="2">
        <f>SUM(B60:B67)</f>
        <v>42.492558887318893</v>
      </c>
      <c r="C68" s="2">
        <f t="shared" ref="C68:Y68" si="5">SUM(C60:C67)</f>
        <v>20.439491973550435</v>
      </c>
      <c r="D68" s="2">
        <f t="shared" si="5"/>
        <v>9.3058617637844687</v>
      </c>
      <c r="E68" s="2">
        <f t="shared" si="5"/>
        <v>10.356426847575685</v>
      </c>
      <c r="F68" s="2">
        <f t="shared" si="5"/>
        <v>4.780744095847183</v>
      </c>
      <c r="G68" s="2">
        <f t="shared" si="5"/>
        <v>3.3060134821795693</v>
      </c>
      <c r="H68" s="2">
        <f t="shared" si="5"/>
        <v>6.198924712446745</v>
      </c>
      <c r="I68" s="2">
        <f t="shared" si="5"/>
        <v>3.2619366896054558</v>
      </c>
      <c r="J68" s="2">
        <f t="shared" si="5"/>
        <v>2.9444572612599877</v>
      </c>
      <c r="K68" s="2">
        <f t="shared" si="5"/>
        <v>3.8006643143599983</v>
      </c>
      <c r="L68" s="2">
        <f t="shared" si="5"/>
        <v>3.1397461433400395</v>
      </c>
      <c r="M68" s="2">
        <f t="shared" si="5"/>
        <v>4.2824928470782231</v>
      </c>
      <c r="N68" s="2">
        <f t="shared" si="5"/>
        <v>4.4809280485034826</v>
      </c>
      <c r="O68" s="2">
        <f t="shared" si="5"/>
        <v>3.9850469698631246</v>
      </c>
      <c r="P68" s="2">
        <f t="shared" si="5"/>
        <v>3.3347665725925593</v>
      </c>
      <c r="Q68" s="2">
        <f t="shared" si="5"/>
        <v>3.438409057531123</v>
      </c>
      <c r="R68" s="2">
        <f t="shared" si="5"/>
        <v>2.7494398690837585</v>
      </c>
      <c r="S68" s="2">
        <f t="shared" si="5"/>
        <v>2.5248402192891661</v>
      </c>
      <c r="T68" s="2">
        <f t="shared" si="5"/>
        <v>0.85911819225174346</v>
      </c>
      <c r="U68" s="2">
        <f t="shared" si="5"/>
        <v>0.86424216100181317</v>
      </c>
      <c r="V68" s="2">
        <f t="shared" si="5"/>
        <v>0.64320602156640627</v>
      </c>
      <c r="W68" s="2">
        <f t="shared" si="5"/>
        <v>0.40203264611526796</v>
      </c>
      <c r="X68" s="2">
        <f t="shared" si="5"/>
        <v>0.50951459043234759</v>
      </c>
      <c r="Y68" s="2">
        <f t="shared" si="5"/>
        <v>0.33669253772956792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6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6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5966628699.0305729</v>
      </c>
      <c r="C93" s="2">
        <f>C5/'Output-Calculation-sheet'!C4*'Output-Calculation-sheet'!C76</f>
        <v>0</v>
      </c>
      <c r="D93" s="2">
        <f>D5/'Output-Calculation-sheet'!D4*'Output-Calculation-sheet'!D76</f>
        <v>3905917038.797399</v>
      </c>
      <c r="E93" s="2">
        <f>E5/'Output-Calculation-sheet'!E4*'Output-Calculation-sheet'!E76</f>
        <v>5703276372.1990891</v>
      </c>
      <c r="F93" s="2">
        <f>F5/'Output-Calculation-sheet'!F4*'Output-Calculation-sheet'!F76</f>
        <v>2856662789.3471451</v>
      </c>
      <c r="G93" s="2">
        <f>G5/'Output-Calculation-sheet'!G4*'Output-Calculation-sheet'!G76</f>
        <v>2182867668.5061936</v>
      </c>
      <c r="H93" s="2">
        <f>H5/'Output-Calculation-sheet'!H4*'Output-Calculation-sheet'!H76</f>
        <v>0</v>
      </c>
      <c r="I93" s="2">
        <f>I5/'Output-Calculation-sheet'!I4*'Output-Calculation-sheet'!I76</f>
        <v>1482934391.7271521</v>
      </c>
      <c r="J93" s="2">
        <f>J5/'Output-Calculation-sheet'!J4*'Output-Calculation-sheet'!J76</f>
        <v>1063961737.465071</v>
      </c>
      <c r="K93" s="2">
        <f>K5/'Output-Calculation-sheet'!K4*'Output-Calculation-sheet'!K76</f>
        <v>1339489707.242244</v>
      </c>
      <c r="L93" s="2">
        <f>L5/'Output-Calculation-sheet'!L4*'Output-Calculation-sheet'!L76</f>
        <v>883317219.57225549</v>
      </c>
      <c r="M93" s="2">
        <f>M5/'Output-Calculation-sheet'!M4*'Output-Calculation-sheet'!M76</f>
        <v>0</v>
      </c>
      <c r="N93" s="2">
        <f>N5/'Output-Calculation-sheet'!N4*'Output-Calculation-sheet'!N76</f>
        <v>418144241.16601771</v>
      </c>
      <c r="O93" s="2">
        <f>O5/'Output-Calculation-sheet'!O4*'Output-Calculation-sheet'!O76</f>
        <v>0</v>
      </c>
      <c r="P93" s="2">
        <f>P5/'Output-Calculation-sheet'!P4*'Output-Calculation-sheet'!P76</f>
        <v>1100758194.194417</v>
      </c>
      <c r="Q93" s="2">
        <f>Q5/'Output-Calculation-sheet'!Q4*'Output-Calculation-sheet'!Q76</f>
        <v>494859168.31282169</v>
      </c>
      <c r="R93" s="2">
        <f>R5/'Output-Calculation-sheet'!R4*'Output-Calculation-sheet'!R76</f>
        <v>789742720.11581492</v>
      </c>
      <c r="S93" s="2">
        <f>S5/'Output-Calculation-sheet'!S4*'Output-Calculation-sheet'!S76</f>
        <v>261658849.24845123</v>
      </c>
      <c r="T93" s="2">
        <f>T5/'Output-Calculation-sheet'!T4*'Output-Calculation-sheet'!T76</f>
        <v>424363684.74642038</v>
      </c>
      <c r="U93" s="2">
        <f>U5/'Output-Calculation-sheet'!U4*'Output-Calculation-sheet'!U76</f>
        <v>221317134.54542851</v>
      </c>
      <c r="V93" s="2">
        <f>V5/'Output-Calculation-sheet'!V4*'Output-Calculation-sheet'!V76</f>
        <v>132410028.64540793</v>
      </c>
      <c r="W93" s="2">
        <f>W5/'Output-Calculation-sheet'!W4*'Output-Calculation-sheet'!W76</f>
        <v>441251265.77602917</v>
      </c>
      <c r="X93" s="2">
        <f>X5/'Output-Calculation-sheet'!X4*'Output-Calculation-sheet'!X76</f>
        <v>0</v>
      </c>
      <c r="Y93" s="2">
        <f>Y5/'Output-Calculation-sheet'!Y4*'Output-Calculation-sheet'!Y76</f>
        <v>185030541.04040933</v>
      </c>
      <c r="AA93" s="2">
        <f t="shared" ref="AA93:AA100" si="8">SUM(B93:Y93)/10^9</f>
        <v>29.854591451678345</v>
      </c>
    </row>
    <row r="94" spans="1:27" x14ac:dyDescent="0.25">
      <c r="A94" s="2">
        <v>2029</v>
      </c>
      <c r="B94" s="2">
        <f>B6/'Output-Calculation-sheet'!B5*'Output-Calculation-sheet'!B77</f>
        <v>8297198192.5046215</v>
      </c>
      <c r="C94" s="2">
        <f>C6/'Output-Calculation-sheet'!C5*'Output-Calculation-sheet'!C77</f>
        <v>0</v>
      </c>
      <c r="D94" s="2">
        <f>D6/'Output-Calculation-sheet'!D5*'Output-Calculation-sheet'!D77</f>
        <v>5353870192.7012606</v>
      </c>
      <c r="E94" s="2">
        <f>E6/'Output-Calculation-sheet'!E5*'Output-Calculation-sheet'!E77</f>
        <v>7980188988.1780348</v>
      </c>
      <c r="F94" s="2">
        <f>F6/'Output-Calculation-sheet'!F5*'Output-Calculation-sheet'!F77</f>
        <v>3911958534.0107565</v>
      </c>
      <c r="G94" s="2">
        <f>G6/'Output-Calculation-sheet'!G5*'Output-Calculation-sheet'!G77</f>
        <v>3027908764.6441665</v>
      </c>
      <c r="H94" s="2">
        <f>H6/'Output-Calculation-sheet'!H5*'Output-Calculation-sheet'!H77</f>
        <v>740540303.39315557</v>
      </c>
      <c r="I94" s="2">
        <f>I6/'Output-Calculation-sheet'!I5*'Output-Calculation-sheet'!I77</f>
        <v>2028654664.0173559</v>
      </c>
      <c r="J94" s="2">
        <f>J6/'Output-Calculation-sheet'!J5*'Output-Calculation-sheet'!J77</f>
        <v>1470754331.1456723</v>
      </c>
      <c r="K94" s="2">
        <f>K6/'Output-Calculation-sheet'!K5*'Output-Calculation-sheet'!K77</f>
        <v>1833807444.8346951</v>
      </c>
      <c r="L94" s="2">
        <f>L6/'Output-Calculation-sheet'!L5*'Output-Calculation-sheet'!L77</f>
        <v>1223048459.4043322</v>
      </c>
      <c r="M94" s="2">
        <f>M6/'Output-Calculation-sheet'!M5*'Output-Calculation-sheet'!M77</f>
        <v>538635646.4745872</v>
      </c>
      <c r="N94" s="2">
        <f>N6/'Output-Calculation-sheet'!N5*'Output-Calculation-sheet'!N77</f>
        <v>634974560.89070761</v>
      </c>
      <c r="O94" s="2">
        <f>O6/'Output-Calculation-sheet'!O5*'Output-Calculation-sheet'!O77</f>
        <v>0</v>
      </c>
      <c r="P94" s="2">
        <f>P6/'Output-Calculation-sheet'!P5*'Output-Calculation-sheet'!P77</f>
        <v>1536511294.4946253</v>
      </c>
      <c r="Q94" s="2">
        <f>Q6/'Output-Calculation-sheet'!Q5*'Output-Calculation-sheet'!Q77</f>
        <v>699916776.47313893</v>
      </c>
      <c r="R94" s="2">
        <f>R6/'Output-Calculation-sheet'!R5*'Output-Calculation-sheet'!R77</f>
        <v>1091755434.2909131</v>
      </c>
      <c r="S94" s="2">
        <f>S6/'Output-Calculation-sheet'!S5*'Output-Calculation-sheet'!S77</f>
        <v>368585031.00968581</v>
      </c>
      <c r="T94" s="2">
        <f>T6/'Output-Calculation-sheet'!T5*'Output-Calculation-sheet'!T77</f>
        <v>584151705.60632217</v>
      </c>
      <c r="U94" s="2">
        <f>U6/'Output-Calculation-sheet'!U5*'Output-Calculation-sheet'!U77</f>
        <v>298337188.44328165</v>
      </c>
      <c r="V94" s="2">
        <f>V6/'Output-Calculation-sheet'!V5*'Output-Calculation-sheet'!V77</f>
        <v>178546284.31512573</v>
      </c>
      <c r="W94" s="2">
        <f>W6/'Output-Calculation-sheet'!W5*'Output-Calculation-sheet'!W77</f>
        <v>614184873.27890646</v>
      </c>
      <c r="X94" s="2">
        <f>X6/'Output-Calculation-sheet'!X5*'Output-Calculation-sheet'!X77</f>
        <v>50232395.204404488</v>
      </c>
      <c r="Y94" s="2">
        <f>Y6/'Output-Calculation-sheet'!Y5*'Output-Calculation-sheet'!Y77</f>
        <v>259047629.43697304</v>
      </c>
      <c r="AA94" s="2">
        <f t="shared" si="8"/>
        <v>42.722808694752736</v>
      </c>
    </row>
    <row r="95" spans="1:27" x14ac:dyDescent="0.25">
      <c r="A95" s="2">
        <v>2030</v>
      </c>
      <c r="B95" s="2">
        <f>B7/'Output-Calculation-sheet'!B6*'Output-Calculation-sheet'!B78</f>
        <v>10485876589.651588</v>
      </c>
      <c r="C95" s="2">
        <f>C7/'Output-Calculation-sheet'!C6*'Output-Calculation-sheet'!C78</f>
        <v>0</v>
      </c>
      <c r="D95" s="2">
        <f>D7/'Output-Calculation-sheet'!D6*'Output-Calculation-sheet'!D78</f>
        <v>6688072799.3687325</v>
      </c>
      <c r="E95" s="2">
        <f>E7/'Output-Calculation-sheet'!E6*'Output-Calculation-sheet'!E78</f>
        <v>10165091797.688051</v>
      </c>
      <c r="F95" s="2">
        <f>F7/'Output-Calculation-sheet'!F6*'Output-Calculation-sheet'!F78</f>
        <v>4878519937.6285858</v>
      </c>
      <c r="G95" s="2">
        <f>G7/'Output-Calculation-sheet'!G6*'Output-Calculation-sheet'!G78</f>
        <v>3825787016.7412529</v>
      </c>
      <c r="H95" s="2">
        <f>H7/'Output-Calculation-sheet'!H6*'Output-Calculation-sheet'!H78</f>
        <v>978519734.72250628</v>
      </c>
      <c r="I95" s="2">
        <f>I7/'Output-Calculation-sheet'!I6*'Output-Calculation-sheet'!I78</f>
        <v>2524903766.2913709</v>
      </c>
      <c r="J95" s="2">
        <f>J7/'Output-Calculation-sheet'!J6*'Output-Calculation-sheet'!J78</f>
        <v>1851726098.6938124</v>
      </c>
      <c r="K95" s="2">
        <f>K7/'Output-Calculation-sheet'!K6*'Output-Calculation-sheet'!K78</f>
        <v>2282551799.969882</v>
      </c>
      <c r="L95" s="2">
        <f>L7/'Output-Calculation-sheet'!L6*'Output-Calculation-sheet'!L78</f>
        <v>1544021602.558006</v>
      </c>
      <c r="M95" s="2">
        <f>M7/'Output-Calculation-sheet'!M6*'Output-Calculation-sheet'!M78</f>
        <v>717893162.24894857</v>
      </c>
      <c r="N95" s="2">
        <f>N7/'Output-Calculation-sheet'!N6*'Output-Calculation-sheet'!N78</f>
        <v>837739158.50885439</v>
      </c>
      <c r="O95" s="2">
        <f>O7/'Output-Calculation-sheet'!O6*'Output-Calculation-sheet'!O78</f>
        <v>0</v>
      </c>
      <c r="P95" s="2">
        <f>P7/'Output-Calculation-sheet'!P6*'Output-Calculation-sheet'!P78</f>
        <v>1942926732.6236575</v>
      </c>
      <c r="Q95" s="2">
        <f>Q7/'Output-Calculation-sheet'!Q6*'Output-Calculation-sheet'!Q78</f>
        <v>896990298.39234483</v>
      </c>
      <c r="R95" s="2">
        <f>R7/'Output-Calculation-sheet'!R6*'Output-Calculation-sheet'!R78</f>
        <v>1372793100.9957714</v>
      </c>
      <c r="S95" s="2">
        <f>S7/'Output-Calculation-sheet'!S6*'Output-Calculation-sheet'!S78</f>
        <v>486378378.34823805</v>
      </c>
      <c r="T95" s="2">
        <f>T7/'Output-Calculation-sheet'!T6*'Output-Calculation-sheet'!T78</f>
        <v>732526496.6214658</v>
      </c>
      <c r="U95" s="2">
        <f>U7/'Output-Calculation-sheet'!U6*'Output-Calculation-sheet'!U78</f>
        <v>365348650.11750811</v>
      </c>
      <c r="V95" s="2">
        <f>V7/'Output-Calculation-sheet'!V6*'Output-Calculation-sheet'!V78</f>
        <v>218967391.58444452</v>
      </c>
      <c r="W95" s="2">
        <f>W7/'Output-Calculation-sheet'!W6*'Output-Calculation-sheet'!W78</f>
        <v>779063385.79010904</v>
      </c>
      <c r="X95" s="2">
        <f>X7/'Output-Calculation-sheet'!X6*'Output-Calculation-sheet'!X78</f>
        <v>67935276.003234491</v>
      </c>
      <c r="Y95" s="2">
        <f>Y7/'Output-Calculation-sheet'!Y6*'Output-Calculation-sheet'!Y78</f>
        <v>330610534.1201961</v>
      </c>
      <c r="AA95" s="2">
        <f t="shared" si="8"/>
        <v>53.974243708668553</v>
      </c>
    </row>
    <row r="96" spans="1:27" x14ac:dyDescent="0.25">
      <c r="A96" s="2">
        <v>2031</v>
      </c>
      <c r="B96" s="2">
        <f>B8/'Output-Calculation-sheet'!B7*'Output-Calculation-sheet'!B79</f>
        <v>12343436298.583546</v>
      </c>
      <c r="C96" s="2">
        <f>C8/'Output-Calculation-sheet'!C7*'Output-Calculation-sheet'!C79</f>
        <v>0</v>
      </c>
      <c r="D96" s="2">
        <f>D8/'Output-Calculation-sheet'!D7*'Output-Calculation-sheet'!D79</f>
        <v>7513348062.8362236</v>
      </c>
      <c r="E96" s="2">
        <f>E8/'Output-Calculation-sheet'!E7*'Output-Calculation-sheet'!E79</f>
        <v>11768575110.972305</v>
      </c>
      <c r="F96" s="2">
        <f>F8/'Output-Calculation-sheet'!F7*'Output-Calculation-sheet'!F79</f>
        <v>5633349408.4484692</v>
      </c>
      <c r="G96" s="2">
        <f>G8/'Output-Calculation-sheet'!G7*'Output-Calculation-sheet'!G79</f>
        <v>4294589507.5453825</v>
      </c>
      <c r="H96" s="2">
        <f>H8/'Output-Calculation-sheet'!H7*'Output-Calculation-sheet'!H79</f>
        <v>1160674579.2492447</v>
      </c>
      <c r="I96" s="2">
        <f>I8/'Output-Calculation-sheet'!I7*'Output-Calculation-sheet'!I79</f>
        <v>2945163003.6720972</v>
      </c>
      <c r="J96" s="2">
        <f>J8/'Output-Calculation-sheet'!J7*'Output-Calculation-sheet'!J79</f>
        <v>2096441129.0515153</v>
      </c>
      <c r="K96" s="2">
        <f>K8/'Output-Calculation-sheet'!K7*'Output-Calculation-sheet'!K79</f>
        <v>2612846221.3551459</v>
      </c>
      <c r="L96" s="2">
        <f>L8/'Output-Calculation-sheet'!L7*'Output-Calculation-sheet'!L79</f>
        <v>1818171942.0120246</v>
      </c>
      <c r="M96" s="2">
        <f>M8/'Output-Calculation-sheet'!M7*'Output-Calculation-sheet'!M79</f>
        <v>860439057.60762298</v>
      </c>
      <c r="N96" s="2">
        <f>N8/'Output-Calculation-sheet'!N7*'Output-Calculation-sheet'!N79</f>
        <v>958964067.8355602</v>
      </c>
      <c r="O96" s="2">
        <f>O8/'Output-Calculation-sheet'!O7*'Output-Calculation-sheet'!O79</f>
        <v>0</v>
      </c>
      <c r="P96" s="2">
        <f>P8/'Output-Calculation-sheet'!P7*'Output-Calculation-sheet'!P79</f>
        <v>2217854314.6555977</v>
      </c>
      <c r="Q96" s="2">
        <f>Q8/'Output-Calculation-sheet'!Q7*'Output-Calculation-sheet'!Q79</f>
        <v>1029640550.5417848</v>
      </c>
      <c r="R96" s="2">
        <f>R8/'Output-Calculation-sheet'!R7*'Output-Calculation-sheet'!R79</f>
        <v>1588598274.6275012</v>
      </c>
      <c r="S96" s="2">
        <f>S8/'Output-Calculation-sheet'!S7*'Output-Calculation-sheet'!S79</f>
        <v>581882279.12093437</v>
      </c>
      <c r="T96" s="2">
        <f>T8/'Output-Calculation-sheet'!T7*'Output-Calculation-sheet'!T79</f>
        <v>832678453.27976477</v>
      </c>
      <c r="U96" s="2">
        <f>U8/'Output-Calculation-sheet'!U7*'Output-Calculation-sheet'!U79</f>
        <v>422779906.60982835</v>
      </c>
      <c r="V96" s="2">
        <f>V8/'Output-Calculation-sheet'!V7*'Output-Calculation-sheet'!V79</f>
        <v>256293253.04912657</v>
      </c>
      <c r="W96" s="2">
        <f>W8/'Output-Calculation-sheet'!W7*'Output-Calculation-sheet'!W79</f>
        <v>892527985.46718955</v>
      </c>
      <c r="X96" s="2">
        <f>X8/'Output-Calculation-sheet'!X7*'Output-Calculation-sheet'!X79</f>
        <v>83213102.463847369</v>
      </c>
      <c r="Y96" s="2">
        <f>Y8/'Output-Calculation-sheet'!Y7*'Output-Calculation-sheet'!Y79</f>
        <v>379658463.33680815</v>
      </c>
      <c r="AA96" s="2">
        <f t="shared" si="8"/>
        <v>62.291124972321512</v>
      </c>
    </row>
    <row r="97" spans="1:27" x14ac:dyDescent="0.25">
      <c r="A97" s="2">
        <v>2032</v>
      </c>
      <c r="B97" s="2">
        <f>B9/'Output-Calculation-sheet'!B8*'Output-Calculation-sheet'!B80</f>
        <v>13320391170.471292</v>
      </c>
      <c r="C97" s="2">
        <f>C9/'Output-Calculation-sheet'!C8*'Output-Calculation-sheet'!C80</f>
        <v>0</v>
      </c>
      <c r="D97" s="2">
        <f>D9/'Output-Calculation-sheet'!D8*'Output-Calculation-sheet'!D80</f>
        <v>7732906026.9580965</v>
      </c>
      <c r="E97" s="2">
        <f>E9/'Output-Calculation-sheet'!E8*'Output-Calculation-sheet'!E80</f>
        <v>12475695635.666723</v>
      </c>
      <c r="F97" s="2">
        <f>F9/'Output-Calculation-sheet'!F8*'Output-Calculation-sheet'!F80</f>
        <v>5951105374.3188791</v>
      </c>
      <c r="G97" s="2">
        <f>G9/'Output-Calculation-sheet'!G8*'Output-Calculation-sheet'!G80</f>
        <v>4406647027.1689892</v>
      </c>
      <c r="H97" s="2">
        <f>H9/'Output-Calculation-sheet'!H8*'Output-Calculation-sheet'!H80</f>
        <v>1258455370.920423</v>
      </c>
      <c r="I97" s="2">
        <f>I9/'Output-Calculation-sheet'!I8*'Output-Calculation-sheet'!I80</f>
        <v>3142277170.3258152</v>
      </c>
      <c r="J97" s="2">
        <f>J9/'Output-Calculation-sheet'!J8*'Output-Calculation-sheet'!J80</f>
        <v>2173174378.3966026</v>
      </c>
      <c r="K97" s="2">
        <f>K9/'Output-Calculation-sheet'!K8*'Output-Calculation-sheet'!K80</f>
        <v>2733665408.3324289</v>
      </c>
      <c r="L97" s="2">
        <f>L9/'Output-Calculation-sheet'!L8*'Output-Calculation-sheet'!L80</f>
        <v>1962728800.4459195</v>
      </c>
      <c r="M97" s="2">
        <f>M9/'Output-Calculation-sheet'!M8*'Output-Calculation-sheet'!M80</f>
        <v>934578062.33820879</v>
      </c>
      <c r="N97" s="2">
        <f>N9/'Output-Calculation-sheet'!N8*'Output-Calculation-sheet'!N80</f>
        <v>994760414.77076638</v>
      </c>
      <c r="O97" s="2">
        <f>O9/'Output-Calculation-sheet'!O8*'Output-Calculation-sheet'!O80</f>
        <v>0</v>
      </c>
      <c r="P97" s="2">
        <f>P9/'Output-Calculation-sheet'!P8*'Output-Calculation-sheet'!P80</f>
        <v>2327905193.2582698</v>
      </c>
      <c r="Q97" s="2">
        <f>Q9/'Output-Calculation-sheet'!Q8*'Output-Calculation-sheet'!Q80</f>
        <v>1085384581.5852962</v>
      </c>
      <c r="R97" s="2">
        <f>R9/'Output-Calculation-sheet'!R8*'Output-Calculation-sheet'!R80</f>
        <v>1682259762.1388075</v>
      </c>
      <c r="S97" s="2">
        <f>S9/'Output-Calculation-sheet'!S8*'Output-Calculation-sheet'!S80</f>
        <v>633861353.03841555</v>
      </c>
      <c r="T97" s="2">
        <f>T9/'Output-Calculation-sheet'!T8*'Output-Calculation-sheet'!T80</f>
        <v>865075897.37412763</v>
      </c>
      <c r="U97" s="2">
        <f>U9/'Output-Calculation-sheet'!U8*'Output-Calculation-sheet'!U80</f>
        <v>447901693.33103752</v>
      </c>
      <c r="V97" s="2">
        <f>V9/'Output-Calculation-sheet'!V8*'Output-Calculation-sheet'!V80</f>
        <v>274580528.40169489</v>
      </c>
      <c r="W97" s="2">
        <f>W9/'Output-Calculation-sheet'!W8*'Output-Calculation-sheet'!W80</f>
        <v>934803108.276106</v>
      </c>
      <c r="X97" s="2">
        <f>X9/'Output-Calculation-sheet'!X8*'Output-Calculation-sheet'!X80</f>
        <v>92549203.639711559</v>
      </c>
      <c r="Y97" s="2">
        <f>Y9/'Output-Calculation-sheet'!Y8*'Output-Calculation-sheet'!Y80</f>
        <v>398043763.39318705</v>
      </c>
      <c r="AA97" s="2">
        <f t="shared" si="8"/>
        <v>65.828749924550806</v>
      </c>
    </row>
    <row r="98" spans="1:27" x14ac:dyDescent="0.25">
      <c r="A98" s="2">
        <v>2033</v>
      </c>
      <c r="B98" s="2">
        <f>B10/'Output-Calculation-sheet'!B9*'Output-Calculation-sheet'!B81</f>
        <v>13847455340.18705</v>
      </c>
      <c r="C98" s="2">
        <f>C10/'Output-Calculation-sheet'!C9*'Output-Calculation-sheet'!C81</f>
        <v>1813604365.1774821</v>
      </c>
      <c r="D98" s="2">
        <f>D10/'Output-Calculation-sheet'!D9*'Output-Calculation-sheet'!D81</f>
        <v>7382546725.6071215</v>
      </c>
      <c r="E98" s="2">
        <f>E10/'Output-Calculation-sheet'!E9*'Output-Calculation-sheet'!E81</f>
        <v>12257598018.846268</v>
      </c>
      <c r="F98" s="2">
        <f>F10/'Output-Calculation-sheet'!F9*'Output-Calculation-sheet'!F81</f>
        <v>5835724394.8301401</v>
      </c>
      <c r="G98" s="2">
        <f>G10/'Output-Calculation-sheet'!G9*'Output-Calculation-sheet'!G81</f>
        <v>4190489362.1547837</v>
      </c>
      <c r="H98" s="2">
        <f>H10/'Output-Calculation-sheet'!H9*'Output-Calculation-sheet'!H81</f>
        <v>1262905735.7471311</v>
      </c>
      <c r="I98" s="2">
        <f>I10/'Output-Calculation-sheet'!I9*'Output-Calculation-sheet'!I81</f>
        <v>3110298734.285007</v>
      </c>
      <c r="J98" s="2">
        <f>J10/'Output-Calculation-sheet'!J9*'Output-Calculation-sheet'!J81</f>
        <v>2091454934.9915438</v>
      </c>
      <c r="K98" s="2">
        <f>K10/'Output-Calculation-sheet'!K9*'Output-Calculation-sheet'!K81</f>
        <v>2656076584.7440314</v>
      </c>
      <c r="L98" s="2">
        <f>L10/'Output-Calculation-sheet'!L9*'Output-Calculation-sheet'!L81</f>
        <v>1963750454.5118451</v>
      </c>
      <c r="M98" s="2">
        <f>M10/'Output-Calculation-sheet'!M9*'Output-Calculation-sheet'!M81</f>
        <v>941628034.85055709</v>
      </c>
      <c r="N98" s="2">
        <f>N10/'Output-Calculation-sheet'!N9*'Output-Calculation-sheet'!N81</f>
        <v>958205129.08007228</v>
      </c>
      <c r="O98" s="2">
        <f>O10/'Output-Calculation-sheet'!O9*'Output-Calculation-sheet'!O81</f>
        <v>0</v>
      </c>
      <c r="P98" s="2">
        <f>P10/'Output-Calculation-sheet'!P9*'Output-Calculation-sheet'!P81</f>
        <v>2259655444.1203609</v>
      </c>
      <c r="Q98" s="2">
        <f>Q10/'Output-Calculation-sheet'!Q9*'Output-Calculation-sheet'!Q81</f>
        <v>1060651421.1526946</v>
      </c>
      <c r="R98" s="2">
        <f>R10/'Output-Calculation-sheet'!R9*'Output-Calculation-sheet'!R81</f>
        <v>1655099401.423085</v>
      </c>
      <c r="S98" s="2">
        <f>S10/'Output-Calculation-sheet'!S9*'Output-Calculation-sheet'!S81</f>
        <v>628469953.85639691</v>
      </c>
      <c r="T98" s="2">
        <f>T10/'Output-Calculation-sheet'!T9*'Output-Calculation-sheet'!T81</f>
        <v>834178056.86084104</v>
      </c>
      <c r="U98" s="2">
        <f>U10/'Output-Calculation-sheet'!U9*'Output-Calculation-sheet'!U81</f>
        <v>439696150.4259215</v>
      </c>
      <c r="V98" s="2">
        <f>V10/'Output-Calculation-sheet'!V9*'Output-Calculation-sheet'!V81</f>
        <v>272477761.30054611</v>
      </c>
      <c r="W98" s="2">
        <f>W10/'Output-Calculation-sheet'!W9*'Output-Calculation-sheet'!W81</f>
        <v>905891908.14959097</v>
      </c>
      <c r="X98" s="2">
        <f>X10/'Output-Calculation-sheet'!X9*'Output-Calculation-sheet'!X81</f>
        <v>94236707.386017501</v>
      </c>
      <c r="Y98" s="2">
        <f>Y10/'Output-Calculation-sheet'!Y9*'Output-Calculation-sheet'!Y81</f>
        <v>386730462.320297</v>
      </c>
      <c r="AA98" s="2">
        <f t="shared" si="8"/>
        <v>66.848825082008787</v>
      </c>
    </row>
    <row r="99" spans="1:27" x14ac:dyDescent="0.25">
      <c r="A99" s="2">
        <v>2034</v>
      </c>
      <c r="B99" s="2">
        <f>B11/'Output-Calculation-sheet'!B10*'Output-Calculation-sheet'!B82</f>
        <v>13237206416.381071</v>
      </c>
      <c r="C99" s="2">
        <f>C11/'Output-Calculation-sheet'!C10*'Output-Calculation-sheet'!C82</f>
        <v>1795290539.4664876</v>
      </c>
      <c r="D99" s="2">
        <f>D11/'Output-Calculation-sheet'!D10*'Output-Calculation-sheet'!D82</f>
        <v>6604758886.3162594</v>
      </c>
      <c r="E99" s="2">
        <f>E11/'Output-Calculation-sheet'!E10*'Output-Calculation-sheet'!E82</f>
        <v>11295254658.734776</v>
      </c>
      <c r="F99" s="2">
        <f>F11/'Output-Calculation-sheet'!F10*'Output-Calculation-sheet'!F82</f>
        <v>5364208941.5699997</v>
      </c>
      <c r="G99" s="2">
        <f>G11/'Output-Calculation-sheet'!G10*'Output-Calculation-sheet'!G82</f>
        <v>3726277099.7701907</v>
      </c>
      <c r="H99" s="2">
        <f>H11/'Output-Calculation-sheet'!H10*'Output-Calculation-sheet'!H82</f>
        <v>1189029098.1555309</v>
      </c>
      <c r="I99" s="2">
        <f>I11/'Output-Calculation-sheet'!I10*'Output-Calculation-sheet'!I82</f>
        <v>2888538933.7777424</v>
      </c>
      <c r="J99" s="2">
        <f>J11/'Output-Calculation-sheet'!J10*'Output-Calculation-sheet'!J82</f>
        <v>1887183965.3155193</v>
      </c>
      <c r="K99" s="2">
        <f>K11/'Output-Calculation-sheet'!K10*'Output-Calculation-sheet'!K82</f>
        <v>2419705794.4230385</v>
      </c>
      <c r="L99" s="2">
        <f>L11/'Output-Calculation-sheet'!L10*'Output-Calculation-sheet'!L82</f>
        <v>1839947773.1240098</v>
      </c>
      <c r="M99" s="2">
        <f>M11/'Output-Calculation-sheet'!M10*'Output-Calculation-sheet'!M82</f>
        <v>889431317.5116322</v>
      </c>
      <c r="N99" s="2">
        <f>N11/'Output-Calculation-sheet'!N10*'Output-Calculation-sheet'!N82</f>
        <v>868046500.92382264</v>
      </c>
      <c r="O99" s="2">
        <f>O11/'Output-Calculation-sheet'!O10*'Output-Calculation-sheet'!O82</f>
        <v>0</v>
      </c>
      <c r="P99" s="2">
        <f>P11/'Output-Calculation-sheet'!P10*'Output-Calculation-sheet'!P82</f>
        <v>2053129435.0233164</v>
      </c>
      <c r="Q99" s="2">
        <f>Q11/'Output-Calculation-sheet'!Q10*'Output-Calculation-sheet'!Q82</f>
        <v>972171935.13459551</v>
      </c>
      <c r="R99" s="2">
        <f>R11/'Output-Calculation-sheet'!R10*'Output-Calculation-sheet'!R82</f>
        <v>1525659310.4875691</v>
      </c>
      <c r="S99" s="2">
        <f>S11/'Output-Calculation-sheet'!S10*'Output-Calculation-sheet'!S82</f>
        <v>594449293.01038265</v>
      </c>
      <c r="T99" s="2">
        <f>T11/'Output-Calculation-sheet'!T10*'Output-Calculation-sheet'!T82</f>
        <v>753796804.26506805</v>
      </c>
      <c r="U99" s="2">
        <f>U11/'Output-Calculation-sheet'!U10*'Output-Calculation-sheet'!U82</f>
        <v>405185566.71747935</v>
      </c>
      <c r="V99" s="2">
        <f>V11/'Output-Calculation-sheet'!V10*'Output-Calculation-sheet'!V82</f>
        <v>253474954.63747069</v>
      </c>
      <c r="W99" s="2">
        <f>W11/'Output-Calculation-sheet'!W10*'Output-Calculation-sheet'!W82</f>
        <v>821660668.44597697</v>
      </c>
      <c r="X99" s="2">
        <f>X11/'Output-Calculation-sheet'!X10*'Output-Calculation-sheet'!X82</f>
        <v>90410938.423388943</v>
      </c>
      <c r="Y99" s="2">
        <f>Y11/'Output-Calculation-sheet'!Y10*'Output-Calculation-sheet'!Y82</f>
        <v>351567981.97932941</v>
      </c>
      <c r="AA99" s="2">
        <f t="shared" si="8"/>
        <v>61.826386813594659</v>
      </c>
    </row>
    <row r="100" spans="1:27" x14ac:dyDescent="0.25">
      <c r="A100" s="2">
        <v>2035</v>
      </c>
      <c r="B100" s="2">
        <f>B12/'Output-Calculation-sheet'!B11*'Output-Calculation-sheet'!B83</f>
        <v>11715301081.044853</v>
      </c>
      <c r="C100" s="2">
        <f>C12/'Output-Calculation-sheet'!C11*'Output-Calculation-sheet'!C83</f>
        <v>1657541748.0409648</v>
      </c>
      <c r="D100" s="2">
        <f>D12/'Output-Calculation-sheet'!D11*'Output-Calculation-sheet'!D83</f>
        <v>5571861902.8837729</v>
      </c>
      <c r="E100" s="2">
        <f>E12/'Output-Calculation-sheet'!E11*'Output-Calculation-sheet'!E83</f>
        <v>9802670423.8251419</v>
      </c>
      <c r="F100" s="2">
        <f>F12/'Output-Calculation-sheet'!F11*'Output-Calculation-sheet'!F83</f>
        <v>4645551542.1141739</v>
      </c>
      <c r="G100" s="2">
        <f>G12/'Output-Calculation-sheet'!G11*'Output-Calculation-sheet'!G83</f>
        <v>3115651038.9005108</v>
      </c>
      <c r="H100" s="2">
        <f>H12/'Output-Calculation-sheet'!H11*'Output-Calculation-sheet'!H83</f>
        <v>1049844517.102133</v>
      </c>
      <c r="I100" s="2">
        <f>I12/'Output-Calculation-sheet'!I11*'Output-Calculation-sheet'!I83</f>
        <v>2524401167.5402956</v>
      </c>
      <c r="J100" s="2">
        <f>J12/'Output-Calculation-sheet'!J11*'Output-Calculation-sheet'!J83</f>
        <v>1603799741.6998384</v>
      </c>
      <c r="K100" s="2">
        <f>K12/'Output-Calculation-sheet'!K11*'Output-Calculation-sheet'!K83</f>
        <v>2075980244.8936934</v>
      </c>
      <c r="L100" s="2">
        <f>L12/'Output-Calculation-sheet'!L11*'Output-Calculation-sheet'!L83</f>
        <v>1622036353.516309</v>
      </c>
      <c r="M100" s="2">
        <f>M12/'Output-Calculation-sheet'!M11*'Output-Calculation-sheet'!M83</f>
        <v>786909816.51861858</v>
      </c>
      <c r="N100" s="2">
        <f>N12/'Output-Calculation-sheet'!N11*'Output-Calculation-sheet'!N83</f>
        <v>741293422.17143583</v>
      </c>
      <c r="O100" s="2">
        <f>O12/'Output-Calculation-sheet'!O11*'Output-Calculation-sheet'!O83</f>
        <v>199991806.26477391</v>
      </c>
      <c r="P100" s="2">
        <f>P12/'Output-Calculation-sheet'!P11*'Output-Calculation-sheet'!P83</f>
        <v>1755993645.5862844</v>
      </c>
      <c r="Q100" s="2">
        <f>Q12/'Output-Calculation-sheet'!Q11*'Output-Calculation-sheet'!Q83</f>
        <v>842134333.37512541</v>
      </c>
      <c r="R100" s="2">
        <f>R12/'Output-Calculation-sheet'!R11*'Output-Calculation-sheet'!R83</f>
        <v>1326528339.9800775</v>
      </c>
      <c r="S100" s="2">
        <f>S12/'Output-Calculation-sheet'!S11*'Output-Calculation-sheet'!S83</f>
        <v>514497105.28377163</v>
      </c>
      <c r="T100" s="2">
        <f>T12/'Output-Calculation-sheet'!T11*'Output-Calculation-sheet'!T83</f>
        <v>641291501.93591046</v>
      </c>
      <c r="U100" s="2">
        <f>U12/'Output-Calculation-sheet'!U11*'Output-Calculation-sheet'!U83</f>
        <v>351295826.53018677</v>
      </c>
      <c r="V100" s="2">
        <f>V12/'Output-Calculation-sheet'!V11*'Output-Calculation-sheet'!V83</f>
        <v>222035124.85905066</v>
      </c>
      <c r="W100" s="2">
        <f>W12/'Output-Calculation-sheet'!W11*'Output-Calculation-sheet'!W83</f>
        <v>700632811.82496047</v>
      </c>
      <c r="X100" s="2">
        <f>X12/'Output-Calculation-sheet'!X11*'Output-Calculation-sheet'!X83</f>
        <v>81527411.442593858</v>
      </c>
      <c r="Y100" s="2">
        <f>Y12/'Output-Calculation-sheet'!Y11*'Output-Calculation-sheet'!Y83</f>
        <v>300817861.83526343</v>
      </c>
      <c r="AA100" s="2">
        <f t="shared" si="8"/>
        <v>53.849588769169742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46C4-1AA5-4F22-8C50-105FF1AA3A91}">
  <dimension ref="A1:AA100"/>
  <sheetViews>
    <sheetView workbookViewId="0">
      <selection activeCell="B7" sqref="B7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114081021708.64017</v>
      </c>
      <c r="C8" s="2">
        <v>53760718070.456215</v>
      </c>
      <c r="D8" s="2">
        <v>47915333437.419754</v>
      </c>
      <c r="E8" s="2">
        <v>38015954787.957863</v>
      </c>
      <c r="F8" s="2">
        <v>24472234286.339748</v>
      </c>
      <c r="G8" s="2">
        <v>17194863431.924419</v>
      </c>
      <c r="H8" s="2">
        <v>16772929222.346075</v>
      </c>
      <c r="I8" s="2">
        <v>15665874118.006905</v>
      </c>
      <c r="J8" s="2">
        <v>15248079876.762188</v>
      </c>
      <c r="K8" s="2">
        <v>15101902649.758682</v>
      </c>
      <c r="L8" s="2">
        <v>12114942651.258694</v>
      </c>
      <c r="M8" s="2">
        <v>11571859015.167791</v>
      </c>
      <c r="N8" s="2">
        <v>11357746202.855738</v>
      </c>
      <c r="O8" s="2">
        <v>10445754207.901112</v>
      </c>
      <c r="P8" s="2">
        <v>10339476917.884563</v>
      </c>
      <c r="Q8" s="2">
        <v>10172374260.625826</v>
      </c>
      <c r="R8" s="2">
        <v>9786291926.1623688</v>
      </c>
      <c r="S8" s="2">
        <v>6504470933.7964525</v>
      </c>
      <c r="T8" s="2">
        <v>3597356762.5011497</v>
      </c>
      <c r="U8" s="2">
        <v>3133174823.6013856</v>
      </c>
      <c r="V8" s="2">
        <v>2412607277.6695404</v>
      </c>
      <c r="W8" s="2">
        <v>2088783215.7342556</v>
      </c>
      <c r="X8" s="2">
        <v>1253269929.4405541</v>
      </c>
      <c r="Y8" s="2">
        <v>1218792473.6816425</v>
      </c>
    </row>
    <row r="9" spans="1:27" x14ac:dyDescent="0.25">
      <c r="A9" s="2">
        <v>2032</v>
      </c>
      <c r="B9" s="2">
        <v>124276037258.7495</v>
      </c>
      <c r="C9" s="2">
        <v>58565122418.386719</v>
      </c>
      <c r="D9" s="2">
        <v>52197356530.890793</v>
      </c>
      <c r="E9" s="2">
        <v>41413305586.632637</v>
      </c>
      <c r="F9" s="2">
        <v>26659230908.199917</v>
      </c>
      <c r="G9" s="2">
        <v>18731507278.945633</v>
      </c>
      <c r="H9" s="2">
        <v>18271866308.30093</v>
      </c>
      <c r="I9" s="2">
        <v>17065877622.946058</v>
      </c>
      <c r="J9" s="2">
        <v>16610746594.89455</v>
      </c>
      <c r="K9" s="2">
        <v>16451506028.520025</v>
      </c>
      <c r="L9" s="2">
        <v>13197612028.41164</v>
      </c>
      <c r="M9" s="2">
        <v>12605994937.482845</v>
      </c>
      <c r="N9" s="2">
        <v>12372747623.933823</v>
      </c>
      <c r="O9" s="2">
        <v>11379254144.938461</v>
      </c>
      <c r="P9" s="2">
        <v>11263479231.144405</v>
      </c>
      <c r="Q9" s="2">
        <v>11081443203.166315</v>
      </c>
      <c r="R9" s="2">
        <v>10660858062.324335</v>
      </c>
      <c r="S9" s="2">
        <v>7085752389.0471869</v>
      </c>
      <c r="T9" s="2">
        <v>3918839754.007462</v>
      </c>
      <c r="U9" s="2">
        <v>3413175524.5892162</v>
      </c>
      <c r="V9" s="2">
        <v>2628213417.44419</v>
      </c>
      <c r="W9" s="2">
        <v>2275450349.7261424</v>
      </c>
      <c r="X9" s="2">
        <v>1365270209.8356864</v>
      </c>
      <c r="Y9" s="2">
        <v>1327711626.3631046</v>
      </c>
    </row>
    <row r="10" spans="1:27" x14ac:dyDescent="0.25">
      <c r="A10" s="2">
        <v>2033</v>
      </c>
      <c r="B10" s="2">
        <v>126949158716.35188</v>
      </c>
      <c r="C10" s="2">
        <v>59824831762.656769</v>
      </c>
      <c r="D10" s="2">
        <v>53320098105.618813</v>
      </c>
      <c r="E10" s="2">
        <v>42304087093.958817</v>
      </c>
      <c r="F10" s="2">
        <v>27232658929.850719</v>
      </c>
      <c r="G10" s="2">
        <v>19134413544.264771</v>
      </c>
      <c r="H10" s="2">
        <v>18664885903.844254</v>
      </c>
      <c r="I10" s="2">
        <v>17432956946.305328</v>
      </c>
      <c r="J10" s="2">
        <v>16968036255.307201</v>
      </c>
      <c r="K10" s="2">
        <v>16805370496.238363</v>
      </c>
      <c r="L10" s="2">
        <v>13481486705.142813</v>
      </c>
      <c r="M10" s="2">
        <v>12877144197.670897</v>
      </c>
      <c r="N10" s="2">
        <v>12638879839.705837</v>
      </c>
      <c r="O10" s="2">
        <v>11624016764.485249</v>
      </c>
      <c r="P10" s="2">
        <v>11505751584.561527</v>
      </c>
      <c r="Q10" s="2">
        <v>11319800043.800938</v>
      </c>
      <c r="R10" s="2">
        <v>10890168306.450632</v>
      </c>
      <c r="S10" s="2">
        <v>7238163724.1059561</v>
      </c>
      <c r="T10" s="2">
        <v>4003132227.9743619</v>
      </c>
      <c r="U10" s="2">
        <v>3486591389.2610712</v>
      </c>
      <c r="V10" s="2">
        <v>2684745101.5588117</v>
      </c>
      <c r="W10" s="2">
        <v>2324394259.5073791</v>
      </c>
      <c r="X10" s="2">
        <v>1394636555.7044282</v>
      </c>
      <c r="Y10" s="2">
        <v>1356270104.0569971</v>
      </c>
    </row>
    <row r="11" spans="1:27" x14ac:dyDescent="0.25">
      <c r="A11" s="2">
        <v>2034</v>
      </c>
      <c r="B11" s="2">
        <v>123110251217.68784</v>
      </c>
      <c r="C11" s="2">
        <v>58015745372.623085</v>
      </c>
      <c r="D11" s="2">
        <v>51707713064.891502</v>
      </c>
      <c r="E11" s="2">
        <v>41024823183.813515</v>
      </c>
      <c r="F11" s="2">
        <v>26409150844.949177</v>
      </c>
      <c r="G11" s="2">
        <v>18555794163.243576</v>
      </c>
      <c r="H11" s="2">
        <v>18100464908.994865</v>
      </c>
      <c r="I11" s="2">
        <v>16905789142.896809</v>
      </c>
      <c r="J11" s="2">
        <v>16454927525.192301</v>
      </c>
      <c r="K11" s="2">
        <v>16297180733.752548</v>
      </c>
      <c r="L11" s="2">
        <v>13073810270.506886</v>
      </c>
      <c r="M11" s="2">
        <v>12487742913.553133</v>
      </c>
      <c r="N11" s="2">
        <v>12256683603.968901</v>
      </c>
      <c r="O11" s="2">
        <v>11272509707.857302</v>
      </c>
      <c r="P11" s="2">
        <v>11157820834.311901</v>
      </c>
      <c r="Q11" s="2">
        <v>10977492416.787668</v>
      </c>
      <c r="R11" s="2">
        <v>10560852624.518805</v>
      </c>
      <c r="S11" s="2">
        <v>7019283652.1307373</v>
      </c>
      <c r="T11" s="2">
        <v>3882078614.9886217</v>
      </c>
      <c r="U11" s="2">
        <v>3381157828.5793662</v>
      </c>
      <c r="V11" s="2">
        <v>2603559151.1626859</v>
      </c>
      <c r="W11" s="2">
        <v>2254105219.0529094</v>
      </c>
      <c r="X11" s="2">
        <v>1352463131.4317462</v>
      </c>
      <c r="Y11" s="2">
        <v>1315256870.6860571</v>
      </c>
    </row>
    <row r="12" spans="1:27" x14ac:dyDescent="0.25">
      <c r="A12" s="2">
        <v>2035</v>
      </c>
      <c r="B12" s="2">
        <v>114208447027.50169</v>
      </c>
      <c r="C12" s="2">
        <v>53820767292.840012</v>
      </c>
      <c r="D12" s="2">
        <v>47968853528.230415</v>
      </c>
      <c r="E12" s="2">
        <v>38058417548.968651</v>
      </c>
      <c r="F12" s="2">
        <v>24499569089.363823</v>
      </c>
      <c r="G12" s="2">
        <v>17214069614.712555</v>
      </c>
      <c r="H12" s="2">
        <v>16791664116.392326</v>
      </c>
      <c r="I12" s="2">
        <v>15683372462.38385</v>
      </c>
      <c r="J12" s="2">
        <v>15265111556.626387</v>
      </c>
      <c r="K12" s="2">
        <v>15118771053.738056</v>
      </c>
      <c r="L12" s="2">
        <v>12128474704.243532</v>
      </c>
      <c r="M12" s="2">
        <v>11584784458.880896</v>
      </c>
      <c r="N12" s="2">
        <v>11370432488.53035</v>
      </c>
      <c r="O12" s="2">
        <v>10457421823.958149</v>
      </c>
      <c r="P12" s="2">
        <v>10351025825.173349</v>
      </c>
      <c r="Q12" s="2">
        <v>10183736518.907923</v>
      </c>
      <c r="R12" s="2">
        <v>9797222941.2469654</v>
      </c>
      <c r="S12" s="2">
        <v>6511736246.3817596</v>
      </c>
      <c r="T12" s="2">
        <v>3601374909.6535401</v>
      </c>
      <c r="U12" s="2">
        <v>3136674492.4767747</v>
      </c>
      <c r="V12" s="2">
        <v>2415302092.6969681</v>
      </c>
      <c r="W12" s="2">
        <v>2091116328.3178484</v>
      </c>
      <c r="X12" s="2">
        <v>1254669796.9907098</v>
      </c>
      <c r="Y12" s="2">
        <v>1220153830.8754933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-4.8443221004840817E-11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192.67004507413145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3.0244191121304652E-12</v>
      </c>
      <c r="Y16" s="2">
        <f>Y5/'Output-Calculation-sheet'!Y4*'Output-Calculation-sheet'!Y22</f>
        <v>0</v>
      </c>
      <c r="AA16" s="2">
        <f t="shared" ref="AA16:AA23" si="0">SUM(B16:Y16)/1000</f>
        <v>0.19267004507408603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1533.4245836019963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1043.7250850070277</v>
      </c>
      <c r="N17" s="2">
        <f>N6/'Output-Calculation-sheet'!N5*'Output-Calculation-sheet'!N23</f>
        <v>428.04132238536522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96.208542383248712</v>
      </c>
      <c r="Y17" s="2">
        <f>Y6/'Output-Calculation-sheet'!Y5*'Output-Calculation-sheet'!Y23</f>
        <v>0</v>
      </c>
      <c r="AA17" s="2">
        <f t="shared" si="0"/>
        <v>3.1013995333776379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2058.9994115891145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1399.453207171937</v>
      </c>
      <c r="N18" s="2">
        <f>N7/'Output-Calculation-sheet'!N6*'Output-Calculation-sheet'!N24</f>
        <v>774.67774409618482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137.62596254687006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131.38296544028265</v>
      </c>
      <c r="Y18" s="2">
        <f>Y7/'Output-Calculation-sheet'!Y6*'Output-Calculation-sheet'!Y24</f>
        <v>0</v>
      </c>
      <c r="AA18" s="2">
        <f t="shared" si="0"/>
        <v>4.5021392908443891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2507.0104121524068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1716.9182766214221</v>
      </c>
      <c r="N19" s="2">
        <f>N8/'Output-Calculation-sheet'!N7*'Output-Calculation-sheet'!N25</f>
        <v>1154.8768856304507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306.32584214528708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162.94205413265433</v>
      </c>
      <c r="Y19" s="2">
        <f>Y8/'Output-Calculation-sheet'!Y7*'Output-Calculation-sheet'!Y25</f>
        <v>0</v>
      </c>
      <c r="AA19" s="2">
        <f t="shared" si="0"/>
        <v>5.8480734706822215</v>
      </c>
    </row>
    <row r="20" spans="1:27" x14ac:dyDescent="0.25">
      <c r="A20" s="2">
        <v>2032</v>
      </c>
      <c r="B20" s="2">
        <f>B9/'Output-Calculation-sheet'!B8*'Output-Calculation-sheet'!B26</f>
        <v>2.6688446550170783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2821.1617519486394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1929.3078257894704</v>
      </c>
      <c r="N20" s="2">
        <f>N9/'Output-Calculation-sheet'!N8*'Output-Calculation-sheet'!N26</f>
        <v>1405.0871568319394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483.42202741878083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185.70501382492637</v>
      </c>
      <c r="Y20" s="2">
        <f>Y9/'Output-Calculation-sheet'!Y8*'Output-Calculation-sheet'!Y26</f>
        <v>0</v>
      </c>
      <c r="AA20" s="2">
        <f t="shared" si="0"/>
        <v>6.8273526204687744</v>
      </c>
    </row>
    <row r="21" spans="1:27" x14ac:dyDescent="0.25">
      <c r="A21" s="2">
        <v>2033</v>
      </c>
      <c r="B21" s="2">
        <f>B10/'Output-Calculation-sheet'!B9*'Output-Calculation-sheet'!B27</f>
        <v>4244.7717150900862</v>
      </c>
      <c r="C21" s="2">
        <f>C10/'Output-Calculation-sheet'!C9*'Output-Calculation-sheet'!C27</f>
        <v>6623.6747479526175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2971.790387789642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2034.3429886931349</v>
      </c>
      <c r="N21" s="2">
        <f>N10/'Output-Calculation-sheet'!N9*'Output-Calculation-sheet'!N27</f>
        <v>1589.4910980277773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606.37495289948538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195.81675377375484</v>
      </c>
      <c r="Y21" s="2">
        <f>Y10/'Output-Calculation-sheet'!Y9*'Output-Calculation-sheet'!Y27</f>
        <v>0</v>
      </c>
      <c r="AA21" s="2">
        <f t="shared" si="0"/>
        <v>18.266262644226494</v>
      </c>
    </row>
    <row r="22" spans="1:27" x14ac:dyDescent="0.25">
      <c r="A22" s="2">
        <v>2034</v>
      </c>
      <c r="B22" s="2">
        <f>B11/'Output-Calculation-sheet'!B10*'Output-Calculation-sheet'!B28</f>
        <v>7034.9360483013324</v>
      </c>
      <c r="C22" s="2">
        <f>C11/'Output-Calculation-sheet'!C10*'Output-Calculation-sheet'!C28</f>
        <v>6815.6761487123076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2977.7894219540844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2038.6204859460086</v>
      </c>
      <c r="N22" s="2">
        <f>N11/'Output-Calculation-sheet'!N10*'Output-Calculation-sheet'!N28</f>
        <v>1634.732059023117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666.85911221103299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197.51614443603989</v>
      </c>
      <c r="Y22" s="2">
        <f>Y11/'Output-Calculation-sheet'!Y10*'Output-Calculation-sheet'!Y28</f>
        <v>0</v>
      </c>
      <c r="AA22" s="2">
        <f t="shared" si="0"/>
        <v>21.366129420583921</v>
      </c>
    </row>
    <row r="23" spans="1:27" x14ac:dyDescent="0.25">
      <c r="A23" s="2">
        <v>2035</v>
      </c>
      <c r="B23" s="2">
        <f>B12/'Output-Calculation-sheet'!B11*'Output-Calculation-sheet'!B29</f>
        <v>8130.5075586770963</v>
      </c>
      <c r="C23" s="2">
        <f>C12/'Output-Calculation-sheet'!C11*'Output-Calculation-sheet'!C29</f>
        <v>6662.3387291705558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2842.4475657976868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1942.9257989550229</v>
      </c>
      <c r="N23" s="2">
        <f>N12/'Output-Calculation-sheet'!N11*'Output-Calculation-sheet'!N29</f>
        <v>1588.1734779121102</v>
      </c>
      <c r="O23" s="2">
        <f>O12/'Output-Calculation-sheet'!O11*'Output-Calculation-sheet'!O29</f>
        <v>1132.7604637582569</v>
      </c>
      <c r="P23" s="2">
        <f>P12/'Output-Calculation-sheet'!P11*'Output-Calculation-sheet'!P29</f>
        <v>0</v>
      </c>
      <c r="Q23" s="2">
        <f>Q12/'Output-Calculation-sheet'!Q11*'Output-Calculation-sheet'!Q29</f>
        <v>21.676711678702798</v>
      </c>
      <c r="R23" s="2">
        <f>R12/'Output-Calculation-sheet'!R11*'Output-Calculation-sheet'!R29</f>
        <v>0</v>
      </c>
      <c r="S23" s="2">
        <f>S12/'Output-Calculation-sheet'!S11*'Output-Calculation-sheet'!S29</f>
        <v>697.45721747796085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190.45894197119864</v>
      </c>
      <c r="Y23" s="2">
        <f>Y12/'Output-Calculation-sheet'!Y11*'Output-Calculation-sheet'!Y29</f>
        <v>0</v>
      </c>
      <c r="AA23" s="2">
        <f t="shared" si="0"/>
        <v>23.20874646539859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8969.926294256602</v>
      </c>
      <c r="C27" s="2">
        <f>C5/'Output-Calculation-sheet'!C4*'Output-Calculation-sheet'!C13</f>
        <v>0</v>
      </c>
      <c r="D27" s="2">
        <f>D5/'Output-Calculation-sheet'!D4*'Output-Calculation-sheet'!D13</f>
        <v>2896.8118516387653</v>
      </c>
      <c r="E27" s="2">
        <f>E5/'Output-Calculation-sheet'!E4*'Output-Calculation-sheet'!E13</f>
        <v>2955.1996595598139</v>
      </c>
      <c r="F27" s="2">
        <f>F5/'Output-Calculation-sheet'!F4*'Output-Calculation-sheet'!F13</f>
        <v>1678.7357198057578</v>
      </c>
      <c r="G27" s="2">
        <f>G5/'Output-Calculation-sheet'!G4*'Output-Calculation-sheet'!G13</f>
        <v>1018.0627903483304</v>
      </c>
      <c r="H27" s="2">
        <f>H5/'Output-Calculation-sheet'!H4*'Output-Calculation-sheet'!H13</f>
        <v>0</v>
      </c>
      <c r="I27" s="2">
        <f>I5/'Output-Calculation-sheet'!I4*'Output-Calculation-sheet'!I13</f>
        <v>1017.3102620508267</v>
      </c>
      <c r="J27" s="2">
        <f>J5/'Output-Calculation-sheet'!J4*'Output-Calculation-sheet'!J13</f>
        <v>935.245890013289</v>
      </c>
      <c r="K27" s="2">
        <f>K5/'Output-Calculation-sheet'!K4*'Output-Calculation-sheet'!K13</f>
        <v>1140.0845893762462</v>
      </c>
      <c r="L27" s="2">
        <f>L5/'Output-Calculation-sheet'!L4*'Output-Calculation-sheet'!L13</f>
        <v>945.33125398479945</v>
      </c>
      <c r="M27" s="2">
        <f>M5/'Output-Calculation-sheet'!M4*'Output-Calculation-sheet'!M13</f>
        <v>0</v>
      </c>
      <c r="N27" s="2">
        <f>N5/'Output-Calculation-sheet'!N4*'Output-Calculation-sheet'!N13</f>
        <v>614.0689978991835</v>
      </c>
      <c r="O27" s="2">
        <f>O5/'Output-Calculation-sheet'!O4*'Output-Calculation-sheet'!O13</f>
        <v>0</v>
      </c>
      <c r="P27" s="2">
        <f>P5/'Output-Calculation-sheet'!P4*'Output-Calculation-sheet'!P13</f>
        <v>738.78330105439738</v>
      </c>
      <c r="Q27" s="2">
        <f>Q5/'Output-Calculation-sheet'!Q4*'Output-Calculation-sheet'!Q13</f>
        <v>797.01630657061492</v>
      </c>
      <c r="R27" s="2">
        <f>R5/'Output-Calculation-sheet'!R4*'Output-Calculation-sheet'!R13</f>
        <v>719.2927449293843</v>
      </c>
      <c r="S27" s="2">
        <f>S5/'Output-Calculation-sheet'!S4*'Output-Calculation-sheet'!S13</f>
        <v>431.79892974432403</v>
      </c>
      <c r="T27" s="2">
        <f>T5/'Output-Calculation-sheet'!T4*'Output-Calculation-sheet'!T13</f>
        <v>264.40956595950104</v>
      </c>
      <c r="U27" s="2">
        <f>U5/'Output-Calculation-sheet'!U4*'Output-Calculation-sheet'!U13</f>
        <v>201.9153050149969</v>
      </c>
      <c r="V27" s="2">
        <f>V5/'Output-Calculation-sheet'!V4*'Output-Calculation-sheet'!V13</f>
        <v>193.42744364782652</v>
      </c>
      <c r="W27" s="2">
        <f>W5/'Output-Calculation-sheet'!W4*'Output-Calculation-sheet'!W13</f>
        <v>135.37298936876249</v>
      </c>
      <c r="X27" s="2">
        <f>X5/'Output-Calculation-sheet'!X4*'Output-Calculation-sheet'!X13</f>
        <v>0</v>
      </c>
      <c r="Y27" s="2">
        <f>Y5/'Output-Calculation-sheet'!Y4*'Output-Calculation-sheet'!Y13</f>
        <v>88.859631842540509</v>
      </c>
      <c r="AA27" s="2">
        <f t="shared" ref="AA27:AA34" si="1">SUM(B27:Y27)/1000</f>
        <v>25.741653527065964</v>
      </c>
    </row>
    <row r="28" spans="1:27" x14ac:dyDescent="0.25">
      <c r="A28" s="2">
        <v>2029</v>
      </c>
      <c r="B28" s="2">
        <f>B6/'Output-Calculation-sheet'!B5*'Output-Calculation-sheet'!B14</f>
        <v>12779.040034731768</v>
      </c>
      <c r="C28" s="2">
        <f>C6/'Output-Calculation-sheet'!C5*'Output-Calculation-sheet'!C14</f>
        <v>0</v>
      </c>
      <c r="D28" s="2">
        <f>D6/'Output-Calculation-sheet'!D5*'Output-Calculation-sheet'!D14</f>
        <v>4065.0952735208048</v>
      </c>
      <c r="E28" s="2">
        <f>E6/'Output-Calculation-sheet'!E5*'Output-Calculation-sheet'!E14</f>
        <v>4174.4157888742584</v>
      </c>
      <c r="F28" s="2">
        <f>F6/'Output-Calculation-sheet'!F5*'Output-Calculation-sheet'!F14</f>
        <v>2353.9437307853668</v>
      </c>
      <c r="G28" s="2">
        <f>G6/'Output-Calculation-sheet'!G5*'Output-Calculation-sheet'!G14</f>
        <v>1426.1730245532369</v>
      </c>
      <c r="H28" s="2">
        <f>H6/'Output-Calculation-sheet'!H5*'Output-Calculation-sheet'!H14</f>
        <v>0</v>
      </c>
      <c r="I28" s="2">
        <f>I6/'Output-Calculation-sheet'!I5*'Output-Calculation-sheet'!I14</f>
        <v>1432.4364589543388</v>
      </c>
      <c r="J28" s="2">
        <f>J6/'Output-Calculation-sheet'!J5*'Output-Calculation-sheet'!J14</f>
        <v>1312.6817060850306</v>
      </c>
      <c r="K28" s="2">
        <f>K6/'Output-Calculation-sheet'!K5*'Output-Calculation-sheet'!K14</f>
        <v>1609.9904127531968</v>
      </c>
      <c r="L28" s="2">
        <f>L6/'Output-Calculation-sheet'!L5*'Output-Calculation-sheet'!L14</f>
        <v>1331.5230569250796</v>
      </c>
      <c r="M28" s="2">
        <f>M6/'Output-Calculation-sheet'!M5*'Output-Calculation-sheet'!M14</f>
        <v>0</v>
      </c>
      <c r="N28" s="2">
        <f>N6/'Output-Calculation-sheet'!N5*'Output-Calculation-sheet'!N14</f>
        <v>844.13572965717674</v>
      </c>
      <c r="O28" s="2">
        <f>O6/'Output-Calculation-sheet'!O5*'Output-Calculation-sheet'!O14</f>
        <v>0</v>
      </c>
      <c r="P28" s="2">
        <f>P6/'Output-Calculation-sheet'!P5*'Output-Calculation-sheet'!P14</f>
        <v>1054.2386522009647</v>
      </c>
      <c r="Q28" s="2">
        <f>Q6/'Output-Calculation-sheet'!Q5*'Output-Calculation-sheet'!Q14</f>
        <v>1144.3941278729947</v>
      </c>
      <c r="R28" s="2">
        <f>R6/'Output-Calculation-sheet'!R5*'Output-Calculation-sheet'!R14</f>
        <v>1017.5357025492629</v>
      </c>
      <c r="S28" s="2">
        <f>S6/'Output-Calculation-sheet'!S5*'Output-Calculation-sheet'!S14</f>
        <v>623.71637297207519</v>
      </c>
      <c r="T28" s="2">
        <f>T6/'Output-Calculation-sheet'!T5*'Output-Calculation-sheet'!T14</f>
        <v>372.03441370894404</v>
      </c>
      <c r="U28" s="2">
        <f>U6/'Output-Calculation-sheet'!U5*'Output-Calculation-sheet'!U14</f>
        <v>285.40284641845471</v>
      </c>
      <c r="V28" s="2">
        <f>V6/'Output-Calculation-sheet'!V5*'Output-Calculation-sheet'!V14</f>
        <v>272.98249783361518</v>
      </c>
      <c r="W28" s="2">
        <f>W6/'Output-Calculation-sheet'!W5*'Output-Calculation-sheet'!W14</f>
        <v>190.49386096810699</v>
      </c>
      <c r="X28" s="2">
        <f>X6/'Output-Calculation-sheet'!X5*'Output-Calculation-sheet'!X14</f>
        <v>0</v>
      </c>
      <c r="Y28" s="2">
        <f>Y6/'Output-Calculation-sheet'!Y5*'Output-Calculation-sheet'!Y14</f>
        <v>125.25843350925551</v>
      </c>
      <c r="AA28" s="2">
        <f t="shared" si="1"/>
        <v>36.415492124873936</v>
      </c>
    </row>
    <row r="29" spans="1:27" x14ac:dyDescent="0.25">
      <c r="A29" s="2">
        <v>2030</v>
      </c>
      <c r="B29" s="2">
        <f>B7/'Output-Calculation-sheet'!B6*'Output-Calculation-sheet'!B15</f>
        <v>16562.287039378967</v>
      </c>
      <c r="C29" s="2">
        <f>C7/'Output-Calculation-sheet'!C6*'Output-Calculation-sheet'!C15</f>
        <v>0</v>
      </c>
      <c r="D29" s="2">
        <f>D7/'Output-Calculation-sheet'!D6*'Output-Calculation-sheet'!D15</f>
        <v>5206.2880240946552</v>
      </c>
      <c r="E29" s="2">
        <f>E7/'Output-Calculation-sheet'!E6*'Output-Calculation-sheet'!E15</f>
        <v>5367.0070014605262</v>
      </c>
      <c r="F29" s="2">
        <f>F7/'Output-Calculation-sheet'!F6*'Output-Calculation-sheet'!F15</f>
        <v>3010.4370053739203</v>
      </c>
      <c r="G29" s="2">
        <f>G7/'Output-Calculation-sheet'!G6*'Output-Calculation-sheet'!G15</f>
        <v>1820.8865272024243</v>
      </c>
      <c r="H29" s="2">
        <f>H7/'Output-Calculation-sheet'!H6*'Output-Calculation-sheet'!H15</f>
        <v>0</v>
      </c>
      <c r="I29" s="2">
        <f>I7/'Output-Calculation-sheet'!I6*'Output-Calculation-sheet'!I15</f>
        <v>1834.7308492356367</v>
      </c>
      <c r="J29" s="2">
        <f>J7/'Output-Calculation-sheet'!J6*'Output-Calculation-sheet'!J15</f>
        <v>1678.3204698292923</v>
      </c>
      <c r="K29" s="2">
        <f>K7/'Output-Calculation-sheet'!K6*'Output-Calculation-sheet'!K15</f>
        <v>2066.4674589858942</v>
      </c>
      <c r="L29" s="2">
        <f>L7/'Output-Calculation-sheet'!L6*'Output-Calculation-sheet'!L15</f>
        <v>1713.24891664391</v>
      </c>
      <c r="M29" s="2">
        <f>M7/'Output-Calculation-sheet'!M6*'Output-Calculation-sheet'!M15</f>
        <v>0</v>
      </c>
      <c r="N29" s="2">
        <f>N7/'Output-Calculation-sheet'!N6*'Output-Calculation-sheet'!N15</f>
        <v>971.5239269481051</v>
      </c>
      <c r="O29" s="2">
        <f>O7/'Output-Calculation-sheet'!O6*'Output-Calculation-sheet'!O15</f>
        <v>0</v>
      </c>
      <c r="P29" s="2">
        <f>P7/'Output-Calculation-sheet'!P6*'Output-Calculation-sheet'!P15</f>
        <v>1361.9272927686075</v>
      </c>
      <c r="Q29" s="2">
        <f>Q7/'Output-Calculation-sheet'!Q6*'Output-Calculation-sheet'!Q15</f>
        <v>1487.7109373751125</v>
      </c>
      <c r="R29" s="2">
        <f>R7/'Output-Calculation-sheet'!R6*'Output-Calculation-sheet'!R15</f>
        <v>1309.9762010223048</v>
      </c>
      <c r="S29" s="2">
        <f>S7/'Output-Calculation-sheet'!S6*'Output-Calculation-sheet'!S15</f>
        <v>749.00530659750882</v>
      </c>
      <c r="T29" s="2">
        <f>T7/'Output-Calculation-sheet'!T6*'Output-Calculation-sheet'!T15</f>
        <v>477.61714626322271</v>
      </c>
      <c r="U29" s="2">
        <f>U7/'Output-Calculation-sheet'!U6*'Output-Calculation-sheet'!U15</f>
        <v>366.98735498790091</v>
      </c>
      <c r="V29" s="2">
        <f>V7/'Output-Calculation-sheet'!V6*'Output-Calculation-sheet'!V15</f>
        <v>351.27159667851555</v>
      </c>
      <c r="W29" s="2">
        <f>W7/'Output-Calculation-sheet'!W6*'Output-Calculation-sheet'!W15</f>
        <v>244.60735484863318</v>
      </c>
      <c r="X29" s="2">
        <f>X7/'Output-Calculation-sheet'!X6*'Output-Calculation-sheet'!X15</f>
        <v>0</v>
      </c>
      <c r="Y29" s="2">
        <f>Y7/'Output-Calculation-sheet'!Y6*'Output-Calculation-sheet'!Y15</f>
        <v>161.11952483526542</v>
      </c>
      <c r="AA29" s="2">
        <f t="shared" si="1"/>
        <v>46.741419934530391</v>
      </c>
    </row>
    <row r="30" spans="1:27" x14ac:dyDescent="0.25">
      <c r="A30" s="2">
        <v>2031</v>
      </c>
      <c r="B30" s="2">
        <f>B8/'Output-Calculation-sheet'!B7*'Output-Calculation-sheet'!B16</f>
        <v>19704.81122019223</v>
      </c>
      <c r="C30" s="2">
        <f>C8/'Output-Calculation-sheet'!C7*'Output-Calculation-sheet'!C16</f>
        <v>0</v>
      </c>
      <c r="D30" s="2">
        <f>D8/'Output-Calculation-sheet'!D7*'Output-Calculation-sheet'!D16</f>
        <v>6151.1332405663261</v>
      </c>
      <c r="E30" s="2">
        <f>E8/'Output-Calculation-sheet'!E7*'Output-Calculation-sheet'!E16</f>
        <v>6362.3562372347778</v>
      </c>
      <c r="F30" s="2">
        <f>F8/'Output-Calculation-sheet'!F7*'Output-Calculation-sheet'!F16</f>
        <v>3564.4324556596107</v>
      </c>
      <c r="G30" s="2">
        <f>G8/'Output-Calculation-sheet'!G7*'Output-Calculation-sheet'!G16</f>
        <v>2149.7425373758861</v>
      </c>
      <c r="H30" s="2">
        <f>H8/'Output-Calculation-sheet'!H7*'Output-Calculation-sheet'!H16</f>
        <v>0</v>
      </c>
      <c r="I30" s="2">
        <f>I8/'Output-Calculation-sheet'!I7*'Output-Calculation-sheet'!I16</f>
        <v>2175.7780841904491</v>
      </c>
      <c r="J30" s="2">
        <f>J8/'Output-Calculation-sheet'!J7*'Output-Calculation-sheet'!J16</f>
        <v>1985.9535164722199</v>
      </c>
      <c r="K30" s="2">
        <f>K8/'Output-Calculation-sheet'!K7*'Output-Calculation-sheet'!K16</f>
        <v>2456.0847237207549</v>
      </c>
      <c r="L30" s="2">
        <f>L8/'Output-Calculation-sheet'!L7*'Output-Calculation-sheet'!L16</f>
        <v>2026.9114506977742</v>
      </c>
      <c r="M30" s="2">
        <f>M8/'Output-Calculation-sheet'!M7*'Output-Calculation-sheet'!M16</f>
        <v>0</v>
      </c>
      <c r="N30" s="2">
        <f>N8/'Output-Calculation-sheet'!N7*'Output-Calculation-sheet'!N16</f>
        <v>994.51582948248506</v>
      </c>
      <c r="O30" s="2">
        <f>O8/'Output-Calculation-sheet'!O7*'Output-Calculation-sheet'!O16</f>
        <v>0</v>
      </c>
      <c r="P30" s="2">
        <f>P8/'Output-Calculation-sheet'!P7*'Output-Calculation-sheet'!P16</f>
        <v>1615.5439037320116</v>
      </c>
      <c r="Q30" s="2">
        <f>Q8/'Output-Calculation-sheet'!Q7*'Output-Calculation-sheet'!Q16</f>
        <v>1771.9787486413034</v>
      </c>
      <c r="R30" s="2">
        <f>R8/'Output-Calculation-sheet'!R7*'Output-Calculation-sheet'!R16</f>
        <v>1552.4840341520842</v>
      </c>
      <c r="S30" s="2">
        <f>S8/'Output-Calculation-sheet'!S7*'Output-Calculation-sheet'!S16</f>
        <v>829.08426979017008</v>
      </c>
      <c r="T30" s="2">
        <f>T8/'Output-Calculation-sheet'!T7*'Output-Calculation-sheet'!T16</f>
        <v>566.37802480317828</v>
      </c>
      <c r="U30" s="2">
        <f>U8/'Output-Calculation-sheet'!U7*'Output-Calculation-sheet'!U16</f>
        <v>435.30184192061148</v>
      </c>
      <c r="V30" s="2">
        <f>V8/'Output-Calculation-sheet'!V7*'Output-Calculation-sheet'!V16</f>
        <v>416.83918564681295</v>
      </c>
      <c r="W30" s="2">
        <f>W8/'Output-Calculation-sheet'!W7*'Output-Calculation-sheet'!W16</f>
        <v>289.38464402176533</v>
      </c>
      <c r="X30" s="2">
        <f>X8/'Output-Calculation-sheet'!X7*'Output-Calculation-sheet'!X16</f>
        <v>0</v>
      </c>
      <c r="Y30" s="2">
        <f>Y8/'Output-Calculation-sheet'!Y7*'Output-Calculation-sheet'!Y16</f>
        <v>191.31407153889191</v>
      </c>
      <c r="AA30" s="2">
        <f t="shared" si="1"/>
        <v>55.240028019839343</v>
      </c>
    </row>
    <row r="31" spans="1:27" x14ac:dyDescent="0.25">
      <c r="A31" s="2">
        <v>2032</v>
      </c>
      <c r="B31" s="2">
        <f>B9/'Output-Calculation-sheet'!B8*'Output-Calculation-sheet'!B17</f>
        <v>21730.946292355879</v>
      </c>
      <c r="C31" s="2">
        <f>C9/'Output-Calculation-sheet'!C8*'Output-Calculation-sheet'!C17</f>
        <v>0</v>
      </c>
      <c r="D31" s="2">
        <f>D9/'Output-Calculation-sheet'!D8*'Output-Calculation-sheet'!D17</f>
        <v>6737.0506376592912</v>
      </c>
      <c r="E31" s="2">
        <f>E9/'Output-Calculation-sheet'!E8*'Output-Calculation-sheet'!E17</f>
        <v>6976.984222010391</v>
      </c>
      <c r="F31" s="2">
        <f>F9/'Output-Calculation-sheet'!F8*'Output-Calculation-sheet'!F17</f>
        <v>3897.7591819123386</v>
      </c>
      <c r="G31" s="2">
        <f>G9/'Output-Calculation-sheet'!G8*'Output-Calculation-sheet'!G17</f>
        <v>2349.724689432192</v>
      </c>
      <c r="H31" s="2">
        <f>H9/'Output-Calculation-sheet'!H8*'Output-Calculation-sheet'!H17</f>
        <v>0</v>
      </c>
      <c r="I31" s="2">
        <f>I9/'Output-Calculation-sheet'!I8*'Output-Calculation-sheet'!I17</f>
        <v>2382.3314048974521</v>
      </c>
      <c r="J31" s="2">
        <f>J9/'Output-Calculation-sheet'!J8*'Output-Calculation-sheet'!J17</f>
        <v>2172.8445704994224</v>
      </c>
      <c r="K31" s="2">
        <f>K9/'Output-Calculation-sheet'!K8*'Output-Calculation-sheet'!K17</f>
        <v>2691.4590148693046</v>
      </c>
      <c r="L31" s="2">
        <f>L9/'Output-Calculation-sheet'!L8*'Output-Calculation-sheet'!L17</f>
        <v>2221.7588046570709</v>
      </c>
      <c r="M31" s="2">
        <f>M9/'Output-Calculation-sheet'!M8*'Output-Calculation-sheet'!M17</f>
        <v>0</v>
      </c>
      <c r="N31" s="2">
        <f>N9/'Output-Calculation-sheet'!N8*'Output-Calculation-sheet'!N17</f>
        <v>982.77708952799571</v>
      </c>
      <c r="O31" s="2">
        <f>O9/'Output-Calculation-sheet'!O8*'Output-Calculation-sheet'!O17</f>
        <v>0</v>
      </c>
      <c r="P31" s="2">
        <f>P9/'Output-Calculation-sheet'!P8*'Output-Calculation-sheet'!P17</f>
        <v>1787.3370870437029</v>
      </c>
      <c r="Q31" s="2">
        <f>Q9/'Output-Calculation-sheet'!Q8*'Output-Calculation-sheet'!Q17</f>
        <v>1958.75265782011</v>
      </c>
      <c r="R31" s="2">
        <f>R9/'Output-Calculation-sheet'!R8*'Output-Calculation-sheet'!R17</f>
        <v>1700.7014024940534</v>
      </c>
      <c r="S31" s="2">
        <f>S9/'Output-Calculation-sheet'!S8*'Output-Calculation-sheet'!S17</f>
        <v>848.56520470414182</v>
      </c>
      <c r="T31" s="2">
        <f>T9/'Output-Calculation-sheet'!T8*'Output-Calculation-sheet'!T17</f>
        <v>619.75201950498104</v>
      </c>
      <c r="U31" s="2">
        <f>U9/'Output-Calculation-sheet'!U8*'Output-Calculation-sheet'!U17</f>
        <v>477.98290728765085</v>
      </c>
      <c r="V31" s="2">
        <f>V9/'Output-Calculation-sheet'!V8*'Output-Calculation-sheet'!V17</f>
        <v>458.04894258729161</v>
      </c>
      <c r="W31" s="2">
        <f>W9/'Output-Calculation-sheet'!W8*'Output-Calculation-sheet'!W17</f>
        <v>317.17898463400525</v>
      </c>
      <c r="X31" s="2">
        <f>X9/'Output-Calculation-sheet'!X8*'Output-Calculation-sheet'!X17</f>
        <v>0</v>
      </c>
      <c r="Y31" s="2">
        <f>Y9/'Output-Calculation-sheet'!Y8*'Output-Calculation-sheet'!Y17</f>
        <v>209.68674794624923</v>
      </c>
      <c r="AA31" s="2">
        <f t="shared" si="1"/>
        <v>60.521641861843534</v>
      </c>
    </row>
    <row r="32" spans="1:27" x14ac:dyDescent="0.25">
      <c r="A32" s="2">
        <v>2033</v>
      </c>
      <c r="B32" s="2">
        <f>B10/'Output-Calculation-sheet'!B9*'Output-Calculation-sheet'!B18</f>
        <v>20714.793292400569</v>
      </c>
      <c r="C32" s="2">
        <f>C10/'Output-Calculation-sheet'!C9*'Output-Calculation-sheet'!C18</f>
        <v>0</v>
      </c>
      <c r="D32" s="2">
        <f>D10/'Output-Calculation-sheet'!D9*'Output-Calculation-sheet'!D18</f>
        <v>6915.5143092070139</v>
      </c>
      <c r="E32" s="2">
        <f>E10/'Output-Calculation-sheet'!E9*'Output-Calculation-sheet'!E18</f>
        <v>7161.174579676489</v>
      </c>
      <c r="F32" s="2">
        <f>F10/'Output-Calculation-sheet'!F9*'Output-Calculation-sheet'!F18</f>
        <v>3999.9835634084684</v>
      </c>
      <c r="G32" s="2">
        <f>G10/'Output-Calculation-sheet'!G9*'Output-Calculation-sheet'!G18</f>
        <v>2412.4518170856059</v>
      </c>
      <c r="H32" s="2">
        <f>H10/'Output-Calculation-sheet'!H9*'Output-Calculation-sheet'!H18</f>
        <v>0</v>
      </c>
      <c r="I32" s="2">
        <f>I10/'Output-Calculation-sheet'!I9*'Output-Calculation-sheet'!I18</f>
        <v>2445.6439779379407</v>
      </c>
      <c r="J32" s="2">
        <f>J10/'Output-Calculation-sheet'!J9*'Output-Calculation-sheet'!J18</f>
        <v>2230.561596923234</v>
      </c>
      <c r="K32" s="2">
        <f>K10/'Output-Calculation-sheet'!K9*'Output-Calculation-sheet'!K18</f>
        <v>2769.2763116253495</v>
      </c>
      <c r="L32" s="2">
        <f>L10/'Output-Calculation-sheet'!L9*'Output-Calculation-sheet'!L18</f>
        <v>2282.2384677736186</v>
      </c>
      <c r="M32" s="2">
        <f>M10/'Output-Calculation-sheet'!M9*'Output-Calculation-sheet'!M18</f>
        <v>0</v>
      </c>
      <c r="N32" s="2">
        <f>N10/'Output-Calculation-sheet'!N9*'Output-Calculation-sheet'!N18</f>
        <v>903.34089734618226</v>
      </c>
      <c r="O32" s="2">
        <f>O10/'Output-Calculation-sheet'!O9*'Output-Calculation-sheet'!O18</f>
        <v>0</v>
      </c>
      <c r="P32" s="2">
        <f>P10/'Output-Calculation-sheet'!P9*'Output-Calculation-sheet'!P18</f>
        <v>1848.2693514549026</v>
      </c>
      <c r="Q32" s="2">
        <f>Q10/'Output-Calculation-sheet'!Q9*'Output-Calculation-sheet'!Q18</f>
        <v>2027.0606513818448</v>
      </c>
      <c r="R32" s="2">
        <f>R10/'Output-Calculation-sheet'!R9*'Output-Calculation-sheet'!R18</f>
        <v>1750.8790140567924</v>
      </c>
      <c r="S32" s="2">
        <f>S10/'Output-Calculation-sheet'!S9*'Output-Calculation-sheet'!S18</f>
        <v>814.97602244496079</v>
      </c>
      <c r="T32" s="2">
        <f>T10/'Output-Calculation-sheet'!T9*'Output-Calculation-sheet'!T18</f>
        <v>636.87686620685929</v>
      </c>
      <c r="U32" s="2">
        <f>U10/'Output-Calculation-sheet'!U9*'Output-Calculation-sheet'!U18</f>
        <v>491.1735346648465</v>
      </c>
      <c r="V32" s="2">
        <f>V10/'Output-Calculation-sheet'!V9*'Output-Calculation-sheet'!V18</f>
        <v>471.20053772965588</v>
      </c>
      <c r="W32" s="2">
        <f>W10/'Output-Calculation-sheet'!W9*'Output-Calculation-sheet'!W18</f>
        <v>325.13952343194154</v>
      </c>
      <c r="X32" s="2">
        <f>X10/'Output-Calculation-sheet'!X9*'Output-Calculation-sheet'!X18</f>
        <v>0</v>
      </c>
      <c r="Y32" s="2">
        <f>Y10/'Output-Calculation-sheet'!Y9*'Output-Calculation-sheet'!Y18</f>
        <v>215.58447927380701</v>
      </c>
      <c r="AA32" s="2">
        <f t="shared" si="1"/>
        <v>60.41613879403009</v>
      </c>
    </row>
    <row r="33" spans="1:27" x14ac:dyDescent="0.25">
      <c r="A33" s="2">
        <v>2034</v>
      </c>
      <c r="B33" s="2">
        <f>B11/'Output-Calculation-sheet'!B10*'Output-Calculation-sheet'!B19</f>
        <v>19035.426546821509</v>
      </c>
      <c r="C33" s="2">
        <f>C11/'Output-Calculation-sheet'!C10*'Output-Calculation-sheet'!C19</f>
        <v>0</v>
      </c>
      <c r="D33" s="2">
        <f>D11/'Output-Calculation-sheet'!D10*'Output-Calculation-sheet'!D19</f>
        <v>6730.5420370147003</v>
      </c>
      <c r="E33" s="2">
        <f>E11/'Output-Calculation-sheet'!E10*'Output-Calculation-sheet'!E19</f>
        <v>6986.0614965792347</v>
      </c>
      <c r="F33" s="2">
        <f>F11/'Output-Calculation-sheet'!F10*'Output-Calculation-sheet'!F19</f>
        <v>3894.9857374637877</v>
      </c>
      <c r="G33" s="2">
        <f>G11/'Output-Calculation-sheet'!G10*'Output-Calculation-sheet'!G19</f>
        <v>2345.4447496788675</v>
      </c>
      <c r="H33" s="2">
        <f>H11/'Output-Calculation-sheet'!H10*'Output-Calculation-sheet'!H19</f>
        <v>0</v>
      </c>
      <c r="I33" s="2">
        <f>I11/'Output-Calculation-sheet'!I10*'Output-Calculation-sheet'!I19</f>
        <v>2388.8379071042514</v>
      </c>
      <c r="J33" s="2">
        <f>J11/'Output-Calculation-sheet'!J10*'Output-Calculation-sheet'!J19</f>
        <v>2171.0476934980516</v>
      </c>
      <c r="K33" s="2">
        <f>K11/'Output-Calculation-sheet'!K10*'Output-Calculation-sheet'!K19</f>
        <v>2704.1839260955749</v>
      </c>
      <c r="L33" s="2">
        <f>L11/'Output-Calculation-sheet'!L10*'Output-Calculation-sheet'!L19</f>
        <v>2224.1551560906728</v>
      </c>
      <c r="M33" s="2">
        <f>M11/'Output-Calculation-sheet'!M10*'Output-Calculation-sheet'!M19</f>
        <v>0</v>
      </c>
      <c r="N33" s="2">
        <f>N11/'Output-Calculation-sheet'!N10*'Output-Calculation-sheet'!N19</f>
        <v>824.22926335805857</v>
      </c>
      <c r="O33" s="2">
        <f>O11/'Output-Calculation-sheet'!O10*'Output-Calculation-sheet'!O19</f>
        <v>0</v>
      </c>
      <c r="P33" s="2">
        <f>P11/'Output-Calculation-sheet'!P10*'Output-Calculation-sheet'!P19</f>
        <v>1812.8912278127218</v>
      </c>
      <c r="Q33" s="2">
        <f>Q11/'Output-Calculation-sheet'!Q10*'Output-Calculation-sheet'!Q19</f>
        <v>1991.6468151938661</v>
      </c>
      <c r="R33" s="2">
        <f>R11/'Output-Calculation-sheet'!R10*'Output-Calculation-sheet'!R19</f>
        <v>1709.1578275961785</v>
      </c>
      <c r="S33" s="2">
        <f>S11/'Output-Calculation-sheet'!S10*'Output-Calculation-sheet'!S19</f>
        <v>788.28938373600784</v>
      </c>
      <c r="T33" s="2">
        <f>T11/'Output-Calculation-sheet'!T10*'Output-Calculation-sheet'!T19</f>
        <v>621.12182991560098</v>
      </c>
      <c r="U33" s="2">
        <f>U11/'Output-Calculation-sheet'!U10*'Output-Calculation-sheet'!U19</f>
        <v>480.64238083261739</v>
      </c>
      <c r="V33" s="2">
        <f>V11/'Output-Calculation-sheet'!V10*'Output-Calculation-sheet'!V19</f>
        <v>460.77549031799032</v>
      </c>
      <c r="W33" s="2">
        <f>W11/'Output-Calculation-sheet'!W10*'Output-Calculation-sheet'!W19</f>
        <v>316.57071585504428</v>
      </c>
      <c r="X33" s="2">
        <f>X11/'Output-Calculation-sheet'!X10*'Output-Calculation-sheet'!X19</f>
        <v>0</v>
      </c>
      <c r="Y33" s="2">
        <f>Y11/'Output-Calculation-sheet'!Y10*'Output-Calculation-sheet'!Y19</f>
        <v>210.19078375257195</v>
      </c>
      <c r="AA33" s="2">
        <f t="shared" si="1"/>
        <v>57.696200968717321</v>
      </c>
    </row>
    <row r="34" spans="1:27" x14ac:dyDescent="0.25">
      <c r="A34" s="2">
        <v>2035</v>
      </c>
      <c r="B34" s="2">
        <f>B12/'Output-Calculation-sheet'!B11*'Output-Calculation-sheet'!B20</f>
        <v>16994.80094967577</v>
      </c>
      <c r="C34" s="2">
        <f>C12/'Output-Calculation-sheet'!C11*'Output-Calculation-sheet'!C20</f>
        <v>0</v>
      </c>
      <c r="D34" s="2">
        <f>D12/'Output-Calculation-sheet'!D11*'Output-Calculation-sheet'!D20</f>
        <v>6285.2136773408065</v>
      </c>
      <c r="E34" s="2">
        <f>E12/'Output-Calculation-sheet'!E11*'Output-Calculation-sheet'!E20</f>
        <v>6521.1468433025311</v>
      </c>
      <c r="F34" s="2">
        <f>F12/'Output-Calculation-sheet'!F11*'Output-Calculation-sheet'!F20</f>
        <v>3630.4511962322476</v>
      </c>
      <c r="G34" s="2">
        <f>G12/'Output-Calculation-sheet'!G11*'Output-Calculation-sheet'!G20</f>
        <v>2181.3326453692152</v>
      </c>
      <c r="H34" s="2">
        <f>H12/'Output-Calculation-sheet'!H11*'Output-Calculation-sheet'!H20</f>
        <v>0</v>
      </c>
      <c r="I34" s="2">
        <f>I12/'Output-Calculation-sheet'!I11*'Output-Calculation-sheet'!I20</f>
        <v>2227.9935677527087</v>
      </c>
      <c r="J34" s="2">
        <f>J12/'Output-Calculation-sheet'!J11*'Output-Calculation-sheet'!J20</f>
        <v>2017.8361476872419</v>
      </c>
      <c r="K34" s="2">
        <f>K12/'Output-Calculation-sheet'!K11*'Output-Calculation-sheet'!K20</f>
        <v>2524.1982733507093</v>
      </c>
      <c r="L34" s="2">
        <f>L12/'Output-Calculation-sheet'!L11*'Output-Calculation-sheet'!L20</f>
        <v>2072.5269340417767</v>
      </c>
      <c r="M34" s="2">
        <f>M12/'Output-Calculation-sheet'!M11*'Output-Calculation-sheet'!M20</f>
        <v>0</v>
      </c>
      <c r="N34" s="2">
        <f>N12/'Output-Calculation-sheet'!N11*'Output-Calculation-sheet'!N20</f>
        <v>729.13923849987793</v>
      </c>
      <c r="O34" s="2">
        <f>O12/'Output-Calculation-sheet'!O11*'Output-Calculation-sheet'!O20</f>
        <v>0</v>
      </c>
      <c r="P34" s="2">
        <f>P12/'Output-Calculation-sheet'!P11*'Output-Calculation-sheet'!P20</f>
        <v>1701.8528714716031</v>
      </c>
      <c r="Q34" s="2">
        <f>Q12/'Output-Calculation-sheet'!Q11*'Output-Calculation-sheet'!Q20</f>
        <v>1866.1467572442634</v>
      </c>
      <c r="R34" s="2">
        <f>R12/'Output-Calculation-sheet'!R11*'Output-Calculation-sheet'!R20</f>
        <v>1600.2355595294723</v>
      </c>
      <c r="S34" s="2">
        <f>S12/'Output-Calculation-sheet'!S11*'Output-Calculation-sheet'!S20</f>
        <v>688.17496323915918</v>
      </c>
      <c r="T34" s="2">
        <f>T12/'Output-Calculation-sheet'!T11*'Output-Calculation-sheet'!T20</f>
        <v>579.22689477191693</v>
      </c>
      <c r="U34" s="2">
        <f>U12/'Output-Calculation-sheet'!U11*'Output-Calculation-sheet'!U20</f>
        <v>449.29404299517199</v>
      </c>
      <c r="V34" s="2">
        <f>V12/'Output-Calculation-sheet'!V11*'Output-Calculation-sheet'!V20</f>
        <v>431.4897458123765</v>
      </c>
      <c r="W34" s="2">
        <f>W12/'Output-Calculation-sheet'!W11*'Output-Calculation-sheet'!W20</f>
        <v>294.85222794746358</v>
      </c>
      <c r="X34" s="2">
        <f>X12/'Output-Calculation-sheet'!X11*'Output-Calculation-sheet'!X20</f>
        <v>0</v>
      </c>
      <c r="Y34" s="2">
        <f>Y12/'Output-Calculation-sheet'!Y11*'Output-Calculation-sheet'!Y20</f>
        <v>196.28332887058207</v>
      </c>
      <c r="AA34" s="2">
        <f t="shared" si="1"/>
        <v>52.992195865134896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3.0060100137761712</v>
      </c>
      <c r="C60" s="2">
        <f>C5*'Output-Calculation-sheet'!C49/10^9</f>
        <v>1.4212243978640822</v>
      </c>
      <c r="D60" s="2">
        <f>D5*'Output-Calculation-sheet'!D49/10^9</f>
        <v>0.66302434956235889</v>
      </c>
      <c r="E60" s="2">
        <f>E5*'Output-Calculation-sheet'!E49/10^9</f>
        <v>0.73632194821515551</v>
      </c>
      <c r="F60" s="2">
        <f>F5*'Output-Calculation-sheet'!F49/10^9</f>
        <v>0.34183244001444207</v>
      </c>
      <c r="G60" s="2">
        <f>G5*'Output-Calculation-sheet'!G49/10^9</f>
        <v>0.23545133291989423</v>
      </c>
      <c r="H60" s="2">
        <f>H5*'Output-Calculation-sheet'!H49/10^9</f>
        <v>0.44341104576312135</v>
      </c>
      <c r="I60" s="2">
        <f>I5*'Output-Calculation-sheet'!I49/10^9</f>
        <v>0.23244510856491585</v>
      </c>
      <c r="J60" s="2">
        <f>J5*'Output-Calculation-sheet'!J49/10^9</f>
        <v>0.20990640795155396</v>
      </c>
      <c r="K60" s="2">
        <f>K5*'Output-Calculation-sheet'!K49/10^9</f>
        <v>0.27057590198789888</v>
      </c>
      <c r="L60" s="2">
        <f>L5*'Output-Calculation-sheet'!L49/10^9</f>
        <v>0.22352872589046338</v>
      </c>
      <c r="M60" s="2">
        <f>M5*'Output-Calculation-sheet'!M49/10^9</f>
        <v>0.30591492868909198</v>
      </c>
      <c r="N60" s="2">
        <f>N5*'Output-Calculation-sheet'!N49/10^9</f>
        <v>0.31973718599438178</v>
      </c>
      <c r="O60" s="2">
        <f>O5*'Output-Calculation-sheet'!O49/10^9</f>
        <v>0.27614511467731345</v>
      </c>
      <c r="P60" s="2">
        <f>P5*'Output-Calculation-sheet'!P49/10^9</f>
        <v>0.23577878328658511</v>
      </c>
      <c r="Q60" s="2">
        <f>Q5*'Output-Calculation-sheet'!Q49/10^9</f>
        <v>0.24339250005258106</v>
      </c>
      <c r="R60" s="2">
        <f>R5*'Output-Calculation-sheet'!R49/10^9</f>
        <v>0.19506400726475606</v>
      </c>
      <c r="S60" s="2">
        <f>S5*'Output-Calculation-sheet'!S49/10^9</f>
        <v>0.17894048649759606</v>
      </c>
      <c r="T60" s="2">
        <f>T5*'Output-Calculation-sheet'!T49/10^9</f>
        <v>6.1199005265985831E-2</v>
      </c>
      <c r="U60" s="2">
        <f>U5*'Output-Calculation-sheet'!U49/10^9</f>
        <v>6.1157223242074898E-2</v>
      </c>
      <c r="V60" s="2">
        <f>V5*'Output-Calculation-sheet'!V49/10^9</f>
        <v>4.5795211674809592E-2</v>
      </c>
      <c r="W60" s="2">
        <f>W5*'Output-Calculation-sheet'!W49/10^9</f>
        <v>2.8713763581913399E-2</v>
      </c>
      <c r="X60" s="2">
        <f>X5*'Output-Calculation-sheet'!X49/10^9</f>
        <v>3.6143545706913818E-2</v>
      </c>
      <c r="Y60" s="2">
        <f>Y5*'Output-Calculation-sheet'!Y49/10^9</f>
        <v>2.3890595406720935E-2</v>
      </c>
      <c r="AA60" s="2">
        <f t="shared" ref="AA60:AA67" si="4">SUM(B60:Y60)</f>
        <v>9.79560402385078</v>
      </c>
    </row>
    <row r="61" spans="1:27" x14ac:dyDescent="0.25">
      <c r="A61" s="2">
        <v>2029</v>
      </c>
      <c r="B61" s="2">
        <f>B6*'Output-Calculation-sheet'!B50/10^9</f>
        <v>4.1574906383255188</v>
      </c>
      <c r="C61" s="2">
        <f>C6*'Output-Calculation-sheet'!C50/10^9</f>
        <v>1.9793042382945278</v>
      </c>
      <c r="D61" s="2">
        <f>D6*'Output-Calculation-sheet'!D50/10^9</f>
        <v>0.91410544082879996</v>
      </c>
      <c r="E61" s="2">
        <f>E6*'Output-Calculation-sheet'!E50/10^9</f>
        <v>1.0159646282404968</v>
      </c>
      <c r="F61" s="2">
        <f>F6*'Output-Calculation-sheet'!F50/10^9</f>
        <v>0.47069186001195856</v>
      </c>
      <c r="G61" s="2">
        <f>G6*'Output-Calculation-sheet'!G50/10^9</f>
        <v>0.32465289573759615</v>
      </c>
      <c r="H61" s="2">
        <f>H6*'Output-Calculation-sheet'!H50/10^9</f>
        <v>0.6135459540727739</v>
      </c>
      <c r="I61" s="2">
        <f>I6*'Output-Calculation-sheet'!I50/10^9</f>
        <v>0.32046032210889397</v>
      </c>
      <c r="J61" s="2">
        <f>J6*'Output-Calculation-sheet'!J50/10^9</f>
        <v>0.28933705547889588</v>
      </c>
      <c r="K61" s="2">
        <f>K6*'Output-Calculation-sheet'!K50/10^9</f>
        <v>0.37316510714666096</v>
      </c>
      <c r="L61" s="2">
        <f>L6*'Output-Calculation-sheet'!L50/10^9</f>
        <v>0.30827540981472162</v>
      </c>
      <c r="M61" s="2">
        <f>M6*'Output-Calculation-sheet'!M50/10^9</f>
        <v>0.4238528592022317</v>
      </c>
      <c r="N61" s="2">
        <f>N6*'Output-Calculation-sheet'!N50/10^9</f>
        <v>0.4421779470167016</v>
      </c>
      <c r="O61" s="2">
        <f>O6*'Output-Calculation-sheet'!O50/10^9</f>
        <v>0.38458050444853559</v>
      </c>
      <c r="P61" s="2">
        <f>P6*'Output-Calculation-sheet'!P50/10^9</f>
        <v>0.32597901717145639</v>
      </c>
      <c r="Q61" s="2">
        <f>Q6*'Output-Calculation-sheet'!Q50/10^9</f>
        <v>0.336386683799411</v>
      </c>
      <c r="R61" s="2">
        <f>R6*'Output-Calculation-sheet'!R50/10^9</f>
        <v>0.26934955662443572</v>
      </c>
      <c r="S61" s="2">
        <f>S6*'Output-Calculation-sheet'!S50/10^9</f>
        <v>0.24780508547046071</v>
      </c>
      <c r="T61" s="2">
        <f>T6*'Output-Calculation-sheet'!T50/10^9</f>
        <v>8.4382792647610796E-2</v>
      </c>
      <c r="U61" s="2">
        <f>U6*'Output-Calculation-sheet'!U50/10^9</f>
        <v>8.4523629867882644E-2</v>
      </c>
      <c r="V61" s="2">
        <f>V6*'Output-Calculation-sheet'!V50/10^9</f>
        <v>6.3157805943707082E-2</v>
      </c>
      <c r="W61" s="2">
        <f>W6*'Output-Calculation-sheet'!W50/10^9</f>
        <v>3.9554852242881564E-2</v>
      </c>
      <c r="X61" s="2">
        <f>X6*'Output-Calculation-sheet'!X50/10^9</f>
        <v>5.0302010066648833E-2</v>
      </c>
      <c r="Y61" s="2">
        <f>Y6*'Output-Calculation-sheet'!Y50/10^9</f>
        <v>3.2986822304259922E-2</v>
      </c>
      <c r="AA61" s="2">
        <f t="shared" si="4"/>
        <v>13.552033116867067</v>
      </c>
    </row>
    <row r="62" spans="1:27" x14ac:dyDescent="0.25">
      <c r="A62" s="2">
        <v>2030</v>
      </c>
      <c r="B62" s="2">
        <f>B7*'Output-Calculation-sheet'!B51/10^9</f>
        <v>5.2363852698385802</v>
      </c>
      <c r="C62" s="2">
        <f>C7*'Output-Calculation-sheet'!C51/10^9</f>
        <v>2.5107953431126679</v>
      </c>
      <c r="D62" s="2">
        <f>D7*'Output-Calculation-sheet'!D51/10^9</f>
        <v>1.1477123874586215</v>
      </c>
      <c r="E62" s="2">
        <f>E7*'Output-Calculation-sheet'!E51/10^9</f>
        <v>1.2765701129862965</v>
      </c>
      <c r="F62" s="2">
        <f>F7*'Output-Calculation-sheet'!F51/10^9</f>
        <v>0.59022230560172029</v>
      </c>
      <c r="G62" s="2">
        <f>G7*'Output-Calculation-sheet'!G51/10^9</f>
        <v>0.40767492276770367</v>
      </c>
      <c r="H62" s="2">
        <f>H7*'Output-Calculation-sheet'!H51/10^9</f>
        <v>0.77177989645846179</v>
      </c>
      <c r="I62" s="2">
        <f>I7*'Output-Calculation-sheet'!I51/10^9</f>
        <v>0.40233240717884367</v>
      </c>
      <c r="J62" s="2">
        <f>J7*'Output-Calculation-sheet'!J51/10^9</f>
        <v>0.36320326501551942</v>
      </c>
      <c r="K62" s="2">
        <f>K7*'Output-Calculation-sheet'!K51/10^9</f>
        <v>0.46866829305403573</v>
      </c>
      <c r="L62" s="2">
        <f>L7*'Output-Calculation-sheet'!L51/10^9</f>
        <v>0.38716382242139352</v>
      </c>
      <c r="M62" s="2">
        <f>M7*'Output-Calculation-sheet'!M51/10^9</f>
        <v>0.53317270787262949</v>
      </c>
      <c r="N62" s="2">
        <f>N7*'Output-Calculation-sheet'!N51/10^9</f>
        <v>0.5563167087305495</v>
      </c>
      <c r="O62" s="2">
        <f>O7*'Output-Calculation-sheet'!O51/10^9</f>
        <v>0.48784968017514974</v>
      </c>
      <c r="P62" s="2">
        <f>P7*'Output-Calculation-sheet'!P51/10^9</f>
        <v>0.41042730938946942</v>
      </c>
      <c r="Q62" s="2">
        <f>Q7*'Output-Calculation-sheet'!Q51/10^9</f>
        <v>0.42335188570084159</v>
      </c>
      <c r="R62" s="2">
        <f>R7*'Output-Calculation-sheet'!R51/10^9</f>
        <v>0.33870217906158329</v>
      </c>
      <c r="S62" s="2">
        <f>S7*'Output-Calculation-sheet'!S51/10^9</f>
        <v>0.31236743854143306</v>
      </c>
      <c r="T62" s="2">
        <f>T7*'Output-Calculation-sheet'!T51/10^9</f>
        <v>0.10595529737545947</v>
      </c>
      <c r="U62" s="2">
        <f>U7*'Output-Calculation-sheet'!U51/10^9</f>
        <v>0.10638579957255417</v>
      </c>
      <c r="V62" s="2">
        <f>V7*'Output-Calculation-sheet'!V51/10^9</f>
        <v>7.9318377965394843E-2</v>
      </c>
      <c r="W62" s="2">
        <f>W7*'Output-Calculation-sheet'!W51/10^9</f>
        <v>4.9619304073846966E-2</v>
      </c>
      <c r="X62" s="2">
        <f>X7*'Output-Calculation-sheet'!X51/10^9</f>
        <v>6.3341017813370981E-2</v>
      </c>
      <c r="Y62" s="2">
        <f>Y7*'Output-Calculation-sheet'!Y51/10^9</f>
        <v>4.1478545875218015E-2</v>
      </c>
      <c r="AA62" s="2">
        <f t="shared" si="4"/>
        <v>17.070794278041344</v>
      </c>
    </row>
    <row r="63" spans="1:27" x14ac:dyDescent="0.25">
      <c r="A63" s="2">
        <v>2031</v>
      </c>
      <c r="B63" s="2">
        <f>B8*'Output-Calculation-sheet'!B52/10^9</f>
        <v>6.1449963233861844</v>
      </c>
      <c r="C63" s="2">
        <f>C8*'Output-Calculation-sheet'!C52/10^9</f>
        <v>2.9568396226653455</v>
      </c>
      <c r="D63" s="2">
        <f>D8*'Output-Calculation-sheet'!D52/10^9</f>
        <v>1.3448205927153458</v>
      </c>
      <c r="E63" s="2">
        <f>E8*'Output-Calculation-sheet'!E52/10^9</f>
        <v>1.4963473077686076</v>
      </c>
      <c r="F63" s="2">
        <f>F8*'Output-Calculation-sheet'!F52/10^9</f>
        <v>0.69115010567793711</v>
      </c>
      <c r="G63" s="2">
        <f>G8*'Output-Calculation-sheet'!G52/10^9</f>
        <v>0.47772713169828412</v>
      </c>
      <c r="H63" s="2">
        <f>H8*'Output-Calculation-sheet'!H52/10^9</f>
        <v>0.90082524173431289</v>
      </c>
      <c r="I63" s="2">
        <f>I8*'Output-Calculation-sheet'!I52/10^9</f>
        <v>0.47141215030365313</v>
      </c>
      <c r="J63" s="2">
        <f>J8*'Output-Calculation-sheet'!J52/10^9</f>
        <v>0.42553687556563063</v>
      </c>
      <c r="K63" s="2">
        <f>K8*'Output-Calculation-sheet'!K52/10^9</f>
        <v>0.54922690556087106</v>
      </c>
      <c r="L63" s="2">
        <f>L8*'Output-Calculation-sheet'!L52/10^9</f>
        <v>0.45371117598505456</v>
      </c>
      <c r="M63" s="2">
        <f>M8*'Output-Calculation-sheet'!M52/10^9</f>
        <v>0.62236493751438371</v>
      </c>
      <c r="N63" s="2">
        <f>N8*'Output-Calculation-sheet'!N52/10^9</f>
        <v>0.65049429247688162</v>
      </c>
      <c r="O63" s="2">
        <f>O8*'Output-Calculation-sheet'!O52/10^9</f>
        <v>0.57451646475424001</v>
      </c>
      <c r="P63" s="2">
        <f>P8*'Output-Calculation-sheet'!P52/10^9</f>
        <v>0.48156234619751953</v>
      </c>
      <c r="Q63" s="2">
        <f>Q8*'Output-Calculation-sheet'!Q52/10^9</f>
        <v>0.49661442283742729</v>
      </c>
      <c r="R63" s="2">
        <f>R8*'Output-Calculation-sheet'!R52/10^9</f>
        <v>0.39716258427104789</v>
      </c>
      <c r="S63" s="2">
        <f>S8*'Output-Calculation-sheet'!S52/10^9</f>
        <v>0.36611556889573593</v>
      </c>
      <c r="T63" s="2">
        <f>T8*'Output-Calculation-sheet'!T52/10^9</f>
        <v>0.124154841665226</v>
      </c>
      <c r="U63" s="2">
        <f>U8*'Output-Calculation-sheet'!U52/10^9</f>
        <v>0.12480630916376698</v>
      </c>
      <c r="V63" s="2">
        <f>V8*'Output-Calculation-sheet'!V52/10^9</f>
        <v>9.2950831866715267E-2</v>
      </c>
      <c r="W63" s="2">
        <f>W8*'Output-Calculation-sheet'!W52/10^9</f>
        <v>5.811517830141269E-2</v>
      </c>
      <c r="X63" s="2">
        <f>X8*'Output-Calculation-sheet'!X52/10^9</f>
        <v>7.4010411060402667E-2</v>
      </c>
      <c r="Y63" s="2">
        <f>Y8*'Output-Calculation-sheet'!Y52/10^9</f>
        <v>4.8636775649572063E-2</v>
      </c>
      <c r="AA63" s="2">
        <f t="shared" si="4"/>
        <v>20.024098397715566</v>
      </c>
    </row>
    <row r="64" spans="1:27" x14ac:dyDescent="0.25">
      <c r="A64" s="2">
        <v>2032</v>
      </c>
      <c r="B64" s="2">
        <f>B9*'Output-Calculation-sheet'!B53/10^9</f>
        <v>6.6702976472448743</v>
      </c>
      <c r="C64" s="2">
        <f>C9*'Output-Calculation-sheet'!C53/10^9</f>
        <v>3.2210818733110504</v>
      </c>
      <c r="D64" s="2">
        <f>D9*'Output-Calculation-sheet'!D53/10^9</f>
        <v>1.4575745129799531</v>
      </c>
      <c r="E64" s="2">
        <f>E9*'Output-Calculation-sheet'!E53/10^9</f>
        <v>1.6223881410893128</v>
      </c>
      <c r="F64" s="2">
        <f>F9*'Output-Calculation-sheet'!F53/10^9</f>
        <v>0.74861701773951661</v>
      </c>
      <c r="G64" s="2">
        <f>G9*'Output-Calculation-sheet'!G53/10^9</f>
        <v>0.51782846961517215</v>
      </c>
      <c r="H64" s="2">
        <f>H9*'Output-Calculation-sheet'!H53/10^9</f>
        <v>0.97225313218852571</v>
      </c>
      <c r="I64" s="2">
        <f>I9*'Output-Calculation-sheet'!I53/10^9</f>
        <v>0.51091513845510139</v>
      </c>
      <c r="J64" s="2">
        <f>J9*'Output-Calculation-sheet'!J53/10^9</f>
        <v>0.46116887055248618</v>
      </c>
      <c r="K64" s="2">
        <f>K9*'Output-Calculation-sheet'!K53/10^9</f>
        <v>0.59534641397093124</v>
      </c>
      <c r="L64" s="2">
        <f>L9*'Output-Calculation-sheet'!L53/10^9</f>
        <v>0.49181127419861748</v>
      </c>
      <c r="M64" s="2">
        <f>M9*'Output-Calculation-sheet'!M53/10^9</f>
        <v>0.67174606676715076</v>
      </c>
      <c r="N64" s="2">
        <f>N9*'Output-Calculation-sheet'!N53/10^9</f>
        <v>0.70300995085543916</v>
      </c>
      <c r="O64" s="2">
        <f>O9*'Output-Calculation-sheet'!O53/10^9</f>
        <v>0.62585895980063322</v>
      </c>
      <c r="P64" s="2">
        <f>P9*'Output-Calculation-sheet'!P53/10^9</f>
        <v>0.52263656050030061</v>
      </c>
      <c r="Q64" s="2">
        <f>Q9*'Output-Calculation-sheet'!Q53/10^9</f>
        <v>0.53884547577173747</v>
      </c>
      <c r="R64" s="2">
        <f>R9*'Output-Calculation-sheet'!R53/10^9</f>
        <v>0.43078236672835785</v>
      </c>
      <c r="S64" s="2">
        <f>S9*'Output-Calculation-sheet'!S53/10^9</f>
        <v>0.39644244481631352</v>
      </c>
      <c r="T64" s="2">
        <f>T9*'Output-Calculation-sheet'!T53/10^9</f>
        <v>0.13456710558539101</v>
      </c>
      <c r="U64" s="2">
        <f>U9*'Output-Calculation-sheet'!U53/10^9</f>
        <v>0.13543414438889445</v>
      </c>
      <c r="V64" s="2">
        <f>V9*'Output-Calculation-sheet'!V53/10^9</f>
        <v>0.10075388442166172</v>
      </c>
      <c r="W64" s="2">
        <f>W9*'Output-Calculation-sheet'!W53/10^9</f>
        <v>6.2959591477469642E-2</v>
      </c>
      <c r="X64" s="2">
        <f>X9*'Output-Calculation-sheet'!X53/10^9</f>
        <v>7.9959781346621281E-2</v>
      </c>
      <c r="Y64" s="2">
        <f>Y9*'Output-Calculation-sheet'!Y53/10^9</f>
        <v>5.2752264242862078E-2</v>
      </c>
      <c r="AA64" s="2">
        <f t="shared" si="4"/>
        <v>21.725031088048368</v>
      </c>
    </row>
    <row r="65" spans="1:27" x14ac:dyDescent="0.25">
      <c r="A65" s="2">
        <v>2033</v>
      </c>
      <c r="B65" s="2">
        <f>B10*'Output-Calculation-sheet'!B54/10^9</f>
        <v>6.7821473253434759</v>
      </c>
      <c r="C65" s="2">
        <f>C10*'Output-Calculation-sheet'!C54/10^9</f>
        <v>3.2831703930071594</v>
      </c>
      <c r="D65" s="2">
        <f>D10*'Output-Calculation-sheet'!D54/10^9</f>
        <v>1.4813047392625278</v>
      </c>
      <c r="E65" s="2">
        <f>E10*'Output-Calculation-sheet'!E54/10^9</f>
        <v>1.6493936023916898</v>
      </c>
      <c r="F65" s="2">
        <f>F10*'Output-Calculation-sheet'!F54/10^9</f>
        <v>0.76031090658447253</v>
      </c>
      <c r="G65" s="2">
        <f>G10*'Output-Calculation-sheet'!G54/10^9</f>
        <v>0.52630922445056605</v>
      </c>
      <c r="H65" s="2">
        <f>H10*'Output-Calculation-sheet'!H54/10^9</f>
        <v>0.98360380804751302</v>
      </c>
      <c r="I65" s="2">
        <f>I10*'Output-Calculation-sheet'!I54/10^9</f>
        <v>0.51921076422686141</v>
      </c>
      <c r="J65" s="2">
        <f>J10*'Output-Calculation-sheet'!J54/10^9</f>
        <v>0.46862958868697868</v>
      </c>
      <c r="K65" s="2">
        <f>K10*'Output-Calculation-sheet'!K54/10^9</f>
        <v>0.60510443155091564</v>
      </c>
      <c r="L65" s="2">
        <f>L10*'Output-Calculation-sheet'!L54/10^9</f>
        <v>0.49987589406721256</v>
      </c>
      <c r="M65" s="2">
        <f>M10*'Output-Calculation-sheet'!M54/10^9</f>
        <v>0.67961802641210867</v>
      </c>
      <c r="N65" s="2">
        <f>N10*'Output-Calculation-sheet'!N54/10^9</f>
        <v>0.71200161185594391</v>
      </c>
      <c r="O65" s="2">
        <f>O10*'Output-Calculation-sheet'!O54/10^9</f>
        <v>0.63932090348485682</v>
      </c>
      <c r="P65" s="2">
        <f>P10*'Output-Calculation-sheet'!P54/10^9</f>
        <v>0.53184975803482182</v>
      </c>
      <c r="Q65" s="2">
        <f>Q10*'Output-Calculation-sheet'!Q54/10^9</f>
        <v>0.54821119286228304</v>
      </c>
      <c r="R65" s="2">
        <f>R10*'Output-Calculation-sheet'!R54/10^9</f>
        <v>0.43812061057826129</v>
      </c>
      <c r="S65" s="2">
        <f>S10*'Output-Calculation-sheet'!S54/10^9</f>
        <v>0.40216402895223374</v>
      </c>
      <c r="T65" s="2">
        <f>T10*'Output-Calculation-sheet'!T54/10^9</f>
        <v>0.13675972280108359</v>
      </c>
      <c r="U65" s="2">
        <f>U10*'Output-Calculation-sheet'!U54/10^9</f>
        <v>0.13780613350390927</v>
      </c>
      <c r="V65" s="2">
        <f>V10*'Output-Calculation-sheet'!V54/10^9</f>
        <v>0.10240234436424726</v>
      </c>
      <c r="W65" s="2">
        <f>W10*'Output-Calculation-sheet'!W54/10^9</f>
        <v>6.3955286861253111E-2</v>
      </c>
      <c r="X65" s="2">
        <f>X10*'Output-Calculation-sheet'!X54/10^9</f>
        <v>8.0971932593560558E-2</v>
      </c>
      <c r="Y65" s="2">
        <f>Y10*'Output-Calculation-sheet'!Y54/10^9</f>
        <v>5.3649572911869399E-2</v>
      </c>
      <c r="AA65" s="2">
        <f t="shared" si="4"/>
        <v>22.085891802835807</v>
      </c>
    </row>
    <row r="66" spans="1:27" x14ac:dyDescent="0.25">
      <c r="A66" s="2">
        <v>2034</v>
      </c>
      <c r="B66" s="2">
        <f>B11*'Output-Calculation-sheet'!B55/10^9</f>
        <v>6.535896868775402</v>
      </c>
      <c r="C66" s="2">
        <f>C11*'Output-Calculation-sheet'!C55/10^9</f>
        <v>3.1577935774501307</v>
      </c>
      <c r="D66" s="2">
        <f>D11*'Output-Calculation-sheet'!D55/10^9</f>
        <v>1.4290890543095116</v>
      </c>
      <c r="E66" s="2">
        <f>E11*'Output-Calculation-sheet'!E55/10^9</f>
        <v>1.5918225585220136</v>
      </c>
      <c r="F66" s="2">
        <f>F11*'Output-Calculation-sheet'!F55/10^9</f>
        <v>0.73302523060298397</v>
      </c>
      <c r="G66" s="2">
        <f>G11*'Output-Calculation-sheet'!G55/10^9</f>
        <v>0.50780545089123119</v>
      </c>
      <c r="H66" s="2">
        <f>H11*'Output-Calculation-sheet'!H55/10^9</f>
        <v>0.94429265370587978</v>
      </c>
      <c r="I66" s="2">
        <f>I11*'Output-Calculation-sheet'!I55/10^9</f>
        <v>0.50088162025863137</v>
      </c>
      <c r="J66" s="2">
        <f>J11*'Output-Calculation-sheet'!J55/10^9</f>
        <v>0.4520652483406053</v>
      </c>
      <c r="K66" s="2">
        <f>K11*'Output-Calculation-sheet'!K55/10^9</f>
        <v>0.58382892133054221</v>
      </c>
      <c r="L66" s="2">
        <f>L11*'Output-Calculation-sheet'!L55/10^9</f>
        <v>0.48230771638374748</v>
      </c>
      <c r="M66" s="2">
        <f>M11*'Output-Calculation-sheet'!M55/10^9</f>
        <v>0.65248434447626991</v>
      </c>
      <c r="N66" s="2">
        <f>N11*'Output-Calculation-sheet'!N55/10^9</f>
        <v>0.68418370450850019</v>
      </c>
      <c r="O66" s="2">
        <f>O11*'Output-Calculation-sheet'!O55/10^9</f>
        <v>0.61998801593162445</v>
      </c>
      <c r="P66" s="2">
        <f>P11*'Output-Calculation-sheet'!P55/10^9</f>
        <v>0.51377699867376947</v>
      </c>
      <c r="Q66" s="2">
        <f>Q11*'Output-Calculation-sheet'!Q55/10^9</f>
        <v>0.52944787978164376</v>
      </c>
      <c r="R66" s="2">
        <f>R11*'Output-Calculation-sheet'!R55/10^9</f>
        <v>0.42298949404573294</v>
      </c>
      <c r="S66" s="2">
        <f>S11*'Output-Calculation-sheet'!S55/10^9</f>
        <v>0.38698449911640753</v>
      </c>
      <c r="T66" s="2">
        <f>T11*'Output-Calculation-sheet'!T55/10^9</f>
        <v>0.1319397898040468</v>
      </c>
      <c r="U66" s="2">
        <f>U11*'Output-Calculation-sheet'!U55/10^9</f>
        <v>0.13311025734180826</v>
      </c>
      <c r="V66" s="2">
        <f>V11*'Output-Calculation-sheet'!V55/10^9</f>
        <v>9.879900024454237E-2</v>
      </c>
      <c r="W66" s="2">
        <f>W11*'Output-Calculation-sheet'!W55/10^9</f>
        <v>6.1672377552545329E-2</v>
      </c>
      <c r="X66" s="2">
        <f>X11*'Output-Calculation-sheet'!X55/10^9</f>
        <v>7.7813033409374927E-2</v>
      </c>
      <c r="Y66" s="2">
        <f>Y11*'Output-Calculation-sheet'!Y55/10^9</f>
        <v>5.1795683369520285E-2</v>
      </c>
      <c r="AA66" s="2">
        <f t="shared" si="4"/>
        <v>21.283793978826463</v>
      </c>
    </row>
    <row r="67" spans="1:27" x14ac:dyDescent="0.25">
      <c r="A67" s="2">
        <v>2035</v>
      </c>
      <c r="B67" s="2">
        <f>B12*'Output-Calculation-sheet'!B56/10^9</f>
        <v>6.0187503682407106</v>
      </c>
      <c r="C67" s="2">
        <f>C12*'Output-Calculation-sheet'!C56/10^9</f>
        <v>2.9039124461177512</v>
      </c>
      <c r="D67" s="2">
        <f>D12*'Output-Calculation-sheet'!D56/10^9</f>
        <v>1.3188352468448055</v>
      </c>
      <c r="E67" s="2">
        <f>E12*'Output-Calculation-sheet'!E56/10^9</f>
        <v>1.4695382193804698</v>
      </c>
      <c r="F67" s="2">
        <f>F12*'Output-Calculation-sheet'!F56/10^9</f>
        <v>0.67601895179718596</v>
      </c>
      <c r="G67" s="2">
        <f>G12*'Output-Calculation-sheet'!G56/10^9</f>
        <v>0.46868117948239307</v>
      </c>
      <c r="H67" s="2">
        <f>H12*'Output-Calculation-sheet'!H56/10^9</f>
        <v>0.86686699053014049</v>
      </c>
      <c r="I67" s="2">
        <f>I12*'Output-Calculation-sheet'!I56/10^9</f>
        <v>0.4622107930355453</v>
      </c>
      <c r="J67" s="2">
        <f>J12*'Output-Calculation-sheet'!J56/10^9</f>
        <v>0.41715038289680767</v>
      </c>
      <c r="K67" s="2">
        <f>K12*'Output-Calculation-sheet'!K56/10^9</f>
        <v>0.53883448551429203</v>
      </c>
      <c r="L67" s="2">
        <f>L12*'Output-Calculation-sheet'!L56/10^9</f>
        <v>0.44514865584382485</v>
      </c>
      <c r="M67" s="2">
        <f>M12*'Output-Calculation-sheet'!M56/10^9</f>
        <v>0.59901115482931944</v>
      </c>
      <c r="N67" s="2">
        <f>N12*'Output-Calculation-sheet'!N56/10^9</f>
        <v>0.62866813737283067</v>
      </c>
      <c r="O67" s="2">
        <f>O12*'Output-Calculation-sheet'!O56/10^9</f>
        <v>0.57182189987893062</v>
      </c>
      <c r="P67" s="2">
        <f>P12*'Output-Calculation-sheet'!P56/10^9</f>
        <v>0.47475832040725713</v>
      </c>
      <c r="Q67" s="2">
        <f>Q12*'Output-Calculation-sheet'!Q56/10^9</f>
        <v>0.48909931825890895</v>
      </c>
      <c r="R67" s="2">
        <f>R12*'Output-Calculation-sheet'!R56/10^9</f>
        <v>0.39064349029773338</v>
      </c>
      <c r="S67" s="2">
        <f>S12*'Output-Calculation-sheet'!S56/10^9</f>
        <v>0.35598813502084525</v>
      </c>
      <c r="T67" s="2">
        <f>T12*'Output-Calculation-sheet'!T56/10^9</f>
        <v>0.12176139172084564</v>
      </c>
      <c r="U67" s="2">
        <f>U12*'Output-Calculation-sheet'!U56/10^9</f>
        <v>0.12299079411131228</v>
      </c>
      <c r="V67" s="2">
        <f>V12*'Output-Calculation-sheet'!V56/10^9</f>
        <v>9.1180446758736419E-2</v>
      </c>
      <c r="W67" s="2">
        <f>W12*'Output-Calculation-sheet'!W56/10^9</f>
        <v>5.688790480695087E-2</v>
      </c>
      <c r="X67" s="2">
        <f>X12*'Output-Calculation-sheet'!X56/10^9</f>
        <v>7.1500589056624667E-2</v>
      </c>
      <c r="Y67" s="2">
        <f>Y12*'Output-Calculation-sheet'!Y56/10^9</f>
        <v>4.7834218212790922E-2</v>
      </c>
      <c r="AA67" s="2">
        <f t="shared" si="4"/>
        <v>19.608093520417018</v>
      </c>
    </row>
    <row r="68" spans="1:27" x14ac:dyDescent="0.25">
      <c r="B68" s="2">
        <f>SUM(B60:B67)</f>
        <v>44.551974454930914</v>
      </c>
      <c r="C68" s="2">
        <f t="shared" ref="C68:Y68" si="5">SUM(C60:C67)</f>
        <v>21.434121891822713</v>
      </c>
      <c r="D68" s="2">
        <f t="shared" si="5"/>
        <v>9.7564663239619236</v>
      </c>
      <c r="E68" s="2">
        <f t="shared" si="5"/>
        <v>10.858346518594042</v>
      </c>
      <c r="F68" s="2">
        <f t="shared" si="5"/>
        <v>5.0118688180302167</v>
      </c>
      <c r="G68" s="2">
        <f t="shared" si="5"/>
        <v>3.4661306075628406</v>
      </c>
      <c r="H68" s="2">
        <f t="shared" si="5"/>
        <v>6.496578722500729</v>
      </c>
      <c r="I68" s="2">
        <f t="shared" si="5"/>
        <v>3.419868304132446</v>
      </c>
      <c r="J68" s="2">
        <f t="shared" si="5"/>
        <v>3.0869976944884772</v>
      </c>
      <c r="K68" s="2">
        <f t="shared" si="5"/>
        <v>3.9847504601161474</v>
      </c>
      <c r="L68" s="2">
        <f t="shared" si="5"/>
        <v>3.2918226746050352</v>
      </c>
      <c r="M68" s="2">
        <f t="shared" si="5"/>
        <v>4.4881650257631858</v>
      </c>
      <c r="N68" s="2">
        <f t="shared" si="5"/>
        <v>4.696589538811228</v>
      </c>
      <c r="O68" s="2">
        <f t="shared" si="5"/>
        <v>4.1800815431512834</v>
      </c>
      <c r="P68" s="2">
        <f t="shared" si="5"/>
        <v>3.4967690936611797</v>
      </c>
      <c r="Q68" s="2">
        <f t="shared" si="5"/>
        <v>3.6053493590648342</v>
      </c>
      <c r="R68" s="2">
        <f t="shared" si="5"/>
        <v>2.8828142888719084</v>
      </c>
      <c r="S68" s="2">
        <f t="shared" si="5"/>
        <v>2.6468076873110258</v>
      </c>
      <c r="T68" s="2">
        <f t="shared" si="5"/>
        <v>0.90071994686564916</v>
      </c>
      <c r="U68" s="2">
        <f t="shared" si="5"/>
        <v>0.90621429119220298</v>
      </c>
      <c r="V68" s="2">
        <f t="shared" si="5"/>
        <v>0.67435790323981448</v>
      </c>
      <c r="W68" s="2">
        <f t="shared" si="5"/>
        <v>0.42147825889827362</v>
      </c>
      <c r="X68" s="2">
        <f t="shared" si="5"/>
        <v>0.53404232105351779</v>
      </c>
      <c r="Y68" s="2">
        <f t="shared" si="5"/>
        <v>0.35302447797281367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6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6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5966628699.0305729</v>
      </c>
      <c r="C93" s="2">
        <f>C5/'Output-Calculation-sheet'!C4*'Output-Calculation-sheet'!C76</f>
        <v>0</v>
      </c>
      <c r="D93" s="2">
        <f>D5/'Output-Calculation-sheet'!D4*'Output-Calculation-sheet'!D76</f>
        <v>3905917038.797399</v>
      </c>
      <c r="E93" s="2">
        <f>E5/'Output-Calculation-sheet'!E4*'Output-Calculation-sheet'!E76</f>
        <v>5703276372.1990891</v>
      </c>
      <c r="F93" s="2">
        <f>F5/'Output-Calculation-sheet'!F4*'Output-Calculation-sheet'!F76</f>
        <v>2856662789.3471451</v>
      </c>
      <c r="G93" s="2">
        <f>G5/'Output-Calculation-sheet'!G4*'Output-Calculation-sheet'!G76</f>
        <v>2182867668.5061936</v>
      </c>
      <c r="H93" s="2">
        <f>H5/'Output-Calculation-sheet'!H4*'Output-Calculation-sheet'!H76</f>
        <v>0</v>
      </c>
      <c r="I93" s="2">
        <f>I5/'Output-Calculation-sheet'!I4*'Output-Calculation-sheet'!I76</f>
        <v>1482934391.7271521</v>
      </c>
      <c r="J93" s="2">
        <f>J5/'Output-Calculation-sheet'!J4*'Output-Calculation-sheet'!J76</f>
        <v>1063961737.465071</v>
      </c>
      <c r="K93" s="2">
        <f>K5/'Output-Calculation-sheet'!K4*'Output-Calculation-sheet'!K76</f>
        <v>1339489707.242244</v>
      </c>
      <c r="L93" s="2">
        <f>L5/'Output-Calculation-sheet'!L4*'Output-Calculation-sheet'!L76</f>
        <v>883317219.57225549</v>
      </c>
      <c r="M93" s="2">
        <f>M5/'Output-Calculation-sheet'!M4*'Output-Calculation-sheet'!M76</f>
        <v>0</v>
      </c>
      <c r="N93" s="2">
        <f>N5/'Output-Calculation-sheet'!N4*'Output-Calculation-sheet'!N76</f>
        <v>418144241.16601771</v>
      </c>
      <c r="O93" s="2">
        <f>O5/'Output-Calculation-sheet'!O4*'Output-Calculation-sheet'!O76</f>
        <v>0</v>
      </c>
      <c r="P93" s="2">
        <f>P5/'Output-Calculation-sheet'!P4*'Output-Calculation-sheet'!P76</f>
        <v>1100758194.194417</v>
      </c>
      <c r="Q93" s="2">
        <f>Q5/'Output-Calculation-sheet'!Q4*'Output-Calculation-sheet'!Q76</f>
        <v>494859168.31282169</v>
      </c>
      <c r="R93" s="2">
        <f>R5/'Output-Calculation-sheet'!R4*'Output-Calculation-sheet'!R76</f>
        <v>789742720.11581492</v>
      </c>
      <c r="S93" s="2">
        <f>S5/'Output-Calculation-sheet'!S4*'Output-Calculation-sheet'!S76</f>
        <v>261658849.24845123</v>
      </c>
      <c r="T93" s="2">
        <f>T5/'Output-Calculation-sheet'!T4*'Output-Calculation-sheet'!T76</f>
        <v>424363684.74642038</v>
      </c>
      <c r="U93" s="2">
        <f>U5/'Output-Calculation-sheet'!U4*'Output-Calculation-sheet'!U76</f>
        <v>221317134.54542851</v>
      </c>
      <c r="V93" s="2">
        <f>V5/'Output-Calculation-sheet'!V4*'Output-Calculation-sheet'!V76</f>
        <v>132410028.64540793</v>
      </c>
      <c r="W93" s="2">
        <f>W5/'Output-Calculation-sheet'!W4*'Output-Calculation-sheet'!W76</f>
        <v>441251265.77602917</v>
      </c>
      <c r="X93" s="2">
        <f>X5/'Output-Calculation-sheet'!X4*'Output-Calculation-sheet'!X76</f>
        <v>0</v>
      </c>
      <c r="Y93" s="2">
        <f>Y5/'Output-Calculation-sheet'!Y4*'Output-Calculation-sheet'!Y76</f>
        <v>185030541.04040933</v>
      </c>
      <c r="AA93" s="2">
        <f t="shared" ref="AA93:AA100" si="8">SUM(B93:Y93)/10^9</f>
        <v>29.854591451678345</v>
      </c>
    </row>
    <row r="94" spans="1:27" x14ac:dyDescent="0.25">
      <c r="A94" s="2">
        <v>2029</v>
      </c>
      <c r="B94" s="2">
        <f>B6/'Output-Calculation-sheet'!B5*'Output-Calculation-sheet'!B77</f>
        <v>8297198192.5046215</v>
      </c>
      <c r="C94" s="2">
        <f>C6/'Output-Calculation-sheet'!C5*'Output-Calculation-sheet'!C77</f>
        <v>0</v>
      </c>
      <c r="D94" s="2">
        <f>D6/'Output-Calculation-sheet'!D5*'Output-Calculation-sheet'!D77</f>
        <v>5353870192.7012606</v>
      </c>
      <c r="E94" s="2">
        <f>E6/'Output-Calculation-sheet'!E5*'Output-Calculation-sheet'!E77</f>
        <v>7980188988.1780348</v>
      </c>
      <c r="F94" s="2">
        <f>F6/'Output-Calculation-sheet'!F5*'Output-Calculation-sheet'!F77</f>
        <v>3911958534.0107565</v>
      </c>
      <c r="G94" s="2">
        <f>G6/'Output-Calculation-sheet'!G5*'Output-Calculation-sheet'!G77</f>
        <v>3027908764.6441665</v>
      </c>
      <c r="H94" s="2">
        <f>H6/'Output-Calculation-sheet'!H5*'Output-Calculation-sheet'!H77</f>
        <v>740540303.39315557</v>
      </c>
      <c r="I94" s="2">
        <f>I6/'Output-Calculation-sheet'!I5*'Output-Calculation-sheet'!I77</f>
        <v>2028654664.0173559</v>
      </c>
      <c r="J94" s="2">
        <f>J6/'Output-Calculation-sheet'!J5*'Output-Calculation-sheet'!J77</f>
        <v>1470754331.1456723</v>
      </c>
      <c r="K94" s="2">
        <f>K6/'Output-Calculation-sheet'!K5*'Output-Calculation-sheet'!K77</f>
        <v>1833807444.8346951</v>
      </c>
      <c r="L94" s="2">
        <f>L6/'Output-Calculation-sheet'!L5*'Output-Calculation-sheet'!L77</f>
        <v>1223048459.4043322</v>
      </c>
      <c r="M94" s="2">
        <f>M6/'Output-Calculation-sheet'!M5*'Output-Calculation-sheet'!M77</f>
        <v>538635646.4745872</v>
      </c>
      <c r="N94" s="2">
        <f>N6/'Output-Calculation-sheet'!N5*'Output-Calculation-sheet'!N77</f>
        <v>634974560.89070761</v>
      </c>
      <c r="O94" s="2">
        <f>O6/'Output-Calculation-sheet'!O5*'Output-Calculation-sheet'!O77</f>
        <v>0</v>
      </c>
      <c r="P94" s="2">
        <f>P6/'Output-Calculation-sheet'!P5*'Output-Calculation-sheet'!P77</f>
        <v>1536511294.4946253</v>
      </c>
      <c r="Q94" s="2">
        <f>Q6/'Output-Calculation-sheet'!Q5*'Output-Calculation-sheet'!Q77</f>
        <v>699916776.47313893</v>
      </c>
      <c r="R94" s="2">
        <f>R6/'Output-Calculation-sheet'!R5*'Output-Calculation-sheet'!R77</f>
        <v>1091755434.2909131</v>
      </c>
      <c r="S94" s="2">
        <f>S6/'Output-Calculation-sheet'!S5*'Output-Calculation-sheet'!S77</f>
        <v>368585031.00968581</v>
      </c>
      <c r="T94" s="2">
        <f>T6/'Output-Calculation-sheet'!T5*'Output-Calculation-sheet'!T77</f>
        <v>584151705.60632217</v>
      </c>
      <c r="U94" s="2">
        <f>U6/'Output-Calculation-sheet'!U5*'Output-Calculation-sheet'!U77</f>
        <v>298337188.44328165</v>
      </c>
      <c r="V94" s="2">
        <f>V6/'Output-Calculation-sheet'!V5*'Output-Calculation-sheet'!V77</f>
        <v>178546284.31512573</v>
      </c>
      <c r="W94" s="2">
        <f>W6/'Output-Calculation-sheet'!W5*'Output-Calculation-sheet'!W77</f>
        <v>614184873.27890646</v>
      </c>
      <c r="X94" s="2">
        <f>X6/'Output-Calculation-sheet'!X5*'Output-Calculation-sheet'!X77</f>
        <v>50232395.204404488</v>
      </c>
      <c r="Y94" s="2">
        <f>Y6/'Output-Calculation-sheet'!Y5*'Output-Calculation-sheet'!Y77</f>
        <v>259047629.43697304</v>
      </c>
      <c r="AA94" s="2">
        <f t="shared" si="8"/>
        <v>42.722808694752736</v>
      </c>
    </row>
    <row r="95" spans="1:27" x14ac:dyDescent="0.25">
      <c r="A95" s="2">
        <v>2030</v>
      </c>
      <c r="B95" s="2">
        <f>B7/'Output-Calculation-sheet'!B6*'Output-Calculation-sheet'!B78</f>
        <v>10485876589.651588</v>
      </c>
      <c r="C95" s="2">
        <f>C7/'Output-Calculation-sheet'!C6*'Output-Calculation-sheet'!C78</f>
        <v>0</v>
      </c>
      <c r="D95" s="2">
        <f>D7/'Output-Calculation-sheet'!D6*'Output-Calculation-sheet'!D78</f>
        <v>6688072799.3687325</v>
      </c>
      <c r="E95" s="2">
        <f>E7/'Output-Calculation-sheet'!E6*'Output-Calculation-sheet'!E78</f>
        <v>10165091797.688051</v>
      </c>
      <c r="F95" s="2">
        <f>F7/'Output-Calculation-sheet'!F6*'Output-Calculation-sheet'!F78</f>
        <v>4878519937.6285858</v>
      </c>
      <c r="G95" s="2">
        <f>G7/'Output-Calculation-sheet'!G6*'Output-Calculation-sheet'!G78</f>
        <v>3825787016.7412529</v>
      </c>
      <c r="H95" s="2">
        <f>H7/'Output-Calculation-sheet'!H6*'Output-Calculation-sheet'!H78</f>
        <v>978519734.72250628</v>
      </c>
      <c r="I95" s="2">
        <f>I7/'Output-Calculation-sheet'!I6*'Output-Calculation-sheet'!I78</f>
        <v>2524903766.2913709</v>
      </c>
      <c r="J95" s="2">
        <f>J7/'Output-Calculation-sheet'!J6*'Output-Calculation-sheet'!J78</f>
        <v>1851726098.6938124</v>
      </c>
      <c r="K95" s="2">
        <f>K7/'Output-Calculation-sheet'!K6*'Output-Calculation-sheet'!K78</f>
        <v>2282551799.969882</v>
      </c>
      <c r="L95" s="2">
        <f>L7/'Output-Calculation-sheet'!L6*'Output-Calculation-sheet'!L78</f>
        <v>1544021602.558006</v>
      </c>
      <c r="M95" s="2">
        <f>M7/'Output-Calculation-sheet'!M6*'Output-Calculation-sheet'!M78</f>
        <v>717893162.24894857</v>
      </c>
      <c r="N95" s="2">
        <f>N7/'Output-Calculation-sheet'!N6*'Output-Calculation-sheet'!N78</f>
        <v>837739158.50885439</v>
      </c>
      <c r="O95" s="2">
        <f>O7/'Output-Calculation-sheet'!O6*'Output-Calculation-sheet'!O78</f>
        <v>0</v>
      </c>
      <c r="P95" s="2">
        <f>P7/'Output-Calculation-sheet'!P6*'Output-Calculation-sheet'!P78</f>
        <v>1942926732.6236575</v>
      </c>
      <c r="Q95" s="2">
        <f>Q7/'Output-Calculation-sheet'!Q6*'Output-Calculation-sheet'!Q78</f>
        <v>896990298.39234483</v>
      </c>
      <c r="R95" s="2">
        <f>R7/'Output-Calculation-sheet'!R6*'Output-Calculation-sheet'!R78</f>
        <v>1372793100.9957714</v>
      </c>
      <c r="S95" s="2">
        <f>S7/'Output-Calculation-sheet'!S6*'Output-Calculation-sheet'!S78</f>
        <v>486378378.34823805</v>
      </c>
      <c r="T95" s="2">
        <f>T7/'Output-Calculation-sheet'!T6*'Output-Calculation-sheet'!T78</f>
        <v>732526496.6214658</v>
      </c>
      <c r="U95" s="2">
        <f>U7/'Output-Calculation-sheet'!U6*'Output-Calculation-sheet'!U78</f>
        <v>365348650.11750811</v>
      </c>
      <c r="V95" s="2">
        <f>V7/'Output-Calculation-sheet'!V6*'Output-Calculation-sheet'!V78</f>
        <v>218967391.58444452</v>
      </c>
      <c r="W95" s="2">
        <f>W7/'Output-Calculation-sheet'!W6*'Output-Calculation-sheet'!W78</f>
        <v>779063385.79010904</v>
      </c>
      <c r="X95" s="2">
        <f>X7/'Output-Calculation-sheet'!X6*'Output-Calculation-sheet'!X78</f>
        <v>67935276.003234491</v>
      </c>
      <c r="Y95" s="2">
        <f>Y7/'Output-Calculation-sheet'!Y6*'Output-Calculation-sheet'!Y78</f>
        <v>330610534.1201961</v>
      </c>
      <c r="AA95" s="2">
        <f t="shared" si="8"/>
        <v>53.974243708668553</v>
      </c>
    </row>
    <row r="96" spans="1:27" x14ac:dyDescent="0.25">
      <c r="A96" s="2">
        <v>2031</v>
      </c>
      <c r="B96" s="2">
        <f>B8/'Output-Calculation-sheet'!B7*'Output-Calculation-sheet'!B79</f>
        <v>12431817381.355829</v>
      </c>
      <c r="C96" s="2">
        <f>C8/'Output-Calculation-sheet'!C7*'Output-Calculation-sheet'!C79</f>
        <v>0</v>
      </c>
      <c r="D96" s="2">
        <f>D8/'Output-Calculation-sheet'!D7*'Output-Calculation-sheet'!D79</f>
        <v>7567144900.3598785</v>
      </c>
      <c r="E96" s="2">
        <f>E8/'Output-Calculation-sheet'!E7*'Output-Calculation-sheet'!E79</f>
        <v>11852840090.823507</v>
      </c>
      <c r="F96" s="2">
        <f>F8/'Output-Calculation-sheet'!F7*'Output-Calculation-sheet'!F79</f>
        <v>5673685138.9784184</v>
      </c>
      <c r="G96" s="2">
        <f>G8/'Output-Calculation-sheet'!G7*'Output-Calculation-sheet'!G79</f>
        <v>4325339491.7116966</v>
      </c>
      <c r="H96" s="2">
        <f>H8/'Output-Calculation-sheet'!H7*'Output-Calculation-sheet'!H79</f>
        <v>1168985204.7168126</v>
      </c>
      <c r="I96" s="2">
        <f>I8/'Output-Calculation-sheet'!I7*'Output-Calculation-sheet'!I79</f>
        <v>2966250866.801044</v>
      </c>
      <c r="J96" s="2">
        <f>J8/'Output-Calculation-sheet'!J7*'Output-Calculation-sheet'!J79</f>
        <v>2111452000.6169305</v>
      </c>
      <c r="K96" s="2">
        <f>K8/'Output-Calculation-sheet'!K7*'Output-Calculation-sheet'!K79</f>
        <v>2631554640.3541031</v>
      </c>
      <c r="L96" s="2">
        <f>L8/'Output-Calculation-sheet'!L7*'Output-Calculation-sheet'!L79</f>
        <v>1831190359.3323009</v>
      </c>
      <c r="M96" s="2">
        <f>M8/'Output-Calculation-sheet'!M7*'Output-Calculation-sheet'!M79</f>
        <v>866599946.17474365</v>
      </c>
      <c r="N96" s="2">
        <f>N8/'Output-Calculation-sheet'!N7*'Output-Calculation-sheet'!N79</f>
        <v>965830412.06943798</v>
      </c>
      <c r="O96" s="2">
        <f>O8/'Output-Calculation-sheet'!O7*'Output-Calculation-sheet'!O79</f>
        <v>0</v>
      </c>
      <c r="P96" s="2">
        <f>P8/'Output-Calculation-sheet'!P7*'Output-Calculation-sheet'!P79</f>
        <v>2233734525.0782762</v>
      </c>
      <c r="Q96" s="2">
        <f>Q8/'Output-Calculation-sheet'!Q7*'Output-Calculation-sheet'!Q79</f>
        <v>1037012950.2951316</v>
      </c>
      <c r="R96" s="2">
        <f>R8/'Output-Calculation-sheet'!R7*'Output-Calculation-sheet'!R79</f>
        <v>1599972905.8246396</v>
      </c>
      <c r="S96" s="2">
        <f>S8/'Output-Calculation-sheet'!S7*'Output-Calculation-sheet'!S79</f>
        <v>586048654.23971832</v>
      </c>
      <c r="T96" s="2">
        <f>T8/'Output-Calculation-sheet'!T7*'Output-Calculation-sheet'!T79</f>
        <v>838640571.24447286</v>
      </c>
      <c r="U96" s="2">
        <f>U8/'Output-Calculation-sheet'!U7*'Output-Calculation-sheet'!U79</f>
        <v>425807081.94550276</v>
      </c>
      <c r="V96" s="2">
        <f>V8/'Output-Calculation-sheet'!V7*'Output-Calculation-sheet'!V79</f>
        <v>258128355.90572014</v>
      </c>
      <c r="W96" s="2">
        <f>W8/'Output-Calculation-sheet'!W7*'Output-Calculation-sheet'!W79</f>
        <v>898918636.1621834</v>
      </c>
      <c r="X96" s="2">
        <f>X8/'Output-Calculation-sheet'!X7*'Output-Calculation-sheet'!X79</f>
        <v>83808922.292191237</v>
      </c>
      <c r="Y96" s="2">
        <f>Y8/'Output-Calculation-sheet'!Y7*'Output-Calculation-sheet'!Y79</f>
        <v>382376881.87615925</v>
      </c>
      <c r="AA96" s="2">
        <f t="shared" si="8"/>
        <v>62.737139918158682</v>
      </c>
    </row>
    <row r="97" spans="1:27" x14ac:dyDescent="0.25">
      <c r="A97" s="2">
        <v>2032</v>
      </c>
      <c r="B97" s="2">
        <f>B9/'Output-Calculation-sheet'!B8*'Output-Calculation-sheet'!B80</f>
        <v>13664300240.784004</v>
      </c>
      <c r="C97" s="2">
        <f>C9/'Output-Calculation-sheet'!C8*'Output-Calculation-sheet'!C80</f>
        <v>0</v>
      </c>
      <c r="D97" s="2">
        <f>D9/'Output-Calculation-sheet'!D8*'Output-Calculation-sheet'!D80</f>
        <v>7932556058.8912525</v>
      </c>
      <c r="E97" s="2">
        <f>E9/'Output-Calculation-sheet'!E8*'Output-Calculation-sheet'!E80</f>
        <v>12797796153.03574</v>
      </c>
      <c r="F97" s="2">
        <f>F9/'Output-Calculation-sheet'!F8*'Output-Calculation-sheet'!F80</f>
        <v>6104752447.4733067</v>
      </c>
      <c r="G97" s="2">
        <f>G9/'Output-Calculation-sheet'!G8*'Output-Calculation-sheet'!G80</f>
        <v>4520418902.4026165</v>
      </c>
      <c r="H97" s="2">
        <f>H9/'Output-Calculation-sheet'!H8*'Output-Calculation-sheet'!H80</f>
        <v>1290946475.0557659</v>
      </c>
      <c r="I97" s="2">
        <f>I9/'Output-Calculation-sheet'!I8*'Output-Calculation-sheet'!I80</f>
        <v>3223405239.8007731</v>
      </c>
      <c r="J97" s="2">
        <f>J9/'Output-Calculation-sheet'!J8*'Output-Calculation-sheet'!J80</f>
        <v>2229281918.3732491</v>
      </c>
      <c r="K97" s="2">
        <f>K9/'Output-Calculation-sheet'!K8*'Output-Calculation-sheet'!K80</f>
        <v>2804243840.8344498</v>
      </c>
      <c r="L97" s="2">
        <f>L9/'Output-Calculation-sheet'!L8*'Output-Calculation-sheet'!L80</f>
        <v>2013403005.7600763</v>
      </c>
      <c r="M97" s="2">
        <f>M9/'Output-Calculation-sheet'!M8*'Output-Calculation-sheet'!M80</f>
        <v>958707224.04525328</v>
      </c>
      <c r="N97" s="2">
        <f>N9/'Output-Calculation-sheet'!N8*'Output-Calculation-sheet'!N80</f>
        <v>1020443378.9607435</v>
      </c>
      <c r="O97" s="2">
        <f>O9/'Output-Calculation-sheet'!O8*'Output-Calculation-sheet'!O80</f>
        <v>0</v>
      </c>
      <c r="P97" s="2">
        <f>P9/'Output-Calculation-sheet'!P8*'Output-Calculation-sheet'!P80</f>
        <v>2388007610.7131214</v>
      </c>
      <c r="Q97" s="2">
        <f>Q9/'Output-Calculation-sheet'!Q8*'Output-Calculation-sheet'!Q80</f>
        <v>1113407302.3603604</v>
      </c>
      <c r="R97" s="2">
        <f>R9/'Output-Calculation-sheet'!R8*'Output-Calculation-sheet'!R80</f>
        <v>1725692750.2108214</v>
      </c>
      <c r="S97" s="2">
        <f>S9/'Output-Calculation-sheet'!S8*'Output-Calculation-sheet'!S80</f>
        <v>650226538.25263369</v>
      </c>
      <c r="T97" s="2">
        <f>T9/'Output-Calculation-sheet'!T8*'Output-Calculation-sheet'!T80</f>
        <v>887410635.43162465</v>
      </c>
      <c r="U97" s="2">
        <f>U9/'Output-Calculation-sheet'!U8*'Output-Calculation-sheet'!U80</f>
        <v>459465727.22265756</v>
      </c>
      <c r="V97" s="2">
        <f>V9/'Output-Calculation-sheet'!V8*'Output-Calculation-sheet'!V80</f>
        <v>281669714.67558855</v>
      </c>
      <c r="W97" s="2">
        <f>W9/'Output-Calculation-sheet'!W8*'Output-Calculation-sheet'!W80</f>
        <v>958938080.2734257</v>
      </c>
      <c r="X97" s="2">
        <f>X9/'Output-Calculation-sheet'!X8*'Output-Calculation-sheet'!X80</f>
        <v>94938661.289609447</v>
      </c>
      <c r="Y97" s="2">
        <f>Y9/'Output-Calculation-sheet'!Y8*'Output-Calculation-sheet'!Y80</f>
        <v>408320553.23069453</v>
      </c>
      <c r="AA97" s="2">
        <f t="shared" si="8"/>
        <v>67.528332459077774</v>
      </c>
    </row>
    <row r="98" spans="1:27" x14ac:dyDescent="0.25">
      <c r="A98" s="2">
        <v>2033</v>
      </c>
      <c r="B98" s="2">
        <f>B10/'Output-Calculation-sheet'!B9*'Output-Calculation-sheet'!B81</f>
        <v>14631914230.458649</v>
      </c>
      <c r="C98" s="2">
        <f>C10/'Output-Calculation-sheet'!C9*'Output-Calculation-sheet'!C81</f>
        <v>1916345123.8763027</v>
      </c>
      <c r="D98" s="2">
        <f>D10/'Output-Calculation-sheet'!D9*'Output-Calculation-sheet'!D81</f>
        <v>7800768288.3039799</v>
      </c>
      <c r="E98" s="2">
        <f>E10/'Output-Calculation-sheet'!E9*'Output-Calculation-sheet'!E81</f>
        <v>12951991429.262541</v>
      </c>
      <c r="F98" s="2">
        <f>F10/'Output-Calculation-sheet'!F9*'Output-Calculation-sheet'!F81</f>
        <v>6166318411.5816345</v>
      </c>
      <c r="G98" s="2">
        <f>G10/'Output-Calculation-sheet'!G9*'Output-Calculation-sheet'!G81</f>
        <v>4427880749.5233221</v>
      </c>
      <c r="H98" s="2">
        <f>H10/'Output-Calculation-sheet'!H9*'Output-Calculation-sheet'!H81</f>
        <v>1334449395.4047074</v>
      </c>
      <c r="I98" s="2">
        <f>I10/'Output-Calculation-sheet'!I9*'Output-Calculation-sheet'!I81</f>
        <v>3286497280.0517139</v>
      </c>
      <c r="J98" s="2">
        <f>J10/'Output-Calculation-sheet'!J9*'Output-Calculation-sheet'!J81</f>
        <v>2209935939.4108267</v>
      </c>
      <c r="K98" s="2">
        <f>K10/'Output-Calculation-sheet'!K9*'Output-Calculation-sheet'!K81</f>
        <v>2806543427.8540335</v>
      </c>
      <c r="L98" s="2">
        <f>L10/'Output-Calculation-sheet'!L9*'Output-Calculation-sheet'!L81</f>
        <v>2074996995.0835302</v>
      </c>
      <c r="M98" s="2">
        <f>M10/'Output-Calculation-sheet'!M9*'Output-Calculation-sheet'!M81</f>
        <v>994971300.10188365</v>
      </c>
      <c r="N98" s="2">
        <f>N10/'Output-Calculation-sheet'!N9*'Output-Calculation-sheet'!N81</f>
        <v>1012487487.3722316</v>
      </c>
      <c r="O98" s="2">
        <f>O10/'Output-Calculation-sheet'!O9*'Output-Calculation-sheet'!O81</f>
        <v>0</v>
      </c>
      <c r="P98" s="2">
        <f>P10/'Output-Calculation-sheet'!P9*'Output-Calculation-sheet'!P81</f>
        <v>2387665014.004765</v>
      </c>
      <c r="Q98" s="2">
        <f>Q10/'Output-Calculation-sheet'!Q9*'Output-Calculation-sheet'!Q81</f>
        <v>1120737365.9246387</v>
      </c>
      <c r="R98" s="2">
        <f>R10/'Output-Calculation-sheet'!R9*'Output-Calculation-sheet'!R81</f>
        <v>1748860847.6840129</v>
      </c>
      <c r="S98" s="2">
        <f>S10/'Output-Calculation-sheet'!S9*'Output-Calculation-sheet'!S81</f>
        <v>664072801.48865891</v>
      </c>
      <c r="T98" s="2">
        <f>T10/'Output-Calculation-sheet'!T9*'Output-Calculation-sheet'!T81</f>
        <v>881434276.62815738</v>
      </c>
      <c r="U98" s="2">
        <f>U10/'Output-Calculation-sheet'!U9*'Output-Calculation-sheet'!U81</f>
        <v>464604954.66079068</v>
      </c>
      <c r="V98" s="2">
        <f>V10/'Output-Calculation-sheet'!V9*'Output-Calculation-sheet'!V81</f>
        <v>287913637.20716077</v>
      </c>
      <c r="W98" s="2">
        <f>W10/'Output-Calculation-sheet'!W9*'Output-Calculation-sheet'!W81</f>
        <v>957210720.41618121</v>
      </c>
      <c r="X98" s="2">
        <f>X10/'Output-Calculation-sheet'!X9*'Output-Calculation-sheet'!X81</f>
        <v>99575220.570049629</v>
      </c>
      <c r="Y98" s="2">
        <f>Y10/'Output-Calculation-sheet'!Y9*'Output-Calculation-sheet'!Y81</f>
        <v>408638758.23843384</v>
      </c>
      <c r="AA98" s="2">
        <f t="shared" si="8"/>
        <v>70.635813655108208</v>
      </c>
    </row>
    <row r="99" spans="1:27" x14ac:dyDescent="0.25">
      <c r="A99" s="2">
        <v>2034</v>
      </c>
      <c r="B99" s="2">
        <f>B11/'Output-Calculation-sheet'!B10*'Output-Calculation-sheet'!B82</f>
        <v>14599150689.659267</v>
      </c>
      <c r="C99" s="2">
        <f>C11/'Output-Calculation-sheet'!C10*'Output-Calculation-sheet'!C82</f>
        <v>1980003657.3393877</v>
      </c>
      <c r="D99" s="2">
        <f>D11/'Output-Calculation-sheet'!D10*'Output-Calculation-sheet'!D82</f>
        <v>7284306614.0354538</v>
      </c>
      <c r="E99" s="2">
        <f>E11/'Output-Calculation-sheet'!E10*'Output-Calculation-sheet'!E82</f>
        <v>12457396194.78014</v>
      </c>
      <c r="F99" s="2">
        <f>F11/'Output-Calculation-sheet'!F10*'Output-Calculation-sheet'!F82</f>
        <v>5916119474.5656977</v>
      </c>
      <c r="G99" s="2">
        <f>G11/'Output-Calculation-sheet'!G10*'Output-Calculation-sheet'!G82</f>
        <v>4109664772.1418624</v>
      </c>
      <c r="H99" s="2">
        <f>H11/'Output-Calculation-sheet'!H10*'Output-Calculation-sheet'!H82</f>
        <v>1311365437.112221</v>
      </c>
      <c r="I99" s="2">
        <f>I11/'Output-Calculation-sheet'!I10*'Output-Calculation-sheet'!I82</f>
        <v>3185733744.7713475</v>
      </c>
      <c r="J99" s="2">
        <f>J11/'Output-Calculation-sheet'!J10*'Output-Calculation-sheet'!J82</f>
        <v>2081351776.3578277</v>
      </c>
      <c r="K99" s="2">
        <f>K11/'Output-Calculation-sheet'!K10*'Output-Calculation-sheet'!K82</f>
        <v>2668663493.3567295</v>
      </c>
      <c r="L99" s="2">
        <f>L11/'Output-Calculation-sheet'!L10*'Output-Calculation-sheet'!L82</f>
        <v>2029255566.1668193</v>
      </c>
      <c r="M99" s="2">
        <f>M11/'Output-Calculation-sheet'!M10*'Output-Calculation-sheet'!M82</f>
        <v>980942762.69542813</v>
      </c>
      <c r="N99" s="2">
        <f>N11/'Output-Calculation-sheet'!N10*'Output-Calculation-sheet'!N82</f>
        <v>957357713.85537922</v>
      </c>
      <c r="O99" s="2">
        <f>O11/'Output-Calculation-sheet'!O10*'Output-Calculation-sheet'!O82</f>
        <v>0</v>
      </c>
      <c r="P99" s="2">
        <f>P11/'Output-Calculation-sheet'!P10*'Output-Calculation-sheet'!P82</f>
        <v>2264370975.6000762</v>
      </c>
      <c r="Q99" s="2">
        <f>Q11/'Output-Calculation-sheet'!Q10*'Output-Calculation-sheet'!Q82</f>
        <v>1072196363.1030101</v>
      </c>
      <c r="R99" s="2">
        <f>R11/'Output-Calculation-sheet'!R10*'Output-Calculation-sheet'!R82</f>
        <v>1682630720.8843083</v>
      </c>
      <c r="S99" s="2">
        <f>S11/'Output-Calculation-sheet'!S10*'Output-Calculation-sheet'!S82</f>
        <v>655610748.44918823</v>
      </c>
      <c r="T99" s="2">
        <f>T11/'Output-Calculation-sheet'!T10*'Output-Calculation-sheet'!T82</f>
        <v>831353141.1907928</v>
      </c>
      <c r="U99" s="2">
        <f>U11/'Output-Calculation-sheet'!U10*'Output-Calculation-sheet'!U82</f>
        <v>446874133.38687474</v>
      </c>
      <c r="V99" s="2">
        <f>V11/'Output-Calculation-sheet'!V10*'Output-Calculation-sheet'!V82</f>
        <v>279554381.97500509</v>
      </c>
      <c r="W99" s="2">
        <f>W11/'Output-Calculation-sheet'!W10*'Output-Calculation-sheet'!W82</f>
        <v>906199354.84004116</v>
      </c>
      <c r="X99" s="2">
        <f>X11/'Output-Calculation-sheet'!X10*'Output-Calculation-sheet'!X82</f>
        <v>99713102.033609778</v>
      </c>
      <c r="Y99" s="2">
        <f>Y11/'Output-Calculation-sheet'!Y10*'Output-Calculation-sheet'!Y82</f>
        <v>387739964.54599738</v>
      </c>
      <c r="AA99" s="2">
        <f t="shared" si="8"/>
        <v>68.187554782846462</v>
      </c>
    </row>
    <row r="100" spans="1:27" x14ac:dyDescent="0.25">
      <c r="A100" s="2">
        <v>2035</v>
      </c>
      <c r="B100" s="2">
        <f>B12/'Output-Calculation-sheet'!B11*'Output-Calculation-sheet'!B83</f>
        <v>13706874083.587318</v>
      </c>
      <c r="C100" s="2">
        <f>C12/'Output-Calculation-sheet'!C11*'Output-Calculation-sheet'!C83</f>
        <v>1939319857.9801602</v>
      </c>
      <c r="D100" s="2">
        <f>D12/'Output-Calculation-sheet'!D11*'Output-Calculation-sheet'!D83</f>
        <v>6519065023.2229137</v>
      </c>
      <c r="E100" s="2">
        <f>E12/'Output-Calculation-sheet'!E11*'Output-Calculation-sheet'!E83</f>
        <v>11469100815.486103</v>
      </c>
      <c r="F100" s="2">
        <f>F12/'Output-Calculation-sheet'!F11*'Output-Calculation-sheet'!F83</f>
        <v>5435284129.3682566</v>
      </c>
      <c r="G100" s="2">
        <f>G12/'Output-Calculation-sheet'!G11*'Output-Calculation-sheet'!G83</f>
        <v>3645304220.7941709</v>
      </c>
      <c r="H100" s="2">
        <f>H12/'Output-Calculation-sheet'!H11*'Output-Calculation-sheet'!H83</f>
        <v>1228315559.6014836</v>
      </c>
      <c r="I100" s="2">
        <f>I12/'Output-Calculation-sheet'!I11*'Output-Calculation-sheet'!I83</f>
        <v>2953543293.5582414</v>
      </c>
      <c r="J100" s="2">
        <f>J12/'Output-Calculation-sheet'!J11*'Output-Calculation-sheet'!J83</f>
        <v>1876441839.8377979</v>
      </c>
      <c r="K100" s="2">
        <f>K12/'Output-Calculation-sheet'!K11*'Output-Calculation-sheet'!K83</f>
        <v>2428891892.7412481</v>
      </c>
      <c r="L100" s="2">
        <f>L12/'Output-Calculation-sheet'!L11*'Output-Calculation-sheet'!L83</f>
        <v>1897778631.7947769</v>
      </c>
      <c r="M100" s="2">
        <f>M12/'Output-Calculation-sheet'!M11*'Output-Calculation-sheet'!M83</f>
        <v>920682592.40995347</v>
      </c>
      <c r="N100" s="2">
        <f>N12/'Output-Calculation-sheet'!N11*'Output-Calculation-sheet'!N83</f>
        <v>867311520.75429142</v>
      </c>
      <c r="O100" s="2">
        <f>O12/'Output-Calculation-sheet'!O11*'Output-Calculation-sheet'!O83</f>
        <v>233989932.24815696</v>
      </c>
      <c r="P100" s="2">
        <f>P12/'Output-Calculation-sheet'!P11*'Output-Calculation-sheet'!P83</f>
        <v>2054508341.2814858</v>
      </c>
      <c r="Q100" s="2">
        <f>Q12/'Output-Calculation-sheet'!Q11*'Output-Calculation-sheet'!Q83</f>
        <v>985295144.28912163</v>
      </c>
      <c r="R100" s="2">
        <f>R12/'Output-Calculation-sheet'!R11*'Output-Calculation-sheet'!R83</f>
        <v>1552034966.8038905</v>
      </c>
      <c r="S100" s="2">
        <f>S12/'Output-Calculation-sheet'!S11*'Output-Calculation-sheet'!S83</f>
        <v>601960375.55578256</v>
      </c>
      <c r="T100" s="2">
        <f>T12/'Output-Calculation-sheet'!T11*'Output-Calculation-sheet'!T83</f>
        <v>750309514.6340152</v>
      </c>
      <c r="U100" s="2">
        <f>U12/'Output-Calculation-sheet'!U11*'Output-Calculation-sheet'!U83</f>
        <v>411015271.99585664</v>
      </c>
      <c r="V100" s="2">
        <f>V12/'Output-Calculation-sheet'!V11*'Output-Calculation-sheet'!V83</f>
        <v>259780561.9781104</v>
      </c>
      <c r="W100" s="2">
        <f>W12/'Output-Calculation-sheet'!W11*'Output-Calculation-sheet'!W83</f>
        <v>819738704.45828581</v>
      </c>
      <c r="X100" s="2">
        <f>X12/'Output-Calculation-sheet'!X11*'Output-Calculation-sheet'!X83</f>
        <v>95386875.273100942</v>
      </c>
      <c r="Y100" s="2">
        <f>Y12/'Output-Calculation-sheet'!Y11*'Output-Calculation-sheet'!Y83</f>
        <v>351956174.72787821</v>
      </c>
      <c r="AA100" s="2">
        <f t="shared" si="8"/>
        <v>63.003889324382406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E5AA-DAEE-441E-98C8-9B0394F27A9F}">
  <dimension ref="A2:Y110"/>
  <sheetViews>
    <sheetView tabSelected="1" workbookViewId="0">
      <selection activeCell="B4" sqref="B4"/>
    </sheetView>
  </sheetViews>
  <sheetFormatPr defaultRowHeight="15" x14ac:dyDescent="0.25"/>
  <cols>
    <col min="1" max="1" width="14.85546875" style="2" customWidth="1"/>
    <col min="2" max="2" width="12" style="2" bestFit="1" customWidth="1"/>
    <col min="3" max="16384" width="9.140625" style="2"/>
  </cols>
  <sheetData>
    <row r="2" spans="1:25" x14ac:dyDescent="0.25">
      <c r="A2" s="3" t="s">
        <v>0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25</v>
      </c>
      <c r="G2" s="7" t="s">
        <v>26</v>
      </c>
      <c r="H2" s="7" t="s">
        <v>27</v>
      </c>
      <c r="I2" s="7" t="s">
        <v>28</v>
      </c>
      <c r="J2" s="7" t="s">
        <v>29</v>
      </c>
      <c r="K2" s="7" t="s">
        <v>30</v>
      </c>
      <c r="L2" s="7" t="s">
        <v>31</v>
      </c>
      <c r="M2" s="7" t="s">
        <v>32</v>
      </c>
      <c r="N2" s="7" t="s">
        <v>33</v>
      </c>
      <c r="O2" s="7" t="s">
        <v>34</v>
      </c>
      <c r="P2" s="7" t="s">
        <v>35</v>
      </c>
      <c r="Q2" s="7" t="s">
        <v>36</v>
      </c>
      <c r="R2" s="7" t="s">
        <v>37</v>
      </c>
      <c r="S2" s="7" t="s">
        <v>38</v>
      </c>
      <c r="T2" s="7" t="s">
        <v>39</v>
      </c>
      <c r="U2" s="7" t="s">
        <v>40</v>
      </c>
      <c r="V2" s="7" t="s">
        <v>41</v>
      </c>
      <c r="W2" s="7" t="s">
        <v>42</v>
      </c>
      <c r="X2" s="7" t="s">
        <v>43</v>
      </c>
      <c r="Y2" s="7" t="s">
        <v>44</v>
      </c>
    </row>
    <row r="4" spans="1:25" ht="46.5" customHeight="1" x14ac:dyDescent="0.25">
      <c r="A4" s="6" t="s">
        <v>2</v>
      </c>
      <c r="B4" s="7">
        <v>512220300</v>
      </c>
      <c r="C4" s="7">
        <v>508581200</v>
      </c>
      <c r="D4" s="7">
        <v>511703800</v>
      </c>
      <c r="E4" s="7">
        <v>510844400</v>
      </c>
      <c r="F4" s="7">
        <v>522869200</v>
      </c>
      <c r="G4" s="7">
        <v>511900400</v>
      </c>
      <c r="H4" s="7">
        <v>515456000</v>
      </c>
      <c r="I4" s="7">
        <v>518524200</v>
      </c>
      <c r="J4" s="7">
        <v>509962700</v>
      </c>
      <c r="K4" s="7">
        <v>508583300</v>
      </c>
      <c r="L4" s="7">
        <v>513099500</v>
      </c>
      <c r="M4" s="7">
        <v>516815600</v>
      </c>
      <c r="N4" s="7">
        <v>516109700</v>
      </c>
      <c r="O4" s="7">
        <v>508653900</v>
      </c>
      <c r="P4" s="7">
        <v>508582200</v>
      </c>
      <c r="Q4" s="7">
        <v>527586300</v>
      </c>
      <c r="R4" s="7">
        <v>511817300</v>
      </c>
      <c r="S4" s="7">
        <v>515621100</v>
      </c>
      <c r="T4" s="7">
        <v>508533800</v>
      </c>
      <c r="U4" s="7">
        <v>509309700</v>
      </c>
      <c r="V4" s="7">
        <v>508602500</v>
      </c>
      <c r="W4" s="7">
        <v>508516500</v>
      </c>
      <c r="X4" s="7">
        <v>510223800</v>
      </c>
      <c r="Y4" s="7">
        <v>514174100</v>
      </c>
    </row>
    <row r="5" spans="1:25" ht="46.5" customHeight="1" x14ac:dyDescent="0.25">
      <c r="A5" s="4"/>
      <c r="B5" s="7">
        <v>512220300</v>
      </c>
      <c r="C5" s="7">
        <v>508581200</v>
      </c>
      <c r="D5" s="7">
        <v>511703800</v>
      </c>
      <c r="E5" s="7">
        <v>510844400</v>
      </c>
      <c r="F5" s="7">
        <v>522869200</v>
      </c>
      <c r="G5" s="7">
        <v>511900400</v>
      </c>
      <c r="H5" s="7">
        <v>515456000</v>
      </c>
      <c r="I5" s="7">
        <v>518524200</v>
      </c>
      <c r="J5" s="7">
        <v>509962700</v>
      </c>
      <c r="K5" s="7">
        <v>508583300</v>
      </c>
      <c r="L5" s="7">
        <v>513099500</v>
      </c>
      <c r="M5" s="7">
        <v>516815600</v>
      </c>
      <c r="N5" s="7">
        <v>516109700</v>
      </c>
      <c r="O5" s="7">
        <v>508653900</v>
      </c>
      <c r="P5" s="7">
        <v>508582200</v>
      </c>
      <c r="Q5" s="7">
        <v>527586300</v>
      </c>
      <c r="R5" s="7">
        <v>511817300</v>
      </c>
      <c r="S5" s="7">
        <v>515621100</v>
      </c>
      <c r="T5" s="7">
        <v>508533800</v>
      </c>
      <c r="U5" s="7">
        <v>509309700</v>
      </c>
      <c r="V5" s="7">
        <v>508602500</v>
      </c>
      <c r="W5" s="7">
        <v>508516500</v>
      </c>
      <c r="X5" s="7">
        <v>510223800</v>
      </c>
      <c r="Y5" s="7">
        <v>514174100</v>
      </c>
    </row>
    <row r="6" spans="1:25" ht="46.5" customHeight="1" x14ac:dyDescent="0.25">
      <c r="A6" s="4"/>
      <c r="B6" s="7">
        <v>512220300</v>
      </c>
      <c r="C6" s="7">
        <v>508581200</v>
      </c>
      <c r="D6" s="7">
        <v>511703800</v>
      </c>
      <c r="E6" s="7">
        <v>510844400</v>
      </c>
      <c r="F6" s="7">
        <v>522869200</v>
      </c>
      <c r="G6" s="7">
        <v>511900400</v>
      </c>
      <c r="H6" s="7">
        <v>515456000</v>
      </c>
      <c r="I6" s="7">
        <v>518524200</v>
      </c>
      <c r="J6" s="7">
        <v>509962700</v>
      </c>
      <c r="K6" s="7">
        <v>508583300</v>
      </c>
      <c r="L6" s="7">
        <v>513099500</v>
      </c>
      <c r="M6" s="7">
        <v>516815600</v>
      </c>
      <c r="N6" s="7">
        <v>516109700</v>
      </c>
      <c r="O6" s="7">
        <v>508653900</v>
      </c>
      <c r="P6" s="7">
        <v>508582200</v>
      </c>
      <c r="Q6" s="7">
        <v>527586300</v>
      </c>
      <c r="R6" s="7">
        <v>511817300</v>
      </c>
      <c r="S6" s="7">
        <v>515621100</v>
      </c>
      <c r="T6" s="7">
        <v>508533800</v>
      </c>
      <c r="U6" s="7">
        <v>509309700</v>
      </c>
      <c r="V6" s="7">
        <v>508602500</v>
      </c>
      <c r="W6" s="7">
        <v>508516500</v>
      </c>
      <c r="X6" s="7">
        <v>510223800</v>
      </c>
      <c r="Y6" s="7">
        <v>514174100</v>
      </c>
    </row>
    <row r="7" spans="1:25" ht="46.5" customHeight="1" x14ac:dyDescent="0.25">
      <c r="A7" s="4"/>
      <c r="B7" s="7">
        <v>512220300</v>
      </c>
      <c r="C7" s="7">
        <v>508581200</v>
      </c>
      <c r="D7" s="7">
        <v>511703800</v>
      </c>
      <c r="E7" s="7">
        <v>510844400</v>
      </c>
      <c r="F7" s="7">
        <v>522869200</v>
      </c>
      <c r="G7" s="7">
        <v>511900400</v>
      </c>
      <c r="H7" s="7">
        <v>515456000</v>
      </c>
      <c r="I7" s="7">
        <v>518524200</v>
      </c>
      <c r="J7" s="7">
        <v>509962700</v>
      </c>
      <c r="K7" s="7">
        <v>508583300</v>
      </c>
      <c r="L7" s="7">
        <v>513099500</v>
      </c>
      <c r="M7" s="7">
        <v>516815600</v>
      </c>
      <c r="N7" s="7">
        <v>516109700</v>
      </c>
      <c r="O7" s="7">
        <v>508653900</v>
      </c>
      <c r="P7" s="7">
        <v>508582200</v>
      </c>
      <c r="Q7" s="7">
        <v>527586300</v>
      </c>
      <c r="R7" s="7">
        <v>511817300</v>
      </c>
      <c r="S7" s="7">
        <v>515621100</v>
      </c>
      <c r="T7" s="7">
        <v>508533800</v>
      </c>
      <c r="U7" s="7">
        <v>509309700</v>
      </c>
      <c r="V7" s="7">
        <v>508602500</v>
      </c>
      <c r="W7" s="7">
        <v>508516500</v>
      </c>
      <c r="X7" s="7">
        <v>510223800</v>
      </c>
      <c r="Y7" s="7">
        <v>514174100</v>
      </c>
    </row>
    <row r="8" spans="1:25" ht="46.5" customHeight="1" x14ac:dyDescent="0.25">
      <c r="A8" s="4"/>
      <c r="B8" s="7">
        <v>512220300</v>
      </c>
      <c r="C8" s="7">
        <v>508581200</v>
      </c>
      <c r="D8" s="7">
        <v>511703800</v>
      </c>
      <c r="E8" s="7">
        <v>510844400</v>
      </c>
      <c r="F8" s="7">
        <v>522869200</v>
      </c>
      <c r="G8" s="7">
        <v>511900400</v>
      </c>
      <c r="H8" s="7">
        <v>515456000</v>
      </c>
      <c r="I8" s="7">
        <v>518524200</v>
      </c>
      <c r="J8" s="7">
        <v>509962700</v>
      </c>
      <c r="K8" s="7">
        <v>508583300</v>
      </c>
      <c r="L8" s="7">
        <v>513099500</v>
      </c>
      <c r="M8" s="7">
        <v>516815600</v>
      </c>
      <c r="N8" s="7">
        <v>516109700</v>
      </c>
      <c r="O8" s="7">
        <v>508653900</v>
      </c>
      <c r="P8" s="7">
        <v>508582200</v>
      </c>
      <c r="Q8" s="7">
        <v>527586300</v>
      </c>
      <c r="R8" s="7">
        <v>511817300</v>
      </c>
      <c r="S8" s="7">
        <v>515621100</v>
      </c>
      <c r="T8" s="7">
        <v>508533800</v>
      </c>
      <c r="U8" s="7">
        <v>509309700</v>
      </c>
      <c r="V8" s="7">
        <v>508602500</v>
      </c>
      <c r="W8" s="7">
        <v>508516500</v>
      </c>
      <c r="X8" s="7">
        <v>510223800</v>
      </c>
      <c r="Y8" s="7">
        <v>514174100</v>
      </c>
    </row>
    <row r="9" spans="1:25" ht="46.5" customHeight="1" x14ac:dyDescent="0.25">
      <c r="A9" s="4"/>
      <c r="B9" s="7">
        <v>512220300</v>
      </c>
      <c r="C9" s="7">
        <v>508581200</v>
      </c>
      <c r="D9" s="7">
        <v>511703800</v>
      </c>
      <c r="E9" s="7">
        <v>510844400</v>
      </c>
      <c r="F9" s="7">
        <v>522869200</v>
      </c>
      <c r="G9" s="7">
        <v>511900400</v>
      </c>
      <c r="H9" s="7">
        <v>515456000</v>
      </c>
      <c r="I9" s="7">
        <v>518524200</v>
      </c>
      <c r="J9" s="7">
        <v>509962700</v>
      </c>
      <c r="K9" s="7">
        <v>508583300</v>
      </c>
      <c r="L9" s="7">
        <v>513099500</v>
      </c>
      <c r="M9" s="7">
        <v>516815600</v>
      </c>
      <c r="N9" s="7">
        <v>516109700</v>
      </c>
      <c r="O9" s="7">
        <v>508653900</v>
      </c>
      <c r="P9" s="7">
        <v>508582200</v>
      </c>
      <c r="Q9" s="7">
        <v>527586300</v>
      </c>
      <c r="R9" s="7">
        <v>511817300</v>
      </c>
      <c r="S9" s="7">
        <v>515621100</v>
      </c>
      <c r="T9" s="7">
        <v>508533800</v>
      </c>
      <c r="U9" s="7">
        <v>509309700</v>
      </c>
      <c r="V9" s="7">
        <v>508602500</v>
      </c>
      <c r="W9" s="7">
        <v>508516500</v>
      </c>
      <c r="X9" s="7">
        <v>510223800</v>
      </c>
      <c r="Y9" s="7">
        <v>514174100</v>
      </c>
    </row>
    <row r="10" spans="1:25" ht="46.5" customHeight="1" x14ac:dyDescent="0.25">
      <c r="A10" s="4"/>
      <c r="B10" s="7">
        <v>512220300</v>
      </c>
      <c r="C10" s="7">
        <v>508581200</v>
      </c>
      <c r="D10" s="7">
        <v>511703800</v>
      </c>
      <c r="E10" s="7">
        <v>510844400</v>
      </c>
      <c r="F10" s="7">
        <v>522869200</v>
      </c>
      <c r="G10" s="7">
        <v>511900400</v>
      </c>
      <c r="H10" s="7">
        <v>515456000</v>
      </c>
      <c r="I10" s="7">
        <v>518524200</v>
      </c>
      <c r="J10" s="7">
        <v>509962700</v>
      </c>
      <c r="K10" s="7">
        <v>508583300</v>
      </c>
      <c r="L10" s="7">
        <v>513099500</v>
      </c>
      <c r="M10" s="7">
        <v>516815600</v>
      </c>
      <c r="N10" s="7">
        <v>516109700</v>
      </c>
      <c r="O10" s="7">
        <v>508653900</v>
      </c>
      <c r="P10" s="7">
        <v>508582200</v>
      </c>
      <c r="Q10" s="7">
        <v>527586300</v>
      </c>
      <c r="R10" s="7">
        <v>511817300</v>
      </c>
      <c r="S10" s="7">
        <v>515621100</v>
      </c>
      <c r="T10" s="7">
        <v>508533800</v>
      </c>
      <c r="U10" s="7">
        <v>509309700</v>
      </c>
      <c r="V10" s="7">
        <v>508602500</v>
      </c>
      <c r="W10" s="7">
        <v>508516500</v>
      </c>
      <c r="X10" s="7">
        <v>510223800</v>
      </c>
      <c r="Y10" s="7">
        <v>514174100</v>
      </c>
    </row>
    <row r="11" spans="1:25" ht="46.5" customHeight="1" x14ac:dyDescent="0.25">
      <c r="A11" s="4"/>
      <c r="B11" s="7">
        <v>512220300</v>
      </c>
      <c r="C11" s="7">
        <v>508581200</v>
      </c>
      <c r="D11" s="7">
        <v>511703800</v>
      </c>
      <c r="E11" s="7">
        <v>510844400</v>
      </c>
      <c r="F11" s="7">
        <v>522869200</v>
      </c>
      <c r="G11" s="7">
        <v>511900400</v>
      </c>
      <c r="H11" s="7">
        <v>515456000</v>
      </c>
      <c r="I11" s="7">
        <v>518524200</v>
      </c>
      <c r="J11" s="7">
        <v>509962700</v>
      </c>
      <c r="K11" s="7">
        <v>508583300</v>
      </c>
      <c r="L11" s="7">
        <v>513099500</v>
      </c>
      <c r="M11" s="7">
        <v>516815600</v>
      </c>
      <c r="N11" s="7">
        <v>516109700</v>
      </c>
      <c r="O11" s="7">
        <v>508653900</v>
      </c>
      <c r="P11" s="7">
        <v>508582200</v>
      </c>
      <c r="Q11" s="7">
        <v>527586300</v>
      </c>
      <c r="R11" s="7">
        <v>511817300</v>
      </c>
      <c r="S11" s="7">
        <v>515621100</v>
      </c>
      <c r="T11" s="7">
        <v>508533800</v>
      </c>
      <c r="U11" s="7">
        <v>509309700</v>
      </c>
      <c r="V11" s="7">
        <v>508602500</v>
      </c>
      <c r="W11" s="7">
        <v>508516500</v>
      </c>
      <c r="X11" s="7">
        <v>510223800</v>
      </c>
      <c r="Y11" s="7">
        <v>514174100</v>
      </c>
    </row>
    <row r="12" spans="1:25" ht="33.75" customHeight="1" x14ac:dyDescent="0.25">
      <c r="A12" s="4"/>
    </row>
    <row r="13" spans="1:25" ht="28.5" customHeight="1" x14ac:dyDescent="0.25">
      <c r="A13" s="6" t="s">
        <v>5</v>
      </c>
      <c r="B13" s="7">
        <v>83.790999999999997</v>
      </c>
      <c r="C13" s="7">
        <v>0</v>
      </c>
      <c r="D13" s="7">
        <v>64.361999999999995</v>
      </c>
      <c r="E13" s="7">
        <v>82.617999999999995</v>
      </c>
      <c r="F13" s="7">
        <v>74.622</v>
      </c>
      <c r="G13" s="7">
        <v>63.055999999999997</v>
      </c>
      <c r="H13" s="7">
        <v>0</v>
      </c>
      <c r="I13" s="7">
        <v>70.054000000000002</v>
      </c>
      <c r="J13" s="7">
        <v>65.075000000000003</v>
      </c>
      <c r="K13" s="7">
        <v>79.879000000000005</v>
      </c>
      <c r="L13" s="7">
        <v>83.296999999999997</v>
      </c>
      <c r="M13" s="7">
        <v>0</v>
      </c>
      <c r="N13" s="7">
        <v>58.054000000000002</v>
      </c>
      <c r="O13" s="7">
        <v>0</v>
      </c>
      <c r="P13" s="7">
        <v>75.603999999999999</v>
      </c>
      <c r="Q13" s="7">
        <v>86.001000000000005</v>
      </c>
      <c r="R13" s="7">
        <v>78.265000000000001</v>
      </c>
      <c r="S13" s="7">
        <v>71.213999999999999</v>
      </c>
      <c r="T13" s="7">
        <v>77.763999999999996</v>
      </c>
      <c r="U13" s="7">
        <v>68.286000000000001</v>
      </c>
      <c r="V13" s="7">
        <v>84.834999999999994</v>
      </c>
      <c r="W13" s="7">
        <v>68.566000000000003</v>
      </c>
      <c r="X13" s="7">
        <v>0</v>
      </c>
      <c r="Y13" s="7">
        <v>77.992000000000004</v>
      </c>
    </row>
    <row r="14" spans="1:25" ht="28.5" customHeight="1" x14ac:dyDescent="0.25">
      <c r="A14" s="4"/>
      <c r="B14" s="7">
        <v>85.715000000000003</v>
      </c>
      <c r="C14" s="7">
        <v>0</v>
      </c>
      <c r="D14" s="7">
        <v>64.852999999999994</v>
      </c>
      <c r="E14" s="7">
        <v>83.798000000000002</v>
      </c>
      <c r="F14" s="7">
        <v>75.132999999999996</v>
      </c>
      <c r="G14" s="7">
        <v>63.427</v>
      </c>
      <c r="H14" s="7">
        <v>0</v>
      </c>
      <c r="I14" s="7">
        <v>70.828000000000003</v>
      </c>
      <c r="J14" s="7">
        <v>65.584000000000003</v>
      </c>
      <c r="K14" s="7">
        <v>80.997</v>
      </c>
      <c r="L14" s="7">
        <v>84.245000000000005</v>
      </c>
      <c r="M14" s="7">
        <v>0</v>
      </c>
      <c r="N14" s="7">
        <v>57.302999999999997</v>
      </c>
      <c r="O14" s="7">
        <v>0</v>
      </c>
      <c r="P14" s="7">
        <v>77.466999999999999</v>
      </c>
      <c r="Q14" s="7">
        <v>88.667000000000002</v>
      </c>
      <c r="R14" s="7">
        <v>79.498999999999995</v>
      </c>
      <c r="S14" s="7">
        <v>73.861999999999995</v>
      </c>
      <c r="T14" s="7">
        <v>78.566000000000003</v>
      </c>
      <c r="U14" s="7">
        <v>69.305999999999997</v>
      </c>
      <c r="V14" s="7">
        <v>85.968999999999994</v>
      </c>
      <c r="W14" s="7">
        <v>69.28</v>
      </c>
      <c r="X14" s="7">
        <v>0</v>
      </c>
      <c r="Y14" s="7">
        <v>78.941000000000003</v>
      </c>
    </row>
    <row r="15" spans="1:25" ht="28.5" customHeight="1" x14ac:dyDescent="0.25">
      <c r="A15" s="4"/>
      <c r="B15" s="7">
        <v>87.575000000000003</v>
      </c>
      <c r="C15" s="7">
        <v>0</v>
      </c>
      <c r="D15" s="7">
        <v>65.477000000000004</v>
      </c>
      <c r="E15" s="7">
        <v>84.932000000000002</v>
      </c>
      <c r="F15" s="7">
        <v>75.747</v>
      </c>
      <c r="G15" s="7">
        <v>63.838999999999999</v>
      </c>
      <c r="H15" s="7">
        <v>0</v>
      </c>
      <c r="I15" s="7">
        <v>71.516000000000005</v>
      </c>
      <c r="J15" s="7">
        <v>66.102000000000004</v>
      </c>
      <c r="K15" s="7">
        <v>81.954999999999998</v>
      </c>
      <c r="L15" s="7">
        <v>85.450999999999993</v>
      </c>
      <c r="M15" s="7">
        <v>0</v>
      </c>
      <c r="N15" s="7">
        <v>51.99</v>
      </c>
      <c r="O15" s="7">
        <v>0</v>
      </c>
      <c r="P15" s="7">
        <v>78.891999999999996</v>
      </c>
      <c r="Q15" s="7">
        <v>90.867000000000004</v>
      </c>
      <c r="R15" s="7">
        <v>80.682000000000002</v>
      </c>
      <c r="S15" s="7">
        <v>69.923000000000002</v>
      </c>
      <c r="T15" s="7">
        <v>79.512</v>
      </c>
      <c r="U15" s="7">
        <v>70.253</v>
      </c>
      <c r="V15" s="7">
        <v>87.206999999999994</v>
      </c>
      <c r="W15" s="7">
        <v>70.129000000000005</v>
      </c>
      <c r="X15" s="7">
        <v>0</v>
      </c>
      <c r="Y15" s="7">
        <v>80.046999999999997</v>
      </c>
    </row>
    <row r="16" spans="1:25" ht="28.5" customHeight="1" x14ac:dyDescent="0.25">
      <c r="A16" s="4"/>
      <c r="B16" s="7">
        <v>88.474000000000004</v>
      </c>
      <c r="C16" s="7">
        <v>0</v>
      </c>
      <c r="D16" s="7">
        <v>65.69</v>
      </c>
      <c r="E16" s="7">
        <v>85.495000000000005</v>
      </c>
      <c r="F16" s="7">
        <v>76.156999999999996</v>
      </c>
      <c r="G16" s="7">
        <v>63.999000000000002</v>
      </c>
      <c r="H16" s="7">
        <v>0</v>
      </c>
      <c r="I16" s="7">
        <v>72.016000000000005</v>
      </c>
      <c r="J16" s="7">
        <v>66.418999999999997</v>
      </c>
      <c r="K16" s="7">
        <v>82.712999999999994</v>
      </c>
      <c r="L16" s="7">
        <v>85.844999999999999</v>
      </c>
      <c r="M16" s="7">
        <v>0</v>
      </c>
      <c r="N16" s="7">
        <v>45.192</v>
      </c>
      <c r="O16" s="7">
        <v>0</v>
      </c>
      <c r="P16" s="7">
        <v>79.465999999999994</v>
      </c>
      <c r="Q16" s="7">
        <v>91.903000000000006</v>
      </c>
      <c r="R16" s="7">
        <v>81.194000000000003</v>
      </c>
      <c r="S16" s="7">
        <v>65.722999999999999</v>
      </c>
      <c r="T16" s="7">
        <v>80.064999999999998</v>
      </c>
      <c r="U16" s="7">
        <v>70.760000000000005</v>
      </c>
      <c r="V16" s="7">
        <v>87.873999999999995</v>
      </c>
      <c r="W16" s="7">
        <v>70.450999999999993</v>
      </c>
      <c r="X16" s="7">
        <v>0</v>
      </c>
      <c r="Y16" s="7">
        <v>80.709999999999994</v>
      </c>
    </row>
    <row r="17" spans="1:25" ht="28.5" customHeight="1" x14ac:dyDescent="0.25">
      <c r="A17" s="4"/>
      <c r="B17" s="7">
        <v>89.566999999999993</v>
      </c>
      <c r="C17" s="7">
        <v>0</v>
      </c>
      <c r="D17" s="7">
        <v>66.045000000000002</v>
      </c>
      <c r="E17" s="7">
        <v>86.063000000000002</v>
      </c>
      <c r="F17" s="7">
        <v>76.447000000000003</v>
      </c>
      <c r="G17" s="7">
        <v>64.213999999999999</v>
      </c>
      <c r="H17" s="7">
        <v>0</v>
      </c>
      <c r="I17" s="7">
        <v>72.384</v>
      </c>
      <c r="J17" s="7">
        <v>66.707999999999998</v>
      </c>
      <c r="K17" s="7">
        <v>83.203999999999994</v>
      </c>
      <c r="L17" s="7">
        <v>86.378</v>
      </c>
      <c r="M17" s="7">
        <v>0</v>
      </c>
      <c r="N17" s="7">
        <v>40.994999999999997</v>
      </c>
      <c r="O17" s="7">
        <v>0</v>
      </c>
      <c r="P17" s="7">
        <v>80.703999999999994</v>
      </c>
      <c r="Q17" s="7">
        <v>93.256</v>
      </c>
      <c r="R17" s="7">
        <v>81.649000000000001</v>
      </c>
      <c r="S17" s="7">
        <v>61.749000000000002</v>
      </c>
      <c r="T17" s="7">
        <v>80.423000000000002</v>
      </c>
      <c r="U17" s="7">
        <v>71.323999999999998</v>
      </c>
      <c r="V17" s="7">
        <v>88.64</v>
      </c>
      <c r="W17" s="7">
        <v>70.882999999999996</v>
      </c>
      <c r="X17" s="7">
        <v>0</v>
      </c>
      <c r="Y17" s="7">
        <v>81.203999999999994</v>
      </c>
    </row>
    <row r="18" spans="1:25" ht="28.5" customHeight="1" x14ac:dyDescent="0.25">
      <c r="A18" s="4"/>
      <c r="B18" s="7">
        <v>83.581000000000003</v>
      </c>
      <c r="C18" s="7">
        <v>0</v>
      </c>
      <c r="D18" s="7">
        <v>66.367000000000004</v>
      </c>
      <c r="E18" s="7">
        <v>86.474999999999994</v>
      </c>
      <c r="F18" s="7">
        <v>76.8</v>
      </c>
      <c r="G18" s="7">
        <v>64.540000000000006</v>
      </c>
      <c r="H18" s="7">
        <v>0</v>
      </c>
      <c r="I18" s="7">
        <v>72.742999999999995</v>
      </c>
      <c r="J18" s="7">
        <v>67.037999999999997</v>
      </c>
      <c r="K18" s="7">
        <v>83.807000000000002</v>
      </c>
      <c r="L18" s="7">
        <v>86.861000000000004</v>
      </c>
      <c r="M18" s="7">
        <v>0</v>
      </c>
      <c r="N18" s="7">
        <v>36.887999999999998</v>
      </c>
      <c r="O18" s="7">
        <v>0</v>
      </c>
      <c r="P18" s="7">
        <v>81.697999999999993</v>
      </c>
      <c r="Q18" s="7">
        <v>94.475999999999999</v>
      </c>
      <c r="R18" s="7">
        <v>82.287999999999997</v>
      </c>
      <c r="S18" s="7">
        <v>58.055999999999997</v>
      </c>
      <c r="T18" s="7">
        <v>80.905000000000001</v>
      </c>
      <c r="U18" s="7">
        <v>71.748999999999995</v>
      </c>
      <c r="V18" s="7">
        <v>89.265000000000001</v>
      </c>
      <c r="W18" s="7">
        <v>71.132000000000005</v>
      </c>
      <c r="X18" s="7">
        <v>0</v>
      </c>
      <c r="Y18" s="7">
        <v>81.73</v>
      </c>
    </row>
    <row r="19" spans="1:25" ht="28.5" customHeight="1" x14ac:dyDescent="0.25">
      <c r="A19" s="4"/>
      <c r="B19" s="7">
        <v>79.2</v>
      </c>
      <c r="C19" s="7">
        <v>0</v>
      </c>
      <c r="D19" s="7">
        <v>66.605999999999995</v>
      </c>
      <c r="E19" s="7">
        <v>86.991</v>
      </c>
      <c r="F19" s="7">
        <v>77.116</v>
      </c>
      <c r="G19" s="7">
        <v>64.703999999999994</v>
      </c>
      <c r="H19" s="7">
        <v>0</v>
      </c>
      <c r="I19" s="7">
        <v>73.269000000000005</v>
      </c>
      <c r="J19" s="7">
        <v>67.284000000000006</v>
      </c>
      <c r="K19" s="7">
        <v>84.388999999999996</v>
      </c>
      <c r="L19" s="7">
        <v>87.29</v>
      </c>
      <c r="M19" s="7">
        <v>0</v>
      </c>
      <c r="N19" s="7">
        <v>34.707000000000001</v>
      </c>
      <c r="O19" s="7">
        <v>0</v>
      </c>
      <c r="P19" s="7">
        <v>82.632999999999996</v>
      </c>
      <c r="Q19" s="7">
        <v>95.72</v>
      </c>
      <c r="R19" s="7">
        <v>82.831999999999994</v>
      </c>
      <c r="S19" s="7">
        <v>57.905999999999999</v>
      </c>
      <c r="T19" s="7">
        <v>81.364000000000004</v>
      </c>
      <c r="U19" s="7">
        <v>72.400000000000006</v>
      </c>
      <c r="V19" s="7">
        <v>90.012</v>
      </c>
      <c r="W19" s="7">
        <v>71.417000000000002</v>
      </c>
      <c r="X19" s="7">
        <v>0</v>
      </c>
      <c r="Y19" s="7">
        <v>82.17</v>
      </c>
    </row>
    <row r="20" spans="1:25" ht="28.5" customHeight="1" x14ac:dyDescent="0.25">
      <c r="A20" s="4"/>
      <c r="B20" s="7">
        <v>76.221000000000004</v>
      </c>
      <c r="C20" s="7">
        <v>0</v>
      </c>
      <c r="D20" s="7">
        <v>67.046999999999997</v>
      </c>
      <c r="E20" s="7">
        <v>87.531000000000006</v>
      </c>
      <c r="F20" s="7">
        <v>77.480999999999995</v>
      </c>
      <c r="G20" s="7">
        <v>64.867000000000004</v>
      </c>
      <c r="H20" s="7">
        <v>0</v>
      </c>
      <c r="I20" s="7">
        <v>73.662000000000006</v>
      </c>
      <c r="J20" s="7">
        <v>67.41</v>
      </c>
      <c r="K20" s="7">
        <v>84.912000000000006</v>
      </c>
      <c r="L20" s="7">
        <v>87.679000000000002</v>
      </c>
      <c r="M20" s="7">
        <v>0</v>
      </c>
      <c r="N20" s="7">
        <v>33.095999999999997</v>
      </c>
      <c r="O20" s="7">
        <v>0</v>
      </c>
      <c r="P20" s="7">
        <v>83.617999999999995</v>
      </c>
      <c r="Q20" s="7">
        <v>96.679000000000002</v>
      </c>
      <c r="R20" s="7">
        <v>83.597999999999999</v>
      </c>
      <c r="S20" s="7">
        <v>54.491999999999997</v>
      </c>
      <c r="T20" s="7">
        <v>81.790000000000006</v>
      </c>
      <c r="U20" s="7">
        <v>72.953000000000003</v>
      </c>
      <c r="V20" s="7">
        <v>90.861000000000004</v>
      </c>
      <c r="W20" s="7">
        <v>71.701999999999998</v>
      </c>
      <c r="X20" s="7">
        <v>0</v>
      </c>
      <c r="Y20" s="7">
        <v>82.713999999999999</v>
      </c>
    </row>
    <row r="21" spans="1:25" ht="28.5" customHeight="1" x14ac:dyDescent="0.25">
      <c r="A21" s="4"/>
    </row>
    <row r="22" spans="1:25" ht="30" x14ac:dyDescent="0.25">
      <c r="A22" s="6" t="s">
        <v>4</v>
      </c>
      <c r="B22" s="7">
        <v>0</v>
      </c>
      <c r="C22" s="7">
        <v>-9.5344000000000002E-13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18.215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2.5616699999999999E-12</v>
      </c>
      <c r="Y22" s="7">
        <v>0</v>
      </c>
    </row>
    <row r="23" spans="1:25" x14ac:dyDescent="0.25"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70.397999999999996</v>
      </c>
      <c r="I23" s="7">
        <v>0</v>
      </c>
      <c r="J23" s="7">
        <v>0</v>
      </c>
      <c r="K23" s="7">
        <v>0</v>
      </c>
      <c r="L23" s="7">
        <v>0</v>
      </c>
      <c r="M23" s="7">
        <v>69.635999999999996</v>
      </c>
      <c r="N23" s="7">
        <v>29.056999999999999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58.512</v>
      </c>
      <c r="Y23" s="7">
        <v>0</v>
      </c>
    </row>
    <row r="24" spans="1:25" x14ac:dyDescent="0.25"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74.516999999999996</v>
      </c>
      <c r="I24" s="7">
        <v>0</v>
      </c>
      <c r="J24" s="7">
        <v>0</v>
      </c>
      <c r="K24" s="7">
        <v>0</v>
      </c>
      <c r="L24" s="7">
        <v>0</v>
      </c>
      <c r="M24" s="7">
        <v>73.605000000000004</v>
      </c>
      <c r="N24" s="7">
        <v>41.456000000000003</v>
      </c>
      <c r="O24" s="7">
        <v>0</v>
      </c>
      <c r="P24" s="7">
        <v>0</v>
      </c>
      <c r="Q24" s="7">
        <v>0</v>
      </c>
      <c r="R24" s="7">
        <v>0</v>
      </c>
      <c r="S24" s="7">
        <v>12.848000000000001</v>
      </c>
      <c r="T24" s="7">
        <v>0</v>
      </c>
      <c r="U24" s="7">
        <v>0</v>
      </c>
      <c r="V24" s="7">
        <v>0</v>
      </c>
      <c r="W24" s="7">
        <v>0</v>
      </c>
      <c r="X24" s="7">
        <v>62.99</v>
      </c>
      <c r="Y24" s="7">
        <v>0</v>
      </c>
    </row>
    <row r="25" spans="1:25" x14ac:dyDescent="0.25"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77.043999999999997</v>
      </c>
      <c r="I25" s="7">
        <v>0</v>
      </c>
      <c r="J25" s="7">
        <v>0</v>
      </c>
      <c r="K25" s="7">
        <v>0</v>
      </c>
      <c r="L25" s="7">
        <v>0</v>
      </c>
      <c r="M25" s="7">
        <v>76.680000000000007</v>
      </c>
      <c r="N25" s="7">
        <v>52.478999999999999</v>
      </c>
      <c r="O25" s="7">
        <v>0</v>
      </c>
      <c r="P25" s="7">
        <v>0</v>
      </c>
      <c r="Q25" s="7">
        <v>0</v>
      </c>
      <c r="R25" s="7">
        <v>0</v>
      </c>
      <c r="S25" s="7">
        <v>24.283000000000001</v>
      </c>
      <c r="T25" s="7">
        <v>0</v>
      </c>
      <c r="U25" s="7">
        <v>0</v>
      </c>
      <c r="V25" s="7">
        <v>0</v>
      </c>
      <c r="W25" s="7">
        <v>0</v>
      </c>
      <c r="X25" s="7">
        <v>66.335999999999999</v>
      </c>
      <c r="Y25" s="7">
        <v>0</v>
      </c>
    </row>
    <row r="26" spans="1:25" x14ac:dyDescent="0.25">
      <c r="B26" s="7">
        <v>1.0999999999999999E-2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79.585999999999999</v>
      </c>
      <c r="I26" s="7">
        <v>0</v>
      </c>
      <c r="J26" s="7">
        <v>0</v>
      </c>
      <c r="K26" s="7">
        <v>0</v>
      </c>
      <c r="L26" s="7">
        <v>0</v>
      </c>
      <c r="M26" s="7">
        <v>79.096999999999994</v>
      </c>
      <c r="N26" s="7">
        <v>58.610999999999997</v>
      </c>
      <c r="O26" s="7">
        <v>0</v>
      </c>
      <c r="P26" s="7">
        <v>0</v>
      </c>
      <c r="Q26" s="7">
        <v>0</v>
      </c>
      <c r="R26" s="7">
        <v>0</v>
      </c>
      <c r="S26" s="7">
        <v>35.177999999999997</v>
      </c>
      <c r="T26" s="7">
        <v>0</v>
      </c>
      <c r="U26" s="7">
        <v>0</v>
      </c>
      <c r="V26" s="7">
        <v>0</v>
      </c>
      <c r="W26" s="7">
        <v>0</v>
      </c>
      <c r="X26" s="7">
        <v>69.400999999999996</v>
      </c>
      <c r="Y26" s="7">
        <v>0</v>
      </c>
    </row>
    <row r="27" spans="1:25" x14ac:dyDescent="0.25">
      <c r="B27" s="7">
        <v>17.126999999999999</v>
      </c>
      <c r="C27" s="7">
        <v>56.308999999999997</v>
      </c>
      <c r="D27" s="7">
        <v>0</v>
      </c>
      <c r="E27" s="7">
        <v>0</v>
      </c>
      <c r="F27" s="7">
        <v>0</v>
      </c>
      <c r="G27" s="7">
        <v>0</v>
      </c>
      <c r="H27" s="7">
        <v>82.07</v>
      </c>
      <c r="I27" s="7">
        <v>0</v>
      </c>
      <c r="J27" s="7">
        <v>0</v>
      </c>
      <c r="K27" s="7">
        <v>0</v>
      </c>
      <c r="L27" s="7">
        <v>0</v>
      </c>
      <c r="M27" s="7">
        <v>81.647000000000006</v>
      </c>
      <c r="N27" s="7">
        <v>64.906999999999996</v>
      </c>
      <c r="O27" s="7">
        <v>0</v>
      </c>
      <c r="P27" s="7">
        <v>0</v>
      </c>
      <c r="Q27" s="7">
        <v>0</v>
      </c>
      <c r="R27" s="7">
        <v>0</v>
      </c>
      <c r="S27" s="7">
        <v>43.195999999999998</v>
      </c>
      <c r="T27" s="7">
        <v>0</v>
      </c>
      <c r="U27" s="7">
        <v>0</v>
      </c>
      <c r="V27" s="7">
        <v>0</v>
      </c>
      <c r="W27" s="7">
        <v>0</v>
      </c>
      <c r="X27" s="7">
        <v>71.638999999999996</v>
      </c>
      <c r="Y27" s="7">
        <v>0</v>
      </c>
    </row>
    <row r="28" spans="1:25" x14ac:dyDescent="0.25">
      <c r="B28" s="7">
        <v>29.27</v>
      </c>
      <c r="C28" s="7">
        <v>59.747999999999998</v>
      </c>
      <c r="D28" s="7">
        <v>0</v>
      </c>
      <c r="E28" s="7">
        <v>0</v>
      </c>
      <c r="F28" s="7">
        <v>0</v>
      </c>
      <c r="G28" s="7">
        <v>0</v>
      </c>
      <c r="H28" s="7">
        <v>84.8</v>
      </c>
      <c r="I28" s="7">
        <v>0</v>
      </c>
      <c r="J28" s="7">
        <v>0</v>
      </c>
      <c r="K28" s="7">
        <v>0</v>
      </c>
      <c r="L28" s="7">
        <v>0</v>
      </c>
      <c r="M28" s="7">
        <v>84.37</v>
      </c>
      <c r="N28" s="7">
        <v>68.835999999999999</v>
      </c>
      <c r="O28" s="7">
        <v>0</v>
      </c>
      <c r="P28" s="7">
        <v>0</v>
      </c>
      <c r="Q28" s="7">
        <v>0</v>
      </c>
      <c r="R28" s="7">
        <v>0</v>
      </c>
      <c r="S28" s="7">
        <v>48.985999999999997</v>
      </c>
      <c r="T28" s="7">
        <v>0</v>
      </c>
      <c r="U28" s="7">
        <v>0</v>
      </c>
      <c r="V28" s="7">
        <v>0</v>
      </c>
      <c r="W28" s="7">
        <v>0</v>
      </c>
      <c r="X28" s="7">
        <v>74.513999999999996</v>
      </c>
      <c r="Y28" s="7">
        <v>0</v>
      </c>
    </row>
    <row r="29" spans="1:25" x14ac:dyDescent="0.25">
      <c r="B29" s="7">
        <v>36.465000000000003</v>
      </c>
      <c r="C29" s="7">
        <v>62.956000000000003</v>
      </c>
      <c r="D29" s="7">
        <v>0</v>
      </c>
      <c r="E29" s="7">
        <v>0</v>
      </c>
      <c r="F29" s="7">
        <v>0</v>
      </c>
      <c r="G29" s="7">
        <v>0</v>
      </c>
      <c r="H29" s="7">
        <v>87.254999999999995</v>
      </c>
      <c r="I29" s="7">
        <v>0</v>
      </c>
      <c r="J29" s="7">
        <v>0</v>
      </c>
      <c r="K29" s="7">
        <v>0</v>
      </c>
      <c r="L29" s="7">
        <v>0</v>
      </c>
      <c r="M29" s="7">
        <v>86.677000000000007</v>
      </c>
      <c r="N29" s="7">
        <v>72.087999999999994</v>
      </c>
      <c r="O29" s="7">
        <v>55.097999999999999</v>
      </c>
      <c r="P29" s="7">
        <v>0</v>
      </c>
      <c r="Q29" s="7">
        <v>1.123</v>
      </c>
      <c r="R29" s="7">
        <v>0</v>
      </c>
      <c r="S29" s="7">
        <v>55.226999999999997</v>
      </c>
      <c r="T29" s="7">
        <v>0</v>
      </c>
      <c r="U29" s="7">
        <v>0</v>
      </c>
      <c r="V29" s="7">
        <v>0</v>
      </c>
      <c r="W29" s="7">
        <v>0</v>
      </c>
      <c r="X29" s="7">
        <v>77.451999999999998</v>
      </c>
      <c r="Y29" s="7">
        <v>0</v>
      </c>
    </row>
    <row r="31" spans="1:25" x14ac:dyDescent="0.25">
      <c r="A31" s="6" t="s">
        <v>19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</row>
    <row r="32" spans="1:25" x14ac:dyDescent="0.25"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</row>
    <row r="33" spans="1:25" x14ac:dyDescent="0.25"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</row>
    <row r="34" spans="1:25" x14ac:dyDescent="0.25"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</row>
    <row r="35" spans="1:25" x14ac:dyDescent="0.25"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</row>
    <row r="36" spans="1:25" x14ac:dyDescent="0.25"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</row>
    <row r="37" spans="1:25" x14ac:dyDescent="0.25"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</row>
    <row r="38" spans="1:25" x14ac:dyDescent="0.25"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</row>
    <row r="40" spans="1:25" ht="45" x14ac:dyDescent="0.25">
      <c r="A40" s="6" t="s">
        <v>3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</row>
    <row r="41" spans="1:25" x14ac:dyDescent="0.25"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</row>
    <row r="42" spans="1:25" x14ac:dyDescent="0.25"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</row>
    <row r="43" spans="1:25" x14ac:dyDescent="0.25"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</row>
    <row r="44" spans="1:25" x14ac:dyDescent="0.25"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</row>
    <row r="45" spans="1:25" x14ac:dyDescent="0.25"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</row>
    <row r="46" spans="1:25" x14ac:dyDescent="0.25"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</row>
    <row r="47" spans="1:25" x14ac:dyDescent="0.25"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</row>
    <row r="49" spans="1:25" x14ac:dyDescent="0.25">
      <c r="A49" s="6" t="s">
        <v>20</v>
      </c>
      <c r="B49" s="7">
        <v>5.4820391898170541E-2</v>
      </c>
      <c r="C49" s="7">
        <v>5.5000002395620043E-2</v>
      </c>
      <c r="D49" s="7">
        <v>2.8788569037593144E-2</v>
      </c>
      <c r="E49" s="7">
        <v>4.0296465849648237E-2</v>
      </c>
      <c r="F49" s="7">
        <v>2.9060612815707119E-2</v>
      </c>
      <c r="G49" s="7">
        <v>2.84883658199271E-2</v>
      </c>
      <c r="H49" s="7">
        <v>5.5000002363668712E-2</v>
      </c>
      <c r="I49" s="7">
        <v>3.0869592323870172E-2</v>
      </c>
      <c r="J49" s="7">
        <v>2.8640174081570633E-2</v>
      </c>
      <c r="K49" s="7">
        <v>3.7275421535544542E-2</v>
      </c>
      <c r="L49" s="7">
        <v>3.8386374408070599E-2</v>
      </c>
      <c r="M49" s="7">
        <v>5.4999995285099058E-2</v>
      </c>
      <c r="N49" s="7">
        <v>5.8568770001801981E-2</v>
      </c>
      <c r="O49" s="7">
        <v>5.4999998403148224E-2</v>
      </c>
      <c r="P49" s="7">
        <v>4.7442904507589312E-2</v>
      </c>
      <c r="Q49" s="7">
        <v>4.977943652201116E-2</v>
      </c>
      <c r="R49" s="7">
        <v>4.1469050356214017E-2</v>
      </c>
      <c r="S49" s="7">
        <v>5.7235008464738814E-2</v>
      </c>
      <c r="T49" s="7">
        <v>3.539370017743617E-2</v>
      </c>
      <c r="U49" s="7">
        <v>4.0609556398032917E-2</v>
      </c>
      <c r="V49" s="7">
        <v>3.9491038280566153E-2</v>
      </c>
      <c r="W49" s="7">
        <v>2.8599725586722104E-2</v>
      </c>
      <c r="X49" s="7">
        <v>0.06</v>
      </c>
      <c r="Y49" s="7">
        <v>4.0781418214187827E-2</v>
      </c>
    </row>
    <row r="50" spans="1:25" x14ac:dyDescent="0.25">
      <c r="B50" s="7">
        <v>5.4441877318144122E-2</v>
      </c>
      <c r="C50" s="7">
        <v>5.5000002395620043E-2</v>
      </c>
      <c r="D50" s="7">
        <v>2.8499483799035916E-2</v>
      </c>
      <c r="E50" s="7">
        <v>3.9923434930900795E-2</v>
      </c>
      <c r="F50" s="7">
        <v>2.8732821889803778E-2</v>
      </c>
      <c r="G50" s="7">
        <v>2.8205627413011011E-2</v>
      </c>
      <c r="H50" s="7">
        <v>5.464537326819903E-2</v>
      </c>
      <c r="I50" s="7">
        <v>3.0558698037952695E-2</v>
      </c>
      <c r="J50" s="7">
        <v>2.8346804841205678E-2</v>
      </c>
      <c r="K50" s="7">
        <v>3.6913444850580207E-2</v>
      </c>
      <c r="L50" s="7">
        <v>3.8013051653508108E-2</v>
      </c>
      <c r="M50" s="7">
        <v>5.4717619867712453E-2</v>
      </c>
      <c r="N50" s="7">
        <v>5.8159428968471615E-2</v>
      </c>
      <c r="O50" s="7">
        <v>5.4999998403148224E-2</v>
      </c>
      <c r="P50" s="7">
        <v>4.7098415061072214E-2</v>
      </c>
      <c r="Q50" s="7">
        <v>4.9400538133934288E-2</v>
      </c>
      <c r="R50" s="7">
        <v>4.1116232478923292E-2</v>
      </c>
      <c r="S50" s="7">
        <v>5.6913258599149134E-2</v>
      </c>
      <c r="T50" s="7">
        <v>3.5041734795138613E-2</v>
      </c>
      <c r="U50" s="7">
        <v>4.0300341477635546E-2</v>
      </c>
      <c r="V50" s="7">
        <v>3.9107100336666353E-2</v>
      </c>
      <c r="W50" s="7">
        <v>2.8289261623830188E-2</v>
      </c>
      <c r="X50" s="7">
        <v>5.9959214537581684E-2</v>
      </c>
      <c r="Y50" s="7">
        <v>4.0432065854854878E-2</v>
      </c>
    </row>
    <row r="51" spans="1:25" x14ac:dyDescent="0.25">
      <c r="B51" s="7">
        <v>5.4054847349367212E-2</v>
      </c>
      <c r="C51" s="7">
        <v>5.5000002395620043E-2</v>
      </c>
      <c r="D51" s="7">
        <v>2.8208176293105638E-2</v>
      </c>
      <c r="E51" s="7">
        <v>3.9545331898301415E-2</v>
      </c>
      <c r="F51" s="7">
        <v>2.8402623135194923E-2</v>
      </c>
      <c r="G51" s="7">
        <v>2.7921048405881544E-2</v>
      </c>
      <c r="H51" s="7">
        <v>5.4187735490343863E-2</v>
      </c>
      <c r="I51" s="7">
        <v>3.0244529861484667E-2</v>
      </c>
      <c r="J51" s="7">
        <v>2.8051173891077332E-2</v>
      </c>
      <c r="K51" s="7">
        <v>3.6546884564972376E-2</v>
      </c>
      <c r="L51" s="7">
        <v>3.7634821548145701E-2</v>
      </c>
      <c r="M51" s="7">
        <v>5.4260180178367846E-2</v>
      </c>
      <c r="N51" s="7">
        <v>5.768280869955926E-2</v>
      </c>
      <c r="O51" s="7">
        <v>5.4999998403148224E-2</v>
      </c>
      <c r="P51" s="7">
        <v>4.6747042213931618E-2</v>
      </c>
      <c r="Q51" s="7">
        <v>4.9011232395065496E-2</v>
      </c>
      <c r="R51" s="7">
        <v>4.0758320388848718E-2</v>
      </c>
      <c r="S51" s="7">
        <v>5.6554899348608141E-2</v>
      </c>
      <c r="T51" s="7">
        <v>3.4686111758432531E-2</v>
      </c>
      <c r="U51" s="7">
        <v>3.9986693025448473E-2</v>
      </c>
      <c r="V51" s="7">
        <v>3.8717173593258943E-2</v>
      </c>
      <c r="W51" s="7">
        <v>2.7975235719088973E-2</v>
      </c>
      <c r="X51" s="7">
        <v>5.9519170918468874E-2</v>
      </c>
      <c r="Y51" s="7">
        <v>4.0078385096405614E-2</v>
      </c>
    </row>
    <row r="52" spans="1:25" x14ac:dyDescent="0.25">
      <c r="B52" s="7">
        <v>5.3865193625985734E-2</v>
      </c>
      <c r="C52" s="7">
        <v>5.5000002395620043E-2</v>
      </c>
      <c r="D52" s="7">
        <v>2.8066601988103887E-2</v>
      </c>
      <c r="E52" s="7">
        <v>3.9361034494985209E-2</v>
      </c>
      <c r="F52" s="7">
        <v>2.8242215140271556E-2</v>
      </c>
      <c r="G52" s="7">
        <v>2.7783130327823591E-2</v>
      </c>
      <c r="H52" s="7">
        <v>5.370709133704387E-2</v>
      </c>
      <c r="I52" s="7">
        <v>3.0091659536686528E-2</v>
      </c>
      <c r="J52" s="7">
        <v>2.7907571248635805E-2</v>
      </c>
      <c r="K52" s="7">
        <v>3.6368060256940359E-2</v>
      </c>
      <c r="L52" s="7">
        <v>3.7450542610526993E-2</v>
      </c>
      <c r="M52" s="7">
        <v>5.3782623578339496E-2</v>
      </c>
      <c r="N52" s="7">
        <v>5.7273184385236965E-2</v>
      </c>
      <c r="O52" s="7">
        <v>5.4999998403148224E-2</v>
      </c>
      <c r="P52" s="7">
        <v>4.6575116906015228E-2</v>
      </c>
      <c r="Q52" s="7">
        <v>4.8819912649072601E-2</v>
      </c>
      <c r="R52" s="7">
        <v>4.0583561911666031E-2</v>
      </c>
      <c r="S52" s="7">
        <v>5.6286756082411446E-2</v>
      </c>
      <c r="T52" s="7">
        <v>3.4512796439712674E-2</v>
      </c>
      <c r="U52" s="7">
        <v>3.9833815918484256E-2</v>
      </c>
      <c r="V52" s="7">
        <v>3.8527129022217485E-2</v>
      </c>
      <c r="W52" s="7">
        <v>2.782250348607089E-2</v>
      </c>
      <c r="X52" s="7">
        <v>5.905384731718577E-2</v>
      </c>
      <c r="Y52" s="7">
        <v>3.9905707246988088E-2</v>
      </c>
    </row>
    <row r="53" spans="1:25" x14ac:dyDescent="0.25">
      <c r="B53" s="7">
        <v>5.367324058906827E-2</v>
      </c>
      <c r="C53" s="7">
        <v>5.5000002395620043E-2</v>
      </c>
      <c r="D53" s="7">
        <v>2.7924297509536702E-2</v>
      </c>
      <c r="E53" s="7">
        <v>3.9175528688368849E-2</v>
      </c>
      <c r="F53" s="7">
        <v>2.808096828889595E-2</v>
      </c>
      <c r="G53" s="7">
        <v>2.7644783834198734E-2</v>
      </c>
      <c r="H53" s="7">
        <v>5.321038999430671E-2</v>
      </c>
      <c r="I53" s="7">
        <v>2.9937818009906886E-2</v>
      </c>
      <c r="J53" s="7">
        <v>2.7763283722251848E-2</v>
      </c>
      <c r="K53" s="7">
        <v>3.618795829019239E-2</v>
      </c>
      <c r="L53" s="7">
        <v>3.726517139160121E-2</v>
      </c>
      <c r="M53" s="7">
        <v>5.3287826157201713E-2</v>
      </c>
      <c r="N53" s="7">
        <v>5.6819226595678549E-2</v>
      </c>
      <c r="O53" s="7">
        <v>5.4999998403148224E-2</v>
      </c>
      <c r="P53" s="7">
        <v>4.6400987632237954E-2</v>
      </c>
      <c r="Q53" s="7">
        <v>4.8625929483424368E-2</v>
      </c>
      <c r="R53" s="7">
        <v>4.0407851245177956E-2</v>
      </c>
      <c r="S53" s="7">
        <v>5.5949237716677071E-2</v>
      </c>
      <c r="T53" s="7">
        <v>3.4338506811303203E-2</v>
      </c>
      <c r="U53" s="7">
        <v>3.9679806506638493E-2</v>
      </c>
      <c r="V53" s="7">
        <v>3.8335503408106021E-2</v>
      </c>
      <c r="W53" s="7">
        <v>2.7669068448382989E-2</v>
      </c>
      <c r="X53" s="7">
        <v>5.85670007084126E-2</v>
      </c>
      <c r="Y53" s="7">
        <v>3.9731718240174019E-2</v>
      </c>
    </row>
    <row r="54" spans="1:25" x14ac:dyDescent="0.25">
      <c r="B54" s="7">
        <v>5.3424121860445942E-2</v>
      </c>
      <c r="C54" s="7">
        <v>5.4879726298813353E-2</v>
      </c>
      <c r="D54" s="7">
        <v>2.7781358097434362E-2</v>
      </c>
      <c r="E54" s="7">
        <v>3.8988989378929993E-2</v>
      </c>
      <c r="F54" s="7">
        <v>2.7919084527991786E-2</v>
      </c>
      <c r="G54" s="7">
        <v>2.7505897854304434E-2</v>
      </c>
      <c r="H54" s="7">
        <v>5.2698088438082991E-2</v>
      </c>
      <c r="I54" s="7">
        <v>2.9783287243011339E-2</v>
      </c>
      <c r="J54" s="7">
        <v>2.7618375022059632E-2</v>
      </c>
      <c r="K54" s="7">
        <v>3.6006610606196358E-2</v>
      </c>
      <c r="L54" s="7">
        <v>3.7078692061204482E-2</v>
      </c>
      <c r="M54" s="7">
        <v>5.2777076654545181E-2</v>
      </c>
      <c r="N54" s="7">
        <v>5.6334233799671549E-2</v>
      </c>
      <c r="O54" s="7">
        <v>5.4999998403148224E-2</v>
      </c>
      <c r="P54" s="7">
        <v>4.6224686334133999E-2</v>
      </c>
      <c r="Q54" s="7">
        <v>4.842940606203551E-2</v>
      </c>
      <c r="R54" s="7">
        <v>4.0230839253305846E-2</v>
      </c>
      <c r="S54" s="7">
        <v>5.5561609861471913E-2</v>
      </c>
      <c r="T54" s="7">
        <v>3.4163178984044161E-2</v>
      </c>
      <c r="U54" s="7">
        <v>3.9524600998086884E-2</v>
      </c>
      <c r="V54" s="7">
        <v>3.8142296750924551E-2</v>
      </c>
      <c r="W54" s="7">
        <v>2.7514818796191439E-2</v>
      </c>
      <c r="X54" s="7">
        <v>5.8059522577666695E-2</v>
      </c>
      <c r="Y54" s="7">
        <v>3.9556702423350611E-2</v>
      </c>
    </row>
    <row r="55" spans="1:25" x14ac:dyDescent="0.25">
      <c r="B55" s="7">
        <v>5.3089785814979792E-2</v>
      </c>
      <c r="C55" s="7">
        <v>5.4429940650909128E-2</v>
      </c>
      <c r="D55" s="7">
        <v>2.7637831371811999E-2</v>
      </c>
      <c r="E55" s="7">
        <v>3.8801448366755489E-2</v>
      </c>
      <c r="F55" s="7">
        <v>2.7756486185665341E-2</v>
      </c>
      <c r="G55" s="7">
        <v>2.736640891916782E-2</v>
      </c>
      <c r="H55" s="7">
        <v>5.2169524841133887E-2</v>
      </c>
      <c r="I55" s="7">
        <v>2.9627816603230467E-2</v>
      </c>
      <c r="J55" s="7">
        <v>2.7472940713260435E-2</v>
      </c>
      <c r="K55" s="7">
        <v>3.5823921380548573E-2</v>
      </c>
      <c r="L55" s="7">
        <v>3.689113627966454E-2</v>
      </c>
      <c r="M55" s="7">
        <v>5.2249982161958107E-2</v>
      </c>
      <c r="N55" s="7">
        <v>5.5821274874628492E-2</v>
      </c>
      <c r="O55" s="7">
        <v>5.4999998403148224E-2</v>
      </c>
      <c r="P55" s="7">
        <v>4.6046356748607346E-2</v>
      </c>
      <c r="Q55" s="7">
        <v>4.8230311593927343E-2</v>
      </c>
      <c r="R55" s="7">
        <v>4.0052589415336723E-2</v>
      </c>
      <c r="S55" s="7">
        <v>5.5131622868515438E-2</v>
      </c>
      <c r="T55" s="7">
        <v>3.3986892819385502E-2</v>
      </c>
      <c r="U55" s="7">
        <v>3.936824723669765E-2</v>
      </c>
      <c r="V55" s="7">
        <v>3.794766875199327E-2</v>
      </c>
      <c r="W55" s="7">
        <v>2.7360026067664116E-2</v>
      </c>
      <c r="X55" s="7">
        <v>5.7534310252879417E-2</v>
      </c>
      <c r="Y55" s="7">
        <v>3.938065979651785E-2</v>
      </c>
    </row>
    <row r="56" spans="1:25" x14ac:dyDescent="0.25">
      <c r="B56" s="7">
        <v>5.269969538059982E-2</v>
      </c>
      <c r="C56" s="7">
        <v>5.395524055458923E-2</v>
      </c>
      <c r="D56" s="7">
        <v>2.7493574472624207E-2</v>
      </c>
      <c r="E56" s="7">
        <v>3.8612698951280833E-2</v>
      </c>
      <c r="F56" s="7">
        <v>2.759309559002289E-2</v>
      </c>
      <c r="G56" s="7">
        <v>2.7226634373653268E-2</v>
      </c>
      <c r="H56" s="7">
        <v>5.1624841023582009E-2</v>
      </c>
      <c r="I56" s="7">
        <v>2.9471390426016184E-2</v>
      </c>
      <c r="J56" s="7">
        <v>2.7327044505988433E-2</v>
      </c>
      <c r="K56" s="7">
        <v>3.5640098232790379E-2</v>
      </c>
      <c r="L56" s="7">
        <v>3.6702773159767194E-2</v>
      </c>
      <c r="M56" s="7">
        <v>5.1706715559141678E-2</v>
      </c>
      <c r="N56" s="7">
        <v>5.5289729568948627E-2</v>
      </c>
      <c r="O56" s="7">
        <v>5.4680963387063138E-2</v>
      </c>
      <c r="P56" s="7">
        <v>4.586582319721981E-2</v>
      </c>
      <c r="Q56" s="7">
        <v>4.8027491417399579E-2</v>
      </c>
      <c r="R56" s="7">
        <v>3.9872879553766005E-2</v>
      </c>
      <c r="S56" s="7">
        <v>5.4668696880751232E-2</v>
      </c>
      <c r="T56" s="7">
        <v>3.3809696234197217E-2</v>
      </c>
      <c r="U56" s="7">
        <v>3.9210569794953937E-2</v>
      </c>
      <c r="V56" s="7">
        <v>3.77511562774836E-2</v>
      </c>
      <c r="W56" s="7">
        <v>2.7204562480133788E-2</v>
      </c>
      <c r="X56" s="7">
        <v>5.6987574920602073E-2</v>
      </c>
      <c r="Y56" s="7">
        <v>3.9203432388905078E-2</v>
      </c>
    </row>
    <row r="58" spans="1:25" ht="45" x14ac:dyDescent="0.25">
      <c r="A58" s="5" t="s">
        <v>10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</row>
    <row r="59" spans="1:25" x14ac:dyDescent="0.25"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</row>
    <row r="60" spans="1:25" x14ac:dyDescent="0.25"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</row>
    <row r="61" spans="1:25" x14ac:dyDescent="0.25">
      <c r="B61" s="7">
        <v>0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</row>
    <row r="62" spans="1:25" x14ac:dyDescent="0.25">
      <c r="B62" s="7">
        <v>0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</row>
    <row r="63" spans="1:25" x14ac:dyDescent="0.25"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</row>
    <row r="64" spans="1:25" x14ac:dyDescent="0.25">
      <c r="B64" s="7">
        <v>0</v>
      </c>
      <c r="C64" s="7">
        <v>0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</row>
    <row r="65" spans="1:25" x14ac:dyDescent="0.25">
      <c r="B65" s="7">
        <v>0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</row>
    <row r="67" spans="1:25" ht="30" x14ac:dyDescent="0.25">
      <c r="A67" s="5" t="s">
        <v>8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</row>
    <row r="68" spans="1:25" x14ac:dyDescent="0.25"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</row>
    <row r="69" spans="1:25" x14ac:dyDescent="0.25"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</row>
    <row r="70" spans="1:25" x14ac:dyDescent="0.25"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</row>
    <row r="71" spans="1:25" x14ac:dyDescent="0.25"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</row>
    <row r="72" spans="1:25" x14ac:dyDescent="0.25">
      <c r="B72" s="7">
        <v>0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</row>
    <row r="73" spans="1:25" x14ac:dyDescent="0.25">
      <c r="B73" s="7">
        <v>0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</row>
    <row r="74" spans="1:25" x14ac:dyDescent="0.25">
      <c r="B74" s="7">
        <v>0</v>
      </c>
      <c r="C74" s="7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</row>
    <row r="76" spans="1:25" ht="45" x14ac:dyDescent="0.25">
      <c r="A76" s="5" t="s">
        <v>11</v>
      </c>
      <c r="B76" s="7">
        <v>55736220</v>
      </c>
      <c r="C76" s="7">
        <v>0</v>
      </c>
      <c r="D76" s="7">
        <v>86782520</v>
      </c>
      <c r="E76" s="7">
        <v>159445500</v>
      </c>
      <c r="F76" s="7">
        <v>126982400</v>
      </c>
      <c r="G76" s="7">
        <v>135200800</v>
      </c>
      <c r="H76" s="7">
        <v>0</v>
      </c>
      <c r="I76" s="7">
        <v>102117800</v>
      </c>
      <c r="J76" s="7">
        <v>74031130</v>
      </c>
      <c r="K76" s="7">
        <v>93850140</v>
      </c>
      <c r="L76" s="7">
        <v>77832690</v>
      </c>
      <c r="M76" s="7">
        <v>0</v>
      </c>
      <c r="N76" s="7">
        <v>39531300</v>
      </c>
      <c r="O76" s="7">
        <v>0</v>
      </c>
      <c r="P76" s="7">
        <v>112647000</v>
      </c>
      <c r="Q76" s="7">
        <v>53397130</v>
      </c>
      <c r="R76" s="7">
        <v>85930540</v>
      </c>
      <c r="S76" s="7">
        <v>43153820</v>
      </c>
      <c r="T76" s="7">
        <v>124807200</v>
      </c>
      <c r="U76" s="7">
        <v>74847530</v>
      </c>
      <c r="V76" s="7">
        <v>58073480</v>
      </c>
      <c r="W76" s="7">
        <v>223492400</v>
      </c>
      <c r="X76" s="7">
        <v>0</v>
      </c>
      <c r="Y76" s="7">
        <v>162401100</v>
      </c>
    </row>
    <row r="77" spans="1:25" x14ac:dyDescent="0.25">
      <c r="B77" s="7">
        <v>55653190</v>
      </c>
      <c r="C77" s="7">
        <v>0</v>
      </c>
      <c r="D77" s="7">
        <v>85413630</v>
      </c>
      <c r="E77" s="7">
        <v>160195800</v>
      </c>
      <c r="F77" s="7">
        <v>124861600</v>
      </c>
      <c r="G77" s="7">
        <v>134661900</v>
      </c>
      <c r="H77" s="7">
        <v>33997470</v>
      </c>
      <c r="I77" s="7">
        <v>100308500</v>
      </c>
      <c r="J77" s="7">
        <v>73481600</v>
      </c>
      <c r="K77" s="7">
        <v>92257010</v>
      </c>
      <c r="L77" s="7">
        <v>77381850</v>
      </c>
      <c r="M77" s="7">
        <v>35937080</v>
      </c>
      <c r="N77" s="7">
        <v>43104380</v>
      </c>
      <c r="O77" s="7">
        <v>0</v>
      </c>
      <c r="P77" s="7">
        <v>112905100</v>
      </c>
      <c r="Q77" s="7">
        <v>54229150</v>
      </c>
      <c r="R77" s="7">
        <v>85297710</v>
      </c>
      <c r="S77" s="7">
        <v>43648730</v>
      </c>
      <c r="T77" s="7">
        <v>123360800</v>
      </c>
      <c r="U77" s="7">
        <v>72446920</v>
      </c>
      <c r="V77" s="7">
        <v>56228680</v>
      </c>
      <c r="W77" s="7">
        <v>223370600</v>
      </c>
      <c r="X77" s="7">
        <v>30550280</v>
      </c>
      <c r="Y77" s="7">
        <v>163258300</v>
      </c>
    </row>
    <row r="78" spans="1:25" x14ac:dyDescent="0.25">
      <c r="B78" s="7">
        <v>55445280</v>
      </c>
      <c r="C78" s="7">
        <v>0</v>
      </c>
      <c r="D78" s="7">
        <v>84112700</v>
      </c>
      <c r="E78" s="7">
        <v>160860900</v>
      </c>
      <c r="F78" s="7">
        <v>122750700</v>
      </c>
      <c r="G78" s="7">
        <v>134129400</v>
      </c>
      <c r="H78" s="7">
        <v>35413490</v>
      </c>
      <c r="I78" s="7">
        <v>98418260</v>
      </c>
      <c r="J78" s="7">
        <v>72931720</v>
      </c>
      <c r="K78" s="7">
        <v>90524790</v>
      </c>
      <c r="L78" s="7">
        <v>77010520</v>
      </c>
      <c r="M78" s="7">
        <v>37757980</v>
      </c>
      <c r="N78" s="7">
        <v>44830660</v>
      </c>
      <c r="O78" s="7">
        <v>0</v>
      </c>
      <c r="P78" s="7">
        <v>112547400</v>
      </c>
      <c r="Q78" s="7">
        <v>54786730</v>
      </c>
      <c r="R78" s="7">
        <v>84550920</v>
      </c>
      <c r="S78" s="7">
        <v>45405600</v>
      </c>
      <c r="T78" s="7">
        <v>121948400</v>
      </c>
      <c r="U78" s="7">
        <v>69939300</v>
      </c>
      <c r="V78" s="7">
        <v>54361040</v>
      </c>
      <c r="W78" s="7">
        <v>223357700</v>
      </c>
      <c r="X78" s="7">
        <v>32570760</v>
      </c>
      <c r="Y78" s="7">
        <v>164253100</v>
      </c>
    </row>
    <row r="79" spans="1:25" x14ac:dyDescent="0.25">
      <c r="B79" s="7">
        <v>55818480</v>
      </c>
      <c r="C79" s="7">
        <v>0</v>
      </c>
      <c r="D79" s="7">
        <v>80812060</v>
      </c>
      <c r="E79" s="7">
        <v>159274100</v>
      </c>
      <c r="F79" s="7">
        <v>121222900</v>
      </c>
      <c r="G79" s="7">
        <v>128767700</v>
      </c>
      <c r="H79" s="7">
        <v>35924580</v>
      </c>
      <c r="I79" s="7">
        <v>98179830</v>
      </c>
      <c r="J79" s="7">
        <v>70616220</v>
      </c>
      <c r="K79" s="7">
        <v>88622260</v>
      </c>
      <c r="L79" s="7">
        <v>77555700</v>
      </c>
      <c r="M79" s="7">
        <v>38703580</v>
      </c>
      <c r="N79" s="7">
        <v>43888500</v>
      </c>
      <c r="O79" s="7">
        <v>0</v>
      </c>
      <c r="P79" s="7">
        <v>109873800</v>
      </c>
      <c r="Q79" s="7">
        <v>53784280</v>
      </c>
      <c r="R79" s="7">
        <v>83677640</v>
      </c>
      <c r="S79" s="7">
        <v>46457130</v>
      </c>
      <c r="T79" s="7">
        <v>118552900</v>
      </c>
      <c r="U79" s="7">
        <v>69216590</v>
      </c>
      <c r="V79" s="7">
        <v>54416120</v>
      </c>
      <c r="W79" s="7">
        <v>218842700</v>
      </c>
      <c r="X79" s="7">
        <v>34119790</v>
      </c>
      <c r="Y79" s="7">
        <v>161314000</v>
      </c>
    </row>
    <row r="80" spans="1:25" x14ac:dyDescent="0.25">
      <c r="B80" s="7">
        <v>56319240</v>
      </c>
      <c r="C80" s="7">
        <v>0</v>
      </c>
      <c r="D80" s="7">
        <v>77764840</v>
      </c>
      <c r="E80" s="7">
        <v>157864300</v>
      </c>
      <c r="F80" s="7">
        <v>119732900</v>
      </c>
      <c r="G80" s="7">
        <v>123535400</v>
      </c>
      <c r="H80" s="7">
        <v>36418070</v>
      </c>
      <c r="I80" s="7">
        <v>97938920</v>
      </c>
      <c r="J80" s="7">
        <v>68440670</v>
      </c>
      <c r="K80" s="7">
        <v>86690640</v>
      </c>
      <c r="L80" s="7">
        <v>78277500</v>
      </c>
      <c r="M80" s="7">
        <v>39304700</v>
      </c>
      <c r="N80" s="7">
        <v>42566190</v>
      </c>
      <c r="O80" s="7">
        <v>0</v>
      </c>
      <c r="P80" s="7">
        <v>107826200</v>
      </c>
      <c r="Q80" s="7">
        <v>53009200</v>
      </c>
      <c r="R80" s="7">
        <v>82848810</v>
      </c>
      <c r="S80" s="7">
        <v>47316150</v>
      </c>
      <c r="T80" s="7">
        <v>115156100</v>
      </c>
      <c r="U80" s="7">
        <v>68560890</v>
      </c>
      <c r="V80" s="7">
        <v>54507720</v>
      </c>
      <c r="W80" s="7">
        <v>214303000</v>
      </c>
      <c r="X80" s="7">
        <v>35480130</v>
      </c>
      <c r="Y80" s="7">
        <v>158127600</v>
      </c>
    </row>
    <row r="81" spans="1:25" x14ac:dyDescent="0.25">
      <c r="B81" s="7">
        <v>59037520</v>
      </c>
      <c r="C81" s="7">
        <v>16291180</v>
      </c>
      <c r="D81" s="7">
        <v>74862630</v>
      </c>
      <c r="E81" s="7">
        <v>156402200</v>
      </c>
      <c r="F81" s="7">
        <v>118393800</v>
      </c>
      <c r="G81" s="7">
        <v>118458500</v>
      </c>
      <c r="H81" s="7">
        <v>36852620</v>
      </c>
      <c r="I81" s="7">
        <v>97753260</v>
      </c>
      <c r="J81" s="7">
        <v>66418110</v>
      </c>
      <c r="K81" s="7">
        <v>84934820</v>
      </c>
      <c r="L81" s="7">
        <v>78973480</v>
      </c>
      <c r="M81" s="7">
        <v>39932510</v>
      </c>
      <c r="N81" s="7">
        <v>41345010</v>
      </c>
      <c r="O81" s="7">
        <v>0</v>
      </c>
      <c r="P81" s="7">
        <v>105540600</v>
      </c>
      <c r="Q81" s="7">
        <v>52234640</v>
      </c>
      <c r="R81" s="7">
        <v>82193150</v>
      </c>
      <c r="S81" s="7">
        <v>47306190</v>
      </c>
      <c r="T81" s="7">
        <v>111972100</v>
      </c>
      <c r="U81" s="7">
        <v>67867950</v>
      </c>
      <c r="V81" s="7">
        <v>54542830</v>
      </c>
      <c r="W81" s="7">
        <v>209412600</v>
      </c>
      <c r="X81" s="7">
        <v>36429310</v>
      </c>
      <c r="Y81" s="7">
        <v>154918600</v>
      </c>
    </row>
    <row r="82" spans="1:25" x14ac:dyDescent="0.25">
      <c r="B82" s="7">
        <v>60742150</v>
      </c>
      <c r="C82" s="7">
        <v>17357230</v>
      </c>
      <c r="D82" s="7">
        <v>72086100</v>
      </c>
      <c r="E82" s="7">
        <v>155120500</v>
      </c>
      <c r="F82" s="7">
        <v>117132000</v>
      </c>
      <c r="G82" s="7">
        <v>113373700</v>
      </c>
      <c r="H82" s="7">
        <v>37344410</v>
      </c>
      <c r="I82" s="7">
        <v>97710910</v>
      </c>
      <c r="J82" s="7">
        <v>64504190</v>
      </c>
      <c r="K82" s="7">
        <v>83280520</v>
      </c>
      <c r="L82" s="7">
        <v>79640900</v>
      </c>
      <c r="M82" s="7">
        <v>40597130</v>
      </c>
      <c r="N82" s="7">
        <v>40312830</v>
      </c>
      <c r="O82" s="7">
        <v>0</v>
      </c>
      <c r="P82" s="7">
        <v>103211800</v>
      </c>
      <c r="Q82" s="7">
        <v>51530540</v>
      </c>
      <c r="R82" s="7">
        <v>81546400</v>
      </c>
      <c r="S82" s="7">
        <v>48159720</v>
      </c>
      <c r="T82" s="7">
        <v>108903300</v>
      </c>
      <c r="U82" s="7">
        <v>67313430</v>
      </c>
      <c r="V82" s="7">
        <v>54610650</v>
      </c>
      <c r="W82" s="7">
        <v>204434700</v>
      </c>
      <c r="X82" s="7">
        <v>37617290</v>
      </c>
      <c r="Y82" s="7">
        <v>151579400</v>
      </c>
    </row>
    <row r="83" spans="1:25" x14ac:dyDescent="0.25">
      <c r="B83" s="7">
        <v>61474780</v>
      </c>
      <c r="C83" s="7">
        <v>18325670</v>
      </c>
      <c r="D83" s="7">
        <v>69541590</v>
      </c>
      <c r="E83" s="7">
        <v>153945600</v>
      </c>
      <c r="F83" s="7">
        <v>115999700</v>
      </c>
      <c r="G83" s="7">
        <v>108401600</v>
      </c>
      <c r="H83" s="7">
        <v>37705770</v>
      </c>
      <c r="I83" s="7">
        <v>97650150</v>
      </c>
      <c r="J83" s="7">
        <v>62686430</v>
      </c>
      <c r="K83" s="7">
        <v>81705970</v>
      </c>
      <c r="L83" s="7">
        <v>80286210</v>
      </c>
      <c r="M83" s="7">
        <v>41073110</v>
      </c>
      <c r="N83" s="7">
        <v>39367710</v>
      </c>
      <c r="O83" s="7">
        <v>11381380</v>
      </c>
      <c r="P83" s="7">
        <v>100945200</v>
      </c>
      <c r="Q83" s="7">
        <v>51044940</v>
      </c>
      <c r="R83" s="7">
        <v>81079950</v>
      </c>
      <c r="S83" s="7">
        <v>47665240</v>
      </c>
      <c r="T83" s="7">
        <v>105947800</v>
      </c>
      <c r="U83" s="7">
        <v>66737580</v>
      </c>
      <c r="V83" s="7">
        <v>54703320</v>
      </c>
      <c r="W83" s="7">
        <v>199343600</v>
      </c>
      <c r="X83" s="7">
        <v>38790010</v>
      </c>
      <c r="Y83" s="7">
        <v>148314700</v>
      </c>
    </row>
    <row r="85" spans="1:25" ht="45" x14ac:dyDescent="0.25">
      <c r="A85" s="6" t="s">
        <v>46</v>
      </c>
      <c r="B85" s="7">
        <v>0</v>
      </c>
      <c r="C85" s="7">
        <v>-1.5525500000000001E-6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29536990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4.1710810000000003E-6</v>
      </c>
      <c r="Y85" s="7">
        <v>0</v>
      </c>
    </row>
    <row r="86" spans="1:25" x14ac:dyDescent="0.25">
      <c r="B86" s="7">
        <v>0</v>
      </c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7">
        <v>114530500</v>
      </c>
      <c r="I86" s="7">
        <v>0</v>
      </c>
      <c r="J86" s="7">
        <v>0</v>
      </c>
      <c r="K86" s="7">
        <v>0</v>
      </c>
      <c r="L86" s="7">
        <v>0</v>
      </c>
      <c r="M86" s="7">
        <v>113322100</v>
      </c>
      <c r="N86" s="7">
        <v>46929710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95277860</v>
      </c>
      <c r="Y86" s="7">
        <v>0</v>
      </c>
    </row>
    <row r="87" spans="1:25" x14ac:dyDescent="0.25">
      <c r="B87" s="7">
        <v>0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  <c r="H87" s="7">
        <v>120903600</v>
      </c>
      <c r="I87" s="7">
        <v>0</v>
      </c>
      <c r="J87" s="7">
        <v>0</v>
      </c>
      <c r="K87" s="7">
        <v>0</v>
      </c>
      <c r="L87" s="7">
        <v>0</v>
      </c>
      <c r="M87" s="7">
        <v>119532100</v>
      </c>
      <c r="N87" s="7">
        <v>65165450</v>
      </c>
      <c r="O87" s="7">
        <v>0</v>
      </c>
      <c r="P87" s="7">
        <v>0</v>
      </c>
      <c r="Q87" s="7">
        <v>0</v>
      </c>
      <c r="R87" s="7">
        <v>0</v>
      </c>
      <c r="S87" s="7">
        <v>20288000</v>
      </c>
      <c r="T87" s="7">
        <v>0</v>
      </c>
      <c r="U87" s="7">
        <v>0</v>
      </c>
      <c r="V87" s="7">
        <v>0</v>
      </c>
      <c r="W87" s="7">
        <v>0</v>
      </c>
      <c r="X87" s="7">
        <v>102430500</v>
      </c>
      <c r="Y87" s="7">
        <v>0</v>
      </c>
    </row>
    <row r="88" spans="1:25" x14ac:dyDescent="0.25">
      <c r="B88" s="7">
        <v>0</v>
      </c>
      <c r="C88" s="7">
        <v>0</v>
      </c>
      <c r="D88" s="7">
        <v>0</v>
      </c>
      <c r="E88" s="7">
        <v>0</v>
      </c>
      <c r="F88" s="7">
        <v>0</v>
      </c>
      <c r="G88" s="7">
        <v>0</v>
      </c>
      <c r="H88" s="7">
        <v>124678200</v>
      </c>
      <c r="I88" s="7">
        <v>0</v>
      </c>
      <c r="J88" s="7">
        <v>0</v>
      </c>
      <c r="K88" s="7">
        <v>0</v>
      </c>
      <c r="L88" s="7">
        <v>0</v>
      </c>
      <c r="M88" s="7">
        <v>124143900</v>
      </c>
      <c r="N88" s="7">
        <v>83499920</v>
      </c>
      <c r="O88" s="7">
        <v>0</v>
      </c>
      <c r="P88" s="7">
        <v>0</v>
      </c>
      <c r="Q88" s="7">
        <v>0</v>
      </c>
      <c r="R88" s="7">
        <v>0</v>
      </c>
      <c r="S88" s="7">
        <v>36110320</v>
      </c>
      <c r="T88" s="7">
        <v>0</v>
      </c>
      <c r="U88" s="7">
        <v>0</v>
      </c>
      <c r="V88" s="7">
        <v>0</v>
      </c>
      <c r="W88" s="7">
        <v>0</v>
      </c>
      <c r="X88" s="7">
        <v>107552400</v>
      </c>
      <c r="Y88" s="7">
        <v>0</v>
      </c>
    </row>
    <row r="89" spans="1:25" x14ac:dyDescent="0.25">
      <c r="B89" s="7">
        <v>17453.564999999999</v>
      </c>
      <c r="C89" s="7">
        <v>0</v>
      </c>
      <c r="D89" s="7">
        <v>0</v>
      </c>
      <c r="E89" s="7">
        <v>0</v>
      </c>
      <c r="F89" s="7">
        <v>0</v>
      </c>
      <c r="G89" s="7">
        <v>0</v>
      </c>
      <c r="H89" s="7">
        <v>128323400</v>
      </c>
      <c r="I89" s="7">
        <v>0</v>
      </c>
      <c r="J89" s="7">
        <v>0</v>
      </c>
      <c r="K89" s="7">
        <v>0</v>
      </c>
      <c r="L89" s="7">
        <v>0</v>
      </c>
      <c r="M89" s="7">
        <v>127621700</v>
      </c>
      <c r="N89" s="7">
        <v>94840330</v>
      </c>
      <c r="O89" s="7">
        <v>0</v>
      </c>
      <c r="P89" s="7">
        <v>0</v>
      </c>
      <c r="Q89" s="7">
        <v>0</v>
      </c>
      <c r="R89" s="7">
        <v>0</v>
      </c>
      <c r="S89" s="7">
        <v>51999850</v>
      </c>
      <c r="T89" s="7">
        <v>0</v>
      </c>
      <c r="U89" s="7">
        <v>0</v>
      </c>
      <c r="V89" s="7">
        <v>0</v>
      </c>
      <c r="W89" s="7">
        <v>0</v>
      </c>
      <c r="X89" s="7">
        <v>112042300</v>
      </c>
      <c r="Y89" s="7">
        <v>0</v>
      </c>
    </row>
    <row r="90" spans="1:25" x14ac:dyDescent="0.25">
      <c r="B90" s="7">
        <v>23377130</v>
      </c>
      <c r="C90" s="7">
        <v>91675420</v>
      </c>
      <c r="D90" s="7">
        <v>0</v>
      </c>
      <c r="E90" s="7">
        <v>0</v>
      </c>
      <c r="F90" s="7">
        <v>0</v>
      </c>
      <c r="G90" s="7">
        <v>0</v>
      </c>
      <c r="H90" s="7">
        <v>131735400</v>
      </c>
      <c r="I90" s="7">
        <v>0</v>
      </c>
      <c r="J90" s="7">
        <v>0</v>
      </c>
      <c r="K90" s="7">
        <v>0</v>
      </c>
      <c r="L90" s="7">
        <v>0</v>
      </c>
      <c r="M90" s="7">
        <v>131141300</v>
      </c>
      <c r="N90" s="7">
        <v>105460000</v>
      </c>
      <c r="O90" s="7">
        <v>0</v>
      </c>
      <c r="P90" s="7">
        <v>0</v>
      </c>
      <c r="Q90" s="7">
        <v>0</v>
      </c>
      <c r="R90" s="7">
        <v>0</v>
      </c>
      <c r="S90" s="7">
        <v>64665960</v>
      </c>
      <c r="T90" s="7">
        <v>0</v>
      </c>
      <c r="U90" s="7">
        <v>0</v>
      </c>
      <c r="V90" s="7">
        <v>0</v>
      </c>
      <c r="W90" s="7">
        <v>0</v>
      </c>
      <c r="X90" s="7">
        <v>115195000</v>
      </c>
      <c r="Y90" s="7">
        <v>0</v>
      </c>
    </row>
    <row r="91" spans="1:25" x14ac:dyDescent="0.25">
      <c r="B91" s="7">
        <v>39773320</v>
      </c>
      <c r="C91" s="7">
        <v>97087020</v>
      </c>
      <c r="D91" s="7">
        <v>0</v>
      </c>
      <c r="E91" s="7">
        <v>0</v>
      </c>
      <c r="F91" s="7">
        <v>0</v>
      </c>
      <c r="G91" s="7">
        <v>0</v>
      </c>
      <c r="H91" s="7">
        <v>135321400</v>
      </c>
      <c r="I91" s="7">
        <v>0</v>
      </c>
      <c r="J91" s="7">
        <v>0</v>
      </c>
      <c r="K91" s="7">
        <v>0</v>
      </c>
      <c r="L91" s="7">
        <v>0</v>
      </c>
      <c r="M91" s="7">
        <v>134732700</v>
      </c>
      <c r="N91" s="7">
        <v>111904200</v>
      </c>
      <c r="O91" s="7">
        <v>0</v>
      </c>
      <c r="P91" s="7">
        <v>0</v>
      </c>
      <c r="Q91" s="7">
        <v>0</v>
      </c>
      <c r="R91" s="7">
        <v>0</v>
      </c>
      <c r="S91" s="7">
        <v>74339680</v>
      </c>
      <c r="T91" s="7">
        <v>0</v>
      </c>
      <c r="U91" s="7">
        <v>0</v>
      </c>
      <c r="V91" s="7">
        <v>0</v>
      </c>
      <c r="W91" s="7">
        <v>0</v>
      </c>
      <c r="X91" s="7">
        <v>119061900</v>
      </c>
      <c r="Y91" s="7">
        <v>0</v>
      </c>
    </row>
    <row r="92" spans="1:25" x14ac:dyDescent="0.25">
      <c r="B92" s="7">
        <v>49501080</v>
      </c>
      <c r="C92" s="7">
        <v>101897000</v>
      </c>
      <c r="D92" s="7">
        <v>0</v>
      </c>
      <c r="E92" s="7">
        <v>0</v>
      </c>
      <c r="F92" s="7">
        <v>0</v>
      </c>
      <c r="G92" s="7">
        <v>0</v>
      </c>
      <c r="H92" s="7">
        <v>138396200</v>
      </c>
      <c r="I92" s="7">
        <v>0</v>
      </c>
      <c r="J92" s="7">
        <v>0</v>
      </c>
      <c r="K92" s="7">
        <v>0</v>
      </c>
      <c r="L92" s="7">
        <v>0</v>
      </c>
      <c r="M92" s="7">
        <v>137638300</v>
      </c>
      <c r="N92" s="7">
        <v>117047000</v>
      </c>
      <c r="O92" s="7">
        <v>89642530</v>
      </c>
      <c r="P92" s="7">
        <v>0</v>
      </c>
      <c r="Q92" s="7">
        <v>1722531.4739999999</v>
      </c>
      <c r="R92" s="7">
        <v>0</v>
      </c>
      <c r="S92" s="7">
        <v>85348540</v>
      </c>
      <c r="T92" s="7">
        <v>0</v>
      </c>
      <c r="U92" s="7">
        <v>0</v>
      </c>
      <c r="V92" s="7">
        <v>0</v>
      </c>
      <c r="W92" s="7">
        <v>0</v>
      </c>
      <c r="X92" s="7">
        <v>122839200</v>
      </c>
      <c r="Y92" s="7">
        <v>0</v>
      </c>
    </row>
    <row r="94" spans="1:25" ht="45" x14ac:dyDescent="0.25">
      <c r="A94" s="6" t="s">
        <v>47</v>
      </c>
      <c r="B94" s="7">
        <v>218763500</v>
      </c>
      <c r="C94" s="7">
        <v>0</v>
      </c>
      <c r="D94" s="7">
        <v>390125500</v>
      </c>
      <c r="E94" s="7">
        <v>339859800</v>
      </c>
      <c r="F94" s="7">
        <v>405504500</v>
      </c>
      <c r="G94" s="7">
        <v>390044800</v>
      </c>
      <c r="H94" s="7">
        <v>0</v>
      </c>
      <c r="I94" s="7">
        <v>386690200</v>
      </c>
      <c r="J94" s="7">
        <v>402096300</v>
      </c>
      <c r="K94" s="7">
        <v>345422500</v>
      </c>
      <c r="L94" s="7">
        <v>344279900</v>
      </c>
      <c r="M94" s="7">
        <v>0</v>
      </c>
      <c r="N94" s="7">
        <v>131892700</v>
      </c>
      <c r="O94" s="7">
        <v>0</v>
      </c>
      <c r="P94" s="7">
        <v>241688700</v>
      </c>
      <c r="Q94" s="7">
        <v>245513000</v>
      </c>
      <c r="R94" s="7">
        <v>303771700</v>
      </c>
      <c r="S94" s="7">
        <v>172106700</v>
      </c>
      <c r="T94" s="7">
        <v>357999000</v>
      </c>
      <c r="U94" s="7">
        <v>288435200</v>
      </c>
      <c r="V94" s="7">
        <v>336200600</v>
      </c>
      <c r="W94" s="7">
        <v>399904400</v>
      </c>
      <c r="X94" s="7">
        <v>0</v>
      </c>
      <c r="Y94" s="7">
        <v>310158700</v>
      </c>
    </row>
    <row r="95" spans="1:25" x14ac:dyDescent="0.25">
      <c r="B95" s="7">
        <v>222733100</v>
      </c>
      <c r="C95" s="7">
        <v>0</v>
      </c>
      <c r="D95" s="7">
        <v>391230300</v>
      </c>
      <c r="E95" s="7">
        <v>342295600</v>
      </c>
      <c r="F95" s="7">
        <v>406771100</v>
      </c>
      <c r="G95" s="7">
        <v>390878500</v>
      </c>
      <c r="H95" s="7">
        <v>0</v>
      </c>
      <c r="I95" s="7">
        <v>388433200</v>
      </c>
      <c r="J95" s="7">
        <v>403149300</v>
      </c>
      <c r="K95" s="7">
        <v>347937800</v>
      </c>
      <c r="L95" s="7">
        <v>346410100</v>
      </c>
      <c r="M95" s="7">
        <v>0</v>
      </c>
      <c r="N95" s="7">
        <v>129418000</v>
      </c>
      <c r="O95" s="7">
        <v>0</v>
      </c>
      <c r="P95" s="7">
        <v>245882400</v>
      </c>
      <c r="Q95" s="7">
        <v>251515500</v>
      </c>
      <c r="R95" s="7">
        <v>306549000</v>
      </c>
      <c r="S95" s="7">
        <v>177570100</v>
      </c>
      <c r="T95" s="7">
        <v>359804300</v>
      </c>
      <c r="U95" s="7">
        <v>290733800</v>
      </c>
      <c r="V95" s="7">
        <v>338751400</v>
      </c>
      <c r="W95" s="7">
        <v>401515400</v>
      </c>
      <c r="X95" s="7">
        <v>0</v>
      </c>
      <c r="Y95" s="7">
        <v>312295800</v>
      </c>
    </row>
    <row r="96" spans="1:25" x14ac:dyDescent="0.25">
      <c r="B96" s="7">
        <v>226498900</v>
      </c>
      <c r="C96" s="7">
        <v>0</v>
      </c>
      <c r="D96" s="7">
        <v>392607800</v>
      </c>
      <c r="E96" s="7">
        <v>344593600</v>
      </c>
      <c r="F96" s="7">
        <v>408262600</v>
      </c>
      <c r="G96" s="7">
        <v>391791000</v>
      </c>
      <c r="H96" s="7">
        <v>0</v>
      </c>
      <c r="I96" s="7">
        <v>389953300</v>
      </c>
      <c r="J96" s="7">
        <v>404198900</v>
      </c>
      <c r="K96" s="7">
        <v>350055200</v>
      </c>
      <c r="L96" s="7">
        <v>349072900</v>
      </c>
      <c r="M96" s="7">
        <v>0</v>
      </c>
      <c r="N96" s="7">
        <v>118599600</v>
      </c>
      <c r="O96" s="7">
        <v>0</v>
      </c>
      <c r="P96" s="7">
        <v>249028100</v>
      </c>
      <c r="Q96" s="7">
        <v>256377600</v>
      </c>
      <c r="R96" s="7">
        <v>309162700</v>
      </c>
      <c r="S96" s="7">
        <v>168307100</v>
      </c>
      <c r="T96" s="7">
        <v>361893400</v>
      </c>
      <c r="U96" s="7">
        <v>292826700</v>
      </c>
      <c r="V96" s="7">
        <v>341490200</v>
      </c>
      <c r="W96" s="7">
        <v>403393700</v>
      </c>
      <c r="X96" s="7">
        <v>0</v>
      </c>
      <c r="Y96" s="7">
        <v>314738000</v>
      </c>
    </row>
    <row r="97" spans="1:25" x14ac:dyDescent="0.25">
      <c r="B97" s="7">
        <v>228294200</v>
      </c>
      <c r="C97" s="7">
        <v>0</v>
      </c>
      <c r="D97" s="7">
        <v>393073000</v>
      </c>
      <c r="E97" s="7">
        <v>345718500</v>
      </c>
      <c r="F97" s="7">
        <v>409246300</v>
      </c>
      <c r="G97" s="7">
        <v>392139400</v>
      </c>
      <c r="H97" s="7">
        <v>0</v>
      </c>
      <c r="I97" s="7">
        <v>391042800</v>
      </c>
      <c r="J97" s="7">
        <v>404832400</v>
      </c>
      <c r="K97" s="7">
        <v>351707000</v>
      </c>
      <c r="L97" s="7">
        <v>349931900</v>
      </c>
      <c r="M97" s="7">
        <v>0</v>
      </c>
      <c r="N97" s="7">
        <v>102192700</v>
      </c>
      <c r="O97" s="7">
        <v>0</v>
      </c>
      <c r="P97" s="7">
        <v>250279200</v>
      </c>
      <c r="Q97" s="7">
        <v>258633100</v>
      </c>
      <c r="R97" s="7">
        <v>310278800</v>
      </c>
      <c r="S97" s="7">
        <v>160386700</v>
      </c>
      <c r="T97" s="7">
        <v>363098900</v>
      </c>
      <c r="U97" s="7">
        <v>293929900</v>
      </c>
      <c r="V97" s="7">
        <v>342941100</v>
      </c>
      <c r="W97" s="7">
        <v>404096500</v>
      </c>
      <c r="X97" s="7">
        <v>0</v>
      </c>
      <c r="Y97" s="7">
        <v>316183000</v>
      </c>
    </row>
    <row r="98" spans="1:25" x14ac:dyDescent="0.25">
      <c r="B98" s="7">
        <v>230454000</v>
      </c>
      <c r="C98" s="7">
        <v>0</v>
      </c>
      <c r="D98" s="7">
        <v>393838800</v>
      </c>
      <c r="E98" s="7">
        <v>346842400</v>
      </c>
      <c r="F98" s="7">
        <v>409934400</v>
      </c>
      <c r="G98" s="7">
        <v>392602400</v>
      </c>
      <c r="H98" s="7">
        <v>0</v>
      </c>
      <c r="I98" s="7">
        <v>391836500</v>
      </c>
      <c r="J98" s="7">
        <v>405405500</v>
      </c>
      <c r="K98" s="7">
        <v>352765300</v>
      </c>
      <c r="L98" s="7">
        <v>351081300</v>
      </c>
      <c r="M98" s="7">
        <v>0</v>
      </c>
      <c r="N98" s="7">
        <v>90826450</v>
      </c>
      <c r="O98" s="7">
        <v>0</v>
      </c>
      <c r="P98" s="7">
        <v>252953400</v>
      </c>
      <c r="Q98" s="7">
        <v>261557000</v>
      </c>
      <c r="R98" s="7">
        <v>311259700</v>
      </c>
      <c r="S98" s="7">
        <v>151570500</v>
      </c>
      <c r="T98" s="7">
        <v>363871800</v>
      </c>
      <c r="U98" s="7">
        <v>295147500</v>
      </c>
      <c r="V98" s="7">
        <v>344595400</v>
      </c>
      <c r="W98" s="7">
        <v>405027800</v>
      </c>
      <c r="X98" s="7">
        <v>0</v>
      </c>
      <c r="Y98" s="7">
        <v>317251000</v>
      </c>
    </row>
    <row r="99" spans="1:25" x14ac:dyDescent="0.25">
      <c r="B99" s="7">
        <v>218325000</v>
      </c>
      <c r="C99" s="7">
        <v>0</v>
      </c>
      <c r="D99" s="7">
        <v>394527300</v>
      </c>
      <c r="E99" s="7">
        <v>347650600</v>
      </c>
      <c r="F99" s="7">
        <v>410764000</v>
      </c>
      <c r="G99" s="7">
        <v>393298900</v>
      </c>
      <c r="H99" s="7">
        <v>0</v>
      </c>
      <c r="I99" s="7">
        <v>392605200</v>
      </c>
      <c r="J99" s="7">
        <v>406052400</v>
      </c>
      <c r="K99" s="7">
        <v>354054300</v>
      </c>
      <c r="L99" s="7">
        <v>352115500</v>
      </c>
      <c r="M99" s="7">
        <v>0</v>
      </c>
      <c r="N99" s="7">
        <v>80299240</v>
      </c>
      <c r="O99" s="7">
        <v>0</v>
      </c>
      <c r="P99" s="7">
        <v>255078400</v>
      </c>
      <c r="Q99" s="7">
        <v>264166200</v>
      </c>
      <c r="R99" s="7">
        <v>312628100</v>
      </c>
      <c r="S99" s="7">
        <v>142177900</v>
      </c>
      <c r="T99" s="7">
        <v>364903500</v>
      </c>
      <c r="U99" s="7">
        <v>296058000</v>
      </c>
      <c r="V99" s="7">
        <v>345931400</v>
      </c>
      <c r="W99" s="7">
        <v>405560800</v>
      </c>
      <c r="X99" s="7">
        <v>0</v>
      </c>
      <c r="Y99" s="7">
        <v>318375200</v>
      </c>
    </row>
    <row r="100" spans="1:25" x14ac:dyDescent="0.25">
      <c r="B100" s="7">
        <v>208992100</v>
      </c>
      <c r="C100" s="7">
        <v>0</v>
      </c>
      <c r="D100" s="7">
        <v>395034200</v>
      </c>
      <c r="E100" s="7">
        <v>348653800</v>
      </c>
      <c r="F100" s="7">
        <v>411500900</v>
      </c>
      <c r="G100" s="7">
        <v>393646900</v>
      </c>
      <c r="H100" s="7">
        <v>0</v>
      </c>
      <c r="I100" s="7">
        <v>393719000</v>
      </c>
      <c r="J100" s="7">
        <v>406529600</v>
      </c>
      <c r="K100" s="7">
        <v>355288300</v>
      </c>
      <c r="L100" s="7">
        <v>353024700</v>
      </c>
      <c r="M100" s="7">
        <v>0</v>
      </c>
      <c r="N100" s="7">
        <v>74488360</v>
      </c>
      <c r="O100" s="7">
        <v>0</v>
      </c>
      <c r="P100" s="7">
        <v>257059100</v>
      </c>
      <c r="Q100" s="7">
        <v>266802500</v>
      </c>
      <c r="R100" s="7">
        <v>313780100</v>
      </c>
      <c r="S100" s="7">
        <v>139483500</v>
      </c>
      <c r="T100" s="7">
        <v>365877100</v>
      </c>
      <c r="U100" s="7">
        <v>297436700</v>
      </c>
      <c r="V100" s="7">
        <v>347514000</v>
      </c>
      <c r="W100" s="7">
        <v>406163500</v>
      </c>
      <c r="X100" s="7">
        <v>0</v>
      </c>
      <c r="Y100" s="7">
        <v>319308000</v>
      </c>
    </row>
    <row r="101" spans="1:25" x14ac:dyDescent="0.25">
      <c r="B101" s="7">
        <v>202328100</v>
      </c>
      <c r="C101" s="7">
        <v>0</v>
      </c>
      <c r="D101" s="7">
        <v>395959500</v>
      </c>
      <c r="E101" s="7">
        <v>349692500</v>
      </c>
      <c r="F101" s="7">
        <v>412345800</v>
      </c>
      <c r="G101" s="7">
        <v>393990100</v>
      </c>
      <c r="H101" s="7">
        <v>0</v>
      </c>
      <c r="I101" s="7">
        <v>394542100</v>
      </c>
      <c r="J101" s="7">
        <v>406772100</v>
      </c>
      <c r="K101" s="7">
        <v>356385000</v>
      </c>
      <c r="L101" s="7">
        <v>353840300</v>
      </c>
      <c r="M101" s="7">
        <v>0</v>
      </c>
      <c r="N101" s="7">
        <v>70087640</v>
      </c>
      <c r="O101" s="7">
        <v>0</v>
      </c>
      <c r="P101" s="7">
        <v>259124500</v>
      </c>
      <c r="Q101" s="7">
        <v>268534400</v>
      </c>
      <c r="R101" s="7">
        <v>315388900</v>
      </c>
      <c r="S101" s="7">
        <v>129363100</v>
      </c>
      <c r="T101" s="7">
        <v>366770100</v>
      </c>
      <c r="U101" s="7">
        <v>298597800</v>
      </c>
      <c r="V101" s="7">
        <v>349295900</v>
      </c>
      <c r="W101" s="7">
        <v>406762000</v>
      </c>
      <c r="X101" s="7">
        <v>0</v>
      </c>
      <c r="Y101" s="7">
        <v>320450000</v>
      </c>
    </row>
    <row r="103" spans="1:25" ht="45" x14ac:dyDescent="0.25">
      <c r="A103" s="6" t="s">
        <v>49</v>
      </c>
      <c r="B103" s="7">
        <v>293456800</v>
      </c>
      <c r="C103" s="7">
        <v>508581200</v>
      </c>
      <c r="D103" s="7">
        <v>121578300</v>
      </c>
      <c r="E103" s="7">
        <v>170984600</v>
      </c>
      <c r="F103" s="7">
        <v>117364700</v>
      </c>
      <c r="G103" s="7">
        <v>121855600</v>
      </c>
      <c r="H103" s="7">
        <v>515456000</v>
      </c>
      <c r="I103" s="7">
        <v>131834000</v>
      </c>
      <c r="J103" s="7">
        <v>107866500</v>
      </c>
      <c r="K103" s="7">
        <v>163160700</v>
      </c>
      <c r="L103" s="7">
        <v>168819600</v>
      </c>
      <c r="M103" s="7">
        <v>516815600</v>
      </c>
      <c r="N103" s="7">
        <v>354680100</v>
      </c>
      <c r="O103" s="7">
        <v>508653900</v>
      </c>
      <c r="P103" s="7">
        <v>266893600</v>
      </c>
      <c r="Q103" s="7">
        <v>282073200</v>
      </c>
      <c r="R103" s="7">
        <v>208045600</v>
      </c>
      <c r="S103" s="7">
        <v>343514400</v>
      </c>
      <c r="T103" s="7">
        <v>150534800</v>
      </c>
      <c r="U103" s="7">
        <v>220874400</v>
      </c>
      <c r="V103" s="7">
        <v>172401900</v>
      </c>
      <c r="W103" s="7">
        <v>108612100</v>
      </c>
      <c r="X103" s="7">
        <v>510223800</v>
      </c>
      <c r="Y103" s="7">
        <v>204015400</v>
      </c>
    </row>
    <row r="104" spans="1:25" x14ac:dyDescent="0.25">
      <c r="B104" s="7">
        <v>289487200</v>
      </c>
      <c r="C104" s="7">
        <v>508581200</v>
      </c>
      <c r="D104" s="7">
        <v>120473500</v>
      </c>
      <c r="E104" s="7">
        <v>168548800</v>
      </c>
      <c r="F104" s="7">
        <v>116098100</v>
      </c>
      <c r="G104" s="7">
        <v>121022000</v>
      </c>
      <c r="H104" s="7">
        <v>400925500</v>
      </c>
      <c r="I104" s="7">
        <v>130091100</v>
      </c>
      <c r="J104" s="7">
        <v>106813400</v>
      </c>
      <c r="K104" s="7">
        <v>160645400</v>
      </c>
      <c r="L104" s="7">
        <v>166689400</v>
      </c>
      <c r="M104" s="7">
        <v>403493500</v>
      </c>
      <c r="N104" s="7">
        <v>339762000</v>
      </c>
      <c r="O104" s="7">
        <v>508653900</v>
      </c>
      <c r="P104" s="7">
        <v>262699800</v>
      </c>
      <c r="Q104" s="7">
        <v>276070800</v>
      </c>
      <c r="R104" s="7">
        <v>205268200</v>
      </c>
      <c r="S104" s="7">
        <v>338051000</v>
      </c>
      <c r="T104" s="7">
        <v>148729500</v>
      </c>
      <c r="U104" s="7">
        <v>218575900</v>
      </c>
      <c r="V104" s="7">
        <v>169851100</v>
      </c>
      <c r="W104" s="7">
        <v>107001100</v>
      </c>
      <c r="X104" s="7">
        <v>414945900</v>
      </c>
      <c r="Y104" s="7">
        <v>201878300</v>
      </c>
    </row>
    <row r="105" spans="1:25" x14ac:dyDescent="0.25">
      <c r="B105" s="7">
        <v>285721400</v>
      </c>
      <c r="C105" s="7">
        <v>508581200</v>
      </c>
      <c r="D105" s="7">
        <v>119096000</v>
      </c>
      <c r="E105" s="7">
        <v>166250800</v>
      </c>
      <c r="F105" s="7">
        <v>114606600</v>
      </c>
      <c r="G105" s="7">
        <v>120109400</v>
      </c>
      <c r="H105" s="7">
        <v>394552400</v>
      </c>
      <c r="I105" s="7">
        <v>128570900</v>
      </c>
      <c r="J105" s="7">
        <v>105763800</v>
      </c>
      <c r="K105" s="7">
        <v>158528100</v>
      </c>
      <c r="L105" s="7">
        <v>164026600</v>
      </c>
      <c r="M105" s="7">
        <v>397283500</v>
      </c>
      <c r="N105" s="7">
        <v>332344700</v>
      </c>
      <c r="O105" s="7">
        <v>508653900</v>
      </c>
      <c r="P105" s="7">
        <v>259554100</v>
      </c>
      <c r="Q105" s="7">
        <v>271208600</v>
      </c>
      <c r="R105" s="7">
        <v>202654600</v>
      </c>
      <c r="S105" s="7">
        <v>327026000</v>
      </c>
      <c r="T105" s="7">
        <v>146640400</v>
      </c>
      <c r="U105" s="7">
        <v>216483000</v>
      </c>
      <c r="V105" s="7">
        <v>167112300</v>
      </c>
      <c r="W105" s="7">
        <v>105122800</v>
      </c>
      <c r="X105" s="7">
        <v>407793300</v>
      </c>
      <c r="Y105" s="7">
        <v>199436100</v>
      </c>
    </row>
    <row r="106" spans="1:25" x14ac:dyDescent="0.25">
      <c r="B106" s="7">
        <v>283926100</v>
      </c>
      <c r="C106" s="7">
        <v>508581200</v>
      </c>
      <c r="D106" s="7">
        <v>118630800</v>
      </c>
      <c r="E106" s="7">
        <v>165125900</v>
      </c>
      <c r="F106" s="7">
        <v>113622900</v>
      </c>
      <c r="G106" s="7">
        <v>119761100</v>
      </c>
      <c r="H106" s="7">
        <v>390777800</v>
      </c>
      <c r="I106" s="7">
        <v>127481400</v>
      </c>
      <c r="J106" s="7">
        <v>105130400</v>
      </c>
      <c r="K106" s="7">
        <v>156876300</v>
      </c>
      <c r="L106" s="7">
        <v>163167600</v>
      </c>
      <c r="M106" s="7">
        <v>392671700</v>
      </c>
      <c r="N106" s="7">
        <v>330417100</v>
      </c>
      <c r="O106" s="7">
        <v>508653900</v>
      </c>
      <c r="P106" s="7">
        <v>258303000</v>
      </c>
      <c r="Q106" s="7">
        <v>268953200</v>
      </c>
      <c r="R106" s="7">
        <v>201538500</v>
      </c>
      <c r="S106" s="7">
        <v>319124100</v>
      </c>
      <c r="T106" s="7">
        <v>145434900</v>
      </c>
      <c r="U106" s="7">
        <v>215379800</v>
      </c>
      <c r="V106" s="7">
        <v>165661400</v>
      </c>
      <c r="W106" s="7">
        <v>104420000</v>
      </c>
      <c r="X106" s="7">
        <v>402671300</v>
      </c>
      <c r="Y106" s="7">
        <v>197991100</v>
      </c>
    </row>
    <row r="107" spans="1:25" x14ac:dyDescent="0.25">
      <c r="B107" s="7">
        <v>281748800</v>
      </c>
      <c r="C107" s="7">
        <v>508581200</v>
      </c>
      <c r="D107" s="7">
        <v>117865100</v>
      </c>
      <c r="E107" s="7">
        <v>164001900</v>
      </c>
      <c r="F107" s="7">
        <v>112934800</v>
      </c>
      <c r="G107" s="7">
        <v>119298100</v>
      </c>
      <c r="H107" s="7">
        <v>387132600</v>
      </c>
      <c r="I107" s="7">
        <v>126687800</v>
      </c>
      <c r="J107" s="7">
        <v>104557300</v>
      </c>
      <c r="K107" s="7">
        <v>155818000</v>
      </c>
      <c r="L107" s="7">
        <v>162018200</v>
      </c>
      <c r="M107" s="7">
        <v>389193900</v>
      </c>
      <c r="N107" s="7">
        <v>330442900</v>
      </c>
      <c r="O107" s="7">
        <v>508653900</v>
      </c>
      <c r="P107" s="7">
        <v>255628900</v>
      </c>
      <c r="Q107" s="7">
        <v>266029300</v>
      </c>
      <c r="R107" s="7">
        <v>200557600</v>
      </c>
      <c r="S107" s="7">
        <v>312050700</v>
      </c>
      <c r="T107" s="7">
        <v>144661900</v>
      </c>
      <c r="U107" s="7">
        <v>214162200</v>
      </c>
      <c r="V107" s="7">
        <v>164007100</v>
      </c>
      <c r="W107" s="7">
        <v>103488600</v>
      </c>
      <c r="X107" s="7">
        <v>398181500</v>
      </c>
      <c r="Y107" s="7">
        <v>196923200</v>
      </c>
    </row>
    <row r="108" spans="1:25" x14ac:dyDescent="0.25">
      <c r="B108" s="7">
        <v>270518100</v>
      </c>
      <c r="C108" s="7">
        <v>416905700</v>
      </c>
      <c r="D108" s="7">
        <v>117176500</v>
      </c>
      <c r="E108" s="7">
        <v>163193800</v>
      </c>
      <c r="F108" s="7">
        <v>112105200</v>
      </c>
      <c r="G108" s="7">
        <v>118601500</v>
      </c>
      <c r="H108" s="7">
        <v>383720600</v>
      </c>
      <c r="I108" s="7">
        <v>125919000</v>
      </c>
      <c r="J108" s="7">
        <v>103910300</v>
      </c>
      <c r="K108" s="7">
        <v>154529000</v>
      </c>
      <c r="L108" s="7">
        <v>160984000</v>
      </c>
      <c r="M108" s="7">
        <v>385674300</v>
      </c>
      <c r="N108" s="7">
        <v>330350500</v>
      </c>
      <c r="O108" s="7">
        <v>508653900</v>
      </c>
      <c r="P108" s="7">
        <v>253503800</v>
      </c>
      <c r="Q108" s="7">
        <v>263420100</v>
      </c>
      <c r="R108" s="7">
        <v>199189200</v>
      </c>
      <c r="S108" s="7">
        <v>308777200</v>
      </c>
      <c r="T108" s="7">
        <v>143630300</v>
      </c>
      <c r="U108" s="7">
        <v>213251700</v>
      </c>
      <c r="V108" s="7">
        <v>162671100</v>
      </c>
      <c r="W108" s="7">
        <v>102955700</v>
      </c>
      <c r="X108" s="7">
        <v>395028700</v>
      </c>
      <c r="Y108" s="7">
        <v>195798900</v>
      </c>
    </row>
    <row r="109" spans="1:25" x14ac:dyDescent="0.25">
      <c r="B109" s="7">
        <v>263454800</v>
      </c>
      <c r="C109" s="7">
        <v>411494100</v>
      </c>
      <c r="D109" s="7">
        <v>116669700</v>
      </c>
      <c r="E109" s="7">
        <v>162190600</v>
      </c>
      <c r="F109" s="7">
        <v>111368300</v>
      </c>
      <c r="G109" s="7">
        <v>118253500</v>
      </c>
      <c r="H109" s="7">
        <v>380134600</v>
      </c>
      <c r="I109" s="7">
        <v>124805200</v>
      </c>
      <c r="J109" s="7">
        <v>103433100</v>
      </c>
      <c r="K109" s="7">
        <v>153294900</v>
      </c>
      <c r="L109" s="7">
        <v>160074800</v>
      </c>
      <c r="M109" s="7">
        <v>382082900</v>
      </c>
      <c r="N109" s="7">
        <v>329717200</v>
      </c>
      <c r="O109" s="7">
        <v>508653900</v>
      </c>
      <c r="P109" s="7">
        <v>251523100</v>
      </c>
      <c r="Q109" s="7">
        <v>260783800</v>
      </c>
      <c r="R109" s="7">
        <v>198037200</v>
      </c>
      <c r="S109" s="7">
        <v>301797900</v>
      </c>
      <c r="T109" s="7">
        <v>142656600</v>
      </c>
      <c r="U109" s="7">
        <v>211873000</v>
      </c>
      <c r="V109" s="7">
        <v>161088500</v>
      </c>
      <c r="W109" s="7">
        <v>102353000</v>
      </c>
      <c r="X109" s="7">
        <v>391161900</v>
      </c>
      <c r="Y109" s="7">
        <v>194866100</v>
      </c>
    </row>
    <row r="110" spans="1:25" x14ac:dyDescent="0.25">
      <c r="B110" s="7">
        <v>260391100</v>
      </c>
      <c r="C110" s="7">
        <v>406684200</v>
      </c>
      <c r="D110" s="7">
        <v>115744300</v>
      </c>
      <c r="E110" s="7">
        <v>161151900</v>
      </c>
      <c r="F110" s="7">
        <v>110523400</v>
      </c>
      <c r="G110" s="7">
        <v>117910300</v>
      </c>
      <c r="H110" s="7">
        <v>377059800</v>
      </c>
      <c r="I110" s="7">
        <v>123982200</v>
      </c>
      <c r="J110" s="7">
        <v>103190600</v>
      </c>
      <c r="K110" s="7">
        <v>152198300</v>
      </c>
      <c r="L110" s="7">
        <v>159259200</v>
      </c>
      <c r="M110" s="7">
        <v>379177300</v>
      </c>
      <c r="N110" s="7">
        <v>328975100</v>
      </c>
      <c r="O110" s="7">
        <v>419011300</v>
      </c>
      <c r="P110" s="7">
        <v>249457700</v>
      </c>
      <c r="Q110" s="7">
        <v>257329300</v>
      </c>
      <c r="R110" s="7">
        <v>196428400</v>
      </c>
      <c r="S110" s="7">
        <v>300909500</v>
      </c>
      <c r="T110" s="7">
        <v>141763700</v>
      </c>
      <c r="U110" s="7">
        <v>210711900</v>
      </c>
      <c r="V110" s="7">
        <v>159306600</v>
      </c>
      <c r="W110" s="7">
        <v>101754500</v>
      </c>
      <c r="X110" s="7">
        <v>387384600</v>
      </c>
      <c r="Y110" s="7">
        <v>193724100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4B6A-271E-47BC-9EBA-76AB39DE5BEB}">
  <dimension ref="A2:BH145"/>
  <sheetViews>
    <sheetView zoomScaleNormal="100" workbookViewId="0">
      <selection activeCell="A3" sqref="A3"/>
    </sheetView>
  </sheetViews>
  <sheetFormatPr defaultRowHeight="15" x14ac:dyDescent="0.25"/>
  <cols>
    <col min="2" max="2" width="11" bestFit="1" customWidth="1"/>
  </cols>
  <sheetData>
    <row r="2" spans="1:60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spans="1:6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spans="1:6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 spans="1:6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</row>
    <row r="6" spans="1:6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spans="1:6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spans="1:6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spans="1:6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spans="1:6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spans="1:60" x14ac:dyDescent="0.25">
      <c r="A11" s="1"/>
      <c r="B11" s="1"/>
      <c r="C11" s="1"/>
      <c r="D11" s="1"/>
      <c r="G11" s="1"/>
      <c r="M11" s="1"/>
    </row>
    <row r="12" spans="1:6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</row>
    <row r="13" spans="1:6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spans="1:6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</row>
    <row r="15" spans="1:6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spans="1:6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 spans="1:6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spans="1:6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</row>
    <row r="19" spans="1:6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 spans="1:60" x14ac:dyDescent="0.25">
      <c r="A20" s="1"/>
      <c r="B20" s="1"/>
      <c r="C20" s="1"/>
      <c r="D20" s="1"/>
      <c r="H20" s="1"/>
      <c r="I20" s="1"/>
      <c r="J20" s="1"/>
      <c r="L20" s="1"/>
      <c r="O20" s="1"/>
      <c r="P20" s="1"/>
      <c r="R20" s="1"/>
      <c r="S20" s="1"/>
      <c r="T20" s="1"/>
      <c r="U20" s="1"/>
      <c r="W20" s="1"/>
      <c r="X20" s="1"/>
      <c r="Z20" s="1"/>
      <c r="AA20" s="1"/>
      <c r="AB20" s="1"/>
      <c r="AD20" s="1"/>
      <c r="AE20" s="1"/>
    </row>
    <row r="21" spans="1:6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D21" s="1"/>
      <c r="AE21" s="1"/>
    </row>
    <row r="22" spans="1:6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D22" s="1"/>
      <c r="AE22" s="1"/>
    </row>
    <row r="23" spans="1:6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D23" s="1"/>
      <c r="AE23" s="1"/>
    </row>
    <row r="24" spans="1:6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D24" s="1"/>
      <c r="AE24" s="1"/>
    </row>
    <row r="25" spans="1:6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D25" s="1"/>
      <c r="AE25" s="1"/>
    </row>
    <row r="26" spans="1:6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D26" s="1"/>
      <c r="AE26" s="1"/>
    </row>
    <row r="27" spans="1:6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D27" s="1"/>
      <c r="AE27" s="1"/>
    </row>
    <row r="28" spans="1:6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6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AA29" s="1"/>
      <c r="AC29" s="1"/>
      <c r="AD29" s="1"/>
      <c r="AE29" s="1"/>
      <c r="AF29" s="1"/>
      <c r="AG29" s="1"/>
      <c r="AH29" s="1"/>
      <c r="AI29" s="1"/>
      <c r="AJ29" s="1"/>
      <c r="AK29" s="1"/>
      <c r="AM29" s="1"/>
      <c r="AN29" s="1"/>
      <c r="AP29" s="1"/>
      <c r="AQ29" s="1"/>
      <c r="AR29" s="1"/>
      <c r="AT29" s="1"/>
      <c r="AU29" s="1"/>
      <c r="AV29" s="1"/>
      <c r="AY29" s="1"/>
      <c r="BA29" s="1"/>
      <c r="BB29" s="1"/>
      <c r="BC29" s="1"/>
      <c r="BD29" s="1"/>
      <c r="BE29" s="1"/>
      <c r="BF29" s="1"/>
      <c r="BH29" s="1"/>
    </row>
    <row r="30" spans="1:6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AA30" s="1"/>
      <c r="AC30" s="1"/>
      <c r="AD30" s="1"/>
      <c r="AE30" s="1"/>
      <c r="AF30" s="1"/>
      <c r="AG30" s="1"/>
      <c r="AH30" s="1"/>
      <c r="AI30" s="1"/>
      <c r="AJ30" s="1"/>
      <c r="AM30" s="1"/>
      <c r="AN30" s="1"/>
      <c r="AP30" s="1"/>
      <c r="AQ30" s="1"/>
      <c r="AR30" s="1"/>
      <c r="AT30" s="1"/>
      <c r="AU30" s="1"/>
      <c r="AV30" s="1"/>
      <c r="AY30" s="1"/>
      <c r="BA30" s="1"/>
      <c r="BB30" s="1"/>
      <c r="BC30" s="1"/>
      <c r="BD30" s="1"/>
      <c r="BE30" s="1"/>
      <c r="BF30" s="1"/>
      <c r="BH30" s="1"/>
    </row>
    <row r="31" spans="1:6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AA31" s="1"/>
      <c r="AC31" s="1"/>
      <c r="AD31" s="1"/>
      <c r="AE31" s="1"/>
      <c r="AF31" s="1"/>
      <c r="AG31" s="1"/>
      <c r="AI31" s="1"/>
      <c r="AJ31" s="1"/>
      <c r="AM31" s="1"/>
      <c r="AN31" s="1"/>
      <c r="AP31" s="1"/>
      <c r="AQ31" s="1"/>
      <c r="AR31" s="1"/>
      <c r="AT31" s="1"/>
      <c r="AU31" s="1"/>
      <c r="AV31" s="1"/>
      <c r="AY31" s="1"/>
      <c r="BA31" s="1"/>
      <c r="BB31" s="1"/>
      <c r="BC31" s="1"/>
      <c r="BD31" s="1"/>
      <c r="BE31" s="1"/>
      <c r="BF31" s="1"/>
      <c r="BG31" s="1"/>
      <c r="BH31" s="1"/>
    </row>
    <row r="32" spans="1:6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AA32" s="1"/>
      <c r="AC32" s="1"/>
      <c r="AD32" s="1"/>
      <c r="AE32" s="1"/>
      <c r="AF32" s="1"/>
      <c r="AG32" s="1"/>
      <c r="AI32" s="1"/>
      <c r="AJ32" s="1"/>
      <c r="AM32" s="1"/>
      <c r="AN32" s="1"/>
      <c r="AP32" s="1"/>
      <c r="AQ32" s="1"/>
      <c r="AR32" s="1"/>
      <c r="AS32" s="1"/>
      <c r="AT32" s="1"/>
      <c r="AU32" s="1"/>
      <c r="AV32" s="1"/>
      <c r="AY32" s="1"/>
      <c r="BA32" s="1"/>
      <c r="BB32" s="1"/>
      <c r="BC32" s="1"/>
      <c r="BD32" s="1"/>
      <c r="BE32" s="1"/>
      <c r="BF32" s="1"/>
      <c r="BG32" s="1"/>
      <c r="BH32" s="1"/>
    </row>
    <row r="33" spans="1:6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AA33" s="1"/>
      <c r="AC33" s="1"/>
      <c r="AD33" s="1"/>
      <c r="AE33" s="1"/>
      <c r="AF33" s="1"/>
      <c r="AG33" s="1"/>
      <c r="AH33" s="1"/>
      <c r="AI33" s="1"/>
      <c r="AJ33" s="1"/>
      <c r="AM33" s="1"/>
      <c r="AN33" s="1"/>
      <c r="AP33" s="1"/>
      <c r="AQ33" s="1"/>
      <c r="AR33" s="1"/>
      <c r="AS33" s="1"/>
      <c r="AT33" s="1"/>
      <c r="AU33" s="1"/>
      <c r="AV33" s="1"/>
      <c r="AY33" s="1"/>
      <c r="BA33" s="1"/>
      <c r="BB33" s="1"/>
      <c r="BC33" s="1"/>
      <c r="BD33" s="1"/>
      <c r="BE33" s="1"/>
      <c r="BF33" s="1"/>
      <c r="BG33" s="1"/>
      <c r="BH33" s="1"/>
    </row>
    <row r="34" spans="1:6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AA34" s="1"/>
      <c r="AC34" s="1"/>
      <c r="AD34" s="1"/>
      <c r="AE34" s="1"/>
      <c r="AF34" s="1"/>
      <c r="AG34" s="1"/>
      <c r="AH34" s="1"/>
      <c r="AI34" s="1"/>
      <c r="AJ34" s="1"/>
      <c r="AM34" s="1"/>
      <c r="AN34" s="1"/>
      <c r="AP34" s="1"/>
      <c r="AQ34" s="1"/>
      <c r="AR34" s="1"/>
      <c r="AS34" s="1"/>
      <c r="AT34" s="1"/>
      <c r="AU34" s="1"/>
      <c r="AV34" s="1"/>
      <c r="AW34" s="1"/>
      <c r="AY34" s="1"/>
      <c r="BA34" s="1"/>
      <c r="BB34" s="1"/>
      <c r="BC34" s="1"/>
      <c r="BD34" s="1"/>
      <c r="BE34" s="1"/>
      <c r="BF34" s="1"/>
      <c r="BG34" s="1"/>
      <c r="BH34" s="1"/>
    </row>
    <row r="35" spans="1:6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AA35" s="1"/>
      <c r="AC35" s="1"/>
      <c r="AD35" s="1"/>
      <c r="AE35" s="1"/>
      <c r="AF35" s="1"/>
      <c r="AG35" s="1"/>
      <c r="AH35" s="1"/>
      <c r="AI35" s="1"/>
      <c r="AJ35" s="1"/>
      <c r="AM35" s="1"/>
      <c r="AN35" s="1"/>
      <c r="AP35" s="1"/>
      <c r="AQ35" s="1"/>
      <c r="AR35" s="1"/>
      <c r="AS35" s="1"/>
      <c r="AT35" s="1"/>
      <c r="AU35" s="1"/>
      <c r="AW35" s="1"/>
      <c r="AY35" s="1"/>
      <c r="BA35" s="1"/>
      <c r="BB35" s="1"/>
      <c r="BC35" s="1"/>
      <c r="BD35" s="1"/>
      <c r="BE35" s="1"/>
      <c r="BF35" s="1"/>
      <c r="BG35" s="1"/>
      <c r="BH35" s="1"/>
    </row>
    <row r="36" spans="1:6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J36" s="1"/>
      <c r="AN36" s="1"/>
      <c r="AU36" s="1"/>
      <c r="BA36" s="1"/>
      <c r="BH36" s="1"/>
    </row>
    <row r="37" spans="1:6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60" x14ac:dyDescent="0.25">
      <c r="A38" s="1"/>
      <c r="B38" s="1"/>
      <c r="C38" s="1"/>
      <c r="D38" s="1"/>
      <c r="G38" s="1"/>
      <c r="M38" s="1"/>
    </row>
    <row r="39" spans="1:60" x14ac:dyDescent="0.25">
      <c r="A39" s="1"/>
      <c r="B39" s="1"/>
      <c r="C39" s="1"/>
      <c r="D39" s="1"/>
      <c r="G39" s="1"/>
      <c r="J39" s="1"/>
      <c r="K39" s="1"/>
    </row>
    <row r="40" spans="1:60" x14ac:dyDescent="0.25">
      <c r="A40" s="1"/>
      <c r="B40" s="1"/>
      <c r="C40" s="1"/>
      <c r="D40" s="1"/>
      <c r="G40" s="1"/>
    </row>
    <row r="41" spans="1:60" x14ac:dyDescent="0.25">
      <c r="C41" s="1"/>
    </row>
    <row r="42" spans="1:60" x14ac:dyDescent="0.25">
      <c r="C42" s="1"/>
    </row>
    <row r="43" spans="1:60" x14ac:dyDescent="0.25">
      <c r="C43" s="1"/>
    </row>
    <row r="44" spans="1:60" x14ac:dyDescent="0.25">
      <c r="C44" s="1"/>
    </row>
    <row r="45" spans="1:60" x14ac:dyDescent="0.25">
      <c r="C45" s="1"/>
    </row>
    <row r="46" spans="1:60" x14ac:dyDescent="0.25">
      <c r="C46" s="1"/>
    </row>
    <row r="47" spans="1:60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</row>
    <row r="48" spans="1:60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</row>
    <row r="49" spans="2:60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</row>
    <row r="50" spans="2:60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</row>
    <row r="51" spans="2:60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</row>
    <row r="52" spans="2:60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</row>
    <row r="53" spans="2:60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</row>
    <row r="54" spans="2:60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</row>
    <row r="55" spans="2:60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2:60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</row>
    <row r="57" spans="2:60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</row>
    <row r="58" spans="2:60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</row>
    <row r="59" spans="2:60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</row>
    <row r="60" spans="2:60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</row>
    <row r="61" spans="2:60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</row>
    <row r="62" spans="2:60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</row>
    <row r="63" spans="2:60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</row>
    <row r="64" spans="2:60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2:60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</row>
    <row r="66" spans="2:60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</row>
    <row r="67" spans="2:60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</row>
    <row r="68" spans="2:60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</row>
    <row r="69" spans="2:60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</row>
    <row r="70" spans="2:60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</row>
    <row r="71" spans="2:60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</row>
    <row r="72" spans="2:60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</row>
    <row r="73" spans="2:60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2:60" x14ac:dyDescent="0.25">
      <c r="B74" s="1"/>
      <c r="C74" s="1"/>
      <c r="D74" s="1"/>
      <c r="G74" s="1"/>
      <c r="H74" s="1"/>
      <c r="L74" s="1"/>
      <c r="M74" s="1"/>
      <c r="O74" s="1"/>
      <c r="P74" s="1"/>
      <c r="Q74" s="1"/>
      <c r="W74" s="1"/>
      <c r="AD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V74" s="1"/>
      <c r="AW74" s="1"/>
      <c r="AX74" s="1"/>
      <c r="AY74" s="1"/>
      <c r="AZ74" s="1"/>
      <c r="BA74" s="1"/>
      <c r="BC74" s="1"/>
      <c r="BD74" s="1"/>
      <c r="BE74" s="1"/>
      <c r="BG74" s="1"/>
    </row>
    <row r="75" spans="2:60" x14ac:dyDescent="0.25">
      <c r="C75" s="1"/>
      <c r="D75" s="1"/>
      <c r="E75" s="1"/>
      <c r="G75" s="1"/>
      <c r="H75" s="1"/>
      <c r="L75" s="1"/>
      <c r="M75" s="1"/>
      <c r="N75" s="1"/>
      <c r="O75" s="1"/>
      <c r="P75" s="1"/>
      <c r="Q75" s="1"/>
      <c r="T75" s="1"/>
      <c r="W75" s="1"/>
      <c r="Y75" s="1"/>
      <c r="Z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V75" s="1"/>
      <c r="AW75" s="1"/>
      <c r="AX75" s="1"/>
      <c r="AY75" s="1"/>
      <c r="AZ75" s="1"/>
      <c r="BA75" s="1"/>
      <c r="BC75" s="1"/>
      <c r="BD75" s="1"/>
      <c r="BE75" s="1"/>
      <c r="BF75" s="1"/>
      <c r="BG75" s="1"/>
    </row>
    <row r="76" spans="2:60" x14ac:dyDescent="0.25">
      <c r="C76" s="1"/>
      <c r="D76" s="1"/>
      <c r="E76" s="1"/>
      <c r="F76" s="1"/>
      <c r="G76" s="1"/>
      <c r="H76" s="1"/>
      <c r="L76" s="1"/>
      <c r="M76" s="1"/>
      <c r="N76" s="1"/>
      <c r="O76" s="1"/>
      <c r="P76" s="1"/>
      <c r="Q76" s="1"/>
      <c r="R76" s="1"/>
      <c r="T76" s="1"/>
      <c r="W76" s="1"/>
      <c r="Y76" s="1"/>
      <c r="Z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V76" s="1"/>
      <c r="AW76" s="1"/>
      <c r="AX76" s="1"/>
      <c r="AY76" s="1"/>
      <c r="AZ76" s="1"/>
      <c r="BA76" s="1"/>
      <c r="BC76" s="1"/>
      <c r="BD76" s="1"/>
      <c r="BE76" s="1"/>
      <c r="BF76" s="1"/>
      <c r="BG76" s="1"/>
    </row>
    <row r="77" spans="2:60" x14ac:dyDescent="0.25">
      <c r="C77" s="1"/>
      <c r="D77" s="1"/>
      <c r="E77" s="1"/>
      <c r="F77" s="1"/>
      <c r="H77" s="1"/>
      <c r="L77" s="1"/>
      <c r="M77" s="1"/>
      <c r="N77" s="1"/>
      <c r="O77" s="1"/>
      <c r="P77" s="1"/>
      <c r="Q77" s="1"/>
      <c r="R77" s="1"/>
      <c r="T77" s="1"/>
      <c r="U77" s="1"/>
      <c r="W77" s="1"/>
      <c r="Y77" s="1"/>
      <c r="Z77" s="1"/>
      <c r="AA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V77" s="1"/>
      <c r="AW77" s="1"/>
      <c r="AX77" s="1"/>
      <c r="AY77" s="1"/>
      <c r="AZ77" s="1"/>
      <c r="BA77" s="1"/>
      <c r="BC77" s="1"/>
      <c r="BD77" s="1"/>
      <c r="BE77" s="1"/>
      <c r="BF77" s="1"/>
      <c r="BG77" s="1"/>
    </row>
    <row r="78" spans="2:60" x14ac:dyDescent="0.25">
      <c r="C78" s="1"/>
      <c r="D78" s="1"/>
      <c r="E78" s="1"/>
      <c r="F78" s="1"/>
      <c r="H78" s="1"/>
      <c r="L78" s="1"/>
      <c r="M78" s="1"/>
      <c r="N78" s="1"/>
      <c r="O78" s="1"/>
      <c r="P78" s="1"/>
      <c r="Q78" s="1"/>
      <c r="R78" s="1"/>
      <c r="T78" s="1"/>
      <c r="U78" s="1"/>
      <c r="W78" s="1"/>
      <c r="Y78" s="1"/>
      <c r="Z78" s="1"/>
      <c r="AA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V78" s="1"/>
      <c r="AW78" s="1"/>
      <c r="AX78" s="1"/>
      <c r="AY78" s="1"/>
      <c r="AZ78" s="1"/>
      <c r="BA78" s="1"/>
      <c r="BC78" s="1"/>
      <c r="BD78" s="1"/>
      <c r="BE78" s="1"/>
      <c r="BF78" s="1"/>
      <c r="BG78" s="1"/>
    </row>
    <row r="79" spans="2:60" x14ac:dyDescent="0.25">
      <c r="C79" s="1"/>
      <c r="D79" s="1"/>
      <c r="E79" s="1"/>
      <c r="F79" s="1"/>
      <c r="H79" s="1"/>
      <c r="L79" s="1"/>
      <c r="M79" s="1"/>
      <c r="N79" s="1"/>
      <c r="O79" s="1"/>
      <c r="P79" s="1"/>
      <c r="Q79" s="1"/>
      <c r="R79" s="1"/>
      <c r="T79" s="1"/>
      <c r="U79" s="1"/>
      <c r="W79" s="1"/>
      <c r="Y79" s="1"/>
      <c r="Z79" s="1"/>
      <c r="AA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</row>
    <row r="80" spans="2:60" x14ac:dyDescent="0.25">
      <c r="C80" s="1"/>
      <c r="D80" s="1"/>
      <c r="E80" s="1"/>
      <c r="F80" s="1"/>
      <c r="H80" s="1"/>
      <c r="L80" s="1"/>
      <c r="M80" s="1"/>
      <c r="N80" s="1"/>
      <c r="O80" s="1"/>
      <c r="P80" s="1"/>
      <c r="Q80" s="1"/>
      <c r="R80" s="1"/>
      <c r="T80" s="1"/>
      <c r="U80" s="1"/>
      <c r="W80" s="1"/>
      <c r="Y80" s="1"/>
      <c r="Z80" s="1"/>
      <c r="AA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V80" s="1"/>
      <c r="AW80" s="1"/>
      <c r="AX80" s="1"/>
      <c r="AY80" s="1"/>
      <c r="AZ80" s="1"/>
      <c r="BA80" s="1"/>
      <c r="BC80" s="1"/>
      <c r="BD80" s="1"/>
      <c r="BE80" s="1"/>
      <c r="BF80" s="1"/>
      <c r="BG80" s="1"/>
    </row>
    <row r="81" spans="2:59" x14ac:dyDescent="0.25">
      <c r="C81" s="1"/>
      <c r="D81" s="1"/>
      <c r="E81" s="1"/>
      <c r="F81" s="1"/>
      <c r="H81" s="1"/>
      <c r="L81" s="1"/>
      <c r="M81" s="1"/>
      <c r="N81" s="1"/>
      <c r="O81" s="1"/>
      <c r="P81" s="1"/>
      <c r="Q81" s="1"/>
      <c r="R81" s="1"/>
      <c r="T81" s="1"/>
      <c r="U81" s="1"/>
      <c r="W81" s="1"/>
      <c r="Y81" s="1"/>
      <c r="Z81" s="1"/>
      <c r="AA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V81" s="1"/>
      <c r="AW81" s="1"/>
      <c r="AX81" s="1"/>
      <c r="AY81" s="1"/>
      <c r="AZ81" s="1"/>
      <c r="BA81" s="1"/>
      <c r="BC81" s="1"/>
      <c r="BD81" s="1"/>
      <c r="BE81" s="1"/>
      <c r="BF81" s="1"/>
      <c r="BG81" s="1"/>
    </row>
    <row r="93" spans="2:59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2:59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2:59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2:59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2:2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2:25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2:25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2:25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2" spans="2:25" x14ac:dyDescent="0.25">
      <c r="C102" s="1"/>
      <c r="N102" s="1"/>
      <c r="X102" s="1"/>
    </row>
    <row r="103" spans="2:25" x14ac:dyDescent="0.25">
      <c r="H103" s="1"/>
      <c r="M103" s="1"/>
      <c r="N103" s="1"/>
      <c r="X103" s="1"/>
    </row>
    <row r="104" spans="2:25" x14ac:dyDescent="0.25">
      <c r="H104" s="1"/>
      <c r="M104" s="1"/>
      <c r="N104" s="1"/>
      <c r="S104" s="1"/>
      <c r="X104" s="1"/>
    </row>
    <row r="105" spans="2:25" x14ac:dyDescent="0.25">
      <c r="H105" s="1"/>
      <c r="M105" s="1"/>
      <c r="N105" s="1"/>
      <c r="S105" s="1"/>
      <c r="X105" s="1"/>
    </row>
    <row r="106" spans="2:25" x14ac:dyDescent="0.25">
      <c r="H106" s="1"/>
      <c r="M106" s="1"/>
      <c r="N106" s="1"/>
      <c r="S106" s="1"/>
      <c r="X106" s="1"/>
    </row>
    <row r="107" spans="2:25" x14ac:dyDescent="0.25">
      <c r="B107" s="1"/>
      <c r="C107" s="1"/>
      <c r="H107" s="1"/>
      <c r="M107" s="1"/>
      <c r="N107" s="1"/>
      <c r="S107" s="1"/>
      <c r="X107" s="1"/>
    </row>
    <row r="108" spans="2:25" x14ac:dyDescent="0.25">
      <c r="B108" s="1"/>
      <c r="C108" s="1"/>
      <c r="H108" s="1"/>
      <c r="M108" s="1"/>
      <c r="N108" s="1"/>
      <c r="S108" s="1"/>
      <c r="X108" s="1"/>
    </row>
    <row r="109" spans="2:25" x14ac:dyDescent="0.25">
      <c r="B109" s="1"/>
      <c r="C109" s="1"/>
      <c r="H109" s="1"/>
      <c r="M109" s="1"/>
      <c r="N109" s="1"/>
      <c r="O109" s="1"/>
      <c r="S109" s="1"/>
      <c r="X109" s="1"/>
    </row>
    <row r="111" spans="2:25" x14ac:dyDescent="0.2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2:25" x14ac:dyDescent="0.2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2:25" x14ac:dyDescent="0.2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2:25" x14ac:dyDescent="0.2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2:25" x14ac:dyDescent="0.2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2:25" x14ac:dyDescent="0.2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2:25" x14ac:dyDescent="0.2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2:25" x14ac:dyDescent="0.2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20" spans="2:25" x14ac:dyDescent="0.2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2:25" x14ac:dyDescent="0.2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2:25" x14ac:dyDescent="0.2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2:25" x14ac:dyDescent="0.2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2:25" x14ac:dyDescent="0.2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2:25" x14ac:dyDescent="0.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2:25" x14ac:dyDescent="0.2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2:25" x14ac:dyDescent="0.2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9" spans="2:25" x14ac:dyDescent="0.25">
      <c r="C129" s="1"/>
      <c r="E129" s="1"/>
      <c r="J129" s="1"/>
      <c r="L129" s="1"/>
      <c r="N129" s="1"/>
      <c r="O129" s="1"/>
      <c r="R129" s="1"/>
      <c r="X129" s="1"/>
      <c r="Y129" s="1"/>
    </row>
    <row r="130" spans="2:25" x14ac:dyDescent="0.25">
      <c r="C130" s="1"/>
      <c r="E130" s="1"/>
      <c r="J130" s="1"/>
      <c r="L130" s="1"/>
      <c r="N130" s="1"/>
      <c r="O130" s="1"/>
      <c r="R130" s="1"/>
      <c r="X130" s="1"/>
    </row>
    <row r="131" spans="2:25" x14ac:dyDescent="0.25">
      <c r="B131" s="1"/>
      <c r="C131" s="1"/>
      <c r="E131" s="1"/>
      <c r="H131" s="1"/>
      <c r="J131" s="1"/>
      <c r="L131" s="1"/>
      <c r="M131" s="1"/>
      <c r="N131" s="1"/>
      <c r="O131" s="1"/>
      <c r="P131" s="1"/>
      <c r="Q131" s="1"/>
      <c r="R131" s="1"/>
      <c r="S131" s="1"/>
      <c r="U131" s="1"/>
      <c r="X131" s="1"/>
      <c r="Y131" s="1"/>
    </row>
    <row r="132" spans="2:25" x14ac:dyDescent="0.25">
      <c r="B132" s="1"/>
      <c r="C132" s="1"/>
      <c r="E132" s="1"/>
      <c r="H132" s="1"/>
      <c r="J132" s="1"/>
      <c r="L132" s="1"/>
      <c r="M132" s="1"/>
      <c r="N132" s="1"/>
      <c r="O132" s="1"/>
      <c r="P132" s="1"/>
      <c r="Q132" s="1"/>
      <c r="R132" s="1"/>
      <c r="S132" s="1"/>
      <c r="U132" s="1"/>
      <c r="V132" s="1"/>
      <c r="X132" s="1"/>
      <c r="Y132" s="1"/>
    </row>
    <row r="133" spans="2:25" x14ac:dyDescent="0.25">
      <c r="B133" s="1"/>
      <c r="C133" s="1"/>
      <c r="E133" s="1"/>
      <c r="F133" s="1"/>
      <c r="H133" s="1"/>
      <c r="J133" s="1"/>
      <c r="L133" s="1"/>
      <c r="M133" s="1"/>
      <c r="N133" s="1"/>
      <c r="O133" s="1"/>
      <c r="P133" s="1"/>
      <c r="Q133" s="1"/>
      <c r="R133" s="1"/>
      <c r="S133" s="1"/>
      <c r="U133" s="1"/>
      <c r="V133" s="1"/>
      <c r="X133" s="1"/>
      <c r="Y133" s="1"/>
    </row>
    <row r="134" spans="2:25" x14ac:dyDescent="0.25">
      <c r="B134" s="1"/>
      <c r="C134" s="1"/>
      <c r="E134" s="1"/>
      <c r="F134" s="1"/>
      <c r="H134" s="1"/>
      <c r="J134" s="1"/>
      <c r="L134" s="1"/>
      <c r="M134" s="1"/>
      <c r="N134" s="1"/>
      <c r="O134" s="1"/>
      <c r="P134" s="1"/>
      <c r="Q134" s="1"/>
      <c r="R134" s="1"/>
      <c r="S134" s="1"/>
      <c r="U134" s="1"/>
      <c r="V134" s="1"/>
      <c r="X134" s="1"/>
      <c r="Y134" s="1"/>
    </row>
    <row r="135" spans="2:25" x14ac:dyDescent="0.25">
      <c r="B135" s="1"/>
      <c r="C135" s="1"/>
      <c r="E135" s="1"/>
      <c r="F135" s="1"/>
      <c r="H135" s="1"/>
      <c r="J135" s="1"/>
      <c r="L135" s="1"/>
      <c r="M135" s="1"/>
      <c r="N135" s="1"/>
      <c r="O135" s="1"/>
      <c r="P135" s="1"/>
      <c r="Q135" s="1"/>
      <c r="R135" s="1"/>
      <c r="S135" s="1"/>
      <c r="U135" s="1"/>
      <c r="V135" s="1"/>
      <c r="W135" s="1"/>
      <c r="X135" s="1"/>
      <c r="Y135" s="1"/>
    </row>
    <row r="136" spans="2:25" x14ac:dyDescent="0.25">
      <c r="B136" s="1"/>
      <c r="C136" s="1"/>
      <c r="E136" s="1"/>
      <c r="F136" s="1"/>
      <c r="H136" s="1"/>
      <c r="J136" s="1"/>
      <c r="L136" s="1"/>
      <c r="M136" s="1"/>
      <c r="N136" s="1"/>
      <c r="O136" s="1"/>
      <c r="P136" s="1"/>
      <c r="Q136" s="1"/>
      <c r="R136" s="1"/>
      <c r="S136" s="1"/>
      <c r="U136" s="1"/>
      <c r="V136" s="1"/>
      <c r="X136" s="1"/>
      <c r="Y136" s="1"/>
    </row>
    <row r="138" spans="2:25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2:25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2:25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2:25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2:25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2:25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2:25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2:25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CC70F-5493-4331-9440-08247E3EF477}">
  <dimension ref="A1:AA155"/>
  <sheetViews>
    <sheetView topLeftCell="A124" workbookViewId="0">
      <selection activeCell="M167" sqref="M167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</row>
    <row r="6" spans="1:27" x14ac:dyDescent="0.25">
      <c r="A6" s="2">
        <v>2029</v>
      </c>
    </row>
    <row r="7" spans="1:27" x14ac:dyDescent="0.25">
      <c r="A7" s="2">
        <v>2030</v>
      </c>
    </row>
    <row r="8" spans="1:27" x14ac:dyDescent="0.25">
      <c r="A8" s="2">
        <v>2031</v>
      </c>
    </row>
    <row r="9" spans="1:27" x14ac:dyDescent="0.25">
      <c r="A9" s="2">
        <v>2032</v>
      </c>
    </row>
    <row r="10" spans="1:27" x14ac:dyDescent="0.25">
      <c r="A10" s="2">
        <v>2033</v>
      </c>
    </row>
    <row r="11" spans="1:27" x14ac:dyDescent="0.25">
      <c r="A11" s="2">
        <v>2034</v>
      </c>
    </row>
    <row r="12" spans="1:27" x14ac:dyDescent="0.25">
      <c r="A12" s="2">
        <v>2035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0</v>
      </c>
      <c r="Y16" s="2">
        <f>Y5/'Output-Calculation-sheet'!Y4*'Output-Calculation-sheet'!Y22</f>
        <v>0</v>
      </c>
      <c r="AA16" s="2">
        <f>SUM(B16:Y16)/1000</f>
        <v>0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0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0</v>
      </c>
      <c r="Y17" s="2">
        <f>Y6/'Output-Calculation-sheet'!Y5*'Output-Calculation-sheet'!Y23</f>
        <v>0</v>
      </c>
      <c r="AA17" s="2">
        <f t="shared" ref="AA17:AA23" si="0">SUM(B17:Y17)/1000</f>
        <v>0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0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0</v>
      </c>
      <c r="Y18" s="2">
        <f>Y7/'Output-Calculation-sheet'!Y6*'Output-Calculation-sheet'!Y24</f>
        <v>0</v>
      </c>
      <c r="AA18" s="2">
        <f t="shared" si="0"/>
        <v>0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0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0</v>
      </c>
      <c r="Y19" s="2">
        <f>Y8/'Output-Calculation-sheet'!Y7*'Output-Calculation-sheet'!Y25</f>
        <v>0</v>
      </c>
      <c r="AA19" s="2">
        <f t="shared" si="0"/>
        <v>0</v>
      </c>
    </row>
    <row r="20" spans="1:27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0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0</v>
      </c>
      <c r="Y20" s="2">
        <f>Y9/'Output-Calculation-sheet'!Y8*'Output-Calculation-sheet'!Y26</f>
        <v>0</v>
      </c>
      <c r="AA20" s="2">
        <f t="shared" si="0"/>
        <v>0</v>
      </c>
    </row>
    <row r="21" spans="1:27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0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0</v>
      </c>
      <c r="Y21" s="2">
        <f>Y10/'Output-Calculation-sheet'!Y9*'Output-Calculation-sheet'!Y27</f>
        <v>0</v>
      </c>
      <c r="AA21" s="2">
        <f t="shared" si="0"/>
        <v>0</v>
      </c>
    </row>
    <row r="22" spans="1:27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0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0</v>
      </c>
      <c r="Y22" s="2">
        <f>Y11/'Output-Calculation-sheet'!Y10*'Output-Calculation-sheet'!Y28</f>
        <v>0</v>
      </c>
      <c r="AA22" s="2">
        <f t="shared" si="0"/>
        <v>0</v>
      </c>
    </row>
    <row r="23" spans="1:27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0</v>
      </c>
      <c r="Y23" s="2">
        <f>Y12/'Output-Calculation-sheet'!Y11*'Output-Calculation-sheet'!Y29</f>
        <v>0</v>
      </c>
      <c r="AA23" s="2">
        <f t="shared" si="0"/>
        <v>0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0</v>
      </c>
      <c r="C27" s="2">
        <f>C5/'Output-Calculation-sheet'!C4*'Output-Calculation-sheet'!C13</f>
        <v>0</v>
      </c>
      <c r="D27" s="2">
        <f>D5/'Output-Calculation-sheet'!D4*'Output-Calculation-sheet'!D13</f>
        <v>0</v>
      </c>
      <c r="E27" s="2">
        <f>E5/'Output-Calculation-sheet'!E4*'Output-Calculation-sheet'!E13</f>
        <v>0</v>
      </c>
      <c r="F27" s="2">
        <f>F5/'Output-Calculation-sheet'!F4*'Output-Calculation-sheet'!F13</f>
        <v>0</v>
      </c>
      <c r="G27" s="2">
        <f>G5/'Output-Calculation-sheet'!G4*'Output-Calculation-sheet'!G13</f>
        <v>0</v>
      </c>
      <c r="H27" s="2">
        <f>H5/'Output-Calculation-sheet'!H4*'Output-Calculation-sheet'!H13</f>
        <v>0</v>
      </c>
      <c r="I27" s="2">
        <f>I5/'Output-Calculation-sheet'!I4*'Output-Calculation-sheet'!I13</f>
        <v>0</v>
      </c>
      <c r="J27" s="2">
        <f>J5/'Output-Calculation-sheet'!J4*'Output-Calculation-sheet'!J13</f>
        <v>0</v>
      </c>
      <c r="K27" s="2">
        <f>K5/'Output-Calculation-sheet'!K4*'Output-Calculation-sheet'!K13</f>
        <v>0</v>
      </c>
      <c r="L27" s="2">
        <f>L5/'Output-Calculation-sheet'!L4*'Output-Calculation-sheet'!L13</f>
        <v>0</v>
      </c>
      <c r="M27" s="2">
        <f>M5/'Output-Calculation-sheet'!M4*'Output-Calculation-sheet'!M13</f>
        <v>0</v>
      </c>
      <c r="N27" s="2">
        <f>N5/'Output-Calculation-sheet'!N4*'Output-Calculation-sheet'!N13</f>
        <v>0</v>
      </c>
      <c r="O27" s="2">
        <f>O5/'Output-Calculation-sheet'!O4*'Output-Calculation-sheet'!O13</f>
        <v>0</v>
      </c>
      <c r="P27" s="2">
        <f>P5/'Output-Calculation-sheet'!P4*'Output-Calculation-sheet'!P13</f>
        <v>0</v>
      </c>
      <c r="Q27" s="2">
        <f>Q5/'Output-Calculation-sheet'!Q4*'Output-Calculation-sheet'!Q13</f>
        <v>0</v>
      </c>
      <c r="R27" s="2">
        <f>R5/'Output-Calculation-sheet'!R4*'Output-Calculation-sheet'!R13</f>
        <v>0</v>
      </c>
      <c r="S27" s="2">
        <f>S5/'Output-Calculation-sheet'!S4*'Output-Calculation-sheet'!S13</f>
        <v>0</v>
      </c>
      <c r="T27" s="2">
        <f>T5/'Output-Calculation-sheet'!T4*'Output-Calculation-sheet'!T13</f>
        <v>0</v>
      </c>
      <c r="U27" s="2">
        <f>U5/'Output-Calculation-sheet'!U4*'Output-Calculation-sheet'!U13</f>
        <v>0</v>
      </c>
      <c r="V27" s="2">
        <f>V5/'Output-Calculation-sheet'!V4*'Output-Calculation-sheet'!V13</f>
        <v>0</v>
      </c>
      <c r="W27" s="2">
        <f>W5/'Output-Calculation-sheet'!W4*'Output-Calculation-sheet'!W13</f>
        <v>0</v>
      </c>
      <c r="X27" s="2">
        <f>X5/'Output-Calculation-sheet'!X4*'Output-Calculation-sheet'!X13</f>
        <v>0</v>
      </c>
      <c r="Y27" s="2">
        <f>Y5/'Output-Calculation-sheet'!Y4*'Output-Calculation-sheet'!Y13</f>
        <v>0</v>
      </c>
      <c r="AA27" s="2">
        <f>SUM(B27:Y27)/1000</f>
        <v>0</v>
      </c>
    </row>
    <row r="28" spans="1:27" x14ac:dyDescent="0.25">
      <c r="A28" s="2">
        <v>2029</v>
      </c>
      <c r="B28" s="2">
        <f>B6/'Output-Calculation-sheet'!B5*'Output-Calculation-sheet'!B14</f>
        <v>0</v>
      </c>
      <c r="C28" s="2">
        <f>C6/'Output-Calculation-sheet'!C5*'Output-Calculation-sheet'!C14</f>
        <v>0</v>
      </c>
      <c r="D28" s="2">
        <f>D6/'Output-Calculation-sheet'!D5*'Output-Calculation-sheet'!D14</f>
        <v>0</v>
      </c>
      <c r="E28" s="2">
        <f>E6/'Output-Calculation-sheet'!E5*'Output-Calculation-sheet'!E14</f>
        <v>0</v>
      </c>
      <c r="F28" s="2">
        <f>F6/'Output-Calculation-sheet'!F5*'Output-Calculation-sheet'!F14</f>
        <v>0</v>
      </c>
      <c r="G28" s="2">
        <f>G6/'Output-Calculation-sheet'!G5*'Output-Calculation-sheet'!G14</f>
        <v>0</v>
      </c>
      <c r="H28" s="2">
        <f>H6/'Output-Calculation-sheet'!H5*'Output-Calculation-sheet'!H14</f>
        <v>0</v>
      </c>
      <c r="I28" s="2">
        <f>I6/'Output-Calculation-sheet'!I5*'Output-Calculation-sheet'!I14</f>
        <v>0</v>
      </c>
      <c r="J28" s="2">
        <f>J6/'Output-Calculation-sheet'!J5*'Output-Calculation-sheet'!J14</f>
        <v>0</v>
      </c>
      <c r="K28" s="2">
        <f>K6/'Output-Calculation-sheet'!K5*'Output-Calculation-sheet'!K14</f>
        <v>0</v>
      </c>
      <c r="L28" s="2">
        <f>L6/'Output-Calculation-sheet'!L5*'Output-Calculation-sheet'!L14</f>
        <v>0</v>
      </c>
      <c r="M28" s="2">
        <f>M6/'Output-Calculation-sheet'!M5*'Output-Calculation-sheet'!M14</f>
        <v>0</v>
      </c>
      <c r="N28" s="2">
        <f>N6/'Output-Calculation-sheet'!N5*'Output-Calculation-sheet'!N14</f>
        <v>0</v>
      </c>
      <c r="O28" s="2">
        <f>O6/'Output-Calculation-sheet'!O5*'Output-Calculation-sheet'!O14</f>
        <v>0</v>
      </c>
      <c r="P28" s="2">
        <f>P6/'Output-Calculation-sheet'!P5*'Output-Calculation-sheet'!P14</f>
        <v>0</v>
      </c>
      <c r="Q28" s="2">
        <f>Q6/'Output-Calculation-sheet'!Q5*'Output-Calculation-sheet'!Q14</f>
        <v>0</v>
      </c>
      <c r="R28" s="2">
        <f>R6/'Output-Calculation-sheet'!R5*'Output-Calculation-sheet'!R14</f>
        <v>0</v>
      </c>
      <c r="S28" s="2">
        <f>S6/'Output-Calculation-sheet'!S5*'Output-Calculation-sheet'!S14</f>
        <v>0</v>
      </c>
      <c r="T28" s="2">
        <f>T6/'Output-Calculation-sheet'!T5*'Output-Calculation-sheet'!T14</f>
        <v>0</v>
      </c>
      <c r="U28" s="2">
        <f>U6/'Output-Calculation-sheet'!U5*'Output-Calculation-sheet'!U14</f>
        <v>0</v>
      </c>
      <c r="V28" s="2">
        <f>V6/'Output-Calculation-sheet'!V5*'Output-Calculation-sheet'!V14</f>
        <v>0</v>
      </c>
      <c r="W28" s="2">
        <f>W6/'Output-Calculation-sheet'!W5*'Output-Calculation-sheet'!W14</f>
        <v>0</v>
      </c>
      <c r="X28" s="2">
        <f>X6/'Output-Calculation-sheet'!X5*'Output-Calculation-sheet'!X14</f>
        <v>0</v>
      </c>
      <c r="Y28" s="2">
        <f>Y6/'Output-Calculation-sheet'!Y5*'Output-Calculation-sheet'!Y14</f>
        <v>0</v>
      </c>
      <c r="AA28" s="2">
        <f t="shared" ref="AA28:AA34" si="1">SUM(B28:Y28)/1000</f>
        <v>0</v>
      </c>
    </row>
    <row r="29" spans="1:27" x14ac:dyDescent="0.25">
      <c r="A29" s="2">
        <v>2030</v>
      </c>
      <c r="B29" s="2">
        <f>B7/'Output-Calculation-sheet'!B6*'Output-Calculation-sheet'!B15</f>
        <v>0</v>
      </c>
      <c r="C29" s="2">
        <f>C7/'Output-Calculation-sheet'!C6*'Output-Calculation-sheet'!C15</f>
        <v>0</v>
      </c>
      <c r="D29" s="2">
        <f>D7/'Output-Calculation-sheet'!D6*'Output-Calculation-sheet'!D15</f>
        <v>0</v>
      </c>
      <c r="E29" s="2">
        <f>E7/'Output-Calculation-sheet'!E6*'Output-Calculation-sheet'!E15</f>
        <v>0</v>
      </c>
      <c r="F29" s="2">
        <f>F7/'Output-Calculation-sheet'!F6*'Output-Calculation-sheet'!F15</f>
        <v>0</v>
      </c>
      <c r="G29" s="2">
        <f>G7/'Output-Calculation-sheet'!G6*'Output-Calculation-sheet'!G15</f>
        <v>0</v>
      </c>
      <c r="H29" s="2">
        <f>H7/'Output-Calculation-sheet'!H6*'Output-Calculation-sheet'!H15</f>
        <v>0</v>
      </c>
      <c r="I29" s="2">
        <f>I7/'Output-Calculation-sheet'!I6*'Output-Calculation-sheet'!I15</f>
        <v>0</v>
      </c>
      <c r="J29" s="2">
        <f>J7/'Output-Calculation-sheet'!J6*'Output-Calculation-sheet'!J15</f>
        <v>0</v>
      </c>
      <c r="K29" s="2">
        <f>K7/'Output-Calculation-sheet'!K6*'Output-Calculation-sheet'!K15</f>
        <v>0</v>
      </c>
      <c r="L29" s="2">
        <f>L7/'Output-Calculation-sheet'!L6*'Output-Calculation-sheet'!L15</f>
        <v>0</v>
      </c>
      <c r="M29" s="2">
        <f>M7/'Output-Calculation-sheet'!M6*'Output-Calculation-sheet'!M15</f>
        <v>0</v>
      </c>
      <c r="N29" s="2">
        <f>N7/'Output-Calculation-sheet'!N6*'Output-Calculation-sheet'!N15</f>
        <v>0</v>
      </c>
      <c r="O29" s="2">
        <f>O7/'Output-Calculation-sheet'!O6*'Output-Calculation-sheet'!O15</f>
        <v>0</v>
      </c>
      <c r="P29" s="2">
        <f>P7/'Output-Calculation-sheet'!P6*'Output-Calculation-sheet'!P15</f>
        <v>0</v>
      </c>
      <c r="Q29" s="2">
        <f>Q7/'Output-Calculation-sheet'!Q6*'Output-Calculation-sheet'!Q15</f>
        <v>0</v>
      </c>
      <c r="R29" s="2">
        <f>R7/'Output-Calculation-sheet'!R6*'Output-Calculation-sheet'!R15</f>
        <v>0</v>
      </c>
      <c r="S29" s="2">
        <f>S7/'Output-Calculation-sheet'!S6*'Output-Calculation-sheet'!S15</f>
        <v>0</v>
      </c>
      <c r="T29" s="2">
        <f>T7/'Output-Calculation-sheet'!T6*'Output-Calculation-sheet'!T15</f>
        <v>0</v>
      </c>
      <c r="U29" s="2">
        <f>U7/'Output-Calculation-sheet'!U6*'Output-Calculation-sheet'!U15</f>
        <v>0</v>
      </c>
      <c r="V29" s="2">
        <f>V7/'Output-Calculation-sheet'!V6*'Output-Calculation-sheet'!V15</f>
        <v>0</v>
      </c>
      <c r="W29" s="2">
        <f>W7/'Output-Calculation-sheet'!W6*'Output-Calculation-sheet'!W15</f>
        <v>0</v>
      </c>
      <c r="X29" s="2">
        <f>X7/'Output-Calculation-sheet'!X6*'Output-Calculation-sheet'!X15</f>
        <v>0</v>
      </c>
      <c r="Y29" s="2">
        <f>Y7/'Output-Calculation-sheet'!Y6*'Output-Calculation-sheet'!Y15</f>
        <v>0</v>
      </c>
      <c r="AA29" s="2">
        <f t="shared" si="1"/>
        <v>0</v>
      </c>
    </row>
    <row r="30" spans="1:27" x14ac:dyDescent="0.25">
      <c r="A30" s="2">
        <v>2031</v>
      </c>
      <c r="B30" s="2">
        <f>B8/'Output-Calculation-sheet'!B7*'Output-Calculation-sheet'!B16</f>
        <v>0</v>
      </c>
      <c r="C30" s="2">
        <f>C8/'Output-Calculation-sheet'!C7*'Output-Calculation-sheet'!C16</f>
        <v>0</v>
      </c>
      <c r="D30" s="2">
        <f>D8/'Output-Calculation-sheet'!D7*'Output-Calculation-sheet'!D16</f>
        <v>0</v>
      </c>
      <c r="E30" s="2">
        <f>E8/'Output-Calculation-sheet'!E7*'Output-Calculation-sheet'!E16</f>
        <v>0</v>
      </c>
      <c r="F30" s="2">
        <f>F8/'Output-Calculation-sheet'!F7*'Output-Calculation-sheet'!F16</f>
        <v>0</v>
      </c>
      <c r="G30" s="2">
        <f>G8/'Output-Calculation-sheet'!G7*'Output-Calculation-sheet'!G16</f>
        <v>0</v>
      </c>
      <c r="H30" s="2">
        <f>H8/'Output-Calculation-sheet'!H7*'Output-Calculation-sheet'!H16</f>
        <v>0</v>
      </c>
      <c r="I30" s="2">
        <f>I8/'Output-Calculation-sheet'!I7*'Output-Calculation-sheet'!I16</f>
        <v>0</v>
      </c>
      <c r="J30" s="2">
        <f>J8/'Output-Calculation-sheet'!J7*'Output-Calculation-sheet'!J16</f>
        <v>0</v>
      </c>
      <c r="K30" s="2">
        <f>K8/'Output-Calculation-sheet'!K7*'Output-Calculation-sheet'!K16</f>
        <v>0</v>
      </c>
      <c r="L30" s="2">
        <f>L8/'Output-Calculation-sheet'!L7*'Output-Calculation-sheet'!L16</f>
        <v>0</v>
      </c>
      <c r="M30" s="2">
        <f>M8/'Output-Calculation-sheet'!M7*'Output-Calculation-sheet'!M16</f>
        <v>0</v>
      </c>
      <c r="N30" s="2">
        <f>N8/'Output-Calculation-sheet'!N7*'Output-Calculation-sheet'!N16</f>
        <v>0</v>
      </c>
      <c r="O30" s="2">
        <f>O8/'Output-Calculation-sheet'!O7*'Output-Calculation-sheet'!O16</f>
        <v>0</v>
      </c>
      <c r="P30" s="2">
        <f>P8/'Output-Calculation-sheet'!P7*'Output-Calculation-sheet'!P16</f>
        <v>0</v>
      </c>
      <c r="Q30" s="2">
        <f>Q8/'Output-Calculation-sheet'!Q7*'Output-Calculation-sheet'!Q16</f>
        <v>0</v>
      </c>
      <c r="R30" s="2">
        <f>R8/'Output-Calculation-sheet'!R7*'Output-Calculation-sheet'!R16</f>
        <v>0</v>
      </c>
      <c r="S30" s="2">
        <f>S8/'Output-Calculation-sheet'!S7*'Output-Calculation-sheet'!S16</f>
        <v>0</v>
      </c>
      <c r="T30" s="2">
        <f>T8/'Output-Calculation-sheet'!T7*'Output-Calculation-sheet'!T16</f>
        <v>0</v>
      </c>
      <c r="U30" s="2">
        <f>U8/'Output-Calculation-sheet'!U7*'Output-Calculation-sheet'!U16</f>
        <v>0</v>
      </c>
      <c r="V30" s="2">
        <f>V8/'Output-Calculation-sheet'!V7*'Output-Calculation-sheet'!V16</f>
        <v>0</v>
      </c>
      <c r="W30" s="2">
        <f>W8/'Output-Calculation-sheet'!W7*'Output-Calculation-sheet'!W16</f>
        <v>0</v>
      </c>
      <c r="X30" s="2">
        <f>X8/'Output-Calculation-sheet'!X7*'Output-Calculation-sheet'!X16</f>
        <v>0</v>
      </c>
      <c r="Y30" s="2">
        <f>Y8/'Output-Calculation-sheet'!Y7*'Output-Calculation-sheet'!Y16</f>
        <v>0</v>
      </c>
      <c r="AA30" s="2">
        <f t="shared" si="1"/>
        <v>0</v>
      </c>
    </row>
    <row r="31" spans="1:27" x14ac:dyDescent="0.25">
      <c r="A31" s="2">
        <v>2032</v>
      </c>
      <c r="B31" s="2">
        <f>B9/'Output-Calculation-sheet'!B8*'Output-Calculation-sheet'!B17</f>
        <v>0</v>
      </c>
      <c r="C31" s="2">
        <f>C9/'Output-Calculation-sheet'!C8*'Output-Calculation-sheet'!C17</f>
        <v>0</v>
      </c>
      <c r="D31" s="2">
        <f>D9/'Output-Calculation-sheet'!D8*'Output-Calculation-sheet'!D17</f>
        <v>0</v>
      </c>
      <c r="E31" s="2">
        <f>E9/'Output-Calculation-sheet'!E8*'Output-Calculation-sheet'!E17</f>
        <v>0</v>
      </c>
      <c r="F31" s="2">
        <f>F9/'Output-Calculation-sheet'!F8*'Output-Calculation-sheet'!F17</f>
        <v>0</v>
      </c>
      <c r="G31" s="2">
        <f>G9/'Output-Calculation-sheet'!G8*'Output-Calculation-sheet'!G17</f>
        <v>0</v>
      </c>
      <c r="H31" s="2">
        <f>H9/'Output-Calculation-sheet'!H8*'Output-Calculation-sheet'!H17</f>
        <v>0</v>
      </c>
      <c r="I31" s="2">
        <f>I9/'Output-Calculation-sheet'!I8*'Output-Calculation-sheet'!I17</f>
        <v>0</v>
      </c>
      <c r="J31" s="2">
        <f>J9/'Output-Calculation-sheet'!J8*'Output-Calculation-sheet'!J17</f>
        <v>0</v>
      </c>
      <c r="K31" s="2">
        <f>K9/'Output-Calculation-sheet'!K8*'Output-Calculation-sheet'!K17</f>
        <v>0</v>
      </c>
      <c r="L31" s="2">
        <f>L9/'Output-Calculation-sheet'!L8*'Output-Calculation-sheet'!L17</f>
        <v>0</v>
      </c>
      <c r="M31" s="2">
        <f>M9/'Output-Calculation-sheet'!M8*'Output-Calculation-sheet'!M17</f>
        <v>0</v>
      </c>
      <c r="N31" s="2">
        <f>N9/'Output-Calculation-sheet'!N8*'Output-Calculation-sheet'!N17</f>
        <v>0</v>
      </c>
      <c r="O31" s="2">
        <f>O9/'Output-Calculation-sheet'!O8*'Output-Calculation-sheet'!O17</f>
        <v>0</v>
      </c>
      <c r="P31" s="2">
        <f>P9/'Output-Calculation-sheet'!P8*'Output-Calculation-sheet'!P17</f>
        <v>0</v>
      </c>
      <c r="Q31" s="2">
        <f>Q9/'Output-Calculation-sheet'!Q8*'Output-Calculation-sheet'!Q17</f>
        <v>0</v>
      </c>
      <c r="R31" s="2">
        <f>R9/'Output-Calculation-sheet'!R8*'Output-Calculation-sheet'!R17</f>
        <v>0</v>
      </c>
      <c r="S31" s="2">
        <f>S9/'Output-Calculation-sheet'!S8*'Output-Calculation-sheet'!S17</f>
        <v>0</v>
      </c>
      <c r="T31" s="2">
        <f>T9/'Output-Calculation-sheet'!T8*'Output-Calculation-sheet'!T17</f>
        <v>0</v>
      </c>
      <c r="U31" s="2">
        <f>U9/'Output-Calculation-sheet'!U8*'Output-Calculation-sheet'!U17</f>
        <v>0</v>
      </c>
      <c r="V31" s="2">
        <f>V9/'Output-Calculation-sheet'!V8*'Output-Calculation-sheet'!V17</f>
        <v>0</v>
      </c>
      <c r="W31" s="2">
        <f>W9/'Output-Calculation-sheet'!W8*'Output-Calculation-sheet'!W17</f>
        <v>0</v>
      </c>
      <c r="X31" s="2">
        <f>X9/'Output-Calculation-sheet'!X8*'Output-Calculation-sheet'!X17</f>
        <v>0</v>
      </c>
      <c r="Y31" s="2">
        <f>Y9/'Output-Calculation-sheet'!Y8*'Output-Calculation-sheet'!Y17</f>
        <v>0</v>
      </c>
      <c r="AA31" s="2">
        <f t="shared" si="1"/>
        <v>0</v>
      </c>
    </row>
    <row r="32" spans="1:27" x14ac:dyDescent="0.25">
      <c r="A32" s="2">
        <v>2033</v>
      </c>
      <c r="B32" s="2">
        <f>B10/'Output-Calculation-sheet'!B9*'Output-Calculation-sheet'!B18</f>
        <v>0</v>
      </c>
      <c r="C32" s="2">
        <f>C10/'Output-Calculation-sheet'!C9*'Output-Calculation-sheet'!C18</f>
        <v>0</v>
      </c>
      <c r="D32" s="2">
        <f>D10/'Output-Calculation-sheet'!D9*'Output-Calculation-sheet'!D18</f>
        <v>0</v>
      </c>
      <c r="E32" s="2">
        <f>E10/'Output-Calculation-sheet'!E9*'Output-Calculation-sheet'!E18</f>
        <v>0</v>
      </c>
      <c r="F32" s="2">
        <f>F10/'Output-Calculation-sheet'!F9*'Output-Calculation-sheet'!F18</f>
        <v>0</v>
      </c>
      <c r="G32" s="2">
        <f>G10/'Output-Calculation-sheet'!G9*'Output-Calculation-sheet'!G18</f>
        <v>0</v>
      </c>
      <c r="H32" s="2">
        <f>H10/'Output-Calculation-sheet'!H9*'Output-Calculation-sheet'!H18</f>
        <v>0</v>
      </c>
      <c r="I32" s="2">
        <f>I10/'Output-Calculation-sheet'!I9*'Output-Calculation-sheet'!I18</f>
        <v>0</v>
      </c>
      <c r="J32" s="2">
        <f>J10/'Output-Calculation-sheet'!J9*'Output-Calculation-sheet'!J18</f>
        <v>0</v>
      </c>
      <c r="K32" s="2">
        <f>K10/'Output-Calculation-sheet'!K9*'Output-Calculation-sheet'!K18</f>
        <v>0</v>
      </c>
      <c r="L32" s="2">
        <f>L10/'Output-Calculation-sheet'!L9*'Output-Calculation-sheet'!L18</f>
        <v>0</v>
      </c>
      <c r="M32" s="2">
        <f>M10/'Output-Calculation-sheet'!M9*'Output-Calculation-sheet'!M18</f>
        <v>0</v>
      </c>
      <c r="N32" s="2">
        <f>N10/'Output-Calculation-sheet'!N9*'Output-Calculation-sheet'!N18</f>
        <v>0</v>
      </c>
      <c r="O32" s="2">
        <f>O10/'Output-Calculation-sheet'!O9*'Output-Calculation-sheet'!O18</f>
        <v>0</v>
      </c>
      <c r="P32" s="2">
        <f>P10/'Output-Calculation-sheet'!P9*'Output-Calculation-sheet'!P18</f>
        <v>0</v>
      </c>
      <c r="Q32" s="2">
        <f>Q10/'Output-Calculation-sheet'!Q9*'Output-Calculation-sheet'!Q18</f>
        <v>0</v>
      </c>
      <c r="R32" s="2">
        <f>R10/'Output-Calculation-sheet'!R9*'Output-Calculation-sheet'!R18</f>
        <v>0</v>
      </c>
      <c r="S32" s="2">
        <f>S10/'Output-Calculation-sheet'!S9*'Output-Calculation-sheet'!S18</f>
        <v>0</v>
      </c>
      <c r="T32" s="2">
        <f>T10/'Output-Calculation-sheet'!T9*'Output-Calculation-sheet'!T18</f>
        <v>0</v>
      </c>
      <c r="U32" s="2">
        <f>U10/'Output-Calculation-sheet'!U9*'Output-Calculation-sheet'!U18</f>
        <v>0</v>
      </c>
      <c r="V32" s="2">
        <f>V10/'Output-Calculation-sheet'!V9*'Output-Calculation-sheet'!V18</f>
        <v>0</v>
      </c>
      <c r="W32" s="2">
        <f>W10/'Output-Calculation-sheet'!W9*'Output-Calculation-sheet'!W18</f>
        <v>0</v>
      </c>
      <c r="X32" s="2">
        <f>X10/'Output-Calculation-sheet'!X9*'Output-Calculation-sheet'!X18</f>
        <v>0</v>
      </c>
      <c r="Y32" s="2">
        <f>Y10/'Output-Calculation-sheet'!Y9*'Output-Calculation-sheet'!Y18</f>
        <v>0</v>
      </c>
      <c r="AA32" s="2">
        <f t="shared" si="1"/>
        <v>0</v>
      </c>
    </row>
    <row r="33" spans="1:27" x14ac:dyDescent="0.25">
      <c r="A33" s="2">
        <v>2034</v>
      </c>
      <c r="B33" s="2">
        <f>B11/'Output-Calculation-sheet'!B10*'Output-Calculation-sheet'!B19</f>
        <v>0</v>
      </c>
      <c r="C33" s="2">
        <f>C11/'Output-Calculation-sheet'!C10*'Output-Calculation-sheet'!C19</f>
        <v>0</v>
      </c>
      <c r="D33" s="2">
        <f>D11/'Output-Calculation-sheet'!D10*'Output-Calculation-sheet'!D19</f>
        <v>0</v>
      </c>
      <c r="E33" s="2">
        <f>E11/'Output-Calculation-sheet'!E10*'Output-Calculation-sheet'!E19</f>
        <v>0</v>
      </c>
      <c r="F33" s="2">
        <f>F11/'Output-Calculation-sheet'!F10*'Output-Calculation-sheet'!F19</f>
        <v>0</v>
      </c>
      <c r="G33" s="2">
        <f>G11/'Output-Calculation-sheet'!G10*'Output-Calculation-sheet'!G19</f>
        <v>0</v>
      </c>
      <c r="H33" s="2">
        <f>H11/'Output-Calculation-sheet'!H10*'Output-Calculation-sheet'!H19</f>
        <v>0</v>
      </c>
      <c r="I33" s="2">
        <f>I11/'Output-Calculation-sheet'!I10*'Output-Calculation-sheet'!I19</f>
        <v>0</v>
      </c>
      <c r="J33" s="2">
        <f>J11/'Output-Calculation-sheet'!J10*'Output-Calculation-sheet'!J19</f>
        <v>0</v>
      </c>
      <c r="K33" s="2">
        <f>K11/'Output-Calculation-sheet'!K10*'Output-Calculation-sheet'!K19</f>
        <v>0</v>
      </c>
      <c r="L33" s="2">
        <f>L11/'Output-Calculation-sheet'!L10*'Output-Calculation-sheet'!L19</f>
        <v>0</v>
      </c>
      <c r="M33" s="2">
        <f>M11/'Output-Calculation-sheet'!M10*'Output-Calculation-sheet'!M19</f>
        <v>0</v>
      </c>
      <c r="N33" s="2">
        <f>N11/'Output-Calculation-sheet'!N10*'Output-Calculation-sheet'!N19</f>
        <v>0</v>
      </c>
      <c r="O33" s="2">
        <f>O11/'Output-Calculation-sheet'!O10*'Output-Calculation-sheet'!O19</f>
        <v>0</v>
      </c>
      <c r="P33" s="2">
        <f>P11/'Output-Calculation-sheet'!P10*'Output-Calculation-sheet'!P19</f>
        <v>0</v>
      </c>
      <c r="Q33" s="2">
        <f>Q11/'Output-Calculation-sheet'!Q10*'Output-Calculation-sheet'!Q19</f>
        <v>0</v>
      </c>
      <c r="R33" s="2">
        <f>R11/'Output-Calculation-sheet'!R10*'Output-Calculation-sheet'!R19</f>
        <v>0</v>
      </c>
      <c r="S33" s="2">
        <f>S11/'Output-Calculation-sheet'!S10*'Output-Calculation-sheet'!S19</f>
        <v>0</v>
      </c>
      <c r="T33" s="2">
        <f>T11/'Output-Calculation-sheet'!T10*'Output-Calculation-sheet'!T19</f>
        <v>0</v>
      </c>
      <c r="U33" s="2">
        <f>U11/'Output-Calculation-sheet'!U10*'Output-Calculation-sheet'!U19</f>
        <v>0</v>
      </c>
      <c r="V33" s="2">
        <f>V11/'Output-Calculation-sheet'!V10*'Output-Calculation-sheet'!V19</f>
        <v>0</v>
      </c>
      <c r="W33" s="2">
        <f>W11/'Output-Calculation-sheet'!W10*'Output-Calculation-sheet'!W19</f>
        <v>0</v>
      </c>
      <c r="X33" s="2">
        <f>X11/'Output-Calculation-sheet'!X10*'Output-Calculation-sheet'!X19</f>
        <v>0</v>
      </c>
      <c r="Y33" s="2">
        <f>Y11/'Output-Calculation-sheet'!Y10*'Output-Calculation-sheet'!Y19</f>
        <v>0</v>
      </c>
      <c r="AA33" s="2">
        <f t="shared" si="1"/>
        <v>0</v>
      </c>
    </row>
    <row r="34" spans="1:27" x14ac:dyDescent="0.25">
      <c r="A34" s="2">
        <v>2035</v>
      </c>
      <c r="B34" s="2">
        <f>B12/'Output-Calculation-sheet'!B11*'Output-Calculation-sheet'!B20</f>
        <v>0</v>
      </c>
      <c r="C34" s="2">
        <f>C12/'Output-Calculation-sheet'!C11*'Output-Calculation-sheet'!C20</f>
        <v>0</v>
      </c>
      <c r="D34" s="2">
        <f>D12/'Output-Calculation-sheet'!D11*'Output-Calculation-sheet'!D20</f>
        <v>0</v>
      </c>
      <c r="E34" s="2">
        <f>E12/'Output-Calculation-sheet'!E11*'Output-Calculation-sheet'!E20</f>
        <v>0</v>
      </c>
      <c r="F34" s="2">
        <f>F12/'Output-Calculation-sheet'!F11*'Output-Calculation-sheet'!F20</f>
        <v>0</v>
      </c>
      <c r="G34" s="2">
        <f>G12/'Output-Calculation-sheet'!G11*'Output-Calculation-sheet'!G20</f>
        <v>0</v>
      </c>
      <c r="H34" s="2">
        <f>H12/'Output-Calculation-sheet'!H11*'Output-Calculation-sheet'!H20</f>
        <v>0</v>
      </c>
      <c r="I34" s="2">
        <f>I12/'Output-Calculation-sheet'!I11*'Output-Calculation-sheet'!I20</f>
        <v>0</v>
      </c>
      <c r="J34" s="2">
        <f>J12/'Output-Calculation-sheet'!J11*'Output-Calculation-sheet'!J20</f>
        <v>0</v>
      </c>
      <c r="K34" s="2">
        <f>K12/'Output-Calculation-sheet'!K11*'Output-Calculation-sheet'!K20</f>
        <v>0</v>
      </c>
      <c r="L34" s="2">
        <f>L12/'Output-Calculation-sheet'!L11*'Output-Calculation-sheet'!L20</f>
        <v>0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0</v>
      </c>
      <c r="Q34" s="2">
        <f>Q12/'Output-Calculation-sheet'!Q11*'Output-Calculation-sheet'!Q20</f>
        <v>0</v>
      </c>
      <c r="R34" s="2">
        <f>R12/'Output-Calculation-sheet'!R11*'Output-Calculation-sheet'!R20</f>
        <v>0</v>
      </c>
      <c r="S34" s="2">
        <f>S12/'Output-Calculation-sheet'!S11*'Output-Calculation-sheet'!S20</f>
        <v>0</v>
      </c>
      <c r="T34" s="2">
        <f>T12/'Output-Calculation-sheet'!T11*'Output-Calculation-sheet'!T20</f>
        <v>0</v>
      </c>
      <c r="U34" s="2">
        <f>U12/'Output-Calculation-sheet'!U11*'Output-Calculation-sheet'!U20</f>
        <v>0</v>
      </c>
      <c r="V34" s="2">
        <f>V12/'Output-Calculation-sheet'!V11*'Output-Calculation-sheet'!V20</f>
        <v>0</v>
      </c>
      <c r="W34" s="2">
        <f>W12/'Output-Calculation-sheet'!W11*'Output-Calculation-sheet'!W20</f>
        <v>0</v>
      </c>
      <c r="X34" s="2">
        <f>X12/'Output-Calculation-sheet'!X11*'Output-Calculation-sheet'!X20</f>
        <v>0</v>
      </c>
      <c r="Y34" s="2">
        <f>Y12/'Output-Calculation-sheet'!Y11*'Output-Calculation-sheet'!Y20</f>
        <v>0</v>
      </c>
      <c r="AA34" s="2">
        <f t="shared" si="1"/>
        <v>0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(B6-B5)*'Output-Calculation-sheet'!B50/10^9+B60</f>
        <v>0</v>
      </c>
      <c r="C61" s="2">
        <f>(C6-C5)*'Output-Calculation-sheet'!C50/10^9+C60</f>
        <v>0</v>
      </c>
      <c r="D61" s="2">
        <f>(D6-D5)*'Output-Calculation-sheet'!D50/10^9+D60</f>
        <v>0</v>
      </c>
      <c r="E61" s="2">
        <f>(E6-E5)*'Output-Calculation-sheet'!E50/10^9+E60</f>
        <v>0</v>
      </c>
      <c r="F61" s="2">
        <f>(F6-F5)*'Output-Calculation-sheet'!F50/10^9+F60</f>
        <v>0</v>
      </c>
      <c r="G61" s="2">
        <f>(G6-G5)*'Output-Calculation-sheet'!G50/10^9+G60</f>
        <v>0</v>
      </c>
      <c r="H61" s="2">
        <f>(H6-H5)*'Output-Calculation-sheet'!H50/10^9+H60</f>
        <v>0</v>
      </c>
      <c r="I61" s="2">
        <f>(I6-I5)*'Output-Calculation-sheet'!I50/10^9+I60</f>
        <v>0</v>
      </c>
      <c r="J61" s="2">
        <f>(J6-J5)*'Output-Calculation-sheet'!J50/10^9+J60</f>
        <v>0</v>
      </c>
      <c r="K61" s="2">
        <f>(K6-K5)*'Output-Calculation-sheet'!K50/10^9+K60</f>
        <v>0</v>
      </c>
      <c r="L61" s="2">
        <f>(L6-L5)*'Output-Calculation-sheet'!L50/10^9+L60</f>
        <v>0</v>
      </c>
      <c r="M61" s="2">
        <f>(M6-M5)*'Output-Calculation-sheet'!M50/10^9+M60</f>
        <v>0</v>
      </c>
      <c r="N61" s="2">
        <f>(N6-N5)*'Output-Calculation-sheet'!N50/10^9+N60</f>
        <v>0</v>
      </c>
      <c r="O61" s="2">
        <f>(O6-O5)*'Output-Calculation-sheet'!O50/10^9+O60</f>
        <v>0</v>
      </c>
      <c r="P61" s="2">
        <f>(P6-P5)*'Output-Calculation-sheet'!P50/10^9+P60</f>
        <v>0</v>
      </c>
      <c r="Q61" s="2">
        <f>(Q6-Q5)*'Output-Calculation-sheet'!Q50/10^9+Q60</f>
        <v>0</v>
      </c>
      <c r="R61" s="2">
        <f>(R6-R5)*'Output-Calculation-sheet'!R50/10^9+R60</f>
        <v>0</v>
      </c>
      <c r="S61" s="2">
        <f>(S6-S5)*'Output-Calculation-sheet'!S50/10^9+S60</f>
        <v>0</v>
      </c>
      <c r="T61" s="2">
        <f>(T6-T5)*'Output-Calculation-sheet'!T50/10^9+T60</f>
        <v>0</v>
      </c>
      <c r="U61" s="2">
        <f>(U6-U5)*'Output-Calculation-sheet'!U50/10^9+U60</f>
        <v>0</v>
      </c>
      <c r="V61" s="2">
        <f>(V6-V5)*'Output-Calculation-sheet'!V50/10^9+V60</f>
        <v>0</v>
      </c>
      <c r="W61" s="2">
        <f>(W6-W5)*'Output-Calculation-sheet'!W50/10^9+W60</f>
        <v>0</v>
      </c>
      <c r="X61" s="2">
        <f>(X6-X5)*'Output-Calculation-sheet'!X50/10^9+X60</f>
        <v>0</v>
      </c>
      <c r="Y61" s="2">
        <f>(Y6-Y5)*'Output-Calculation-sheet'!Y50/10^9+Y60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(B7-B6)*'Output-Calculation-sheet'!B51/10^9+B61</f>
        <v>0</v>
      </c>
      <c r="C62" s="2">
        <f>(C7-C6)*'Output-Calculation-sheet'!C51/10^9+C61</f>
        <v>0</v>
      </c>
      <c r="D62" s="2">
        <f>(D7-D6)*'Output-Calculation-sheet'!D51/10^9+D61</f>
        <v>0</v>
      </c>
      <c r="E62" s="2">
        <f>(E7-E6)*'Output-Calculation-sheet'!E51/10^9+E61</f>
        <v>0</v>
      </c>
      <c r="F62" s="2">
        <f>(F7-F6)*'Output-Calculation-sheet'!F51/10^9+F61</f>
        <v>0</v>
      </c>
      <c r="G62" s="2">
        <f>(G7-G6)*'Output-Calculation-sheet'!G51/10^9+G61</f>
        <v>0</v>
      </c>
      <c r="H62" s="2">
        <f>(H7-H6)*'Output-Calculation-sheet'!H51/10^9+H61</f>
        <v>0</v>
      </c>
      <c r="I62" s="2">
        <f>(I7-I6)*'Output-Calculation-sheet'!I51/10^9+I61</f>
        <v>0</v>
      </c>
      <c r="J62" s="2">
        <f>(J7-J6)*'Output-Calculation-sheet'!J51/10^9+J61</f>
        <v>0</v>
      </c>
      <c r="K62" s="2">
        <f>(K7-K6)*'Output-Calculation-sheet'!K51/10^9+K61</f>
        <v>0</v>
      </c>
      <c r="L62" s="2">
        <f>(L7-L6)*'Output-Calculation-sheet'!L51/10^9+L61</f>
        <v>0</v>
      </c>
      <c r="M62" s="2">
        <f>(M7-M6)*'Output-Calculation-sheet'!M51/10^9+M61</f>
        <v>0</v>
      </c>
      <c r="N62" s="2">
        <f>(N7-N6)*'Output-Calculation-sheet'!N51/10^9+N61</f>
        <v>0</v>
      </c>
      <c r="O62" s="2">
        <f>(O7-O6)*'Output-Calculation-sheet'!O51/10^9+O61</f>
        <v>0</v>
      </c>
      <c r="P62" s="2">
        <f>(P7-P6)*'Output-Calculation-sheet'!P51/10^9+P61</f>
        <v>0</v>
      </c>
      <c r="Q62" s="2">
        <f>(Q7-Q6)*'Output-Calculation-sheet'!Q51/10^9+Q61</f>
        <v>0</v>
      </c>
      <c r="R62" s="2">
        <f>(R7-R6)*'Output-Calculation-sheet'!R51/10^9+R61</f>
        <v>0</v>
      </c>
      <c r="S62" s="2">
        <f>(S7-S6)*'Output-Calculation-sheet'!S51/10^9+S61</f>
        <v>0</v>
      </c>
      <c r="T62" s="2">
        <f>(T7-T6)*'Output-Calculation-sheet'!T51/10^9+T61</f>
        <v>0</v>
      </c>
      <c r="U62" s="2">
        <f>(U7-U6)*'Output-Calculation-sheet'!U51/10^9+U61</f>
        <v>0</v>
      </c>
      <c r="V62" s="2">
        <f>(V7-V6)*'Output-Calculation-sheet'!V51/10^9+V61</f>
        <v>0</v>
      </c>
      <c r="W62" s="2">
        <f>(W7-W6)*'Output-Calculation-sheet'!W51/10^9+W61</f>
        <v>0</v>
      </c>
      <c r="X62" s="2">
        <f>(X7-X6)*'Output-Calculation-sheet'!X51/10^9+X61</f>
        <v>0</v>
      </c>
      <c r="Y62" s="2">
        <f>(Y7-Y6)*'Output-Calculation-sheet'!Y51/10^9+Y61</f>
        <v>0</v>
      </c>
      <c r="AA62" s="2">
        <f t="shared" si="4"/>
        <v>0</v>
      </c>
    </row>
    <row r="63" spans="1:27" x14ac:dyDescent="0.25">
      <c r="A63" s="2">
        <v>2031</v>
      </c>
      <c r="B63" s="2">
        <f>(B8-B7)*'Output-Calculation-sheet'!B52/10^9+B62</f>
        <v>0</v>
      </c>
      <c r="C63" s="2">
        <f>(C8-C7)*'Output-Calculation-sheet'!C52/10^9+C62</f>
        <v>0</v>
      </c>
      <c r="D63" s="2">
        <f>(D8-D7)*'Output-Calculation-sheet'!D52/10^9+D62</f>
        <v>0</v>
      </c>
      <c r="E63" s="2">
        <f>(E8-E7)*'Output-Calculation-sheet'!E52/10^9+E62</f>
        <v>0</v>
      </c>
      <c r="F63" s="2">
        <f>(F8-F7)*'Output-Calculation-sheet'!F52/10^9+F62</f>
        <v>0</v>
      </c>
      <c r="G63" s="2">
        <f>(G8-G7)*'Output-Calculation-sheet'!G52/10^9+G62</f>
        <v>0</v>
      </c>
      <c r="H63" s="2">
        <f>(H8-H7)*'Output-Calculation-sheet'!H52/10^9+H62</f>
        <v>0</v>
      </c>
      <c r="I63" s="2">
        <f>(I8-I7)*'Output-Calculation-sheet'!I52/10^9+I62</f>
        <v>0</v>
      </c>
      <c r="J63" s="2">
        <f>(J8-J7)*'Output-Calculation-sheet'!J52/10^9+J62</f>
        <v>0</v>
      </c>
      <c r="K63" s="2">
        <f>(K8-K7)*'Output-Calculation-sheet'!K52/10^9+K62</f>
        <v>0</v>
      </c>
      <c r="L63" s="2">
        <f>(L8-L7)*'Output-Calculation-sheet'!L52/10^9+L62</f>
        <v>0</v>
      </c>
      <c r="M63" s="2">
        <f>(M8-M7)*'Output-Calculation-sheet'!M52/10^9+M62</f>
        <v>0</v>
      </c>
      <c r="N63" s="2">
        <f>(N8-N7)*'Output-Calculation-sheet'!N52/10^9+N62</f>
        <v>0</v>
      </c>
      <c r="O63" s="2">
        <f>(O8-O7)*'Output-Calculation-sheet'!O52/10^9+O62</f>
        <v>0</v>
      </c>
      <c r="P63" s="2">
        <f>(P8-P7)*'Output-Calculation-sheet'!P52/10^9+P62</f>
        <v>0</v>
      </c>
      <c r="Q63" s="2">
        <f>(Q8-Q7)*'Output-Calculation-sheet'!Q52/10^9+Q62</f>
        <v>0</v>
      </c>
      <c r="R63" s="2">
        <f>(R8-R7)*'Output-Calculation-sheet'!R52/10^9+R62</f>
        <v>0</v>
      </c>
      <c r="S63" s="2">
        <f>(S8-S7)*'Output-Calculation-sheet'!S52/10^9+S62</f>
        <v>0</v>
      </c>
      <c r="T63" s="2">
        <f>(T8-T7)*'Output-Calculation-sheet'!T52/10^9+T62</f>
        <v>0</v>
      </c>
      <c r="U63" s="2">
        <f>(U8-U7)*'Output-Calculation-sheet'!U52/10^9+U62</f>
        <v>0</v>
      </c>
      <c r="V63" s="2">
        <f>(V8-V7)*'Output-Calculation-sheet'!V52/10^9+V62</f>
        <v>0</v>
      </c>
      <c r="W63" s="2">
        <f>(W8-W7)*'Output-Calculation-sheet'!W52/10^9+W62</f>
        <v>0</v>
      </c>
      <c r="X63" s="2">
        <f>(X8-X7)*'Output-Calculation-sheet'!X52/10^9+X62</f>
        <v>0</v>
      </c>
      <c r="Y63" s="2">
        <f>(Y8-Y7)*'Output-Calculation-sheet'!Y52/10^9+Y62</f>
        <v>0</v>
      </c>
      <c r="AA63" s="2">
        <f t="shared" si="4"/>
        <v>0</v>
      </c>
    </row>
    <row r="64" spans="1:27" x14ac:dyDescent="0.25">
      <c r="A64" s="2">
        <v>2032</v>
      </c>
      <c r="B64" s="2">
        <f>(B9-B8)*'Output-Calculation-sheet'!B53/10^9+B63</f>
        <v>0</v>
      </c>
      <c r="C64" s="2">
        <f>(C9-C8)*'Output-Calculation-sheet'!C53/10^9+C63</f>
        <v>0</v>
      </c>
      <c r="D64" s="2">
        <f>(D9-D8)*'Output-Calculation-sheet'!D53/10^9+D63</f>
        <v>0</v>
      </c>
      <c r="E64" s="2">
        <f>(E9-E8)*'Output-Calculation-sheet'!E53/10^9+E63</f>
        <v>0</v>
      </c>
      <c r="F64" s="2">
        <f>(F9-F8)*'Output-Calculation-sheet'!F53/10^9+F63</f>
        <v>0</v>
      </c>
      <c r="G64" s="2">
        <f>(G9-G8)*'Output-Calculation-sheet'!G53/10^9+G63</f>
        <v>0</v>
      </c>
      <c r="H64" s="2">
        <f>(H9-H8)*'Output-Calculation-sheet'!H53/10^9+H63</f>
        <v>0</v>
      </c>
      <c r="I64" s="2">
        <f>(I9-I8)*'Output-Calculation-sheet'!I53/10^9+I63</f>
        <v>0</v>
      </c>
      <c r="J64" s="2">
        <f>(J9-J8)*'Output-Calculation-sheet'!J53/10^9+J63</f>
        <v>0</v>
      </c>
      <c r="K64" s="2">
        <f>(K9-K8)*'Output-Calculation-sheet'!K53/10^9+K63</f>
        <v>0</v>
      </c>
      <c r="L64" s="2">
        <f>(L9-L8)*'Output-Calculation-sheet'!L53/10^9+L63</f>
        <v>0</v>
      </c>
      <c r="M64" s="2">
        <f>(M9-M8)*'Output-Calculation-sheet'!M53/10^9+M63</f>
        <v>0</v>
      </c>
      <c r="N64" s="2">
        <f>(N9-N8)*'Output-Calculation-sheet'!N53/10^9+N63</f>
        <v>0</v>
      </c>
      <c r="O64" s="2">
        <f>(O9-O8)*'Output-Calculation-sheet'!O53/10^9+O63</f>
        <v>0</v>
      </c>
      <c r="P64" s="2">
        <f>(P9-P8)*'Output-Calculation-sheet'!P53/10^9+P63</f>
        <v>0</v>
      </c>
      <c r="Q64" s="2">
        <f>(Q9-Q8)*'Output-Calculation-sheet'!Q53/10^9+Q63</f>
        <v>0</v>
      </c>
      <c r="R64" s="2">
        <f>(R9-R8)*'Output-Calculation-sheet'!R53/10^9+R63</f>
        <v>0</v>
      </c>
      <c r="S64" s="2">
        <f>(S9-S8)*'Output-Calculation-sheet'!S53/10^9+S63</f>
        <v>0</v>
      </c>
      <c r="T64" s="2">
        <f>(T9-T8)*'Output-Calculation-sheet'!T53/10^9+T63</f>
        <v>0</v>
      </c>
      <c r="U64" s="2">
        <f>(U9-U8)*'Output-Calculation-sheet'!U53/10^9+U63</f>
        <v>0</v>
      </c>
      <c r="V64" s="2">
        <f>(V9-V8)*'Output-Calculation-sheet'!V53/10^9+V63</f>
        <v>0</v>
      </c>
      <c r="W64" s="2">
        <f>(W9-W8)*'Output-Calculation-sheet'!W53/10^9+W63</f>
        <v>0</v>
      </c>
      <c r="X64" s="2">
        <f>(X9-X8)*'Output-Calculation-sheet'!X53/10^9+X63</f>
        <v>0</v>
      </c>
      <c r="Y64" s="2">
        <f>(Y9-Y8)*'Output-Calculation-sheet'!Y53/10^9+Y63</f>
        <v>0</v>
      </c>
      <c r="AA64" s="2">
        <f t="shared" si="4"/>
        <v>0</v>
      </c>
    </row>
    <row r="65" spans="1:27" x14ac:dyDescent="0.25">
      <c r="A65" s="2">
        <v>2033</v>
      </c>
      <c r="B65" s="2">
        <f>(B10-B9)*'Output-Calculation-sheet'!B54/10^9+B64</f>
        <v>0</v>
      </c>
      <c r="C65" s="2">
        <f>(C10-C9)*'Output-Calculation-sheet'!C54/10^9+C64</f>
        <v>0</v>
      </c>
      <c r="D65" s="2">
        <f>(D10-D9)*'Output-Calculation-sheet'!D54/10^9+D64</f>
        <v>0</v>
      </c>
      <c r="E65" s="2">
        <f>(E10-E9)*'Output-Calculation-sheet'!E54/10^9+E64</f>
        <v>0</v>
      </c>
      <c r="F65" s="2">
        <f>(F10-F9)*'Output-Calculation-sheet'!F54/10^9+F64</f>
        <v>0</v>
      </c>
      <c r="G65" s="2">
        <f>(G10-G9)*'Output-Calculation-sheet'!G54/10^9+G64</f>
        <v>0</v>
      </c>
      <c r="H65" s="2">
        <f>(H10-H9)*'Output-Calculation-sheet'!H54/10^9+H64</f>
        <v>0</v>
      </c>
      <c r="I65" s="2">
        <f>(I10-I9)*'Output-Calculation-sheet'!I54/10^9+I64</f>
        <v>0</v>
      </c>
      <c r="J65" s="2">
        <f>(J10-J9)*'Output-Calculation-sheet'!J54/10^9+J64</f>
        <v>0</v>
      </c>
      <c r="K65" s="2">
        <f>(K10-K9)*'Output-Calculation-sheet'!K54/10^9+K64</f>
        <v>0</v>
      </c>
      <c r="L65" s="2">
        <f>(L10-L9)*'Output-Calculation-sheet'!L54/10^9+L64</f>
        <v>0</v>
      </c>
      <c r="M65" s="2">
        <f>(M10-M9)*'Output-Calculation-sheet'!M54/10^9+M64</f>
        <v>0</v>
      </c>
      <c r="N65" s="2">
        <f>(N10-N9)*'Output-Calculation-sheet'!N54/10^9+N64</f>
        <v>0</v>
      </c>
      <c r="O65" s="2">
        <f>(O10-O9)*'Output-Calculation-sheet'!O54/10^9+O64</f>
        <v>0</v>
      </c>
      <c r="P65" s="2">
        <f>(P10-P9)*'Output-Calculation-sheet'!P54/10^9+P64</f>
        <v>0</v>
      </c>
      <c r="Q65" s="2">
        <f>(Q10-Q9)*'Output-Calculation-sheet'!Q54/10^9+Q64</f>
        <v>0</v>
      </c>
      <c r="R65" s="2">
        <f>(R10-R9)*'Output-Calculation-sheet'!R54/10^9+R64</f>
        <v>0</v>
      </c>
      <c r="S65" s="2">
        <f>(S10-S9)*'Output-Calculation-sheet'!S54/10^9+S64</f>
        <v>0</v>
      </c>
      <c r="T65" s="2">
        <f>(T10-T9)*'Output-Calculation-sheet'!T54/10^9+T64</f>
        <v>0</v>
      </c>
      <c r="U65" s="2">
        <f>(U10-U9)*'Output-Calculation-sheet'!U54/10^9+U64</f>
        <v>0</v>
      </c>
      <c r="V65" s="2">
        <f>(V10-V9)*'Output-Calculation-sheet'!V54/10^9+V64</f>
        <v>0</v>
      </c>
      <c r="W65" s="2">
        <f>(W10-W9)*'Output-Calculation-sheet'!W54/10^9+W64</f>
        <v>0</v>
      </c>
      <c r="X65" s="2">
        <f>(X10-X9)*'Output-Calculation-sheet'!X54/10^9+X64</f>
        <v>0</v>
      </c>
      <c r="Y65" s="2">
        <f>(Y10-Y9)*'Output-Calculation-sheet'!Y54/10^9+Y64</f>
        <v>0</v>
      </c>
      <c r="AA65" s="2">
        <f t="shared" si="4"/>
        <v>0</v>
      </c>
    </row>
    <row r="66" spans="1:27" x14ac:dyDescent="0.25">
      <c r="A66" s="2">
        <v>2034</v>
      </c>
      <c r="B66" s="2">
        <f>(B11-B10)*'Output-Calculation-sheet'!B55/10^9+B65</f>
        <v>0</v>
      </c>
      <c r="C66" s="2">
        <f>(C11-C10)*'Output-Calculation-sheet'!C55/10^9+C65</f>
        <v>0</v>
      </c>
      <c r="D66" s="2">
        <f>(D11-D10)*'Output-Calculation-sheet'!D55/10^9+D65</f>
        <v>0</v>
      </c>
      <c r="E66" s="2">
        <f>(E11-E10)*'Output-Calculation-sheet'!E55/10^9+E65</f>
        <v>0</v>
      </c>
      <c r="F66" s="2">
        <f>(F11-F10)*'Output-Calculation-sheet'!F55/10^9+F65</f>
        <v>0</v>
      </c>
      <c r="G66" s="2">
        <f>(G11-G10)*'Output-Calculation-sheet'!G55/10^9+G65</f>
        <v>0</v>
      </c>
      <c r="H66" s="2">
        <f>(H11-H10)*'Output-Calculation-sheet'!H55/10^9+H65</f>
        <v>0</v>
      </c>
      <c r="I66" s="2">
        <f>(I11-I10)*'Output-Calculation-sheet'!I55/10^9+I65</f>
        <v>0</v>
      </c>
      <c r="J66" s="2">
        <f>(J11-J10)*'Output-Calculation-sheet'!J55/10^9+J65</f>
        <v>0</v>
      </c>
      <c r="K66" s="2">
        <f>(K11-K10)*'Output-Calculation-sheet'!K55/10^9+K65</f>
        <v>0</v>
      </c>
      <c r="L66" s="2">
        <f>(L11-L10)*'Output-Calculation-sheet'!L55/10^9+L65</f>
        <v>0</v>
      </c>
      <c r="M66" s="2">
        <f>(M11-M10)*'Output-Calculation-sheet'!M55/10^9+M65</f>
        <v>0</v>
      </c>
      <c r="N66" s="2">
        <f>(N11-N10)*'Output-Calculation-sheet'!N55/10^9+N65</f>
        <v>0</v>
      </c>
      <c r="O66" s="2">
        <f>(O11-O10)*'Output-Calculation-sheet'!O55/10^9+O65</f>
        <v>0</v>
      </c>
      <c r="P66" s="2">
        <f>(P11-P10)*'Output-Calculation-sheet'!P55/10^9+P65</f>
        <v>0</v>
      </c>
      <c r="Q66" s="2">
        <f>(Q11-Q10)*'Output-Calculation-sheet'!Q55/10^9+Q65</f>
        <v>0</v>
      </c>
      <c r="R66" s="2">
        <f>(R11-R10)*'Output-Calculation-sheet'!R55/10^9+R65</f>
        <v>0</v>
      </c>
      <c r="S66" s="2">
        <f>(S11-S10)*'Output-Calculation-sheet'!S55/10^9+S65</f>
        <v>0</v>
      </c>
      <c r="T66" s="2">
        <f>(T11-T10)*'Output-Calculation-sheet'!T55/10^9+T65</f>
        <v>0</v>
      </c>
      <c r="U66" s="2">
        <f>(U11-U10)*'Output-Calculation-sheet'!U55/10^9+U65</f>
        <v>0</v>
      </c>
      <c r="V66" s="2">
        <f>(V11-V10)*'Output-Calculation-sheet'!V55/10^9+V65</f>
        <v>0</v>
      </c>
      <c r="W66" s="2">
        <f>(W11-W10)*'Output-Calculation-sheet'!W55/10^9+W65</f>
        <v>0</v>
      </c>
      <c r="X66" s="2">
        <f>(X11-X10)*'Output-Calculation-sheet'!X55/10^9+X65</f>
        <v>0</v>
      </c>
      <c r="Y66" s="2">
        <f>(Y11-Y10)*'Output-Calculation-sheet'!Y55/10^9+Y65</f>
        <v>0</v>
      </c>
      <c r="AA66" s="2">
        <f t="shared" si="4"/>
        <v>0</v>
      </c>
    </row>
    <row r="67" spans="1:27" x14ac:dyDescent="0.25">
      <c r="A67" s="2">
        <v>2035</v>
      </c>
      <c r="B67" s="2">
        <f>(B12-B11)*'Output-Calculation-sheet'!B56/10^9+B66</f>
        <v>0</v>
      </c>
      <c r="C67" s="2">
        <f>(C12-C11)*'Output-Calculation-sheet'!C56/10^9+C66</f>
        <v>0</v>
      </c>
      <c r="D67" s="2">
        <f>(D12-D11)*'Output-Calculation-sheet'!D56/10^9+D66</f>
        <v>0</v>
      </c>
      <c r="E67" s="2">
        <f>(E12-E11)*'Output-Calculation-sheet'!E56/10^9+E66</f>
        <v>0</v>
      </c>
      <c r="F67" s="2">
        <f>(F12-F11)*'Output-Calculation-sheet'!F56/10^9+F66</f>
        <v>0</v>
      </c>
      <c r="G67" s="2">
        <f>(G12-G11)*'Output-Calculation-sheet'!G56/10^9+G66</f>
        <v>0</v>
      </c>
      <c r="H67" s="2">
        <f>(H12-H11)*'Output-Calculation-sheet'!H56/10^9+H66</f>
        <v>0</v>
      </c>
      <c r="I67" s="2">
        <f>(I12-I11)*'Output-Calculation-sheet'!I56/10^9+I66</f>
        <v>0</v>
      </c>
      <c r="J67" s="2">
        <f>(J12-J11)*'Output-Calculation-sheet'!J56/10^9+J66</f>
        <v>0</v>
      </c>
      <c r="K67" s="2">
        <f>(K12-K11)*'Output-Calculation-sheet'!K56/10^9+K66</f>
        <v>0</v>
      </c>
      <c r="L67" s="2">
        <f>(L12-L11)*'Output-Calculation-sheet'!L56/10^9+L66</f>
        <v>0</v>
      </c>
      <c r="M67" s="2">
        <f>(M12-M11)*'Output-Calculation-sheet'!M56/10^9+M66</f>
        <v>0</v>
      </c>
      <c r="N67" s="2">
        <f>(N12-N11)*'Output-Calculation-sheet'!N56/10^9+N66</f>
        <v>0</v>
      </c>
      <c r="O67" s="2">
        <f>(O12-O11)*'Output-Calculation-sheet'!O56/10^9+O66</f>
        <v>0</v>
      </c>
      <c r="P67" s="2">
        <f>(P12-P11)*'Output-Calculation-sheet'!P56/10^9+P66</f>
        <v>0</v>
      </c>
      <c r="Q67" s="2">
        <f>(Q12-Q11)*'Output-Calculation-sheet'!Q56/10^9+Q66</f>
        <v>0</v>
      </c>
      <c r="R67" s="2">
        <f>(R12-R11)*'Output-Calculation-sheet'!R56/10^9+R66</f>
        <v>0</v>
      </c>
      <c r="S67" s="2">
        <f>(S12-S11)*'Output-Calculation-sheet'!S56/10^9+S66</f>
        <v>0</v>
      </c>
      <c r="T67" s="2">
        <f>(T12-T11)*'Output-Calculation-sheet'!T56/10^9+T66</f>
        <v>0</v>
      </c>
      <c r="U67" s="2">
        <f>(U12-U11)*'Output-Calculation-sheet'!U56/10^9+U66</f>
        <v>0</v>
      </c>
      <c r="V67" s="2">
        <f>(V12-V11)*'Output-Calculation-sheet'!V56/10^9+V66</f>
        <v>0</v>
      </c>
      <c r="W67" s="2">
        <f>(W12-W11)*'Output-Calculation-sheet'!W56/10^9+W66</f>
        <v>0</v>
      </c>
      <c r="X67" s="2">
        <f>(X12-X11)*'Output-Calculation-sheet'!X56/10^9+X66</f>
        <v>0</v>
      </c>
      <c r="Y67" s="2">
        <f>(Y12-Y11)*'Output-Calculation-sheet'!Y56/10^9+Y66</f>
        <v>0</v>
      </c>
      <c r="AA67" s="2">
        <f t="shared" si="4"/>
        <v>0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5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5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5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5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5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5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5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6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6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6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6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6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6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6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0</v>
      </c>
      <c r="C93" s="2">
        <f>C5/'Output-Calculation-sheet'!C4*'Output-Calculation-sheet'!C76</f>
        <v>0</v>
      </c>
      <c r="D93" s="2">
        <f>D5/'Output-Calculation-sheet'!D4*'Output-Calculation-sheet'!D76</f>
        <v>0</v>
      </c>
      <c r="E93" s="2">
        <f>E5/'Output-Calculation-sheet'!E4*'Output-Calculation-sheet'!E76</f>
        <v>0</v>
      </c>
      <c r="F93" s="2">
        <f>F5/'Output-Calculation-sheet'!F4*'Output-Calculation-sheet'!F76</f>
        <v>0</v>
      </c>
      <c r="G93" s="2">
        <f>G5/'Output-Calculation-sheet'!G4*'Output-Calculation-sheet'!G76</f>
        <v>0</v>
      </c>
      <c r="H93" s="2">
        <f>H5/'Output-Calculation-sheet'!H4*'Output-Calculation-sheet'!H76</f>
        <v>0</v>
      </c>
      <c r="I93" s="2">
        <f>I5/'Output-Calculation-sheet'!I4*'Output-Calculation-sheet'!I76</f>
        <v>0</v>
      </c>
      <c r="J93" s="2">
        <f>J5/'Output-Calculation-sheet'!J4*'Output-Calculation-sheet'!J76</f>
        <v>0</v>
      </c>
      <c r="K93" s="2">
        <f>K5/'Output-Calculation-sheet'!K4*'Output-Calculation-sheet'!K76</f>
        <v>0</v>
      </c>
      <c r="L93" s="2">
        <f>L5/'Output-Calculation-sheet'!L4*'Output-Calculation-sheet'!L76</f>
        <v>0</v>
      </c>
      <c r="M93" s="2">
        <f>M5/'Output-Calculation-sheet'!M4*'Output-Calculation-sheet'!M76</f>
        <v>0</v>
      </c>
      <c r="N93" s="2">
        <f>N5/'Output-Calculation-sheet'!N4*'Output-Calculation-sheet'!N76</f>
        <v>0</v>
      </c>
      <c r="O93" s="2">
        <f>O5/'Output-Calculation-sheet'!O4*'Output-Calculation-sheet'!O76</f>
        <v>0</v>
      </c>
      <c r="P93" s="2">
        <f>P5/'Output-Calculation-sheet'!P4*'Output-Calculation-sheet'!P76</f>
        <v>0</v>
      </c>
      <c r="Q93" s="2">
        <f>Q5/'Output-Calculation-sheet'!Q4*'Output-Calculation-sheet'!Q76</f>
        <v>0</v>
      </c>
      <c r="R93" s="2">
        <f>R5/'Output-Calculation-sheet'!R4*'Output-Calculation-sheet'!R76</f>
        <v>0</v>
      </c>
      <c r="S93" s="2">
        <f>S5/'Output-Calculation-sheet'!S4*'Output-Calculation-sheet'!S76</f>
        <v>0</v>
      </c>
      <c r="T93" s="2">
        <f>T5/'Output-Calculation-sheet'!T4*'Output-Calculation-sheet'!T76</f>
        <v>0</v>
      </c>
      <c r="U93" s="2">
        <f>U5/'Output-Calculation-sheet'!U4*'Output-Calculation-sheet'!U76</f>
        <v>0</v>
      </c>
      <c r="V93" s="2">
        <f>V5/'Output-Calculation-sheet'!V4*'Output-Calculation-sheet'!V76</f>
        <v>0</v>
      </c>
      <c r="W93" s="2">
        <f>W5/'Output-Calculation-sheet'!W4*'Output-Calculation-sheet'!W76</f>
        <v>0</v>
      </c>
      <c r="X93" s="2">
        <f>X5/'Output-Calculation-sheet'!X4*'Output-Calculation-sheet'!X76</f>
        <v>0</v>
      </c>
      <c r="Y93" s="2">
        <f>Y5/'Output-Calculation-sheet'!Y4*'Output-Calculation-sheet'!Y76</f>
        <v>0</v>
      </c>
      <c r="AA93" s="2">
        <f>SUM(B93:Y93)/10^9</f>
        <v>0</v>
      </c>
    </row>
    <row r="94" spans="1:27" x14ac:dyDescent="0.25">
      <c r="A94" s="2">
        <v>2029</v>
      </c>
      <c r="B94" s="2">
        <f>B6/'Output-Calculation-sheet'!B5*'Output-Calculation-sheet'!B77</f>
        <v>0</v>
      </c>
      <c r="C94" s="2">
        <f>C6/'Output-Calculation-sheet'!C5*'Output-Calculation-sheet'!C77</f>
        <v>0</v>
      </c>
      <c r="D94" s="2">
        <f>D6/'Output-Calculation-sheet'!D5*'Output-Calculation-sheet'!D77</f>
        <v>0</v>
      </c>
      <c r="E94" s="2">
        <f>E6/'Output-Calculation-sheet'!E5*'Output-Calculation-sheet'!E77</f>
        <v>0</v>
      </c>
      <c r="F94" s="2">
        <f>F6/'Output-Calculation-sheet'!F5*'Output-Calculation-sheet'!F77</f>
        <v>0</v>
      </c>
      <c r="G94" s="2">
        <f>G6/'Output-Calculation-sheet'!G5*'Output-Calculation-sheet'!G77</f>
        <v>0</v>
      </c>
      <c r="H94" s="2">
        <f>H6/'Output-Calculation-sheet'!H5*'Output-Calculation-sheet'!H77</f>
        <v>0</v>
      </c>
      <c r="I94" s="2">
        <f>I6/'Output-Calculation-sheet'!I5*'Output-Calculation-sheet'!I77</f>
        <v>0</v>
      </c>
      <c r="J94" s="2">
        <f>J6/'Output-Calculation-sheet'!J5*'Output-Calculation-sheet'!J77</f>
        <v>0</v>
      </c>
      <c r="K94" s="2">
        <f>K6/'Output-Calculation-sheet'!K5*'Output-Calculation-sheet'!K77</f>
        <v>0</v>
      </c>
      <c r="L94" s="2">
        <f>L6/'Output-Calculation-sheet'!L5*'Output-Calculation-sheet'!L77</f>
        <v>0</v>
      </c>
      <c r="M94" s="2">
        <f>M6/'Output-Calculation-sheet'!M5*'Output-Calculation-sheet'!M77</f>
        <v>0</v>
      </c>
      <c r="N94" s="2">
        <f>N6/'Output-Calculation-sheet'!N5*'Output-Calculation-sheet'!N77</f>
        <v>0</v>
      </c>
      <c r="O94" s="2">
        <f>O6/'Output-Calculation-sheet'!O5*'Output-Calculation-sheet'!O77</f>
        <v>0</v>
      </c>
      <c r="P94" s="2">
        <f>P6/'Output-Calculation-sheet'!P5*'Output-Calculation-sheet'!P77</f>
        <v>0</v>
      </c>
      <c r="Q94" s="2">
        <f>Q6/'Output-Calculation-sheet'!Q5*'Output-Calculation-sheet'!Q77</f>
        <v>0</v>
      </c>
      <c r="R94" s="2">
        <f>R6/'Output-Calculation-sheet'!R5*'Output-Calculation-sheet'!R77</f>
        <v>0</v>
      </c>
      <c r="S94" s="2">
        <f>S6/'Output-Calculation-sheet'!S5*'Output-Calculation-sheet'!S77</f>
        <v>0</v>
      </c>
      <c r="T94" s="2">
        <f>T6/'Output-Calculation-sheet'!T5*'Output-Calculation-sheet'!T77</f>
        <v>0</v>
      </c>
      <c r="U94" s="2">
        <f>U6/'Output-Calculation-sheet'!U5*'Output-Calculation-sheet'!U77</f>
        <v>0</v>
      </c>
      <c r="V94" s="2">
        <f>V6/'Output-Calculation-sheet'!V5*'Output-Calculation-sheet'!V77</f>
        <v>0</v>
      </c>
      <c r="W94" s="2">
        <f>W6/'Output-Calculation-sheet'!W5*'Output-Calculation-sheet'!W77</f>
        <v>0</v>
      </c>
      <c r="X94" s="2">
        <f>X6/'Output-Calculation-sheet'!X5*'Output-Calculation-sheet'!X77</f>
        <v>0</v>
      </c>
      <c r="Y94" s="2">
        <f>Y6/'Output-Calculation-sheet'!Y5*'Output-Calculation-sheet'!Y77</f>
        <v>0</v>
      </c>
      <c r="AA94" s="2">
        <f t="shared" ref="AA94:AA100" si="7">SUM(B94:Y94)/10^9</f>
        <v>0</v>
      </c>
    </row>
    <row r="95" spans="1:27" x14ac:dyDescent="0.25">
      <c r="A95" s="2">
        <v>2030</v>
      </c>
      <c r="B95" s="2">
        <f>B7/'Output-Calculation-sheet'!B6*'Output-Calculation-sheet'!B78</f>
        <v>0</v>
      </c>
      <c r="C95" s="2">
        <f>C7/'Output-Calculation-sheet'!C6*'Output-Calculation-sheet'!C78</f>
        <v>0</v>
      </c>
      <c r="D95" s="2">
        <f>D7/'Output-Calculation-sheet'!D6*'Output-Calculation-sheet'!D78</f>
        <v>0</v>
      </c>
      <c r="E95" s="2">
        <f>E7/'Output-Calculation-sheet'!E6*'Output-Calculation-sheet'!E78</f>
        <v>0</v>
      </c>
      <c r="F95" s="2">
        <f>F7/'Output-Calculation-sheet'!F6*'Output-Calculation-sheet'!F78</f>
        <v>0</v>
      </c>
      <c r="G95" s="2">
        <f>G7/'Output-Calculation-sheet'!G6*'Output-Calculation-sheet'!G78</f>
        <v>0</v>
      </c>
      <c r="H95" s="2">
        <f>H7/'Output-Calculation-sheet'!H6*'Output-Calculation-sheet'!H78</f>
        <v>0</v>
      </c>
      <c r="I95" s="2">
        <f>I7/'Output-Calculation-sheet'!I6*'Output-Calculation-sheet'!I78</f>
        <v>0</v>
      </c>
      <c r="J95" s="2">
        <f>J7/'Output-Calculation-sheet'!J6*'Output-Calculation-sheet'!J78</f>
        <v>0</v>
      </c>
      <c r="K95" s="2">
        <f>K7/'Output-Calculation-sheet'!K6*'Output-Calculation-sheet'!K78</f>
        <v>0</v>
      </c>
      <c r="L95" s="2">
        <f>L7/'Output-Calculation-sheet'!L6*'Output-Calculation-sheet'!L78</f>
        <v>0</v>
      </c>
      <c r="M95" s="2">
        <f>M7/'Output-Calculation-sheet'!M6*'Output-Calculation-sheet'!M78</f>
        <v>0</v>
      </c>
      <c r="N95" s="2">
        <f>N7/'Output-Calculation-sheet'!N6*'Output-Calculation-sheet'!N78</f>
        <v>0</v>
      </c>
      <c r="O95" s="2">
        <f>O7/'Output-Calculation-sheet'!O6*'Output-Calculation-sheet'!O78</f>
        <v>0</v>
      </c>
      <c r="P95" s="2">
        <f>P7/'Output-Calculation-sheet'!P6*'Output-Calculation-sheet'!P78</f>
        <v>0</v>
      </c>
      <c r="Q95" s="2">
        <f>Q7/'Output-Calculation-sheet'!Q6*'Output-Calculation-sheet'!Q78</f>
        <v>0</v>
      </c>
      <c r="R95" s="2">
        <f>R7/'Output-Calculation-sheet'!R6*'Output-Calculation-sheet'!R78</f>
        <v>0</v>
      </c>
      <c r="S95" s="2">
        <f>S7/'Output-Calculation-sheet'!S6*'Output-Calculation-sheet'!S78</f>
        <v>0</v>
      </c>
      <c r="T95" s="2">
        <f>T7/'Output-Calculation-sheet'!T6*'Output-Calculation-sheet'!T78</f>
        <v>0</v>
      </c>
      <c r="U95" s="2">
        <f>U7/'Output-Calculation-sheet'!U6*'Output-Calculation-sheet'!U78</f>
        <v>0</v>
      </c>
      <c r="V95" s="2">
        <f>V7/'Output-Calculation-sheet'!V6*'Output-Calculation-sheet'!V78</f>
        <v>0</v>
      </c>
      <c r="W95" s="2">
        <f>W7/'Output-Calculation-sheet'!W6*'Output-Calculation-sheet'!W78</f>
        <v>0</v>
      </c>
      <c r="X95" s="2">
        <f>X7/'Output-Calculation-sheet'!X6*'Output-Calculation-sheet'!X78</f>
        <v>0</v>
      </c>
      <c r="Y95" s="2">
        <f>Y7/'Output-Calculation-sheet'!Y6*'Output-Calculation-sheet'!Y78</f>
        <v>0</v>
      </c>
      <c r="AA95" s="2">
        <f t="shared" si="7"/>
        <v>0</v>
      </c>
    </row>
    <row r="96" spans="1:27" x14ac:dyDescent="0.25">
      <c r="A96" s="2">
        <v>2031</v>
      </c>
      <c r="B96" s="2">
        <f>B8/'Output-Calculation-sheet'!B7*'Output-Calculation-sheet'!B79</f>
        <v>0</v>
      </c>
      <c r="C96" s="2">
        <f>C8/'Output-Calculation-sheet'!C7*'Output-Calculation-sheet'!C79</f>
        <v>0</v>
      </c>
      <c r="D96" s="2">
        <f>D8/'Output-Calculation-sheet'!D7*'Output-Calculation-sheet'!D79</f>
        <v>0</v>
      </c>
      <c r="E96" s="2">
        <f>E8/'Output-Calculation-sheet'!E7*'Output-Calculation-sheet'!E79</f>
        <v>0</v>
      </c>
      <c r="F96" s="2">
        <f>F8/'Output-Calculation-sheet'!F7*'Output-Calculation-sheet'!F79</f>
        <v>0</v>
      </c>
      <c r="G96" s="2">
        <f>G8/'Output-Calculation-sheet'!G7*'Output-Calculation-sheet'!G79</f>
        <v>0</v>
      </c>
      <c r="H96" s="2">
        <f>H8/'Output-Calculation-sheet'!H7*'Output-Calculation-sheet'!H79</f>
        <v>0</v>
      </c>
      <c r="I96" s="2">
        <f>I8/'Output-Calculation-sheet'!I7*'Output-Calculation-sheet'!I79</f>
        <v>0</v>
      </c>
      <c r="J96" s="2">
        <f>J8/'Output-Calculation-sheet'!J7*'Output-Calculation-sheet'!J79</f>
        <v>0</v>
      </c>
      <c r="K96" s="2">
        <f>K8/'Output-Calculation-sheet'!K7*'Output-Calculation-sheet'!K79</f>
        <v>0</v>
      </c>
      <c r="L96" s="2">
        <f>L8/'Output-Calculation-sheet'!L7*'Output-Calculation-sheet'!L79</f>
        <v>0</v>
      </c>
      <c r="M96" s="2">
        <f>M8/'Output-Calculation-sheet'!M7*'Output-Calculation-sheet'!M79</f>
        <v>0</v>
      </c>
      <c r="N96" s="2">
        <f>N8/'Output-Calculation-sheet'!N7*'Output-Calculation-sheet'!N79</f>
        <v>0</v>
      </c>
      <c r="O96" s="2">
        <f>O8/'Output-Calculation-sheet'!O7*'Output-Calculation-sheet'!O79</f>
        <v>0</v>
      </c>
      <c r="P96" s="2">
        <f>P8/'Output-Calculation-sheet'!P7*'Output-Calculation-sheet'!P79</f>
        <v>0</v>
      </c>
      <c r="Q96" s="2">
        <f>Q8/'Output-Calculation-sheet'!Q7*'Output-Calculation-sheet'!Q79</f>
        <v>0</v>
      </c>
      <c r="R96" s="2">
        <f>R8/'Output-Calculation-sheet'!R7*'Output-Calculation-sheet'!R79</f>
        <v>0</v>
      </c>
      <c r="S96" s="2">
        <f>S8/'Output-Calculation-sheet'!S7*'Output-Calculation-sheet'!S79</f>
        <v>0</v>
      </c>
      <c r="T96" s="2">
        <f>T8/'Output-Calculation-sheet'!T7*'Output-Calculation-sheet'!T79</f>
        <v>0</v>
      </c>
      <c r="U96" s="2">
        <f>U8/'Output-Calculation-sheet'!U7*'Output-Calculation-sheet'!U79</f>
        <v>0</v>
      </c>
      <c r="V96" s="2">
        <f>V8/'Output-Calculation-sheet'!V7*'Output-Calculation-sheet'!V79</f>
        <v>0</v>
      </c>
      <c r="W96" s="2">
        <f>W8/'Output-Calculation-sheet'!W7*'Output-Calculation-sheet'!W79</f>
        <v>0</v>
      </c>
      <c r="X96" s="2">
        <f>X8/'Output-Calculation-sheet'!X7*'Output-Calculation-sheet'!X79</f>
        <v>0</v>
      </c>
      <c r="Y96" s="2">
        <f>Y8/'Output-Calculation-sheet'!Y7*'Output-Calculation-sheet'!Y79</f>
        <v>0</v>
      </c>
      <c r="AA96" s="2">
        <f t="shared" si="7"/>
        <v>0</v>
      </c>
    </row>
    <row r="97" spans="1:27" x14ac:dyDescent="0.25">
      <c r="A97" s="2">
        <v>2032</v>
      </c>
      <c r="B97" s="2">
        <f>B9/'Output-Calculation-sheet'!B8*'Output-Calculation-sheet'!B80</f>
        <v>0</v>
      </c>
      <c r="C97" s="2">
        <f>C9/'Output-Calculation-sheet'!C8*'Output-Calculation-sheet'!C80</f>
        <v>0</v>
      </c>
      <c r="D97" s="2">
        <f>D9/'Output-Calculation-sheet'!D8*'Output-Calculation-sheet'!D80</f>
        <v>0</v>
      </c>
      <c r="E97" s="2">
        <f>E9/'Output-Calculation-sheet'!E8*'Output-Calculation-sheet'!E80</f>
        <v>0</v>
      </c>
      <c r="F97" s="2">
        <f>F9/'Output-Calculation-sheet'!F8*'Output-Calculation-sheet'!F80</f>
        <v>0</v>
      </c>
      <c r="G97" s="2">
        <f>G9/'Output-Calculation-sheet'!G8*'Output-Calculation-sheet'!G80</f>
        <v>0</v>
      </c>
      <c r="H97" s="2">
        <f>H9/'Output-Calculation-sheet'!H8*'Output-Calculation-sheet'!H80</f>
        <v>0</v>
      </c>
      <c r="I97" s="2">
        <f>I9/'Output-Calculation-sheet'!I8*'Output-Calculation-sheet'!I80</f>
        <v>0</v>
      </c>
      <c r="J97" s="2">
        <f>J9/'Output-Calculation-sheet'!J8*'Output-Calculation-sheet'!J80</f>
        <v>0</v>
      </c>
      <c r="K97" s="2">
        <f>K9/'Output-Calculation-sheet'!K8*'Output-Calculation-sheet'!K80</f>
        <v>0</v>
      </c>
      <c r="L97" s="2">
        <f>L9/'Output-Calculation-sheet'!L8*'Output-Calculation-sheet'!L80</f>
        <v>0</v>
      </c>
      <c r="M97" s="2">
        <f>M9/'Output-Calculation-sheet'!M8*'Output-Calculation-sheet'!M80</f>
        <v>0</v>
      </c>
      <c r="N97" s="2">
        <f>N9/'Output-Calculation-sheet'!N8*'Output-Calculation-sheet'!N80</f>
        <v>0</v>
      </c>
      <c r="O97" s="2">
        <f>O9/'Output-Calculation-sheet'!O8*'Output-Calculation-sheet'!O80</f>
        <v>0</v>
      </c>
      <c r="P97" s="2">
        <f>P9/'Output-Calculation-sheet'!P8*'Output-Calculation-sheet'!P80</f>
        <v>0</v>
      </c>
      <c r="Q97" s="2">
        <f>Q9/'Output-Calculation-sheet'!Q8*'Output-Calculation-sheet'!Q80</f>
        <v>0</v>
      </c>
      <c r="R97" s="2">
        <f>R9/'Output-Calculation-sheet'!R8*'Output-Calculation-sheet'!R80</f>
        <v>0</v>
      </c>
      <c r="S97" s="2">
        <f>S9/'Output-Calculation-sheet'!S8*'Output-Calculation-sheet'!S80</f>
        <v>0</v>
      </c>
      <c r="T97" s="2">
        <f>T9/'Output-Calculation-sheet'!T8*'Output-Calculation-sheet'!T80</f>
        <v>0</v>
      </c>
      <c r="U97" s="2">
        <f>U9/'Output-Calculation-sheet'!U8*'Output-Calculation-sheet'!U80</f>
        <v>0</v>
      </c>
      <c r="V97" s="2">
        <f>V9/'Output-Calculation-sheet'!V8*'Output-Calculation-sheet'!V80</f>
        <v>0</v>
      </c>
      <c r="W97" s="2">
        <f>W9/'Output-Calculation-sheet'!W8*'Output-Calculation-sheet'!W80</f>
        <v>0</v>
      </c>
      <c r="X97" s="2">
        <f>X9/'Output-Calculation-sheet'!X8*'Output-Calculation-sheet'!X80</f>
        <v>0</v>
      </c>
      <c r="Y97" s="2">
        <f>Y9/'Output-Calculation-sheet'!Y8*'Output-Calculation-sheet'!Y80</f>
        <v>0</v>
      </c>
      <c r="AA97" s="2">
        <f t="shared" si="7"/>
        <v>0</v>
      </c>
    </row>
    <row r="98" spans="1:27" x14ac:dyDescent="0.25">
      <c r="A98" s="2">
        <v>2033</v>
      </c>
      <c r="B98" s="2">
        <f>B10/'Output-Calculation-sheet'!B9*'Output-Calculation-sheet'!B81</f>
        <v>0</v>
      </c>
      <c r="C98" s="2">
        <f>C10/'Output-Calculation-sheet'!C9*'Output-Calculation-sheet'!C81</f>
        <v>0</v>
      </c>
      <c r="D98" s="2">
        <f>D10/'Output-Calculation-sheet'!D9*'Output-Calculation-sheet'!D81</f>
        <v>0</v>
      </c>
      <c r="E98" s="2">
        <f>E10/'Output-Calculation-sheet'!E9*'Output-Calculation-sheet'!E81</f>
        <v>0</v>
      </c>
      <c r="F98" s="2">
        <f>F10/'Output-Calculation-sheet'!F9*'Output-Calculation-sheet'!F81</f>
        <v>0</v>
      </c>
      <c r="G98" s="2">
        <f>G10/'Output-Calculation-sheet'!G9*'Output-Calculation-sheet'!G81</f>
        <v>0</v>
      </c>
      <c r="H98" s="2">
        <f>H10/'Output-Calculation-sheet'!H9*'Output-Calculation-sheet'!H81</f>
        <v>0</v>
      </c>
      <c r="I98" s="2">
        <f>I10/'Output-Calculation-sheet'!I9*'Output-Calculation-sheet'!I81</f>
        <v>0</v>
      </c>
      <c r="J98" s="2">
        <f>J10/'Output-Calculation-sheet'!J9*'Output-Calculation-sheet'!J81</f>
        <v>0</v>
      </c>
      <c r="K98" s="2">
        <f>K10/'Output-Calculation-sheet'!K9*'Output-Calculation-sheet'!K81</f>
        <v>0</v>
      </c>
      <c r="L98" s="2">
        <f>L10/'Output-Calculation-sheet'!L9*'Output-Calculation-sheet'!L81</f>
        <v>0</v>
      </c>
      <c r="M98" s="2">
        <f>M10/'Output-Calculation-sheet'!M9*'Output-Calculation-sheet'!M81</f>
        <v>0</v>
      </c>
      <c r="N98" s="2">
        <f>N10/'Output-Calculation-sheet'!N9*'Output-Calculation-sheet'!N81</f>
        <v>0</v>
      </c>
      <c r="O98" s="2">
        <f>O10/'Output-Calculation-sheet'!O9*'Output-Calculation-sheet'!O81</f>
        <v>0</v>
      </c>
      <c r="P98" s="2">
        <f>P10/'Output-Calculation-sheet'!P9*'Output-Calculation-sheet'!P81</f>
        <v>0</v>
      </c>
      <c r="Q98" s="2">
        <f>Q10/'Output-Calculation-sheet'!Q9*'Output-Calculation-sheet'!Q81</f>
        <v>0</v>
      </c>
      <c r="R98" s="2">
        <f>R10/'Output-Calculation-sheet'!R9*'Output-Calculation-sheet'!R81</f>
        <v>0</v>
      </c>
      <c r="S98" s="2">
        <f>S10/'Output-Calculation-sheet'!S9*'Output-Calculation-sheet'!S81</f>
        <v>0</v>
      </c>
      <c r="T98" s="2">
        <f>T10/'Output-Calculation-sheet'!T9*'Output-Calculation-sheet'!T81</f>
        <v>0</v>
      </c>
      <c r="U98" s="2">
        <f>U10/'Output-Calculation-sheet'!U9*'Output-Calculation-sheet'!U81</f>
        <v>0</v>
      </c>
      <c r="V98" s="2">
        <f>V10/'Output-Calculation-sheet'!V9*'Output-Calculation-sheet'!V81</f>
        <v>0</v>
      </c>
      <c r="W98" s="2">
        <f>W10/'Output-Calculation-sheet'!W9*'Output-Calculation-sheet'!W81</f>
        <v>0</v>
      </c>
      <c r="X98" s="2">
        <f>X10/'Output-Calculation-sheet'!X9*'Output-Calculation-sheet'!X81</f>
        <v>0</v>
      </c>
      <c r="Y98" s="2">
        <f>Y10/'Output-Calculation-sheet'!Y9*'Output-Calculation-sheet'!Y81</f>
        <v>0</v>
      </c>
      <c r="AA98" s="2">
        <f t="shared" si="7"/>
        <v>0</v>
      </c>
    </row>
    <row r="99" spans="1:27" x14ac:dyDescent="0.25">
      <c r="A99" s="2">
        <v>2034</v>
      </c>
      <c r="B99" s="2">
        <f>B11/'Output-Calculation-sheet'!B10*'Output-Calculation-sheet'!B82</f>
        <v>0</v>
      </c>
      <c r="C99" s="2">
        <f>C11/'Output-Calculation-sheet'!C10*'Output-Calculation-sheet'!C82</f>
        <v>0</v>
      </c>
      <c r="D99" s="2">
        <f>D11/'Output-Calculation-sheet'!D10*'Output-Calculation-sheet'!D82</f>
        <v>0</v>
      </c>
      <c r="E99" s="2">
        <f>E11/'Output-Calculation-sheet'!E10*'Output-Calculation-sheet'!E82</f>
        <v>0</v>
      </c>
      <c r="F99" s="2">
        <f>F11/'Output-Calculation-sheet'!F10*'Output-Calculation-sheet'!F82</f>
        <v>0</v>
      </c>
      <c r="G99" s="2">
        <f>G11/'Output-Calculation-sheet'!G10*'Output-Calculation-sheet'!G82</f>
        <v>0</v>
      </c>
      <c r="H99" s="2">
        <f>H11/'Output-Calculation-sheet'!H10*'Output-Calculation-sheet'!H82</f>
        <v>0</v>
      </c>
      <c r="I99" s="2">
        <f>I11/'Output-Calculation-sheet'!I10*'Output-Calculation-sheet'!I82</f>
        <v>0</v>
      </c>
      <c r="J99" s="2">
        <f>J11/'Output-Calculation-sheet'!J10*'Output-Calculation-sheet'!J82</f>
        <v>0</v>
      </c>
      <c r="K99" s="2">
        <f>K11/'Output-Calculation-sheet'!K10*'Output-Calculation-sheet'!K82</f>
        <v>0</v>
      </c>
      <c r="L99" s="2">
        <f>L11/'Output-Calculation-sheet'!L10*'Output-Calculation-sheet'!L82</f>
        <v>0</v>
      </c>
      <c r="M99" s="2">
        <f>M11/'Output-Calculation-sheet'!M10*'Output-Calculation-sheet'!M82</f>
        <v>0</v>
      </c>
      <c r="N99" s="2">
        <f>N11/'Output-Calculation-sheet'!N10*'Output-Calculation-sheet'!N82</f>
        <v>0</v>
      </c>
      <c r="O99" s="2">
        <f>O11/'Output-Calculation-sheet'!O10*'Output-Calculation-sheet'!O82</f>
        <v>0</v>
      </c>
      <c r="P99" s="2">
        <f>P11/'Output-Calculation-sheet'!P10*'Output-Calculation-sheet'!P82</f>
        <v>0</v>
      </c>
      <c r="Q99" s="2">
        <f>Q11/'Output-Calculation-sheet'!Q10*'Output-Calculation-sheet'!Q82</f>
        <v>0</v>
      </c>
      <c r="R99" s="2">
        <f>R11/'Output-Calculation-sheet'!R10*'Output-Calculation-sheet'!R82</f>
        <v>0</v>
      </c>
      <c r="S99" s="2">
        <f>S11/'Output-Calculation-sheet'!S10*'Output-Calculation-sheet'!S82</f>
        <v>0</v>
      </c>
      <c r="T99" s="2">
        <f>T11/'Output-Calculation-sheet'!T10*'Output-Calculation-sheet'!T82</f>
        <v>0</v>
      </c>
      <c r="U99" s="2">
        <f>U11/'Output-Calculation-sheet'!U10*'Output-Calculation-sheet'!U82</f>
        <v>0</v>
      </c>
      <c r="V99" s="2">
        <f>V11/'Output-Calculation-sheet'!V10*'Output-Calculation-sheet'!V82</f>
        <v>0</v>
      </c>
      <c r="W99" s="2">
        <f>W11/'Output-Calculation-sheet'!W10*'Output-Calculation-sheet'!W82</f>
        <v>0</v>
      </c>
      <c r="X99" s="2">
        <f>X11/'Output-Calculation-sheet'!X10*'Output-Calculation-sheet'!X82</f>
        <v>0</v>
      </c>
      <c r="Y99" s="2">
        <f>Y11/'Output-Calculation-sheet'!Y10*'Output-Calculation-sheet'!Y82</f>
        <v>0</v>
      </c>
      <c r="AA99" s="2">
        <f t="shared" si="7"/>
        <v>0</v>
      </c>
    </row>
    <row r="100" spans="1:27" x14ac:dyDescent="0.25">
      <c r="A100" s="2">
        <v>2035</v>
      </c>
      <c r="B100" s="2">
        <f>B12/'Output-Calculation-sheet'!B11*'Output-Calculation-sheet'!B83</f>
        <v>0</v>
      </c>
      <c r="C100" s="2">
        <f>C12/'Output-Calculation-sheet'!C11*'Output-Calculation-sheet'!C83</f>
        <v>0</v>
      </c>
      <c r="D100" s="2">
        <f>D12/'Output-Calculation-sheet'!D11*'Output-Calculation-sheet'!D83</f>
        <v>0</v>
      </c>
      <c r="E100" s="2">
        <f>E12/'Output-Calculation-sheet'!E11*'Output-Calculation-sheet'!E83</f>
        <v>0</v>
      </c>
      <c r="F100" s="2">
        <f>F12/'Output-Calculation-sheet'!F11*'Output-Calculation-sheet'!F83</f>
        <v>0</v>
      </c>
      <c r="G100" s="2">
        <f>G12/'Output-Calculation-sheet'!G11*'Output-Calculation-sheet'!G83</f>
        <v>0</v>
      </c>
      <c r="H100" s="2">
        <f>H12/'Output-Calculation-sheet'!H11*'Output-Calculation-sheet'!H83</f>
        <v>0</v>
      </c>
      <c r="I100" s="2">
        <f>I12/'Output-Calculation-sheet'!I11*'Output-Calculation-sheet'!I83</f>
        <v>0</v>
      </c>
      <c r="J100" s="2">
        <f>J12/'Output-Calculation-sheet'!J11*'Output-Calculation-sheet'!J83</f>
        <v>0</v>
      </c>
      <c r="K100" s="2">
        <f>K12/'Output-Calculation-sheet'!K11*'Output-Calculation-sheet'!K83</f>
        <v>0</v>
      </c>
      <c r="L100" s="2">
        <f>L12/'Output-Calculation-sheet'!L11*'Output-Calculation-sheet'!L83</f>
        <v>0</v>
      </c>
      <c r="M100" s="2">
        <f>M12/'Output-Calculation-sheet'!M11*'Output-Calculation-sheet'!M83</f>
        <v>0</v>
      </c>
      <c r="N100" s="2">
        <f>N12/'Output-Calculation-sheet'!N11*'Output-Calculation-sheet'!N83</f>
        <v>0</v>
      </c>
      <c r="O100" s="2">
        <f>O12/'Output-Calculation-sheet'!O11*'Output-Calculation-sheet'!O83</f>
        <v>0</v>
      </c>
      <c r="P100" s="2">
        <f>P12/'Output-Calculation-sheet'!P11*'Output-Calculation-sheet'!P83</f>
        <v>0</v>
      </c>
      <c r="Q100" s="2">
        <f>Q12/'Output-Calculation-sheet'!Q11*'Output-Calculation-sheet'!Q83</f>
        <v>0</v>
      </c>
      <c r="R100" s="2">
        <f>R12/'Output-Calculation-sheet'!R11*'Output-Calculation-sheet'!R83</f>
        <v>0</v>
      </c>
      <c r="S100" s="2">
        <f>S12/'Output-Calculation-sheet'!S11*'Output-Calculation-sheet'!S83</f>
        <v>0</v>
      </c>
      <c r="T100" s="2">
        <f>T12/'Output-Calculation-sheet'!T11*'Output-Calculation-sheet'!T83</f>
        <v>0</v>
      </c>
      <c r="U100" s="2">
        <f>U12/'Output-Calculation-sheet'!U11*'Output-Calculation-sheet'!U83</f>
        <v>0</v>
      </c>
      <c r="V100" s="2">
        <f>V12/'Output-Calculation-sheet'!V11*'Output-Calculation-sheet'!V83</f>
        <v>0</v>
      </c>
      <c r="W100" s="2">
        <f>W12/'Output-Calculation-sheet'!W11*'Output-Calculation-sheet'!W83</f>
        <v>0</v>
      </c>
      <c r="X100" s="2">
        <f>X12/'Output-Calculation-sheet'!X11*'Output-Calculation-sheet'!X83</f>
        <v>0</v>
      </c>
      <c r="Y100" s="2">
        <f>Y12/'Output-Calculation-sheet'!Y11*'Output-Calculation-sheet'!Y83</f>
        <v>0</v>
      </c>
      <c r="AA100" s="2">
        <f t="shared" si="7"/>
        <v>0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B5/'Output-Calculation-sheet'!B4*'Output-Calculation-sheet'!#REF!</f>
        <v>#REF!</v>
      </c>
      <c r="C104" s="2" t="e">
        <f>C5/'Output-Calculation-sheet'!C4*'Output-Calculation-sheet'!#REF!</f>
        <v>#REF!</v>
      </c>
      <c r="D104" s="2" t="e">
        <f>D5/'Output-Calculation-sheet'!D4*'Output-Calculation-sheet'!#REF!</f>
        <v>#REF!</v>
      </c>
      <c r="E104" s="2" t="e">
        <f>E5/'Output-Calculation-sheet'!E4*'Output-Calculation-sheet'!#REF!</f>
        <v>#REF!</v>
      </c>
      <c r="F104" s="2" t="e">
        <f>F5/'Output-Calculation-sheet'!F4*'Output-Calculation-sheet'!#REF!</f>
        <v>#REF!</v>
      </c>
      <c r="G104" s="2" t="e">
        <f>G5/'Output-Calculation-sheet'!G4*'Output-Calculation-sheet'!#REF!</f>
        <v>#REF!</v>
      </c>
      <c r="H104" s="2" t="e">
        <f>H5/'Output-Calculation-sheet'!H4*'Output-Calculation-sheet'!#REF!</f>
        <v>#REF!</v>
      </c>
      <c r="I104" s="2" t="e">
        <f>I5/'Output-Calculation-sheet'!I4*'Output-Calculation-sheet'!#REF!</f>
        <v>#REF!</v>
      </c>
      <c r="J104" s="2" t="e">
        <f>J5/'Output-Calculation-sheet'!J4*'Output-Calculation-sheet'!#REF!</f>
        <v>#REF!</v>
      </c>
      <c r="K104" s="2" t="e">
        <f>K5/'Output-Calculation-sheet'!K4*'Output-Calculation-sheet'!#REF!</f>
        <v>#REF!</v>
      </c>
      <c r="L104" s="2" t="e">
        <f>L5/'Output-Calculation-sheet'!L4*'Output-Calculation-sheet'!#REF!</f>
        <v>#REF!</v>
      </c>
      <c r="M104" s="2" t="e">
        <f>M5/'Output-Calculation-sheet'!M4*'Output-Calculation-sheet'!#REF!</f>
        <v>#REF!</v>
      </c>
      <c r="N104" s="2" t="e">
        <f>N5/'Output-Calculation-sheet'!N4*'Output-Calculation-sheet'!#REF!</f>
        <v>#REF!</v>
      </c>
      <c r="O104" s="2" t="e">
        <f>O5/'Output-Calculation-sheet'!O4*'Output-Calculation-sheet'!#REF!</f>
        <v>#REF!</v>
      </c>
      <c r="P104" s="2" t="e">
        <f>P5/'Output-Calculation-sheet'!P4*'Output-Calculation-sheet'!#REF!</f>
        <v>#REF!</v>
      </c>
      <c r="Q104" s="2" t="e">
        <f>Q5/'Output-Calculation-sheet'!Q4*'Output-Calculation-sheet'!#REF!</f>
        <v>#REF!</v>
      </c>
      <c r="R104" s="2" t="e">
        <f>R5/'Output-Calculation-sheet'!R4*'Output-Calculation-sheet'!#REF!</f>
        <v>#REF!</v>
      </c>
      <c r="S104" s="2" t="e">
        <f>S5/'Output-Calculation-sheet'!S4*'Output-Calculation-sheet'!#REF!</f>
        <v>#REF!</v>
      </c>
      <c r="T104" s="2" t="e">
        <f>T5/'Output-Calculation-sheet'!T4*'Output-Calculation-sheet'!#REF!</f>
        <v>#REF!</v>
      </c>
      <c r="U104" s="2" t="e">
        <f>U5/'Output-Calculation-sheet'!U4*'Output-Calculation-sheet'!#REF!</f>
        <v>#REF!</v>
      </c>
      <c r="V104" s="2" t="e">
        <f>V5/'Output-Calculation-sheet'!V4*'Output-Calculation-sheet'!#REF!</f>
        <v>#REF!</v>
      </c>
      <c r="W104" s="2" t="e">
        <f>W5/'Output-Calculation-sheet'!W4*'Output-Calculation-sheet'!#REF!</f>
        <v>#REF!</v>
      </c>
      <c r="X104" s="2" t="e">
        <f>X5/'Output-Calculation-sheet'!X4*'Output-Calculation-sheet'!#REF!</f>
        <v>#REF!</v>
      </c>
      <c r="Y104" s="2" t="e">
        <f>Y5/'Output-Calculation-sheet'!Y4*'Output-Calculation-sheet'!#REF!</f>
        <v>#REF!</v>
      </c>
      <c r="AA104" s="2" t="e">
        <f>SUM(B104:Y104)/1000</f>
        <v>#REF!</v>
      </c>
    </row>
    <row r="105" spans="1:27" x14ac:dyDescent="0.25">
      <c r="A105" s="2">
        <v>2029</v>
      </c>
      <c r="B105" s="2" t="e">
        <f>B6/'Output-Calculation-sheet'!B5*'Output-Calculation-sheet'!#REF!</f>
        <v>#REF!</v>
      </c>
      <c r="C105" s="2" t="e">
        <f>C6/'Output-Calculation-sheet'!C5*'Output-Calculation-sheet'!#REF!</f>
        <v>#REF!</v>
      </c>
      <c r="D105" s="2" t="e">
        <f>D6/'Output-Calculation-sheet'!D5*'Output-Calculation-sheet'!#REF!</f>
        <v>#REF!</v>
      </c>
      <c r="E105" s="2" t="e">
        <f>E6/'Output-Calculation-sheet'!E5*'Output-Calculation-sheet'!#REF!</f>
        <v>#REF!</v>
      </c>
      <c r="F105" s="2" t="e">
        <f>F6/'Output-Calculation-sheet'!F5*'Output-Calculation-sheet'!#REF!</f>
        <v>#REF!</v>
      </c>
      <c r="G105" s="2" t="e">
        <f>G6/'Output-Calculation-sheet'!G5*'Output-Calculation-sheet'!#REF!</f>
        <v>#REF!</v>
      </c>
      <c r="H105" s="2" t="e">
        <f>H6/'Output-Calculation-sheet'!H5*'Output-Calculation-sheet'!#REF!</f>
        <v>#REF!</v>
      </c>
      <c r="I105" s="2" t="e">
        <f>I6/'Output-Calculation-sheet'!I5*'Output-Calculation-sheet'!#REF!</f>
        <v>#REF!</v>
      </c>
      <c r="J105" s="2" t="e">
        <f>J6/'Output-Calculation-sheet'!J5*'Output-Calculation-sheet'!#REF!</f>
        <v>#REF!</v>
      </c>
      <c r="K105" s="2" t="e">
        <f>K6/'Output-Calculation-sheet'!K5*'Output-Calculation-sheet'!#REF!</f>
        <v>#REF!</v>
      </c>
      <c r="L105" s="2" t="e">
        <f>L6/'Output-Calculation-sheet'!L5*'Output-Calculation-sheet'!#REF!</f>
        <v>#REF!</v>
      </c>
      <c r="M105" s="2" t="e">
        <f>M6/'Output-Calculation-sheet'!M5*'Output-Calculation-sheet'!#REF!</f>
        <v>#REF!</v>
      </c>
      <c r="N105" s="2" t="e">
        <f>N6/'Output-Calculation-sheet'!N5*'Output-Calculation-sheet'!#REF!</f>
        <v>#REF!</v>
      </c>
      <c r="O105" s="2" t="e">
        <f>O6/'Output-Calculation-sheet'!O5*'Output-Calculation-sheet'!#REF!</f>
        <v>#REF!</v>
      </c>
      <c r="P105" s="2" t="e">
        <f>P6/'Output-Calculation-sheet'!P5*'Output-Calculation-sheet'!#REF!</f>
        <v>#REF!</v>
      </c>
      <c r="Q105" s="2" t="e">
        <f>Q6/'Output-Calculation-sheet'!Q5*'Output-Calculation-sheet'!#REF!</f>
        <v>#REF!</v>
      </c>
      <c r="R105" s="2" t="e">
        <f>R6/'Output-Calculation-sheet'!R5*'Output-Calculation-sheet'!#REF!</f>
        <v>#REF!</v>
      </c>
      <c r="S105" s="2" t="e">
        <f>S6/'Output-Calculation-sheet'!S5*'Output-Calculation-sheet'!#REF!</f>
        <v>#REF!</v>
      </c>
      <c r="T105" s="2" t="e">
        <f>T6/'Output-Calculation-sheet'!T5*'Output-Calculation-sheet'!#REF!</f>
        <v>#REF!</v>
      </c>
      <c r="U105" s="2" t="e">
        <f>U6/'Output-Calculation-sheet'!U5*'Output-Calculation-sheet'!#REF!</f>
        <v>#REF!</v>
      </c>
      <c r="V105" s="2" t="e">
        <f>V6/'Output-Calculation-sheet'!V5*'Output-Calculation-sheet'!#REF!</f>
        <v>#REF!</v>
      </c>
      <c r="W105" s="2" t="e">
        <f>W6/'Output-Calculation-sheet'!W5*'Output-Calculation-sheet'!#REF!</f>
        <v>#REF!</v>
      </c>
      <c r="X105" s="2" t="e">
        <f>X6/'Output-Calculation-sheet'!X5*'Output-Calculation-sheet'!#REF!</f>
        <v>#REF!</v>
      </c>
      <c r="Y105" s="2" t="e">
        <f>Y6/'Output-Calculation-sheet'!Y5*'Output-Calculation-sheet'!#REF!</f>
        <v>#REF!</v>
      </c>
      <c r="AA105" s="2" t="e">
        <f t="shared" ref="AA105:AA111" si="8">SUM(B105:Y105)/1000</f>
        <v>#REF!</v>
      </c>
    </row>
    <row r="106" spans="1:27" x14ac:dyDescent="0.25">
      <c r="A106" s="2">
        <v>2030</v>
      </c>
      <c r="B106" s="2" t="e">
        <f>B7/'Output-Calculation-sheet'!B6*'Output-Calculation-sheet'!#REF!</f>
        <v>#REF!</v>
      </c>
      <c r="C106" s="2" t="e">
        <f>C7/'Output-Calculation-sheet'!C6*'Output-Calculation-sheet'!#REF!</f>
        <v>#REF!</v>
      </c>
      <c r="D106" s="2" t="e">
        <f>D7/'Output-Calculation-sheet'!D6*'Output-Calculation-sheet'!#REF!</f>
        <v>#REF!</v>
      </c>
      <c r="E106" s="2" t="e">
        <f>E7/'Output-Calculation-sheet'!E6*'Output-Calculation-sheet'!#REF!</f>
        <v>#REF!</v>
      </c>
      <c r="F106" s="2" t="e">
        <f>F7/'Output-Calculation-sheet'!F6*'Output-Calculation-sheet'!#REF!</f>
        <v>#REF!</v>
      </c>
      <c r="G106" s="2" t="e">
        <f>G7/'Output-Calculation-sheet'!G6*'Output-Calculation-sheet'!#REF!</f>
        <v>#REF!</v>
      </c>
      <c r="H106" s="2" t="e">
        <f>H7/'Output-Calculation-sheet'!H6*'Output-Calculation-sheet'!#REF!</f>
        <v>#REF!</v>
      </c>
      <c r="I106" s="2" t="e">
        <f>I7/'Output-Calculation-sheet'!I6*'Output-Calculation-sheet'!#REF!</f>
        <v>#REF!</v>
      </c>
      <c r="J106" s="2" t="e">
        <f>J7/'Output-Calculation-sheet'!J6*'Output-Calculation-sheet'!#REF!</f>
        <v>#REF!</v>
      </c>
      <c r="K106" s="2" t="e">
        <f>K7/'Output-Calculation-sheet'!K6*'Output-Calculation-sheet'!#REF!</f>
        <v>#REF!</v>
      </c>
      <c r="L106" s="2" t="e">
        <f>L7/'Output-Calculation-sheet'!L6*'Output-Calculation-sheet'!#REF!</f>
        <v>#REF!</v>
      </c>
      <c r="M106" s="2" t="e">
        <f>M7/'Output-Calculation-sheet'!M6*'Output-Calculation-sheet'!#REF!</f>
        <v>#REF!</v>
      </c>
      <c r="N106" s="2" t="e">
        <f>N7/'Output-Calculation-sheet'!N6*'Output-Calculation-sheet'!#REF!</f>
        <v>#REF!</v>
      </c>
      <c r="O106" s="2" t="e">
        <f>O7/'Output-Calculation-sheet'!O6*'Output-Calculation-sheet'!#REF!</f>
        <v>#REF!</v>
      </c>
      <c r="P106" s="2" t="e">
        <f>P7/'Output-Calculation-sheet'!P6*'Output-Calculation-sheet'!#REF!</f>
        <v>#REF!</v>
      </c>
      <c r="Q106" s="2" t="e">
        <f>Q7/'Output-Calculation-sheet'!Q6*'Output-Calculation-sheet'!#REF!</f>
        <v>#REF!</v>
      </c>
      <c r="R106" s="2" t="e">
        <f>R7/'Output-Calculation-sheet'!R6*'Output-Calculation-sheet'!#REF!</f>
        <v>#REF!</v>
      </c>
      <c r="S106" s="2" t="e">
        <f>S7/'Output-Calculation-sheet'!S6*'Output-Calculation-sheet'!#REF!</f>
        <v>#REF!</v>
      </c>
      <c r="T106" s="2" t="e">
        <f>T7/'Output-Calculation-sheet'!T6*'Output-Calculation-sheet'!#REF!</f>
        <v>#REF!</v>
      </c>
      <c r="U106" s="2" t="e">
        <f>U7/'Output-Calculation-sheet'!U6*'Output-Calculation-sheet'!#REF!</f>
        <v>#REF!</v>
      </c>
      <c r="V106" s="2" t="e">
        <f>V7/'Output-Calculation-sheet'!V6*'Output-Calculation-sheet'!#REF!</f>
        <v>#REF!</v>
      </c>
      <c r="W106" s="2" t="e">
        <f>W7/'Output-Calculation-sheet'!W6*'Output-Calculation-sheet'!#REF!</f>
        <v>#REF!</v>
      </c>
      <c r="X106" s="2" t="e">
        <f>X7/'Output-Calculation-sheet'!X6*'Output-Calculation-sheet'!#REF!</f>
        <v>#REF!</v>
      </c>
      <c r="Y106" s="2" t="e">
        <f>Y7/'Output-Calculation-sheet'!Y6*'Output-Calculation-sheet'!#REF!</f>
        <v>#REF!</v>
      </c>
      <c r="AA106" s="2" t="e">
        <f t="shared" si="8"/>
        <v>#REF!</v>
      </c>
    </row>
    <row r="107" spans="1:27" x14ac:dyDescent="0.25">
      <c r="A107" s="2">
        <v>2031</v>
      </c>
      <c r="B107" s="2" t="e">
        <f>B8/'Output-Calculation-sheet'!B7*'Output-Calculation-sheet'!#REF!</f>
        <v>#REF!</v>
      </c>
      <c r="C107" s="2" t="e">
        <f>C8/'Output-Calculation-sheet'!C7*'Output-Calculation-sheet'!#REF!</f>
        <v>#REF!</v>
      </c>
      <c r="D107" s="2" t="e">
        <f>D8/'Output-Calculation-sheet'!D7*'Output-Calculation-sheet'!#REF!</f>
        <v>#REF!</v>
      </c>
      <c r="E107" s="2" t="e">
        <f>E8/'Output-Calculation-sheet'!E7*'Output-Calculation-sheet'!#REF!</f>
        <v>#REF!</v>
      </c>
      <c r="F107" s="2" t="e">
        <f>F8/'Output-Calculation-sheet'!F7*'Output-Calculation-sheet'!#REF!</f>
        <v>#REF!</v>
      </c>
      <c r="G107" s="2" t="e">
        <f>G8/'Output-Calculation-sheet'!G7*'Output-Calculation-sheet'!#REF!</f>
        <v>#REF!</v>
      </c>
      <c r="H107" s="2" t="e">
        <f>H8/'Output-Calculation-sheet'!H7*'Output-Calculation-sheet'!#REF!</f>
        <v>#REF!</v>
      </c>
      <c r="I107" s="2" t="e">
        <f>I8/'Output-Calculation-sheet'!I7*'Output-Calculation-sheet'!#REF!</f>
        <v>#REF!</v>
      </c>
      <c r="J107" s="2" t="e">
        <f>J8/'Output-Calculation-sheet'!J7*'Output-Calculation-sheet'!#REF!</f>
        <v>#REF!</v>
      </c>
      <c r="K107" s="2" t="e">
        <f>K8/'Output-Calculation-sheet'!K7*'Output-Calculation-sheet'!#REF!</f>
        <v>#REF!</v>
      </c>
      <c r="L107" s="2" t="e">
        <f>L8/'Output-Calculation-sheet'!L7*'Output-Calculation-sheet'!#REF!</f>
        <v>#REF!</v>
      </c>
      <c r="M107" s="2" t="e">
        <f>M8/'Output-Calculation-sheet'!M7*'Output-Calculation-sheet'!#REF!</f>
        <v>#REF!</v>
      </c>
      <c r="N107" s="2" t="e">
        <f>N8/'Output-Calculation-sheet'!N7*'Output-Calculation-sheet'!#REF!</f>
        <v>#REF!</v>
      </c>
      <c r="O107" s="2" t="e">
        <f>O8/'Output-Calculation-sheet'!O7*'Output-Calculation-sheet'!#REF!</f>
        <v>#REF!</v>
      </c>
      <c r="P107" s="2" t="e">
        <f>P8/'Output-Calculation-sheet'!P7*'Output-Calculation-sheet'!#REF!</f>
        <v>#REF!</v>
      </c>
      <c r="Q107" s="2" t="e">
        <f>Q8/'Output-Calculation-sheet'!Q7*'Output-Calculation-sheet'!#REF!</f>
        <v>#REF!</v>
      </c>
      <c r="R107" s="2" t="e">
        <f>R8/'Output-Calculation-sheet'!R7*'Output-Calculation-sheet'!#REF!</f>
        <v>#REF!</v>
      </c>
      <c r="S107" s="2" t="e">
        <f>S8/'Output-Calculation-sheet'!S7*'Output-Calculation-sheet'!#REF!</f>
        <v>#REF!</v>
      </c>
      <c r="T107" s="2" t="e">
        <f>T8/'Output-Calculation-sheet'!T7*'Output-Calculation-sheet'!#REF!</f>
        <v>#REF!</v>
      </c>
      <c r="U107" s="2" t="e">
        <f>U8/'Output-Calculation-sheet'!U7*'Output-Calculation-sheet'!#REF!</f>
        <v>#REF!</v>
      </c>
      <c r="V107" s="2" t="e">
        <f>V8/'Output-Calculation-sheet'!V7*'Output-Calculation-sheet'!#REF!</f>
        <v>#REF!</v>
      </c>
      <c r="W107" s="2" t="e">
        <f>W8/'Output-Calculation-sheet'!W7*'Output-Calculation-sheet'!#REF!</f>
        <v>#REF!</v>
      </c>
      <c r="X107" s="2" t="e">
        <f>X8/'Output-Calculation-sheet'!X7*'Output-Calculation-sheet'!#REF!</f>
        <v>#REF!</v>
      </c>
      <c r="Y107" s="2" t="e">
        <f>Y8/'Output-Calculation-sheet'!Y7*'Output-Calculation-sheet'!#REF!</f>
        <v>#REF!</v>
      </c>
      <c r="AA107" s="2" t="e">
        <f t="shared" si="8"/>
        <v>#REF!</v>
      </c>
    </row>
    <row r="108" spans="1:27" x14ac:dyDescent="0.25">
      <c r="A108" s="2">
        <v>2032</v>
      </c>
      <c r="B108" s="2" t="e">
        <f>B9/'Output-Calculation-sheet'!B8*'Output-Calculation-sheet'!#REF!</f>
        <v>#REF!</v>
      </c>
      <c r="C108" s="2" t="e">
        <f>C9/'Output-Calculation-sheet'!C8*'Output-Calculation-sheet'!#REF!</f>
        <v>#REF!</v>
      </c>
      <c r="D108" s="2" t="e">
        <f>D9/'Output-Calculation-sheet'!D8*'Output-Calculation-sheet'!#REF!</f>
        <v>#REF!</v>
      </c>
      <c r="E108" s="2" t="e">
        <f>E9/'Output-Calculation-sheet'!E8*'Output-Calculation-sheet'!#REF!</f>
        <v>#REF!</v>
      </c>
      <c r="F108" s="2" t="e">
        <f>F9/'Output-Calculation-sheet'!F8*'Output-Calculation-sheet'!#REF!</f>
        <v>#REF!</v>
      </c>
      <c r="G108" s="2" t="e">
        <f>G9/'Output-Calculation-sheet'!G8*'Output-Calculation-sheet'!#REF!</f>
        <v>#REF!</v>
      </c>
      <c r="H108" s="2" t="e">
        <f>H9/'Output-Calculation-sheet'!H8*'Output-Calculation-sheet'!#REF!</f>
        <v>#REF!</v>
      </c>
      <c r="I108" s="2" t="e">
        <f>I9/'Output-Calculation-sheet'!I8*'Output-Calculation-sheet'!#REF!</f>
        <v>#REF!</v>
      </c>
      <c r="J108" s="2" t="e">
        <f>J9/'Output-Calculation-sheet'!J8*'Output-Calculation-sheet'!#REF!</f>
        <v>#REF!</v>
      </c>
      <c r="K108" s="2" t="e">
        <f>K9/'Output-Calculation-sheet'!K8*'Output-Calculation-sheet'!#REF!</f>
        <v>#REF!</v>
      </c>
      <c r="L108" s="2" t="e">
        <f>L9/'Output-Calculation-sheet'!L8*'Output-Calculation-sheet'!#REF!</f>
        <v>#REF!</v>
      </c>
      <c r="M108" s="2" t="e">
        <f>M9/'Output-Calculation-sheet'!M8*'Output-Calculation-sheet'!#REF!</f>
        <v>#REF!</v>
      </c>
      <c r="N108" s="2" t="e">
        <f>N9/'Output-Calculation-sheet'!N8*'Output-Calculation-sheet'!#REF!</f>
        <v>#REF!</v>
      </c>
      <c r="O108" s="2" t="e">
        <f>O9/'Output-Calculation-sheet'!O8*'Output-Calculation-sheet'!#REF!</f>
        <v>#REF!</v>
      </c>
      <c r="P108" s="2" t="e">
        <f>P9/'Output-Calculation-sheet'!P8*'Output-Calculation-sheet'!#REF!</f>
        <v>#REF!</v>
      </c>
      <c r="Q108" s="2" t="e">
        <f>Q9/'Output-Calculation-sheet'!Q8*'Output-Calculation-sheet'!#REF!</f>
        <v>#REF!</v>
      </c>
      <c r="R108" s="2" t="e">
        <f>R9/'Output-Calculation-sheet'!R8*'Output-Calculation-sheet'!#REF!</f>
        <v>#REF!</v>
      </c>
      <c r="S108" s="2" t="e">
        <f>S9/'Output-Calculation-sheet'!S8*'Output-Calculation-sheet'!#REF!</f>
        <v>#REF!</v>
      </c>
      <c r="T108" s="2" t="e">
        <f>T9/'Output-Calculation-sheet'!T8*'Output-Calculation-sheet'!#REF!</f>
        <v>#REF!</v>
      </c>
      <c r="U108" s="2" t="e">
        <f>U9/'Output-Calculation-sheet'!U8*'Output-Calculation-sheet'!#REF!</f>
        <v>#REF!</v>
      </c>
      <c r="V108" s="2" t="e">
        <f>V9/'Output-Calculation-sheet'!V8*'Output-Calculation-sheet'!#REF!</f>
        <v>#REF!</v>
      </c>
      <c r="W108" s="2" t="e">
        <f>W9/'Output-Calculation-sheet'!W8*'Output-Calculation-sheet'!#REF!</f>
        <v>#REF!</v>
      </c>
      <c r="X108" s="2" t="e">
        <f>X9/'Output-Calculation-sheet'!X8*'Output-Calculation-sheet'!#REF!</f>
        <v>#REF!</v>
      </c>
      <c r="Y108" s="2" t="e">
        <f>Y9/'Output-Calculation-sheet'!Y8*'Output-Calculation-sheet'!#REF!</f>
        <v>#REF!</v>
      </c>
      <c r="AA108" s="2" t="e">
        <f t="shared" si="8"/>
        <v>#REF!</v>
      </c>
    </row>
    <row r="109" spans="1:27" x14ac:dyDescent="0.25">
      <c r="A109" s="2">
        <v>2033</v>
      </c>
      <c r="B109" s="2" t="e">
        <f>B10/'Output-Calculation-sheet'!B9*'Output-Calculation-sheet'!#REF!</f>
        <v>#REF!</v>
      </c>
      <c r="C109" s="2" t="e">
        <f>C10/'Output-Calculation-sheet'!C9*'Output-Calculation-sheet'!#REF!</f>
        <v>#REF!</v>
      </c>
      <c r="D109" s="2" t="e">
        <f>D10/'Output-Calculation-sheet'!D9*'Output-Calculation-sheet'!#REF!</f>
        <v>#REF!</v>
      </c>
      <c r="E109" s="2" t="e">
        <f>E10/'Output-Calculation-sheet'!E9*'Output-Calculation-sheet'!#REF!</f>
        <v>#REF!</v>
      </c>
      <c r="F109" s="2" t="e">
        <f>F10/'Output-Calculation-sheet'!F9*'Output-Calculation-sheet'!#REF!</f>
        <v>#REF!</v>
      </c>
      <c r="G109" s="2" t="e">
        <f>G10/'Output-Calculation-sheet'!G9*'Output-Calculation-sheet'!#REF!</f>
        <v>#REF!</v>
      </c>
      <c r="H109" s="2" t="e">
        <f>H10/'Output-Calculation-sheet'!H9*'Output-Calculation-sheet'!#REF!</f>
        <v>#REF!</v>
      </c>
      <c r="I109" s="2" t="e">
        <f>I10/'Output-Calculation-sheet'!I9*'Output-Calculation-sheet'!#REF!</f>
        <v>#REF!</v>
      </c>
      <c r="J109" s="2" t="e">
        <f>J10/'Output-Calculation-sheet'!J9*'Output-Calculation-sheet'!#REF!</f>
        <v>#REF!</v>
      </c>
      <c r="K109" s="2" t="e">
        <f>K10/'Output-Calculation-sheet'!K9*'Output-Calculation-sheet'!#REF!</f>
        <v>#REF!</v>
      </c>
      <c r="L109" s="2" t="e">
        <f>L10/'Output-Calculation-sheet'!L9*'Output-Calculation-sheet'!#REF!</f>
        <v>#REF!</v>
      </c>
      <c r="M109" s="2" t="e">
        <f>M10/'Output-Calculation-sheet'!M9*'Output-Calculation-sheet'!#REF!</f>
        <v>#REF!</v>
      </c>
      <c r="N109" s="2" t="e">
        <f>N10/'Output-Calculation-sheet'!N9*'Output-Calculation-sheet'!#REF!</f>
        <v>#REF!</v>
      </c>
      <c r="O109" s="2" t="e">
        <f>O10/'Output-Calculation-sheet'!O9*'Output-Calculation-sheet'!#REF!</f>
        <v>#REF!</v>
      </c>
      <c r="P109" s="2" t="e">
        <f>P10/'Output-Calculation-sheet'!P9*'Output-Calculation-sheet'!#REF!</f>
        <v>#REF!</v>
      </c>
      <c r="Q109" s="2" t="e">
        <f>Q10/'Output-Calculation-sheet'!Q9*'Output-Calculation-sheet'!#REF!</f>
        <v>#REF!</v>
      </c>
      <c r="R109" s="2" t="e">
        <f>R10/'Output-Calculation-sheet'!R9*'Output-Calculation-sheet'!#REF!</f>
        <v>#REF!</v>
      </c>
      <c r="S109" s="2" t="e">
        <f>S10/'Output-Calculation-sheet'!S9*'Output-Calculation-sheet'!#REF!</f>
        <v>#REF!</v>
      </c>
      <c r="T109" s="2" t="e">
        <f>T10/'Output-Calculation-sheet'!T9*'Output-Calculation-sheet'!#REF!</f>
        <v>#REF!</v>
      </c>
      <c r="U109" s="2" t="e">
        <f>U10/'Output-Calculation-sheet'!U9*'Output-Calculation-sheet'!#REF!</f>
        <v>#REF!</v>
      </c>
      <c r="V109" s="2" t="e">
        <f>V10/'Output-Calculation-sheet'!V9*'Output-Calculation-sheet'!#REF!</f>
        <v>#REF!</v>
      </c>
      <c r="W109" s="2" t="e">
        <f>W10/'Output-Calculation-sheet'!W9*'Output-Calculation-sheet'!#REF!</f>
        <v>#REF!</v>
      </c>
      <c r="X109" s="2" t="e">
        <f>X10/'Output-Calculation-sheet'!X9*'Output-Calculation-sheet'!#REF!</f>
        <v>#REF!</v>
      </c>
      <c r="Y109" s="2" t="e">
        <f>Y10/'Output-Calculation-sheet'!Y9*'Output-Calculation-sheet'!#REF!</f>
        <v>#REF!</v>
      </c>
      <c r="AA109" s="2" t="e">
        <f t="shared" si="8"/>
        <v>#REF!</v>
      </c>
    </row>
    <row r="110" spans="1:27" x14ac:dyDescent="0.25">
      <c r="A110" s="2">
        <v>2034</v>
      </c>
      <c r="B110" s="2" t="e">
        <f>B11/'Output-Calculation-sheet'!B10*'Output-Calculation-sheet'!#REF!</f>
        <v>#REF!</v>
      </c>
      <c r="C110" s="2" t="e">
        <f>C11/'Output-Calculation-sheet'!C10*'Output-Calculation-sheet'!#REF!</f>
        <v>#REF!</v>
      </c>
      <c r="D110" s="2" t="e">
        <f>D11/'Output-Calculation-sheet'!D10*'Output-Calculation-sheet'!#REF!</f>
        <v>#REF!</v>
      </c>
      <c r="E110" s="2" t="e">
        <f>E11/'Output-Calculation-sheet'!E10*'Output-Calculation-sheet'!#REF!</f>
        <v>#REF!</v>
      </c>
      <c r="F110" s="2" t="e">
        <f>F11/'Output-Calculation-sheet'!F10*'Output-Calculation-sheet'!#REF!</f>
        <v>#REF!</v>
      </c>
      <c r="G110" s="2" t="e">
        <f>G11/'Output-Calculation-sheet'!G10*'Output-Calculation-sheet'!#REF!</f>
        <v>#REF!</v>
      </c>
      <c r="H110" s="2" t="e">
        <f>H11/'Output-Calculation-sheet'!H10*'Output-Calculation-sheet'!#REF!</f>
        <v>#REF!</v>
      </c>
      <c r="I110" s="2" t="e">
        <f>I11/'Output-Calculation-sheet'!I10*'Output-Calculation-sheet'!#REF!</f>
        <v>#REF!</v>
      </c>
      <c r="J110" s="2" t="e">
        <f>J11/'Output-Calculation-sheet'!J10*'Output-Calculation-sheet'!#REF!</f>
        <v>#REF!</v>
      </c>
      <c r="K110" s="2" t="e">
        <f>K11/'Output-Calculation-sheet'!K10*'Output-Calculation-sheet'!#REF!</f>
        <v>#REF!</v>
      </c>
      <c r="L110" s="2" t="e">
        <f>L11/'Output-Calculation-sheet'!L10*'Output-Calculation-sheet'!#REF!</f>
        <v>#REF!</v>
      </c>
      <c r="M110" s="2" t="e">
        <f>M11/'Output-Calculation-sheet'!M10*'Output-Calculation-sheet'!#REF!</f>
        <v>#REF!</v>
      </c>
      <c r="N110" s="2" t="e">
        <f>N11/'Output-Calculation-sheet'!N10*'Output-Calculation-sheet'!#REF!</f>
        <v>#REF!</v>
      </c>
      <c r="O110" s="2" t="e">
        <f>O11/'Output-Calculation-sheet'!O10*'Output-Calculation-sheet'!#REF!</f>
        <v>#REF!</v>
      </c>
      <c r="P110" s="2" t="e">
        <f>P11/'Output-Calculation-sheet'!P10*'Output-Calculation-sheet'!#REF!</f>
        <v>#REF!</v>
      </c>
      <c r="Q110" s="2" t="e">
        <f>Q11/'Output-Calculation-sheet'!Q10*'Output-Calculation-sheet'!#REF!</f>
        <v>#REF!</v>
      </c>
      <c r="R110" s="2" t="e">
        <f>R11/'Output-Calculation-sheet'!R10*'Output-Calculation-sheet'!#REF!</f>
        <v>#REF!</v>
      </c>
      <c r="S110" s="2" t="e">
        <f>S11/'Output-Calculation-sheet'!S10*'Output-Calculation-sheet'!#REF!</f>
        <v>#REF!</v>
      </c>
      <c r="T110" s="2" t="e">
        <f>T11/'Output-Calculation-sheet'!T10*'Output-Calculation-sheet'!#REF!</f>
        <v>#REF!</v>
      </c>
      <c r="U110" s="2" t="e">
        <f>U11/'Output-Calculation-sheet'!U10*'Output-Calculation-sheet'!#REF!</f>
        <v>#REF!</v>
      </c>
      <c r="V110" s="2" t="e">
        <f>V11/'Output-Calculation-sheet'!V10*'Output-Calculation-sheet'!#REF!</f>
        <v>#REF!</v>
      </c>
      <c r="W110" s="2" t="e">
        <f>W11/'Output-Calculation-sheet'!W10*'Output-Calculation-sheet'!#REF!</f>
        <v>#REF!</v>
      </c>
      <c r="X110" s="2" t="e">
        <f>X11/'Output-Calculation-sheet'!X10*'Output-Calculation-sheet'!#REF!</f>
        <v>#REF!</v>
      </c>
      <c r="Y110" s="2" t="e">
        <f>Y11/'Output-Calculation-sheet'!Y10*'Output-Calculation-sheet'!#REF!</f>
        <v>#REF!</v>
      </c>
      <c r="AA110" s="2" t="e">
        <f t="shared" si="8"/>
        <v>#REF!</v>
      </c>
    </row>
    <row r="111" spans="1:27" x14ac:dyDescent="0.25">
      <c r="A111" s="2">
        <v>2035</v>
      </c>
      <c r="B111" s="2" t="e">
        <f>B12/'Output-Calculation-sheet'!B11*'Output-Calculation-sheet'!#REF!</f>
        <v>#REF!</v>
      </c>
      <c r="C111" s="2" t="e">
        <f>C12/'Output-Calculation-sheet'!C11*'Output-Calculation-sheet'!#REF!</f>
        <v>#REF!</v>
      </c>
      <c r="D111" s="2" t="e">
        <f>D12/'Output-Calculation-sheet'!D11*'Output-Calculation-sheet'!#REF!</f>
        <v>#REF!</v>
      </c>
      <c r="E111" s="2" t="e">
        <f>E12/'Output-Calculation-sheet'!E11*'Output-Calculation-sheet'!#REF!</f>
        <v>#REF!</v>
      </c>
      <c r="F111" s="2" t="e">
        <f>F12/'Output-Calculation-sheet'!F11*'Output-Calculation-sheet'!#REF!</f>
        <v>#REF!</v>
      </c>
      <c r="G111" s="2" t="e">
        <f>G12/'Output-Calculation-sheet'!G11*'Output-Calculation-sheet'!#REF!</f>
        <v>#REF!</v>
      </c>
      <c r="H111" s="2" t="e">
        <f>H12/'Output-Calculation-sheet'!H11*'Output-Calculation-sheet'!#REF!</f>
        <v>#REF!</v>
      </c>
      <c r="I111" s="2" t="e">
        <f>I12/'Output-Calculation-sheet'!I11*'Output-Calculation-sheet'!#REF!</f>
        <v>#REF!</v>
      </c>
      <c r="J111" s="2" t="e">
        <f>J12/'Output-Calculation-sheet'!J11*'Output-Calculation-sheet'!#REF!</f>
        <v>#REF!</v>
      </c>
      <c r="K111" s="2" t="e">
        <f>K12/'Output-Calculation-sheet'!K11*'Output-Calculation-sheet'!#REF!</f>
        <v>#REF!</v>
      </c>
      <c r="L111" s="2" t="e">
        <f>L12/'Output-Calculation-sheet'!L11*'Output-Calculation-sheet'!#REF!</f>
        <v>#REF!</v>
      </c>
      <c r="M111" s="2" t="e">
        <f>M12/'Output-Calculation-sheet'!M11*'Output-Calculation-sheet'!#REF!</f>
        <v>#REF!</v>
      </c>
      <c r="N111" s="2" t="e">
        <f>N12/'Output-Calculation-sheet'!N11*'Output-Calculation-sheet'!#REF!</f>
        <v>#REF!</v>
      </c>
      <c r="O111" s="2" t="e">
        <f>O12/'Output-Calculation-sheet'!O11*'Output-Calculation-sheet'!#REF!</f>
        <v>#REF!</v>
      </c>
      <c r="P111" s="2" t="e">
        <f>P12/'Output-Calculation-sheet'!P11*'Output-Calculation-sheet'!#REF!</f>
        <v>#REF!</v>
      </c>
      <c r="Q111" s="2" t="e">
        <f>Q12/'Output-Calculation-sheet'!Q11*'Output-Calculation-sheet'!#REF!</f>
        <v>#REF!</v>
      </c>
      <c r="R111" s="2" t="e">
        <f>R12/'Output-Calculation-sheet'!R11*'Output-Calculation-sheet'!#REF!</f>
        <v>#REF!</v>
      </c>
      <c r="S111" s="2" t="e">
        <f>S12/'Output-Calculation-sheet'!S11*'Output-Calculation-sheet'!#REF!</f>
        <v>#REF!</v>
      </c>
      <c r="T111" s="2" t="e">
        <f>T12/'Output-Calculation-sheet'!T11*'Output-Calculation-sheet'!#REF!</f>
        <v>#REF!</v>
      </c>
      <c r="U111" s="2" t="e">
        <f>U12/'Output-Calculation-sheet'!U11*'Output-Calculation-sheet'!#REF!</f>
        <v>#REF!</v>
      </c>
      <c r="V111" s="2" t="e">
        <f>V12/'Output-Calculation-sheet'!V11*'Output-Calculation-sheet'!#REF!</f>
        <v>#REF!</v>
      </c>
      <c r="W111" s="2" t="e">
        <f>W12/'Output-Calculation-sheet'!W11*'Output-Calculation-sheet'!#REF!</f>
        <v>#REF!</v>
      </c>
      <c r="X111" s="2" t="e">
        <f>X12/'Output-Calculation-sheet'!X11*'Output-Calculation-sheet'!#REF!</f>
        <v>#REF!</v>
      </c>
      <c r="Y111" s="2" t="e">
        <f>Y12/'Output-Calculation-sheet'!Y11*'Output-Calculation-sheet'!#REF!</f>
        <v>#REF!</v>
      </c>
      <c r="AA111" s="2" t="e">
        <f t="shared" si="8"/>
        <v>#REF!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B5/'Output-Calculation-sheet'!B4*'Output-Calculation-sheet'!#REF!</f>
        <v>#REF!</v>
      </c>
      <c r="C115" s="2" t="e">
        <f>C5/'Output-Calculation-sheet'!C4*'Output-Calculation-sheet'!#REF!</f>
        <v>#REF!</v>
      </c>
      <c r="D115" s="2" t="e">
        <f>D5/'Output-Calculation-sheet'!D4*'Output-Calculation-sheet'!#REF!</f>
        <v>#REF!</v>
      </c>
      <c r="E115" s="2" t="e">
        <f>E5/'Output-Calculation-sheet'!E4*'Output-Calculation-sheet'!#REF!</f>
        <v>#REF!</v>
      </c>
      <c r="F115" s="2" t="e">
        <f>F5/'Output-Calculation-sheet'!F4*'Output-Calculation-sheet'!#REF!</f>
        <v>#REF!</v>
      </c>
      <c r="G115" s="2" t="e">
        <f>G5/'Output-Calculation-sheet'!G4*'Output-Calculation-sheet'!#REF!</f>
        <v>#REF!</v>
      </c>
      <c r="H115" s="2" t="e">
        <f>H5/'Output-Calculation-sheet'!H4*'Output-Calculation-sheet'!#REF!</f>
        <v>#REF!</v>
      </c>
      <c r="I115" s="2" t="e">
        <f>I5/'Output-Calculation-sheet'!I4*'Output-Calculation-sheet'!#REF!</f>
        <v>#REF!</v>
      </c>
      <c r="J115" s="2" t="e">
        <f>J5/'Output-Calculation-sheet'!J4*'Output-Calculation-sheet'!#REF!</f>
        <v>#REF!</v>
      </c>
      <c r="K115" s="2" t="e">
        <f>K5/'Output-Calculation-sheet'!K4*'Output-Calculation-sheet'!#REF!</f>
        <v>#REF!</v>
      </c>
      <c r="L115" s="2" t="e">
        <f>L5/'Output-Calculation-sheet'!L4*'Output-Calculation-sheet'!#REF!</f>
        <v>#REF!</v>
      </c>
      <c r="M115" s="2" t="e">
        <f>M5/'Output-Calculation-sheet'!M4*'Output-Calculation-sheet'!#REF!</f>
        <v>#REF!</v>
      </c>
      <c r="N115" s="2" t="e">
        <f>N5/'Output-Calculation-sheet'!N4*'Output-Calculation-sheet'!#REF!</f>
        <v>#REF!</v>
      </c>
      <c r="O115" s="2" t="e">
        <f>O5/'Output-Calculation-sheet'!O4*'Output-Calculation-sheet'!#REF!</f>
        <v>#REF!</v>
      </c>
      <c r="P115" s="2" t="e">
        <f>P5/'Output-Calculation-sheet'!P4*'Output-Calculation-sheet'!#REF!</f>
        <v>#REF!</v>
      </c>
      <c r="Q115" s="2" t="e">
        <f>Q5/'Output-Calculation-sheet'!Q4*'Output-Calculation-sheet'!#REF!</f>
        <v>#REF!</v>
      </c>
      <c r="R115" s="2" t="e">
        <f>R5/'Output-Calculation-sheet'!R4*'Output-Calculation-sheet'!#REF!</f>
        <v>#REF!</v>
      </c>
      <c r="S115" s="2" t="e">
        <f>S5/'Output-Calculation-sheet'!S4*'Output-Calculation-sheet'!#REF!</f>
        <v>#REF!</v>
      </c>
      <c r="T115" s="2" t="e">
        <f>T5/'Output-Calculation-sheet'!T4*'Output-Calculation-sheet'!#REF!</f>
        <v>#REF!</v>
      </c>
      <c r="U115" s="2" t="e">
        <f>U5/'Output-Calculation-sheet'!U4*'Output-Calculation-sheet'!#REF!</f>
        <v>#REF!</v>
      </c>
      <c r="V115" s="2" t="e">
        <f>V5/'Output-Calculation-sheet'!V4*'Output-Calculation-sheet'!#REF!</f>
        <v>#REF!</v>
      </c>
      <c r="W115" s="2" t="e">
        <f>W5/'Output-Calculation-sheet'!W4*'Output-Calculation-sheet'!#REF!</f>
        <v>#REF!</v>
      </c>
      <c r="X115" s="2" t="e">
        <f>X5/'Output-Calculation-sheet'!X4*'Output-Calculation-sheet'!#REF!</f>
        <v>#REF!</v>
      </c>
      <c r="Y115" s="2" t="e">
        <f>Y5/'Output-Calculation-sheet'!Y4*'Output-Calculation-sheet'!#REF!</f>
        <v>#REF!</v>
      </c>
      <c r="AA115" s="2" t="e">
        <f>SUM(B115:Y115)/10^6</f>
        <v>#REF!</v>
      </c>
    </row>
    <row r="116" spans="1:27" x14ac:dyDescent="0.25">
      <c r="A116" s="2">
        <v>2029</v>
      </c>
      <c r="B116" s="2" t="e">
        <f>B6/'Output-Calculation-sheet'!B5*'Output-Calculation-sheet'!#REF!</f>
        <v>#REF!</v>
      </c>
      <c r="C116" s="2" t="e">
        <f>C6/'Output-Calculation-sheet'!C5*'Output-Calculation-sheet'!#REF!</f>
        <v>#REF!</v>
      </c>
      <c r="D116" s="2" t="e">
        <f>D6/'Output-Calculation-sheet'!D5*'Output-Calculation-sheet'!#REF!</f>
        <v>#REF!</v>
      </c>
      <c r="E116" s="2" t="e">
        <f>E6/'Output-Calculation-sheet'!E5*'Output-Calculation-sheet'!#REF!</f>
        <v>#REF!</v>
      </c>
      <c r="F116" s="2" t="e">
        <f>F6/'Output-Calculation-sheet'!F5*'Output-Calculation-sheet'!#REF!</f>
        <v>#REF!</v>
      </c>
      <c r="G116" s="2" t="e">
        <f>G6/'Output-Calculation-sheet'!G5*'Output-Calculation-sheet'!#REF!</f>
        <v>#REF!</v>
      </c>
      <c r="H116" s="2" t="e">
        <f>H6/'Output-Calculation-sheet'!H5*'Output-Calculation-sheet'!#REF!</f>
        <v>#REF!</v>
      </c>
      <c r="I116" s="2" t="e">
        <f>I6/'Output-Calculation-sheet'!I5*'Output-Calculation-sheet'!#REF!</f>
        <v>#REF!</v>
      </c>
      <c r="J116" s="2" t="e">
        <f>J6/'Output-Calculation-sheet'!J5*'Output-Calculation-sheet'!#REF!</f>
        <v>#REF!</v>
      </c>
      <c r="K116" s="2" t="e">
        <f>K6/'Output-Calculation-sheet'!K5*'Output-Calculation-sheet'!#REF!</f>
        <v>#REF!</v>
      </c>
      <c r="L116" s="2" t="e">
        <f>L6/'Output-Calculation-sheet'!L5*'Output-Calculation-sheet'!#REF!</f>
        <v>#REF!</v>
      </c>
      <c r="M116" s="2" t="e">
        <f>M6/'Output-Calculation-sheet'!M5*'Output-Calculation-sheet'!#REF!</f>
        <v>#REF!</v>
      </c>
      <c r="N116" s="2" t="e">
        <f>N6/'Output-Calculation-sheet'!N5*'Output-Calculation-sheet'!#REF!</f>
        <v>#REF!</v>
      </c>
      <c r="O116" s="2" t="e">
        <f>O6/'Output-Calculation-sheet'!O5*'Output-Calculation-sheet'!#REF!</f>
        <v>#REF!</v>
      </c>
      <c r="P116" s="2" t="e">
        <f>P6/'Output-Calculation-sheet'!P5*'Output-Calculation-sheet'!#REF!</f>
        <v>#REF!</v>
      </c>
      <c r="Q116" s="2" t="e">
        <f>Q6/'Output-Calculation-sheet'!Q5*'Output-Calculation-sheet'!#REF!</f>
        <v>#REF!</v>
      </c>
      <c r="R116" s="2" t="e">
        <f>R6/'Output-Calculation-sheet'!R5*'Output-Calculation-sheet'!#REF!</f>
        <v>#REF!</v>
      </c>
      <c r="S116" s="2" t="e">
        <f>S6/'Output-Calculation-sheet'!S5*'Output-Calculation-sheet'!#REF!</f>
        <v>#REF!</v>
      </c>
      <c r="T116" s="2" t="e">
        <f>T6/'Output-Calculation-sheet'!T5*'Output-Calculation-sheet'!#REF!</f>
        <v>#REF!</v>
      </c>
      <c r="U116" s="2" t="e">
        <f>U6/'Output-Calculation-sheet'!U5*'Output-Calculation-sheet'!#REF!</f>
        <v>#REF!</v>
      </c>
      <c r="V116" s="2" t="e">
        <f>V6/'Output-Calculation-sheet'!V5*'Output-Calculation-sheet'!#REF!</f>
        <v>#REF!</v>
      </c>
      <c r="W116" s="2" t="e">
        <f>W6/'Output-Calculation-sheet'!W5*'Output-Calculation-sheet'!#REF!</f>
        <v>#REF!</v>
      </c>
      <c r="X116" s="2" t="e">
        <f>X6/'Output-Calculation-sheet'!X5*'Output-Calculation-sheet'!#REF!</f>
        <v>#REF!</v>
      </c>
      <c r="Y116" s="2" t="e">
        <f>Y6/'Output-Calculation-sheet'!Y5*'Output-Calculation-sheet'!#REF!</f>
        <v>#REF!</v>
      </c>
      <c r="AA116" s="2" t="e">
        <f t="shared" ref="AA116:AA122" si="9">SUM(B116:Y116)/10^6</f>
        <v>#REF!</v>
      </c>
    </row>
    <row r="117" spans="1:27" x14ac:dyDescent="0.25">
      <c r="A117" s="2">
        <v>2030</v>
      </c>
      <c r="B117" s="2" t="e">
        <f>B7/'Output-Calculation-sheet'!B6*'Output-Calculation-sheet'!#REF!</f>
        <v>#REF!</v>
      </c>
      <c r="C117" s="2" t="e">
        <f>C7/'Output-Calculation-sheet'!C6*'Output-Calculation-sheet'!#REF!</f>
        <v>#REF!</v>
      </c>
      <c r="D117" s="2" t="e">
        <f>D7/'Output-Calculation-sheet'!D6*'Output-Calculation-sheet'!#REF!</f>
        <v>#REF!</v>
      </c>
      <c r="E117" s="2" t="e">
        <f>E7/'Output-Calculation-sheet'!E6*'Output-Calculation-sheet'!#REF!</f>
        <v>#REF!</v>
      </c>
      <c r="F117" s="2" t="e">
        <f>F7/'Output-Calculation-sheet'!F6*'Output-Calculation-sheet'!#REF!</f>
        <v>#REF!</v>
      </c>
      <c r="G117" s="2" t="e">
        <f>G7/'Output-Calculation-sheet'!G6*'Output-Calculation-sheet'!#REF!</f>
        <v>#REF!</v>
      </c>
      <c r="H117" s="2" t="e">
        <f>H7/'Output-Calculation-sheet'!H6*'Output-Calculation-sheet'!#REF!</f>
        <v>#REF!</v>
      </c>
      <c r="I117" s="2" t="e">
        <f>I7/'Output-Calculation-sheet'!I6*'Output-Calculation-sheet'!#REF!</f>
        <v>#REF!</v>
      </c>
      <c r="J117" s="2" t="e">
        <f>J7/'Output-Calculation-sheet'!J6*'Output-Calculation-sheet'!#REF!</f>
        <v>#REF!</v>
      </c>
      <c r="K117" s="2" t="e">
        <f>K7/'Output-Calculation-sheet'!K6*'Output-Calculation-sheet'!#REF!</f>
        <v>#REF!</v>
      </c>
      <c r="L117" s="2" t="e">
        <f>L7/'Output-Calculation-sheet'!L6*'Output-Calculation-sheet'!#REF!</f>
        <v>#REF!</v>
      </c>
      <c r="M117" s="2" t="e">
        <f>M7/'Output-Calculation-sheet'!M6*'Output-Calculation-sheet'!#REF!</f>
        <v>#REF!</v>
      </c>
      <c r="N117" s="2" t="e">
        <f>N7/'Output-Calculation-sheet'!N6*'Output-Calculation-sheet'!#REF!</f>
        <v>#REF!</v>
      </c>
      <c r="O117" s="2" t="e">
        <f>O7/'Output-Calculation-sheet'!O6*'Output-Calculation-sheet'!#REF!</f>
        <v>#REF!</v>
      </c>
      <c r="P117" s="2" t="e">
        <f>P7/'Output-Calculation-sheet'!P6*'Output-Calculation-sheet'!#REF!</f>
        <v>#REF!</v>
      </c>
      <c r="Q117" s="2" t="e">
        <f>Q7/'Output-Calculation-sheet'!Q6*'Output-Calculation-sheet'!#REF!</f>
        <v>#REF!</v>
      </c>
      <c r="R117" s="2" t="e">
        <f>R7/'Output-Calculation-sheet'!R6*'Output-Calculation-sheet'!#REF!</f>
        <v>#REF!</v>
      </c>
      <c r="S117" s="2" t="e">
        <f>S7/'Output-Calculation-sheet'!S6*'Output-Calculation-sheet'!#REF!</f>
        <v>#REF!</v>
      </c>
      <c r="T117" s="2" t="e">
        <f>T7/'Output-Calculation-sheet'!T6*'Output-Calculation-sheet'!#REF!</f>
        <v>#REF!</v>
      </c>
      <c r="U117" s="2" t="e">
        <f>U7/'Output-Calculation-sheet'!U6*'Output-Calculation-sheet'!#REF!</f>
        <v>#REF!</v>
      </c>
      <c r="V117" s="2" t="e">
        <f>V7/'Output-Calculation-sheet'!V6*'Output-Calculation-sheet'!#REF!</f>
        <v>#REF!</v>
      </c>
      <c r="W117" s="2" t="e">
        <f>W7/'Output-Calculation-sheet'!W6*'Output-Calculation-sheet'!#REF!</f>
        <v>#REF!</v>
      </c>
      <c r="X117" s="2" t="e">
        <f>X7/'Output-Calculation-sheet'!X6*'Output-Calculation-sheet'!#REF!</f>
        <v>#REF!</v>
      </c>
      <c r="Y117" s="2" t="e">
        <f>Y7/'Output-Calculation-sheet'!Y6*'Output-Calculation-sheet'!#REF!</f>
        <v>#REF!</v>
      </c>
      <c r="AA117" s="2" t="e">
        <f t="shared" si="9"/>
        <v>#REF!</v>
      </c>
    </row>
    <row r="118" spans="1:27" x14ac:dyDescent="0.25">
      <c r="A118" s="2">
        <v>2031</v>
      </c>
      <c r="B118" s="2" t="e">
        <f>B8/'Output-Calculation-sheet'!B7*'Output-Calculation-sheet'!#REF!</f>
        <v>#REF!</v>
      </c>
      <c r="C118" s="2" t="e">
        <f>C8/'Output-Calculation-sheet'!C7*'Output-Calculation-sheet'!#REF!</f>
        <v>#REF!</v>
      </c>
      <c r="D118" s="2" t="e">
        <f>D8/'Output-Calculation-sheet'!D7*'Output-Calculation-sheet'!#REF!</f>
        <v>#REF!</v>
      </c>
      <c r="E118" s="2" t="e">
        <f>E8/'Output-Calculation-sheet'!E7*'Output-Calculation-sheet'!#REF!</f>
        <v>#REF!</v>
      </c>
      <c r="F118" s="2" t="e">
        <f>F8/'Output-Calculation-sheet'!F7*'Output-Calculation-sheet'!#REF!</f>
        <v>#REF!</v>
      </c>
      <c r="G118" s="2" t="e">
        <f>G8/'Output-Calculation-sheet'!G7*'Output-Calculation-sheet'!#REF!</f>
        <v>#REF!</v>
      </c>
      <c r="H118" s="2" t="e">
        <f>H8/'Output-Calculation-sheet'!H7*'Output-Calculation-sheet'!#REF!</f>
        <v>#REF!</v>
      </c>
      <c r="I118" s="2" t="e">
        <f>I8/'Output-Calculation-sheet'!I7*'Output-Calculation-sheet'!#REF!</f>
        <v>#REF!</v>
      </c>
      <c r="J118" s="2" t="e">
        <f>J8/'Output-Calculation-sheet'!J7*'Output-Calculation-sheet'!#REF!</f>
        <v>#REF!</v>
      </c>
      <c r="K118" s="2" t="e">
        <f>K8/'Output-Calculation-sheet'!K7*'Output-Calculation-sheet'!#REF!</f>
        <v>#REF!</v>
      </c>
      <c r="L118" s="2" t="e">
        <f>L8/'Output-Calculation-sheet'!L7*'Output-Calculation-sheet'!#REF!</f>
        <v>#REF!</v>
      </c>
      <c r="M118" s="2" t="e">
        <f>M8/'Output-Calculation-sheet'!M7*'Output-Calculation-sheet'!#REF!</f>
        <v>#REF!</v>
      </c>
      <c r="N118" s="2" t="e">
        <f>N8/'Output-Calculation-sheet'!N7*'Output-Calculation-sheet'!#REF!</f>
        <v>#REF!</v>
      </c>
      <c r="O118" s="2" t="e">
        <f>O8/'Output-Calculation-sheet'!O7*'Output-Calculation-sheet'!#REF!</f>
        <v>#REF!</v>
      </c>
      <c r="P118" s="2" t="e">
        <f>P8/'Output-Calculation-sheet'!P7*'Output-Calculation-sheet'!#REF!</f>
        <v>#REF!</v>
      </c>
      <c r="Q118" s="2" t="e">
        <f>Q8/'Output-Calculation-sheet'!Q7*'Output-Calculation-sheet'!#REF!</f>
        <v>#REF!</v>
      </c>
      <c r="R118" s="2" t="e">
        <f>R8/'Output-Calculation-sheet'!R7*'Output-Calculation-sheet'!#REF!</f>
        <v>#REF!</v>
      </c>
      <c r="S118" s="2" t="e">
        <f>S8/'Output-Calculation-sheet'!S7*'Output-Calculation-sheet'!#REF!</f>
        <v>#REF!</v>
      </c>
      <c r="T118" s="2" t="e">
        <f>T8/'Output-Calculation-sheet'!T7*'Output-Calculation-sheet'!#REF!</f>
        <v>#REF!</v>
      </c>
      <c r="U118" s="2" t="e">
        <f>U8/'Output-Calculation-sheet'!U7*'Output-Calculation-sheet'!#REF!</f>
        <v>#REF!</v>
      </c>
      <c r="V118" s="2" t="e">
        <f>V8/'Output-Calculation-sheet'!V7*'Output-Calculation-sheet'!#REF!</f>
        <v>#REF!</v>
      </c>
      <c r="W118" s="2" t="e">
        <f>W8/'Output-Calculation-sheet'!W7*'Output-Calculation-sheet'!#REF!</f>
        <v>#REF!</v>
      </c>
      <c r="X118" s="2" t="e">
        <f>X8/'Output-Calculation-sheet'!X7*'Output-Calculation-sheet'!#REF!</f>
        <v>#REF!</v>
      </c>
      <c r="Y118" s="2" t="e">
        <f>Y8/'Output-Calculation-sheet'!Y7*'Output-Calculation-sheet'!#REF!</f>
        <v>#REF!</v>
      </c>
      <c r="AA118" s="2" t="e">
        <f t="shared" si="9"/>
        <v>#REF!</v>
      </c>
    </row>
    <row r="119" spans="1:27" x14ac:dyDescent="0.25">
      <c r="A119" s="2">
        <v>2032</v>
      </c>
      <c r="B119" s="2" t="e">
        <f>B9/'Output-Calculation-sheet'!B8*'Output-Calculation-sheet'!#REF!</f>
        <v>#REF!</v>
      </c>
      <c r="C119" s="2" t="e">
        <f>C9/'Output-Calculation-sheet'!C8*'Output-Calculation-sheet'!#REF!</f>
        <v>#REF!</v>
      </c>
      <c r="D119" s="2" t="e">
        <f>D9/'Output-Calculation-sheet'!D8*'Output-Calculation-sheet'!#REF!</f>
        <v>#REF!</v>
      </c>
      <c r="E119" s="2" t="e">
        <f>E9/'Output-Calculation-sheet'!E8*'Output-Calculation-sheet'!#REF!</f>
        <v>#REF!</v>
      </c>
      <c r="F119" s="2" t="e">
        <f>F9/'Output-Calculation-sheet'!F8*'Output-Calculation-sheet'!#REF!</f>
        <v>#REF!</v>
      </c>
      <c r="G119" s="2" t="e">
        <f>G9/'Output-Calculation-sheet'!G8*'Output-Calculation-sheet'!#REF!</f>
        <v>#REF!</v>
      </c>
      <c r="H119" s="2" t="e">
        <f>H9/'Output-Calculation-sheet'!H8*'Output-Calculation-sheet'!#REF!</f>
        <v>#REF!</v>
      </c>
      <c r="I119" s="2" t="e">
        <f>I9/'Output-Calculation-sheet'!I8*'Output-Calculation-sheet'!#REF!</f>
        <v>#REF!</v>
      </c>
      <c r="J119" s="2" t="e">
        <f>J9/'Output-Calculation-sheet'!J8*'Output-Calculation-sheet'!#REF!</f>
        <v>#REF!</v>
      </c>
      <c r="K119" s="2" t="e">
        <f>K9/'Output-Calculation-sheet'!K8*'Output-Calculation-sheet'!#REF!</f>
        <v>#REF!</v>
      </c>
      <c r="L119" s="2" t="e">
        <f>L9/'Output-Calculation-sheet'!L8*'Output-Calculation-sheet'!#REF!</f>
        <v>#REF!</v>
      </c>
      <c r="M119" s="2" t="e">
        <f>M9/'Output-Calculation-sheet'!M8*'Output-Calculation-sheet'!#REF!</f>
        <v>#REF!</v>
      </c>
      <c r="N119" s="2" t="e">
        <f>N9/'Output-Calculation-sheet'!N8*'Output-Calculation-sheet'!#REF!</f>
        <v>#REF!</v>
      </c>
      <c r="O119" s="2" t="e">
        <f>O9/'Output-Calculation-sheet'!O8*'Output-Calculation-sheet'!#REF!</f>
        <v>#REF!</v>
      </c>
      <c r="P119" s="2" t="e">
        <f>P9/'Output-Calculation-sheet'!P8*'Output-Calculation-sheet'!#REF!</f>
        <v>#REF!</v>
      </c>
      <c r="Q119" s="2" t="e">
        <f>Q9/'Output-Calculation-sheet'!Q8*'Output-Calculation-sheet'!#REF!</f>
        <v>#REF!</v>
      </c>
      <c r="R119" s="2" t="e">
        <f>R9/'Output-Calculation-sheet'!R8*'Output-Calculation-sheet'!#REF!</f>
        <v>#REF!</v>
      </c>
      <c r="S119" s="2" t="e">
        <f>S9/'Output-Calculation-sheet'!S8*'Output-Calculation-sheet'!#REF!</f>
        <v>#REF!</v>
      </c>
      <c r="T119" s="2" t="e">
        <f>T9/'Output-Calculation-sheet'!T8*'Output-Calculation-sheet'!#REF!</f>
        <v>#REF!</v>
      </c>
      <c r="U119" s="2" t="e">
        <f>U9/'Output-Calculation-sheet'!U8*'Output-Calculation-sheet'!#REF!</f>
        <v>#REF!</v>
      </c>
      <c r="V119" s="2" t="e">
        <f>V9/'Output-Calculation-sheet'!V8*'Output-Calculation-sheet'!#REF!</f>
        <v>#REF!</v>
      </c>
      <c r="W119" s="2" t="e">
        <f>W9/'Output-Calculation-sheet'!W8*'Output-Calculation-sheet'!#REF!</f>
        <v>#REF!</v>
      </c>
      <c r="X119" s="2" t="e">
        <f>X9/'Output-Calculation-sheet'!X8*'Output-Calculation-sheet'!#REF!</f>
        <v>#REF!</v>
      </c>
      <c r="Y119" s="2" t="e">
        <f>Y9/'Output-Calculation-sheet'!Y8*'Output-Calculation-sheet'!#REF!</f>
        <v>#REF!</v>
      </c>
      <c r="AA119" s="2" t="e">
        <f t="shared" si="9"/>
        <v>#REF!</v>
      </c>
    </row>
    <row r="120" spans="1:27" x14ac:dyDescent="0.25">
      <c r="A120" s="2">
        <v>2033</v>
      </c>
      <c r="B120" s="2" t="e">
        <f>B10/'Output-Calculation-sheet'!B9*'Output-Calculation-sheet'!#REF!</f>
        <v>#REF!</v>
      </c>
      <c r="C120" s="2" t="e">
        <f>C10/'Output-Calculation-sheet'!C9*'Output-Calculation-sheet'!#REF!</f>
        <v>#REF!</v>
      </c>
      <c r="D120" s="2" t="e">
        <f>D10/'Output-Calculation-sheet'!D9*'Output-Calculation-sheet'!#REF!</f>
        <v>#REF!</v>
      </c>
      <c r="E120" s="2" t="e">
        <f>E10/'Output-Calculation-sheet'!E9*'Output-Calculation-sheet'!#REF!</f>
        <v>#REF!</v>
      </c>
      <c r="F120" s="2" t="e">
        <f>F10/'Output-Calculation-sheet'!F9*'Output-Calculation-sheet'!#REF!</f>
        <v>#REF!</v>
      </c>
      <c r="G120" s="2" t="e">
        <f>G10/'Output-Calculation-sheet'!G9*'Output-Calculation-sheet'!#REF!</f>
        <v>#REF!</v>
      </c>
      <c r="H120" s="2" t="e">
        <f>H10/'Output-Calculation-sheet'!H9*'Output-Calculation-sheet'!#REF!</f>
        <v>#REF!</v>
      </c>
      <c r="I120" s="2" t="e">
        <f>I10/'Output-Calculation-sheet'!I9*'Output-Calculation-sheet'!#REF!</f>
        <v>#REF!</v>
      </c>
      <c r="J120" s="2" t="e">
        <f>J10/'Output-Calculation-sheet'!J9*'Output-Calculation-sheet'!#REF!</f>
        <v>#REF!</v>
      </c>
      <c r="K120" s="2" t="e">
        <f>K10/'Output-Calculation-sheet'!K9*'Output-Calculation-sheet'!#REF!</f>
        <v>#REF!</v>
      </c>
      <c r="L120" s="2" t="e">
        <f>L10/'Output-Calculation-sheet'!L9*'Output-Calculation-sheet'!#REF!</f>
        <v>#REF!</v>
      </c>
      <c r="M120" s="2" t="e">
        <f>M10/'Output-Calculation-sheet'!M9*'Output-Calculation-sheet'!#REF!</f>
        <v>#REF!</v>
      </c>
      <c r="N120" s="2" t="e">
        <f>N10/'Output-Calculation-sheet'!N9*'Output-Calculation-sheet'!#REF!</f>
        <v>#REF!</v>
      </c>
      <c r="O120" s="2" t="e">
        <f>O10/'Output-Calculation-sheet'!O9*'Output-Calculation-sheet'!#REF!</f>
        <v>#REF!</v>
      </c>
      <c r="P120" s="2" t="e">
        <f>P10/'Output-Calculation-sheet'!P9*'Output-Calculation-sheet'!#REF!</f>
        <v>#REF!</v>
      </c>
      <c r="Q120" s="2" t="e">
        <f>Q10/'Output-Calculation-sheet'!Q9*'Output-Calculation-sheet'!#REF!</f>
        <v>#REF!</v>
      </c>
      <c r="R120" s="2" t="e">
        <f>R10/'Output-Calculation-sheet'!R9*'Output-Calculation-sheet'!#REF!</f>
        <v>#REF!</v>
      </c>
      <c r="S120" s="2" t="e">
        <f>S10/'Output-Calculation-sheet'!S9*'Output-Calculation-sheet'!#REF!</f>
        <v>#REF!</v>
      </c>
      <c r="T120" s="2" t="e">
        <f>T10/'Output-Calculation-sheet'!T9*'Output-Calculation-sheet'!#REF!</f>
        <v>#REF!</v>
      </c>
      <c r="U120" s="2" t="e">
        <f>U10/'Output-Calculation-sheet'!U9*'Output-Calculation-sheet'!#REF!</f>
        <v>#REF!</v>
      </c>
      <c r="V120" s="2" t="e">
        <f>V10/'Output-Calculation-sheet'!V9*'Output-Calculation-sheet'!#REF!</f>
        <v>#REF!</v>
      </c>
      <c r="W120" s="2" t="e">
        <f>W10/'Output-Calculation-sheet'!W9*'Output-Calculation-sheet'!#REF!</f>
        <v>#REF!</v>
      </c>
      <c r="X120" s="2" t="e">
        <f>X10/'Output-Calculation-sheet'!X9*'Output-Calculation-sheet'!#REF!</f>
        <v>#REF!</v>
      </c>
      <c r="Y120" s="2" t="e">
        <f>Y10/'Output-Calculation-sheet'!Y9*'Output-Calculation-sheet'!#REF!</f>
        <v>#REF!</v>
      </c>
      <c r="AA120" s="2" t="e">
        <f t="shared" si="9"/>
        <v>#REF!</v>
      </c>
    </row>
    <row r="121" spans="1:27" x14ac:dyDescent="0.25">
      <c r="A121" s="2">
        <v>2034</v>
      </c>
      <c r="B121" s="2" t="e">
        <f>B11/'Output-Calculation-sheet'!B10*'Output-Calculation-sheet'!#REF!</f>
        <v>#REF!</v>
      </c>
      <c r="C121" s="2" t="e">
        <f>C11/'Output-Calculation-sheet'!C10*'Output-Calculation-sheet'!#REF!</f>
        <v>#REF!</v>
      </c>
      <c r="D121" s="2" t="e">
        <f>D11/'Output-Calculation-sheet'!D10*'Output-Calculation-sheet'!#REF!</f>
        <v>#REF!</v>
      </c>
      <c r="E121" s="2" t="e">
        <f>E11/'Output-Calculation-sheet'!E10*'Output-Calculation-sheet'!#REF!</f>
        <v>#REF!</v>
      </c>
      <c r="F121" s="2" t="e">
        <f>F11/'Output-Calculation-sheet'!F10*'Output-Calculation-sheet'!#REF!</f>
        <v>#REF!</v>
      </c>
      <c r="G121" s="2" t="e">
        <f>G11/'Output-Calculation-sheet'!G10*'Output-Calculation-sheet'!#REF!</f>
        <v>#REF!</v>
      </c>
      <c r="H121" s="2" t="e">
        <f>H11/'Output-Calculation-sheet'!H10*'Output-Calculation-sheet'!#REF!</f>
        <v>#REF!</v>
      </c>
      <c r="I121" s="2" t="e">
        <f>I11/'Output-Calculation-sheet'!I10*'Output-Calculation-sheet'!#REF!</f>
        <v>#REF!</v>
      </c>
      <c r="J121" s="2" t="e">
        <f>J11/'Output-Calculation-sheet'!J10*'Output-Calculation-sheet'!#REF!</f>
        <v>#REF!</v>
      </c>
      <c r="K121" s="2" t="e">
        <f>K11/'Output-Calculation-sheet'!K10*'Output-Calculation-sheet'!#REF!</f>
        <v>#REF!</v>
      </c>
      <c r="L121" s="2" t="e">
        <f>L11/'Output-Calculation-sheet'!L10*'Output-Calculation-sheet'!#REF!</f>
        <v>#REF!</v>
      </c>
      <c r="M121" s="2" t="e">
        <f>M11/'Output-Calculation-sheet'!M10*'Output-Calculation-sheet'!#REF!</f>
        <v>#REF!</v>
      </c>
      <c r="N121" s="2" t="e">
        <f>N11/'Output-Calculation-sheet'!N10*'Output-Calculation-sheet'!#REF!</f>
        <v>#REF!</v>
      </c>
      <c r="O121" s="2" t="e">
        <f>O11/'Output-Calculation-sheet'!O10*'Output-Calculation-sheet'!#REF!</f>
        <v>#REF!</v>
      </c>
      <c r="P121" s="2" t="e">
        <f>P11/'Output-Calculation-sheet'!P10*'Output-Calculation-sheet'!#REF!</f>
        <v>#REF!</v>
      </c>
      <c r="Q121" s="2" t="e">
        <f>Q11/'Output-Calculation-sheet'!Q10*'Output-Calculation-sheet'!#REF!</f>
        <v>#REF!</v>
      </c>
      <c r="R121" s="2" t="e">
        <f>R11/'Output-Calculation-sheet'!R10*'Output-Calculation-sheet'!#REF!</f>
        <v>#REF!</v>
      </c>
      <c r="S121" s="2" t="e">
        <f>S11/'Output-Calculation-sheet'!S10*'Output-Calculation-sheet'!#REF!</f>
        <v>#REF!</v>
      </c>
      <c r="T121" s="2" t="e">
        <f>T11/'Output-Calculation-sheet'!T10*'Output-Calculation-sheet'!#REF!</f>
        <v>#REF!</v>
      </c>
      <c r="U121" s="2" t="e">
        <f>U11/'Output-Calculation-sheet'!U10*'Output-Calculation-sheet'!#REF!</f>
        <v>#REF!</v>
      </c>
      <c r="V121" s="2" t="e">
        <f>V11/'Output-Calculation-sheet'!V10*'Output-Calculation-sheet'!#REF!</f>
        <v>#REF!</v>
      </c>
      <c r="W121" s="2" t="e">
        <f>W11/'Output-Calculation-sheet'!W10*'Output-Calculation-sheet'!#REF!</f>
        <v>#REF!</v>
      </c>
      <c r="X121" s="2" t="e">
        <f>X11/'Output-Calculation-sheet'!X10*'Output-Calculation-sheet'!#REF!</f>
        <v>#REF!</v>
      </c>
      <c r="Y121" s="2" t="e">
        <f>Y11/'Output-Calculation-sheet'!Y10*'Output-Calculation-sheet'!#REF!</f>
        <v>#REF!</v>
      </c>
      <c r="AA121" s="2" t="e">
        <f t="shared" si="9"/>
        <v>#REF!</v>
      </c>
    </row>
    <row r="122" spans="1:27" x14ac:dyDescent="0.25">
      <c r="A122" s="2">
        <v>2035</v>
      </c>
      <c r="B122" s="2" t="e">
        <f>B12/'Output-Calculation-sheet'!B11*'Output-Calculation-sheet'!#REF!</f>
        <v>#REF!</v>
      </c>
      <c r="C122" s="2" t="e">
        <f>C12/'Output-Calculation-sheet'!C11*'Output-Calculation-sheet'!#REF!</f>
        <v>#REF!</v>
      </c>
      <c r="D122" s="2" t="e">
        <f>D12/'Output-Calculation-sheet'!D11*'Output-Calculation-sheet'!#REF!</f>
        <v>#REF!</v>
      </c>
      <c r="E122" s="2" t="e">
        <f>E12/'Output-Calculation-sheet'!E11*'Output-Calculation-sheet'!#REF!</f>
        <v>#REF!</v>
      </c>
      <c r="F122" s="2" t="e">
        <f>F12/'Output-Calculation-sheet'!F11*'Output-Calculation-sheet'!#REF!</f>
        <v>#REF!</v>
      </c>
      <c r="G122" s="2" t="e">
        <f>G12/'Output-Calculation-sheet'!G11*'Output-Calculation-sheet'!#REF!</f>
        <v>#REF!</v>
      </c>
      <c r="H122" s="2" t="e">
        <f>H12/'Output-Calculation-sheet'!H11*'Output-Calculation-sheet'!#REF!</f>
        <v>#REF!</v>
      </c>
      <c r="I122" s="2" t="e">
        <f>I12/'Output-Calculation-sheet'!I11*'Output-Calculation-sheet'!#REF!</f>
        <v>#REF!</v>
      </c>
      <c r="J122" s="2" t="e">
        <f>J12/'Output-Calculation-sheet'!J11*'Output-Calculation-sheet'!#REF!</f>
        <v>#REF!</v>
      </c>
      <c r="K122" s="2" t="e">
        <f>K12/'Output-Calculation-sheet'!K11*'Output-Calculation-sheet'!#REF!</f>
        <v>#REF!</v>
      </c>
      <c r="L122" s="2" t="e">
        <f>L12/'Output-Calculation-sheet'!L11*'Output-Calculation-sheet'!#REF!</f>
        <v>#REF!</v>
      </c>
      <c r="M122" s="2" t="e">
        <f>M12/'Output-Calculation-sheet'!M11*'Output-Calculation-sheet'!#REF!</f>
        <v>#REF!</v>
      </c>
      <c r="N122" s="2" t="e">
        <f>N12/'Output-Calculation-sheet'!N11*'Output-Calculation-sheet'!#REF!</f>
        <v>#REF!</v>
      </c>
      <c r="O122" s="2" t="e">
        <f>O12/'Output-Calculation-sheet'!O11*'Output-Calculation-sheet'!#REF!</f>
        <v>#REF!</v>
      </c>
      <c r="P122" s="2" t="e">
        <f>P12/'Output-Calculation-sheet'!P11*'Output-Calculation-sheet'!#REF!</f>
        <v>#REF!</v>
      </c>
      <c r="Q122" s="2" t="e">
        <f>Q12/'Output-Calculation-sheet'!Q11*'Output-Calculation-sheet'!#REF!</f>
        <v>#REF!</v>
      </c>
      <c r="R122" s="2" t="e">
        <f>R12/'Output-Calculation-sheet'!R11*'Output-Calculation-sheet'!#REF!</f>
        <v>#REF!</v>
      </c>
      <c r="S122" s="2" t="e">
        <f>S12/'Output-Calculation-sheet'!S11*'Output-Calculation-sheet'!#REF!</f>
        <v>#REF!</v>
      </c>
      <c r="T122" s="2" t="e">
        <f>T12/'Output-Calculation-sheet'!T11*'Output-Calculation-sheet'!#REF!</f>
        <v>#REF!</v>
      </c>
      <c r="U122" s="2" t="e">
        <f>U12/'Output-Calculation-sheet'!U11*'Output-Calculation-sheet'!#REF!</f>
        <v>#REF!</v>
      </c>
      <c r="V122" s="2" t="e">
        <f>V12/'Output-Calculation-sheet'!V11*'Output-Calculation-sheet'!#REF!</f>
        <v>#REF!</v>
      </c>
      <c r="W122" s="2" t="e">
        <f>W12/'Output-Calculation-sheet'!W11*'Output-Calculation-sheet'!#REF!</f>
        <v>#REF!</v>
      </c>
      <c r="X122" s="2" t="e">
        <f>X12/'Output-Calculation-sheet'!X11*'Output-Calculation-sheet'!#REF!</f>
        <v>#REF!</v>
      </c>
      <c r="Y122" s="2" t="e">
        <f>Y12/'Output-Calculation-sheet'!Y11*'Output-Calculation-sheet'!#REF!</f>
        <v>#REF!</v>
      </c>
      <c r="AA122" s="2" t="e">
        <f t="shared" si="9"/>
        <v>#REF!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B5/'Output-Calculation-sheet'!B4*'Output-Calculation-sheet'!#REF!</f>
        <v>#REF!</v>
      </c>
      <c r="C126" s="2" t="e">
        <f>C5/'Output-Calculation-sheet'!C4*'Output-Calculation-sheet'!#REF!</f>
        <v>#REF!</v>
      </c>
      <c r="D126" s="2" t="e">
        <f>D5/'Output-Calculation-sheet'!D4*'Output-Calculation-sheet'!#REF!</f>
        <v>#REF!</v>
      </c>
      <c r="E126" s="2" t="e">
        <f>E5/'Output-Calculation-sheet'!E4*'Output-Calculation-sheet'!#REF!</f>
        <v>#REF!</v>
      </c>
      <c r="F126" s="2" t="e">
        <f>F5/'Output-Calculation-sheet'!F4*'Output-Calculation-sheet'!#REF!</f>
        <v>#REF!</v>
      </c>
      <c r="G126" s="2" t="e">
        <f>G5/'Output-Calculation-sheet'!G4*'Output-Calculation-sheet'!#REF!</f>
        <v>#REF!</v>
      </c>
      <c r="H126" s="2" t="e">
        <f>H5/'Output-Calculation-sheet'!H4*'Output-Calculation-sheet'!#REF!</f>
        <v>#REF!</v>
      </c>
      <c r="I126" s="2" t="e">
        <f>I5/'Output-Calculation-sheet'!I4*'Output-Calculation-sheet'!#REF!</f>
        <v>#REF!</v>
      </c>
      <c r="J126" s="2" t="e">
        <f>J5/'Output-Calculation-sheet'!J4*'Output-Calculation-sheet'!#REF!</f>
        <v>#REF!</v>
      </c>
      <c r="K126" s="2" t="e">
        <f>K5/'Output-Calculation-sheet'!K4*'Output-Calculation-sheet'!#REF!</f>
        <v>#REF!</v>
      </c>
      <c r="L126" s="2" t="e">
        <f>L5/'Output-Calculation-sheet'!L4*'Output-Calculation-sheet'!#REF!</f>
        <v>#REF!</v>
      </c>
      <c r="M126" s="2" t="e">
        <f>M5/'Output-Calculation-sheet'!M4*'Output-Calculation-sheet'!#REF!</f>
        <v>#REF!</v>
      </c>
      <c r="N126" s="2" t="e">
        <f>N5/'Output-Calculation-sheet'!N4*'Output-Calculation-sheet'!#REF!</f>
        <v>#REF!</v>
      </c>
      <c r="O126" s="2" t="e">
        <f>O5/'Output-Calculation-sheet'!O4*'Output-Calculation-sheet'!#REF!</f>
        <v>#REF!</v>
      </c>
      <c r="P126" s="2" t="e">
        <f>P5/'Output-Calculation-sheet'!P4*'Output-Calculation-sheet'!#REF!</f>
        <v>#REF!</v>
      </c>
      <c r="Q126" s="2" t="e">
        <f>Q5/'Output-Calculation-sheet'!Q4*'Output-Calculation-sheet'!#REF!</f>
        <v>#REF!</v>
      </c>
      <c r="R126" s="2" t="e">
        <f>R5/'Output-Calculation-sheet'!R4*'Output-Calculation-sheet'!#REF!</f>
        <v>#REF!</v>
      </c>
      <c r="S126" s="2" t="e">
        <f>S5/'Output-Calculation-sheet'!S4*'Output-Calculation-sheet'!#REF!</f>
        <v>#REF!</v>
      </c>
      <c r="T126" s="2" t="e">
        <f>T5/'Output-Calculation-sheet'!T4*'Output-Calculation-sheet'!#REF!</f>
        <v>#REF!</v>
      </c>
      <c r="U126" s="2" t="e">
        <f>U5/'Output-Calculation-sheet'!U4*'Output-Calculation-sheet'!#REF!</f>
        <v>#REF!</v>
      </c>
      <c r="V126" s="2" t="e">
        <f>V5/'Output-Calculation-sheet'!V4*'Output-Calculation-sheet'!#REF!</f>
        <v>#REF!</v>
      </c>
      <c r="W126" s="2" t="e">
        <f>W5/'Output-Calculation-sheet'!W4*'Output-Calculation-sheet'!#REF!</f>
        <v>#REF!</v>
      </c>
      <c r="X126" s="2" t="e">
        <f>X5/'Output-Calculation-sheet'!X4*'Output-Calculation-sheet'!#REF!</f>
        <v>#REF!</v>
      </c>
      <c r="Y126" s="2" t="e">
        <f>Y5/'Output-Calculation-sheet'!Y4*'Output-Calculation-sheet'!#REF!</f>
        <v>#REF!</v>
      </c>
      <c r="AA126" s="2" t="e">
        <f>SUM(B126:Y126)/10^6</f>
        <v>#REF!</v>
      </c>
    </row>
    <row r="127" spans="1:27" x14ac:dyDescent="0.25">
      <c r="A127" s="2">
        <v>2029</v>
      </c>
      <c r="B127" s="2" t="e">
        <f>B6/'Output-Calculation-sheet'!B5*'Output-Calculation-sheet'!#REF!</f>
        <v>#REF!</v>
      </c>
      <c r="C127" s="2" t="e">
        <f>C6/'Output-Calculation-sheet'!C5*'Output-Calculation-sheet'!#REF!</f>
        <v>#REF!</v>
      </c>
      <c r="D127" s="2" t="e">
        <f>D6/'Output-Calculation-sheet'!D5*'Output-Calculation-sheet'!#REF!</f>
        <v>#REF!</v>
      </c>
      <c r="E127" s="2" t="e">
        <f>E6/'Output-Calculation-sheet'!E5*'Output-Calculation-sheet'!#REF!</f>
        <v>#REF!</v>
      </c>
      <c r="F127" s="2" t="e">
        <f>F6/'Output-Calculation-sheet'!F5*'Output-Calculation-sheet'!#REF!</f>
        <v>#REF!</v>
      </c>
      <c r="G127" s="2" t="e">
        <f>G6/'Output-Calculation-sheet'!G5*'Output-Calculation-sheet'!#REF!</f>
        <v>#REF!</v>
      </c>
      <c r="H127" s="2" t="e">
        <f>H6/'Output-Calculation-sheet'!H5*'Output-Calculation-sheet'!#REF!</f>
        <v>#REF!</v>
      </c>
      <c r="I127" s="2" t="e">
        <f>I6/'Output-Calculation-sheet'!I5*'Output-Calculation-sheet'!#REF!</f>
        <v>#REF!</v>
      </c>
      <c r="J127" s="2" t="e">
        <f>J6/'Output-Calculation-sheet'!J5*'Output-Calculation-sheet'!#REF!</f>
        <v>#REF!</v>
      </c>
      <c r="K127" s="2" t="e">
        <f>K6/'Output-Calculation-sheet'!K5*'Output-Calculation-sheet'!#REF!</f>
        <v>#REF!</v>
      </c>
      <c r="L127" s="2" t="e">
        <f>L6/'Output-Calculation-sheet'!L5*'Output-Calculation-sheet'!#REF!</f>
        <v>#REF!</v>
      </c>
      <c r="M127" s="2" t="e">
        <f>M6/'Output-Calculation-sheet'!M5*'Output-Calculation-sheet'!#REF!</f>
        <v>#REF!</v>
      </c>
      <c r="N127" s="2" t="e">
        <f>N6/'Output-Calculation-sheet'!N5*'Output-Calculation-sheet'!#REF!</f>
        <v>#REF!</v>
      </c>
      <c r="O127" s="2" t="e">
        <f>O6/'Output-Calculation-sheet'!O5*'Output-Calculation-sheet'!#REF!</f>
        <v>#REF!</v>
      </c>
      <c r="P127" s="2" t="e">
        <f>P6/'Output-Calculation-sheet'!P5*'Output-Calculation-sheet'!#REF!</f>
        <v>#REF!</v>
      </c>
      <c r="Q127" s="2" t="e">
        <f>Q6/'Output-Calculation-sheet'!Q5*'Output-Calculation-sheet'!#REF!</f>
        <v>#REF!</v>
      </c>
      <c r="R127" s="2" t="e">
        <f>R6/'Output-Calculation-sheet'!R5*'Output-Calculation-sheet'!#REF!</f>
        <v>#REF!</v>
      </c>
      <c r="S127" s="2" t="e">
        <f>S6/'Output-Calculation-sheet'!S5*'Output-Calculation-sheet'!#REF!</f>
        <v>#REF!</v>
      </c>
      <c r="T127" s="2" t="e">
        <f>T6/'Output-Calculation-sheet'!T5*'Output-Calculation-sheet'!#REF!</f>
        <v>#REF!</v>
      </c>
      <c r="U127" s="2" t="e">
        <f>U6/'Output-Calculation-sheet'!U5*'Output-Calculation-sheet'!#REF!</f>
        <v>#REF!</v>
      </c>
      <c r="V127" s="2" t="e">
        <f>V6/'Output-Calculation-sheet'!V5*'Output-Calculation-sheet'!#REF!</f>
        <v>#REF!</v>
      </c>
      <c r="W127" s="2" t="e">
        <f>W6/'Output-Calculation-sheet'!W5*'Output-Calculation-sheet'!#REF!</f>
        <v>#REF!</v>
      </c>
      <c r="X127" s="2" t="e">
        <f>X6/'Output-Calculation-sheet'!X5*'Output-Calculation-sheet'!#REF!</f>
        <v>#REF!</v>
      </c>
      <c r="Y127" s="2" t="e">
        <f>Y6/'Output-Calculation-sheet'!Y5*'Output-Calculation-sheet'!#REF!</f>
        <v>#REF!</v>
      </c>
      <c r="AA127" s="2" t="e">
        <f t="shared" ref="AA127:AA133" si="10">SUM(B127:Y127)/10^6</f>
        <v>#REF!</v>
      </c>
    </row>
    <row r="128" spans="1:27" x14ac:dyDescent="0.25">
      <c r="A128" s="2">
        <v>2030</v>
      </c>
      <c r="B128" s="2" t="e">
        <f>B7/'Output-Calculation-sheet'!B6*'Output-Calculation-sheet'!#REF!</f>
        <v>#REF!</v>
      </c>
      <c r="C128" s="2" t="e">
        <f>C7/'Output-Calculation-sheet'!C6*'Output-Calculation-sheet'!#REF!</f>
        <v>#REF!</v>
      </c>
      <c r="D128" s="2" t="e">
        <f>D7/'Output-Calculation-sheet'!D6*'Output-Calculation-sheet'!#REF!</f>
        <v>#REF!</v>
      </c>
      <c r="E128" s="2" t="e">
        <f>E7/'Output-Calculation-sheet'!E6*'Output-Calculation-sheet'!#REF!</f>
        <v>#REF!</v>
      </c>
      <c r="F128" s="2" t="e">
        <f>F7/'Output-Calculation-sheet'!F6*'Output-Calculation-sheet'!#REF!</f>
        <v>#REF!</v>
      </c>
      <c r="G128" s="2" t="e">
        <f>G7/'Output-Calculation-sheet'!G6*'Output-Calculation-sheet'!#REF!</f>
        <v>#REF!</v>
      </c>
      <c r="H128" s="2" t="e">
        <f>H7/'Output-Calculation-sheet'!H6*'Output-Calculation-sheet'!#REF!</f>
        <v>#REF!</v>
      </c>
      <c r="I128" s="2" t="e">
        <f>I7/'Output-Calculation-sheet'!I6*'Output-Calculation-sheet'!#REF!</f>
        <v>#REF!</v>
      </c>
      <c r="J128" s="2" t="e">
        <f>J7/'Output-Calculation-sheet'!J6*'Output-Calculation-sheet'!#REF!</f>
        <v>#REF!</v>
      </c>
      <c r="K128" s="2" t="e">
        <f>K7/'Output-Calculation-sheet'!K6*'Output-Calculation-sheet'!#REF!</f>
        <v>#REF!</v>
      </c>
      <c r="L128" s="2" t="e">
        <f>L7/'Output-Calculation-sheet'!L6*'Output-Calculation-sheet'!#REF!</f>
        <v>#REF!</v>
      </c>
      <c r="M128" s="2" t="e">
        <f>M7/'Output-Calculation-sheet'!M6*'Output-Calculation-sheet'!#REF!</f>
        <v>#REF!</v>
      </c>
      <c r="N128" s="2" t="e">
        <f>N7/'Output-Calculation-sheet'!N6*'Output-Calculation-sheet'!#REF!</f>
        <v>#REF!</v>
      </c>
      <c r="O128" s="2" t="e">
        <f>O7/'Output-Calculation-sheet'!O6*'Output-Calculation-sheet'!#REF!</f>
        <v>#REF!</v>
      </c>
      <c r="P128" s="2" t="e">
        <f>P7/'Output-Calculation-sheet'!P6*'Output-Calculation-sheet'!#REF!</f>
        <v>#REF!</v>
      </c>
      <c r="Q128" s="2" t="e">
        <f>Q7/'Output-Calculation-sheet'!Q6*'Output-Calculation-sheet'!#REF!</f>
        <v>#REF!</v>
      </c>
      <c r="R128" s="2" t="e">
        <f>R7/'Output-Calculation-sheet'!R6*'Output-Calculation-sheet'!#REF!</f>
        <v>#REF!</v>
      </c>
      <c r="S128" s="2" t="e">
        <f>S7/'Output-Calculation-sheet'!S6*'Output-Calculation-sheet'!#REF!</f>
        <v>#REF!</v>
      </c>
      <c r="T128" s="2" t="e">
        <f>T7/'Output-Calculation-sheet'!T6*'Output-Calculation-sheet'!#REF!</f>
        <v>#REF!</v>
      </c>
      <c r="U128" s="2" t="e">
        <f>U7/'Output-Calculation-sheet'!U6*'Output-Calculation-sheet'!#REF!</f>
        <v>#REF!</v>
      </c>
      <c r="V128" s="2" t="e">
        <f>V7/'Output-Calculation-sheet'!V6*'Output-Calculation-sheet'!#REF!</f>
        <v>#REF!</v>
      </c>
      <c r="W128" s="2" t="e">
        <f>W7/'Output-Calculation-sheet'!W6*'Output-Calculation-sheet'!#REF!</f>
        <v>#REF!</v>
      </c>
      <c r="X128" s="2" t="e">
        <f>X7/'Output-Calculation-sheet'!X6*'Output-Calculation-sheet'!#REF!</f>
        <v>#REF!</v>
      </c>
      <c r="Y128" s="2" t="e">
        <f>Y7/'Output-Calculation-sheet'!Y6*'Output-Calculation-sheet'!#REF!</f>
        <v>#REF!</v>
      </c>
      <c r="AA128" s="2" t="e">
        <f t="shared" si="10"/>
        <v>#REF!</v>
      </c>
    </row>
    <row r="129" spans="1:27" x14ac:dyDescent="0.25">
      <c r="A129" s="2">
        <v>2031</v>
      </c>
      <c r="B129" s="2" t="e">
        <f>B8/'Output-Calculation-sheet'!B7*'Output-Calculation-sheet'!#REF!</f>
        <v>#REF!</v>
      </c>
      <c r="C129" s="2" t="e">
        <f>C8/'Output-Calculation-sheet'!C7*'Output-Calculation-sheet'!#REF!</f>
        <v>#REF!</v>
      </c>
      <c r="D129" s="2" t="e">
        <f>D8/'Output-Calculation-sheet'!D7*'Output-Calculation-sheet'!#REF!</f>
        <v>#REF!</v>
      </c>
      <c r="E129" s="2" t="e">
        <f>E8/'Output-Calculation-sheet'!E7*'Output-Calculation-sheet'!#REF!</f>
        <v>#REF!</v>
      </c>
      <c r="F129" s="2" t="e">
        <f>F8/'Output-Calculation-sheet'!F7*'Output-Calculation-sheet'!#REF!</f>
        <v>#REF!</v>
      </c>
      <c r="G129" s="2" t="e">
        <f>G8/'Output-Calculation-sheet'!G7*'Output-Calculation-sheet'!#REF!</f>
        <v>#REF!</v>
      </c>
      <c r="H129" s="2" t="e">
        <f>H8/'Output-Calculation-sheet'!H7*'Output-Calculation-sheet'!#REF!</f>
        <v>#REF!</v>
      </c>
      <c r="I129" s="2" t="e">
        <f>I8/'Output-Calculation-sheet'!I7*'Output-Calculation-sheet'!#REF!</f>
        <v>#REF!</v>
      </c>
      <c r="J129" s="2" t="e">
        <f>J8/'Output-Calculation-sheet'!J7*'Output-Calculation-sheet'!#REF!</f>
        <v>#REF!</v>
      </c>
      <c r="K129" s="2" t="e">
        <f>K8/'Output-Calculation-sheet'!K7*'Output-Calculation-sheet'!#REF!</f>
        <v>#REF!</v>
      </c>
      <c r="L129" s="2" t="e">
        <f>L8/'Output-Calculation-sheet'!L7*'Output-Calculation-sheet'!#REF!</f>
        <v>#REF!</v>
      </c>
      <c r="M129" s="2" t="e">
        <f>M8/'Output-Calculation-sheet'!M7*'Output-Calculation-sheet'!#REF!</f>
        <v>#REF!</v>
      </c>
      <c r="N129" s="2" t="e">
        <f>N8/'Output-Calculation-sheet'!N7*'Output-Calculation-sheet'!#REF!</f>
        <v>#REF!</v>
      </c>
      <c r="O129" s="2" t="e">
        <f>O8/'Output-Calculation-sheet'!O7*'Output-Calculation-sheet'!#REF!</f>
        <v>#REF!</v>
      </c>
      <c r="P129" s="2" t="e">
        <f>P8/'Output-Calculation-sheet'!P7*'Output-Calculation-sheet'!#REF!</f>
        <v>#REF!</v>
      </c>
      <c r="Q129" s="2" t="e">
        <f>Q8/'Output-Calculation-sheet'!Q7*'Output-Calculation-sheet'!#REF!</f>
        <v>#REF!</v>
      </c>
      <c r="R129" s="2" t="e">
        <f>R8/'Output-Calculation-sheet'!R7*'Output-Calculation-sheet'!#REF!</f>
        <v>#REF!</v>
      </c>
      <c r="S129" s="2" t="e">
        <f>S8/'Output-Calculation-sheet'!S7*'Output-Calculation-sheet'!#REF!</f>
        <v>#REF!</v>
      </c>
      <c r="T129" s="2" t="e">
        <f>T8/'Output-Calculation-sheet'!T7*'Output-Calculation-sheet'!#REF!</f>
        <v>#REF!</v>
      </c>
      <c r="U129" s="2" t="e">
        <f>U8/'Output-Calculation-sheet'!U7*'Output-Calculation-sheet'!#REF!</f>
        <v>#REF!</v>
      </c>
      <c r="V129" s="2" t="e">
        <f>V8/'Output-Calculation-sheet'!V7*'Output-Calculation-sheet'!#REF!</f>
        <v>#REF!</v>
      </c>
      <c r="W129" s="2" t="e">
        <f>W8/'Output-Calculation-sheet'!W7*'Output-Calculation-sheet'!#REF!</f>
        <v>#REF!</v>
      </c>
      <c r="X129" s="2" t="e">
        <f>X8/'Output-Calculation-sheet'!X7*'Output-Calculation-sheet'!#REF!</f>
        <v>#REF!</v>
      </c>
      <c r="Y129" s="2" t="e">
        <f>Y8/'Output-Calculation-sheet'!Y7*'Output-Calculation-sheet'!#REF!</f>
        <v>#REF!</v>
      </c>
      <c r="AA129" s="2" t="e">
        <f t="shared" si="10"/>
        <v>#REF!</v>
      </c>
    </row>
    <row r="130" spans="1:27" x14ac:dyDescent="0.25">
      <c r="A130" s="2">
        <v>2032</v>
      </c>
      <c r="B130" s="2" t="e">
        <f>B9/'Output-Calculation-sheet'!B8*'Output-Calculation-sheet'!#REF!</f>
        <v>#REF!</v>
      </c>
      <c r="C130" s="2" t="e">
        <f>C9/'Output-Calculation-sheet'!C8*'Output-Calculation-sheet'!#REF!</f>
        <v>#REF!</v>
      </c>
      <c r="D130" s="2" t="e">
        <f>D9/'Output-Calculation-sheet'!D8*'Output-Calculation-sheet'!#REF!</f>
        <v>#REF!</v>
      </c>
      <c r="E130" s="2" t="e">
        <f>E9/'Output-Calculation-sheet'!E8*'Output-Calculation-sheet'!#REF!</f>
        <v>#REF!</v>
      </c>
      <c r="F130" s="2" t="e">
        <f>F9/'Output-Calculation-sheet'!F8*'Output-Calculation-sheet'!#REF!</f>
        <v>#REF!</v>
      </c>
      <c r="G130" s="2" t="e">
        <f>G9/'Output-Calculation-sheet'!G8*'Output-Calculation-sheet'!#REF!</f>
        <v>#REF!</v>
      </c>
      <c r="H130" s="2" t="e">
        <f>H9/'Output-Calculation-sheet'!H8*'Output-Calculation-sheet'!#REF!</f>
        <v>#REF!</v>
      </c>
      <c r="I130" s="2" t="e">
        <f>I9/'Output-Calculation-sheet'!I8*'Output-Calculation-sheet'!#REF!</f>
        <v>#REF!</v>
      </c>
      <c r="J130" s="2" t="e">
        <f>J9/'Output-Calculation-sheet'!J8*'Output-Calculation-sheet'!#REF!</f>
        <v>#REF!</v>
      </c>
      <c r="K130" s="2" t="e">
        <f>K9/'Output-Calculation-sheet'!K8*'Output-Calculation-sheet'!#REF!</f>
        <v>#REF!</v>
      </c>
      <c r="L130" s="2" t="e">
        <f>L9/'Output-Calculation-sheet'!L8*'Output-Calculation-sheet'!#REF!</f>
        <v>#REF!</v>
      </c>
      <c r="M130" s="2" t="e">
        <f>M9/'Output-Calculation-sheet'!M8*'Output-Calculation-sheet'!#REF!</f>
        <v>#REF!</v>
      </c>
      <c r="N130" s="2" t="e">
        <f>N9/'Output-Calculation-sheet'!N8*'Output-Calculation-sheet'!#REF!</f>
        <v>#REF!</v>
      </c>
      <c r="O130" s="2" t="e">
        <f>O9/'Output-Calculation-sheet'!O8*'Output-Calculation-sheet'!#REF!</f>
        <v>#REF!</v>
      </c>
      <c r="P130" s="2" t="e">
        <f>P9/'Output-Calculation-sheet'!P8*'Output-Calculation-sheet'!#REF!</f>
        <v>#REF!</v>
      </c>
      <c r="Q130" s="2" t="e">
        <f>Q9/'Output-Calculation-sheet'!Q8*'Output-Calculation-sheet'!#REF!</f>
        <v>#REF!</v>
      </c>
      <c r="R130" s="2" t="e">
        <f>R9/'Output-Calculation-sheet'!R8*'Output-Calculation-sheet'!#REF!</f>
        <v>#REF!</v>
      </c>
      <c r="S130" s="2" t="e">
        <f>S9/'Output-Calculation-sheet'!S8*'Output-Calculation-sheet'!#REF!</f>
        <v>#REF!</v>
      </c>
      <c r="T130" s="2" t="e">
        <f>T9/'Output-Calculation-sheet'!T8*'Output-Calculation-sheet'!#REF!</f>
        <v>#REF!</v>
      </c>
      <c r="U130" s="2" t="e">
        <f>U9/'Output-Calculation-sheet'!U8*'Output-Calculation-sheet'!#REF!</f>
        <v>#REF!</v>
      </c>
      <c r="V130" s="2" t="e">
        <f>V9/'Output-Calculation-sheet'!V8*'Output-Calculation-sheet'!#REF!</f>
        <v>#REF!</v>
      </c>
      <c r="W130" s="2" t="e">
        <f>W9/'Output-Calculation-sheet'!W8*'Output-Calculation-sheet'!#REF!</f>
        <v>#REF!</v>
      </c>
      <c r="X130" s="2" t="e">
        <f>X9/'Output-Calculation-sheet'!X8*'Output-Calculation-sheet'!#REF!</f>
        <v>#REF!</v>
      </c>
      <c r="Y130" s="2" t="e">
        <f>Y9/'Output-Calculation-sheet'!Y8*'Output-Calculation-sheet'!#REF!</f>
        <v>#REF!</v>
      </c>
      <c r="AA130" s="2" t="e">
        <f t="shared" si="10"/>
        <v>#REF!</v>
      </c>
    </row>
    <row r="131" spans="1:27" x14ac:dyDescent="0.25">
      <c r="A131" s="2">
        <v>2033</v>
      </c>
      <c r="B131" s="2" t="e">
        <f>B10/'Output-Calculation-sheet'!B9*'Output-Calculation-sheet'!#REF!</f>
        <v>#REF!</v>
      </c>
      <c r="C131" s="2" t="e">
        <f>C10/'Output-Calculation-sheet'!C9*'Output-Calculation-sheet'!#REF!</f>
        <v>#REF!</v>
      </c>
      <c r="D131" s="2" t="e">
        <f>D10/'Output-Calculation-sheet'!D9*'Output-Calculation-sheet'!#REF!</f>
        <v>#REF!</v>
      </c>
      <c r="E131" s="2" t="e">
        <f>E10/'Output-Calculation-sheet'!E9*'Output-Calculation-sheet'!#REF!</f>
        <v>#REF!</v>
      </c>
      <c r="F131" s="2" t="e">
        <f>F10/'Output-Calculation-sheet'!F9*'Output-Calculation-sheet'!#REF!</f>
        <v>#REF!</v>
      </c>
      <c r="G131" s="2" t="e">
        <f>G10/'Output-Calculation-sheet'!G9*'Output-Calculation-sheet'!#REF!</f>
        <v>#REF!</v>
      </c>
      <c r="H131" s="2" t="e">
        <f>H10/'Output-Calculation-sheet'!H9*'Output-Calculation-sheet'!#REF!</f>
        <v>#REF!</v>
      </c>
      <c r="I131" s="2" t="e">
        <f>I10/'Output-Calculation-sheet'!I9*'Output-Calculation-sheet'!#REF!</f>
        <v>#REF!</v>
      </c>
      <c r="J131" s="2" t="e">
        <f>J10/'Output-Calculation-sheet'!J9*'Output-Calculation-sheet'!#REF!</f>
        <v>#REF!</v>
      </c>
      <c r="K131" s="2" t="e">
        <f>K10/'Output-Calculation-sheet'!K9*'Output-Calculation-sheet'!#REF!</f>
        <v>#REF!</v>
      </c>
      <c r="L131" s="2" t="e">
        <f>L10/'Output-Calculation-sheet'!L9*'Output-Calculation-sheet'!#REF!</f>
        <v>#REF!</v>
      </c>
      <c r="M131" s="2" t="e">
        <f>M10/'Output-Calculation-sheet'!M9*'Output-Calculation-sheet'!#REF!</f>
        <v>#REF!</v>
      </c>
      <c r="N131" s="2" t="e">
        <f>N10/'Output-Calculation-sheet'!N9*'Output-Calculation-sheet'!#REF!</f>
        <v>#REF!</v>
      </c>
      <c r="O131" s="2" t="e">
        <f>O10/'Output-Calculation-sheet'!O9*'Output-Calculation-sheet'!#REF!</f>
        <v>#REF!</v>
      </c>
      <c r="P131" s="2" t="e">
        <f>P10/'Output-Calculation-sheet'!P9*'Output-Calculation-sheet'!#REF!</f>
        <v>#REF!</v>
      </c>
      <c r="Q131" s="2" t="e">
        <f>Q10/'Output-Calculation-sheet'!Q9*'Output-Calculation-sheet'!#REF!</f>
        <v>#REF!</v>
      </c>
      <c r="R131" s="2" t="e">
        <f>R10/'Output-Calculation-sheet'!R9*'Output-Calculation-sheet'!#REF!</f>
        <v>#REF!</v>
      </c>
      <c r="S131" s="2" t="e">
        <f>S10/'Output-Calculation-sheet'!S9*'Output-Calculation-sheet'!#REF!</f>
        <v>#REF!</v>
      </c>
      <c r="T131" s="2" t="e">
        <f>T10/'Output-Calculation-sheet'!T9*'Output-Calculation-sheet'!#REF!</f>
        <v>#REF!</v>
      </c>
      <c r="U131" s="2" t="e">
        <f>U10/'Output-Calculation-sheet'!U9*'Output-Calculation-sheet'!#REF!</f>
        <v>#REF!</v>
      </c>
      <c r="V131" s="2" t="e">
        <f>V10/'Output-Calculation-sheet'!V9*'Output-Calculation-sheet'!#REF!</f>
        <v>#REF!</v>
      </c>
      <c r="W131" s="2" t="e">
        <f>W10/'Output-Calculation-sheet'!W9*'Output-Calculation-sheet'!#REF!</f>
        <v>#REF!</v>
      </c>
      <c r="X131" s="2" t="e">
        <f>X10/'Output-Calculation-sheet'!X9*'Output-Calculation-sheet'!#REF!</f>
        <v>#REF!</v>
      </c>
      <c r="Y131" s="2" t="e">
        <f>Y10/'Output-Calculation-sheet'!Y9*'Output-Calculation-sheet'!#REF!</f>
        <v>#REF!</v>
      </c>
      <c r="AA131" s="2" t="e">
        <f t="shared" si="10"/>
        <v>#REF!</v>
      </c>
    </row>
    <row r="132" spans="1:27" x14ac:dyDescent="0.25">
      <c r="A132" s="2">
        <v>2034</v>
      </c>
      <c r="B132" s="2" t="e">
        <f>B11/'Output-Calculation-sheet'!B10*'Output-Calculation-sheet'!#REF!</f>
        <v>#REF!</v>
      </c>
      <c r="C132" s="2" t="e">
        <f>C11/'Output-Calculation-sheet'!C10*'Output-Calculation-sheet'!#REF!</f>
        <v>#REF!</v>
      </c>
      <c r="D132" s="2" t="e">
        <f>D11/'Output-Calculation-sheet'!D10*'Output-Calculation-sheet'!#REF!</f>
        <v>#REF!</v>
      </c>
      <c r="E132" s="2" t="e">
        <f>E11/'Output-Calculation-sheet'!E10*'Output-Calculation-sheet'!#REF!</f>
        <v>#REF!</v>
      </c>
      <c r="F132" s="2" t="e">
        <f>F11/'Output-Calculation-sheet'!F10*'Output-Calculation-sheet'!#REF!</f>
        <v>#REF!</v>
      </c>
      <c r="G132" s="2" t="e">
        <f>G11/'Output-Calculation-sheet'!G10*'Output-Calculation-sheet'!#REF!</f>
        <v>#REF!</v>
      </c>
      <c r="H132" s="2" t="e">
        <f>H11/'Output-Calculation-sheet'!H10*'Output-Calculation-sheet'!#REF!</f>
        <v>#REF!</v>
      </c>
      <c r="I132" s="2" t="e">
        <f>I11/'Output-Calculation-sheet'!I10*'Output-Calculation-sheet'!#REF!</f>
        <v>#REF!</v>
      </c>
      <c r="J132" s="2" t="e">
        <f>J11/'Output-Calculation-sheet'!J10*'Output-Calculation-sheet'!#REF!</f>
        <v>#REF!</v>
      </c>
      <c r="K132" s="2" t="e">
        <f>K11/'Output-Calculation-sheet'!K10*'Output-Calculation-sheet'!#REF!</f>
        <v>#REF!</v>
      </c>
      <c r="L132" s="2" t="e">
        <f>L11/'Output-Calculation-sheet'!L10*'Output-Calculation-sheet'!#REF!</f>
        <v>#REF!</v>
      </c>
      <c r="M132" s="2" t="e">
        <f>M11/'Output-Calculation-sheet'!M10*'Output-Calculation-sheet'!#REF!</f>
        <v>#REF!</v>
      </c>
      <c r="N132" s="2" t="e">
        <f>N11/'Output-Calculation-sheet'!N10*'Output-Calculation-sheet'!#REF!</f>
        <v>#REF!</v>
      </c>
      <c r="O132" s="2" t="e">
        <f>O11/'Output-Calculation-sheet'!O10*'Output-Calculation-sheet'!#REF!</f>
        <v>#REF!</v>
      </c>
      <c r="P132" s="2" t="e">
        <f>P11/'Output-Calculation-sheet'!P10*'Output-Calculation-sheet'!#REF!</f>
        <v>#REF!</v>
      </c>
      <c r="Q132" s="2" t="e">
        <f>Q11/'Output-Calculation-sheet'!Q10*'Output-Calculation-sheet'!#REF!</f>
        <v>#REF!</v>
      </c>
      <c r="R132" s="2" t="e">
        <f>R11/'Output-Calculation-sheet'!R10*'Output-Calculation-sheet'!#REF!</f>
        <v>#REF!</v>
      </c>
      <c r="S132" s="2" t="e">
        <f>S11/'Output-Calculation-sheet'!S10*'Output-Calculation-sheet'!#REF!</f>
        <v>#REF!</v>
      </c>
      <c r="T132" s="2" t="e">
        <f>T11/'Output-Calculation-sheet'!T10*'Output-Calculation-sheet'!#REF!</f>
        <v>#REF!</v>
      </c>
      <c r="U132" s="2" t="e">
        <f>U11/'Output-Calculation-sheet'!U10*'Output-Calculation-sheet'!#REF!</f>
        <v>#REF!</v>
      </c>
      <c r="V132" s="2" t="e">
        <f>V11/'Output-Calculation-sheet'!V10*'Output-Calculation-sheet'!#REF!</f>
        <v>#REF!</v>
      </c>
      <c r="W132" s="2" t="e">
        <f>W11/'Output-Calculation-sheet'!W10*'Output-Calculation-sheet'!#REF!</f>
        <v>#REF!</v>
      </c>
      <c r="X132" s="2" t="e">
        <f>X11/'Output-Calculation-sheet'!X10*'Output-Calculation-sheet'!#REF!</f>
        <v>#REF!</v>
      </c>
      <c r="Y132" s="2" t="e">
        <f>Y11/'Output-Calculation-sheet'!Y10*'Output-Calculation-sheet'!#REF!</f>
        <v>#REF!</v>
      </c>
      <c r="AA132" s="2" t="e">
        <f t="shared" si="10"/>
        <v>#REF!</v>
      </c>
    </row>
    <row r="133" spans="1:27" x14ac:dyDescent="0.25">
      <c r="A133" s="2">
        <v>2035</v>
      </c>
      <c r="B133" s="2" t="e">
        <f>B12/'Output-Calculation-sheet'!B11*'Output-Calculation-sheet'!#REF!</f>
        <v>#REF!</v>
      </c>
      <c r="C133" s="2" t="e">
        <f>C12/'Output-Calculation-sheet'!C11*'Output-Calculation-sheet'!#REF!</f>
        <v>#REF!</v>
      </c>
      <c r="D133" s="2" t="e">
        <f>D12/'Output-Calculation-sheet'!D11*'Output-Calculation-sheet'!#REF!</f>
        <v>#REF!</v>
      </c>
      <c r="E133" s="2" t="e">
        <f>E12/'Output-Calculation-sheet'!E11*'Output-Calculation-sheet'!#REF!</f>
        <v>#REF!</v>
      </c>
      <c r="F133" s="2" t="e">
        <f>F12/'Output-Calculation-sheet'!F11*'Output-Calculation-sheet'!#REF!</f>
        <v>#REF!</v>
      </c>
      <c r="G133" s="2" t="e">
        <f>G12/'Output-Calculation-sheet'!G11*'Output-Calculation-sheet'!#REF!</f>
        <v>#REF!</v>
      </c>
      <c r="H133" s="2" t="e">
        <f>H12/'Output-Calculation-sheet'!H11*'Output-Calculation-sheet'!#REF!</f>
        <v>#REF!</v>
      </c>
      <c r="I133" s="2" t="e">
        <f>I12/'Output-Calculation-sheet'!I11*'Output-Calculation-sheet'!#REF!</f>
        <v>#REF!</v>
      </c>
      <c r="J133" s="2" t="e">
        <f>J12/'Output-Calculation-sheet'!J11*'Output-Calculation-sheet'!#REF!</f>
        <v>#REF!</v>
      </c>
      <c r="K133" s="2" t="e">
        <f>K12/'Output-Calculation-sheet'!K11*'Output-Calculation-sheet'!#REF!</f>
        <v>#REF!</v>
      </c>
      <c r="L133" s="2" t="e">
        <f>L12/'Output-Calculation-sheet'!L11*'Output-Calculation-sheet'!#REF!</f>
        <v>#REF!</v>
      </c>
      <c r="M133" s="2" t="e">
        <f>M12/'Output-Calculation-sheet'!M11*'Output-Calculation-sheet'!#REF!</f>
        <v>#REF!</v>
      </c>
      <c r="N133" s="2" t="e">
        <f>N12/'Output-Calculation-sheet'!N11*'Output-Calculation-sheet'!#REF!</f>
        <v>#REF!</v>
      </c>
      <c r="O133" s="2" t="e">
        <f>O12/'Output-Calculation-sheet'!O11*'Output-Calculation-sheet'!#REF!</f>
        <v>#REF!</v>
      </c>
      <c r="P133" s="2" t="e">
        <f>P12/'Output-Calculation-sheet'!P11*'Output-Calculation-sheet'!#REF!</f>
        <v>#REF!</v>
      </c>
      <c r="Q133" s="2" t="e">
        <f>Q12/'Output-Calculation-sheet'!Q11*'Output-Calculation-sheet'!#REF!</f>
        <v>#REF!</v>
      </c>
      <c r="R133" s="2" t="e">
        <f>R12/'Output-Calculation-sheet'!R11*'Output-Calculation-sheet'!#REF!</f>
        <v>#REF!</v>
      </c>
      <c r="S133" s="2" t="e">
        <f>S12/'Output-Calculation-sheet'!S11*'Output-Calculation-sheet'!#REF!</f>
        <v>#REF!</v>
      </c>
      <c r="T133" s="2" t="e">
        <f>T12/'Output-Calculation-sheet'!T11*'Output-Calculation-sheet'!#REF!</f>
        <v>#REF!</v>
      </c>
      <c r="U133" s="2" t="e">
        <f>U12/'Output-Calculation-sheet'!U11*'Output-Calculation-sheet'!#REF!</f>
        <v>#REF!</v>
      </c>
      <c r="V133" s="2" t="e">
        <f>V12/'Output-Calculation-sheet'!V11*'Output-Calculation-sheet'!#REF!</f>
        <v>#REF!</v>
      </c>
      <c r="W133" s="2" t="e">
        <f>W12/'Output-Calculation-sheet'!W11*'Output-Calculation-sheet'!#REF!</f>
        <v>#REF!</v>
      </c>
      <c r="X133" s="2" t="e">
        <f>X12/'Output-Calculation-sheet'!X11*'Output-Calculation-sheet'!#REF!</f>
        <v>#REF!</v>
      </c>
      <c r="Y133" s="2" t="e">
        <f>Y12/'Output-Calculation-sheet'!Y11*'Output-Calculation-sheet'!#REF!</f>
        <v>#REF!</v>
      </c>
      <c r="AA133" s="2" t="e">
        <f t="shared" si="10"/>
        <v>#REF!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B5/'Output-Calculation-sheet'!B4*'Output-Calculation-sheet'!#REF!</f>
        <v>#REF!</v>
      </c>
      <c r="C137" s="2" t="e">
        <f>C5/'Output-Calculation-sheet'!C4*'Output-Calculation-sheet'!#REF!</f>
        <v>#REF!</v>
      </c>
      <c r="D137" s="2" t="e">
        <f>D5/'Output-Calculation-sheet'!D4*'Output-Calculation-sheet'!#REF!</f>
        <v>#REF!</v>
      </c>
      <c r="E137" s="2" t="e">
        <f>E5/'Output-Calculation-sheet'!E4*'Output-Calculation-sheet'!#REF!</f>
        <v>#REF!</v>
      </c>
      <c r="F137" s="2" t="e">
        <f>F5/'Output-Calculation-sheet'!F4*'Output-Calculation-sheet'!#REF!</f>
        <v>#REF!</v>
      </c>
      <c r="G137" s="2" t="e">
        <f>G5/'Output-Calculation-sheet'!G4*'Output-Calculation-sheet'!#REF!</f>
        <v>#REF!</v>
      </c>
      <c r="H137" s="2" t="e">
        <f>H5/'Output-Calculation-sheet'!H4*'Output-Calculation-sheet'!#REF!</f>
        <v>#REF!</v>
      </c>
      <c r="I137" s="2" t="e">
        <f>I5/'Output-Calculation-sheet'!I4*'Output-Calculation-sheet'!#REF!</f>
        <v>#REF!</v>
      </c>
      <c r="J137" s="2" t="e">
        <f>J5/'Output-Calculation-sheet'!J4*'Output-Calculation-sheet'!#REF!</f>
        <v>#REF!</v>
      </c>
      <c r="K137" s="2" t="e">
        <f>K5/'Output-Calculation-sheet'!K4*'Output-Calculation-sheet'!#REF!</f>
        <v>#REF!</v>
      </c>
      <c r="L137" s="2" t="e">
        <f>L5/'Output-Calculation-sheet'!L4*'Output-Calculation-sheet'!#REF!</f>
        <v>#REF!</v>
      </c>
      <c r="M137" s="2" t="e">
        <f>M5/'Output-Calculation-sheet'!M4*'Output-Calculation-sheet'!#REF!</f>
        <v>#REF!</v>
      </c>
      <c r="N137" s="2" t="e">
        <f>N5/'Output-Calculation-sheet'!N4*'Output-Calculation-sheet'!#REF!</f>
        <v>#REF!</v>
      </c>
      <c r="O137" s="2" t="e">
        <f>O5/'Output-Calculation-sheet'!O4*'Output-Calculation-sheet'!#REF!</f>
        <v>#REF!</v>
      </c>
      <c r="P137" s="2" t="e">
        <f>P5/'Output-Calculation-sheet'!P4*'Output-Calculation-sheet'!#REF!</f>
        <v>#REF!</v>
      </c>
      <c r="Q137" s="2" t="e">
        <f>Q5/'Output-Calculation-sheet'!Q4*'Output-Calculation-sheet'!#REF!</f>
        <v>#REF!</v>
      </c>
      <c r="R137" s="2" t="e">
        <f>R5/'Output-Calculation-sheet'!R4*'Output-Calculation-sheet'!#REF!</f>
        <v>#REF!</v>
      </c>
      <c r="S137" s="2" t="e">
        <f>S5/'Output-Calculation-sheet'!S4*'Output-Calculation-sheet'!#REF!</f>
        <v>#REF!</v>
      </c>
      <c r="T137" s="2" t="e">
        <f>T5/'Output-Calculation-sheet'!T4*'Output-Calculation-sheet'!#REF!</f>
        <v>#REF!</v>
      </c>
      <c r="U137" s="2" t="e">
        <f>U5/'Output-Calculation-sheet'!U4*'Output-Calculation-sheet'!#REF!</f>
        <v>#REF!</v>
      </c>
      <c r="V137" s="2" t="e">
        <f>V5/'Output-Calculation-sheet'!V4*'Output-Calculation-sheet'!#REF!</f>
        <v>#REF!</v>
      </c>
      <c r="W137" s="2" t="e">
        <f>W5/'Output-Calculation-sheet'!W4*'Output-Calculation-sheet'!#REF!</f>
        <v>#REF!</v>
      </c>
      <c r="X137" s="2" t="e">
        <f>X5/'Output-Calculation-sheet'!X4*'Output-Calculation-sheet'!#REF!</f>
        <v>#REF!</v>
      </c>
      <c r="Y137" s="2" t="e">
        <f>Y5/'Output-Calculation-sheet'!Y4*'Output-Calculation-sheet'!#REF!</f>
        <v>#REF!</v>
      </c>
      <c r="AA137" s="2" t="e">
        <f>SUM(B137:Y137)/10^6</f>
        <v>#REF!</v>
      </c>
    </row>
    <row r="138" spans="1:27" x14ac:dyDescent="0.25">
      <c r="A138" s="2">
        <v>2029</v>
      </c>
      <c r="B138" s="2" t="e">
        <f>B6/'Output-Calculation-sheet'!B5*'Output-Calculation-sheet'!#REF!</f>
        <v>#REF!</v>
      </c>
      <c r="C138" s="2" t="e">
        <f>C6/'Output-Calculation-sheet'!C5*'Output-Calculation-sheet'!#REF!</f>
        <v>#REF!</v>
      </c>
      <c r="D138" s="2" t="e">
        <f>D6/'Output-Calculation-sheet'!D5*'Output-Calculation-sheet'!#REF!</f>
        <v>#REF!</v>
      </c>
      <c r="E138" s="2" t="e">
        <f>E6/'Output-Calculation-sheet'!E5*'Output-Calculation-sheet'!#REF!</f>
        <v>#REF!</v>
      </c>
      <c r="F138" s="2" t="e">
        <f>F6/'Output-Calculation-sheet'!F5*'Output-Calculation-sheet'!#REF!</f>
        <v>#REF!</v>
      </c>
      <c r="G138" s="2" t="e">
        <f>G6/'Output-Calculation-sheet'!G5*'Output-Calculation-sheet'!#REF!</f>
        <v>#REF!</v>
      </c>
      <c r="H138" s="2" t="e">
        <f>H6/'Output-Calculation-sheet'!H5*'Output-Calculation-sheet'!#REF!</f>
        <v>#REF!</v>
      </c>
      <c r="I138" s="2" t="e">
        <f>I6/'Output-Calculation-sheet'!I5*'Output-Calculation-sheet'!#REF!</f>
        <v>#REF!</v>
      </c>
      <c r="J138" s="2" t="e">
        <f>J6/'Output-Calculation-sheet'!J5*'Output-Calculation-sheet'!#REF!</f>
        <v>#REF!</v>
      </c>
      <c r="K138" s="2" t="e">
        <f>K6/'Output-Calculation-sheet'!K5*'Output-Calculation-sheet'!#REF!</f>
        <v>#REF!</v>
      </c>
      <c r="L138" s="2" t="e">
        <f>L6/'Output-Calculation-sheet'!L5*'Output-Calculation-sheet'!#REF!</f>
        <v>#REF!</v>
      </c>
      <c r="M138" s="2" t="e">
        <f>M6/'Output-Calculation-sheet'!M5*'Output-Calculation-sheet'!#REF!</f>
        <v>#REF!</v>
      </c>
      <c r="N138" s="2" t="e">
        <f>N6/'Output-Calculation-sheet'!N5*'Output-Calculation-sheet'!#REF!</f>
        <v>#REF!</v>
      </c>
      <c r="O138" s="2" t="e">
        <f>O6/'Output-Calculation-sheet'!O5*'Output-Calculation-sheet'!#REF!</f>
        <v>#REF!</v>
      </c>
      <c r="P138" s="2" t="e">
        <f>P6/'Output-Calculation-sheet'!P5*'Output-Calculation-sheet'!#REF!</f>
        <v>#REF!</v>
      </c>
      <c r="Q138" s="2" t="e">
        <f>Q6/'Output-Calculation-sheet'!Q5*'Output-Calculation-sheet'!#REF!</f>
        <v>#REF!</v>
      </c>
      <c r="R138" s="2" t="e">
        <f>R6/'Output-Calculation-sheet'!R5*'Output-Calculation-sheet'!#REF!</f>
        <v>#REF!</v>
      </c>
      <c r="S138" s="2" t="e">
        <f>S6/'Output-Calculation-sheet'!S5*'Output-Calculation-sheet'!#REF!</f>
        <v>#REF!</v>
      </c>
      <c r="T138" s="2" t="e">
        <f>T6/'Output-Calculation-sheet'!T5*'Output-Calculation-sheet'!#REF!</f>
        <v>#REF!</v>
      </c>
      <c r="U138" s="2" t="e">
        <f>U6/'Output-Calculation-sheet'!U5*'Output-Calculation-sheet'!#REF!</f>
        <v>#REF!</v>
      </c>
      <c r="V138" s="2" t="e">
        <f>V6/'Output-Calculation-sheet'!V5*'Output-Calculation-sheet'!#REF!</f>
        <v>#REF!</v>
      </c>
      <c r="W138" s="2" t="e">
        <f>W6/'Output-Calculation-sheet'!W5*'Output-Calculation-sheet'!#REF!</f>
        <v>#REF!</v>
      </c>
      <c r="X138" s="2" t="e">
        <f>X6/'Output-Calculation-sheet'!X5*'Output-Calculation-sheet'!#REF!</f>
        <v>#REF!</v>
      </c>
      <c r="Y138" s="2" t="e">
        <f>Y6/'Output-Calculation-sheet'!Y5*'Output-Calculation-sheet'!#REF!</f>
        <v>#REF!</v>
      </c>
      <c r="AA138" s="2" t="e">
        <f t="shared" ref="AA138:AA144" si="11">SUM(B138:Y138)/10^6</f>
        <v>#REF!</v>
      </c>
    </row>
    <row r="139" spans="1:27" x14ac:dyDescent="0.25">
      <c r="A139" s="2">
        <v>2030</v>
      </c>
      <c r="B139" s="2" t="e">
        <f>B7/'Output-Calculation-sheet'!B6*'Output-Calculation-sheet'!#REF!</f>
        <v>#REF!</v>
      </c>
      <c r="C139" s="2" t="e">
        <f>C7/'Output-Calculation-sheet'!C6*'Output-Calculation-sheet'!#REF!</f>
        <v>#REF!</v>
      </c>
      <c r="D139" s="2" t="e">
        <f>D7/'Output-Calculation-sheet'!D6*'Output-Calculation-sheet'!#REF!</f>
        <v>#REF!</v>
      </c>
      <c r="E139" s="2" t="e">
        <f>E7/'Output-Calculation-sheet'!E6*'Output-Calculation-sheet'!#REF!</f>
        <v>#REF!</v>
      </c>
      <c r="F139" s="2" t="e">
        <f>F7/'Output-Calculation-sheet'!F6*'Output-Calculation-sheet'!#REF!</f>
        <v>#REF!</v>
      </c>
      <c r="G139" s="2" t="e">
        <f>G7/'Output-Calculation-sheet'!G6*'Output-Calculation-sheet'!#REF!</f>
        <v>#REF!</v>
      </c>
      <c r="H139" s="2" t="e">
        <f>H7/'Output-Calculation-sheet'!H6*'Output-Calculation-sheet'!#REF!</f>
        <v>#REF!</v>
      </c>
      <c r="I139" s="2" t="e">
        <f>I7/'Output-Calculation-sheet'!I6*'Output-Calculation-sheet'!#REF!</f>
        <v>#REF!</v>
      </c>
      <c r="J139" s="2" t="e">
        <f>J7/'Output-Calculation-sheet'!J6*'Output-Calculation-sheet'!#REF!</f>
        <v>#REF!</v>
      </c>
      <c r="K139" s="2" t="e">
        <f>K7/'Output-Calculation-sheet'!K6*'Output-Calculation-sheet'!#REF!</f>
        <v>#REF!</v>
      </c>
      <c r="L139" s="2" t="e">
        <f>L7/'Output-Calculation-sheet'!L6*'Output-Calculation-sheet'!#REF!</f>
        <v>#REF!</v>
      </c>
      <c r="M139" s="2" t="e">
        <f>M7/'Output-Calculation-sheet'!M6*'Output-Calculation-sheet'!#REF!</f>
        <v>#REF!</v>
      </c>
      <c r="N139" s="2" t="e">
        <f>N7/'Output-Calculation-sheet'!N6*'Output-Calculation-sheet'!#REF!</f>
        <v>#REF!</v>
      </c>
      <c r="O139" s="2" t="e">
        <f>O7/'Output-Calculation-sheet'!O6*'Output-Calculation-sheet'!#REF!</f>
        <v>#REF!</v>
      </c>
      <c r="P139" s="2" t="e">
        <f>P7/'Output-Calculation-sheet'!P6*'Output-Calculation-sheet'!#REF!</f>
        <v>#REF!</v>
      </c>
      <c r="Q139" s="2" t="e">
        <f>Q7/'Output-Calculation-sheet'!Q6*'Output-Calculation-sheet'!#REF!</f>
        <v>#REF!</v>
      </c>
      <c r="R139" s="2" t="e">
        <f>R7/'Output-Calculation-sheet'!R6*'Output-Calculation-sheet'!#REF!</f>
        <v>#REF!</v>
      </c>
      <c r="S139" s="2" t="e">
        <f>S7/'Output-Calculation-sheet'!S6*'Output-Calculation-sheet'!#REF!</f>
        <v>#REF!</v>
      </c>
      <c r="T139" s="2" t="e">
        <f>T7/'Output-Calculation-sheet'!T6*'Output-Calculation-sheet'!#REF!</f>
        <v>#REF!</v>
      </c>
      <c r="U139" s="2" t="e">
        <f>U7/'Output-Calculation-sheet'!U6*'Output-Calculation-sheet'!#REF!</f>
        <v>#REF!</v>
      </c>
      <c r="V139" s="2" t="e">
        <f>V7/'Output-Calculation-sheet'!V6*'Output-Calculation-sheet'!#REF!</f>
        <v>#REF!</v>
      </c>
      <c r="W139" s="2" t="e">
        <f>W7/'Output-Calculation-sheet'!W6*'Output-Calculation-sheet'!#REF!</f>
        <v>#REF!</v>
      </c>
      <c r="X139" s="2" t="e">
        <f>X7/'Output-Calculation-sheet'!X6*'Output-Calculation-sheet'!#REF!</f>
        <v>#REF!</v>
      </c>
      <c r="Y139" s="2" t="e">
        <f>Y7/'Output-Calculation-sheet'!Y6*'Output-Calculation-sheet'!#REF!</f>
        <v>#REF!</v>
      </c>
      <c r="AA139" s="2" t="e">
        <f t="shared" si="11"/>
        <v>#REF!</v>
      </c>
    </row>
    <row r="140" spans="1:27" x14ac:dyDescent="0.25">
      <c r="A140" s="2">
        <v>2031</v>
      </c>
      <c r="B140" s="2" t="e">
        <f>B8/'Output-Calculation-sheet'!B7*'Output-Calculation-sheet'!#REF!</f>
        <v>#REF!</v>
      </c>
      <c r="C140" s="2" t="e">
        <f>C8/'Output-Calculation-sheet'!C7*'Output-Calculation-sheet'!#REF!</f>
        <v>#REF!</v>
      </c>
      <c r="D140" s="2" t="e">
        <f>D8/'Output-Calculation-sheet'!D7*'Output-Calculation-sheet'!#REF!</f>
        <v>#REF!</v>
      </c>
      <c r="E140" s="2" t="e">
        <f>E8/'Output-Calculation-sheet'!E7*'Output-Calculation-sheet'!#REF!</f>
        <v>#REF!</v>
      </c>
      <c r="F140" s="2" t="e">
        <f>F8/'Output-Calculation-sheet'!F7*'Output-Calculation-sheet'!#REF!</f>
        <v>#REF!</v>
      </c>
      <c r="G140" s="2" t="e">
        <f>G8/'Output-Calculation-sheet'!G7*'Output-Calculation-sheet'!#REF!</f>
        <v>#REF!</v>
      </c>
      <c r="H140" s="2" t="e">
        <f>H8/'Output-Calculation-sheet'!H7*'Output-Calculation-sheet'!#REF!</f>
        <v>#REF!</v>
      </c>
      <c r="I140" s="2" t="e">
        <f>I8/'Output-Calculation-sheet'!I7*'Output-Calculation-sheet'!#REF!</f>
        <v>#REF!</v>
      </c>
      <c r="J140" s="2" t="e">
        <f>J8/'Output-Calculation-sheet'!J7*'Output-Calculation-sheet'!#REF!</f>
        <v>#REF!</v>
      </c>
      <c r="K140" s="2" t="e">
        <f>K8/'Output-Calculation-sheet'!K7*'Output-Calculation-sheet'!#REF!</f>
        <v>#REF!</v>
      </c>
      <c r="L140" s="2" t="e">
        <f>L8/'Output-Calculation-sheet'!L7*'Output-Calculation-sheet'!#REF!</f>
        <v>#REF!</v>
      </c>
      <c r="M140" s="2" t="e">
        <f>M8/'Output-Calculation-sheet'!M7*'Output-Calculation-sheet'!#REF!</f>
        <v>#REF!</v>
      </c>
      <c r="N140" s="2" t="e">
        <f>N8/'Output-Calculation-sheet'!N7*'Output-Calculation-sheet'!#REF!</f>
        <v>#REF!</v>
      </c>
      <c r="O140" s="2" t="e">
        <f>O8/'Output-Calculation-sheet'!O7*'Output-Calculation-sheet'!#REF!</f>
        <v>#REF!</v>
      </c>
      <c r="P140" s="2" t="e">
        <f>P8/'Output-Calculation-sheet'!P7*'Output-Calculation-sheet'!#REF!</f>
        <v>#REF!</v>
      </c>
      <c r="Q140" s="2" t="e">
        <f>Q8/'Output-Calculation-sheet'!Q7*'Output-Calculation-sheet'!#REF!</f>
        <v>#REF!</v>
      </c>
      <c r="R140" s="2" t="e">
        <f>R8/'Output-Calculation-sheet'!R7*'Output-Calculation-sheet'!#REF!</f>
        <v>#REF!</v>
      </c>
      <c r="S140" s="2" t="e">
        <f>S8/'Output-Calculation-sheet'!S7*'Output-Calculation-sheet'!#REF!</f>
        <v>#REF!</v>
      </c>
      <c r="T140" s="2" t="e">
        <f>T8/'Output-Calculation-sheet'!T7*'Output-Calculation-sheet'!#REF!</f>
        <v>#REF!</v>
      </c>
      <c r="U140" s="2" t="e">
        <f>U8/'Output-Calculation-sheet'!U7*'Output-Calculation-sheet'!#REF!</f>
        <v>#REF!</v>
      </c>
      <c r="V140" s="2" t="e">
        <f>V8/'Output-Calculation-sheet'!V7*'Output-Calculation-sheet'!#REF!</f>
        <v>#REF!</v>
      </c>
      <c r="W140" s="2" t="e">
        <f>W8/'Output-Calculation-sheet'!W7*'Output-Calculation-sheet'!#REF!</f>
        <v>#REF!</v>
      </c>
      <c r="X140" s="2" t="e">
        <f>X8/'Output-Calculation-sheet'!X7*'Output-Calculation-sheet'!#REF!</f>
        <v>#REF!</v>
      </c>
      <c r="Y140" s="2" t="e">
        <f>Y8/'Output-Calculation-sheet'!Y7*'Output-Calculation-sheet'!#REF!</f>
        <v>#REF!</v>
      </c>
      <c r="AA140" s="2" t="e">
        <f t="shared" si="11"/>
        <v>#REF!</v>
      </c>
    </row>
    <row r="141" spans="1:27" x14ac:dyDescent="0.25">
      <c r="A141" s="2">
        <v>2032</v>
      </c>
      <c r="B141" s="2" t="e">
        <f>B9/'Output-Calculation-sheet'!B8*'Output-Calculation-sheet'!#REF!</f>
        <v>#REF!</v>
      </c>
      <c r="C141" s="2" t="e">
        <f>C9/'Output-Calculation-sheet'!C8*'Output-Calculation-sheet'!#REF!</f>
        <v>#REF!</v>
      </c>
      <c r="D141" s="2" t="e">
        <f>D9/'Output-Calculation-sheet'!D8*'Output-Calculation-sheet'!#REF!</f>
        <v>#REF!</v>
      </c>
      <c r="E141" s="2" t="e">
        <f>E9/'Output-Calculation-sheet'!E8*'Output-Calculation-sheet'!#REF!</f>
        <v>#REF!</v>
      </c>
      <c r="F141" s="2" t="e">
        <f>F9/'Output-Calculation-sheet'!F8*'Output-Calculation-sheet'!#REF!</f>
        <v>#REF!</v>
      </c>
      <c r="G141" s="2" t="e">
        <f>G9/'Output-Calculation-sheet'!G8*'Output-Calculation-sheet'!#REF!</f>
        <v>#REF!</v>
      </c>
      <c r="H141" s="2" t="e">
        <f>H9/'Output-Calculation-sheet'!H8*'Output-Calculation-sheet'!#REF!</f>
        <v>#REF!</v>
      </c>
      <c r="I141" s="2" t="e">
        <f>I9/'Output-Calculation-sheet'!I8*'Output-Calculation-sheet'!#REF!</f>
        <v>#REF!</v>
      </c>
      <c r="J141" s="2" t="e">
        <f>J9/'Output-Calculation-sheet'!J8*'Output-Calculation-sheet'!#REF!</f>
        <v>#REF!</v>
      </c>
      <c r="K141" s="2" t="e">
        <f>K9/'Output-Calculation-sheet'!K8*'Output-Calculation-sheet'!#REF!</f>
        <v>#REF!</v>
      </c>
      <c r="L141" s="2" t="e">
        <f>L9/'Output-Calculation-sheet'!L8*'Output-Calculation-sheet'!#REF!</f>
        <v>#REF!</v>
      </c>
      <c r="M141" s="2" t="e">
        <f>M9/'Output-Calculation-sheet'!M8*'Output-Calculation-sheet'!#REF!</f>
        <v>#REF!</v>
      </c>
      <c r="N141" s="2" t="e">
        <f>N9/'Output-Calculation-sheet'!N8*'Output-Calculation-sheet'!#REF!</f>
        <v>#REF!</v>
      </c>
      <c r="O141" s="2" t="e">
        <f>O9/'Output-Calculation-sheet'!O8*'Output-Calculation-sheet'!#REF!</f>
        <v>#REF!</v>
      </c>
      <c r="P141" s="2" t="e">
        <f>P9/'Output-Calculation-sheet'!P8*'Output-Calculation-sheet'!#REF!</f>
        <v>#REF!</v>
      </c>
      <c r="Q141" s="2" t="e">
        <f>Q9/'Output-Calculation-sheet'!Q8*'Output-Calculation-sheet'!#REF!</f>
        <v>#REF!</v>
      </c>
      <c r="R141" s="2" t="e">
        <f>R9/'Output-Calculation-sheet'!R8*'Output-Calculation-sheet'!#REF!</f>
        <v>#REF!</v>
      </c>
      <c r="S141" s="2" t="e">
        <f>S9/'Output-Calculation-sheet'!S8*'Output-Calculation-sheet'!#REF!</f>
        <v>#REF!</v>
      </c>
      <c r="T141" s="2" t="e">
        <f>T9/'Output-Calculation-sheet'!T8*'Output-Calculation-sheet'!#REF!</f>
        <v>#REF!</v>
      </c>
      <c r="U141" s="2" t="e">
        <f>U9/'Output-Calculation-sheet'!U8*'Output-Calculation-sheet'!#REF!</f>
        <v>#REF!</v>
      </c>
      <c r="V141" s="2" t="e">
        <f>V9/'Output-Calculation-sheet'!V8*'Output-Calculation-sheet'!#REF!</f>
        <v>#REF!</v>
      </c>
      <c r="W141" s="2" t="e">
        <f>W9/'Output-Calculation-sheet'!W8*'Output-Calculation-sheet'!#REF!</f>
        <v>#REF!</v>
      </c>
      <c r="X141" s="2" t="e">
        <f>X9/'Output-Calculation-sheet'!X8*'Output-Calculation-sheet'!#REF!</f>
        <v>#REF!</v>
      </c>
      <c r="Y141" s="2" t="e">
        <f>Y9/'Output-Calculation-sheet'!Y8*'Output-Calculation-sheet'!#REF!</f>
        <v>#REF!</v>
      </c>
      <c r="AA141" s="2" t="e">
        <f t="shared" si="11"/>
        <v>#REF!</v>
      </c>
    </row>
    <row r="142" spans="1:27" x14ac:dyDescent="0.25">
      <c r="A142" s="2">
        <v>2033</v>
      </c>
      <c r="B142" s="2" t="e">
        <f>B10/'Output-Calculation-sheet'!B9*'Output-Calculation-sheet'!#REF!</f>
        <v>#REF!</v>
      </c>
      <c r="C142" s="2" t="e">
        <f>C10/'Output-Calculation-sheet'!C9*'Output-Calculation-sheet'!#REF!</f>
        <v>#REF!</v>
      </c>
      <c r="D142" s="2" t="e">
        <f>D10/'Output-Calculation-sheet'!D9*'Output-Calculation-sheet'!#REF!</f>
        <v>#REF!</v>
      </c>
      <c r="E142" s="2" t="e">
        <f>E10/'Output-Calculation-sheet'!E9*'Output-Calculation-sheet'!#REF!</f>
        <v>#REF!</v>
      </c>
      <c r="F142" s="2" t="e">
        <f>F10/'Output-Calculation-sheet'!F9*'Output-Calculation-sheet'!#REF!</f>
        <v>#REF!</v>
      </c>
      <c r="G142" s="2" t="e">
        <f>G10/'Output-Calculation-sheet'!G9*'Output-Calculation-sheet'!#REF!</f>
        <v>#REF!</v>
      </c>
      <c r="H142" s="2" t="e">
        <f>H10/'Output-Calculation-sheet'!H9*'Output-Calculation-sheet'!#REF!</f>
        <v>#REF!</v>
      </c>
      <c r="I142" s="2" t="e">
        <f>I10/'Output-Calculation-sheet'!I9*'Output-Calculation-sheet'!#REF!</f>
        <v>#REF!</v>
      </c>
      <c r="J142" s="2" t="e">
        <f>J10/'Output-Calculation-sheet'!J9*'Output-Calculation-sheet'!#REF!</f>
        <v>#REF!</v>
      </c>
      <c r="K142" s="2" t="e">
        <f>K10/'Output-Calculation-sheet'!K9*'Output-Calculation-sheet'!#REF!</f>
        <v>#REF!</v>
      </c>
      <c r="L142" s="2" t="e">
        <f>L10/'Output-Calculation-sheet'!L9*'Output-Calculation-sheet'!#REF!</f>
        <v>#REF!</v>
      </c>
      <c r="M142" s="2" t="e">
        <f>M10/'Output-Calculation-sheet'!M9*'Output-Calculation-sheet'!#REF!</f>
        <v>#REF!</v>
      </c>
      <c r="N142" s="2" t="e">
        <f>N10/'Output-Calculation-sheet'!N9*'Output-Calculation-sheet'!#REF!</f>
        <v>#REF!</v>
      </c>
      <c r="O142" s="2" t="e">
        <f>O10/'Output-Calculation-sheet'!O9*'Output-Calculation-sheet'!#REF!</f>
        <v>#REF!</v>
      </c>
      <c r="P142" s="2" t="e">
        <f>P10/'Output-Calculation-sheet'!P9*'Output-Calculation-sheet'!#REF!</f>
        <v>#REF!</v>
      </c>
      <c r="Q142" s="2" t="e">
        <f>Q10/'Output-Calculation-sheet'!Q9*'Output-Calculation-sheet'!#REF!</f>
        <v>#REF!</v>
      </c>
      <c r="R142" s="2" t="e">
        <f>R10/'Output-Calculation-sheet'!R9*'Output-Calculation-sheet'!#REF!</f>
        <v>#REF!</v>
      </c>
      <c r="S142" s="2" t="e">
        <f>S10/'Output-Calculation-sheet'!S9*'Output-Calculation-sheet'!#REF!</f>
        <v>#REF!</v>
      </c>
      <c r="T142" s="2" t="e">
        <f>T10/'Output-Calculation-sheet'!T9*'Output-Calculation-sheet'!#REF!</f>
        <v>#REF!</v>
      </c>
      <c r="U142" s="2" t="e">
        <f>U10/'Output-Calculation-sheet'!U9*'Output-Calculation-sheet'!#REF!</f>
        <v>#REF!</v>
      </c>
      <c r="V142" s="2" t="e">
        <f>V10/'Output-Calculation-sheet'!V9*'Output-Calculation-sheet'!#REF!</f>
        <v>#REF!</v>
      </c>
      <c r="W142" s="2" t="e">
        <f>W10/'Output-Calculation-sheet'!W9*'Output-Calculation-sheet'!#REF!</f>
        <v>#REF!</v>
      </c>
      <c r="X142" s="2" t="e">
        <f>X10/'Output-Calculation-sheet'!X9*'Output-Calculation-sheet'!#REF!</f>
        <v>#REF!</v>
      </c>
      <c r="Y142" s="2" t="e">
        <f>Y10/'Output-Calculation-sheet'!Y9*'Output-Calculation-sheet'!#REF!</f>
        <v>#REF!</v>
      </c>
      <c r="AA142" s="2" t="e">
        <f t="shared" si="11"/>
        <v>#REF!</v>
      </c>
    </row>
    <row r="143" spans="1:27" x14ac:dyDescent="0.25">
      <c r="A143" s="2">
        <v>2034</v>
      </c>
      <c r="B143" s="2" t="e">
        <f>B11/'Output-Calculation-sheet'!B10*'Output-Calculation-sheet'!#REF!</f>
        <v>#REF!</v>
      </c>
      <c r="C143" s="2" t="e">
        <f>C11/'Output-Calculation-sheet'!C10*'Output-Calculation-sheet'!#REF!</f>
        <v>#REF!</v>
      </c>
      <c r="D143" s="2" t="e">
        <f>D11/'Output-Calculation-sheet'!D10*'Output-Calculation-sheet'!#REF!</f>
        <v>#REF!</v>
      </c>
      <c r="E143" s="2" t="e">
        <f>E11/'Output-Calculation-sheet'!E10*'Output-Calculation-sheet'!#REF!</f>
        <v>#REF!</v>
      </c>
      <c r="F143" s="2" t="e">
        <f>F11/'Output-Calculation-sheet'!F10*'Output-Calculation-sheet'!#REF!</f>
        <v>#REF!</v>
      </c>
      <c r="G143" s="2" t="e">
        <f>G11/'Output-Calculation-sheet'!G10*'Output-Calculation-sheet'!#REF!</f>
        <v>#REF!</v>
      </c>
      <c r="H143" s="2" t="e">
        <f>H11/'Output-Calculation-sheet'!H10*'Output-Calculation-sheet'!#REF!</f>
        <v>#REF!</v>
      </c>
      <c r="I143" s="2" t="e">
        <f>I11/'Output-Calculation-sheet'!I10*'Output-Calculation-sheet'!#REF!</f>
        <v>#REF!</v>
      </c>
      <c r="J143" s="2" t="e">
        <f>J11/'Output-Calculation-sheet'!J10*'Output-Calculation-sheet'!#REF!</f>
        <v>#REF!</v>
      </c>
      <c r="K143" s="2" t="e">
        <f>K11/'Output-Calculation-sheet'!K10*'Output-Calculation-sheet'!#REF!</f>
        <v>#REF!</v>
      </c>
      <c r="L143" s="2" t="e">
        <f>L11/'Output-Calculation-sheet'!L10*'Output-Calculation-sheet'!#REF!</f>
        <v>#REF!</v>
      </c>
      <c r="M143" s="2" t="e">
        <f>M11/'Output-Calculation-sheet'!M10*'Output-Calculation-sheet'!#REF!</f>
        <v>#REF!</v>
      </c>
      <c r="N143" s="2" t="e">
        <f>N11/'Output-Calculation-sheet'!N10*'Output-Calculation-sheet'!#REF!</f>
        <v>#REF!</v>
      </c>
      <c r="O143" s="2" t="e">
        <f>O11/'Output-Calculation-sheet'!O10*'Output-Calculation-sheet'!#REF!</f>
        <v>#REF!</v>
      </c>
      <c r="P143" s="2" t="e">
        <f>P11/'Output-Calculation-sheet'!P10*'Output-Calculation-sheet'!#REF!</f>
        <v>#REF!</v>
      </c>
      <c r="Q143" s="2" t="e">
        <f>Q11/'Output-Calculation-sheet'!Q10*'Output-Calculation-sheet'!#REF!</f>
        <v>#REF!</v>
      </c>
      <c r="R143" s="2" t="e">
        <f>R11/'Output-Calculation-sheet'!R10*'Output-Calculation-sheet'!#REF!</f>
        <v>#REF!</v>
      </c>
      <c r="S143" s="2" t="e">
        <f>S11/'Output-Calculation-sheet'!S10*'Output-Calculation-sheet'!#REF!</f>
        <v>#REF!</v>
      </c>
      <c r="T143" s="2" t="e">
        <f>T11/'Output-Calculation-sheet'!T10*'Output-Calculation-sheet'!#REF!</f>
        <v>#REF!</v>
      </c>
      <c r="U143" s="2" t="e">
        <f>U11/'Output-Calculation-sheet'!U10*'Output-Calculation-sheet'!#REF!</f>
        <v>#REF!</v>
      </c>
      <c r="V143" s="2" t="e">
        <f>V11/'Output-Calculation-sheet'!V10*'Output-Calculation-sheet'!#REF!</f>
        <v>#REF!</v>
      </c>
      <c r="W143" s="2" t="e">
        <f>W11/'Output-Calculation-sheet'!W10*'Output-Calculation-sheet'!#REF!</f>
        <v>#REF!</v>
      </c>
      <c r="X143" s="2" t="e">
        <f>X11/'Output-Calculation-sheet'!X10*'Output-Calculation-sheet'!#REF!</f>
        <v>#REF!</v>
      </c>
      <c r="Y143" s="2" t="e">
        <f>Y11/'Output-Calculation-sheet'!Y10*'Output-Calculation-sheet'!#REF!</f>
        <v>#REF!</v>
      </c>
      <c r="AA143" s="2" t="e">
        <f t="shared" si="11"/>
        <v>#REF!</v>
      </c>
    </row>
    <row r="144" spans="1:27" x14ac:dyDescent="0.25">
      <c r="A144" s="2">
        <v>2035</v>
      </c>
      <c r="B144" s="2" t="e">
        <f>B12/'Output-Calculation-sheet'!B11*'Output-Calculation-sheet'!#REF!</f>
        <v>#REF!</v>
      </c>
      <c r="C144" s="2" t="e">
        <f>C12/'Output-Calculation-sheet'!C11*'Output-Calculation-sheet'!#REF!</f>
        <v>#REF!</v>
      </c>
      <c r="D144" s="2" t="e">
        <f>D12/'Output-Calculation-sheet'!D11*'Output-Calculation-sheet'!#REF!</f>
        <v>#REF!</v>
      </c>
      <c r="E144" s="2" t="e">
        <f>E12/'Output-Calculation-sheet'!E11*'Output-Calculation-sheet'!#REF!</f>
        <v>#REF!</v>
      </c>
      <c r="F144" s="2" t="e">
        <f>F12/'Output-Calculation-sheet'!F11*'Output-Calculation-sheet'!#REF!</f>
        <v>#REF!</v>
      </c>
      <c r="G144" s="2" t="e">
        <f>G12/'Output-Calculation-sheet'!G11*'Output-Calculation-sheet'!#REF!</f>
        <v>#REF!</v>
      </c>
      <c r="H144" s="2" t="e">
        <f>H12/'Output-Calculation-sheet'!H11*'Output-Calculation-sheet'!#REF!</f>
        <v>#REF!</v>
      </c>
      <c r="I144" s="2" t="e">
        <f>I12/'Output-Calculation-sheet'!I11*'Output-Calculation-sheet'!#REF!</f>
        <v>#REF!</v>
      </c>
      <c r="J144" s="2" t="e">
        <f>J12/'Output-Calculation-sheet'!J11*'Output-Calculation-sheet'!#REF!</f>
        <v>#REF!</v>
      </c>
      <c r="K144" s="2" t="e">
        <f>K12/'Output-Calculation-sheet'!K11*'Output-Calculation-sheet'!#REF!</f>
        <v>#REF!</v>
      </c>
      <c r="L144" s="2" t="e">
        <f>L12/'Output-Calculation-sheet'!L11*'Output-Calculation-sheet'!#REF!</f>
        <v>#REF!</v>
      </c>
      <c r="M144" s="2" t="e">
        <f>M12/'Output-Calculation-sheet'!M11*'Output-Calculation-sheet'!#REF!</f>
        <v>#REF!</v>
      </c>
      <c r="N144" s="2" t="e">
        <f>N12/'Output-Calculation-sheet'!N11*'Output-Calculation-sheet'!#REF!</f>
        <v>#REF!</v>
      </c>
      <c r="O144" s="2" t="e">
        <f>O12/'Output-Calculation-sheet'!O11*'Output-Calculation-sheet'!#REF!</f>
        <v>#REF!</v>
      </c>
      <c r="P144" s="2" t="e">
        <f>P12/'Output-Calculation-sheet'!P11*'Output-Calculation-sheet'!#REF!</f>
        <v>#REF!</v>
      </c>
      <c r="Q144" s="2" t="e">
        <f>Q12/'Output-Calculation-sheet'!Q11*'Output-Calculation-sheet'!#REF!</f>
        <v>#REF!</v>
      </c>
      <c r="R144" s="2" t="e">
        <f>R12/'Output-Calculation-sheet'!R11*'Output-Calculation-sheet'!#REF!</f>
        <v>#REF!</v>
      </c>
      <c r="S144" s="2" t="e">
        <f>S12/'Output-Calculation-sheet'!S11*'Output-Calculation-sheet'!#REF!</f>
        <v>#REF!</v>
      </c>
      <c r="T144" s="2" t="e">
        <f>T12/'Output-Calculation-sheet'!T11*'Output-Calculation-sheet'!#REF!</f>
        <v>#REF!</v>
      </c>
      <c r="U144" s="2" t="e">
        <f>U12/'Output-Calculation-sheet'!U11*'Output-Calculation-sheet'!#REF!</f>
        <v>#REF!</v>
      </c>
      <c r="V144" s="2" t="e">
        <f>V12/'Output-Calculation-sheet'!V11*'Output-Calculation-sheet'!#REF!</f>
        <v>#REF!</v>
      </c>
      <c r="W144" s="2" t="e">
        <f>W12/'Output-Calculation-sheet'!W11*'Output-Calculation-sheet'!#REF!</f>
        <v>#REF!</v>
      </c>
      <c r="X144" s="2" t="e">
        <f>X12/'Output-Calculation-sheet'!X11*'Output-Calculation-sheet'!#REF!</f>
        <v>#REF!</v>
      </c>
      <c r="Y144" s="2" t="e">
        <f>Y12/'Output-Calculation-sheet'!Y11*'Output-Calculation-sheet'!#REF!</f>
        <v>#REF!</v>
      </c>
      <c r="AA144" s="2" t="e">
        <f t="shared" si="11"/>
        <v>#REF!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B5/'Output-Calculation-sheet'!B4*'Output-Calculation-sheet'!#REF!</f>
        <v>#REF!</v>
      </c>
      <c r="C148" s="2" t="e">
        <f>C5/'Output-Calculation-sheet'!C4*'Output-Calculation-sheet'!#REF!</f>
        <v>#REF!</v>
      </c>
      <c r="D148" s="2" t="e">
        <f>D5/'Output-Calculation-sheet'!D4*'Output-Calculation-sheet'!#REF!</f>
        <v>#REF!</v>
      </c>
      <c r="E148" s="2" t="e">
        <f>E5/'Output-Calculation-sheet'!E4*'Output-Calculation-sheet'!#REF!</f>
        <v>#REF!</v>
      </c>
      <c r="F148" s="2" t="e">
        <f>F5/'Output-Calculation-sheet'!F4*'Output-Calculation-sheet'!#REF!</f>
        <v>#REF!</v>
      </c>
      <c r="G148" s="2" t="e">
        <f>G5/'Output-Calculation-sheet'!G4*'Output-Calculation-sheet'!#REF!</f>
        <v>#REF!</v>
      </c>
      <c r="H148" s="2" t="e">
        <f>H5/'Output-Calculation-sheet'!H4*'Output-Calculation-sheet'!#REF!</f>
        <v>#REF!</v>
      </c>
      <c r="I148" s="2" t="e">
        <f>I5/'Output-Calculation-sheet'!I4*'Output-Calculation-sheet'!#REF!</f>
        <v>#REF!</v>
      </c>
      <c r="J148" s="2" t="e">
        <f>J5/'Output-Calculation-sheet'!J4*'Output-Calculation-sheet'!#REF!</f>
        <v>#REF!</v>
      </c>
      <c r="K148" s="2" t="e">
        <f>K5/'Output-Calculation-sheet'!K4*'Output-Calculation-sheet'!#REF!</f>
        <v>#REF!</v>
      </c>
      <c r="L148" s="2" t="e">
        <f>L5/'Output-Calculation-sheet'!L4*'Output-Calculation-sheet'!#REF!</f>
        <v>#REF!</v>
      </c>
      <c r="M148" s="2" t="e">
        <f>M5/'Output-Calculation-sheet'!M4*'Output-Calculation-sheet'!#REF!</f>
        <v>#REF!</v>
      </c>
      <c r="N148" s="2" t="e">
        <f>N5/'Output-Calculation-sheet'!N4*'Output-Calculation-sheet'!#REF!</f>
        <v>#REF!</v>
      </c>
      <c r="O148" s="2" t="e">
        <f>O5/'Output-Calculation-sheet'!O4*'Output-Calculation-sheet'!#REF!</f>
        <v>#REF!</v>
      </c>
      <c r="P148" s="2" t="e">
        <f>P5/'Output-Calculation-sheet'!P4*'Output-Calculation-sheet'!#REF!</f>
        <v>#REF!</v>
      </c>
      <c r="Q148" s="2" t="e">
        <f>Q5/'Output-Calculation-sheet'!Q4*'Output-Calculation-sheet'!#REF!</f>
        <v>#REF!</v>
      </c>
      <c r="R148" s="2" t="e">
        <f>R5/'Output-Calculation-sheet'!R4*'Output-Calculation-sheet'!#REF!</f>
        <v>#REF!</v>
      </c>
      <c r="S148" s="2" t="e">
        <f>S5/'Output-Calculation-sheet'!S4*'Output-Calculation-sheet'!#REF!</f>
        <v>#REF!</v>
      </c>
      <c r="T148" s="2" t="e">
        <f>T5/'Output-Calculation-sheet'!T4*'Output-Calculation-sheet'!#REF!</f>
        <v>#REF!</v>
      </c>
      <c r="U148" s="2" t="e">
        <f>U5/'Output-Calculation-sheet'!U4*'Output-Calculation-sheet'!#REF!</f>
        <v>#REF!</v>
      </c>
      <c r="V148" s="2" t="e">
        <f>V5/'Output-Calculation-sheet'!V4*'Output-Calculation-sheet'!#REF!</f>
        <v>#REF!</v>
      </c>
      <c r="W148" s="2" t="e">
        <f>W5/'Output-Calculation-sheet'!W4*'Output-Calculation-sheet'!#REF!</f>
        <v>#REF!</v>
      </c>
      <c r="X148" s="2" t="e">
        <f>X5/'Output-Calculation-sheet'!X4*'Output-Calculation-sheet'!#REF!</f>
        <v>#REF!</v>
      </c>
      <c r="Y148" s="2" t="e">
        <f>Y5/'Output-Calculation-sheet'!Y4*'Output-Calculation-sheet'!#REF!</f>
        <v>#REF!</v>
      </c>
      <c r="AA148" s="2" t="e">
        <f>SUM(B148:Y148)/10^6</f>
        <v>#REF!</v>
      </c>
    </row>
    <row r="149" spans="1:27" x14ac:dyDescent="0.25">
      <c r="A149" s="2">
        <v>2029</v>
      </c>
      <c r="B149" s="2" t="e">
        <f>B6/'Output-Calculation-sheet'!B5*'Output-Calculation-sheet'!#REF!</f>
        <v>#REF!</v>
      </c>
      <c r="C149" s="2" t="e">
        <f>C6/'Output-Calculation-sheet'!C5*'Output-Calculation-sheet'!#REF!</f>
        <v>#REF!</v>
      </c>
      <c r="D149" s="2" t="e">
        <f>D6/'Output-Calculation-sheet'!D5*'Output-Calculation-sheet'!#REF!</f>
        <v>#REF!</v>
      </c>
      <c r="E149" s="2" t="e">
        <f>E6/'Output-Calculation-sheet'!E5*'Output-Calculation-sheet'!#REF!</f>
        <v>#REF!</v>
      </c>
      <c r="F149" s="2" t="e">
        <f>F6/'Output-Calculation-sheet'!F5*'Output-Calculation-sheet'!#REF!</f>
        <v>#REF!</v>
      </c>
      <c r="G149" s="2" t="e">
        <f>G6/'Output-Calculation-sheet'!G5*'Output-Calculation-sheet'!#REF!</f>
        <v>#REF!</v>
      </c>
      <c r="H149" s="2" t="e">
        <f>H6/'Output-Calculation-sheet'!H5*'Output-Calculation-sheet'!#REF!</f>
        <v>#REF!</v>
      </c>
      <c r="I149" s="2" t="e">
        <f>I6/'Output-Calculation-sheet'!I5*'Output-Calculation-sheet'!#REF!</f>
        <v>#REF!</v>
      </c>
      <c r="J149" s="2" t="e">
        <f>J6/'Output-Calculation-sheet'!J5*'Output-Calculation-sheet'!#REF!</f>
        <v>#REF!</v>
      </c>
      <c r="K149" s="2" t="e">
        <f>K6/'Output-Calculation-sheet'!K5*'Output-Calculation-sheet'!#REF!</f>
        <v>#REF!</v>
      </c>
      <c r="L149" s="2" t="e">
        <f>L6/'Output-Calculation-sheet'!L5*'Output-Calculation-sheet'!#REF!</f>
        <v>#REF!</v>
      </c>
      <c r="M149" s="2" t="e">
        <f>M6/'Output-Calculation-sheet'!M5*'Output-Calculation-sheet'!#REF!</f>
        <v>#REF!</v>
      </c>
      <c r="N149" s="2" t="e">
        <f>N6/'Output-Calculation-sheet'!N5*'Output-Calculation-sheet'!#REF!</f>
        <v>#REF!</v>
      </c>
      <c r="O149" s="2" t="e">
        <f>O6/'Output-Calculation-sheet'!O5*'Output-Calculation-sheet'!#REF!</f>
        <v>#REF!</v>
      </c>
      <c r="P149" s="2" t="e">
        <f>P6/'Output-Calculation-sheet'!P5*'Output-Calculation-sheet'!#REF!</f>
        <v>#REF!</v>
      </c>
      <c r="Q149" s="2" t="e">
        <f>Q6/'Output-Calculation-sheet'!Q5*'Output-Calculation-sheet'!#REF!</f>
        <v>#REF!</v>
      </c>
      <c r="R149" s="2" t="e">
        <f>R6/'Output-Calculation-sheet'!R5*'Output-Calculation-sheet'!#REF!</f>
        <v>#REF!</v>
      </c>
      <c r="S149" s="2" t="e">
        <f>S6/'Output-Calculation-sheet'!S5*'Output-Calculation-sheet'!#REF!</f>
        <v>#REF!</v>
      </c>
      <c r="T149" s="2" t="e">
        <f>T6/'Output-Calculation-sheet'!T5*'Output-Calculation-sheet'!#REF!</f>
        <v>#REF!</v>
      </c>
      <c r="U149" s="2" t="e">
        <f>U6/'Output-Calculation-sheet'!U5*'Output-Calculation-sheet'!#REF!</f>
        <v>#REF!</v>
      </c>
      <c r="V149" s="2" t="e">
        <f>V6/'Output-Calculation-sheet'!V5*'Output-Calculation-sheet'!#REF!</f>
        <v>#REF!</v>
      </c>
      <c r="W149" s="2" t="e">
        <f>W6/'Output-Calculation-sheet'!W5*'Output-Calculation-sheet'!#REF!</f>
        <v>#REF!</v>
      </c>
      <c r="X149" s="2" t="e">
        <f>X6/'Output-Calculation-sheet'!X5*'Output-Calculation-sheet'!#REF!</f>
        <v>#REF!</v>
      </c>
      <c r="Y149" s="2" t="e">
        <f>Y6/'Output-Calculation-sheet'!Y5*'Output-Calculation-sheet'!#REF!</f>
        <v>#REF!</v>
      </c>
      <c r="AA149" s="2" t="e">
        <f t="shared" ref="AA149:AA155" si="12">SUM(B149:Y149)/10^6</f>
        <v>#REF!</v>
      </c>
    </row>
    <row r="150" spans="1:27" x14ac:dyDescent="0.25">
      <c r="A150" s="2">
        <v>2030</v>
      </c>
      <c r="B150" s="2" t="e">
        <f>B7/'Output-Calculation-sheet'!B6*'Output-Calculation-sheet'!#REF!</f>
        <v>#REF!</v>
      </c>
      <c r="C150" s="2" t="e">
        <f>C7/'Output-Calculation-sheet'!C6*'Output-Calculation-sheet'!#REF!</f>
        <v>#REF!</v>
      </c>
      <c r="D150" s="2" t="e">
        <f>D7/'Output-Calculation-sheet'!D6*'Output-Calculation-sheet'!#REF!</f>
        <v>#REF!</v>
      </c>
      <c r="E150" s="2" t="e">
        <f>E7/'Output-Calculation-sheet'!E6*'Output-Calculation-sheet'!#REF!</f>
        <v>#REF!</v>
      </c>
      <c r="F150" s="2" t="e">
        <f>F7/'Output-Calculation-sheet'!F6*'Output-Calculation-sheet'!#REF!</f>
        <v>#REF!</v>
      </c>
      <c r="G150" s="2" t="e">
        <f>G7/'Output-Calculation-sheet'!G6*'Output-Calculation-sheet'!#REF!</f>
        <v>#REF!</v>
      </c>
      <c r="H150" s="2" t="e">
        <f>H7/'Output-Calculation-sheet'!H6*'Output-Calculation-sheet'!#REF!</f>
        <v>#REF!</v>
      </c>
      <c r="I150" s="2" t="e">
        <f>I7/'Output-Calculation-sheet'!I6*'Output-Calculation-sheet'!#REF!</f>
        <v>#REF!</v>
      </c>
      <c r="J150" s="2" t="e">
        <f>J7/'Output-Calculation-sheet'!J6*'Output-Calculation-sheet'!#REF!</f>
        <v>#REF!</v>
      </c>
      <c r="K150" s="2" t="e">
        <f>K7/'Output-Calculation-sheet'!K6*'Output-Calculation-sheet'!#REF!</f>
        <v>#REF!</v>
      </c>
      <c r="L150" s="2" t="e">
        <f>L7/'Output-Calculation-sheet'!L6*'Output-Calculation-sheet'!#REF!</f>
        <v>#REF!</v>
      </c>
      <c r="M150" s="2" t="e">
        <f>M7/'Output-Calculation-sheet'!M6*'Output-Calculation-sheet'!#REF!</f>
        <v>#REF!</v>
      </c>
      <c r="N150" s="2" t="e">
        <f>N7/'Output-Calculation-sheet'!N6*'Output-Calculation-sheet'!#REF!</f>
        <v>#REF!</v>
      </c>
      <c r="O150" s="2" t="e">
        <f>O7/'Output-Calculation-sheet'!O6*'Output-Calculation-sheet'!#REF!</f>
        <v>#REF!</v>
      </c>
      <c r="P150" s="2" t="e">
        <f>P7/'Output-Calculation-sheet'!P6*'Output-Calculation-sheet'!#REF!</f>
        <v>#REF!</v>
      </c>
      <c r="Q150" s="2" t="e">
        <f>Q7/'Output-Calculation-sheet'!Q6*'Output-Calculation-sheet'!#REF!</f>
        <v>#REF!</v>
      </c>
      <c r="R150" s="2" t="e">
        <f>R7/'Output-Calculation-sheet'!R6*'Output-Calculation-sheet'!#REF!</f>
        <v>#REF!</v>
      </c>
      <c r="S150" s="2" t="e">
        <f>S7/'Output-Calculation-sheet'!S6*'Output-Calculation-sheet'!#REF!</f>
        <v>#REF!</v>
      </c>
      <c r="T150" s="2" t="e">
        <f>T7/'Output-Calculation-sheet'!T6*'Output-Calculation-sheet'!#REF!</f>
        <v>#REF!</v>
      </c>
      <c r="U150" s="2" t="e">
        <f>U7/'Output-Calculation-sheet'!U6*'Output-Calculation-sheet'!#REF!</f>
        <v>#REF!</v>
      </c>
      <c r="V150" s="2" t="e">
        <f>V7/'Output-Calculation-sheet'!V6*'Output-Calculation-sheet'!#REF!</f>
        <v>#REF!</v>
      </c>
      <c r="W150" s="2" t="e">
        <f>W7/'Output-Calculation-sheet'!W6*'Output-Calculation-sheet'!#REF!</f>
        <v>#REF!</v>
      </c>
      <c r="X150" s="2" t="e">
        <f>X7/'Output-Calculation-sheet'!X6*'Output-Calculation-sheet'!#REF!</f>
        <v>#REF!</v>
      </c>
      <c r="Y150" s="2" t="e">
        <f>Y7/'Output-Calculation-sheet'!Y6*'Output-Calculation-sheet'!#REF!</f>
        <v>#REF!</v>
      </c>
      <c r="AA150" s="2" t="e">
        <f t="shared" si="12"/>
        <v>#REF!</v>
      </c>
    </row>
    <row r="151" spans="1:27" x14ac:dyDescent="0.25">
      <c r="A151" s="2">
        <v>2031</v>
      </c>
      <c r="B151" s="2" t="e">
        <f>B8/'Output-Calculation-sheet'!B7*'Output-Calculation-sheet'!#REF!</f>
        <v>#REF!</v>
      </c>
      <c r="C151" s="2" t="e">
        <f>C8/'Output-Calculation-sheet'!C7*'Output-Calculation-sheet'!#REF!</f>
        <v>#REF!</v>
      </c>
      <c r="D151" s="2" t="e">
        <f>D8/'Output-Calculation-sheet'!D7*'Output-Calculation-sheet'!#REF!</f>
        <v>#REF!</v>
      </c>
      <c r="E151" s="2" t="e">
        <f>E8/'Output-Calculation-sheet'!E7*'Output-Calculation-sheet'!#REF!</f>
        <v>#REF!</v>
      </c>
      <c r="F151" s="2" t="e">
        <f>F8/'Output-Calculation-sheet'!F7*'Output-Calculation-sheet'!#REF!</f>
        <v>#REF!</v>
      </c>
      <c r="G151" s="2" t="e">
        <f>G8/'Output-Calculation-sheet'!G7*'Output-Calculation-sheet'!#REF!</f>
        <v>#REF!</v>
      </c>
      <c r="H151" s="2" t="e">
        <f>H8/'Output-Calculation-sheet'!H7*'Output-Calculation-sheet'!#REF!</f>
        <v>#REF!</v>
      </c>
      <c r="I151" s="2" t="e">
        <f>I8/'Output-Calculation-sheet'!I7*'Output-Calculation-sheet'!#REF!</f>
        <v>#REF!</v>
      </c>
      <c r="J151" s="2" t="e">
        <f>J8/'Output-Calculation-sheet'!J7*'Output-Calculation-sheet'!#REF!</f>
        <v>#REF!</v>
      </c>
      <c r="K151" s="2" t="e">
        <f>K8/'Output-Calculation-sheet'!K7*'Output-Calculation-sheet'!#REF!</f>
        <v>#REF!</v>
      </c>
      <c r="L151" s="2" t="e">
        <f>L8/'Output-Calculation-sheet'!L7*'Output-Calculation-sheet'!#REF!</f>
        <v>#REF!</v>
      </c>
      <c r="M151" s="2" t="e">
        <f>M8/'Output-Calculation-sheet'!M7*'Output-Calculation-sheet'!#REF!</f>
        <v>#REF!</v>
      </c>
      <c r="N151" s="2" t="e">
        <f>N8/'Output-Calculation-sheet'!N7*'Output-Calculation-sheet'!#REF!</f>
        <v>#REF!</v>
      </c>
      <c r="O151" s="2" t="e">
        <f>O8/'Output-Calculation-sheet'!O7*'Output-Calculation-sheet'!#REF!</f>
        <v>#REF!</v>
      </c>
      <c r="P151" s="2" t="e">
        <f>P8/'Output-Calculation-sheet'!P7*'Output-Calculation-sheet'!#REF!</f>
        <v>#REF!</v>
      </c>
      <c r="Q151" s="2" t="e">
        <f>Q8/'Output-Calculation-sheet'!Q7*'Output-Calculation-sheet'!#REF!</f>
        <v>#REF!</v>
      </c>
      <c r="R151" s="2" t="e">
        <f>R8/'Output-Calculation-sheet'!R7*'Output-Calculation-sheet'!#REF!</f>
        <v>#REF!</v>
      </c>
      <c r="S151" s="2" t="e">
        <f>S8/'Output-Calculation-sheet'!S7*'Output-Calculation-sheet'!#REF!</f>
        <v>#REF!</v>
      </c>
      <c r="T151" s="2" t="e">
        <f>T8/'Output-Calculation-sheet'!T7*'Output-Calculation-sheet'!#REF!</f>
        <v>#REF!</v>
      </c>
      <c r="U151" s="2" t="e">
        <f>U8/'Output-Calculation-sheet'!U7*'Output-Calculation-sheet'!#REF!</f>
        <v>#REF!</v>
      </c>
      <c r="V151" s="2" t="e">
        <f>V8/'Output-Calculation-sheet'!V7*'Output-Calculation-sheet'!#REF!</f>
        <v>#REF!</v>
      </c>
      <c r="W151" s="2" t="e">
        <f>W8/'Output-Calculation-sheet'!W7*'Output-Calculation-sheet'!#REF!</f>
        <v>#REF!</v>
      </c>
      <c r="X151" s="2" t="e">
        <f>X8/'Output-Calculation-sheet'!X7*'Output-Calculation-sheet'!#REF!</f>
        <v>#REF!</v>
      </c>
      <c r="Y151" s="2" t="e">
        <f>Y8/'Output-Calculation-sheet'!Y7*'Output-Calculation-sheet'!#REF!</f>
        <v>#REF!</v>
      </c>
      <c r="AA151" s="2" t="e">
        <f t="shared" si="12"/>
        <v>#REF!</v>
      </c>
    </row>
    <row r="152" spans="1:27" x14ac:dyDescent="0.25">
      <c r="A152" s="2">
        <v>2032</v>
      </c>
      <c r="B152" s="2" t="e">
        <f>B9/'Output-Calculation-sheet'!B8*'Output-Calculation-sheet'!#REF!</f>
        <v>#REF!</v>
      </c>
      <c r="C152" s="2" t="e">
        <f>C9/'Output-Calculation-sheet'!C8*'Output-Calculation-sheet'!#REF!</f>
        <v>#REF!</v>
      </c>
      <c r="D152" s="2" t="e">
        <f>D9/'Output-Calculation-sheet'!D8*'Output-Calculation-sheet'!#REF!</f>
        <v>#REF!</v>
      </c>
      <c r="E152" s="2" t="e">
        <f>E9/'Output-Calculation-sheet'!E8*'Output-Calculation-sheet'!#REF!</f>
        <v>#REF!</v>
      </c>
      <c r="F152" s="2" t="e">
        <f>F9/'Output-Calculation-sheet'!F8*'Output-Calculation-sheet'!#REF!</f>
        <v>#REF!</v>
      </c>
      <c r="G152" s="2" t="e">
        <f>G9/'Output-Calculation-sheet'!G8*'Output-Calculation-sheet'!#REF!</f>
        <v>#REF!</v>
      </c>
      <c r="H152" s="2" t="e">
        <f>H9/'Output-Calculation-sheet'!H8*'Output-Calculation-sheet'!#REF!</f>
        <v>#REF!</v>
      </c>
      <c r="I152" s="2" t="e">
        <f>I9/'Output-Calculation-sheet'!I8*'Output-Calculation-sheet'!#REF!</f>
        <v>#REF!</v>
      </c>
      <c r="J152" s="2" t="e">
        <f>J9/'Output-Calculation-sheet'!J8*'Output-Calculation-sheet'!#REF!</f>
        <v>#REF!</v>
      </c>
      <c r="K152" s="2" t="e">
        <f>K9/'Output-Calculation-sheet'!K8*'Output-Calculation-sheet'!#REF!</f>
        <v>#REF!</v>
      </c>
      <c r="L152" s="2" t="e">
        <f>L9/'Output-Calculation-sheet'!L8*'Output-Calculation-sheet'!#REF!</f>
        <v>#REF!</v>
      </c>
      <c r="M152" s="2" t="e">
        <f>M9/'Output-Calculation-sheet'!M8*'Output-Calculation-sheet'!#REF!</f>
        <v>#REF!</v>
      </c>
      <c r="N152" s="2" t="e">
        <f>N9/'Output-Calculation-sheet'!N8*'Output-Calculation-sheet'!#REF!</f>
        <v>#REF!</v>
      </c>
      <c r="O152" s="2" t="e">
        <f>O9/'Output-Calculation-sheet'!O8*'Output-Calculation-sheet'!#REF!</f>
        <v>#REF!</v>
      </c>
      <c r="P152" s="2" t="e">
        <f>P9/'Output-Calculation-sheet'!P8*'Output-Calculation-sheet'!#REF!</f>
        <v>#REF!</v>
      </c>
      <c r="Q152" s="2" t="e">
        <f>Q9/'Output-Calculation-sheet'!Q8*'Output-Calculation-sheet'!#REF!</f>
        <v>#REF!</v>
      </c>
      <c r="R152" s="2" t="e">
        <f>R9/'Output-Calculation-sheet'!R8*'Output-Calculation-sheet'!#REF!</f>
        <v>#REF!</v>
      </c>
      <c r="S152" s="2" t="e">
        <f>S9/'Output-Calculation-sheet'!S8*'Output-Calculation-sheet'!#REF!</f>
        <v>#REF!</v>
      </c>
      <c r="T152" s="2" t="e">
        <f>T9/'Output-Calculation-sheet'!T8*'Output-Calculation-sheet'!#REF!</f>
        <v>#REF!</v>
      </c>
      <c r="U152" s="2" t="e">
        <f>U9/'Output-Calculation-sheet'!U8*'Output-Calculation-sheet'!#REF!</f>
        <v>#REF!</v>
      </c>
      <c r="V152" s="2" t="e">
        <f>V9/'Output-Calculation-sheet'!V8*'Output-Calculation-sheet'!#REF!</f>
        <v>#REF!</v>
      </c>
      <c r="W152" s="2" t="e">
        <f>W9/'Output-Calculation-sheet'!W8*'Output-Calculation-sheet'!#REF!</f>
        <v>#REF!</v>
      </c>
      <c r="X152" s="2" t="e">
        <f>X9/'Output-Calculation-sheet'!X8*'Output-Calculation-sheet'!#REF!</f>
        <v>#REF!</v>
      </c>
      <c r="Y152" s="2" t="e">
        <f>Y9/'Output-Calculation-sheet'!Y8*'Output-Calculation-sheet'!#REF!</f>
        <v>#REF!</v>
      </c>
      <c r="AA152" s="2" t="e">
        <f t="shared" si="12"/>
        <v>#REF!</v>
      </c>
    </row>
    <row r="153" spans="1:27" x14ac:dyDescent="0.25">
      <c r="A153" s="2">
        <v>2033</v>
      </c>
      <c r="B153" s="2" t="e">
        <f>B10/'Output-Calculation-sheet'!B9*'Output-Calculation-sheet'!#REF!</f>
        <v>#REF!</v>
      </c>
      <c r="C153" s="2" t="e">
        <f>C10/'Output-Calculation-sheet'!C9*'Output-Calculation-sheet'!#REF!</f>
        <v>#REF!</v>
      </c>
      <c r="D153" s="2" t="e">
        <f>D10/'Output-Calculation-sheet'!D9*'Output-Calculation-sheet'!#REF!</f>
        <v>#REF!</v>
      </c>
      <c r="E153" s="2" t="e">
        <f>E10/'Output-Calculation-sheet'!E9*'Output-Calculation-sheet'!#REF!</f>
        <v>#REF!</v>
      </c>
      <c r="F153" s="2" t="e">
        <f>F10/'Output-Calculation-sheet'!F9*'Output-Calculation-sheet'!#REF!</f>
        <v>#REF!</v>
      </c>
      <c r="G153" s="2" t="e">
        <f>G10/'Output-Calculation-sheet'!G9*'Output-Calculation-sheet'!#REF!</f>
        <v>#REF!</v>
      </c>
      <c r="H153" s="2" t="e">
        <f>H10/'Output-Calculation-sheet'!H9*'Output-Calculation-sheet'!#REF!</f>
        <v>#REF!</v>
      </c>
      <c r="I153" s="2" t="e">
        <f>I10/'Output-Calculation-sheet'!I9*'Output-Calculation-sheet'!#REF!</f>
        <v>#REF!</v>
      </c>
      <c r="J153" s="2" t="e">
        <f>J10/'Output-Calculation-sheet'!J9*'Output-Calculation-sheet'!#REF!</f>
        <v>#REF!</v>
      </c>
      <c r="K153" s="2" t="e">
        <f>K10/'Output-Calculation-sheet'!K9*'Output-Calculation-sheet'!#REF!</f>
        <v>#REF!</v>
      </c>
      <c r="L153" s="2" t="e">
        <f>L10/'Output-Calculation-sheet'!L9*'Output-Calculation-sheet'!#REF!</f>
        <v>#REF!</v>
      </c>
      <c r="M153" s="2" t="e">
        <f>M10/'Output-Calculation-sheet'!M9*'Output-Calculation-sheet'!#REF!</f>
        <v>#REF!</v>
      </c>
      <c r="N153" s="2" t="e">
        <f>N10/'Output-Calculation-sheet'!N9*'Output-Calculation-sheet'!#REF!</f>
        <v>#REF!</v>
      </c>
      <c r="O153" s="2" t="e">
        <f>O10/'Output-Calculation-sheet'!O9*'Output-Calculation-sheet'!#REF!</f>
        <v>#REF!</v>
      </c>
      <c r="P153" s="2" t="e">
        <f>P10/'Output-Calculation-sheet'!P9*'Output-Calculation-sheet'!#REF!</f>
        <v>#REF!</v>
      </c>
      <c r="Q153" s="2" t="e">
        <f>Q10/'Output-Calculation-sheet'!Q9*'Output-Calculation-sheet'!#REF!</f>
        <v>#REF!</v>
      </c>
      <c r="R153" s="2" t="e">
        <f>R10/'Output-Calculation-sheet'!R9*'Output-Calculation-sheet'!#REF!</f>
        <v>#REF!</v>
      </c>
      <c r="S153" s="2" t="e">
        <f>S10/'Output-Calculation-sheet'!S9*'Output-Calculation-sheet'!#REF!</f>
        <v>#REF!</v>
      </c>
      <c r="T153" s="2" t="e">
        <f>T10/'Output-Calculation-sheet'!T9*'Output-Calculation-sheet'!#REF!</f>
        <v>#REF!</v>
      </c>
      <c r="U153" s="2" t="e">
        <f>U10/'Output-Calculation-sheet'!U9*'Output-Calculation-sheet'!#REF!</f>
        <v>#REF!</v>
      </c>
      <c r="V153" s="2" t="e">
        <f>V10/'Output-Calculation-sheet'!V9*'Output-Calculation-sheet'!#REF!</f>
        <v>#REF!</v>
      </c>
      <c r="W153" s="2" t="e">
        <f>W10/'Output-Calculation-sheet'!W9*'Output-Calculation-sheet'!#REF!</f>
        <v>#REF!</v>
      </c>
      <c r="X153" s="2" t="e">
        <f>X10/'Output-Calculation-sheet'!X9*'Output-Calculation-sheet'!#REF!</f>
        <v>#REF!</v>
      </c>
      <c r="Y153" s="2" t="e">
        <f>Y10/'Output-Calculation-sheet'!Y9*'Output-Calculation-sheet'!#REF!</f>
        <v>#REF!</v>
      </c>
      <c r="AA153" s="2" t="e">
        <f t="shared" si="12"/>
        <v>#REF!</v>
      </c>
    </row>
    <row r="154" spans="1:27" x14ac:dyDescent="0.25">
      <c r="A154" s="2">
        <v>2034</v>
      </c>
      <c r="B154" s="2" t="e">
        <f>B11/'Output-Calculation-sheet'!B10*'Output-Calculation-sheet'!#REF!</f>
        <v>#REF!</v>
      </c>
      <c r="C154" s="2" t="e">
        <f>C11/'Output-Calculation-sheet'!C10*'Output-Calculation-sheet'!#REF!</f>
        <v>#REF!</v>
      </c>
      <c r="D154" s="2" t="e">
        <f>D11/'Output-Calculation-sheet'!D10*'Output-Calculation-sheet'!#REF!</f>
        <v>#REF!</v>
      </c>
      <c r="E154" s="2" t="e">
        <f>E11/'Output-Calculation-sheet'!E10*'Output-Calculation-sheet'!#REF!</f>
        <v>#REF!</v>
      </c>
      <c r="F154" s="2" t="e">
        <f>F11/'Output-Calculation-sheet'!F10*'Output-Calculation-sheet'!#REF!</f>
        <v>#REF!</v>
      </c>
      <c r="G154" s="2" t="e">
        <f>G11/'Output-Calculation-sheet'!G10*'Output-Calculation-sheet'!#REF!</f>
        <v>#REF!</v>
      </c>
      <c r="H154" s="2" t="e">
        <f>H11/'Output-Calculation-sheet'!H10*'Output-Calculation-sheet'!#REF!</f>
        <v>#REF!</v>
      </c>
      <c r="I154" s="2" t="e">
        <f>I11/'Output-Calculation-sheet'!I10*'Output-Calculation-sheet'!#REF!</f>
        <v>#REF!</v>
      </c>
      <c r="J154" s="2" t="e">
        <f>J11/'Output-Calculation-sheet'!J10*'Output-Calculation-sheet'!#REF!</f>
        <v>#REF!</v>
      </c>
      <c r="K154" s="2" t="e">
        <f>K11/'Output-Calculation-sheet'!K10*'Output-Calculation-sheet'!#REF!</f>
        <v>#REF!</v>
      </c>
      <c r="L154" s="2" t="e">
        <f>L11/'Output-Calculation-sheet'!L10*'Output-Calculation-sheet'!#REF!</f>
        <v>#REF!</v>
      </c>
      <c r="M154" s="2" t="e">
        <f>M11/'Output-Calculation-sheet'!M10*'Output-Calculation-sheet'!#REF!</f>
        <v>#REF!</v>
      </c>
      <c r="N154" s="2" t="e">
        <f>N11/'Output-Calculation-sheet'!N10*'Output-Calculation-sheet'!#REF!</f>
        <v>#REF!</v>
      </c>
      <c r="O154" s="2" t="e">
        <f>O11/'Output-Calculation-sheet'!O10*'Output-Calculation-sheet'!#REF!</f>
        <v>#REF!</v>
      </c>
      <c r="P154" s="2" t="e">
        <f>P11/'Output-Calculation-sheet'!P10*'Output-Calculation-sheet'!#REF!</f>
        <v>#REF!</v>
      </c>
      <c r="Q154" s="2" t="e">
        <f>Q11/'Output-Calculation-sheet'!Q10*'Output-Calculation-sheet'!#REF!</f>
        <v>#REF!</v>
      </c>
      <c r="R154" s="2" t="e">
        <f>R11/'Output-Calculation-sheet'!R10*'Output-Calculation-sheet'!#REF!</f>
        <v>#REF!</v>
      </c>
      <c r="S154" s="2" t="e">
        <f>S11/'Output-Calculation-sheet'!S10*'Output-Calculation-sheet'!#REF!</f>
        <v>#REF!</v>
      </c>
      <c r="T154" s="2" t="e">
        <f>T11/'Output-Calculation-sheet'!T10*'Output-Calculation-sheet'!#REF!</f>
        <v>#REF!</v>
      </c>
      <c r="U154" s="2" t="e">
        <f>U11/'Output-Calculation-sheet'!U10*'Output-Calculation-sheet'!#REF!</f>
        <v>#REF!</v>
      </c>
      <c r="V154" s="2" t="e">
        <f>V11/'Output-Calculation-sheet'!V10*'Output-Calculation-sheet'!#REF!</f>
        <v>#REF!</v>
      </c>
      <c r="W154" s="2" t="e">
        <f>W11/'Output-Calculation-sheet'!W10*'Output-Calculation-sheet'!#REF!</f>
        <v>#REF!</v>
      </c>
      <c r="X154" s="2" t="e">
        <f>X11/'Output-Calculation-sheet'!X10*'Output-Calculation-sheet'!#REF!</f>
        <v>#REF!</v>
      </c>
      <c r="Y154" s="2" t="e">
        <f>Y11/'Output-Calculation-sheet'!Y10*'Output-Calculation-sheet'!#REF!</f>
        <v>#REF!</v>
      </c>
      <c r="AA154" s="2" t="e">
        <f t="shared" si="12"/>
        <v>#REF!</v>
      </c>
    </row>
    <row r="155" spans="1:27" x14ac:dyDescent="0.25">
      <c r="A155" s="2">
        <v>2035</v>
      </c>
      <c r="B155" s="2" t="e">
        <f>B12/'Output-Calculation-sheet'!B11*'Output-Calculation-sheet'!#REF!</f>
        <v>#REF!</v>
      </c>
      <c r="C155" s="2" t="e">
        <f>C12/'Output-Calculation-sheet'!C11*'Output-Calculation-sheet'!#REF!</f>
        <v>#REF!</v>
      </c>
      <c r="D155" s="2" t="e">
        <f>D12/'Output-Calculation-sheet'!D11*'Output-Calculation-sheet'!#REF!</f>
        <v>#REF!</v>
      </c>
      <c r="E155" s="2" t="e">
        <f>E12/'Output-Calculation-sheet'!E11*'Output-Calculation-sheet'!#REF!</f>
        <v>#REF!</v>
      </c>
      <c r="F155" s="2" t="e">
        <f>F12/'Output-Calculation-sheet'!F11*'Output-Calculation-sheet'!#REF!</f>
        <v>#REF!</v>
      </c>
      <c r="G155" s="2" t="e">
        <f>G12/'Output-Calculation-sheet'!G11*'Output-Calculation-sheet'!#REF!</f>
        <v>#REF!</v>
      </c>
      <c r="H155" s="2" t="e">
        <f>H12/'Output-Calculation-sheet'!H11*'Output-Calculation-sheet'!#REF!</f>
        <v>#REF!</v>
      </c>
      <c r="I155" s="2" t="e">
        <f>I12/'Output-Calculation-sheet'!I11*'Output-Calculation-sheet'!#REF!</f>
        <v>#REF!</v>
      </c>
      <c r="J155" s="2" t="e">
        <f>J12/'Output-Calculation-sheet'!J11*'Output-Calculation-sheet'!#REF!</f>
        <v>#REF!</v>
      </c>
      <c r="K155" s="2" t="e">
        <f>K12/'Output-Calculation-sheet'!K11*'Output-Calculation-sheet'!#REF!</f>
        <v>#REF!</v>
      </c>
      <c r="L155" s="2" t="e">
        <f>L12/'Output-Calculation-sheet'!L11*'Output-Calculation-sheet'!#REF!</f>
        <v>#REF!</v>
      </c>
      <c r="M155" s="2" t="e">
        <f>M12/'Output-Calculation-sheet'!M11*'Output-Calculation-sheet'!#REF!</f>
        <v>#REF!</v>
      </c>
      <c r="N155" s="2" t="e">
        <f>N12/'Output-Calculation-sheet'!N11*'Output-Calculation-sheet'!#REF!</f>
        <v>#REF!</v>
      </c>
      <c r="O155" s="2" t="e">
        <f>O12/'Output-Calculation-sheet'!O11*'Output-Calculation-sheet'!#REF!</f>
        <v>#REF!</v>
      </c>
      <c r="P155" s="2" t="e">
        <f>P12/'Output-Calculation-sheet'!P11*'Output-Calculation-sheet'!#REF!</f>
        <v>#REF!</v>
      </c>
      <c r="Q155" s="2" t="e">
        <f>Q12/'Output-Calculation-sheet'!Q11*'Output-Calculation-sheet'!#REF!</f>
        <v>#REF!</v>
      </c>
      <c r="R155" s="2" t="e">
        <f>R12/'Output-Calculation-sheet'!R11*'Output-Calculation-sheet'!#REF!</f>
        <v>#REF!</v>
      </c>
      <c r="S155" s="2" t="e">
        <f>S12/'Output-Calculation-sheet'!S11*'Output-Calculation-sheet'!#REF!</f>
        <v>#REF!</v>
      </c>
      <c r="T155" s="2" t="e">
        <f>T12/'Output-Calculation-sheet'!T11*'Output-Calculation-sheet'!#REF!</f>
        <v>#REF!</v>
      </c>
      <c r="U155" s="2" t="e">
        <f>U12/'Output-Calculation-sheet'!U11*'Output-Calculation-sheet'!#REF!</f>
        <v>#REF!</v>
      </c>
      <c r="V155" s="2" t="e">
        <f>V12/'Output-Calculation-sheet'!V11*'Output-Calculation-sheet'!#REF!</f>
        <v>#REF!</v>
      </c>
      <c r="W155" s="2" t="e">
        <f>W12/'Output-Calculation-sheet'!W11*'Output-Calculation-sheet'!#REF!</f>
        <v>#REF!</v>
      </c>
      <c r="X155" s="2" t="e">
        <f>X12/'Output-Calculation-sheet'!X11*'Output-Calculation-sheet'!#REF!</f>
        <v>#REF!</v>
      </c>
      <c r="Y155" s="2" t="e">
        <f>Y12/'Output-Calculation-sheet'!Y11*'Output-Calculation-sheet'!#REF!</f>
        <v>#REF!</v>
      </c>
      <c r="AA155" s="2" t="e">
        <f t="shared" si="12"/>
        <v>#REF!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ADE203A1EFB4997D449526F0A5C97" ma:contentTypeVersion="13" ma:contentTypeDescription="Create a new document." ma:contentTypeScope="" ma:versionID="581acb3a66b1c2a307adfd25d68fa99d">
  <xsd:schema xmlns:xsd="http://www.w3.org/2001/XMLSchema" xmlns:xs="http://www.w3.org/2001/XMLSchema" xmlns:p="http://schemas.microsoft.com/office/2006/metadata/properties" xmlns:ns3="638fde4d-4733-4413-a545-97af835878db" targetNamespace="http://schemas.microsoft.com/office/2006/metadata/properties" ma:root="true" ma:fieldsID="bb1c74c3d057a685fe62bdae7bfe06c9" ns3:_="">
    <xsd:import namespace="638fde4d-4733-4413-a545-97af835878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fde4d-4733-4413-a545-97af835878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8DCF94-B373-47EA-825C-B399A97040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CE0649-E888-4AA1-B697-9D25F911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8fde4d-4733-4413-a545-97af83587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FCA05AE-D745-4D73-AC5B-AAF313E804C2}">
  <ds:schemaRefs>
    <ds:schemaRef ds:uri="http://purl.org/dc/elements/1.1/"/>
    <ds:schemaRef ds:uri="http://schemas.microsoft.com/office/2006/metadata/properties"/>
    <ds:schemaRef ds:uri="638fde4d-4733-4413-a545-97af835878d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Low</vt:lpstr>
      <vt:lpstr>Peak 2035-Fast-Medium</vt:lpstr>
      <vt:lpstr>Peak 2035-Nominal-Medium</vt:lpstr>
      <vt:lpstr>Peak 2035-No Change-Medium</vt:lpstr>
      <vt:lpstr>Peak 2033-Fast-Medium</vt:lpstr>
      <vt:lpstr>Peak 2033-Nominal-Medium</vt:lpstr>
      <vt:lpstr>Peak 2033-No Change-Medium</vt:lpstr>
      <vt:lpstr>Peak 2031-Fast-Medium</vt:lpstr>
      <vt:lpstr>Peak 2031-Nominal-Medium</vt:lpstr>
      <vt:lpstr>Peak 2031-No Change-Medium</vt:lpstr>
      <vt:lpstr>Peak 2035-Fast-High</vt:lpstr>
      <vt:lpstr>Peak 2035-Nominal-High</vt:lpstr>
      <vt:lpstr>Peak 2035-No Change-High</vt:lpstr>
      <vt:lpstr>Peak 2033-Fast-High</vt:lpstr>
      <vt:lpstr>Peak 2033-Nominal-High</vt:lpstr>
      <vt:lpstr>Peak 2033-No Change-High</vt:lpstr>
      <vt:lpstr>Peak 2031-Fast-High</vt:lpstr>
      <vt:lpstr>Peak 2031-Nominal-High</vt:lpstr>
      <vt:lpstr>Peak 2031-No Change-High</vt:lpstr>
      <vt:lpstr>Output-Calculation-sheet</vt:lpstr>
      <vt:lpstr>Rough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2026-02-20T16:18:50Z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0x010100C37ADE203A1EFB4997D449526F0A5C97</vt:lpwstr>
  </property>
</Properties>
</file>