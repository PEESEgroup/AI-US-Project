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LC\SSP2-45\"/>
    </mc:Choice>
  </mc:AlternateContent>
  <xr:revisionPtr revIDLastSave="0" documentId="13_ncr:1_{52EF7A28-707E-45D6-AC9A-684DF4610A69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<sst xmlns="http://schemas.openxmlformats.org/spreadsheetml/2006/main" count="1001" uniqueCount="55">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</sst>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1717.6897117981662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535.89590283840755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369.72735539137568</v>
      </c>
      <c r="N16" s="2">
        <f>N5/'Output-Calculation-sheet'!N4*'Output-Calculation-sheet'!N22</f>
        <v>0</v>
      </c>
      <c r="O16" s="2">
        <f>O5/'Output-Calculation-sheet'!O4*'Output-Calculation-sheet'!O22</f>
        <v>333.74363847429015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40.042689274825726</v>
      </c>
      <c r="Y16" s="2">
        <f>Y5/'Output-Calculation-sheet'!Y4*'Output-Calculation-sheet'!Y22</f>
        <v>0</v>
      </c>
      <c r="AA16" s="2">
        <f>SUM(B16:Y16)/1000</f>
        <v>2.9970992977770647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4616.1594293206508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1361.2688260627315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939.68456778777102</v>
      </c>
      <c r="N17" s="2">
        <f>N6/'Output-Calculation-sheet'!N5*'Output-Calculation-sheet'!N23</f>
        <v>0</v>
      </c>
      <c r="O17" s="2">
        <f>O6/'Output-Calculation-sheet'!O5*'Output-Calculation-sheet'!O23</f>
        <v>902.56425141878651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104.48753231084714</v>
      </c>
      <c r="Y17" s="2">
        <f>Y6/'Output-Calculation-sheet'!Y5*'Output-Calculation-sheet'!Y23</f>
        <v>0</v>
      </c>
      <c r="AA17" s="2">
        <f t="shared" ref="AA17:AA23" si="0">SUM(B17:Y17)/1000</f>
        <v>7.9241646069007867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8661.8052756984562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2591.1539542400064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1787.082615274719</v>
      </c>
      <c r="N18" s="2">
        <f>N7/'Output-Calculation-sheet'!N6*'Output-Calculation-sheet'!N24</f>
        <v>553.84537548532228</v>
      </c>
      <c r="O18" s="2">
        <f>O7/'Output-Calculation-sheet'!O6*'Output-Calculation-sheet'!O24</f>
        <v>1676.2161492763641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121.07977262799619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200.36808649788145</v>
      </c>
      <c r="Y18" s="2">
        <f>Y7/'Output-Calculation-sheet'!Y6*'Output-Calculation-sheet'!Y24</f>
        <v>0</v>
      </c>
      <c r="AA18" s="2">
        <f t="shared" si="0"/>
        <v>15.591551229100745</v>
      </c>
    </row>
    <row r="19" spans="1:27" x14ac:dyDescent="0.25">
      <c r="A19" s="2">
        <v>2031</v>
      </c>
      <c r="B19" s="2">
        <f>B8/'Output-Calculation-sheet'!B7*'Output-Calculation-sheet'!B25</f>
        <v>826.69037179480028</v>
      </c>
      <c r="C19" s="2">
        <f>C8/'Output-Calculation-sheet'!C7*'Output-Calculation-sheet'!C25</f>
        <v>12460.90042028795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3717.4886223621083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2577.2156149886205</v>
      </c>
      <c r="N19" s="2">
        <f>N8/'Output-Calculation-sheet'!N7*'Output-Calculation-sheet'!N25</f>
        <v>882.343766091769</v>
      </c>
      <c r="O19" s="2">
        <f>O8/'Output-Calculation-sheet'!O7*'Output-Calculation-sheet'!O25</f>
        <v>2410.1902410139919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314.83418457568757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287.95239115601595</v>
      </c>
      <c r="Y19" s="2">
        <f>Y8/'Output-Calculation-sheet'!Y7*'Output-Calculation-sheet'!Y25</f>
        <v>0</v>
      </c>
      <c r="AA19" s="2">
        <f t="shared" si="0"/>
        <v>23.477615612270949</v>
      </c>
    </row>
    <row r="20" spans="1:27" x14ac:dyDescent="0.25">
      <c r="A20" s="2">
        <v>2032</v>
      </c>
      <c r="B20" s="2">
        <f>B9/'Output-Calculation-sheet'!B8*'Output-Calculation-sheet'!B26</f>
        <v>4283.433888701773</v>
      </c>
      <c r="C20" s="2">
        <f>C9/'Output-Calculation-sheet'!C8*'Output-Calculation-sheet'!C26</f>
        <v>15686.54234734802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4654.481525166354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3238.3951641604845</v>
      </c>
      <c r="N20" s="2">
        <f>N9/'Output-Calculation-sheet'!N8*'Output-Calculation-sheet'!N26</f>
        <v>1461.310752837835</v>
      </c>
      <c r="O20" s="2">
        <f>O9/'Output-Calculation-sheet'!O8*'Output-Calculation-sheet'!O26</f>
        <v>3056.454414857441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531.08000131952338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362.30754942914137</v>
      </c>
      <c r="Y20" s="2">
        <f>Y9/'Output-Calculation-sheet'!Y8*'Output-Calculation-sheet'!Y26</f>
        <v>0</v>
      </c>
      <c r="AA20" s="2">
        <f t="shared" si="0"/>
        <v>33.274005643820573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18181.750436610408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5594.6376948249463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3885.9263991402136</v>
      </c>
      <c r="N21" s="2">
        <f>N10/'Output-Calculation-sheet'!N9*'Output-Calculation-sheet'!N27</f>
        <v>2125.484267418432</v>
      </c>
      <c r="O21" s="2">
        <f>O10/'Output-Calculation-sheet'!O9*'Output-Calculation-sheet'!O27</f>
        <v>3207.3138146094198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925.29457339848022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456.96206356563221</v>
      </c>
      <c r="Y21" s="2">
        <f>Y10/'Output-Calculation-sheet'!Y9*'Output-Calculation-sheet'!Y27</f>
        <v>0</v>
      </c>
      <c r="AA21" s="2">
        <f t="shared" si="0"/>
        <v>44.199457288324545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18754.046838468556</v>
      </c>
      <c r="D22" s="2">
        <f>D11/'Output-Calculation-sheet'!D10*'Output-Calculation-sheet'!D28</f>
        <v>0</v>
      </c>
      <c r="E22" s="2">
        <f>E11/'Output-Calculation-sheet'!E10*'Output-Calculation-sheet'!E28</f>
        <v>924.15981333169498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7387.7128338447346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560.22479575860598</v>
      </c>
      <c r="M22" s="2">
        <f>M11/'Output-Calculation-sheet'!M10*'Output-Calculation-sheet'!M28</f>
        <v>5090.8688987399337</v>
      </c>
      <c r="N22" s="2">
        <f>N11/'Output-Calculation-sheet'!N10*'Output-Calculation-sheet'!N28</f>
        <v>2929.8234090118062</v>
      </c>
      <c r="O22" s="2">
        <f>O11/'Output-Calculation-sheet'!O10*'Output-Calculation-sheet'!O28</f>
        <v>3356.2530499164272</v>
      </c>
      <c r="P22" s="2">
        <f>P11/'Output-Calculation-sheet'!P10*'Output-Calculation-sheet'!P28</f>
        <v>0</v>
      </c>
      <c r="Q22" s="2">
        <f>Q11/'Output-Calculation-sheet'!Q10*'Output-Calculation-sheet'!Q28</f>
        <v>1098.7997203705513</v>
      </c>
      <c r="R22" s="2">
        <f>R11/'Output-Calculation-sheet'!R10*'Output-Calculation-sheet'!R28</f>
        <v>0</v>
      </c>
      <c r="S22" s="2">
        <f>S11/'Output-Calculation-sheet'!S10*'Output-Calculation-sheet'!S28</f>
        <v>1485.8367416130982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514.03807778912824</v>
      </c>
      <c r="Y22" s="2">
        <f>Y11/'Output-Calculation-sheet'!Y10*'Output-Calculation-sheet'!Y28</f>
        <v>51.13416796275736</v>
      </c>
      <c r="AA22" s="2">
        <f t="shared" si="0"/>
        <v>60.545301463494084</v>
      </c>
    </row>
    <row r="23" spans="1:27" x14ac:dyDescent="0.25">
      <c r="A23" s="2">
        <v>2035</v>
      </c>
      <c r="B23" s="2">
        <f>B12/'Output-Calculation-sheet'!B11*'Output-Calculation-sheet'!B29</f>
        <v>22728.422958240659</v>
      </c>
      <c r="C23" s="2">
        <f>C12/'Output-Calculation-sheet'!C11*'Output-Calculation-sheet'!C29</f>
        <v>19438.334325675391</v>
      </c>
      <c r="D23" s="2">
        <f>D12/'Output-Calculation-sheet'!D11*'Output-Calculation-sheet'!D29</f>
        <v>0</v>
      </c>
      <c r="E23" s="2">
        <f>E12/'Output-Calculation-sheet'!E11*'Output-Calculation-sheet'!E29</f>
        <v>4339.9130167279136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7541.803862715692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1269.3111419559409</v>
      </c>
      <c r="M23" s="2">
        <f>M12/'Output-Calculation-sheet'!M11*'Output-Calculation-sheet'!M29</f>
        <v>5706.2556893236933</v>
      </c>
      <c r="N23" s="2">
        <f>N12/'Output-Calculation-sheet'!N11*'Output-Calculation-sheet'!N29</f>
        <v>3335.2686734391968</v>
      </c>
      <c r="O23" s="2">
        <f>O12/'Output-Calculation-sheet'!O11*'Output-Calculation-sheet'!O29</f>
        <v>3477.0259422250338</v>
      </c>
      <c r="P23" s="2">
        <f>P12/'Output-Calculation-sheet'!P11*'Output-Calculation-sheet'!P29</f>
        <v>458.16078981500294</v>
      </c>
      <c r="Q23" s="2">
        <f>Q12/'Output-Calculation-sheet'!Q11*'Output-Calculation-sheet'!Q29</f>
        <v>1459.628333018976</v>
      </c>
      <c r="R23" s="2">
        <f>R12/'Output-Calculation-sheet'!R11*'Output-Calculation-sheet'!R29</f>
        <v>0</v>
      </c>
      <c r="S23" s="2">
        <f>S12/'Output-Calculation-sheet'!S11*'Output-Calculation-sheet'!S29</f>
        <v>1732.8634858542489</v>
      </c>
      <c r="T23" s="2">
        <f>T12/'Output-Calculation-sheet'!T11*'Output-Calculation-sheet'!T29</f>
        <v>0</v>
      </c>
      <c r="U23" s="2">
        <f>U12/'Output-Calculation-sheet'!U11*'Output-Calculation-sheet'!U29</f>
        <v>100.56177289976067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540.4806489211303</v>
      </c>
      <c r="Y23" s="2">
        <f>Y12/'Output-Calculation-sheet'!Y11*'Output-Calculation-sheet'!Y29</f>
        <v>173.20756646167933</v>
      </c>
      <c r="AA23" s="2">
        <f t="shared" si="0"/>
        <v>72.301238207274324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2168.4179502480833</v>
      </c>
      <c r="C27" s="2">
        <f>C5/'Output-Calculation-sheet'!C4*'Output-Calculation-sheet'!C13</f>
        <v>0</v>
      </c>
      <c r="D27" s="2">
        <f>D5/'Output-Calculation-sheet'!D4*'Output-Calculation-sheet'!D13</f>
        <v>387.3625095680614</v>
      </c>
      <c r="E27" s="2">
        <f>E5/'Output-Calculation-sheet'!E4*'Output-Calculation-sheet'!E13</f>
        <v>416.75420472560523</v>
      </c>
      <c r="F27" s="2">
        <f>F5/'Output-Calculation-sheet'!F4*'Output-Calculation-sheet'!F13</f>
        <v>210.27226744087841</v>
      </c>
      <c r="G27" s="2">
        <f>G5/'Output-Calculation-sheet'!G4*'Output-Calculation-sheet'!G13</f>
        <v>137.6969820975693</v>
      </c>
      <c r="H27" s="2">
        <f>H5/'Output-Calculation-sheet'!H4*'Output-Calculation-sheet'!H13</f>
        <v>0</v>
      </c>
      <c r="I27" s="2">
        <f>I5/'Output-Calculation-sheet'!I4*'Output-Calculation-sheet'!I13</f>
        <v>134.23708372142337</v>
      </c>
      <c r="J27" s="2">
        <f>J5/'Output-Calculation-sheet'!J4*'Output-Calculation-sheet'!J13</f>
        <v>119.49712886588522</v>
      </c>
      <c r="K27" s="2">
        <f>K5/'Output-Calculation-sheet'!K4*'Output-Calculation-sheet'!K13</f>
        <v>159.54426378509521</v>
      </c>
      <c r="L27" s="2">
        <f>L5/'Output-Calculation-sheet'!L4*'Output-Calculation-sheet'!L13</f>
        <v>134.76318599199658</v>
      </c>
      <c r="M27" s="2">
        <f>M5/'Output-Calculation-sheet'!M4*'Output-Calculation-sheet'!M13</f>
        <v>0</v>
      </c>
      <c r="N27" s="2">
        <f>N5/'Output-Calculation-sheet'!N4*'Output-Calculation-sheet'!N13</f>
        <v>258.66272783157029</v>
      </c>
      <c r="O27" s="2">
        <f>O5/'Output-Calculation-sheet'!O4*'Output-Calculation-sheet'!O13</f>
        <v>0</v>
      </c>
      <c r="P27" s="2">
        <f>P5/'Output-Calculation-sheet'!P4*'Output-Calculation-sheet'!P13</f>
        <v>158.02181472811503</v>
      </c>
      <c r="Q27" s="2">
        <f>Q5/'Output-Calculation-sheet'!Q4*'Output-Calculation-sheet'!Q13</f>
        <v>175.86098471331613</v>
      </c>
      <c r="R27" s="2">
        <f>R5/'Output-Calculation-sheet'!R4*'Output-Calculation-sheet'!R13</f>
        <v>118.88956965713226</v>
      </c>
      <c r="S27" s="2">
        <f>S5/'Output-Calculation-sheet'!S4*'Output-Calculation-sheet'!S13</f>
        <v>137.21645831932483</v>
      </c>
      <c r="T27" s="2">
        <f>T5/'Output-Calculation-sheet'!T4*'Output-Calculation-sheet'!T13</f>
        <v>36.035341649726895</v>
      </c>
      <c r="U27" s="2">
        <f>U5/'Output-Calculation-sheet'!U4*'Output-Calculation-sheet'!U13</f>
        <v>35.972209631230882</v>
      </c>
      <c r="V27" s="2">
        <f>V5/'Output-Calculation-sheet'!V4*'Output-Calculation-sheet'!V13</f>
        <v>27.996477773935315</v>
      </c>
      <c r="W27" s="2">
        <f>W5/'Output-Calculation-sheet'!W4*'Output-Calculation-sheet'!W13</f>
        <v>16.980248955133693</v>
      </c>
      <c r="X27" s="2">
        <f>X5/'Output-Calculation-sheet'!X4*'Output-Calculation-sheet'!X13</f>
        <v>0</v>
      </c>
      <c r="Y27" s="2">
        <f>Y5/'Output-Calculation-sheet'!Y4*'Output-Calculation-sheet'!Y13</f>
        <v>14.356919846048267</v>
      </c>
      <c r="AA27" s="2">
        <f>SUM(B27:Y27)/1000</f>
        <v>4.8485383295501316</v>
      </c>
    </row>
    <row r="28" spans="1:27" x14ac:dyDescent="0.25">
      <c r="A28" s="2">
        <v>2029</v>
      </c>
      <c r="B28" s="2">
        <f>B6/'Output-Calculation-sheet'!B5*'Output-Calculation-sheet'!B14</f>
        <v>5450.6267810248974</v>
      </c>
      <c r="C28" s="2">
        <f>C6/'Output-Calculation-sheet'!C5*'Output-Calculation-sheet'!C14</f>
        <v>0</v>
      </c>
      <c r="D28" s="2">
        <f>D6/'Output-Calculation-sheet'!D5*'Output-Calculation-sheet'!D14</f>
        <v>973.62094107687381</v>
      </c>
      <c r="E28" s="2">
        <f>E6/'Output-Calculation-sheet'!E5*'Output-Calculation-sheet'!E14</f>
        <v>1047.5874761883697</v>
      </c>
      <c r="F28" s="2">
        <f>F6/'Output-Calculation-sheet'!F5*'Output-Calculation-sheet'!F14</f>
        <v>528.5134562351293</v>
      </c>
      <c r="G28" s="2">
        <f>G6/'Output-Calculation-sheet'!G5*'Output-Calculation-sheet'!G14</f>
        <v>346.11354143701686</v>
      </c>
      <c r="H28" s="2">
        <f>H6/'Output-Calculation-sheet'!H5*'Output-Calculation-sheet'!H14</f>
        <v>0</v>
      </c>
      <c r="I28" s="2">
        <f>I6/'Output-Calculation-sheet'!I5*'Output-Calculation-sheet'!I14</f>
        <v>337.41678089994491</v>
      </c>
      <c r="J28" s="2">
        <f>J6/'Output-Calculation-sheet'!J5*'Output-Calculation-sheet'!J14</f>
        <v>300.35096003923604</v>
      </c>
      <c r="K28" s="2">
        <f>K6/'Output-Calculation-sheet'!K5*'Output-Calculation-sheet'!K14</f>
        <v>401.0286159757141</v>
      </c>
      <c r="L28" s="2">
        <f>L6/'Output-Calculation-sheet'!L5*'Output-Calculation-sheet'!L14</f>
        <v>338.73918548174697</v>
      </c>
      <c r="M28" s="2">
        <f>M6/'Output-Calculation-sheet'!M5*'Output-Calculation-sheet'!M14</f>
        <v>0</v>
      </c>
      <c r="N28" s="2">
        <f>N6/'Output-Calculation-sheet'!N5*'Output-Calculation-sheet'!N14</f>
        <v>650.18315222105377</v>
      </c>
      <c r="O28" s="2">
        <f>O6/'Output-Calculation-sheet'!O5*'Output-Calculation-sheet'!O14</f>
        <v>0</v>
      </c>
      <c r="P28" s="2">
        <f>P6/'Output-Calculation-sheet'!P5*'Output-Calculation-sheet'!P14</f>
        <v>397.20180563650507</v>
      </c>
      <c r="Q28" s="2">
        <f>Q6/'Output-Calculation-sheet'!Q5*'Output-Calculation-sheet'!Q14</f>
        <v>442.052222801384</v>
      </c>
      <c r="R28" s="2">
        <f>R6/'Output-Calculation-sheet'!R5*'Output-Calculation-sheet'!R14</f>
        <v>298.83944707513916</v>
      </c>
      <c r="S28" s="2">
        <f>S6/'Output-Calculation-sheet'!S5*'Output-Calculation-sheet'!S14</f>
        <v>344.9123012191252</v>
      </c>
      <c r="T28" s="2">
        <f>T6/'Output-Calculation-sheet'!T5*'Output-Calculation-sheet'!T14</f>
        <v>90.578017944083726</v>
      </c>
      <c r="U28" s="2">
        <f>U6/'Output-Calculation-sheet'!U5*'Output-Calculation-sheet'!U14</f>
        <v>90.416112033859392</v>
      </c>
      <c r="V28" s="2">
        <f>V6/'Output-Calculation-sheet'!V5*'Output-Calculation-sheet'!V14</f>
        <v>70.36914132381834</v>
      </c>
      <c r="W28" s="2">
        <f>W6/'Output-Calculation-sheet'!W5*'Output-Calculation-sheet'!W14</f>
        <v>42.683506039201419</v>
      </c>
      <c r="X28" s="2">
        <f>X6/'Output-Calculation-sheet'!X5*'Output-Calculation-sheet'!X14</f>
        <v>0</v>
      </c>
      <c r="Y28" s="2">
        <f>Y6/'Output-Calculation-sheet'!Y5*'Output-Calculation-sheet'!Y14</f>
        <v>36.087387656195219</v>
      </c>
      <c r="AA28" s="2">
        <f t="shared" ref="AA28:AA34" si="1">SUM(B28:Y28)/1000</f>
        <v>12.187320832309293</v>
      </c>
    </row>
    <row r="29" spans="1:27" x14ac:dyDescent="0.25">
      <c r="A29" s="2">
        <v>2030</v>
      </c>
      <c r="B29" s="2">
        <f>B7/'Output-Calculation-sheet'!B6*'Output-Calculation-sheet'!B15</f>
        <v>9680.8503427449596</v>
      </c>
      <c r="C29" s="2">
        <f>C7/'Output-Calculation-sheet'!C6*'Output-Calculation-sheet'!C15</f>
        <v>0</v>
      </c>
      <c r="D29" s="2">
        <f>D7/'Output-Calculation-sheet'!D6*'Output-Calculation-sheet'!D15</f>
        <v>1693.4769059434007</v>
      </c>
      <c r="E29" s="2">
        <f>E7/'Output-Calculation-sheet'!E6*'Output-Calculation-sheet'!E15</f>
        <v>1822.0781812598548</v>
      </c>
      <c r="F29" s="2">
        <f>F7/'Output-Calculation-sheet'!F6*'Output-Calculation-sheet'!F15</f>
        <v>919.27371928240984</v>
      </c>
      <c r="G29" s="2">
        <f>G7/'Output-Calculation-sheet'!G6*'Output-Calculation-sheet'!G15</f>
        <v>602.00580669751787</v>
      </c>
      <c r="H29" s="2">
        <f>H7/'Output-Calculation-sheet'!H6*'Output-Calculation-sheet'!H15</f>
        <v>0</v>
      </c>
      <c r="I29" s="2">
        <f>I7/'Output-Calculation-sheet'!I6*'Output-Calculation-sheet'!I15</f>
        <v>586.87926665797454</v>
      </c>
      <c r="J29" s="2">
        <f>J7/'Output-Calculation-sheet'!J6*'Output-Calculation-sheet'!J15</f>
        <v>522.4186255892356</v>
      </c>
      <c r="K29" s="2">
        <f>K7/'Output-Calculation-sheet'!K6*'Output-Calculation-sheet'!K15</f>
        <v>697.53927685320855</v>
      </c>
      <c r="L29" s="2">
        <f>L7/'Output-Calculation-sheet'!L6*'Output-Calculation-sheet'!L15</f>
        <v>589.19368683115022</v>
      </c>
      <c r="M29" s="2">
        <f>M7/'Output-Calculation-sheet'!M6*'Output-Calculation-sheet'!M15</f>
        <v>0</v>
      </c>
      <c r="N29" s="2">
        <f>N7/'Output-Calculation-sheet'!N6*'Output-Calculation-sheet'!N15</f>
        <v>760.16919619477528</v>
      </c>
      <c r="O29" s="2">
        <f>O7/'Output-Calculation-sheet'!O6*'Output-Calculation-sheet'!O15</f>
        <v>0</v>
      </c>
      <c r="P29" s="2">
        <f>P7/'Output-Calculation-sheet'!P6*'Output-Calculation-sheet'!P15</f>
        <v>690.86517803126105</v>
      </c>
      <c r="Q29" s="2">
        <f>Q7/'Output-Calculation-sheet'!Q6*'Output-Calculation-sheet'!Q15</f>
        <v>778.47067775385005</v>
      </c>
      <c r="R29" s="2">
        <f>R7/'Output-Calculation-sheet'!R6*'Output-Calculation-sheet'!R15</f>
        <v>519.78053693760717</v>
      </c>
      <c r="S29" s="2">
        <f>S7/'Output-Calculation-sheet'!S6*'Output-Calculation-sheet'!S15</f>
        <v>536.87830172164774</v>
      </c>
      <c r="T29" s="2">
        <f>T7/'Output-Calculation-sheet'!T6*'Output-Calculation-sheet'!T15</f>
        <v>157.54510076403079</v>
      </c>
      <c r="U29" s="2">
        <f>U7/'Output-Calculation-sheet'!U6*'Output-Calculation-sheet'!U15</f>
        <v>157.26535861244582</v>
      </c>
      <c r="V29" s="2">
        <f>V7/'Output-Calculation-sheet'!V6*'Output-Calculation-sheet'!V15</f>
        <v>122.39662581881235</v>
      </c>
      <c r="W29" s="2">
        <f>W7/'Output-Calculation-sheet'!W6*'Output-Calculation-sheet'!W15</f>
        <v>74.239474152718984</v>
      </c>
      <c r="X29" s="2">
        <f>X7/'Output-Calculation-sheet'!X6*'Output-Calculation-sheet'!X15</f>
        <v>0</v>
      </c>
      <c r="Y29" s="2">
        <f>Y7/'Output-Calculation-sheet'!Y6*'Output-Calculation-sheet'!Y15</f>
        <v>62.767890638936969</v>
      </c>
      <c r="AA29" s="2">
        <f t="shared" si="1"/>
        <v>20.974094152485797</v>
      </c>
    </row>
    <row r="30" spans="1:27" x14ac:dyDescent="0.25">
      <c r="A30" s="2">
        <v>2031</v>
      </c>
      <c r="B30" s="2">
        <f>B8/'Output-Calculation-sheet'!B7*'Output-Calculation-sheet'!B16</f>
        <v>14408.944633028175</v>
      </c>
      <c r="C30" s="2">
        <f>C8/'Output-Calculation-sheet'!C7*'Output-Calculation-sheet'!C16</f>
        <v>0</v>
      </c>
      <c r="D30" s="2">
        <f>D8/'Output-Calculation-sheet'!D7*'Output-Calculation-sheet'!D16</f>
        <v>2426.2757949240959</v>
      </c>
      <c r="E30" s="2">
        <f>E8/'Output-Calculation-sheet'!E7*'Output-Calculation-sheet'!E16</f>
        <v>2610.5356759530309</v>
      </c>
      <c r="F30" s="2">
        <f>F8/'Output-Calculation-sheet'!F7*'Output-Calculation-sheet'!F16</f>
        <v>1317.0291398891804</v>
      </c>
      <c r="G30" s="2">
        <f>G8/'Output-Calculation-sheet'!G7*'Output-Calculation-sheet'!G16</f>
        <v>862.49766094885206</v>
      </c>
      <c r="H30" s="2">
        <f>H8/'Output-Calculation-sheet'!H7*'Output-Calculation-sheet'!H16</f>
        <v>0</v>
      </c>
      <c r="I30" s="2">
        <f>I8/'Output-Calculation-sheet'!I7*'Output-Calculation-sheet'!I16</f>
        <v>840.80607652168567</v>
      </c>
      <c r="J30" s="2">
        <f>J8/'Output-Calculation-sheet'!J7*'Output-Calculation-sheet'!J16</f>
        <v>748.47908150005264</v>
      </c>
      <c r="K30" s="2">
        <f>K8/'Output-Calculation-sheet'!K7*'Output-Calculation-sheet'!K16</f>
        <v>999.36263795074433</v>
      </c>
      <c r="L30" s="2">
        <f>L8/'Output-Calculation-sheet'!L7*'Output-Calculation-sheet'!L16</f>
        <v>844.13652323847998</v>
      </c>
      <c r="M30" s="2">
        <f>M8/'Output-Calculation-sheet'!M7*'Output-Calculation-sheet'!M16</f>
        <v>0</v>
      </c>
      <c r="N30" s="2">
        <f>N8/'Output-Calculation-sheet'!N7*'Output-Calculation-sheet'!N16</f>
        <v>1199.024813794683</v>
      </c>
      <c r="O30" s="2">
        <f>O8/'Output-Calculation-sheet'!O7*'Output-Calculation-sheet'!O16</f>
        <v>0</v>
      </c>
      <c r="P30" s="2">
        <f>P8/'Output-Calculation-sheet'!P7*'Output-Calculation-sheet'!P16</f>
        <v>1077.6441594926641</v>
      </c>
      <c r="Q30" s="2">
        <f>Q8/'Output-Calculation-sheet'!Q7*'Output-Calculation-sheet'!Q16</f>
        <v>1185.0526728597515</v>
      </c>
      <c r="R30" s="2">
        <f>R8/'Output-Calculation-sheet'!R7*'Output-Calculation-sheet'!R16</f>
        <v>751.92107162365403</v>
      </c>
      <c r="S30" s="2">
        <f>S8/'Output-Calculation-sheet'!S7*'Output-Calculation-sheet'!S16</f>
        <v>756.21211026712785</v>
      </c>
      <c r="T30" s="2">
        <f>T8/'Output-Calculation-sheet'!T7*'Output-Calculation-sheet'!T16</f>
        <v>225.71589740695438</v>
      </c>
      <c r="U30" s="2">
        <f>U8/'Output-Calculation-sheet'!U7*'Output-Calculation-sheet'!U16</f>
        <v>225.31243596397678</v>
      </c>
      <c r="V30" s="2">
        <f>V8/'Output-Calculation-sheet'!V7*'Output-Calculation-sheet'!V16</f>
        <v>175.35638606563165</v>
      </c>
      <c r="W30" s="2">
        <f>W8/'Output-Calculation-sheet'!W7*'Output-Calculation-sheet'!W16</f>
        <v>106.36248830891378</v>
      </c>
      <c r="X30" s="2">
        <f>X8/'Output-Calculation-sheet'!X7*'Output-Calculation-sheet'!X16</f>
        <v>0</v>
      </c>
      <c r="Y30" s="2">
        <f>Y8/'Output-Calculation-sheet'!Y7*'Output-Calculation-sheet'!Y16</f>
        <v>90.0237542843726</v>
      </c>
      <c r="AA30" s="2">
        <f t="shared" si="1"/>
        <v>30.850693014022028</v>
      </c>
    </row>
    <row r="31" spans="1:27" x14ac:dyDescent="0.25">
      <c r="A31" s="2">
        <v>2032</v>
      </c>
      <c r="B31" s="2">
        <f>B9/'Output-Calculation-sheet'!B8*'Output-Calculation-sheet'!B17</f>
        <v>18137.47427774081</v>
      </c>
      <c r="C31" s="2">
        <f>C9/'Output-Calculation-sheet'!C8*'Output-Calculation-sheet'!C17</f>
        <v>0</v>
      </c>
      <c r="D31" s="2">
        <f>D9/'Output-Calculation-sheet'!D8*'Output-Calculation-sheet'!D17</f>
        <v>3041.8925748761212</v>
      </c>
      <c r="E31" s="2">
        <f>E9/'Output-Calculation-sheet'!E8*'Output-Calculation-sheet'!E17</f>
        <v>3575.3291134201008</v>
      </c>
      <c r="F31" s="2">
        <f>F9/'Output-Calculation-sheet'!F8*'Output-Calculation-sheet'!F17</f>
        <v>1651.237980855102</v>
      </c>
      <c r="G31" s="2">
        <f>G9/'Output-Calculation-sheet'!G8*'Output-Calculation-sheet'!G17</f>
        <v>1081.3547386840125</v>
      </c>
      <c r="H31" s="2">
        <f>H9/'Output-Calculation-sheet'!H8*'Output-Calculation-sheet'!H17</f>
        <v>0</v>
      </c>
      <c r="I31" s="2">
        <f>I9/'Output-Calculation-sheet'!I8*'Output-Calculation-sheet'!I17</f>
        <v>1054.1638951851369</v>
      </c>
      <c r="J31" s="2">
        <f>J9/'Output-Calculation-sheet'!J8*'Output-Calculation-sheet'!J17</f>
        <v>938.40905655705978</v>
      </c>
      <c r="K31" s="2">
        <f>K9/'Output-Calculation-sheet'!K8*'Output-Calculation-sheet'!K17</f>
        <v>1336.0453353746086</v>
      </c>
      <c r="L31" s="2">
        <f>L9/'Output-Calculation-sheet'!L8*'Output-Calculation-sheet'!L17</f>
        <v>1139.4118002429004</v>
      </c>
      <c r="M31" s="2">
        <f>M9/'Output-Calculation-sheet'!M8*'Output-Calculation-sheet'!M17</f>
        <v>0</v>
      </c>
      <c r="N31" s="2">
        <f>N9/'Output-Calculation-sheet'!N8*'Output-Calculation-sheet'!N17</f>
        <v>1238.6571612956586</v>
      </c>
      <c r="O31" s="2">
        <f>O9/'Output-Calculation-sheet'!O8*'Output-Calculation-sheet'!O17</f>
        <v>0</v>
      </c>
      <c r="P31" s="2">
        <f>P9/'Output-Calculation-sheet'!P8*'Output-Calculation-sheet'!P17</f>
        <v>1537.3657904666709</v>
      </c>
      <c r="Q31" s="2">
        <f>Q9/'Output-Calculation-sheet'!Q8*'Output-Calculation-sheet'!Q17</f>
        <v>1638.9731811166532</v>
      </c>
      <c r="R31" s="2">
        <f>R9/'Output-Calculation-sheet'!R8*'Output-Calculation-sheet'!R17</f>
        <v>1072.3028738148926</v>
      </c>
      <c r="S31" s="2">
        <f>S9/'Output-Calculation-sheet'!S8*'Output-Calculation-sheet'!S17</f>
        <v>922.66903645395757</v>
      </c>
      <c r="T31" s="2">
        <f>T9/'Output-Calculation-sheet'!T8*'Output-Calculation-sheet'!T17</f>
        <v>290.97721913279247</v>
      </c>
      <c r="U31" s="2">
        <f>U9/'Output-Calculation-sheet'!U8*'Output-Calculation-sheet'!U17</f>
        <v>334.42558877545628</v>
      </c>
      <c r="V31" s="2">
        <f>V9/'Output-Calculation-sheet'!V8*'Output-Calculation-sheet'!V17</f>
        <v>239.5331811084221</v>
      </c>
      <c r="W31" s="2">
        <f>W9/'Output-Calculation-sheet'!W8*'Output-Calculation-sheet'!W17</f>
        <v>133.35377353537737</v>
      </c>
      <c r="X31" s="2">
        <f>X9/'Output-Calculation-sheet'!X8*'Output-Calculation-sheet'!X17</f>
        <v>0</v>
      </c>
      <c r="Y31" s="2">
        <f>Y9/'Output-Calculation-sheet'!Y8*'Output-Calculation-sheet'!Y17</f>
        <v>128.8486366709657</v>
      </c>
      <c r="AA31" s="2">
        <f t="shared" si="1"/>
        <v>39.492425215306703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1195.9079092574773</v>
      </c>
      <c r="O32" s="2">
        <f>O10/'Output-Calculation-sheet'!O9*'Output-Calculation-sheet'!O18</f>
        <v>0</v>
      </c>
      <c r="P32" s="2">
        <f>P10/'Output-Calculation-sheet'!P9*'Output-Calculation-sheet'!P18</f>
        <v>1925.170098546226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1384.3980380035102</v>
      </c>
      <c r="S32" s="2">
        <f>S10/'Output-Calculation-sheet'!S9*'Output-Calculation-sheet'!S18</f>
        <v>904.78715091242998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446.91542760200883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47.154671554306915</v>
      </c>
    </row>
    <row r="33" spans="1:27" x14ac:dyDescent="0.25">
      <c r="A33" s="2">
        <v>2034</v>
      </c>
      <c r="B33" s="2">
        <f>B11/'Output-Calculation-sheet'!B10*'Output-Calculation-sheet'!B19</f>
        <v>18551.657899658261</v>
      </c>
      <c r="C33" s="2">
        <f>C11/'Output-Calculation-sheet'!C10*'Output-Calculation-sheet'!C19</f>
        <v>0</v>
      </c>
      <c r="D33" s="2">
        <f>D11/'Output-Calculation-sheet'!D10*'Output-Calculation-sheet'!D19</f>
        <v>5533.2064676469718</v>
      </c>
      <c r="E33" s="2">
        <f>E11/'Output-Calculation-sheet'!E10*'Output-Calculation-sheet'!E19</f>
        <v>6873.8145427143863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1883.7476083013144</v>
      </c>
      <c r="H33" s="2">
        <f>H11/'Output-Calculation-sheet'!H10*'Output-Calculation-sheet'!H19</f>
        <v>0</v>
      </c>
      <c r="I33" s="2">
        <f>I11/'Output-Calculation-sheet'!I10*'Output-Calculation-sheet'!I19</f>
        <v>2055.3133513308085</v>
      </c>
      <c r="J33" s="2">
        <f>J11/'Output-Calculation-sheet'!J10*'Output-Calculation-sheet'!J19</f>
        <v>1741.3495675975466</v>
      </c>
      <c r="K33" s="2">
        <f>K11/'Output-Calculation-sheet'!K10*'Output-Calculation-sheet'!K19</f>
        <v>2411.2578386757878</v>
      </c>
      <c r="L33" s="2">
        <f>L11/'Output-Calculation-sheet'!L10*'Output-Calculation-sheet'!L19</f>
        <v>1962.7182763742551</v>
      </c>
      <c r="M33" s="2">
        <f>M11/'Output-Calculation-sheet'!M10*'Output-Calculation-sheet'!M19</f>
        <v>0</v>
      </c>
      <c r="N33" s="2">
        <f>N11/'Output-Calculation-sheet'!N10*'Output-Calculation-sheet'!N19</f>
        <v>1108.957883724371</v>
      </c>
      <c r="O33" s="2">
        <f>O11/'Output-Calculation-sheet'!O10*'Output-Calculation-sheet'!O19</f>
        <v>0</v>
      </c>
      <c r="P33" s="2">
        <f>P11/'Output-Calculation-sheet'!P10*'Output-Calculation-sheet'!P19</f>
        <v>2440.1005130853828</v>
      </c>
      <c r="Q33" s="2">
        <f>Q11/'Output-Calculation-sheet'!Q10*'Output-Calculation-sheet'!Q19</f>
        <v>1953.7596583479944</v>
      </c>
      <c r="R33" s="2">
        <f>R11/'Output-Calculation-sheet'!R10*'Output-Calculation-sheet'!R19</f>
        <v>1742.1176568096307</v>
      </c>
      <c r="S33" s="2">
        <f>S11/'Output-Calculation-sheet'!S10*'Output-Calculation-sheet'!S19</f>
        <v>814.27843058535097</v>
      </c>
      <c r="T33" s="2">
        <f>T11/'Output-Calculation-sheet'!T10*'Output-Calculation-sheet'!T19</f>
        <v>511.20976481637496</v>
      </c>
      <c r="U33" s="2">
        <f>U11/'Output-Calculation-sheet'!U10*'Output-Calculation-sheet'!U19</f>
        <v>588.36241178654348</v>
      </c>
      <c r="V33" s="2">
        <f>V11/'Output-Calculation-sheet'!V10*'Output-Calculation-sheet'!V19</f>
        <v>401.42314183760988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78.944472481673188</v>
      </c>
      <c r="Y33" s="2">
        <f>Y11/'Output-Calculation-sheet'!Y10*'Output-Calculation-sheet'!Y19</f>
        <v>224.99033903613238</v>
      </c>
      <c r="AA33" s="2">
        <f t="shared" si="1"/>
        <v>54.27228090261999</v>
      </c>
    </row>
    <row r="34" spans="1:27" x14ac:dyDescent="0.25">
      <c r="A34" s="2">
        <v>2035</v>
      </c>
      <c r="B34" s="2">
        <f>B12/'Output-Calculation-sheet'!B11*'Output-Calculation-sheet'!B20</f>
        <v>17621.230211992995</v>
      </c>
      <c r="C34" s="2">
        <f>C12/'Output-Calculation-sheet'!C11*'Output-Calculation-sheet'!C20</f>
        <v>0</v>
      </c>
      <c r="D34" s="2">
        <f>D12/'Output-Calculation-sheet'!D11*'Output-Calculation-sheet'!D20</f>
        <v>6088.1415833871906</v>
      </c>
      <c r="E34" s="2">
        <f>E12/'Output-Calculation-sheet'!E11*'Output-Calculation-sheet'!E20</f>
        <v>5914.0420803487668</v>
      </c>
      <c r="F34" s="2">
        <f>F12/'Output-Calculation-sheet'!F11*'Output-Calculation-sheet'!F20</f>
        <v>3874.179297662045</v>
      </c>
      <c r="G34" s="2">
        <f>G12/'Output-Calculation-sheet'!G11*'Output-Calculation-sheet'!G20</f>
        <v>2055.661283849312</v>
      </c>
      <c r="H34" s="2">
        <f>H12/'Output-Calculation-sheet'!H11*'Output-Calculation-sheet'!H20</f>
        <v>0</v>
      </c>
      <c r="I34" s="2">
        <f>I12/'Output-Calculation-sheet'!I11*'Output-Calculation-sheet'!I20</f>
        <v>2364.8911235662868</v>
      </c>
      <c r="J34" s="2">
        <f>J12/'Output-Calculation-sheet'!J11*'Output-Calculation-sheet'!J20</f>
        <v>2006.6730792599342</v>
      </c>
      <c r="K34" s="2">
        <f>K12/'Output-Calculation-sheet'!K11*'Output-Calculation-sheet'!K20</f>
        <v>2826.4750530358815</v>
      </c>
      <c r="L34" s="2">
        <f>L12/'Output-Calculation-sheet'!L11*'Output-Calculation-sheet'!L20</f>
        <v>2063.0037695509691</v>
      </c>
      <c r="M34" s="2">
        <f>M12/'Output-Calculation-sheet'!M11*'Output-Calculation-sheet'!M20</f>
        <v>0</v>
      </c>
      <c r="N34" s="2">
        <f>N12/'Output-Calculation-sheet'!N11*'Output-Calculation-sheet'!N20</f>
        <v>1090.6587296888545</v>
      </c>
      <c r="O34" s="2">
        <f>O12/'Output-Calculation-sheet'!O11*'Output-Calculation-sheet'!O20</f>
        <v>0</v>
      </c>
      <c r="P34" s="2">
        <f>P12/'Output-Calculation-sheet'!P11*'Output-Calculation-sheet'!P20</f>
        <v>2461.6586118664331</v>
      </c>
      <c r="Q34" s="2">
        <f>Q12/'Output-Calculation-sheet'!Q11*'Output-Calculation-sheet'!Q20</f>
        <v>1824.7710286883323</v>
      </c>
      <c r="R34" s="2">
        <f>R12/'Output-Calculation-sheet'!R11*'Output-Calculation-sheet'!R20</f>
        <v>2071.8909574961135</v>
      </c>
      <c r="S34" s="2">
        <f>S12/'Output-Calculation-sheet'!S11*'Output-Calculation-sheet'!S20</f>
        <v>758.3482131733947</v>
      </c>
      <c r="T34" s="2">
        <f>T12/'Output-Calculation-sheet'!T11*'Output-Calculation-sheet'!T20</f>
        <v>618.93644799030244</v>
      </c>
      <c r="U34" s="2">
        <f>U12/'Output-Calculation-sheet'!U11*'Output-Calculation-sheet'!U20</f>
        <v>566.43677837804739</v>
      </c>
      <c r="V34" s="2">
        <f>V12/'Output-Calculation-sheet'!V11*'Output-Calculation-sheet'!V20</f>
        <v>547.44233054245649</v>
      </c>
      <c r="W34" s="2">
        <f>W12/'Output-Calculation-sheet'!W11*'Output-Calculation-sheet'!W20</f>
        <v>332.37978547621651</v>
      </c>
      <c r="X34" s="2">
        <f>X12/'Output-Calculation-sheet'!X11*'Output-Calculation-sheet'!X20</f>
        <v>70.32555804485888</v>
      </c>
      <c r="Y34" s="2">
        <f>Y12/'Output-Calculation-sheet'!Y11*'Output-Calculation-sheet'!Y20</f>
        <v>180.41740344449812</v>
      </c>
      <c r="AA34" s="2">
        <f t="shared" si="1"/>
        <v>55.337563327442886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0.78612454146906718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0.152722849866536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0.93884739133560324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0.78548672752722082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0.15259893977628322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0.95633798414068893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1.5707522226351529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0.30515490004515483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7.5208273619284167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8784.1420866571552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1460.5723037892799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1032.1792828982143</v>
      </c>
      <c r="N51" s="2">
        <f>N7/'Output-Calculation-sheet'!N6*'Output-Calculation-sheet'!N42</f>
        <v>0</v>
      </c>
      <c r="O51" s="2">
        <f>O7/'Output-Calculation-sheet'!O6*'Output-Calculation-sheet'!O42</f>
        <v>1818.6298111301369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146.01047319229338</v>
      </c>
      <c r="Y51" s="2">
        <f>Y7/'Output-Calculation-sheet'!Y6*'Output-Calculation-sheet'!Y42</f>
        <v>0</v>
      </c>
      <c r="AA51" s="2">
        <f t="shared" si="3"/>
        <v>13.24153395766708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24113.782439295726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5217.2897605647941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3590.0058963035144</v>
      </c>
      <c r="N52" s="2">
        <f>N8/'Output-Calculation-sheet'!N7*'Output-Calculation-sheet'!N43</f>
        <v>114.7447068084294</v>
      </c>
      <c r="O52" s="2">
        <f>O8/'Output-Calculation-sheet'!O7*'Output-Calculation-sheet'!O43</f>
        <v>4885.4303213756157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464.27408172421735</v>
      </c>
      <c r="Y52" s="2">
        <f>Y8/'Output-Calculation-sheet'!Y7*'Output-Calculation-sheet'!Y43</f>
        <v>0</v>
      </c>
      <c r="AA52" s="2">
        <f t="shared" si="3"/>
        <v>38.38552720607229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39872.489821322313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9338.4461628194222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6381.8529470942412</v>
      </c>
      <c r="N53" s="2">
        <f>N9/'Output-Calculation-sheet'!N8*'Output-Calculation-sheet'!N44</f>
        <v>2273.0030021104758</v>
      </c>
      <c r="O53" s="2">
        <f>O9/'Output-Calculation-sheet'!O8*'Output-Calculation-sheet'!O44</f>
        <v>7907.2505956008135</v>
      </c>
      <c r="P53" s="2">
        <f>P9/'Output-Calculation-sheet'!P8*'Output-Calculation-sheet'!P44</f>
        <v>106.32127669055531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709.20621294222053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798.05547114896501</v>
      </c>
      <c r="Y53" s="2">
        <f>Y9/'Output-Calculation-sheet'!Y8*'Output-Calculation-sheet'!Y44</f>
        <v>0</v>
      </c>
      <c r="AA53" s="2">
        <f t="shared" si="3"/>
        <v>67.386625489728999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44753.932229247774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8265.7893304958525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910.55840968623852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329.07756672651351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106.24332167977607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45337.742694115026</v>
      </c>
      <c r="D55" s="2">
        <f>D11/'Output-Calculation-sheet'!D10*'Output-Calculation-sheet'!D46</f>
        <v>4882.8693112542906</v>
      </c>
      <c r="E55" s="2">
        <f>E11/'Output-Calculation-sheet'!E10*'Output-Calculation-sheet'!E46</f>
        <v>5966.3897249526808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16268.290546180138</v>
      </c>
      <c r="I55" s="2">
        <f>I11/'Output-Calculation-sheet'!I10*'Output-Calculation-sheet'!I46</f>
        <v>1181.5880602091515</v>
      </c>
      <c r="J55" s="2">
        <f>J11/'Output-Calculation-sheet'!J10*'Output-Calculation-sheet'!J46</f>
        <v>838.05870825763043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11150.391579024152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8326.0123281445758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3343.025570382782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4177.0940102127488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962.37240900694087</v>
      </c>
      <c r="V55" s="2">
        <f>V11/'Output-Calculation-sheet'!V10*'Output-Calculation-sheet'!V46</f>
        <v>386.49813004768833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1151.1768250820983</v>
      </c>
      <c r="Y55" s="2">
        <f>Y11/'Output-Calculation-sheet'!Y10*'Output-Calculation-sheet'!Y46</f>
        <v>295.1088104211106</v>
      </c>
      <c r="AA55" s="2">
        <f t="shared" si="3"/>
        <v>177.3691387479403</v>
      </c>
    </row>
    <row r="56" spans="1:27" x14ac:dyDescent="0.25">
      <c r="A56" s="2">
        <v>2035</v>
      </c>
      <c r="B56" s="2">
        <f>B12/'Output-Calculation-sheet'!B11*'Output-Calculation-sheet'!B47</f>
        <v>68221.70216673016</v>
      </c>
      <c r="C56" s="2">
        <f>C12/'Output-Calculation-sheet'!C11*'Output-Calculation-sheet'!C47</f>
        <v>46020.284417556235</v>
      </c>
      <c r="D56" s="2">
        <f>D12/'Output-Calculation-sheet'!D11*'Output-Calculation-sheet'!D47</f>
        <v>9947.4451748891061</v>
      </c>
      <c r="E56" s="2">
        <f>E12/'Output-Calculation-sheet'!E11*'Output-Calculation-sheet'!E47</f>
        <v>17993.649328424217</v>
      </c>
      <c r="F56" s="2">
        <f>F12/'Output-Calculation-sheet'!F11*'Output-Calculation-sheet'!F47</f>
        <v>2013.2262034336024</v>
      </c>
      <c r="G56" s="2">
        <f>G12/'Output-Calculation-sheet'!G11*'Output-Calculation-sheet'!G47</f>
        <v>4575.3848023397641</v>
      </c>
      <c r="H56" s="2">
        <f>H12/'Output-Calculation-sheet'!H11*'Output-Calculation-sheet'!H47</f>
        <v>16414.450667538222</v>
      </c>
      <c r="I56" s="2">
        <f>I12/'Output-Calculation-sheet'!I11*'Output-Calculation-sheet'!I47</f>
        <v>2953.5541575213397</v>
      </c>
      <c r="J56" s="2">
        <f>J12/'Output-Calculation-sheet'!J11*'Output-Calculation-sheet'!J47</f>
        <v>2903.5619209490674</v>
      </c>
      <c r="K56" s="2">
        <f>K12/'Output-Calculation-sheet'!K11*'Output-Calculation-sheet'!K47</f>
        <v>4025.3253021626779</v>
      </c>
      <c r="L56" s="2">
        <f>L12/'Output-Calculation-sheet'!L11*'Output-Calculation-sheet'!L47</f>
        <v>3754.7210270500395</v>
      </c>
      <c r="M56" s="2">
        <f>M12/'Output-Calculation-sheet'!M11*'Output-Calculation-sheet'!M47</f>
        <v>11674.158455020533</v>
      </c>
      <c r="N56" s="2">
        <f>N12/'Output-Calculation-sheet'!N11*'Output-Calculation-sheet'!N47</f>
        <v>9681.0394179758914</v>
      </c>
      <c r="O56" s="2">
        <f>O12/'Output-Calculation-sheet'!O11*'Output-Calculation-sheet'!O47</f>
        <v>8458.6796854621862</v>
      </c>
      <c r="P56" s="2">
        <f>P12/'Output-Calculation-sheet'!P11*'Output-Calculation-sheet'!P47</f>
        <v>4743.3865280595464</v>
      </c>
      <c r="Q56" s="2">
        <f>Q12/'Output-Calculation-sheet'!Q11*'Output-Calculation-sheet'!Q47</f>
        <v>4473.4943787697293</v>
      </c>
      <c r="R56" s="2">
        <f>R12/'Output-Calculation-sheet'!R11*'Output-Calculation-sheet'!R47</f>
        <v>3638.7660489036352</v>
      </c>
      <c r="S56" s="2">
        <f>S12/'Output-Calculation-sheet'!S11*'Output-Calculation-sheet'!S47</f>
        <v>4842.4446829914295</v>
      </c>
      <c r="T56" s="2">
        <f>T12/'Output-Calculation-sheet'!T11*'Output-Calculation-sheet'!T47</f>
        <v>1304.7226426909169</v>
      </c>
      <c r="U56" s="2">
        <f>U12/'Output-Calculation-sheet'!U11*'Output-Calculation-sheet'!U47</f>
        <v>1238.879986684716</v>
      </c>
      <c r="V56" s="2">
        <f>V12/'Output-Calculation-sheet'!V11*'Output-Calculation-sheet'!V47</f>
        <v>760.5212044107609</v>
      </c>
      <c r="W56" s="2">
        <f>W12/'Output-Calculation-sheet'!W11*'Output-Calculation-sheet'!W47</f>
        <v>441.71316298919709</v>
      </c>
      <c r="X56" s="2">
        <f>X12/'Output-Calculation-sheet'!X11*'Output-Calculation-sheet'!X47</f>
        <v>1176.6283897785404</v>
      </c>
      <c r="Y56" s="2">
        <f>Y12/'Output-Calculation-sheet'!Y11*'Output-Calculation-sheet'!Y47</f>
        <v>661.19782057990847</v>
      </c>
      <c r="AA56" s="2">
        <f t="shared" si="3"/>
        <v>231.91893757291143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4.5420647974789752</v>
      </c>
      <c r="C60" s="2">
        <f>C5*'Output-Calculation-sheet'!C49/10^9</f>
        <v>2.2376605736280184</v>
      </c>
      <c r="D60" s="2">
        <f>D5*'Output-Calculation-sheet'!D49/10^9</f>
        <v>1.8754539496175204</v>
      </c>
      <c r="E60" s="2">
        <f>E5*'Output-Calculation-sheet'!E49/10^9</f>
        <v>1.8422484119147322</v>
      </c>
      <c r="F60" s="2">
        <f>F5*'Output-Calculation-sheet'!F49/10^9</f>
        <v>0.75621578322107597</v>
      </c>
      <c r="G60" s="2">
        <f>G5*'Output-Calculation-sheet'!G49/10^9</f>
        <v>0.55325307648755251</v>
      </c>
      <c r="H60" s="2">
        <f>H5*'Output-Calculation-sheet'!H49/10^9</f>
        <v>0.72879881671272195</v>
      </c>
      <c r="I60" s="2">
        <f>I5*'Output-Calculation-sheet'!I49/10^9</f>
        <v>0.51028962290783098</v>
      </c>
      <c r="J60" s="2">
        <f>J5*'Output-Calculation-sheet'!J49/10^9</f>
        <v>0.74851094246260996</v>
      </c>
      <c r="K60" s="2">
        <f>K5*'Output-Calculation-sheet'!K49/10^9</f>
        <v>0.61888564015325709</v>
      </c>
      <c r="L60" s="2">
        <f>L5*'Output-Calculation-sheet'!L49/10^9</f>
        <v>0.88912223821385161</v>
      </c>
      <c r="M60" s="2">
        <f>M5*'Output-Calculation-sheet'!M49/10^9</f>
        <v>0.63955433662032468</v>
      </c>
      <c r="N60" s="2">
        <f>N5*'Output-Calculation-sheet'!N49/10^9</f>
        <v>0.55847565481260208</v>
      </c>
      <c r="O60" s="2">
        <f>O5*'Output-Calculation-sheet'!O49/10^9</f>
        <v>0.46790936828999796</v>
      </c>
      <c r="P60" s="2">
        <f>P5*'Output-Calculation-sheet'!P49/10^9</f>
        <v>0.38199411688710538</v>
      </c>
      <c r="Q60" s="2">
        <f>Q5*'Output-Calculation-sheet'!Q49/10^9</f>
        <v>0.43653314491195638</v>
      </c>
      <c r="R60" s="2">
        <f>R5*'Output-Calculation-sheet'!R49/10^9</f>
        <v>0.42864700438170705</v>
      </c>
      <c r="S60" s="2">
        <f>S5*'Output-Calculation-sheet'!S49/10^9</f>
        <v>0.26777552237647467</v>
      </c>
      <c r="T60" s="2">
        <f>T5*'Output-Calculation-sheet'!T49/10^9</f>
        <v>0.16984086511964211</v>
      </c>
      <c r="U60" s="2">
        <f>U5*'Output-Calculation-sheet'!U49/10^9</f>
        <v>0.10867543338817924</v>
      </c>
      <c r="V60" s="2">
        <f>V5*'Output-Calculation-sheet'!V49/10^9</f>
        <v>0.21832786092333589</v>
      </c>
      <c r="W60" s="2">
        <f>W5*'Output-Calculation-sheet'!W49/10^9</f>
        <v>7.4161813143965027E-2</v>
      </c>
      <c r="X60" s="2">
        <f>X5*'Output-Calculation-sheet'!X49/10^9</f>
        <v>6.3471816437631168E-2</v>
      </c>
      <c r="Y60" s="2">
        <f>Y5*'Output-Calculation-sheet'!Y49/10^9</f>
        <v>4.6048347065892753E-2</v>
      </c>
      <c r="AA60" s="2">
        <f>SUM(B60:Y60)</f>
        <v>19.163919137156956</v>
      </c>
    </row>
    <row r="61" spans="1:27" x14ac:dyDescent="0.25">
      <c r="A61" s="2">
        <v>2029</v>
      </c>
      <c r="B61" s="2">
        <f>B6*'Output-Calculation-sheet'!B50/10^9</f>
        <v>5.2697561367081347</v>
      </c>
      <c r="C61" s="2">
        <f>C6*'Output-Calculation-sheet'!C50/10^9</f>
        <v>2.6914719797163738</v>
      </c>
      <c r="D61" s="2">
        <f>D6*'Output-Calculation-sheet'!D50/10^9</f>
        <v>2.0876462691251394</v>
      </c>
      <c r="E61" s="2">
        <f>E6*'Output-Calculation-sheet'!E50/10^9</f>
        <v>2.0569870686244474</v>
      </c>
      <c r="F61" s="2">
        <f>F6*'Output-Calculation-sheet'!F50/10^9</f>
        <v>0.85117255326683749</v>
      </c>
      <c r="G61" s="2">
        <f>G6*'Output-Calculation-sheet'!G50/10^9</f>
        <v>0.61992025958530939</v>
      </c>
      <c r="H61" s="2">
        <f>H6*'Output-Calculation-sheet'!H50/10^9</f>
        <v>0.85132862885012339</v>
      </c>
      <c r="I61" s="2">
        <f>I6*'Output-Calculation-sheet'!I50/10^9</f>
        <v>0.57303641303212105</v>
      </c>
      <c r="J61" s="2">
        <f>J6*'Output-Calculation-sheet'!J50/10^9</f>
        <v>0.8270992439835434</v>
      </c>
      <c r="K61" s="2">
        <f>K6*'Output-Calculation-sheet'!K50/10^9</f>
        <v>0.69442019846358494</v>
      </c>
      <c r="L61" s="2">
        <f>L6*'Output-Calculation-sheet'!L50/10^9</f>
        <v>0.98122671810697171</v>
      </c>
      <c r="M61" s="2">
        <f>M6*'Output-Calculation-sheet'!M50/10^9</f>
        <v>0.73497604260532923</v>
      </c>
      <c r="N61" s="2">
        <f>N6*'Output-Calculation-sheet'!N50/10^9</f>
        <v>0.64656709702332382</v>
      </c>
      <c r="O61" s="2">
        <f>O6*'Output-Calculation-sheet'!O50/10^9</f>
        <v>0.56334564133518783</v>
      </c>
      <c r="P61" s="2">
        <f>P6*'Output-Calculation-sheet'!P50/10^9</f>
        <v>0.43896318744162072</v>
      </c>
      <c r="Q61" s="2">
        <f>Q6*'Output-Calculation-sheet'!Q50/10^9</f>
        <v>0.50081602073563636</v>
      </c>
      <c r="R61" s="2">
        <f>R6*'Output-Calculation-sheet'!R50/10^9</f>
        <v>0.48242000281894953</v>
      </c>
      <c r="S61" s="2">
        <f>S6*'Output-Calculation-sheet'!S50/10^9</f>
        <v>0.31230589196081071</v>
      </c>
      <c r="T61" s="2">
        <f>T6*'Output-Calculation-sheet'!T50/10^9</f>
        <v>0.18922326768662698</v>
      </c>
      <c r="U61" s="2">
        <f>U6*'Output-Calculation-sheet'!U50/10^9</f>
        <v>0.12332147426102737</v>
      </c>
      <c r="V61" s="2">
        <f>V6*'Output-Calculation-sheet'!V50/10^9</f>
        <v>0.24005889886024531</v>
      </c>
      <c r="W61" s="2">
        <f>W6*'Output-Calculation-sheet'!W50/10^9</f>
        <v>8.2841705365893026E-2</v>
      </c>
      <c r="X61" s="2">
        <f>X6*'Output-Calculation-sheet'!X50/10^9</f>
        <v>7.4189039146709101E-2</v>
      </c>
      <c r="Y61" s="2">
        <f>Y6*'Output-Calculation-sheet'!Y50/10^9</f>
        <v>5.2100442259517675E-2</v>
      </c>
      <c r="AA61" s="2">
        <f t="shared" ref="AA61:AA67" si="4">SUM(B61:Y61)</f>
        <v>21.945194180963469</v>
      </c>
    </row>
    <row r="62" spans="1:27" x14ac:dyDescent="0.25">
      <c r="A62" s="2">
        <v>2030</v>
      </c>
      <c r="B62" s="2">
        <f>B7*'Output-Calculation-sheet'!B51/10^9</f>
        <v>5.6115589033136368</v>
      </c>
      <c r="C62" s="2">
        <f>C7*'Output-Calculation-sheet'!C51/10^9</f>
        <v>3.1973075199329091</v>
      </c>
      <c r="D62" s="2">
        <f>D7*'Output-Calculation-sheet'!D51/10^9</f>
        <v>2.1057540665315284</v>
      </c>
      <c r="E62" s="2">
        <f>E7*'Output-Calculation-sheet'!E51/10^9</f>
        <v>2.0828470102284498</v>
      </c>
      <c r="F62" s="2">
        <f>F7*'Output-Calculation-sheet'!F51/10^9</f>
        <v>0.87050890654627755</v>
      </c>
      <c r="G62" s="2">
        <f>G7*'Output-Calculation-sheet'!G51/10^9</f>
        <v>0.63047614879310243</v>
      </c>
      <c r="H62" s="2">
        <f>H7*'Output-Calculation-sheet'!H51/10^9</f>
        <v>0.95757107824674859</v>
      </c>
      <c r="I62" s="2">
        <f>I7*'Output-Calculation-sheet'!I51/10^9</f>
        <v>0.58438199168513072</v>
      </c>
      <c r="J62" s="2">
        <f>J7*'Output-Calculation-sheet'!J51/10^9</f>
        <v>0.8265145505537751</v>
      </c>
      <c r="K62" s="2">
        <f>K7*'Output-Calculation-sheet'!K51/10^9</f>
        <v>0.70745571248037953</v>
      </c>
      <c r="L62" s="2">
        <f>L7*'Output-Calculation-sheet'!L51/10^9</f>
        <v>0.97893512511427905</v>
      </c>
      <c r="M62" s="2">
        <f>M7*'Output-Calculation-sheet'!M51/10^9</f>
        <v>0.80408931866558475</v>
      </c>
      <c r="N62" s="2">
        <f>N7*'Output-Calculation-sheet'!N51/10^9</f>
        <v>0.68691333942035326</v>
      </c>
      <c r="O62" s="2">
        <f>O7*'Output-Calculation-sheet'!O51/10^9</f>
        <v>0.6671575891577165</v>
      </c>
      <c r="P62" s="2">
        <f>P7*'Output-Calculation-sheet'!P51/10^9</f>
        <v>0.46026073137502188</v>
      </c>
      <c r="Q62" s="2">
        <f>Q7*'Output-Calculation-sheet'!Q51/10^9</f>
        <v>0.52525920750631361</v>
      </c>
      <c r="R62" s="2">
        <f>R7*'Output-Calculation-sheet'!R51/10^9</f>
        <v>0.49331455236292882</v>
      </c>
      <c r="S62" s="2">
        <f>S7*'Output-Calculation-sheet'!S51/10^9</f>
        <v>0.33608636026663607</v>
      </c>
      <c r="T62" s="2">
        <f>T7*'Output-Calculation-sheet'!T51/10^9</f>
        <v>0.19107606751617129</v>
      </c>
      <c r="U62" s="2">
        <f>U7*'Output-Calculation-sheet'!U51/10^9</f>
        <v>0.12738082642557841</v>
      </c>
      <c r="V62" s="2">
        <f>V7*'Output-Calculation-sheet'!V51/10^9</f>
        <v>0.23836197622486754</v>
      </c>
      <c r="W62" s="2">
        <f>W7*'Output-Calculation-sheet'!W51/10^9</f>
        <v>8.3927995444775375E-2</v>
      </c>
      <c r="X62" s="2">
        <f>X7*'Output-Calculation-sheet'!X51/10^9</f>
        <v>8.3850265251221592E-2</v>
      </c>
      <c r="Y62" s="2">
        <f>Y7*'Output-Calculation-sheet'!Y51/10^9</f>
        <v>5.3623536319311667E-2</v>
      </c>
      <c r="AA62" s="2">
        <f t="shared" si="4"/>
        <v>23.304612779362699</v>
      </c>
    </row>
    <row r="63" spans="1:27" x14ac:dyDescent="0.25">
      <c r="A63" s="2">
        <v>2031</v>
      </c>
      <c r="B63" s="2">
        <f>B8*'Output-Calculation-sheet'!B52/10^9</f>
        <v>5.611622250974726</v>
      </c>
      <c r="C63" s="2">
        <f>C8*'Output-Calculation-sheet'!C52/10^9</f>
        <v>3.5387495959487465</v>
      </c>
      <c r="D63" s="2">
        <f>D8*'Output-Calculation-sheet'!D52/10^9</f>
        <v>1.9243325029595579</v>
      </c>
      <c r="E63" s="2">
        <f>E8*'Output-Calculation-sheet'!E52/10^9</f>
        <v>1.9133123040356932</v>
      </c>
      <c r="F63" s="2">
        <f>F8*'Output-Calculation-sheet'!F52/10^9</f>
        <v>0.81028824773583119</v>
      </c>
      <c r="G63" s="2">
        <f>G8*'Output-Calculation-sheet'!G52/10^9</f>
        <v>0.58255993754671398</v>
      </c>
      <c r="H63" s="2">
        <f>H8*'Output-Calculation-sheet'!H52/10^9</f>
        <v>1.0176156210478646</v>
      </c>
      <c r="I63" s="2">
        <f>I8*'Output-Calculation-sheet'!I52/10^9</f>
        <v>0.54191606439519591</v>
      </c>
      <c r="J63" s="2">
        <f>J8*'Output-Calculation-sheet'!J52/10^9</f>
        <v>0.74571396505578469</v>
      </c>
      <c r="K63" s="2">
        <f>K8*'Output-Calculation-sheet'!K52/10^9</f>
        <v>0.65517434737985991</v>
      </c>
      <c r="L63" s="2">
        <f>L8*'Output-Calculation-sheet'!L52/10^9</f>
        <v>0.88123977893385097</v>
      </c>
      <c r="M63" s="2">
        <f>M8*'Output-Calculation-sheet'!M52/10^9</f>
        <v>0.82596138018043153</v>
      </c>
      <c r="N63" s="2">
        <f>N8*'Output-Calculation-sheet'!N52/10^9</f>
        <v>0.68934604093324281</v>
      </c>
      <c r="O63" s="2">
        <f>O8*'Output-Calculation-sheet'!O52/10^9</f>
        <v>0.73508901235180268</v>
      </c>
      <c r="P63" s="2">
        <f>P8*'Output-Calculation-sheet'!P52/10^9</f>
        <v>0.4527086325036519</v>
      </c>
      <c r="Q63" s="2">
        <f>Q8*'Output-Calculation-sheet'!Q52/10^9</f>
        <v>0.51233071342221481</v>
      </c>
      <c r="R63" s="2">
        <f>R8*'Output-Calculation-sheet'!R52/10^9</f>
        <v>0.45997179759604956</v>
      </c>
      <c r="S63" s="2">
        <f>S8*'Output-Calculation-sheet'!S52/10^9</f>
        <v>0.34085742873560815</v>
      </c>
      <c r="T63" s="2">
        <f>T8*'Output-Calculation-sheet'!T52/10^9</f>
        <v>0.17487542055637059</v>
      </c>
      <c r="U63" s="2">
        <f>U8*'Output-Calculation-sheet'!U52/10^9</f>
        <v>0.12010249440595902</v>
      </c>
      <c r="V63" s="2">
        <f>V8*'Output-Calculation-sheet'!V52/10^9</f>
        <v>0.21315370826392493</v>
      </c>
      <c r="W63" s="2">
        <f>W8*'Output-Calculation-sheet'!W52/10^9</f>
        <v>7.7151805113059371E-2</v>
      </c>
      <c r="X63" s="2">
        <f>X8*'Output-Calculation-sheet'!X52/10^9</f>
        <v>8.8799947767680104E-2</v>
      </c>
      <c r="Y63" s="2">
        <f>Y8*'Output-Calculation-sheet'!Y52/10^9</f>
        <v>5.0339358037142276E-2</v>
      </c>
      <c r="AA63" s="2">
        <f t="shared" si="4"/>
        <v>22.963212355880959</v>
      </c>
    </row>
    <row r="64" spans="1:27" x14ac:dyDescent="0.25">
      <c r="A64" s="2">
        <v>2032</v>
      </c>
      <c r="B64" s="2">
        <f>B9*'Output-Calculation-sheet'!B53/10^9</f>
        <v>5.3706222330366717</v>
      </c>
      <c r="C64" s="2">
        <f>C9*'Output-Calculation-sheet'!C53/10^9</f>
        <v>3.6258933377161222</v>
      </c>
      <c r="D64" s="2">
        <f>D9*'Output-Calculation-sheet'!D53/10^9</f>
        <v>1.5893807330332848</v>
      </c>
      <c r="E64" s="2">
        <f>E9*'Output-Calculation-sheet'!E53/10^9</f>
        <v>1.6276033607946772</v>
      </c>
      <c r="F64" s="2">
        <f>F9*'Output-Calculation-sheet'!F53/10^9</f>
        <v>0.68651346802665125</v>
      </c>
      <c r="G64" s="2">
        <f>G9*'Output-Calculation-sheet'!G53/10^9</f>
        <v>0.48863876626733671</v>
      </c>
      <c r="H64" s="2">
        <f>H9*'Output-Calculation-sheet'!H53/10^9</f>
        <v>1.0040487425724167</v>
      </c>
      <c r="I64" s="2">
        <f>I9*'Output-Calculation-sheet'!I53/10^9</f>
        <v>0.45679746108190727</v>
      </c>
      <c r="J64" s="2">
        <f>J9*'Output-Calculation-sheet'!J53/10^9</f>
        <v>0.60470761467654477</v>
      </c>
      <c r="K64" s="2">
        <f>K9*'Output-Calculation-sheet'!K53/10^9</f>
        <v>0.56108495269415626</v>
      </c>
      <c r="L64" s="2">
        <f>L9*'Output-Calculation-sheet'!L53/10^9</f>
        <v>0.721831143775856</v>
      </c>
      <c r="M64" s="2">
        <f>M9*'Output-Calculation-sheet'!M53/10^9</f>
        <v>0.78692008080134246</v>
      </c>
      <c r="N64" s="2">
        <f>N9*'Output-Calculation-sheet'!N53/10^9</f>
        <v>0.66244042244849788</v>
      </c>
      <c r="O64" s="2">
        <f>O9*'Output-Calculation-sheet'!O53/10^9</f>
        <v>0.74992682228646945</v>
      </c>
      <c r="P64" s="2">
        <f>P9*'Output-Calculation-sheet'!P53/10^9</f>
        <v>0.42778195530288188</v>
      </c>
      <c r="Q64" s="2">
        <f>Q9*'Output-Calculation-sheet'!Q53/10^9</f>
        <v>0.47277084936863922</v>
      </c>
      <c r="R64" s="2">
        <f>R9*'Output-Calculation-sheet'!R53/10^9</f>
        <v>0.40527571132332163</v>
      </c>
      <c r="S64" s="2">
        <f>S9*'Output-Calculation-sheet'!S53/10^9</f>
        <v>0.33484777806148147</v>
      </c>
      <c r="T64" s="2">
        <f>T9*'Output-Calculation-sheet'!T53/10^9</f>
        <v>0.14568606945139378</v>
      </c>
      <c r="U64" s="2">
        <f>U9*'Output-Calculation-sheet'!U53/10^9</f>
        <v>0.10965481433535414</v>
      </c>
      <c r="V64" s="2">
        <f>V9*'Output-Calculation-sheet'!V53/10^9</f>
        <v>0.17291957290484247</v>
      </c>
      <c r="W64" s="2">
        <f>W9*'Output-Calculation-sheet'!W53/10^9</f>
        <v>6.4253796544542816E-2</v>
      </c>
      <c r="X64" s="2">
        <f>X9*'Output-Calculation-sheet'!X53/10^9</f>
        <v>8.7215894906356881E-2</v>
      </c>
      <c r="Y64" s="2">
        <f>Y9*'Output-Calculation-sheet'!Y53/10^9</f>
        <v>4.501829934364425E-2</v>
      </c>
      <c r="AA64" s="2">
        <f t="shared" si="4"/>
        <v>21.201833880754393</v>
      </c>
    </row>
    <row r="65" spans="1:27" x14ac:dyDescent="0.25">
      <c r="A65" s="2">
        <v>2033</v>
      </c>
      <c r="B65" s="2">
        <f>B10*'Output-Calculation-sheet'!B54/10^9</f>
        <v>5.3313919678489974</v>
      </c>
      <c r="C65" s="2">
        <f>C10*'Output-Calculation-sheet'!C54/10^9</f>
        <v>3.7299978837428767</v>
      </c>
      <c r="D65" s="2">
        <f>D10*'Output-Calculation-sheet'!D54/10^9</f>
        <v>1.2595400055078545</v>
      </c>
      <c r="E65" s="2">
        <f>E10*'Output-Calculation-sheet'!E54/10^9</f>
        <v>1.4182276427158285</v>
      </c>
      <c r="F65" s="2">
        <f>F10*'Output-Calculation-sheet'!F54/10^9</f>
        <v>0.57577615278836702</v>
      </c>
      <c r="G65" s="2">
        <f>G10*'Output-Calculation-sheet'!G54/10^9</f>
        <v>0.39532241055372641</v>
      </c>
      <c r="H65" s="2">
        <f>H10*'Output-Calculation-sheet'!H54/10^9</f>
        <v>0.97695045679961379</v>
      </c>
      <c r="I65" s="2">
        <f>I10*'Output-Calculation-sheet'!I54/10^9</f>
        <v>0.38493606392387297</v>
      </c>
      <c r="J65" s="2">
        <f>J10*'Output-Calculation-sheet'!J54/10^9</f>
        <v>0.46008445159035932</v>
      </c>
      <c r="K65" s="2">
        <f>K10*'Output-Calculation-sheet'!K54/10^9</f>
        <v>0.49084916447057236</v>
      </c>
      <c r="L65" s="2">
        <f>L10*'Output-Calculation-sheet'!L54/10^9</f>
        <v>0.57979609488982042</v>
      </c>
      <c r="M65" s="2">
        <f>M10*'Output-Calculation-sheet'!M54/10^9</f>
        <v>0.73766857077100279</v>
      </c>
      <c r="N65" s="2">
        <f>N10*'Output-Calculation-sheet'!N54/10^9</f>
        <v>0.63698721518148749</v>
      </c>
      <c r="O65" s="2">
        <f>O10*'Output-Calculation-sheet'!O54/10^9</f>
        <v>0.76299389122009942</v>
      </c>
      <c r="P65" s="2">
        <f>P10*'Output-Calculation-sheet'!P54/10^9</f>
        <v>0.4153318577896829</v>
      </c>
      <c r="Q65" s="2">
        <f>Q10*'Output-Calculation-sheet'!Q54/10^9</f>
        <v>0.45319713052386473</v>
      </c>
      <c r="R65" s="2">
        <f>R10*'Output-Calculation-sheet'!R54/10^9</f>
        <v>0.36563976986321323</v>
      </c>
      <c r="S65" s="2">
        <f>S10*'Output-Calculation-sheet'!S54/10^9</f>
        <v>0.33213073273832544</v>
      </c>
      <c r="T65" s="2">
        <f>T10*'Output-Calculation-sheet'!T54/10^9</f>
        <v>0.12224925723730122</v>
      </c>
      <c r="U65" s="2">
        <f>U10*'Output-Calculation-sheet'!U54/10^9</f>
        <v>0.10555872015129017</v>
      </c>
      <c r="V65" s="2">
        <f>V10*'Output-Calculation-sheet'!V54/10^9</f>
        <v>0.13528725608481515</v>
      </c>
      <c r="W65" s="2">
        <f>W10*'Output-Calculation-sheet'!W54/10^9</f>
        <v>5.1508946772770556E-2</v>
      </c>
      <c r="X65" s="2">
        <f>X10*'Output-Calculation-sheet'!X54/10^9</f>
        <v>8.4841074842797501E-2</v>
      </c>
      <c r="Y65" s="2">
        <f>Y10*'Output-Calculation-sheet'!Y54/10^9</f>
        <v>4.2394624120440344E-2</v>
      </c>
      <c r="AA65" s="2">
        <f t="shared" si="4"/>
        <v>19.848661342128977</v>
      </c>
    </row>
    <row r="66" spans="1:27" x14ac:dyDescent="0.25">
      <c r="A66" s="2">
        <v>2034</v>
      </c>
      <c r="B66" s="2">
        <f>B11*'Output-Calculation-sheet'!B55/10^9</f>
        <v>5.4645517691609431</v>
      </c>
      <c r="C66" s="2">
        <f>C11*'Output-Calculation-sheet'!C55/10^9</f>
        <v>3.8685796076641159</v>
      </c>
      <c r="D66" s="2">
        <f>D11*'Output-Calculation-sheet'!D55/10^9</f>
        <v>1.1430876658704325</v>
      </c>
      <c r="E66" s="2">
        <f>E11*'Output-Calculation-sheet'!E55/10^9</f>
        <v>1.384094266729377</v>
      </c>
      <c r="F66" s="2">
        <f>F11*'Output-Calculation-sheet'!F55/10^9</f>
        <v>0.53193181943913559</v>
      </c>
      <c r="G66" s="2">
        <f>G11*'Output-Calculation-sheet'!G55/10^9</f>
        <v>0.38021747492594643</v>
      </c>
      <c r="H66" s="2">
        <f>H11*'Output-Calculation-sheet'!H55/10^9</f>
        <v>0.97642071669941533</v>
      </c>
      <c r="I66" s="2">
        <f>I11*'Output-Calculation-sheet'!I55/10^9</f>
        <v>0.37184115066438528</v>
      </c>
      <c r="J66" s="2">
        <f>J11*'Output-Calculation-sheet'!J55/10^9</f>
        <v>0.38233879360863693</v>
      </c>
      <c r="K66" s="2">
        <f>K11*'Output-Calculation-sheet'!K55/10^9</f>
        <v>0.45732445733199151</v>
      </c>
      <c r="L66" s="2">
        <f>L11*'Output-Calculation-sheet'!L55/10^9</f>
        <v>0.48430086938328176</v>
      </c>
      <c r="M66" s="2">
        <f>M11*'Output-Calculation-sheet'!M55/10^9</f>
        <v>0.70422228429459555</v>
      </c>
      <c r="N66" s="2">
        <f>N11*'Output-Calculation-sheet'!N55/10^9</f>
        <v>0.61530247997064458</v>
      </c>
      <c r="O66" s="2">
        <f>O11*'Output-Calculation-sheet'!O55/10^9</f>
        <v>0.77656870499660224</v>
      </c>
      <c r="P66" s="2">
        <f>P11*'Output-Calculation-sheet'!P55/10^9</f>
        <v>0.42295955101214433</v>
      </c>
      <c r="Q66" s="2">
        <f>Q11*'Output-Calculation-sheet'!Q55/10^9</f>
        <v>0.46173927074007598</v>
      </c>
      <c r="R66" s="2">
        <f>R11*'Output-Calculation-sheet'!R55/10^9</f>
        <v>0.34257149487370742</v>
      </c>
      <c r="S66" s="2">
        <f>S11*'Output-Calculation-sheet'!S55/10^9</f>
        <v>0.33707645876150732</v>
      </c>
      <c r="T66" s="2">
        <f>T11*'Output-Calculation-sheet'!T55/10^9</f>
        <v>0.10737729977144744</v>
      </c>
      <c r="U66" s="2">
        <f>U11*'Output-Calculation-sheet'!U55/10^9</f>
        <v>0.10963273209945226</v>
      </c>
      <c r="V66" s="2">
        <f>V11*'Output-Calculation-sheet'!V55/10^9</f>
        <v>0.10186327053273377</v>
      </c>
      <c r="W66" s="2">
        <f>W11*'Output-Calculation-sheet'!W55/10^9</f>
        <v>4.6123635958120933E-2</v>
      </c>
      <c r="X66" s="2">
        <f>X11*'Output-Calculation-sheet'!X55/10^9</f>
        <v>8.7490533006167492E-2</v>
      </c>
      <c r="Y66" s="2">
        <f>Y11*'Output-Calculation-sheet'!Y55/10^9</f>
        <v>4.5260115422079257E-2</v>
      </c>
      <c r="AA66" s="2">
        <f t="shared" si="4"/>
        <v>19.602876422916935</v>
      </c>
    </row>
    <row r="67" spans="1:27" x14ac:dyDescent="0.25">
      <c r="A67" s="2">
        <v>2035</v>
      </c>
      <c r="B67" s="2">
        <f>B12*'Output-Calculation-sheet'!B56/10^9</f>
        <v>5.974424659541266</v>
      </c>
      <c r="C67" s="2">
        <f>C12*'Output-Calculation-sheet'!C56/10^9</f>
        <v>4.0095820424375441</v>
      </c>
      <c r="D67" s="2">
        <f>D12*'Output-Calculation-sheet'!D56/10^9</f>
        <v>1.3110541076913911</v>
      </c>
      <c r="E67" s="2">
        <f>E12*'Output-Calculation-sheet'!E56/10^9</f>
        <v>1.6686492989503365</v>
      </c>
      <c r="F67" s="2">
        <f>F12*'Output-Calculation-sheet'!F56/10^9</f>
        <v>0.64877777196221653</v>
      </c>
      <c r="G67" s="2">
        <f>G12*'Output-Calculation-sheet'!G56/10^9</f>
        <v>0.47694896701832057</v>
      </c>
      <c r="H67" s="2">
        <f>H12*'Output-Calculation-sheet'!H56/10^9</f>
        <v>1.0538874522035473</v>
      </c>
      <c r="I67" s="2">
        <f>I12*'Output-Calculation-sheet'!I56/10^9</f>
        <v>0.44996896400857395</v>
      </c>
      <c r="J67" s="2">
        <f>J12*'Output-Calculation-sheet'!J56/10^9</f>
        <v>0.41814771426524194</v>
      </c>
      <c r="K67" s="2">
        <f>K12*'Output-Calculation-sheet'!K56/10^9</f>
        <v>0.51349395290076438</v>
      </c>
      <c r="L67" s="2">
        <f>L12*'Output-Calculation-sheet'!L56/10^9</f>
        <v>0.49214802679775776</v>
      </c>
      <c r="M67" s="2">
        <f>M12*'Output-Calculation-sheet'!M56/10^9</f>
        <v>0.75758559722456653</v>
      </c>
      <c r="N67" s="2">
        <f>N12*'Output-Calculation-sheet'!N56/10^9</f>
        <v>0.64733078186058379</v>
      </c>
      <c r="O67" s="2">
        <f>O12*'Output-Calculation-sheet'!O56/10^9</f>
        <v>0.78982304824304517</v>
      </c>
      <c r="P67" s="2">
        <f>P12*'Output-Calculation-sheet'!P56/10^9</f>
        <v>0.49583192191980074</v>
      </c>
      <c r="Q67" s="2">
        <f>Q12*'Output-Calculation-sheet'!Q56/10^9</f>
        <v>0.49829994875404654</v>
      </c>
      <c r="R67" s="2">
        <f>R12*'Output-Calculation-sheet'!R56/10^9</f>
        <v>0.37857674388013079</v>
      </c>
      <c r="S67" s="2">
        <f>S12*'Output-Calculation-sheet'!S56/10^9</f>
        <v>0.36081954892213369</v>
      </c>
      <c r="T67" s="2">
        <f>T12*'Output-Calculation-sheet'!T56/10^9</f>
        <v>0.11607508172342398</v>
      </c>
      <c r="U67" s="2">
        <f>U12*'Output-Calculation-sheet'!U56/10^9</f>
        <v>0.12469026680915601</v>
      </c>
      <c r="V67" s="2">
        <f>V12*'Output-Calculation-sheet'!V56/10^9</f>
        <v>8.9161490433224369E-2</v>
      </c>
      <c r="W67" s="2">
        <f>W12*'Output-Calculation-sheet'!W56/10^9</f>
        <v>5.913091306187214E-2</v>
      </c>
      <c r="X67" s="2">
        <f>X12*'Output-Calculation-sheet'!X56/10^9</f>
        <v>9.4421753594786051E-2</v>
      </c>
      <c r="Y67" s="2">
        <f>Y12*'Output-Calculation-sheet'!Y56/10^9</f>
        <v>5.5954564802309224E-2</v>
      </c>
      <c r="AA67" s="2">
        <f t="shared" si="4"/>
        <v>21.484784619006035</v>
      </c>
    </row>
    <row r="68" spans="1:27" x14ac:dyDescent="0.25">
      <c r="B68" s="2">
        <f>SUM(B60:B67)</f>
        <v>43.175992718063348</v>
      </c>
      <c r="C68" s="2">
        <f t="shared" ref="C68:Y68" si="5">SUM(C60:C67)</f>
        <v>26.899242540786705</v>
      </c>
      <c r="D68" s="2">
        <f t="shared" si="5"/>
        <v>13.296249300336708</v>
      </c>
      <c r="E68" s="2">
        <f t="shared" si="5"/>
        <v>13.993969363993543</v>
      </c>
      <c r="F68" s="2">
        <f t="shared" si="5"/>
        <v>5.7311847029863925</v>
      </c>
      <c r="G68" s="2">
        <f t="shared" si="5"/>
        <v>4.1273370411780084</v>
      </c>
      <c r="H68" s="2">
        <f t="shared" si="5"/>
        <v>7.5666215131324517</v>
      </c>
      <c r="I68" s="2">
        <f t="shared" si="5"/>
        <v>3.8731677316990178</v>
      </c>
      <c r="J68" s="2">
        <f t="shared" si="5"/>
        <v>5.0131172761964962</v>
      </c>
      <c r="K68" s="2">
        <f t="shared" si="5"/>
        <v>4.6986884258745656</v>
      </c>
      <c r="L68" s="2">
        <f t="shared" si="5"/>
        <v>6.0085999952156701</v>
      </c>
      <c r="M68" s="2">
        <f t="shared" si="5"/>
        <v>5.9909776111631778</v>
      </c>
      <c r="N68" s="2">
        <f t="shared" si="5"/>
        <v>5.1433630316507353</v>
      </c>
      <c r="O68" s="2">
        <f t="shared" si="5"/>
        <v>5.5128140778809209</v>
      </c>
      <c r="P68" s="2">
        <f t="shared" si="5"/>
        <v>3.4958319542319098</v>
      </c>
      <c r="Q68" s="2">
        <f t="shared" si="5"/>
        <v>3.8609462859627479</v>
      </c>
      <c r="R68" s="2">
        <f t="shared" si="5"/>
        <v>3.3564170771000073</v>
      </c>
      <c r="S68" s="2">
        <f t="shared" si="5"/>
        <v>2.6218997218229774</v>
      </c>
      <c r="T68" s="2">
        <f t="shared" si="5"/>
        <v>1.2164033290623772</v>
      </c>
      <c r="U68" s="2">
        <f t="shared" si="5"/>
        <v>0.92901676187599658</v>
      </c>
      <c r="V68" s="2">
        <f t="shared" si="5"/>
        <v>1.4091340342279894</v>
      </c>
      <c r="W68" s="2">
        <f t="shared" si="5"/>
        <v>0.53910061140499921</v>
      </c>
      <c r="X68" s="2">
        <f t="shared" si="5"/>
        <v>0.66428032495334999</v>
      </c>
      <c r="Y68" s="2">
        <f t="shared" si="5"/>
        <v>0.39073928737033742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1995.2826101801752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381.26858367969623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260.72033807627656</v>
      </c>
      <c r="N73" s="2">
        <f>N7/'Output-Calculation-sheet'!N6*'Output-Calculation-sheet'!N60</f>
        <v>0</v>
      </c>
      <c r="O73" s="2">
        <f>O7/'Output-Calculation-sheet'!O6*'Output-Calculation-sheet'!O60</f>
        <v>406.63815194755705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34.754962328128855</v>
      </c>
      <c r="Y73" s="2">
        <f>Y7/'Output-Calculation-sheet'!Y6*'Output-Calculation-sheet'!Y60</f>
        <v>0</v>
      </c>
      <c r="AA73" s="2">
        <f t="shared" si="6"/>
        <v>3.0786646462118341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4651.5486325401462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1145.5768553532819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752.54404087269643</v>
      </c>
      <c r="N74" s="2">
        <f>N8/'Output-Calculation-sheet'!N7*'Output-Calculation-sheet'!N61</f>
        <v>31.54045128396703</v>
      </c>
      <c r="O74" s="2">
        <f>O8/'Output-Calculation-sheet'!O7*'Output-Calculation-sheet'!O61</f>
        <v>930.02531630263911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93.514405729913733</v>
      </c>
      <c r="Y74" s="2">
        <f>Y8/'Output-Calculation-sheet'!Y7*'Output-Calculation-sheet'!Y61</f>
        <v>0</v>
      </c>
      <c r="AA74" s="2">
        <f t="shared" si="6"/>
        <v>7.6047497020826444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7161.9145885124199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1777.155230584478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1205.8628241753781</v>
      </c>
      <c r="N75" s="2">
        <f>N9/'Output-Calculation-sheet'!N8*'Output-Calculation-sheet'!N62</f>
        <v>466.10947638214822</v>
      </c>
      <c r="O75" s="2">
        <f>O9/'Output-Calculation-sheet'!O8*'Output-Calculation-sheet'!O62</f>
        <v>1415.6797789597572</v>
      </c>
      <c r="P75" s="2">
        <f>P9/'Output-Calculation-sheet'!P8*'Output-Calculation-sheet'!P62</f>
        <v>31.205294708677982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156.18205194084553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145.27339342116301</v>
      </c>
      <c r="Y75" s="2">
        <f>Y9/'Output-Calculation-sheet'!Y8*'Output-Calculation-sheet'!Y62</f>
        <v>0</v>
      </c>
      <c r="AA75" s="2">
        <f t="shared" si="6"/>
        <v>12.359382638684865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8280.1670453419501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2436.7059030678702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1659.0473286516028</v>
      </c>
      <c r="N76" s="2">
        <f>N10/'Output-Calculation-sheet'!N9*'Output-Calculation-sheet'!N63</f>
        <v>949.41627858006825</v>
      </c>
      <c r="O76" s="2">
        <f>O10/'Output-Calculation-sheet'!O9*'Output-Calculation-sheet'!O63</f>
        <v>1465.9250108592839</v>
      </c>
      <c r="P76" s="2">
        <f>P10/'Output-Calculation-sheet'!P9*'Output-Calculation-sheet'!P63</f>
        <v>329.31640534993102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247.74672785189134</v>
      </c>
      <c r="S76" s="2">
        <f>S10/'Output-Calculation-sheet'!S9*'Output-Calculation-sheet'!S63</f>
        <v>420.99467076298669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87.747329225307539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195.3910732880494</v>
      </c>
      <c r="Y76" s="2">
        <f>Y10/'Output-Calculation-sheet'!Y9*'Output-Calculation-sheet'!Y63</f>
        <v>3.7065455842437656</v>
      </c>
      <c r="AA76" s="2">
        <f t="shared" si="6"/>
        <v>20.041060852898013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8273.6557252643524</v>
      </c>
      <c r="D77" s="2">
        <f>D11/'Output-Calculation-sheet'!D10*'Output-Calculation-sheet'!D64</f>
        <v>1129.8349227578522</v>
      </c>
      <c r="E77" s="2">
        <f>E11/'Output-Calculation-sheet'!E10*'Output-Calculation-sheet'!E64</f>
        <v>1373.3367958769131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586.80458935891397</v>
      </c>
      <c r="H77" s="2">
        <f>H11/'Output-Calculation-sheet'!H10*'Output-Calculation-sheet'!H64</f>
        <v>3118.1880026930648</v>
      </c>
      <c r="I77" s="2">
        <f>I11/'Output-Calculation-sheet'!I10*'Output-Calculation-sheet'!I64</f>
        <v>349.92730403094021</v>
      </c>
      <c r="J77" s="2">
        <f>J11/'Output-Calculation-sheet'!J10*'Output-Calculation-sheet'!J64</f>
        <v>236.70286073927724</v>
      </c>
      <c r="K77" s="2">
        <f>K11/'Output-Calculation-sheet'!K10*'Output-Calculation-sheet'!K64</f>
        <v>532.34682887917597</v>
      </c>
      <c r="L77" s="2">
        <f>L11/'Output-Calculation-sheet'!L10*'Output-Calculation-sheet'!L64</f>
        <v>223.00643637653363</v>
      </c>
      <c r="M77" s="2">
        <f>M11/'Output-Calculation-sheet'!M10*'Output-Calculation-sheet'!M64</f>
        <v>2097.1784915658327</v>
      </c>
      <c r="N77" s="2">
        <f>N11/'Output-Calculation-sheet'!N10*'Output-Calculation-sheet'!N64</f>
        <v>1476.544932338014</v>
      </c>
      <c r="O77" s="2">
        <f>O11/'Output-Calculation-sheet'!O10*'Output-Calculation-sheet'!O64</f>
        <v>1531.2634312954513</v>
      </c>
      <c r="P77" s="2">
        <f>P11/'Output-Calculation-sheet'!P10*'Output-Calculation-sheet'!P64</f>
        <v>651.71118913384669</v>
      </c>
      <c r="Q77" s="2">
        <f>Q11/'Output-Calculation-sheet'!Q10*'Output-Calculation-sheet'!Q64</f>
        <v>585.97205721465116</v>
      </c>
      <c r="R77" s="2">
        <f>R11/'Output-Calculation-sheet'!R10*'Output-Calculation-sheet'!R64</f>
        <v>557.86899725608737</v>
      </c>
      <c r="S77" s="2">
        <f>S11/'Output-Calculation-sheet'!S10*'Output-Calculation-sheet'!S64</f>
        <v>742.50312819332908</v>
      </c>
      <c r="T77" s="2">
        <f>T11/'Output-Calculation-sheet'!T10*'Output-Calculation-sheet'!T64</f>
        <v>153.43024970473786</v>
      </c>
      <c r="U77" s="2">
        <f>U11/'Output-Calculation-sheet'!U10*'Output-Calculation-sheet'!U64</f>
        <v>203.92270358353321</v>
      </c>
      <c r="V77" s="2">
        <f>V11/'Output-Calculation-sheet'!V10*'Output-Calculation-sheet'!V64</f>
        <v>79.331060181068324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218.20484670812078</v>
      </c>
      <c r="Y77" s="2">
        <f>Y11/'Output-Calculation-sheet'!Y10*'Output-Calculation-sheet'!Y64</f>
        <v>51.060004492075613</v>
      </c>
      <c r="AA77" s="2">
        <f t="shared" si="6"/>
        <v>33.325583061230226</v>
      </c>
    </row>
    <row r="78" spans="1:27" x14ac:dyDescent="0.25">
      <c r="A78" s="2">
        <v>2035</v>
      </c>
      <c r="B78" s="2">
        <f>B12/'Output-Calculation-sheet'!B11*'Output-Calculation-sheet'!B65</f>
        <v>11644.863949629633</v>
      </c>
      <c r="C78" s="2">
        <f>C12/'Output-Calculation-sheet'!C11*'Output-Calculation-sheet'!C65</f>
        <v>8509.4812734845964</v>
      </c>
      <c r="D78" s="2">
        <f>D12/'Output-Calculation-sheet'!D11*'Output-Calculation-sheet'!D65</f>
        <v>2186.2409567191862</v>
      </c>
      <c r="E78" s="2">
        <f>E12/'Output-Calculation-sheet'!E11*'Output-Calculation-sheet'!E65</f>
        <v>2736.4412095930534</v>
      </c>
      <c r="F78" s="2">
        <f>F12/'Output-Calculation-sheet'!F11*'Output-Calculation-sheet'!F65</f>
        <v>547.04846564209436</v>
      </c>
      <c r="G78" s="2">
        <f>G12/'Output-Calculation-sheet'!G11*'Output-Calculation-sheet'!G65</f>
        <v>1005.5776340223671</v>
      </c>
      <c r="H78" s="2">
        <f>H12/'Output-Calculation-sheet'!H11*'Output-Calculation-sheet'!H65</f>
        <v>3179.3560919586503</v>
      </c>
      <c r="I78" s="2">
        <f>I12/'Output-Calculation-sheet'!I11*'Output-Calculation-sheet'!I65</f>
        <v>730.236729905576</v>
      </c>
      <c r="J78" s="2">
        <f>J12/'Output-Calculation-sheet'!J11*'Output-Calculation-sheet'!J65</f>
        <v>706.15015657336482</v>
      </c>
      <c r="K78" s="2">
        <f>K12/'Output-Calculation-sheet'!K11*'Output-Calculation-sheet'!K65</f>
        <v>884.68135030319536</v>
      </c>
      <c r="L78" s="2">
        <f>L12/'Output-Calculation-sheet'!L11*'Output-Calculation-sheet'!L65</f>
        <v>652.2750610434307</v>
      </c>
      <c r="M78" s="2">
        <f>M12/'Output-Calculation-sheet'!M11*'Output-Calculation-sheet'!M65</f>
        <v>2321.3918160827643</v>
      </c>
      <c r="N78" s="2">
        <f>N12/'Output-Calculation-sheet'!N11*'Output-Calculation-sheet'!N65</f>
        <v>1655.2426062645891</v>
      </c>
      <c r="O78" s="2">
        <f>O12/'Output-Calculation-sheet'!O11*'Output-Calculation-sheet'!O65</f>
        <v>1562.5001601259453</v>
      </c>
      <c r="P78" s="2">
        <f>P12/'Output-Calculation-sheet'!P11*'Output-Calculation-sheet'!P65</f>
        <v>901.73367860376698</v>
      </c>
      <c r="Q78" s="2">
        <f>Q12/'Output-Calculation-sheet'!Q11*'Output-Calculation-sheet'!Q65</f>
        <v>765.65866851915268</v>
      </c>
      <c r="R78" s="2">
        <f>R12/'Output-Calculation-sheet'!R11*'Output-Calculation-sheet'!R65</f>
        <v>756.71379984117925</v>
      </c>
      <c r="S78" s="2">
        <f>S12/'Output-Calculation-sheet'!S11*'Output-Calculation-sheet'!S65</f>
        <v>875.5041329231874</v>
      </c>
      <c r="T78" s="2">
        <f>T12/'Output-Calculation-sheet'!T11*'Output-Calculation-sheet'!T65</f>
        <v>273.15267538569412</v>
      </c>
      <c r="U78" s="2">
        <f>U12/'Output-Calculation-sheet'!U11*'Output-Calculation-sheet'!U65</f>
        <v>228.54729696108589</v>
      </c>
      <c r="V78" s="2">
        <f>V12/'Output-Calculation-sheet'!V11*'Output-Calculation-sheet'!V65</f>
        <v>139.03316912504366</v>
      </c>
      <c r="W78" s="2">
        <f>W12/'Output-Calculation-sheet'!W11*'Output-Calculation-sheet'!W65</f>
        <v>97.080522076607551</v>
      </c>
      <c r="X78" s="2">
        <f>X12/'Output-Calculation-sheet'!X11*'Output-Calculation-sheet'!X65</f>
        <v>224.3662249537708</v>
      </c>
      <c r="Y78" s="2">
        <f>Y12/'Output-Calculation-sheet'!Y11*'Output-Calculation-sheet'!Y65</f>
        <v>105.26331097820983</v>
      </c>
      <c r="AA78" s="2">
        <f t="shared" si="6"/>
        <v>42.688540940716159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137.91658622264336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40.190223649088423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0.1781068098717318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413.41406711958984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80.315231461201705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1.6010804243144621</v>
      </c>
      <c r="Y88" s="2">
        <f>Y11/'Output-Calculation-sheet'!Y10*'Output-Calculation-sheet'!Y73</f>
        <v>0</v>
      </c>
      <c r="AA88" s="2">
        <f t="shared" si="7"/>
        <v>0.49533037900510607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688.92641343647051</v>
      </c>
      <c r="D89" s="2">
        <f>D12/'Output-Calculation-sheet'!D11*'Output-Calculation-sheet'!D74</f>
        <v>61.027271011589612</v>
      </c>
      <c r="E89" s="2">
        <f>E12/'Output-Calculation-sheet'!E11*'Output-Calculation-sheet'!E74</f>
        <v>97.000805004982311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63.621901812163657</v>
      </c>
      <c r="I89" s="2">
        <f>I12/'Output-Calculation-sheet'!I11*'Output-Calculation-sheet'!I74</f>
        <v>19.690361050142265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19.35252549116672</v>
      </c>
      <c r="L89" s="2">
        <f>L12/'Output-Calculation-sheet'!L11*'Output-Calculation-sheet'!L74</f>
        <v>15.38820093053295</v>
      </c>
      <c r="M89" s="2">
        <f>M12/'Output-Calculation-sheet'!M11*'Output-Calculation-sheet'!M74</f>
        <v>29.185396137551333</v>
      </c>
      <c r="N89" s="2">
        <f>N12/'Output-Calculation-sheet'!N11*'Output-Calculation-sheet'!N74</f>
        <v>28.684561238447088</v>
      </c>
      <c r="O89" s="2">
        <f>O12/'Output-Calculation-sheet'!O11*'Output-Calculation-sheet'!O74</f>
        <v>120.45588159677163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25.131990891964772</v>
      </c>
      <c r="R89" s="2">
        <f>R12/'Output-Calculation-sheet'!R11*'Output-Calculation-sheet'!R74</f>
        <v>12.461527564738477</v>
      </c>
      <c r="S89" s="2">
        <f>S12/'Output-Calculation-sheet'!S11*'Output-Calculation-sheet'!S74</f>
        <v>16.442936105234057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8.0186406905159604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6.4034198083185867</v>
      </c>
      <c r="Y89" s="2">
        <f>Y12/'Output-Calculation-sheet'!Y11*'Output-Calculation-sheet'!Y74</f>
        <v>3.0897094419621891</v>
      </c>
      <c r="AA89" s="2">
        <f t="shared" si="7"/>
        <v>1.6358389570456833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1512185079.9993777</v>
      </c>
      <c r="C93" s="2">
        <f>C5/'Output-Calculation-sheet'!C4*'Output-Calculation-sheet'!C76</f>
        <v>500978386.9022913</v>
      </c>
      <c r="D93" s="2">
        <f>D5/'Output-Calculation-sheet'!D4*'Output-Calculation-sheet'!D76</f>
        <v>554538331.66197765</v>
      </c>
      <c r="E93" s="2">
        <f>E5/'Output-Calculation-sheet'!E4*'Output-Calculation-sheet'!E76</f>
        <v>927913225.91342366</v>
      </c>
      <c r="F93" s="2">
        <f>F5/'Output-Calculation-sheet'!F4*'Output-Calculation-sheet'!F76</f>
        <v>398703998.22793609</v>
      </c>
      <c r="G93" s="2">
        <f>G5/'Output-Calculation-sheet'!G4*'Output-Calculation-sheet'!G76</f>
        <v>310093352.02917457</v>
      </c>
      <c r="H93" s="2">
        <f>H5/'Output-Calculation-sheet'!H4*'Output-Calculation-sheet'!H76</f>
        <v>262303762.71750346</v>
      </c>
      <c r="I93" s="2">
        <f>I5/'Output-Calculation-sheet'!I4*'Output-Calculation-sheet'!I76</f>
        <v>215239449.63515487</v>
      </c>
      <c r="J93" s="2">
        <f>J5/'Output-Calculation-sheet'!J4*'Output-Calculation-sheet'!J76</f>
        <v>146059043.26117927</v>
      </c>
      <c r="K93" s="2">
        <f>K5/'Output-Calculation-sheet'!K4*'Output-Calculation-sheet'!K76</f>
        <v>213473907.97107509</v>
      </c>
      <c r="L93" s="2">
        <f>L5/'Output-Calculation-sheet'!L4*'Output-Calculation-sheet'!L76</f>
        <v>142495387.16887274</v>
      </c>
      <c r="M93" s="2">
        <f>M5/'Output-Calculation-sheet'!M4*'Output-Calculation-sheet'!M76</f>
        <v>191630472.05834448</v>
      </c>
      <c r="N93" s="2">
        <f>N5/'Output-Calculation-sheet'!N4*'Output-Calculation-sheet'!N76</f>
        <v>144703477.33169055</v>
      </c>
      <c r="O93" s="2">
        <f>O5/'Output-Calculation-sheet'!O4*'Output-Calculation-sheet'!O76</f>
        <v>70627991.05585213</v>
      </c>
      <c r="P93" s="2">
        <f>P5/'Output-Calculation-sheet'!P4*'Output-Calculation-sheet'!P76</f>
        <v>250721176.69381493</v>
      </c>
      <c r="Q93" s="2">
        <f>Q5/'Output-Calculation-sheet'!Q4*'Output-Calculation-sheet'!Q76</f>
        <v>115105163.44663581</v>
      </c>
      <c r="R93" s="2">
        <f>R5/'Output-Calculation-sheet'!R4*'Output-Calculation-sheet'!R76</f>
        <v>144028120.15889674</v>
      </c>
      <c r="S93" s="2">
        <f>S5/'Output-Calculation-sheet'!S4*'Output-Calculation-sheet'!S76</f>
        <v>84852108.183889881</v>
      </c>
      <c r="T93" s="2">
        <f>T5/'Output-Calculation-sheet'!T4*'Output-Calculation-sheet'!T76</f>
        <v>65248494.441724457</v>
      </c>
      <c r="U93" s="2">
        <f>U5/'Output-Calculation-sheet'!U4*'Output-Calculation-sheet'!U76</f>
        <v>42300235.706169784</v>
      </c>
      <c r="V93" s="2">
        <f>V5/'Output-Calculation-sheet'!V4*'Output-Calculation-sheet'!V76</f>
        <v>21681791.263111036</v>
      </c>
      <c r="W93" s="2">
        <f>W5/'Output-Calculation-sheet'!W4*'Output-Calculation-sheet'!W76</f>
        <v>60733590.845468201</v>
      </c>
      <c r="X93" s="2">
        <f>X5/'Output-Calculation-sheet'!X4*'Output-Calculation-sheet'!X76</f>
        <v>21079076.052219581</v>
      </c>
      <c r="Y93" s="2">
        <f>Y5/'Output-Calculation-sheet'!Y4*'Output-Calculation-sheet'!Y76</f>
        <v>33201965.560764529</v>
      </c>
      <c r="AA93" s="2">
        <f>SUM(B93:Y93)/10^9</f>
        <v>6.4298975882865506</v>
      </c>
    </row>
    <row r="94" spans="1:27" x14ac:dyDescent="0.25">
      <c r="A94" s="2">
        <v>2029</v>
      </c>
      <c r="B94" s="2">
        <f>B6/'Output-Calculation-sheet'!B5*'Output-Calculation-sheet'!B77</f>
        <v>3727707946.5696206</v>
      </c>
      <c r="C94" s="2">
        <f>C6/'Output-Calculation-sheet'!C5*'Output-Calculation-sheet'!C77</f>
        <v>1243357195.2352567</v>
      </c>
      <c r="D94" s="2">
        <f>D6/'Output-Calculation-sheet'!D5*'Output-Calculation-sheet'!D77</f>
        <v>1368019957.3684998</v>
      </c>
      <c r="E94" s="2">
        <f>E6/'Output-Calculation-sheet'!E5*'Output-Calculation-sheet'!E77</f>
        <v>2326692524.2435932</v>
      </c>
      <c r="F94" s="2">
        <f>F6/'Output-Calculation-sheet'!F5*'Output-Calculation-sheet'!F77</f>
        <v>982371050.97501707</v>
      </c>
      <c r="G94" s="2">
        <f>G6/'Output-Calculation-sheet'!G5*'Output-Calculation-sheet'!G77</f>
        <v>774684443.43810356</v>
      </c>
      <c r="H94" s="2">
        <f>H6/'Output-Calculation-sheet'!H5*'Output-Calculation-sheet'!H77</f>
        <v>651114864.57237291</v>
      </c>
      <c r="I94" s="2">
        <f>I6/'Output-Calculation-sheet'!I5*'Output-Calculation-sheet'!I77</f>
        <v>529052918.18320042</v>
      </c>
      <c r="J94" s="2">
        <f>J6/'Output-Calculation-sheet'!J5*'Output-Calculation-sheet'!J77</f>
        <v>363455317.68464047</v>
      </c>
      <c r="K94" s="2">
        <f>K6/'Output-Calculation-sheet'!K5*'Output-Calculation-sheet'!K77</f>
        <v>523663719.7126084</v>
      </c>
      <c r="L94" s="2">
        <f>L6/'Output-Calculation-sheet'!L5*'Output-Calculation-sheet'!L77</f>
        <v>353910318.84799778</v>
      </c>
      <c r="M94" s="2">
        <f>M6/'Output-Calculation-sheet'!M5*'Output-Calculation-sheet'!M77</f>
        <v>479904049.89874363</v>
      </c>
      <c r="N94" s="2">
        <f>N6/'Output-Calculation-sheet'!N5*'Output-Calculation-sheet'!N77</f>
        <v>363050410.7119475</v>
      </c>
      <c r="O94" s="2">
        <f>O6/'Output-Calculation-sheet'!O5*'Output-Calculation-sheet'!O77</f>
        <v>178309909.86506093</v>
      </c>
      <c r="P94" s="2">
        <f>P6/'Output-Calculation-sheet'!P5*'Output-Calculation-sheet'!P77</f>
        <v>620880339.56339359</v>
      </c>
      <c r="Q94" s="2">
        <f>Q6/'Output-Calculation-sheet'!Q5*'Output-Calculation-sheet'!Q77</f>
        <v>286822794.51741165</v>
      </c>
      <c r="R94" s="2">
        <f>R6/'Output-Calculation-sheet'!R5*'Output-Calculation-sheet'!R77</f>
        <v>356105538.81639683</v>
      </c>
      <c r="S94" s="2">
        <f>S6/'Output-Calculation-sheet'!S5*'Output-Calculation-sheet'!S77</f>
        <v>209091724.44197592</v>
      </c>
      <c r="T94" s="2">
        <f>T6/'Output-Calculation-sheet'!T5*'Output-Calculation-sheet'!T77</f>
        <v>161293702.68131304</v>
      </c>
      <c r="U94" s="2">
        <f>U6/'Output-Calculation-sheet'!U5*'Output-Calculation-sheet'!U77</f>
        <v>102101534.50405879</v>
      </c>
      <c r="V94" s="2">
        <f>V6/'Output-Calculation-sheet'!V5*'Output-Calculation-sheet'!V77</f>
        <v>52370482.204133481</v>
      </c>
      <c r="W94" s="2">
        <f>W6/'Output-Calculation-sheet'!W5*'Output-Calculation-sheet'!W77</f>
        <v>151963895.97324616</v>
      </c>
      <c r="X94" s="2">
        <f>X6/'Output-Calculation-sheet'!X5*'Output-Calculation-sheet'!X77</f>
        <v>52552217.668047063</v>
      </c>
      <c r="Y94" s="2">
        <f>Y6/'Output-Calculation-sheet'!Y5*'Output-Calculation-sheet'!Y77</f>
        <v>83322447.603265926</v>
      </c>
      <c r="AA94" s="2">
        <f t="shared" ref="AA94:AA100" si="8">SUM(B94:Y94)/10^9</f>
        <v>15.941799305279906</v>
      </c>
    </row>
    <row r="95" spans="1:27" x14ac:dyDescent="0.25">
      <c r="A95" s="2">
        <v>2030</v>
      </c>
      <c r="B95" s="2">
        <f>B7/'Output-Calculation-sheet'!B6*'Output-Calculation-sheet'!B78</f>
        <v>6352098713.1286945</v>
      </c>
      <c r="C95" s="2">
        <f>C7/'Output-Calculation-sheet'!C6*'Output-Calculation-sheet'!C78</f>
        <v>2132900622.4783857</v>
      </c>
      <c r="D95" s="2">
        <f>D7/'Output-Calculation-sheet'!D6*'Output-Calculation-sheet'!D78</f>
        <v>2334976136.0426636</v>
      </c>
      <c r="E95" s="2">
        <f>E7/'Output-Calculation-sheet'!E6*'Output-Calculation-sheet'!E78</f>
        <v>4036587477.7192836</v>
      </c>
      <c r="F95" s="2">
        <f>F7/'Output-Calculation-sheet'!F6*'Output-Calculation-sheet'!F78</f>
        <v>1673644819.3962274</v>
      </c>
      <c r="G95" s="2">
        <f>G7/'Output-Calculation-sheet'!G6*'Output-Calculation-sheet'!G78</f>
        <v>1338978312.0530484</v>
      </c>
      <c r="H95" s="2">
        <f>H7/'Output-Calculation-sheet'!H6*'Output-Calculation-sheet'!H78</f>
        <v>1117490382.9921544</v>
      </c>
      <c r="I95" s="2">
        <f>I7/'Output-Calculation-sheet'!I6*'Output-Calculation-sheet'!I78</f>
        <v>899338186.38511896</v>
      </c>
      <c r="J95" s="2">
        <f>J7/'Output-Calculation-sheet'!J6*'Output-Calculation-sheet'!J78</f>
        <v>625808907.93892527</v>
      </c>
      <c r="K95" s="2">
        <f>K7/'Output-Calculation-sheet'!K6*'Output-Calculation-sheet'!K78</f>
        <v>888317025.54461288</v>
      </c>
      <c r="L95" s="2">
        <f>L7/'Output-Calculation-sheet'!L6*'Output-Calculation-sheet'!L78</f>
        <v>607939899.38440168</v>
      </c>
      <c r="M95" s="2">
        <f>M7/'Output-Calculation-sheet'!M6*'Output-Calculation-sheet'!M78</f>
        <v>831443364.78224981</v>
      </c>
      <c r="N95" s="2">
        <f>N7/'Output-Calculation-sheet'!N6*'Output-Calculation-sheet'!N78</f>
        <v>630245389.73211181</v>
      </c>
      <c r="O95" s="2">
        <f>O7/'Output-Calculation-sheet'!O6*'Output-Calculation-sheet'!O78</f>
        <v>311397380.68447161</v>
      </c>
      <c r="P95" s="2">
        <f>P7/'Output-Calculation-sheet'!P6*'Output-Calculation-sheet'!P78</f>
        <v>1062896292.2001245</v>
      </c>
      <c r="Q95" s="2">
        <f>Q7/'Output-Calculation-sheet'!Q6*'Output-Calculation-sheet'!Q78</f>
        <v>494450509.10767478</v>
      </c>
      <c r="R95" s="2">
        <f>R7/'Output-Calculation-sheet'!R6*'Output-Calculation-sheet'!R78</f>
        <v>608772063.27317905</v>
      </c>
      <c r="S95" s="2">
        <f>S7/'Output-Calculation-sheet'!S6*'Output-Calculation-sheet'!S78</f>
        <v>356202015.19922531</v>
      </c>
      <c r="T95" s="2">
        <f>T7/'Output-Calculation-sheet'!T6*'Output-Calculation-sheet'!T78</f>
        <v>275730143.09130037</v>
      </c>
      <c r="U95" s="2">
        <f>U7/'Output-Calculation-sheet'!U6*'Output-Calculation-sheet'!U78</f>
        <v>170216074.69786829</v>
      </c>
      <c r="V95" s="2">
        <f>V7/'Output-Calculation-sheet'!V6*'Output-Calculation-sheet'!V78</f>
        <v>87357768.346902832</v>
      </c>
      <c r="W95" s="2">
        <f>W7/'Output-Calculation-sheet'!W6*'Output-Calculation-sheet'!W78</f>
        <v>263069396.70700568</v>
      </c>
      <c r="X95" s="2">
        <f>X7/'Output-Calculation-sheet'!X6*'Output-Calculation-sheet'!X78</f>
        <v>90645968.683765665</v>
      </c>
      <c r="Y95" s="2">
        <f>Y7/'Output-Calculation-sheet'!Y6*'Output-Calculation-sheet'!Y78</f>
        <v>144676997.33239493</v>
      </c>
      <c r="AA95" s="2">
        <f t="shared" si="8"/>
        <v>27.335183846901788</v>
      </c>
    </row>
    <row r="96" spans="1:27" x14ac:dyDescent="0.25">
      <c r="A96" s="2">
        <v>2031</v>
      </c>
      <c r="B96" s="2">
        <f>B8/'Output-Calculation-sheet'!B7*'Output-Calculation-sheet'!B79</f>
        <v>9089901200.707077</v>
      </c>
      <c r="C96" s="2">
        <f>C8/'Output-Calculation-sheet'!C7*'Output-Calculation-sheet'!C79</f>
        <v>3075154888.3100033</v>
      </c>
      <c r="D96" s="2">
        <f>D8/'Output-Calculation-sheet'!D7*'Output-Calculation-sheet'!D79</f>
        <v>3210259180.7717209</v>
      </c>
      <c r="E96" s="2">
        <f>E8/'Output-Calculation-sheet'!E7*'Output-Calculation-sheet'!E79</f>
        <v>5707567486.1438093</v>
      </c>
      <c r="F96" s="2">
        <f>F8/'Output-Calculation-sheet'!F7*'Output-Calculation-sheet'!F79</f>
        <v>2362305939.015861</v>
      </c>
      <c r="G96" s="2">
        <f>G8/'Output-Calculation-sheet'!G7*'Output-Calculation-sheet'!G79</f>
        <v>1840042080.0305898</v>
      </c>
      <c r="H96" s="2">
        <f>H8/'Output-Calculation-sheet'!H7*'Output-Calculation-sheet'!H79</f>
        <v>1574972103.5748422</v>
      </c>
      <c r="I96" s="2">
        <f>I8/'Output-Calculation-sheet'!I7*'Output-Calculation-sheet'!I79</f>
        <v>1281784928.6755536</v>
      </c>
      <c r="J96" s="2">
        <f>J8/'Output-Calculation-sheet'!J7*'Output-Calculation-sheet'!J79</f>
        <v>866776076.58176303</v>
      </c>
      <c r="K96" s="2">
        <f>K8/'Output-Calculation-sheet'!K7*'Output-Calculation-sheet'!K79</f>
        <v>1240098002.0053749</v>
      </c>
      <c r="L96" s="2">
        <f>L8/'Output-Calculation-sheet'!L7*'Output-Calculation-sheet'!L79</f>
        <v>875012071.16966081</v>
      </c>
      <c r="M96" s="2">
        <f>M8/'Output-Calculation-sheet'!M7*'Output-Calculation-sheet'!M79</f>
        <v>1175686215.1188698</v>
      </c>
      <c r="N96" s="2">
        <f>N8/'Output-Calculation-sheet'!N7*'Output-Calculation-sheet'!N79</f>
        <v>874804178.26915407</v>
      </c>
      <c r="O96" s="2">
        <f>O8/'Output-Calculation-sheet'!O7*'Output-Calculation-sheet'!O79</f>
        <v>442243474.3633697</v>
      </c>
      <c r="P96" s="2">
        <f>P8/'Output-Calculation-sheet'!P7*'Output-Calculation-sheet'!P79</f>
        <v>1479211667.9777641</v>
      </c>
      <c r="Q96" s="2">
        <f>Q8/'Output-Calculation-sheet'!Q7*'Output-Calculation-sheet'!Q79</f>
        <v>689375906.86181653</v>
      </c>
      <c r="R96" s="2">
        <f>R8/'Output-Calculation-sheet'!R7*'Output-Calculation-sheet'!R79</f>
        <v>860078392.55341554</v>
      </c>
      <c r="S96" s="2">
        <f>S8/'Output-Calculation-sheet'!S7*'Output-Calculation-sheet'!S79</f>
        <v>501153748.93856186</v>
      </c>
      <c r="T96" s="2">
        <f>T8/'Output-Calculation-sheet'!T7*'Output-Calculation-sheet'!T79</f>
        <v>382766092.02208257</v>
      </c>
      <c r="U96" s="2">
        <f>U8/'Output-Calculation-sheet'!U7*'Output-Calculation-sheet'!U79</f>
        <v>240443821.5805603</v>
      </c>
      <c r="V96" s="2">
        <f>V8/'Output-Calculation-sheet'!V7*'Output-Calculation-sheet'!V79</f>
        <v>124754793.1692827</v>
      </c>
      <c r="W96" s="2">
        <f>W8/'Output-Calculation-sheet'!W7*'Output-Calculation-sheet'!W79</f>
        <v>368640299.59681481</v>
      </c>
      <c r="X96" s="2">
        <f>X8/'Output-Calculation-sheet'!X7*'Output-Calculation-sheet'!X79</f>
        <v>129566632.96969111</v>
      </c>
      <c r="Y96" s="2">
        <f>Y8/'Output-Calculation-sheet'!Y7*'Output-Calculation-sheet'!Y79</f>
        <v>202640427.35892552</v>
      </c>
      <c r="AA96" s="2">
        <f t="shared" si="8"/>
        <v>38.595239607766551</v>
      </c>
    </row>
    <row r="97" spans="1:27" x14ac:dyDescent="0.25">
      <c r="A97" s="2">
        <v>2032</v>
      </c>
      <c r="B97" s="2">
        <f>B9/'Output-Calculation-sheet'!B8*'Output-Calculation-sheet'!B80</f>
        <v>11390054010.937407</v>
      </c>
      <c r="C97" s="2">
        <f>C9/'Output-Calculation-sheet'!C8*'Output-Calculation-sheet'!C80</f>
        <v>3879513791.0474262</v>
      </c>
      <c r="D97" s="2">
        <f>D9/'Output-Calculation-sheet'!D8*'Output-Calculation-sheet'!D80</f>
        <v>3865557849.1345859</v>
      </c>
      <c r="E97" s="2">
        <f>E9/'Output-Calculation-sheet'!E8*'Output-Calculation-sheet'!E80</f>
        <v>7069527012.1333494</v>
      </c>
      <c r="F97" s="2">
        <f>F9/'Output-Calculation-sheet'!F8*'Output-Calculation-sheet'!F80</f>
        <v>2920422181.3340278</v>
      </c>
      <c r="G97" s="2">
        <f>G9/'Output-Calculation-sheet'!G8*'Output-Calculation-sheet'!G80</f>
        <v>2210599142.3004236</v>
      </c>
      <c r="H97" s="2">
        <f>H9/'Output-Calculation-sheet'!H8*'Output-Calculation-sheet'!H80</f>
        <v>1944880743.4574022</v>
      </c>
      <c r="I97" s="2">
        <f>I9/'Output-Calculation-sheet'!I8*'Output-Calculation-sheet'!I80</f>
        <v>1599844901.1225145</v>
      </c>
      <c r="J97" s="2">
        <f>J9/'Output-Calculation-sheet'!J8*'Output-Calculation-sheet'!J80</f>
        <v>1051750356.1218991</v>
      </c>
      <c r="K97" s="2">
        <f>K9/'Output-Calculation-sheet'!K8*'Output-Calculation-sheet'!K80</f>
        <v>1516319735.6244693</v>
      </c>
      <c r="L97" s="2">
        <f>L9/'Output-Calculation-sheet'!L8*'Output-Calculation-sheet'!L80</f>
        <v>1103629586.6724226</v>
      </c>
      <c r="M97" s="2">
        <f>M9/'Output-Calculation-sheet'!M8*'Output-Calculation-sheet'!M80</f>
        <v>1456115770.4193056</v>
      </c>
      <c r="N97" s="2">
        <f>N9/'Output-Calculation-sheet'!N8*'Output-Calculation-sheet'!N80</f>
        <v>1063887255.2119298</v>
      </c>
      <c r="O97" s="2">
        <f>O9/'Output-Calculation-sheet'!O8*'Output-Calculation-sheet'!O80</f>
        <v>550385587.31853068</v>
      </c>
      <c r="P97" s="2">
        <f>P9/'Output-Calculation-sheet'!P8*'Output-Calculation-sheet'!P80</f>
        <v>1800758147.2441008</v>
      </c>
      <c r="Q97" s="2">
        <f>Q9/'Output-Calculation-sheet'!Q8*'Output-Calculation-sheet'!Q80</f>
        <v>842325607.21923745</v>
      </c>
      <c r="R97" s="2">
        <f>R9/'Output-Calculation-sheet'!R8*'Output-Calculation-sheet'!R80</f>
        <v>1064276258.0057344</v>
      </c>
      <c r="S97" s="2">
        <f>S9/'Output-Calculation-sheet'!S8*'Output-Calculation-sheet'!S80</f>
        <v>617702860.49747968</v>
      </c>
      <c r="T97" s="2">
        <f>T9/'Output-Calculation-sheet'!T8*'Output-Calculation-sheet'!T80</f>
        <v>465151977.99076462</v>
      </c>
      <c r="U97" s="2">
        <f>U9/'Output-Calculation-sheet'!U8*'Output-Calculation-sheet'!U80</f>
        <v>297368323.53220868</v>
      </c>
      <c r="V97" s="2">
        <f>V9/'Output-Calculation-sheet'!V8*'Output-Calculation-sheet'!V80</f>
        <v>155922227.05439362</v>
      </c>
      <c r="W97" s="2">
        <f>W9/'Output-Calculation-sheet'!W8*'Output-Calculation-sheet'!W80</f>
        <v>451553782.28848684</v>
      </c>
      <c r="X97" s="2">
        <f>X9/'Output-Calculation-sheet'!X8*'Output-Calculation-sheet'!X80</f>
        <v>162151383.47598547</v>
      </c>
      <c r="Y97" s="2">
        <f>Y9/'Output-Calculation-sheet'!Y8*'Output-Calculation-sheet'!Y80</f>
        <v>248203187.73839882</v>
      </c>
      <c r="AA97" s="2">
        <f t="shared" si="8"/>
        <v>47.727901677882485</v>
      </c>
    </row>
    <row r="98" spans="1:27" x14ac:dyDescent="0.25">
      <c r="A98" s="2">
        <v>2033</v>
      </c>
      <c r="B98" s="2">
        <f>B10/'Output-Calculation-sheet'!B9*'Output-Calculation-sheet'!B81</f>
        <v>13633391709.656487</v>
      </c>
      <c r="C98" s="2">
        <f>C10/'Output-Calculation-sheet'!C9*'Output-Calculation-sheet'!C81</f>
        <v>4674202740.296442</v>
      </c>
      <c r="D98" s="2">
        <f>D10/'Output-Calculation-sheet'!D9*'Output-Calculation-sheet'!D81</f>
        <v>4448417361.2204561</v>
      </c>
      <c r="E98" s="2">
        <f>E10/'Output-Calculation-sheet'!E9*'Output-Calculation-sheet'!E81</f>
        <v>8367752949.6577644</v>
      </c>
      <c r="F98" s="2">
        <f>F10/'Output-Calculation-sheet'!F9*'Output-Calculation-sheet'!F81</f>
        <v>3451063574.0875449</v>
      </c>
      <c r="G98" s="2">
        <f>G10/'Output-Calculation-sheet'!G9*'Output-Calculation-sheet'!G81</f>
        <v>2533876465.2410111</v>
      </c>
      <c r="H98" s="2">
        <f>H10/'Output-Calculation-sheet'!H9*'Output-Calculation-sheet'!H81</f>
        <v>2295712779.9022913</v>
      </c>
      <c r="I98" s="2">
        <f>I10/'Output-Calculation-sheet'!I9*'Output-Calculation-sheet'!I81</f>
        <v>1908415074.2833745</v>
      </c>
      <c r="J98" s="2">
        <f>J10/'Output-Calculation-sheet'!J9*'Output-Calculation-sheet'!J81</f>
        <v>1220288699.4494917</v>
      </c>
      <c r="K98" s="2">
        <f>K10/'Output-Calculation-sheet'!K9*'Output-Calculation-sheet'!K81</f>
        <v>1772517728.7534008</v>
      </c>
      <c r="L98" s="2">
        <f>L10/'Output-Calculation-sheet'!L9*'Output-Calculation-sheet'!L81</f>
        <v>1329414829.1345115</v>
      </c>
      <c r="M98" s="2">
        <f>M10/'Output-Calculation-sheet'!M9*'Output-Calculation-sheet'!M81</f>
        <v>1723983909.3508899</v>
      </c>
      <c r="N98" s="2">
        <f>N10/'Output-Calculation-sheet'!N9*'Output-Calculation-sheet'!N81</f>
        <v>1236823940.7956247</v>
      </c>
      <c r="O98" s="2">
        <f>O10/'Output-Calculation-sheet'!O9*'Output-Calculation-sheet'!O81</f>
        <v>654968151.7095114</v>
      </c>
      <c r="P98" s="2">
        <f>P10/'Output-Calculation-sheet'!P9*'Output-Calculation-sheet'!P81</f>
        <v>2093088176.8780322</v>
      </c>
      <c r="Q98" s="2">
        <f>Q10/'Output-Calculation-sheet'!Q9*'Output-Calculation-sheet'!Q81</f>
        <v>984116999.75001717</v>
      </c>
      <c r="R98" s="2">
        <f>R10/'Output-Calculation-sheet'!R9*'Output-Calculation-sheet'!R81</f>
        <v>1258834527.9883523</v>
      </c>
      <c r="S98" s="2">
        <f>S10/'Output-Calculation-sheet'!S9*'Output-Calculation-sheet'!S81</f>
        <v>727830478.56133175</v>
      </c>
      <c r="T98" s="2">
        <f>T10/'Output-Calculation-sheet'!T9*'Output-Calculation-sheet'!T81</f>
        <v>540080157.74528909</v>
      </c>
      <c r="U98" s="2">
        <f>U10/'Output-Calculation-sheet'!U9*'Output-Calculation-sheet'!U81</f>
        <v>351411178.28920931</v>
      </c>
      <c r="V98" s="2">
        <f>V10/'Output-Calculation-sheet'!V9*'Output-Calculation-sheet'!V81</f>
        <v>186113277.70410722</v>
      </c>
      <c r="W98" s="2">
        <f>W10/'Output-Calculation-sheet'!W9*'Output-Calculation-sheet'!W81</f>
        <v>527695351.42945176</v>
      </c>
      <c r="X98" s="2">
        <f>X10/'Output-Calculation-sheet'!X9*'Output-Calculation-sheet'!X81</f>
        <v>193912076.0874649</v>
      </c>
      <c r="Y98" s="2">
        <f>Y10/'Output-Calculation-sheet'!Y9*'Output-Calculation-sheet'!Y81</f>
        <v>290159583.74137294</v>
      </c>
      <c r="AA98" s="2">
        <f t="shared" si="8"/>
        <v>56.404071721713422</v>
      </c>
    </row>
    <row r="99" spans="1:27" x14ac:dyDescent="0.25">
      <c r="A99" s="2">
        <v>2034</v>
      </c>
      <c r="B99" s="2">
        <f>B11/'Output-Calculation-sheet'!B10*'Output-Calculation-sheet'!B82</f>
        <v>15887326832.275457</v>
      </c>
      <c r="C99" s="2">
        <f>C11/'Output-Calculation-sheet'!C10*'Output-Calculation-sheet'!C82</f>
        <v>5481779578.9109955</v>
      </c>
      <c r="D99" s="2">
        <f>D11/'Output-Calculation-sheet'!D10*'Output-Calculation-sheet'!D82</f>
        <v>4986877479.377327</v>
      </c>
      <c r="E99" s="2">
        <f>E11/'Output-Calculation-sheet'!E10*'Output-Calculation-sheet'!E82</f>
        <v>9646677189.8544083</v>
      </c>
      <c r="F99" s="2">
        <f>F11/'Output-Calculation-sheet'!F10*'Output-Calculation-sheet'!F82</f>
        <v>3972972029.0132527</v>
      </c>
      <c r="G99" s="2">
        <f>G11/'Output-Calculation-sheet'!G10*'Output-Calculation-sheet'!G82</f>
        <v>2824500394.7669907</v>
      </c>
      <c r="H99" s="2">
        <f>H11/'Output-Calculation-sheet'!H10*'Output-Calculation-sheet'!H82</f>
        <v>2640008433.1018424</v>
      </c>
      <c r="I99" s="2">
        <f>I11/'Output-Calculation-sheet'!I10*'Output-Calculation-sheet'!I82</f>
        <v>2217423294.5646367</v>
      </c>
      <c r="J99" s="2">
        <f>J11/'Output-Calculation-sheet'!J10*'Output-Calculation-sheet'!J82</f>
        <v>1379901668.1341212</v>
      </c>
      <c r="K99" s="2">
        <f>K11/'Output-Calculation-sheet'!K10*'Output-Calculation-sheet'!K82</f>
        <v>2018977220.5974789</v>
      </c>
      <c r="L99" s="2">
        <f>L11/'Output-Calculation-sheet'!L10*'Output-Calculation-sheet'!L82</f>
        <v>1558798060.8668621</v>
      </c>
      <c r="M99" s="2">
        <f>M11/'Output-Calculation-sheet'!M10*'Output-Calculation-sheet'!M82</f>
        <v>1988669419.1682823</v>
      </c>
      <c r="N99" s="2">
        <f>N11/'Output-Calculation-sheet'!N10*'Output-Calculation-sheet'!N82</f>
        <v>1401019463.9664354</v>
      </c>
      <c r="O99" s="2">
        <f>O11/'Output-Calculation-sheet'!O10*'Output-Calculation-sheet'!O82</f>
        <v>759562962.89979804</v>
      </c>
      <c r="P99" s="2">
        <f>P11/'Output-Calculation-sheet'!P10*'Output-Calculation-sheet'!P82</f>
        <v>2367729827.4974065</v>
      </c>
      <c r="Q99" s="2">
        <f>Q11/'Output-Calculation-sheet'!Q10*'Output-Calculation-sheet'!Q82</f>
        <v>1120558543.7935405</v>
      </c>
      <c r="R99" s="2">
        <f>R11/'Output-Calculation-sheet'!R10*'Output-Calculation-sheet'!R82</f>
        <v>1450557852.7992136</v>
      </c>
      <c r="S99" s="2">
        <f>S11/'Output-Calculation-sheet'!S10*'Output-Calculation-sheet'!S82</f>
        <v>835561875.73502553</v>
      </c>
      <c r="T99" s="2">
        <f>T11/'Output-Calculation-sheet'!T10*'Output-Calculation-sheet'!T82</f>
        <v>610698042.49419034</v>
      </c>
      <c r="U99" s="2">
        <f>U11/'Output-Calculation-sheet'!U10*'Output-Calculation-sheet'!U82</f>
        <v>404416554.47147548</v>
      </c>
      <c r="V99" s="2">
        <f>V11/'Output-Calculation-sheet'!V10*'Output-Calculation-sheet'!V82</f>
        <v>216236489.6462613</v>
      </c>
      <c r="W99" s="2">
        <f>W11/'Output-Calculation-sheet'!W10*'Output-Calculation-sheet'!W82</f>
        <v>599631356.62061727</v>
      </c>
      <c r="X99" s="2">
        <f>X11/'Output-Calculation-sheet'!X10*'Output-Calculation-sheet'!X82</f>
        <v>225837677.41495511</v>
      </c>
      <c r="Y99" s="2">
        <f>Y11/'Output-Calculation-sheet'!Y10*'Output-Calculation-sheet'!Y82</f>
        <v>329987427.16104358</v>
      </c>
      <c r="AA99" s="2">
        <f t="shared" si="8"/>
        <v>64.925709675131628</v>
      </c>
    </row>
    <row r="100" spans="1:27" x14ac:dyDescent="0.25">
      <c r="A100" s="2">
        <v>2035</v>
      </c>
      <c r="B100" s="2">
        <f>B12/'Output-Calculation-sheet'!B11*'Output-Calculation-sheet'!B83</f>
        <v>18149817766.483135</v>
      </c>
      <c r="C100" s="2">
        <f>C12/'Output-Calculation-sheet'!C11*'Output-Calculation-sheet'!C83</f>
        <v>6301321932.4625797</v>
      </c>
      <c r="D100" s="2">
        <f>D12/'Output-Calculation-sheet'!D11*'Output-Calculation-sheet'!D83</f>
        <v>5484492773.2668934</v>
      </c>
      <c r="E100" s="2">
        <f>E12/'Output-Calculation-sheet'!E11*'Output-Calculation-sheet'!E83</f>
        <v>10907240968.664486</v>
      </c>
      <c r="F100" s="2">
        <f>F12/'Output-Calculation-sheet'!F11*'Output-Calculation-sheet'!F83</f>
        <v>4486804031.36689</v>
      </c>
      <c r="G100" s="2">
        <f>G12/'Output-Calculation-sheet'!G11*'Output-Calculation-sheet'!G83</f>
        <v>3083308034.7101417</v>
      </c>
      <c r="H100" s="2">
        <f>H12/'Output-Calculation-sheet'!H11*'Output-Calculation-sheet'!H83</f>
        <v>2978245139.6003408</v>
      </c>
      <c r="I100" s="2">
        <f>I12/'Output-Calculation-sheet'!I11*'Output-Calculation-sheet'!I83</f>
        <v>2526982175.7310576</v>
      </c>
      <c r="J100" s="2">
        <f>J12/'Output-Calculation-sheet'!J11*'Output-Calculation-sheet'!J83</f>
        <v>1531459961.0734208</v>
      </c>
      <c r="K100" s="2">
        <f>K12/'Output-Calculation-sheet'!K11*'Output-Calculation-sheet'!K83</f>
        <v>2256492860.754745</v>
      </c>
      <c r="L100" s="2">
        <f>L12/'Output-Calculation-sheet'!L11*'Output-Calculation-sheet'!L83</f>
        <v>1791526667.5546002</v>
      </c>
      <c r="M100" s="2">
        <f>M12/'Output-Calculation-sheet'!M11*'Output-Calculation-sheet'!M83</f>
        <v>2250554481.8475065</v>
      </c>
      <c r="N100" s="2">
        <f>N12/'Output-Calculation-sheet'!N11*'Output-Calculation-sheet'!N83</f>
        <v>1557205947.0918868</v>
      </c>
      <c r="O100" s="2">
        <f>O12/'Output-Calculation-sheet'!O11*'Output-Calculation-sheet'!O83</f>
        <v>864348176.0609268</v>
      </c>
      <c r="P100" s="2">
        <f>P12/'Output-Calculation-sheet'!P11*'Output-Calculation-sheet'!P83</f>
        <v>2625086827.3143396</v>
      </c>
      <c r="Q100" s="2">
        <f>Q12/'Output-Calculation-sheet'!Q11*'Output-Calculation-sheet'!Q83</f>
        <v>1252178450.4204786</v>
      </c>
      <c r="R100" s="2">
        <f>R12/'Output-Calculation-sheet'!R11*'Output-Calculation-sheet'!R83</f>
        <v>1639657889.3021333</v>
      </c>
      <c r="S100" s="2">
        <f>S12/'Output-Calculation-sheet'!S11*'Output-Calculation-sheet'!S83</f>
        <v>941079384.25766611</v>
      </c>
      <c r="T100" s="2">
        <f>T12/'Output-Calculation-sheet'!T11*'Output-Calculation-sheet'!T83</f>
        <v>677251095.66028333</v>
      </c>
      <c r="U100" s="2">
        <f>U12/'Output-Calculation-sheet'!U11*'Output-Calculation-sheet'!U83</f>
        <v>456390557.26954448</v>
      </c>
      <c r="V100" s="2">
        <f>V12/'Output-Calculation-sheet'!V11*'Output-Calculation-sheet'!V83</f>
        <v>246249222.60715249</v>
      </c>
      <c r="W100" s="2">
        <f>W12/'Output-Calculation-sheet'!W11*'Output-Calculation-sheet'!W83</f>
        <v>667149640.72162545</v>
      </c>
      <c r="X100" s="2">
        <f>X12/'Output-Calculation-sheet'!X11*'Output-Calculation-sheet'!X83</f>
        <v>257926388.0836733</v>
      </c>
      <c r="Y100" s="2">
        <f>Y12/'Output-Calculation-sheet'!Y11*'Output-Calculation-sheet'!Y83</f>
        <v>367639273.99302953</v>
      </c>
      <c r="AA100" s="2">
        <f t="shared" si="8"/>
        <v>73.300409646298519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2797010058.1401238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872645693.78498471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602049457.48055053</v>
      </c>
      <c r="N104" s="2">
        <f>N5/'Output-Calculation-sheet'!N4*'Output-Calculation-sheet'!N85</f>
        <v>0</v>
      </c>
      <c r="O104" s="2">
        <f>O5/'Output-Calculation-sheet'!O4*'Output-Calculation-sheet'!O85</f>
        <v>543461504.65322769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65203907.250725277</v>
      </c>
      <c r="Y104" s="2">
        <f>Y5/'Output-Calculation-sheet'!Y4*'Output-Calculation-sheet'!Y85</f>
        <v>0</v>
      </c>
      <c r="AA104" s="2">
        <f>SUM(B104:Y104)/10^6</f>
        <v>4880.370621309612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7030533234.5751534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2193472121.8629766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1513304552.318917</v>
      </c>
      <c r="N105" s="2">
        <f>N6/'Output-Calculation-sheet'!N5*'Output-Calculation-sheet'!N86</f>
        <v>0</v>
      </c>
      <c r="O105" s="2">
        <f>O6/'Output-Calculation-sheet'!O5*'Output-Calculation-sheet'!O86</f>
        <v>1366038981.483865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163895735.64546469</v>
      </c>
      <c r="Y105" s="2">
        <f>Y6/'Output-Calculation-sheet'!Y5*'Output-Calculation-sheet'!Y86</f>
        <v>0</v>
      </c>
      <c r="AA105" s="2">
        <f t="shared" ref="AA105:AA111" si="9">SUM(B105:Y105)/10^6</f>
        <v>12267.244625886375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12226602487.940279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3814825377.8473778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2631899628.2367411</v>
      </c>
      <c r="N106" s="2">
        <f>N7/'Output-Calculation-sheet'!N6*'Output-Calculation-sheet'!N87</f>
        <v>849427841.67439342</v>
      </c>
      <c r="O106" s="2">
        <f>O7/'Output-Calculation-sheet'!O6*'Output-Calculation-sheet'!O87</f>
        <v>2375622559.8944497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179400908.83652538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285037325.04791087</v>
      </c>
      <c r="Y106" s="2">
        <f>Y7/'Output-Calculation-sheet'!Y6*'Output-Calculation-sheet'!Y87</f>
        <v>0</v>
      </c>
      <c r="AA106" s="2">
        <f t="shared" si="9"/>
        <v>22362.81612947768</v>
      </c>
    </row>
    <row r="107" spans="1:27" x14ac:dyDescent="0.25">
      <c r="A107" s="2">
        <v>2031</v>
      </c>
      <c r="B107" s="2">
        <f>B8/'Output-Calculation-sheet'!B7*'Output-Calculation-sheet'!B88</f>
        <v>1063562978.1180419</v>
      </c>
      <c r="C107" s="2">
        <f>C8/'Output-Calculation-sheet'!C7*'Output-Calculation-sheet'!C88</f>
        <v>17515734839.995003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5464979531.5228596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3770394936.4808235</v>
      </c>
      <c r="N107" s="2">
        <f>N8/'Output-Calculation-sheet'!N7*'Output-Calculation-sheet'!N88</f>
        <v>1145583183.7530746</v>
      </c>
      <c r="O107" s="2">
        <f>O8/'Output-Calculation-sheet'!O7*'Output-Calculation-sheet'!O88</f>
        <v>3403323270.8022585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378152344.60549444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408334978.3733539</v>
      </c>
      <c r="Y107" s="2">
        <f>Y8/'Output-Calculation-sheet'!Y7*'Output-Calculation-sheet'!Y88</f>
        <v>0</v>
      </c>
      <c r="AA107" s="2">
        <f t="shared" si="9"/>
        <v>33150.066063650906</v>
      </c>
    </row>
    <row r="108" spans="1:27" x14ac:dyDescent="0.25">
      <c r="A108" s="2">
        <v>2032</v>
      </c>
      <c r="B108" s="2">
        <f>B9/'Output-Calculation-sheet'!B8*'Output-Calculation-sheet'!B89</f>
        <v>4380942432.0036545</v>
      </c>
      <c r="C108" s="2">
        <f>C9/'Output-Calculation-sheet'!C8*'Output-Calculation-sheet'!C89</f>
        <v>21961325133.731892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6851781744.7299814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4727133620.2158146</v>
      </c>
      <c r="N108" s="2">
        <f>N9/'Output-Calculation-sheet'!N8*'Output-Calculation-sheet'!N89</f>
        <v>2227624942.8094816</v>
      </c>
      <c r="O108" s="2">
        <f>O9/'Output-Calculation-sheet'!O8*'Output-Calculation-sheet'!O89</f>
        <v>4267104153.0765295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669481841.17271376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511962700.93817419</v>
      </c>
      <c r="Y108" s="2">
        <f>Y9/'Output-Calculation-sheet'!Y8*'Output-Calculation-sheet'!Y89</f>
        <v>0</v>
      </c>
      <c r="AA108" s="2">
        <f t="shared" si="9"/>
        <v>45597.356568678239</v>
      </c>
    </row>
    <row r="109" spans="1:27" x14ac:dyDescent="0.25">
      <c r="A109" s="2">
        <v>2033</v>
      </c>
      <c r="B109" s="2">
        <f>B10/'Output-Calculation-sheet'!B9*'Output-Calculation-sheet'!B90</f>
        <v>11167628186.597628</v>
      </c>
      <c r="C109" s="2">
        <f>C10/'Output-Calculation-sheet'!C9*'Output-Calculation-sheet'!C90</f>
        <v>24646204249.355392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8205154451.9246988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5660843537.6560078</v>
      </c>
      <c r="N109" s="2">
        <f>N10/'Output-Calculation-sheet'!N9*'Output-Calculation-sheet'!N90</f>
        <v>3333920612.6742887</v>
      </c>
      <c r="O109" s="2">
        <f>O10/'Output-Calculation-sheet'!O9*'Output-Calculation-sheet'!O90</f>
        <v>4521791345.3659649</v>
      </c>
      <c r="P109" s="2">
        <f>P10/'Output-Calculation-sheet'!P9*'Output-Calculation-sheet'!P90</f>
        <v>0</v>
      </c>
      <c r="Q109" s="2">
        <f>Q10/'Output-Calculation-sheet'!Q9*'Output-Calculation-sheet'!Q90</f>
        <v>108561595.19714069</v>
      </c>
      <c r="R109" s="2">
        <f>R10/'Output-Calculation-sheet'!R9*'Output-Calculation-sheet'!R90</f>
        <v>0</v>
      </c>
      <c r="S109" s="2">
        <f>S10/'Output-Calculation-sheet'!S9*'Output-Calculation-sheet'!S90</f>
        <v>1345566711.3788526</v>
      </c>
      <c r="T109" s="2">
        <f>T10/'Output-Calculation-sheet'!T9*'Output-Calculation-sheet'!T90</f>
        <v>1.0257624481023644E-7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613086482.24938834</v>
      </c>
      <c r="Y109" s="2">
        <f>Y10/'Output-Calculation-sheet'!Y9*'Output-Calculation-sheet'!Y90</f>
        <v>0</v>
      </c>
      <c r="AA109" s="2">
        <f t="shared" si="9"/>
        <v>59602.757172399361</v>
      </c>
    </row>
    <row r="110" spans="1:27" x14ac:dyDescent="0.25">
      <c r="A110" s="2">
        <v>2034</v>
      </c>
      <c r="B110" s="2">
        <f>B11/'Output-Calculation-sheet'!B10*'Output-Calculation-sheet'!B91</f>
        <v>25609446624.229397</v>
      </c>
      <c r="C110" s="2">
        <f>C11/'Output-Calculation-sheet'!C10*'Output-Calculation-sheet'!C91</f>
        <v>25896388078.825699</v>
      </c>
      <c r="D110" s="2">
        <f>D11/'Output-Calculation-sheet'!D10*'Output-Calculation-sheet'!D91</f>
        <v>0</v>
      </c>
      <c r="E110" s="2">
        <f>E11/'Output-Calculation-sheet'!E10*'Output-Calculation-sheet'!E91</f>
        <v>522418539.53386283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9565118532.5276031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434734810.87751693</v>
      </c>
      <c r="M110" s="2">
        <f>M11/'Output-Calculation-sheet'!M10*'Output-Calculation-sheet'!M91</f>
        <v>6599099469.4353571</v>
      </c>
      <c r="N110" s="2">
        <f>N11/'Output-Calculation-sheet'!N10*'Output-Calculation-sheet'!N91</f>
        <v>4564267534.1122198</v>
      </c>
      <c r="O110" s="2">
        <f>O11/'Output-Calculation-sheet'!O10*'Output-Calculation-sheet'!O91</f>
        <v>4739107319.3434877</v>
      </c>
      <c r="P110" s="2">
        <f>P11/'Output-Calculation-sheet'!P10*'Output-Calculation-sheet'!P91</f>
        <v>0</v>
      </c>
      <c r="Q110" s="2">
        <f>Q11/'Output-Calculation-sheet'!Q10*'Output-Calculation-sheet'!Q91</f>
        <v>1161462095.4566631</v>
      </c>
      <c r="R110" s="2">
        <f>R11/'Output-Calculation-sheet'!R10*'Output-Calculation-sheet'!R91</f>
        <v>0</v>
      </c>
      <c r="S110" s="2">
        <f>S11/'Output-Calculation-sheet'!S10*'Output-Calculation-sheet'!S91</f>
        <v>2244545021.1358118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653794786.94711328</v>
      </c>
      <c r="Y110" s="2">
        <f>Y11/'Output-Calculation-sheet'!Y10*'Output-Calculation-sheet'!Y91</f>
        <v>28610629.212373029</v>
      </c>
      <c r="AA110" s="2">
        <f t="shared" si="9"/>
        <v>82018.993441637111</v>
      </c>
    </row>
    <row r="111" spans="1:27" x14ac:dyDescent="0.25">
      <c r="A111" s="2">
        <v>2035</v>
      </c>
      <c r="B111" s="2">
        <f>B12/'Output-Calculation-sheet'!B11*'Output-Calculation-sheet'!B92</f>
        <v>32533739512.339642</v>
      </c>
      <c r="C111" s="2">
        <f>C12/'Output-Calculation-sheet'!C11*'Output-Calculation-sheet'!C92</f>
        <v>27208873128.108032</v>
      </c>
      <c r="D111" s="2">
        <f>D12/'Output-Calculation-sheet'!D11*'Output-Calculation-sheet'!D92</f>
        <v>0</v>
      </c>
      <c r="E111" s="2">
        <f>E12/'Output-Calculation-sheet'!E11*'Output-Calculation-sheet'!E92</f>
        <v>3621463944.3538613</v>
      </c>
      <c r="F111" s="2">
        <f>F12/'Output-Calculation-sheet'!F11*'Output-Calculation-sheet'!F92</f>
        <v>0</v>
      </c>
      <c r="G111" s="2">
        <f>G12/'Output-Calculation-sheet'!G11*'Output-Calculation-sheet'!G92</f>
        <v>-3.9375017287963385E-7</v>
      </c>
      <c r="H111" s="2">
        <f>H12/'Output-Calculation-sheet'!H11*'Output-Calculation-sheet'!H92</f>
        <v>10071124380.209164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1195066150.1063056</v>
      </c>
      <c r="M111" s="2">
        <f>M12/'Output-Calculation-sheet'!M11*'Output-Calculation-sheet'!M92</f>
        <v>7106441120.9905939</v>
      </c>
      <c r="N111" s="2">
        <f>N12/'Output-Calculation-sheet'!N11*'Output-Calculation-sheet'!N92</f>
        <v>5125308638.3316202</v>
      </c>
      <c r="O111" s="2">
        <f>O12/'Output-Calculation-sheet'!O11*'Output-Calculation-sheet'!O92</f>
        <v>4943538825.5025644</v>
      </c>
      <c r="P111" s="2">
        <f>P12/'Output-Calculation-sheet'!P11*'Output-Calculation-sheet'!P92</f>
        <v>248616655.05841756</v>
      </c>
      <c r="Q111" s="2">
        <f>Q12/'Output-Calculation-sheet'!Q11*'Output-Calculation-sheet'!Q92</f>
        <v>1709911547.3143301</v>
      </c>
      <c r="R111" s="2">
        <f>R12/'Output-Calculation-sheet'!R11*'Output-Calculation-sheet'!R92</f>
        <v>0</v>
      </c>
      <c r="S111" s="2">
        <f>S12/'Output-Calculation-sheet'!S11*'Output-Calculation-sheet'!S92</f>
        <v>2623409616.7265043</v>
      </c>
      <c r="T111" s="2">
        <f>T12/'Output-Calculation-sheet'!T11*'Output-Calculation-sheet'!T92</f>
        <v>0</v>
      </c>
      <c r="U111" s="2">
        <f>U12/'Output-Calculation-sheet'!U11*'Output-Calculation-sheet'!U92</f>
        <v>49605797.090145789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701254511.75848925</v>
      </c>
      <c r="Y111" s="2">
        <f>Y12/'Output-Calculation-sheet'!Y11*'Output-Calculation-sheet'!Y92</f>
        <v>168944385.37365991</v>
      </c>
      <c r="AA111" s="2">
        <f t="shared" si="9"/>
        <v>97307.298213263319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5935296056.8590832</v>
      </c>
      <c r="C115" s="2">
        <f>C5/'Output-Calculation-sheet'!C4*'Output-Calculation-sheet'!C94</f>
        <v>0</v>
      </c>
      <c r="D115" s="2">
        <f>D5/'Output-Calculation-sheet'!D4*'Output-Calculation-sheet'!D94</f>
        <v>2492892690.6380644</v>
      </c>
      <c r="E115" s="2">
        <f>E5/'Output-Calculation-sheet'!E4*'Output-Calculation-sheet'!E94</f>
        <v>1977857224.6425955</v>
      </c>
      <c r="F115" s="2">
        <f>F5/'Output-Calculation-sheet'!F4*'Output-Calculation-sheet'!F94</f>
        <v>1273217670.2218609</v>
      </c>
      <c r="G115" s="2">
        <f>G5/'Output-Calculation-sheet'!G4*'Output-Calculation-sheet'!G94</f>
        <v>894597817.42178309</v>
      </c>
      <c r="H115" s="2">
        <f>H5/'Output-Calculation-sheet'!H4*'Output-Calculation-sheet'!H94</f>
        <v>0</v>
      </c>
      <c r="I115" s="2">
        <f>I5/'Output-Calculation-sheet'!I4*'Output-Calculation-sheet'!I94</f>
        <v>815048967.40594184</v>
      </c>
      <c r="J115" s="2">
        <f>J5/'Output-Calculation-sheet'!J4*'Output-Calculation-sheet'!J94</f>
        <v>793312342.07245028</v>
      </c>
      <c r="K115" s="2">
        <f>K5/'Output-Calculation-sheet'!K4*'Output-Calculation-sheet'!K94</f>
        <v>785707113.07042503</v>
      </c>
      <c r="L115" s="2">
        <f>L5/'Output-Calculation-sheet'!L4*'Output-Calculation-sheet'!L94</f>
        <v>630304510.73948228</v>
      </c>
      <c r="M115" s="2">
        <f>M5/'Output-Calculation-sheet'!M4*'Output-Calculation-sheet'!M94</f>
        <v>0</v>
      </c>
      <c r="N115" s="2">
        <f>N5/'Output-Calculation-sheet'!N4*'Output-Calculation-sheet'!N94</f>
        <v>590909872.44200194</v>
      </c>
      <c r="O115" s="2">
        <f>O5/'Output-Calculation-sheet'!O4*'Output-Calculation-sheet'!O94</f>
        <v>0</v>
      </c>
      <c r="P115" s="2">
        <f>P5/'Output-Calculation-sheet'!P4*'Output-Calculation-sheet'!P94</f>
        <v>537932319.29912806</v>
      </c>
      <c r="Q115" s="2">
        <f>Q5/'Output-Calculation-sheet'!Q4*'Output-Calculation-sheet'!Q94</f>
        <v>529238442.07170475</v>
      </c>
      <c r="R115" s="2">
        <f>R5/'Output-Calculation-sheet'!R4*'Output-Calculation-sheet'!R94</f>
        <v>509151684.87084115</v>
      </c>
      <c r="S115" s="2">
        <f>S5/'Output-Calculation-sheet'!S4*'Output-Calculation-sheet'!S94</f>
        <v>338408318.28768837</v>
      </c>
      <c r="T115" s="2">
        <f>T5/'Output-Calculation-sheet'!T4*'Output-Calculation-sheet'!T94</f>
        <v>187159773.89921784</v>
      </c>
      <c r="U115" s="2">
        <f>U5/'Output-Calculation-sheet'!U4*'Output-Calculation-sheet'!U94</f>
        <v>163009774.5050815</v>
      </c>
      <c r="V115" s="2">
        <f>V5/'Output-Calculation-sheet'!V4*'Output-Calculation-sheet'!V94</f>
        <v>125520786.55754919</v>
      </c>
      <c r="W115" s="2">
        <f>W5/'Output-Calculation-sheet'!W4*'Output-Calculation-sheet'!W94</f>
        <v>108673182.99673106</v>
      </c>
      <c r="X115" s="2">
        <f>X5/'Output-Calculation-sheet'!X4*'Output-Calculation-sheet'!X94</f>
        <v>0</v>
      </c>
      <c r="Y115" s="2">
        <f>Y5/'Output-Calculation-sheet'!Y4*'Output-Calculation-sheet'!Y94</f>
        <v>63410160.132878624</v>
      </c>
      <c r="AA115" s="2">
        <f>SUM(B115:Y115)/10^6</f>
        <v>18751.648708134511</v>
      </c>
    </row>
    <row r="116" spans="1:27" x14ac:dyDescent="0.25">
      <c r="A116" s="2">
        <v>2029</v>
      </c>
      <c r="B116" s="2">
        <f>B6/'Output-Calculation-sheet'!B5*'Output-Calculation-sheet'!B95</f>
        <v>14918896174.133192</v>
      </c>
      <c r="C116" s="2">
        <f>C6/'Output-Calculation-sheet'!C5*'Output-Calculation-sheet'!C95</f>
        <v>0</v>
      </c>
      <c r="D116" s="2">
        <f>D6/'Output-Calculation-sheet'!D5*'Output-Calculation-sheet'!D95</f>
        <v>6266108190.7833252</v>
      </c>
      <c r="E116" s="2">
        <f>E6/'Output-Calculation-sheet'!E5*'Output-Calculation-sheet'!E95</f>
        <v>4971519041.6647654</v>
      </c>
      <c r="F116" s="2">
        <f>F6/'Output-Calculation-sheet'!F5*'Output-Calculation-sheet'!F95</f>
        <v>3200345208.3533731</v>
      </c>
      <c r="G116" s="2">
        <f>G6/'Output-Calculation-sheet'!G5*'Output-Calculation-sheet'!G95</f>
        <v>2248650374.4926581</v>
      </c>
      <c r="H116" s="2">
        <f>H6/'Output-Calculation-sheet'!H5*'Output-Calculation-sheet'!H95</f>
        <v>0</v>
      </c>
      <c r="I116" s="2">
        <f>I6/'Output-Calculation-sheet'!I5*'Output-Calculation-sheet'!I95</f>
        <v>2048698288.8299224</v>
      </c>
      <c r="J116" s="2">
        <f>J6/'Output-Calculation-sheet'!J5*'Output-Calculation-sheet'!J95</f>
        <v>1994061039.4768646</v>
      </c>
      <c r="K116" s="2">
        <f>K6/'Output-Calculation-sheet'!K5*'Output-Calculation-sheet'!K95</f>
        <v>1974944000.3534336</v>
      </c>
      <c r="L116" s="2">
        <f>L6/'Output-Calculation-sheet'!L5*'Output-Calculation-sheet'!L95</f>
        <v>1584326374.3802431</v>
      </c>
      <c r="M116" s="2">
        <f>M6/'Output-Calculation-sheet'!M5*'Output-Calculation-sheet'!M95</f>
        <v>0</v>
      </c>
      <c r="N116" s="2">
        <f>N6/'Output-Calculation-sheet'!N5*'Output-Calculation-sheet'!N95</f>
        <v>1485303759.757915</v>
      </c>
      <c r="O116" s="2">
        <f>O6/'Output-Calculation-sheet'!O5*'Output-Calculation-sheet'!O95</f>
        <v>0</v>
      </c>
      <c r="P116" s="2">
        <f>P6/'Output-Calculation-sheet'!P5*'Output-Calculation-sheet'!P95</f>
        <v>1352140880.8229403</v>
      </c>
      <c r="Q116" s="2">
        <f>Q6/'Output-Calculation-sheet'!Q5*'Output-Calculation-sheet'!Q95</f>
        <v>1330287827.9208977</v>
      </c>
      <c r="R116" s="2">
        <f>R6/'Output-Calculation-sheet'!R5*'Output-Calculation-sheet'!R95</f>
        <v>1279797585.6110342</v>
      </c>
      <c r="S116" s="2">
        <f>S6/'Output-Calculation-sheet'!S5*'Output-Calculation-sheet'!S95</f>
        <v>850619366.39961922</v>
      </c>
      <c r="T116" s="2">
        <f>T6/'Output-Calculation-sheet'!T5*'Output-Calculation-sheet'!T95</f>
        <v>470442494.75007647</v>
      </c>
      <c r="U116" s="2">
        <f>U6/'Output-Calculation-sheet'!U5*'Output-Calculation-sheet'!U95</f>
        <v>409739419.27536851</v>
      </c>
      <c r="V116" s="2">
        <f>V6/'Output-Calculation-sheet'!V5*'Output-Calculation-sheet'!V95</f>
        <v>315507547.54428208</v>
      </c>
      <c r="W116" s="2">
        <f>W6/'Output-Calculation-sheet'!W5*'Output-Calculation-sheet'!W95</f>
        <v>273159612.76658654</v>
      </c>
      <c r="X116" s="2">
        <f>X6/'Output-Calculation-sheet'!X5*'Output-Calculation-sheet'!X95</f>
        <v>0</v>
      </c>
      <c r="Y116" s="2">
        <f>Y6/'Output-Calculation-sheet'!Y5*'Output-Calculation-sheet'!Y95</f>
        <v>159386995.43650803</v>
      </c>
      <c r="AA116" s="2">
        <f t="shared" ref="AA116:AA122" si="10">SUM(B116:Y116)/10^6</f>
        <v>47133.934182752993</v>
      </c>
    </row>
    <row r="117" spans="1:27" x14ac:dyDescent="0.25">
      <c r="A117" s="2">
        <v>2030</v>
      </c>
      <c r="B117" s="2">
        <f>B7/'Output-Calculation-sheet'!B6*'Output-Calculation-sheet'!B96</f>
        <v>25948882991.380848</v>
      </c>
      <c r="C117" s="2">
        <f>C7/'Output-Calculation-sheet'!C6*'Output-Calculation-sheet'!C96</f>
        <v>0</v>
      </c>
      <c r="D117" s="2">
        <f>D7/'Output-Calculation-sheet'!D6*'Output-Calculation-sheet'!D96</f>
        <v>10898826826.431534</v>
      </c>
      <c r="E117" s="2">
        <f>E7/'Output-Calculation-sheet'!E6*'Output-Calculation-sheet'!E96</f>
        <v>8647111978.3514366</v>
      </c>
      <c r="F117" s="2">
        <f>F7/'Output-Calculation-sheet'!F6*'Output-Calculation-sheet'!F96</f>
        <v>5566459151.4165039</v>
      </c>
      <c r="G117" s="2">
        <f>G7/'Output-Calculation-sheet'!G6*'Output-Calculation-sheet'!G96</f>
        <v>3911146988.5042009</v>
      </c>
      <c r="H117" s="2">
        <f>H7/'Output-Calculation-sheet'!H6*'Output-Calculation-sheet'!H96</f>
        <v>0</v>
      </c>
      <c r="I117" s="2">
        <f>I7/'Output-Calculation-sheet'!I6*'Output-Calculation-sheet'!I96</f>
        <v>3563362311.07374</v>
      </c>
      <c r="J117" s="2">
        <f>J7/'Output-Calculation-sheet'!J6*'Output-Calculation-sheet'!J96</f>
        <v>3468330091.4140968</v>
      </c>
      <c r="K117" s="2">
        <f>K7/'Output-Calculation-sheet'!K6*'Output-Calculation-sheet'!K96</f>
        <v>3435080150.8052058</v>
      </c>
      <c r="L117" s="2">
        <f>L7/'Output-Calculation-sheet'!L6*'Output-Calculation-sheet'!L96</f>
        <v>2755666320.5800033</v>
      </c>
      <c r="M117" s="2">
        <f>M7/'Output-Calculation-sheet'!M6*'Output-Calculation-sheet'!M96</f>
        <v>0</v>
      </c>
      <c r="N117" s="2">
        <f>N7/'Output-Calculation-sheet'!N6*'Output-Calculation-sheet'!N96</f>
        <v>1734006417.4177165</v>
      </c>
      <c r="O117" s="2">
        <f>O7/'Output-Calculation-sheet'!O6*'Output-Calculation-sheet'!O96</f>
        <v>0</v>
      </c>
      <c r="P117" s="2">
        <f>P7/'Output-Calculation-sheet'!P6*'Output-Calculation-sheet'!P96</f>
        <v>2351818514.65095</v>
      </c>
      <c r="Q117" s="2">
        <f>Q7/'Output-Calculation-sheet'!Q6*'Output-Calculation-sheet'!Q96</f>
        <v>2313810068.4024806</v>
      </c>
      <c r="R117" s="2">
        <f>R7/'Output-Calculation-sheet'!R6*'Output-Calculation-sheet'!R96</f>
        <v>2225991434.617229</v>
      </c>
      <c r="S117" s="2">
        <f>S7/'Output-Calculation-sheet'!S6*'Output-Calculation-sheet'!S96</f>
        <v>1300107066.4048803</v>
      </c>
      <c r="T117" s="2">
        <f>T7/'Output-Calculation-sheet'!T6*'Output-Calculation-sheet'!T96</f>
        <v>818255364.67360687</v>
      </c>
      <c r="U117" s="2">
        <f>U7/'Output-Calculation-sheet'!U6*'Output-Calculation-sheet'!U96</f>
        <v>712672230.65736961</v>
      </c>
      <c r="V117" s="2">
        <f>V7/'Output-Calculation-sheet'!V6*'Output-Calculation-sheet'!V96</f>
        <v>548771870.90096664</v>
      </c>
      <c r="W117" s="2">
        <f>W7/'Output-Calculation-sheet'!W6*'Output-Calculation-sheet'!W96</f>
        <v>475114944.8681528</v>
      </c>
      <c r="X117" s="2">
        <f>X7/'Output-Calculation-sheet'!X6*'Output-Calculation-sheet'!X96</f>
        <v>0</v>
      </c>
      <c r="Y117" s="2">
        <f>Y7/'Output-Calculation-sheet'!Y6*'Output-Calculation-sheet'!Y96</f>
        <v>277226719.44094336</v>
      </c>
      <c r="AA117" s="2">
        <f t="shared" si="10"/>
        <v>80952.641441991858</v>
      </c>
    </row>
    <row r="118" spans="1:27" x14ac:dyDescent="0.25">
      <c r="A118" s="2">
        <v>2031</v>
      </c>
      <c r="B118" s="2">
        <f>B8/'Output-Calculation-sheet'!B7*'Output-Calculation-sheet'!B97</f>
        <v>36113566070.823059</v>
      </c>
      <c r="C118" s="2">
        <f>C8/'Output-Calculation-sheet'!C7*'Output-Calculation-sheet'!C97</f>
        <v>0</v>
      </c>
      <c r="D118" s="2">
        <f>D8/'Output-Calculation-sheet'!D7*'Output-Calculation-sheet'!D97</f>
        <v>15614822589.745697</v>
      </c>
      <c r="E118" s="2">
        <f>E8/'Output-Calculation-sheet'!E7*'Output-Calculation-sheet'!E97</f>
        <v>12388777182.758169</v>
      </c>
      <c r="F118" s="2">
        <f>F8/'Output-Calculation-sheet'!F7*'Output-Calculation-sheet'!F97</f>
        <v>7975100439.5069237</v>
      </c>
      <c r="G118" s="2">
        <f>G8/'Output-Calculation-sheet'!G7*'Output-Calculation-sheet'!G97</f>
        <v>5603524439.5215473</v>
      </c>
      <c r="H118" s="2">
        <f>H8/'Output-Calculation-sheet'!H7*'Output-Calculation-sheet'!H97</f>
        <v>0</v>
      </c>
      <c r="I118" s="2">
        <f>I8/'Output-Calculation-sheet'!I7*'Output-Calculation-sheet'!I97</f>
        <v>5105251858.1646633</v>
      </c>
      <c r="J118" s="2">
        <f>J8/'Output-Calculation-sheet'!J7*'Output-Calculation-sheet'!J97</f>
        <v>4969100530.4136629</v>
      </c>
      <c r="K118" s="2">
        <f>K8/'Output-Calculation-sheet'!K7*'Output-Calculation-sheet'!K97</f>
        <v>4921461823.5899744</v>
      </c>
      <c r="L118" s="2">
        <f>L8/'Output-Calculation-sheet'!L7*'Output-Calculation-sheet'!L97</f>
        <v>3948060667.5273018</v>
      </c>
      <c r="M118" s="2">
        <f>M8/'Output-Calculation-sheet'!M7*'Output-Calculation-sheet'!M97</f>
        <v>0</v>
      </c>
      <c r="N118" s="2">
        <f>N8/'Output-Calculation-sheet'!N7*'Output-Calculation-sheet'!N97</f>
        <v>2555691643.0381269</v>
      </c>
      <c r="O118" s="2">
        <f>O8/'Output-Calculation-sheet'!O7*'Output-Calculation-sheet'!O97</f>
        <v>0</v>
      </c>
      <c r="P118" s="2">
        <f>P8/'Output-Calculation-sheet'!P7*'Output-Calculation-sheet'!P97</f>
        <v>3369466226.3886809</v>
      </c>
      <c r="Q118" s="2">
        <f>Q8/'Output-Calculation-sheet'!Q7*'Output-Calculation-sheet'!Q97</f>
        <v>3315009578.2331014</v>
      </c>
      <c r="R118" s="2">
        <f>R8/'Output-Calculation-sheet'!R7*'Output-Calculation-sheet'!R97</f>
        <v>3189191672.4626927</v>
      </c>
      <c r="S118" s="2">
        <f>S8/'Output-Calculation-sheet'!S7*'Output-Calculation-sheet'!S97</f>
        <v>1741548062.4658477</v>
      </c>
      <c r="T118" s="2">
        <f>T8/'Output-Calculation-sheet'!T7*'Output-Calculation-sheet'!T97</f>
        <v>1172319664.8906024</v>
      </c>
      <c r="U118" s="2">
        <f>U8/'Output-Calculation-sheet'!U7*'Output-Calculation-sheet'!U97</f>
        <v>1021050171.1556271</v>
      </c>
      <c r="V118" s="2">
        <f>V8/'Output-Calculation-sheet'!V7*'Output-Calculation-sheet'!V97</f>
        <v>786229361.75097883</v>
      </c>
      <c r="W118" s="2">
        <f>W8/'Output-Calculation-sheet'!W7*'Output-Calculation-sheet'!W97</f>
        <v>680700113.89527714</v>
      </c>
      <c r="X118" s="2">
        <f>X8/'Output-Calculation-sheet'!X7*'Output-Calculation-sheet'!X97</f>
        <v>0</v>
      </c>
      <c r="Y118" s="2">
        <f>Y8/'Output-Calculation-sheet'!Y7*'Output-Calculation-sheet'!Y97</f>
        <v>397184587.61081046</v>
      </c>
      <c r="AA118" s="2">
        <f t="shared" si="10"/>
        <v>114868.05668394276</v>
      </c>
    </row>
    <row r="119" spans="1:27" x14ac:dyDescent="0.25">
      <c r="A119" s="2">
        <v>2032</v>
      </c>
      <c r="B119" s="2">
        <f>B9/'Output-Calculation-sheet'!B8*'Output-Calculation-sheet'!B98</f>
        <v>42229809796.287659</v>
      </c>
      <c r="C119" s="2">
        <f>C9/'Output-Calculation-sheet'!C8*'Output-Calculation-sheet'!C98</f>
        <v>0</v>
      </c>
      <c r="D119" s="2">
        <f>D9/'Output-Calculation-sheet'!D8*'Output-Calculation-sheet'!D98</f>
        <v>19577054507.571472</v>
      </c>
      <c r="E119" s="2">
        <f>E9/'Output-Calculation-sheet'!E8*'Output-Calculation-sheet'!E98</f>
        <v>15532402488.343229</v>
      </c>
      <c r="F119" s="2">
        <f>F9/'Output-Calculation-sheet'!F8*'Output-Calculation-sheet'!F98</f>
        <v>9998767952.2860889</v>
      </c>
      <c r="G119" s="2">
        <f>G9/'Output-Calculation-sheet'!G8*'Output-Calculation-sheet'!G98</f>
        <v>7025408795.0885954</v>
      </c>
      <c r="H119" s="2">
        <f>H9/'Output-Calculation-sheet'!H8*'Output-Calculation-sheet'!H98</f>
        <v>9.3979250450878951E-7</v>
      </c>
      <c r="I119" s="2">
        <f>I9/'Output-Calculation-sheet'!I8*'Output-Calculation-sheet'!I98</f>
        <v>6400700913.8277111</v>
      </c>
      <c r="J119" s="2">
        <f>J9/'Output-Calculation-sheet'!J8*'Output-Calculation-sheet'!J98</f>
        <v>6229998996.9910851</v>
      </c>
      <c r="K119" s="2">
        <f>K9/'Output-Calculation-sheet'!K8*'Output-Calculation-sheet'!K98</f>
        <v>6170273039.7399607</v>
      </c>
      <c r="L119" s="2">
        <f>L9/'Output-Calculation-sheet'!L8*'Output-Calculation-sheet'!L98</f>
        <v>4949874420.7704668</v>
      </c>
      <c r="M119" s="2">
        <f>M9/'Output-Calculation-sheet'!M8*'Output-Calculation-sheet'!M98</f>
        <v>0</v>
      </c>
      <c r="N119" s="2">
        <f>N9/'Output-Calculation-sheet'!N8*'Output-Calculation-sheet'!N98</f>
        <v>2412453174.8994484</v>
      </c>
      <c r="O119" s="2">
        <f>O9/'Output-Calculation-sheet'!O8*'Output-Calculation-sheet'!O98</f>
        <v>0</v>
      </c>
      <c r="P119" s="2">
        <f>P9/'Output-Calculation-sheet'!P8*'Output-Calculation-sheet'!P98</f>
        <v>4224434048.3947439</v>
      </c>
      <c r="Q119" s="2">
        <f>Q9/'Output-Calculation-sheet'!Q8*'Output-Calculation-sheet'!Q98</f>
        <v>4156187025.5310903</v>
      </c>
      <c r="R119" s="2">
        <f>R9/'Output-Calculation-sheet'!R8*'Output-Calculation-sheet'!R98</f>
        <v>3998443384.5754709</v>
      </c>
      <c r="S119" s="2">
        <f>S9/'Output-Calculation-sheet'!S8*'Output-Calculation-sheet'!S98</f>
        <v>1987946247.7964013</v>
      </c>
      <c r="T119" s="2">
        <f>T9/'Output-Calculation-sheet'!T8*'Output-Calculation-sheet'!T98</f>
        <v>1469793348.5102875</v>
      </c>
      <c r="U119" s="2">
        <f>U9/'Output-Calculation-sheet'!U8*'Output-Calculation-sheet'!U98</f>
        <v>1280140037.3166616</v>
      </c>
      <c r="V119" s="2">
        <f>V9/'Output-Calculation-sheet'!V8*'Output-Calculation-sheet'!V98</f>
        <v>985733431.69604695</v>
      </c>
      <c r="W119" s="2">
        <f>W9/'Output-Calculation-sheet'!W8*'Output-Calculation-sheet'!W98</f>
        <v>853426557.43988431</v>
      </c>
      <c r="X119" s="2">
        <f>X9/'Output-Calculation-sheet'!X8*'Output-Calculation-sheet'!X98</f>
        <v>0</v>
      </c>
      <c r="Y119" s="2">
        <f>Y9/'Output-Calculation-sheet'!Y8*'Output-Calculation-sheet'!Y98</f>
        <v>497969275.92232853</v>
      </c>
      <c r="AA119" s="2">
        <f t="shared" si="10"/>
        <v>139980.81744298863</v>
      </c>
    </row>
    <row r="120" spans="1:27" x14ac:dyDescent="0.25">
      <c r="A120" s="2">
        <v>2033</v>
      </c>
      <c r="B120" s="2">
        <f>B10/'Output-Calculation-sheet'!B9*'Output-Calculation-sheet'!B99</f>
        <v>44644677121.746536</v>
      </c>
      <c r="C120" s="2">
        <f>C10/'Output-Calculation-sheet'!C9*'Output-Calculation-sheet'!C99</f>
        <v>0</v>
      </c>
      <c r="D120" s="2">
        <f>D10/'Output-Calculation-sheet'!D9*'Output-Calculation-sheet'!D99</f>
        <v>23443237053.798988</v>
      </c>
      <c r="E120" s="2">
        <f>E10/'Output-Calculation-sheet'!E9*'Output-Calculation-sheet'!E99</f>
        <v>18599827234.293175</v>
      </c>
      <c r="F120" s="2">
        <f>F10/'Output-Calculation-sheet'!F9*'Output-Calculation-sheet'!F99</f>
        <v>11973376239.053461</v>
      </c>
      <c r="G120" s="2">
        <f>G10/'Output-Calculation-sheet'!G9*'Output-Calculation-sheet'!G99</f>
        <v>8412822746.0005274</v>
      </c>
      <c r="H120" s="2">
        <f>H10/'Output-Calculation-sheet'!H9*'Output-Calculation-sheet'!H99</f>
        <v>0</v>
      </c>
      <c r="I120" s="2">
        <f>I10/'Output-Calculation-sheet'!I9*'Output-Calculation-sheet'!I99</f>
        <v>7664744740.923192</v>
      </c>
      <c r="J120" s="2">
        <f>J10/'Output-Calculation-sheet'!J9*'Output-Calculation-sheet'!J99</f>
        <v>7460331705.6304026</v>
      </c>
      <c r="K120" s="2">
        <f>K10/'Output-Calculation-sheet'!K9*'Output-Calculation-sheet'!K99</f>
        <v>7388985866.1562176</v>
      </c>
      <c r="L120" s="2">
        <f>L10/'Output-Calculation-sheet'!L9*'Output-Calculation-sheet'!L99</f>
        <v>5927401452.4894772</v>
      </c>
      <c r="M120" s="2">
        <f>M10/'Output-Calculation-sheet'!M9*'Output-Calculation-sheet'!M99</f>
        <v>0</v>
      </c>
      <c r="N120" s="2">
        <f>N10/'Output-Calculation-sheet'!N9*'Output-Calculation-sheet'!N99</f>
        <v>2222178756.5522518</v>
      </c>
      <c r="O120" s="2">
        <f>O10/'Output-Calculation-sheet'!O9*'Output-Calculation-sheet'!O99</f>
        <v>0</v>
      </c>
      <c r="P120" s="2">
        <f>P10/'Output-Calculation-sheet'!P9*'Output-Calculation-sheet'!P99</f>
        <v>5058431813.530632</v>
      </c>
      <c r="Q120" s="2">
        <f>Q10/'Output-Calculation-sheet'!Q9*'Output-Calculation-sheet'!Q99</f>
        <v>4868362523.8319464</v>
      </c>
      <c r="R120" s="2">
        <f>R10/'Output-Calculation-sheet'!R9*'Output-Calculation-sheet'!R99</f>
        <v>4787852078.2215519</v>
      </c>
      <c r="S120" s="2">
        <f>S10/'Output-Calculation-sheet'!S9*'Output-Calculation-sheet'!S99</f>
        <v>1836452027.5799518</v>
      </c>
      <c r="T120" s="2">
        <f>T10/'Output-Calculation-sheet'!T9*'Output-Calculation-sheet'!T99</f>
        <v>1760040671.2190113</v>
      </c>
      <c r="U120" s="2">
        <f>U10/'Output-Calculation-sheet'!U9*'Output-Calculation-sheet'!U99</f>
        <v>1533277928.9886425</v>
      </c>
      <c r="V120" s="2">
        <f>V10/'Output-Calculation-sheet'!V9*'Output-Calculation-sheet'!V99</f>
        <v>1180401274.6793258</v>
      </c>
      <c r="W120" s="2">
        <f>W10/'Output-Calculation-sheet'!W9*'Output-Calculation-sheet'!W99</f>
        <v>1021965901.0522736</v>
      </c>
      <c r="X120" s="2">
        <f>X10/'Output-Calculation-sheet'!X9*'Output-Calculation-sheet'!X99</f>
        <v>0</v>
      </c>
      <c r="Y120" s="2">
        <f>Y10/'Output-Calculation-sheet'!Y9*'Output-Calculation-sheet'!Y99</f>
        <v>596311744.20194662</v>
      </c>
      <c r="AA120" s="2">
        <f t="shared" si="10"/>
        <v>160380.67887994953</v>
      </c>
    </row>
    <row r="121" spans="1:27" x14ac:dyDescent="0.25">
      <c r="A121" s="2">
        <v>2034</v>
      </c>
      <c r="B121" s="2">
        <f>B11/'Output-Calculation-sheet'!B10*'Output-Calculation-sheet'!B100</f>
        <v>39447801709.139832</v>
      </c>
      <c r="C121" s="2">
        <f>C11/'Output-Calculation-sheet'!C10*'Output-Calculation-sheet'!C100</f>
        <v>0</v>
      </c>
      <c r="D121" s="2">
        <f>D11/'Output-Calculation-sheet'!D10*'Output-Calculation-sheet'!D100</f>
        <v>27328247646.455563</v>
      </c>
      <c r="E121" s="2">
        <f>E11/'Output-Calculation-sheet'!E10*'Output-Calculation-sheet'!E100</f>
        <v>21158855268.490726</v>
      </c>
      <c r="F121" s="2">
        <f>F11/'Output-Calculation-sheet'!F10*'Output-Calculation-sheet'!F100</f>
        <v>13957527598.049236</v>
      </c>
      <c r="G121" s="2">
        <f>G11/'Output-Calculation-sheet'!G10*'Output-Calculation-sheet'!G100</f>
        <v>9806463464.8363857</v>
      </c>
      <c r="H121" s="2">
        <f>H11/'Output-Calculation-sheet'!H10*'Output-Calculation-sheet'!H100</f>
        <v>0</v>
      </c>
      <c r="I121" s="2">
        <f>I11/'Output-Calculation-sheet'!I10*'Output-Calculation-sheet'!I100</f>
        <v>8934627350.1073418</v>
      </c>
      <c r="J121" s="2">
        <f>J11/'Output-Calculation-sheet'!J10*'Output-Calculation-sheet'!J100</f>
        <v>8696443613.8236446</v>
      </c>
      <c r="K121" s="2">
        <f>K11/'Output-Calculation-sheet'!K10*'Output-Calculation-sheet'!K100</f>
        <v>8613288076.5799026</v>
      </c>
      <c r="L121" s="2">
        <f>L11/'Output-Calculation-sheet'!L10*'Output-Calculation-sheet'!L100</f>
        <v>6474754099.0027285</v>
      </c>
      <c r="M121" s="2">
        <f>M11/'Output-Calculation-sheet'!M10*'Output-Calculation-sheet'!M100</f>
        <v>4.4196620288934819E-7</v>
      </c>
      <c r="N121" s="2">
        <f>N11/'Output-Calculation-sheet'!N10*'Output-Calculation-sheet'!N100</f>
        <v>1912727861.1192715</v>
      </c>
      <c r="O121" s="2">
        <f>O11/'Output-Calculation-sheet'!O10*'Output-Calculation-sheet'!O100</f>
        <v>0</v>
      </c>
      <c r="P121" s="2">
        <f>P11/'Output-Calculation-sheet'!P10*'Output-Calculation-sheet'!P100</f>
        <v>5896471609.5889664</v>
      </c>
      <c r="Q121" s="2">
        <f>Q11/'Output-Calculation-sheet'!Q10*'Output-Calculation-sheet'!Q100</f>
        <v>4639762567.1567192</v>
      </c>
      <c r="R121" s="2">
        <f>R11/'Output-Calculation-sheet'!R10*'Output-Calculation-sheet'!R100</f>
        <v>5581050518.3056126</v>
      </c>
      <c r="S121" s="2">
        <f>S11/'Output-Calculation-sheet'!S10*'Output-Calculation-sheet'!S100</f>
        <v>1464767084.739537</v>
      </c>
      <c r="T121" s="2">
        <f>T11/'Output-Calculation-sheet'!T10*'Output-Calculation-sheet'!T100</f>
        <v>2051593217.9361987</v>
      </c>
      <c r="U121" s="2">
        <f>U11/'Output-Calculation-sheet'!U10*'Output-Calculation-sheet'!U100</f>
        <v>1787951599.8436201</v>
      </c>
      <c r="V121" s="2">
        <f>V11/'Output-Calculation-sheet'!V10*'Output-Calculation-sheet'!V100</f>
        <v>1376403943.0929165</v>
      </c>
      <c r="W121" s="2">
        <f>W11/'Output-Calculation-sheet'!W10*'Output-Calculation-sheet'!W100</f>
        <v>1191361359.8339539</v>
      </c>
      <c r="X121" s="2">
        <f>X11/'Output-Calculation-sheet'!X10*'Output-Calculation-sheet'!X100</f>
        <v>52888713.807639033</v>
      </c>
      <c r="Y121" s="2">
        <f>Y11/'Output-Calculation-sheet'!Y10*'Output-Calculation-sheet'!Y100</f>
        <v>666509274.1180712</v>
      </c>
      <c r="AA121" s="2">
        <f t="shared" si="10"/>
        <v>171039.49657602783</v>
      </c>
    </row>
    <row r="122" spans="1:27" x14ac:dyDescent="0.25">
      <c r="A122" s="2">
        <v>2035</v>
      </c>
      <c r="B122" s="2">
        <f>B12/'Output-Calculation-sheet'!B11*'Output-Calculation-sheet'!B101</f>
        <v>37436992914.876122</v>
      </c>
      <c r="C122" s="2">
        <f>C12/'Output-Calculation-sheet'!C11*'Output-Calculation-sheet'!C101</f>
        <v>0</v>
      </c>
      <c r="D122" s="2">
        <f>D12/'Output-Calculation-sheet'!D11*'Output-Calculation-sheet'!D101</f>
        <v>29087849270.423935</v>
      </c>
      <c r="E122" s="2">
        <f>E12/'Output-Calculation-sheet'!E11*'Output-Calculation-sheet'!E101</f>
        <v>20557109002.451889</v>
      </c>
      <c r="F122" s="2">
        <f>F12/'Output-Calculation-sheet'!F11*'Output-Calculation-sheet'!F101</f>
        <v>15298051418.824806</v>
      </c>
      <c r="G122" s="2">
        <f>G12/'Output-Calculation-sheet'!G11*'Output-Calculation-sheet'!G101</f>
        <v>10590358608.662788</v>
      </c>
      <c r="H122" s="2">
        <f>H12/'Output-Calculation-sheet'!H11*'Output-Calculation-sheet'!H101</f>
        <v>0</v>
      </c>
      <c r="I122" s="2">
        <f>I12/'Output-Calculation-sheet'!I11*'Output-Calculation-sheet'!I101</f>
        <v>9674847087.770771</v>
      </c>
      <c r="J122" s="2">
        <f>J12/'Output-Calculation-sheet'!J11*'Output-Calculation-sheet'!J101</f>
        <v>9329072350.1361485</v>
      </c>
      <c r="K122" s="2">
        <f>K12/'Output-Calculation-sheet'!K11*'Output-Calculation-sheet'!K101</f>
        <v>9381026422.4477673</v>
      </c>
      <c r="L122" s="2">
        <f>L12/'Output-Calculation-sheet'!L11*'Output-Calculation-sheet'!L101</f>
        <v>6455785776.4449062</v>
      </c>
      <c r="M122" s="2">
        <f>M12/'Output-Calculation-sheet'!M11*'Output-Calculation-sheet'!M101</f>
        <v>0</v>
      </c>
      <c r="N122" s="2">
        <f>N12/'Output-Calculation-sheet'!N11*'Output-Calculation-sheet'!N101</f>
        <v>1816695093.4232507</v>
      </c>
      <c r="O122" s="2">
        <f>O12/'Output-Calculation-sheet'!O11*'Output-Calculation-sheet'!O101</f>
        <v>0</v>
      </c>
      <c r="P122" s="2">
        <f>P12/'Output-Calculation-sheet'!P11*'Output-Calculation-sheet'!P101</f>
        <v>6252434003.4197102</v>
      </c>
      <c r="Q122" s="2">
        <f>Q12/'Output-Calculation-sheet'!Q11*'Output-Calculation-sheet'!Q101</f>
        <v>4435093953.2863522</v>
      </c>
      <c r="R122" s="2">
        <f>R12/'Output-Calculation-sheet'!R11*'Output-Calculation-sheet'!R101</f>
        <v>6113862192.2844267</v>
      </c>
      <c r="S122" s="2">
        <f>S12/'Output-Calculation-sheet'!S11*'Output-Calculation-sheet'!S101</f>
        <v>1340304007.1310859</v>
      </c>
      <c r="T122" s="2">
        <f>T12/'Output-Calculation-sheet'!T11*'Output-Calculation-sheet'!T101</f>
        <v>2279990370.2185073</v>
      </c>
      <c r="U122" s="2">
        <f>U12/'Output-Calculation-sheet'!U11*'Output-Calculation-sheet'!U101</f>
        <v>1851008182.5134268</v>
      </c>
      <c r="V122" s="2">
        <f>V12/'Output-Calculation-sheet'!V11*'Output-Calculation-sheet'!V101</f>
        <v>1537603840.0899301</v>
      </c>
      <c r="W122" s="2">
        <f>W12/'Output-Calculation-sheet'!W11*'Output-Calculation-sheet'!W101</f>
        <v>1340780953.6264596</v>
      </c>
      <c r="X122" s="2">
        <f>X12/'Output-Calculation-sheet'!X11*'Output-Calculation-sheet'!X101</f>
        <v>49375857.654621936</v>
      </c>
      <c r="Y122" s="2">
        <f>Y12/'Output-Calculation-sheet'!Y11*'Output-Calculation-sheet'!Y101</f>
        <v>605306521.62953341</v>
      </c>
      <c r="AA122" s="2">
        <f t="shared" si="10"/>
        <v>175433.54782731645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41547071471.022324</v>
      </c>
      <c r="C126" s="2">
        <f>C5/'Output-Calculation-sheet'!C4*'Output-Calculation-sheet'!C103</f>
        <v>19579071286.922321</v>
      </c>
      <c r="D126" s="2">
        <f>D5/'Output-Calculation-sheet'!D4*'Output-Calculation-sheet'!D103</f>
        <v>17450246496.026913</v>
      </c>
      <c r="E126" s="2">
        <f>E5/'Output-Calculation-sheet'!E4*'Output-Calculation-sheet'!E103</f>
        <v>13844999023.801756</v>
      </c>
      <c r="F126" s="2">
        <f>F5/'Output-Calculation-sheet'!F4*'Output-Calculation-sheet'!F103</f>
        <v>8912524665.57687</v>
      </c>
      <c r="G126" s="2">
        <f>G5/'Output-Calculation-sheet'!G4*'Output-Calculation-sheet'!G103</f>
        <v>6262184442.3363132</v>
      </c>
      <c r="H126" s="2">
        <f>H5/'Output-Calculation-sheet'!H4*'Output-Calculation-sheet'!H103</f>
        <v>6108519856.4948931</v>
      </c>
      <c r="I126" s="2">
        <f>I5/'Output-Calculation-sheet'!I4*'Output-Calculation-sheet'!I103</f>
        <v>5705342646.0925684</v>
      </c>
      <c r="J126" s="2">
        <f>J5/'Output-Calculation-sheet'!J4*'Output-Calculation-sheet'!J103</f>
        <v>5553186643.407649</v>
      </c>
      <c r="K126" s="2">
        <f>K5/'Output-Calculation-sheet'!K4*'Output-Calculation-sheet'!K103</f>
        <v>5499950162.2674665</v>
      </c>
      <c r="L126" s="2">
        <f>L5/'Output-Calculation-sheet'!L4*'Output-Calculation-sheet'!L103</f>
        <v>4412131771.7244492</v>
      </c>
      <c r="M126" s="2">
        <f>M5/'Output-Calculation-sheet'!M4*'Output-Calculation-sheet'!M103</f>
        <v>4214346668.3323402</v>
      </c>
      <c r="N126" s="2">
        <f>N5/'Output-Calculation-sheet'!N4*'Output-Calculation-sheet'!N103</f>
        <v>4136368740.7162123</v>
      </c>
      <c r="O126" s="2">
        <f>O5/'Output-Calculation-sheet'!O4*'Output-Calculation-sheet'!O103</f>
        <v>3804230447.0981178</v>
      </c>
      <c r="P126" s="2">
        <f>P5/'Output-Calculation-sheet'!P4*'Output-Calculation-sheet'!P103</f>
        <v>3765525727.3932872</v>
      </c>
      <c r="Q126" s="2">
        <f>Q5/'Output-Calculation-sheet'!Q4*'Output-Calculation-sheet'!Q103</f>
        <v>3704668853.7503796</v>
      </c>
      <c r="R126" s="2">
        <f>R5/'Output-Calculation-sheet'!R4*'Output-Calculation-sheet'!R103</f>
        <v>3564061634.929184</v>
      </c>
      <c r="S126" s="2">
        <f>S5/'Output-Calculation-sheet'!S4*'Output-Calculation-sheet'!S103</f>
        <v>2368858333.0237355</v>
      </c>
      <c r="T126" s="2">
        <f>T5/'Output-Calculation-sheet'!T4*'Output-Calculation-sheet'!T103</f>
        <v>1310118299.5223486</v>
      </c>
      <c r="U126" s="2">
        <f>U5/'Output-Calculation-sheet'!U4*'Output-Calculation-sheet'!U103</f>
        <v>1141068498.3500261</v>
      </c>
      <c r="V126" s="2">
        <f>V5/'Output-Calculation-sheet'!V4*'Output-Calculation-sheet'!V103</f>
        <v>878645565.13375652</v>
      </c>
      <c r="W126" s="2">
        <f>W5/'Output-Calculation-sheet'!W4*'Output-Calculation-sheet'!W103</f>
        <v>760712246.78410697</v>
      </c>
      <c r="X126" s="2">
        <f>X5/'Output-Calculation-sheet'!X4*'Output-Calculation-sheet'!X103</f>
        <v>456427360.97865528</v>
      </c>
      <c r="Y126" s="2">
        <f>Y5/'Output-Calculation-sheet'!Y4*'Output-Calculation-sheet'!Y103</f>
        <v>443871130.79609311</v>
      </c>
      <c r="AA126" s="2">
        <f>SUM(B126:Y126)/10^6</f>
        <v>165424.13197248182</v>
      </c>
    </row>
    <row r="127" spans="1:27" x14ac:dyDescent="0.25">
      <c r="A127" s="2">
        <v>2029</v>
      </c>
      <c r="B127" s="2">
        <f>B6/'Output-Calculation-sheet'!B5*'Output-Calculation-sheet'!B104</f>
        <v>44756676872.027061</v>
      </c>
      <c r="C127" s="2">
        <f>C6/'Output-Calculation-sheet'!C5*'Output-Calculation-sheet'!C104</f>
        <v>21091599703.72546</v>
      </c>
      <c r="D127" s="2">
        <f>D6/'Output-Calculation-sheet'!D5*'Output-Calculation-sheet'!D104</f>
        <v>18798319674.121162</v>
      </c>
      <c r="E127" s="2">
        <f>E6/'Output-Calculation-sheet'!E5*'Output-Calculation-sheet'!E104</f>
        <v>14914557124.994295</v>
      </c>
      <c r="F127" s="2">
        <f>F6/'Output-Calculation-sheet'!F5*'Output-Calculation-sheet'!F104</f>
        <v>9601035625.0601196</v>
      </c>
      <c r="G127" s="2">
        <f>G6/'Output-Calculation-sheet'!G5*'Output-Calculation-sheet'!G104</f>
        <v>6745951123.4779739</v>
      </c>
      <c r="H127" s="2">
        <f>H6/'Output-Calculation-sheet'!H5*'Output-Calculation-sheet'!H104</f>
        <v>6580416365.5889292</v>
      </c>
      <c r="I127" s="2">
        <f>I6/'Output-Calculation-sheet'!I5*'Output-Calculation-sheet'!I104</f>
        <v>6146093286.0832987</v>
      </c>
      <c r="J127" s="2">
        <f>J6/'Output-Calculation-sheet'!J5*'Output-Calculation-sheet'!J104</f>
        <v>5982181554.347065</v>
      </c>
      <c r="K127" s="2">
        <f>K6/'Output-Calculation-sheet'!K5*'Output-Calculation-sheet'!K104</f>
        <v>5924832001.0603008</v>
      </c>
      <c r="L127" s="2">
        <f>L6/'Output-Calculation-sheet'!L5*'Output-Calculation-sheet'!L104</f>
        <v>4752977888.0383244</v>
      </c>
      <c r="M127" s="2">
        <f>M6/'Output-Calculation-sheet'!M5*'Output-Calculation-sheet'!M104</f>
        <v>4539913656.9567509</v>
      </c>
      <c r="N127" s="2">
        <f>N6/'Output-Calculation-sheet'!N5*'Output-Calculation-sheet'!N104</f>
        <v>4455912430.4274998</v>
      </c>
      <c r="O127" s="2">
        <f>O6/'Output-Calculation-sheet'!O5*'Output-Calculation-sheet'!O104</f>
        <v>4098115870.2133255</v>
      </c>
      <c r="P127" s="2">
        <f>P6/'Output-Calculation-sheet'!P5*'Output-Calculation-sheet'!P104</f>
        <v>4056421579.0101714</v>
      </c>
      <c r="Q127" s="2">
        <f>Q6/'Output-Calculation-sheet'!Q5*'Output-Calculation-sheet'!Q104</f>
        <v>3990862475.1788263</v>
      </c>
      <c r="R127" s="2">
        <f>R6/'Output-Calculation-sheet'!R5*'Output-Calculation-sheet'!R104</f>
        <v>3839392756.8331027</v>
      </c>
      <c r="S127" s="2">
        <f>S6/'Output-Calculation-sheet'!S5*'Output-Calculation-sheet'!S104</f>
        <v>2551857439.3195772</v>
      </c>
      <c r="T127" s="2">
        <f>T6/'Output-Calculation-sheet'!T5*'Output-Calculation-sheet'!T104</f>
        <v>1411327854.2887046</v>
      </c>
      <c r="U127" s="2">
        <f>U6/'Output-Calculation-sheet'!U5*'Output-Calculation-sheet'!U104</f>
        <v>1229218579.6259847</v>
      </c>
      <c r="V127" s="2">
        <f>V6/'Output-Calculation-sheet'!V5*'Output-Calculation-sheet'!V104</f>
        <v>946522890.76973867</v>
      </c>
      <c r="W127" s="2">
        <f>W6/'Output-Calculation-sheet'!W5*'Output-Calculation-sheet'!W104</f>
        <v>819479053.16764808</v>
      </c>
      <c r="X127" s="2">
        <f>X6/'Output-Calculation-sheet'!X5*'Output-Calculation-sheet'!X104</f>
        <v>491687335.42573529</v>
      </c>
      <c r="Y127" s="2">
        <f>Y6/'Output-Calculation-sheet'!Y5*'Output-Calculation-sheet'!Y104</f>
        <v>478161110.30412161</v>
      </c>
      <c r="AA127" s="2">
        <f t="shared" ref="AA127:AA133" si="11">SUM(B127:Y127)/10^6</f>
        <v>178203.51425004512</v>
      </c>
    </row>
    <row r="128" spans="1:27" x14ac:dyDescent="0.25">
      <c r="A128" s="2">
        <v>2030</v>
      </c>
      <c r="B128" s="2">
        <f>B7/'Output-Calculation-sheet'!B6*'Output-Calculation-sheet'!B105</f>
        <v>43248142822.045227</v>
      </c>
      <c r="C128" s="2">
        <f>C7/'Output-Calculation-sheet'!C6*'Output-Calculation-sheet'!C105</f>
        <v>20380697174.595039</v>
      </c>
      <c r="D128" s="2">
        <f>D7/'Output-Calculation-sheet'!D6*'Output-Calculation-sheet'!D105</f>
        <v>18164715163.891808</v>
      </c>
      <c r="E128" s="2">
        <f>E7/'Output-Calculation-sheet'!E6*'Output-Calculation-sheet'!E105</f>
        <v>14411854801.883505</v>
      </c>
      <c r="F128" s="2">
        <f>F7/'Output-Calculation-sheet'!F6*'Output-Calculation-sheet'!F105</f>
        <v>9277430972.7177162</v>
      </c>
      <c r="G128" s="2">
        <f>G7/'Output-Calculation-sheet'!G6*'Output-Calculation-sheet'!G105</f>
        <v>6518577635.0231543</v>
      </c>
      <c r="H128" s="2">
        <f>H7/'Output-Calculation-sheet'!H6*'Output-Calculation-sheet'!H105</f>
        <v>6358621262.0101948</v>
      </c>
      <c r="I128" s="2">
        <f>I7/'Output-Calculation-sheet'!I6*'Output-Calculation-sheet'!I105</f>
        <v>5938937795.9782391</v>
      </c>
      <c r="J128" s="2">
        <f>J7/'Output-Calculation-sheet'!J6*'Output-Calculation-sheet'!J105</f>
        <v>5780550756.903059</v>
      </c>
      <c r="K128" s="2">
        <f>K7/'Output-Calculation-sheet'!K6*'Output-Calculation-sheet'!K105</f>
        <v>5725133584.6753435</v>
      </c>
      <c r="L128" s="2">
        <f>L7/'Output-Calculation-sheet'!L6*'Output-Calculation-sheet'!L105</f>
        <v>4592777678.3558207</v>
      </c>
      <c r="M128" s="2">
        <f>M7/'Output-Calculation-sheet'!M6*'Output-Calculation-sheet'!M105</f>
        <v>4386895049.1196795</v>
      </c>
      <c r="N128" s="2">
        <f>N7/'Output-Calculation-sheet'!N6*'Output-Calculation-sheet'!N105</f>
        <v>4305724655.0365067</v>
      </c>
      <c r="O128" s="2">
        <f>O7/'Output-Calculation-sheet'!O6*'Output-Calculation-sheet'!O105</f>
        <v>3959987938.6138864</v>
      </c>
      <c r="P128" s="2">
        <f>P7/'Output-Calculation-sheet'!P6*'Output-Calculation-sheet'!P105</f>
        <v>3919698346.5097899</v>
      </c>
      <c r="Q128" s="2">
        <f>Q7/'Output-Calculation-sheet'!Q6*'Output-Calculation-sheet'!Q105</f>
        <v>3856348944.4970765</v>
      </c>
      <c r="R128" s="2">
        <f>R7/'Output-Calculation-sheet'!R6*'Output-Calculation-sheet'!R105</f>
        <v>3709985337.7672763</v>
      </c>
      <c r="S128" s="2">
        <f>S7/'Output-Calculation-sheet'!S6*'Output-Calculation-sheet'!S105</f>
        <v>2465846497.8747764</v>
      </c>
      <c r="T128" s="2">
        <f>T7/'Output-Calculation-sheet'!T6*'Output-Calculation-sheet'!T105</f>
        <v>1363758655.0697131</v>
      </c>
      <c r="U128" s="2">
        <f>U7/'Output-Calculation-sheet'!U6*'Output-Calculation-sheet'!U105</f>
        <v>1187787424.2398257</v>
      </c>
      <c r="V128" s="2">
        <f>V7/'Output-Calculation-sheet'!V6*'Output-Calculation-sheet'!V105</f>
        <v>914620072.56297243</v>
      </c>
      <c r="W128" s="2">
        <f>W7/'Output-Calculation-sheet'!W6*'Output-Calculation-sheet'!W105</f>
        <v>791858158.39664316</v>
      </c>
      <c r="X128" s="2">
        <f>X7/'Output-Calculation-sheet'!X6*'Output-Calculation-sheet'!X105</f>
        <v>475114950.97186852</v>
      </c>
      <c r="Y128" s="2">
        <f>Y7/'Output-Calculation-sheet'!Y6*'Output-Calculation-sheet'!Y105</f>
        <v>462044484.47544479</v>
      </c>
      <c r="AA128" s="2">
        <f t="shared" si="11"/>
        <v>172197.11016321453</v>
      </c>
    </row>
    <row r="129" spans="1:27" x14ac:dyDescent="0.25">
      <c r="A129" s="2">
        <v>2031</v>
      </c>
      <c r="B129" s="2">
        <f>B8/'Output-Calculation-sheet'!B7*'Output-Calculation-sheet'!B106</f>
        <v>37177129725.970757</v>
      </c>
      <c r="C129" s="2">
        <f>C8/'Output-Calculation-sheet'!C7*'Output-Calculation-sheet'!C106</f>
        <v>17519737727.879925</v>
      </c>
      <c r="D129" s="2">
        <f>D8/'Output-Calculation-sheet'!D7*'Output-Calculation-sheet'!D106</f>
        <v>15614822589.745697</v>
      </c>
      <c r="E129" s="2">
        <f>E8/'Output-Calculation-sheet'!E7*'Output-Calculation-sheet'!E106</f>
        <v>12388777182.758169</v>
      </c>
      <c r="F129" s="2">
        <f>F8/'Output-Calculation-sheet'!F7*'Output-Calculation-sheet'!F106</f>
        <v>7975100439.5069237</v>
      </c>
      <c r="G129" s="2">
        <f>G8/'Output-Calculation-sheet'!G7*'Output-Calculation-sheet'!G106</f>
        <v>5603524439.5215473</v>
      </c>
      <c r="H129" s="2">
        <f>H8/'Output-Calculation-sheet'!H7*'Output-Calculation-sheet'!H106</f>
        <v>5466022989.4749718</v>
      </c>
      <c r="I129" s="2">
        <f>I8/'Output-Calculation-sheet'!I7*'Output-Calculation-sheet'!I106</f>
        <v>5105251858.1646633</v>
      </c>
      <c r="J129" s="2">
        <f>J8/'Output-Calculation-sheet'!J7*'Output-Calculation-sheet'!J106</f>
        <v>4969100530.4136629</v>
      </c>
      <c r="K129" s="2">
        <f>K8/'Output-Calculation-sheet'!K7*'Output-Calculation-sheet'!K106</f>
        <v>4921461823.5899744</v>
      </c>
      <c r="L129" s="2">
        <f>L8/'Output-Calculation-sheet'!L7*'Output-Calculation-sheet'!L106</f>
        <v>3948060667.5273018</v>
      </c>
      <c r="M129" s="2">
        <f>M8/'Output-Calculation-sheet'!M7*'Output-Calculation-sheet'!M106</f>
        <v>3771079372.5643058</v>
      </c>
      <c r="N129" s="2">
        <f>N8/'Output-Calculation-sheet'!N7*'Output-Calculation-sheet'!N106</f>
        <v>3701304230.1223211</v>
      </c>
      <c r="O129" s="2">
        <f>O8/'Output-Calculation-sheet'!O7*'Output-Calculation-sheet'!O106</f>
        <v>3404099585.7574358</v>
      </c>
      <c r="P129" s="2">
        <f>P8/'Output-Calculation-sheet'!P7*'Output-Calculation-sheet'!P106</f>
        <v>3369466226.3886809</v>
      </c>
      <c r="Q129" s="2">
        <f>Q8/'Output-Calculation-sheet'!Q7*'Output-Calculation-sheet'!Q106</f>
        <v>3315009578.2331014</v>
      </c>
      <c r="R129" s="2">
        <f>R8/'Output-Calculation-sheet'!R7*'Output-Calculation-sheet'!R106</f>
        <v>3189191672.4626927</v>
      </c>
      <c r="S129" s="2">
        <f>S8/'Output-Calculation-sheet'!S7*'Output-Calculation-sheet'!S106</f>
        <v>2119700160.4134099</v>
      </c>
      <c r="T129" s="2">
        <f>T8/'Output-Calculation-sheet'!T7*'Output-Calculation-sheet'!T106</f>
        <v>1172319664.8906024</v>
      </c>
      <c r="U129" s="2">
        <f>U8/'Output-Calculation-sheet'!U7*'Output-Calculation-sheet'!U106</f>
        <v>1021050171.1556271</v>
      </c>
      <c r="V129" s="2">
        <f>V8/'Output-Calculation-sheet'!V7*'Output-Calculation-sheet'!V106</f>
        <v>786229361.75097883</v>
      </c>
      <c r="W129" s="2">
        <f>W8/'Output-Calculation-sheet'!W7*'Output-Calculation-sheet'!W106</f>
        <v>680700113.89527714</v>
      </c>
      <c r="X129" s="2">
        <f>X8/'Output-Calculation-sheet'!X7*'Output-Calculation-sheet'!X106</f>
        <v>408420148.65317369</v>
      </c>
      <c r="Y129" s="2">
        <f>Y8/'Output-Calculation-sheet'!Y7*'Output-Calculation-sheet'!Y106</f>
        <v>397184587.61081046</v>
      </c>
      <c r="AA129" s="2">
        <f t="shared" si="11"/>
        <v>148024.74484845198</v>
      </c>
    </row>
    <row r="130" spans="1:27" x14ac:dyDescent="0.25">
      <c r="A130" s="2">
        <v>2032</v>
      </c>
      <c r="B130" s="2">
        <f>B9/'Output-Calculation-sheet'!B8*'Output-Calculation-sheet'!B107</f>
        <v>27966455413.66238</v>
      </c>
      <c r="C130" s="2">
        <f>C9/'Output-Calculation-sheet'!C8*'Output-Calculation-sheet'!C107</f>
        <v>13179198486.124725</v>
      </c>
      <c r="D130" s="2">
        <f>D9/'Output-Calculation-sheet'!D8*'Output-Calculation-sheet'!D107</f>
        <v>11746230255.994738</v>
      </c>
      <c r="E130" s="2">
        <f>E9/'Output-Calculation-sheet'!E8*'Output-Calculation-sheet'!E107</f>
        <v>9319440520.0346031</v>
      </c>
      <c r="F130" s="2">
        <f>F9/'Output-Calculation-sheet'!F8*'Output-Calculation-sheet'!F107</f>
        <v>5999261383.3039017</v>
      </c>
      <c r="G130" s="2">
        <f>G9/'Output-Calculation-sheet'!G8*'Output-Calculation-sheet'!G107</f>
        <v>4215245716.2265711</v>
      </c>
      <c r="H130" s="2">
        <f>H9/'Output-Calculation-sheet'!H8*'Output-Calculation-sheet'!H107</f>
        <v>4111809315.4631963</v>
      </c>
      <c r="I130" s="2">
        <f>I9/'Output-Calculation-sheet'!I8*'Output-Calculation-sheet'!I107</f>
        <v>3840420153.2863612</v>
      </c>
      <c r="J130" s="2">
        <f>J9/'Output-Calculation-sheet'!J8*'Output-Calculation-sheet'!J107</f>
        <v>3737999007.2641773</v>
      </c>
      <c r="K130" s="2">
        <f>K9/'Output-Calculation-sheet'!K8*'Output-Calculation-sheet'!K107</f>
        <v>3702163823.8439765</v>
      </c>
      <c r="L130" s="2">
        <f>L9/'Output-Calculation-sheet'!L8*'Output-Calculation-sheet'!L107</f>
        <v>2969924343.7580709</v>
      </c>
      <c r="M130" s="2">
        <f>M9/'Output-Calculation-sheet'!M8*'Output-Calculation-sheet'!M107</f>
        <v>2836790720.3652563</v>
      </c>
      <c r="N130" s="2">
        <f>N9/'Output-Calculation-sheet'!N8*'Output-Calculation-sheet'!N107</f>
        <v>2784300641.3402772</v>
      </c>
      <c r="O130" s="2">
        <f>O9/'Output-Calculation-sheet'!O8*'Output-Calculation-sheet'!O107</f>
        <v>2560730214.4448156</v>
      </c>
      <c r="P130" s="2">
        <f>P9/'Output-Calculation-sheet'!P8*'Output-Calculation-sheet'!P107</f>
        <v>2534676643.0315418</v>
      </c>
      <c r="Q130" s="2">
        <f>Q9/'Output-Calculation-sheet'!Q8*'Output-Calculation-sheet'!Q107</f>
        <v>2493712971.5816579</v>
      </c>
      <c r="R130" s="2">
        <f>R9/'Output-Calculation-sheet'!R8*'Output-Calculation-sheet'!R107</f>
        <v>2399066280.7372098</v>
      </c>
      <c r="S130" s="2">
        <f>S9/'Output-Calculation-sheet'!S8*'Output-Calculation-sheet'!S107</f>
        <v>1594542139.5518672</v>
      </c>
      <c r="T130" s="2">
        <f>T9/'Output-Calculation-sheet'!T8*'Output-Calculation-sheet'!T107</f>
        <v>881876194.08263171</v>
      </c>
      <c r="U130" s="2">
        <f>U9/'Output-Calculation-sheet'!U8*'Output-Calculation-sheet'!U107</f>
        <v>768083781.09589028</v>
      </c>
      <c r="V130" s="2">
        <f>V9/'Output-Calculation-sheet'!V8*'Output-Calculation-sheet'!V107</f>
        <v>591439872.95798767</v>
      </c>
      <c r="W130" s="2">
        <f>W9/'Output-Calculation-sheet'!W8*'Output-Calculation-sheet'!W107</f>
        <v>512055988.16848272</v>
      </c>
      <c r="X130" s="2">
        <f>X9/'Output-Calculation-sheet'!X8*'Output-Calculation-sheet'!X107</f>
        <v>307233532.61824739</v>
      </c>
      <c r="Y130" s="2">
        <f>Y9/'Output-Calculation-sheet'!Y8*'Output-Calculation-sheet'!Y107</f>
        <v>298781596.54487926</v>
      </c>
      <c r="AA130" s="2">
        <f t="shared" si="11"/>
        <v>111351.43899548343</v>
      </c>
    </row>
    <row r="131" spans="1:27" x14ac:dyDescent="0.25">
      <c r="A131" s="2">
        <v>2033</v>
      </c>
      <c r="B131" s="2">
        <f>B10/'Output-Calculation-sheet'!B9*'Output-Calculation-sheet'!B108</f>
        <v>18605238428.448532</v>
      </c>
      <c r="C131" s="2">
        <f>C10/'Output-Calculation-sheet'!C9*'Output-Calculation-sheet'!C108</f>
        <v>10887680086.931046</v>
      </c>
      <c r="D131" s="2">
        <f>D10/'Output-Calculation-sheet'!D9*'Output-Calculation-sheet'!D108</f>
        <v>7814414387.4472437</v>
      </c>
      <c r="E131" s="2">
        <f>E10/'Output-Calculation-sheet'!E9*'Output-Calculation-sheet'!E108</f>
        <v>6199942411.4310579</v>
      </c>
      <c r="F131" s="2">
        <f>F10/'Output-Calculation-sheet'!F9*'Output-Calculation-sheet'!F108</f>
        <v>3991125413.0178204</v>
      </c>
      <c r="G131" s="2">
        <f>G10/'Output-Calculation-sheet'!G9*'Output-Calculation-sheet'!G108</f>
        <v>2804274248.6668425</v>
      </c>
      <c r="H131" s="2">
        <f>H10/'Output-Calculation-sheet'!H9*'Output-Calculation-sheet'!H108</f>
        <v>2735461882.5066471</v>
      </c>
      <c r="I131" s="2">
        <f>I10/'Output-Calculation-sheet'!I9*'Output-Calculation-sheet'!I108</f>
        <v>2554915570.6119018</v>
      </c>
      <c r="J131" s="2">
        <f>J10/'Output-Calculation-sheet'!J9*'Output-Calculation-sheet'!J108</f>
        <v>2486777885.3955688</v>
      </c>
      <c r="K131" s="2">
        <f>K10/'Output-Calculation-sheet'!K9*'Output-Calculation-sheet'!K108</f>
        <v>2462937175.8158555</v>
      </c>
      <c r="L131" s="2">
        <f>L10/'Output-Calculation-sheet'!L9*'Output-Calculation-sheet'!L108</f>
        <v>1975800997.592</v>
      </c>
      <c r="M131" s="2">
        <f>M10/'Output-Calculation-sheet'!M9*'Output-Calculation-sheet'!M108</f>
        <v>1887230240.2349741</v>
      </c>
      <c r="N131" s="2">
        <f>N10/'Output-Calculation-sheet'!N9*'Output-Calculation-sheet'!N108</f>
        <v>1852310671.407474</v>
      </c>
      <c r="O131" s="2">
        <f>O10/'Output-Calculation-sheet'!O9*'Output-Calculation-sheet'!O108</f>
        <v>2402803333.3655491</v>
      </c>
      <c r="P131" s="2">
        <f>P10/'Output-Calculation-sheet'!P9*'Output-Calculation-sheet'!P108</f>
        <v>1686244289.3181984</v>
      </c>
      <c r="Q131" s="2">
        <f>Q10/'Output-Calculation-sheet'!Q9*'Output-Calculation-sheet'!Q108</f>
        <v>1658991518.4103248</v>
      </c>
      <c r="R131" s="2">
        <f>R10/'Output-Calculation-sheet'!R9*'Output-Calculation-sheet'!R108</f>
        <v>1596025533.1577516</v>
      </c>
      <c r="S131" s="2">
        <f>S10/'Output-Calculation-sheet'!S9*'Output-Calculation-sheet'!S108</f>
        <v>1060800741.4891908</v>
      </c>
      <c r="T131" s="2">
        <f>T10/'Output-Calculation-sheet'!T9*'Output-Calculation-sheet'!T108</f>
        <v>586685146.10853004</v>
      </c>
      <c r="U131" s="2">
        <f>U10/'Output-Calculation-sheet'!U9*'Output-Calculation-sheet'!U108</f>
        <v>510982816.7026034</v>
      </c>
      <c r="V131" s="2">
        <f>V10/'Output-Calculation-sheet'!V9*'Output-Calculation-sheet'!V108</f>
        <v>393466988.40991771</v>
      </c>
      <c r="W131" s="2">
        <f>W10/'Output-Calculation-sheet'!W9*'Output-Calculation-sheet'!W108</f>
        <v>340655211.03073829</v>
      </c>
      <c r="X131" s="2">
        <f>X10/'Output-Calculation-sheet'!X9*'Output-Calculation-sheet'!X108</f>
        <v>204393086.69342697</v>
      </c>
      <c r="Y131" s="2">
        <f>Y10/'Output-Calculation-sheet'!Y9*'Output-Calculation-sheet'!Y108</f>
        <v>198770272.13526848</v>
      </c>
      <c r="AA131" s="2">
        <f t="shared" si="11"/>
        <v>76897.928336328448</v>
      </c>
    </row>
    <row r="132" spans="1:27" x14ac:dyDescent="0.25">
      <c r="A132" s="2">
        <v>2034</v>
      </c>
      <c r="B132" s="2">
        <f>B11/'Output-Calculation-sheet'!B10*'Output-Calculation-sheet'!B109</f>
        <v>9295068727.7573071</v>
      </c>
      <c r="C132" s="2">
        <f>C11/'Output-Calculation-sheet'!C10*'Output-Calculation-sheet'!C109</f>
        <v>10497775174.726582</v>
      </c>
      <c r="D132" s="2">
        <f>D11/'Output-Calculation-sheet'!D10*'Output-Calculation-sheet'!D109</f>
        <v>3904035901.2296495</v>
      </c>
      <c r="E132" s="2">
        <f>E11/'Output-Calculation-sheet'!E10*'Output-Calculation-sheet'!E109</f>
        <v>3097456076.432538</v>
      </c>
      <c r="F132" s="2">
        <f>F11/'Output-Calculation-sheet'!F10*'Output-Calculation-sheet'!F109</f>
        <v>1993943627.5349081</v>
      </c>
      <c r="G132" s="2">
        <f>G11/'Output-Calculation-sheet'!G10*'Output-Calculation-sheet'!G109</f>
        <v>1400999733.9606311</v>
      </c>
      <c r="H132" s="2">
        <f>H11/'Output-Calculation-sheet'!H10*'Output-Calculation-sheet'!H109</f>
        <v>1366621247.0293074</v>
      </c>
      <c r="I132" s="2">
        <f>I11/'Output-Calculation-sheet'!I10*'Output-Calculation-sheet'!I109</f>
        <v>1276420939.4021344</v>
      </c>
      <c r="J132" s="2">
        <f>J11/'Output-Calculation-sheet'!J10*'Output-Calculation-sheet'!J109</f>
        <v>1242379937.1591501</v>
      </c>
      <c r="K132" s="2">
        <f>K11/'Output-Calculation-sheet'!K10*'Output-Calculation-sheet'!K109</f>
        <v>1230469642.2746239</v>
      </c>
      <c r="L132" s="2">
        <f>L11/'Output-Calculation-sheet'!L10*'Output-Calculation-sheet'!L109</f>
        <v>987098822.13345361</v>
      </c>
      <c r="M132" s="2">
        <f>M11/'Output-Calculation-sheet'!M10*'Output-Calculation-sheet'!M109</f>
        <v>942849527.83840227</v>
      </c>
      <c r="N132" s="2">
        <f>N11/'Output-Calculation-sheet'!N10*'Output-Calculation-sheet'!N109</f>
        <v>925404196.12451971</v>
      </c>
      <c r="O132" s="2">
        <f>O11/'Output-Calculation-sheet'!O10*'Output-Calculation-sheet'!O109</f>
        <v>2297454676.3890233</v>
      </c>
      <c r="P132" s="2">
        <f>P11/'Output-Calculation-sheet'!P10*'Output-Calculation-sheet'!P109</f>
        <v>842437821.27581191</v>
      </c>
      <c r="Q132" s="2">
        <f>Q11/'Output-Calculation-sheet'!Q10*'Output-Calculation-sheet'!Q109</f>
        <v>828822630.80082381</v>
      </c>
      <c r="R132" s="2">
        <f>R11/'Output-Calculation-sheet'!R10*'Output-Calculation-sheet'!R109</f>
        <v>797365431.88249278</v>
      </c>
      <c r="S132" s="2">
        <f>S11/'Output-Calculation-sheet'!S10*'Output-Calculation-sheet'!S109</f>
        <v>529969953.71338308</v>
      </c>
      <c r="T132" s="2">
        <f>T11/'Output-Calculation-sheet'!T10*'Output-Calculation-sheet'!T109</f>
        <v>293104664.83880258</v>
      </c>
      <c r="U132" s="2">
        <f>U11/'Output-Calculation-sheet'!U10*'Output-Calculation-sheet'!U109</f>
        <v>255284158.16258028</v>
      </c>
      <c r="V132" s="2">
        <f>V11/'Output-Calculation-sheet'!V10*'Output-Calculation-sheet'!V109</f>
        <v>196573907.45761681</v>
      </c>
      <c r="W132" s="2">
        <f>W11/'Output-Calculation-sheet'!W10*'Output-Calculation-sheet'!W109</f>
        <v>170189438.76462883</v>
      </c>
      <c r="X132" s="2">
        <f>X11/'Output-Calculation-sheet'!X10*'Output-Calculation-sheet'!X109</f>
        <v>115300381.79542835</v>
      </c>
      <c r="Y132" s="2">
        <f>Y11/'Output-Calculation-sheet'!Y10*'Output-Calculation-sheet'!Y109</f>
        <v>99304531.876226306</v>
      </c>
      <c r="AA132" s="2">
        <f t="shared" si="11"/>
        <v>44586.331150560029</v>
      </c>
    </row>
    <row r="133" spans="1:27" x14ac:dyDescent="0.25">
      <c r="A133" s="2">
        <v>2035</v>
      </c>
      <c r="B133" s="2">
        <f>B12/'Output-Calculation-sheet'!B11*'Output-Calculation-sheet'!B110</f>
        <v>6268257895.4232416</v>
      </c>
      <c r="C133" s="2">
        <f>C12/'Output-Calculation-sheet'!C11*'Output-Calculation-sheet'!C110</f>
        <v>10069465576.277739</v>
      </c>
      <c r="D133" s="2">
        <f>D12/'Output-Calculation-sheet'!D11*'Output-Calculation-sheet'!D110</f>
        <v>2736035641.2625971</v>
      </c>
      <c r="E133" s="2">
        <f>E12/'Output-Calculation-sheet'!E11*'Output-Calculation-sheet'!E110</f>
        <v>1310848023.6642549</v>
      </c>
      <c r="F133" s="2">
        <f>F12/'Output-Calculation-sheet'!F11*'Output-Calculation-sheet'!F110</f>
        <v>1000261678.0792414</v>
      </c>
      <c r="G133" s="2">
        <f>G12/'Output-Calculation-sheet'!G11*'Output-Calculation-sheet'!G110</f>
        <v>933815459.87183201</v>
      </c>
      <c r="H133" s="2">
        <f>H12/'Output-Calculation-sheet'!H11*'Output-Calculation-sheet'!H110</f>
        <v>1297358311.0370855</v>
      </c>
      <c r="I133" s="2">
        <f>I12/'Output-Calculation-sheet'!I11*'Output-Calculation-sheet'!I110</f>
        <v>771738891.50540292</v>
      </c>
      <c r="J133" s="2">
        <f>J12/'Output-Calculation-sheet'!J11*'Output-Calculation-sheet'!J110</f>
        <v>751582326.35940421</v>
      </c>
      <c r="K133" s="2">
        <f>K12/'Output-Calculation-sheet'!K11*'Output-Calculation-sheet'!K110</f>
        <v>650282400.40265465</v>
      </c>
      <c r="L133" s="2">
        <f>L12/'Output-Calculation-sheet'!L11*'Output-Calculation-sheet'!L110</f>
        <v>339885349.23305345</v>
      </c>
      <c r="M133" s="2">
        <f>M12/'Output-Calculation-sheet'!M11*'Output-Calculation-sheet'!M110</f>
        <v>689647554.40978217</v>
      </c>
      <c r="N133" s="2">
        <f>N12/'Output-Calculation-sheet'!N11*'Output-Calculation-sheet'!N110</f>
        <v>621452883.72743666</v>
      </c>
      <c r="O133" s="2">
        <f>O12/'Output-Calculation-sheet'!O11*'Output-Calculation-sheet'!O110</f>
        <v>2211536526.1496167</v>
      </c>
      <c r="P133" s="2">
        <f>P12/'Output-Calculation-sheet'!P11*'Output-Calculation-sheet'!P110</f>
        <v>457959262.1359756</v>
      </c>
      <c r="Q133" s="2">
        <f>Q12/'Output-Calculation-sheet'!Q11*'Output-Calculation-sheet'!Q110</f>
        <v>632000960.59777892</v>
      </c>
      <c r="R133" s="2">
        <f>R12/'Output-Calculation-sheet'!R11*'Output-Calculation-sheet'!R110</f>
        <v>386812295.60381597</v>
      </c>
      <c r="S133" s="2">
        <f>S12/'Output-Calculation-sheet'!S11*'Output-Calculation-sheet'!S110</f>
        <v>379408500.64087749</v>
      </c>
      <c r="T133" s="2">
        <f>T12/'Output-Calculation-sheet'!T11*'Output-Calculation-sheet'!T110</f>
        <v>100150556.15622838</v>
      </c>
      <c r="U133" s="2">
        <f>U12/'Output-Calculation-sheet'!U11*'Output-Calculation-sheet'!U110</f>
        <v>197306552.55122536</v>
      </c>
      <c r="V133" s="2">
        <f>V12/'Output-Calculation-sheet'!V11*'Output-Calculation-sheet'!V110</f>
        <v>43147119.405376635</v>
      </c>
      <c r="W133" s="2">
        <f>W12/'Output-Calculation-sheet'!W11*'Output-Calculation-sheet'!W110</f>
        <v>53510819.105679117</v>
      </c>
      <c r="X133" s="2">
        <f>X12/'Output-Calculation-sheet'!X11*'Output-Calculation-sheet'!X110</f>
        <v>108589529.28900653</v>
      </c>
      <c r="Y133" s="2">
        <f>Y12/'Output-Calculation-sheet'!Y11*'Output-Calculation-sheet'!Y110</f>
        <v>46902839.830196299</v>
      </c>
      <c r="AA133" s="2">
        <f t="shared" si="11"/>
        <v>32057.956952719498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1047.4197671319919</v>
      </c>
      <c r="C19" s="2">
        <f>C8/'Output-Calculation-sheet'!C7*'Output-Calculation-sheet'!C25</f>
        <v>15788.007048076082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4710.0718721287512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3265.3417426885926</v>
      </c>
      <c r="N19" s="2">
        <f>N8/'Output-Calculation-sheet'!N7*'Output-Calculation-sheet'!N25</f>
        <v>1117.9328241161672</v>
      </c>
      <c r="O19" s="2">
        <f>O8/'Output-Calculation-sheet'!O7*'Output-Calculation-sheet'!O25</f>
        <v>3053.719974391207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398.89607952916936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364.83674756599066</v>
      </c>
      <c r="Y19" s="2">
        <f>Y8/'Output-Calculation-sheet'!Y7*'Output-Calculation-sheet'!Y25</f>
        <v>0</v>
      </c>
      <c r="AA19" s="2">
        <f t="shared" si="0"/>
        <v>29.74622605562795</v>
      </c>
    </row>
    <row r="20" spans="1:27" x14ac:dyDescent="0.25">
      <c r="A20" s="2">
        <v>2032</v>
      </c>
      <c r="B20" s="2">
        <f>B9/'Output-Calculation-sheet'!B8*'Output-Calculation-sheet'!B26</f>
        <v>5708.0489700975231</v>
      </c>
      <c r="C20" s="2">
        <f>C9/'Output-Calculation-sheet'!C8*'Output-Calculation-sheet'!C26</f>
        <v>20903.68480446158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6202.5022835396221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4315.443791559831</v>
      </c>
      <c r="N20" s="2">
        <f>N9/'Output-Calculation-sheet'!N8*'Output-Calculation-sheet'!N26</f>
        <v>1947.3239355297972</v>
      </c>
      <c r="O20" s="2">
        <f>O9/'Output-Calculation-sheet'!O8*'Output-Calculation-sheet'!O26</f>
        <v>4072.9918864616138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707.71038688543058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482.80638574402286</v>
      </c>
      <c r="Y20" s="2">
        <f>Y9/'Output-Calculation-sheet'!Y8*'Output-Calculation-sheet'!Y26</f>
        <v>0</v>
      </c>
      <c r="AA20" s="2">
        <f t="shared" si="0"/>
        <v>44.340512444279419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24445.534674127117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7522.0430637215659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5224.6646362503661</v>
      </c>
      <c r="N21" s="2">
        <f>N10/'Output-Calculation-sheet'!N9*'Output-Calculation-sheet'!N27</f>
        <v>2857.7336125935481</v>
      </c>
      <c r="O21" s="2">
        <f>O10/'Output-Calculation-sheet'!O9*'Output-Calculation-sheet'!O27</f>
        <v>4312.2636260570262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1244.0672671564341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614.38979753903595</v>
      </c>
      <c r="Y21" s="2">
        <f>Y10/'Output-Calculation-sheet'!Y9*'Output-Calculation-sheet'!Y27</f>
        <v>0</v>
      </c>
      <c r="AA21" s="2">
        <f t="shared" si="0"/>
        <v>59.426586537218483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24271.204692056217</v>
      </c>
      <c r="D22" s="2">
        <f>D11/'Output-Calculation-sheet'!D10*'Output-Calculation-sheet'!D28</f>
        <v>0</v>
      </c>
      <c r="E22" s="2">
        <f>E11/'Output-Calculation-sheet'!E10*'Output-Calculation-sheet'!E28</f>
        <v>1196.0336982595318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9561.0665762322715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725.03448501213529</v>
      </c>
      <c r="M22" s="2">
        <f>M11/'Output-Calculation-sheet'!M10*'Output-Calculation-sheet'!M28</f>
        <v>6588.5257814483357</v>
      </c>
      <c r="N22" s="2">
        <f>N11/'Output-Calculation-sheet'!N10*'Output-Calculation-sheet'!N28</f>
        <v>3791.7332874439126</v>
      </c>
      <c r="O22" s="2">
        <f>O11/'Output-Calculation-sheet'!O10*'Output-Calculation-sheet'!O28</f>
        <v>4343.6121000704279</v>
      </c>
      <c r="P22" s="2">
        <f>P11/'Output-Calculation-sheet'!P10*'Output-Calculation-sheet'!P28</f>
        <v>0</v>
      </c>
      <c r="Q22" s="2">
        <f>Q11/'Output-Calculation-sheet'!Q10*'Output-Calculation-sheet'!Q28</f>
        <v>1422.0500331684982</v>
      </c>
      <c r="R22" s="2">
        <f>R11/'Output-Calculation-sheet'!R10*'Output-Calculation-sheet'!R28</f>
        <v>0</v>
      </c>
      <c r="S22" s="2">
        <f>S11/'Output-Calculation-sheet'!S10*'Output-Calculation-sheet'!S28</f>
        <v>1922.9475112910736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665.26033090305827</v>
      </c>
      <c r="Y22" s="2">
        <f>Y11/'Output-Calculation-sheet'!Y10*'Output-Calculation-sheet'!Y28</f>
        <v>66.177069305187544</v>
      </c>
      <c r="AA22" s="2">
        <f t="shared" si="0"/>
        <v>78.356816404470194</v>
      </c>
    </row>
    <row r="23" spans="1:27" x14ac:dyDescent="0.25">
      <c r="A23" s="2">
        <v>2035</v>
      </c>
      <c r="B23" s="2">
        <f>B12/'Output-Calculation-sheet'!B11*'Output-Calculation-sheet'!B29</f>
        <v>26922.558100284659</v>
      </c>
      <c r="C23" s="2">
        <f>C12/'Output-Calculation-sheet'!C11*'Output-Calculation-sheet'!C29</f>
        <v>23025.340835009833</v>
      </c>
      <c r="D23" s="2">
        <f>D12/'Output-Calculation-sheet'!D11*'Output-Calculation-sheet'!D29</f>
        <v>0</v>
      </c>
      <c r="E23" s="2">
        <f>E12/'Output-Calculation-sheet'!E11*'Output-Calculation-sheet'!E29</f>
        <v>5140.7684799651106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8933.5125911715095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1503.5404361065596</v>
      </c>
      <c r="M23" s="2">
        <f>M12/'Output-Calculation-sheet'!M11*'Output-Calculation-sheet'!M29</f>
        <v>6759.2459280240755</v>
      </c>
      <c r="N23" s="2">
        <f>N12/'Output-Calculation-sheet'!N11*'Output-Calculation-sheet'!N29</f>
        <v>3950.7344968767175</v>
      </c>
      <c r="O23" s="2">
        <f>O12/'Output-Calculation-sheet'!O11*'Output-Calculation-sheet'!O29</f>
        <v>4118.6506040363047</v>
      </c>
      <c r="P23" s="2">
        <f>P12/'Output-Calculation-sheet'!P11*'Output-Calculation-sheet'!P29</f>
        <v>542.70639479605734</v>
      </c>
      <c r="Q23" s="2">
        <f>Q12/'Output-Calculation-sheet'!Q11*'Output-Calculation-sheet'!Q29</f>
        <v>1728.9773545980727</v>
      </c>
      <c r="R23" s="2">
        <f>R12/'Output-Calculation-sheet'!R11*'Output-Calculation-sheet'!R29</f>
        <v>0</v>
      </c>
      <c r="S23" s="2">
        <f>S12/'Output-Calculation-sheet'!S11*'Output-Calculation-sheet'!S29</f>
        <v>2052.6333025168292</v>
      </c>
      <c r="T23" s="2">
        <f>T12/'Output-Calculation-sheet'!T11*'Output-Calculation-sheet'!T29</f>
        <v>0</v>
      </c>
      <c r="U23" s="2">
        <f>U12/'Output-Calculation-sheet'!U11*'Output-Calculation-sheet'!U29</f>
        <v>119.11869901997851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640.21695211294377</v>
      </c>
      <c r="Y23" s="2">
        <f>Y12/'Output-Calculation-sheet'!Y11*'Output-Calculation-sheet'!Y29</f>
        <v>205.17001025725563</v>
      </c>
      <c r="AA23" s="2">
        <f t="shared" si="0"/>
        <v>85.643174184775887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18256.186290615587</v>
      </c>
      <c r="C30" s="2">
        <f>C8/'Output-Calculation-sheet'!C7*'Output-Calculation-sheet'!C16</f>
        <v>0</v>
      </c>
      <c r="D30" s="2">
        <f>D8/'Output-Calculation-sheet'!D7*'Output-Calculation-sheet'!D16</f>
        <v>3074.1004308541637</v>
      </c>
      <c r="E30" s="2">
        <f>E8/'Output-Calculation-sheet'!E7*'Output-Calculation-sheet'!E16</f>
        <v>3307.558383509504</v>
      </c>
      <c r="F30" s="2">
        <f>F8/'Output-Calculation-sheet'!F7*'Output-Calculation-sheet'!F16</f>
        <v>1668.6808048989658</v>
      </c>
      <c r="G30" s="2">
        <f>G8/'Output-Calculation-sheet'!G7*'Output-Calculation-sheet'!G16</f>
        <v>1092.787735293927</v>
      </c>
      <c r="H30" s="2">
        <f>H8/'Output-Calculation-sheet'!H7*'Output-Calculation-sheet'!H16</f>
        <v>0</v>
      </c>
      <c r="I30" s="2">
        <f>I8/'Output-Calculation-sheet'!I7*'Output-Calculation-sheet'!I16</f>
        <v>1065.3044173739431</v>
      </c>
      <c r="J30" s="2">
        <f>J8/'Output-Calculation-sheet'!J7*'Output-Calculation-sheet'!J16</f>
        <v>948.3257722548492</v>
      </c>
      <c r="K30" s="2">
        <f>K8/'Output-Calculation-sheet'!K7*'Output-Calculation-sheet'!K16</f>
        <v>1266.196168766563</v>
      </c>
      <c r="L30" s="2">
        <f>L8/'Output-Calculation-sheet'!L7*'Output-Calculation-sheet'!L16</f>
        <v>1069.524105716238</v>
      </c>
      <c r="M30" s="2">
        <f>M8/'Output-Calculation-sheet'!M7*'Output-Calculation-sheet'!M16</f>
        <v>0</v>
      </c>
      <c r="N30" s="2">
        <f>N8/'Output-Calculation-sheet'!N7*'Output-Calculation-sheet'!N16</f>
        <v>1519.1688860772651</v>
      </c>
      <c r="O30" s="2">
        <f>O8/'Output-Calculation-sheet'!O7*'Output-Calculation-sheet'!O16</f>
        <v>0</v>
      </c>
      <c r="P30" s="2">
        <f>P8/'Output-Calculation-sheet'!P7*'Output-Calculation-sheet'!P16</f>
        <v>1365.3791468943498</v>
      </c>
      <c r="Q30" s="2">
        <f>Q8/'Output-Calculation-sheet'!Q7*'Output-Calculation-sheet'!Q16</f>
        <v>1501.4661316921756</v>
      </c>
      <c r="R30" s="2">
        <f>R8/'Output-Calculation-sheet'!R7*'Output-Calculation-sheet'!R16</f>
        <v>952.68678650726611</v>
      </c>
      <c r="S30" s="2">
        <f>S8/'Output-Calculation-sheet'!S7*'Output-Calculation-sheet'!S16</f>
        <v>958.12354838335284</v>
      </c>
      <c r="T30" s="2">
        <f>T8/'Output-Calculation-sheet'!T7*'Output-Calculation-sheet'!T16</f>
        <v>285.98287916030586</v>
      </c>
      <c r="U30" s="2">
        <f>U8/'Output-Calculation-sheet'!U7*'Output-Calculation-sheet'!U16</f>
        <v>285.47169201567652</v>
      </c>
      <c r="V30" s="2">
        <f>V8/'Output-Calculation-sheet'!V7*'Output-Calculation-sheet'!V16</f>
        <v>222.17719151513506</v>
      </c>
      <c r="W30" s="2">
        <f>W8/'Output-Calculation-sheet'!W7*'Output-Calculation-sheet'!W16</f>
        <v>134.76166716957329</v>
      </c>
      <c r="X30" s="2">
        <f>X8/'Output-Calculation-sheet'!X7*'Output-Calculation-sheet'!X16</f>
        <v>0</v>
      </c>
      <c r="Y30" s="2">
        <f>Y8/'Output-Calculation-sheet'!Y7*'Output-Calculation-sheet'!Y16</f>
        <v>114.06043056261743</v>
      </c>
      <c r="AA30" s="2">
        <f t="shared" si="1"/>
        <v>39.087942469261463</v>
      </c>
    </row>
    <row r="31" spans="1:27" x14ac:dyDescent="0.25">
      <c r="A31" s="2">
        <v>2032</v>
      </c>
      <c r="B31" s="2">
        <f>B9/'Output-Calculation-sheet'!B8*'Output-Calculation-sheet'!B17</f>
        <v>24169.765207373512</v>
      </c>
      <c r="C31" s="2">
        <f>C9/'Output-Calculation-sheet'!C8*'Output-Calculation-sheet'!C17</f>
        <v>0</v>
      </c>
      <c r="D31" s="2">
        <f>D9/'Output-Calculation-sheet'!D8*'Output-Calculation-sheet'!D17</f>
        <v>4053.5869655808833</v>
      </c>
      <c r="E31" s="2">
        <f>E9/'Output-Calculation-sheet'!E8*'Output-Calculation-sheet'!E17</f>
        <v>4764.4376436967987</v>
      </c>
      <c r="F31" s="2">
        <f>F9/'Output-Calculation-sheet'!F8*'Output-Calculation-sheet'!F17</f>
        <v>2200.4185195589703</v>
      </c>
      <c r="G31" s="2">
        <f>G9/'Output-Calculation-sheet'!G8*'Output-Calculation-sheet'!G17</f>
        <v>1440.9994324264208</v>
      </c>
      <c r="H31" s="2">
        <f>H9/'Output-Calculation-sheet'!H8*'Output-Calculation-sheet'!H17</f>
        <v>0</v>
      </c>
      <c r="I31" s="2">
        <f>I9/'Output-Calculation-sheet'!I8*'Output-Calculation-sheet'!I17</f>
        <v>1404.7652637051012</v>
      </c>
      <c r="J31" s="2">
        <f>J9/'Output-Calculation-sheet'!J8*'Output-Calculation-sheet'!J17</f>
        <v>1250.5118528709593</v>
      </c>
      <c r="K31" s="2">
        <f>K9/'Output-Calculation-sheet'!K8*'Output-Calculation-sheet'!K17</f>
        <v>1780.3968495239208</v>
      </c>
      <c r="L31" s="2">
        <f>L9/'Output-Calculation-sheet'!L8*'Output-Calculation-sheet'!L17</f>
        <v>1518.3655267910847</v>
      </c>
      <c r="M31" s="2">
        <f>M9/'Output-Calculation-sheet'!M8*'Output-Calculation-sheet'!M17</f>
        <v>0</v>
      </c>
      <c r="N31" s="2">
        <f>N9/'Output-Calculation-sheet'!N8*'Output-Calculation-sheet'!N17</f>
        <v>1650.6186199083565</v>
      </c>
      <c r="O31" s="2">
        <f>O9/'Output-Calculation-sheet'!O8*'Output-Calculation-sheet'!O17</f>
        <v>0</v>
      </c>
      <c r="P31" s="2">
        <f>P9/'Output-Calculation-sheet'!P8*'Output-Calculation-sheet'!P17</f>
        <v>2048.6739015822859</v>
      </c>
      <c r="Q31" s="2">
        <f>Q9/'Output-Calculation-sheet'!Q8*'Output-Calculation-sheet'!Q17</f>
        <v>2184.0746049954319</v>
      </c>
      <c r="R31" s="2">
        <f>R9/'Output-Calculation-sheet'!R8*'Output-Calculation-sheet'!R17</f>
        <v>1428.9370335926426</v>
      </c>
      <c r="S31" s="2">
        <f>S9/'Output-Calculation-sheet'!S8*'Output-Calculation-sheet'!S17</f>
        <v>1229.5369042962175</v>
      </c>
      <c r="T31" s="2">
        <f>T9/'Output-Calculation-sheet'!T8*'Output-Calculation-sheet'!T17</f>
        <v>387.75250398370633</v>
      </c>
      <c r="U31" s="2">
        <f>U9/'Output-Calculation-sheet'!U8*'Output-Calculation-sheet'!U17</f>
        <v>445.65124318110054</v>
      </c>
      <c r="V31" s="2">
        <f>V9/'Output-Calculation-sheet'!V8*'Output-Calculation-sheet'!V17</f>
        <v>319.19883982252941</v>
      </c>
      <c r="W31" s="2">
        <f>W9/'Output-Calculation-sheet'!W8*'Output-Calculation-sheet'!W17</f>
        <v>177.70552539517101</v>
      </c>
      <c r="X31" s="2">
        <f>X9/'Output-Calculation-sheet'!X8*'Output-Calculation-sheet'!X17</f>
        <v>0</v>
      </c>
      <c r="Y31" s="2">
        <f>Y9/'Output-Calculation-sheet'!Y8*'Output-Calculation-sheet'!Y17</f>
        <v>171.7020378878974</v>
      </c>
      <c r="AA31" s="2">
        <f t="shared" si="1"/>
        <v>52.627098476172982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1607.9094455036804</v>
      </c>
      <c r="O32" s="2">
        <f>O10/'Output-Calculation-sheet'!O9*'Output-Calculation-sheet'!O18</f>
        <v>0</v>
      </c>
      <c r="P32" s="2">
        <f>P10/'Output-Calculation-sheet'!P9*'Output-Calculation-sheet'!P18</f>
        <v>2588.4093262462661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1861.3361985578733</v>
      </c>
      <c r="S32" s="2">
        <f>S10/'Output-Calculation-sheet'!S9*'Output-Calculation-sheet'!S18</f>
        <v>1216.4948445116772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600.88200087977907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63.399899946200414</v>
      </c>
    </row>
    <row r="33" spans="1:27" x14ac:dyDescent="0.25">
      <c r="A33" s="2">
        <v>2034</v>
      </c>
      <c r="B33" s="2">
        <f>B11/'Output-Calculation-sheet'!B10*'Output-Calculation-sheet'!B19</f>
        <v>24009.275978558671</v>
      </c>
      <c r="C33" s="2">
        <f>C11/'Output-Calculation-sheet'!C10*'Output-Calculation-sheet'!C19</f>
        <v>0</v>
      </c>
      <c r="D33" s="2">
        <f>D11/'Output-Calculation-sheet'!D10*'Output-Calculation-sheet'!D19</f>
        <v>7160.9923946759027</v>
      </c>
      <c r="E33" s="2">
        <f>E11/'Output-Calculation-sheet'!E10*'Output-Calculation-sheet'!E19</f>
        <v>8895.9871551156557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2437.9177562609771</v>
      </c>
      <c r="H33" s="2">
        <f>H11/'Output-Calculation-sheet'!H10*'Output-Calculation-sheet'!H19</f>
        <v>0</v>
      </c>
      <c r="I33" s="2">
        <f>I11/'Output-Calculation-sheet'!I10*'Output-Calculation-sheet'!I19</f>
        <v>2659.9555544535301</v>
      </c>
      <c r="J33" s="2">
        <f>J11/'Output-Calculation-sheet'!J10*'Output-Calculation-sheet'!J19</f>
        <v>2253.6283587012163</v>
      </c>
      <c r="K33" s="2">
        <f>K11/'Output-Calculation-sheet'!K10*'Output-Calculation-sheet'!K19</f>
        <v>3120.6135439407994</v>
      </c>
      <c r="L33" s="2">
        <f>L11/'Output-Calculation-sheet'!L10*'Output-Calculation-sheet'!L19</f>
        <v>2540.120404360116</v>
      </c>
      <c r="M33" s="2">
        <f>M11/'Output-Calculation-sheet'!M10*'Output-Calculation-sheet'!M19</f>
        <v>0</v>
      </c>
      <c r="N33" s="2">
        <f>N11/'Output-Calculation-sheet'!N10*'Output-Calculation-sheet'!N19</f>
        <v>1435.196575041806</v>
      </c>
      <c r="O33" s="2">
        <f>O11/'Output-Calculation-sheet'!O10*'Output-Calculation-sheet'!O19</f>
        <v>0</v>
      </c>
      <c r="P33" s="2">
        <f>P11/'Output-Calculation-sheet'!P10*'Output-Calculation-sheet'!P19</f>
        <v>3157.9412983444868</v>
      </c>
      <c r="Q33" s="2">
        <f>Q11/'Output-Calculation-sheet'!Q10*'Output-Calculation-sheet'!Q19</f>
        <v>2528.5262959660113</v>
      </c>
      <c r="R33" s="2">
        <f>R11/'Output-Calculation-sheet'!R10*'Output-Calculation-sheet'!R19</f>
        <v>2254.6224081801811</v>
      </c>
      <c r="S33" s="2">
        <f>S11/'Output-Calculation-sheet'!S10*'Output-Calculation-sheet'!S19</f>
        <v>1053.8268692239874</v>
      </c>
      <c r="T33" s="2">
        <f>T11/'Output-Calculation-sheet'!T10*'Output-Calculation-sheet'!T19</f>
        <v>661.59997089190142</v>
      </c>
      <c r="U33" s="2">
        <f>U11/'Output-Calculation-sheet'!U10*'Output-Calculation-sheet'!U19</f>
        <v>761.44976348737657</v>
      </c>
      <c r="V33" s="2">
        <f>V11/'Output-Calculation-sheet'!V10*'Output-Calculation-sheet'!V19</f>
        <v>519.51577851900856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102.16874615983173</v>
      </c>
      <c r="Y33" s="2">
        <f>Y11/'Output-Calculation-sheet'!Y10*'Output-Calculation-sheet'!Y19</f>
        <v>291.17910494282518</v>
      </c>
      <c r="AA33" s="2">
        <f t="shared" si="1"/>
        <v>70.238367763393583</v>
      </c>
    </row>
    <row r="34" spans="1:27" x14ac:dyDescent="0.25">
      <c r="A34" s="2">
        <v>2035</v>
      </c>
      <c r="B34" s="2">
        <f>B12/'Output-Calculation-sheet'!B11*'Output-Calculation-sheet'!B20</f>
        <v>20872.921761994323</v>
      </c>
      <c r="C34" s="2">
        <f>C12/'Output-Calculation-sheet'!C11*'Output-Calculation-sheet'!C20</f>
        <v>0</v>
      </c>
      <c r="D34" s="2">
        <f>D12/'Output-Calculation-sheet'!D11*'Output-Calculation-sheet'!D20</f>
        <v>7211.6022217050659</v>
      </c>
      <c r="E34" s="2">
        <f>E12/'Output-Calculation-sheet'!E11*'Output-Calculation-sheet'!E20</f>
        <v>7005.3756834892565</v>
      </c>
      <c r="F34" s="2">
        <f>F12/'Output-Calculation-sheet'!F11*'Output-Calculation-sheet'!F20</f>
        <v>4589.091703540711</v>
      </c>
      <c r="G34" s="2">
        <f>G12/'Output-Calculation-sheet'!G11*'Output-Calculation-sheet'!G20</f>
        <v>2434.9978197177506</v>
      </c>
      <c r="H34" s="2">
        <f>H12/'Output-Calculation-sheet'!H11*'Output-Calculation-sheet'!H20</f>
        <v>0</v>
      </c>
      <c r="I34" s="2">
        <f>I12/'Output-Calculation-sheet'!I11*'Output-Calculation-sheet'!I20</f>
        <v>2801.2906479275262</v>
      </c>
      <c r="J34" s="2">
        <f>J12/'Output-Calculation-sheet'!J11*'Output-Calculation-sheet'!J20</f>
        <v>2376.969694022036</v>
      </c>
      <c r="K34" s="2">
        <f>K12/'Output-Calculation-sheet'!K11*'Output-Calculation-sheet'!K20</f>
        <v>3348.0518632628468</v>
      </c>
      <c r="L34" s="2">
        <f>L12/'Output-Calculation-sheet'!L11*'Output-Calculation-sheet'!L20</f>
        <v>2443.6952334479765</v>
      </c>
      <c r="M34" s="2">
        <f>M12/'Output-Calculation-sheet'!M11*'Output-Calculation-sheet'!M20</f>
        <v>0</v>
      </c>
      <c r="N34" s="2">
        <f>N12/'Output-Calculation-sheet'!N11*'Output-Calculation-sheet'!N20</f>
        <v>1291.9208284525776</v>
      </c>
      <c r="O34" s="2">
        <f>O12/'Output-Calculation-sheet'!O11*'Output-Calculation-sheet'!O20</f>
        <v>0</v>
      </c>
      <c r="P34" s="2">
        <f>P12/'Output-Calculation-sheet'!P11*'Output-Calculation-sheet'!P20</f>
        <v>2915.9148931189302</v>
      </c>
      <c r="Q34" s="2">
        <f>Q12/'Output-Calculation-sheet'!Q11*'Output-Calculation-sheet'!Q20</f>
        <v>2161.500783835319</v>
      </c>
      <c r="R34" s="2">
        <f>R12/'Output-Calculation-sheet'!R11*'Output-Calculation-sheet'!R20</f>
        <v>2454.2223973537566</v>
      </c>
      <c r="S34" s="2">
        <f>S12/'Output-Calculation-sheet'!S11*'Output-Calculation-sheet'!S20</f>
        <v>898.28818598279827</v>
      </c>
      <c r="T34" s="2">
        <f>T12/'Output-Calculation-sheet'!T11*'Output-Calculation-sheet'!T20</f>
        <v>733.15040432055548</v>
      </c>
      <c r="U34" s="2">
        <f>U12/'Output-Calculation-sheet'!U11*'Output-Calculation-sheet'!U20</f>
        <v>670.96283380681621</v>
      </c>
      <c r="V34" s="2">
        <f>V12/'Output-Calculation-sheet'!V11*'Output-Calculation-sheet'!V20</f>
        <v>648.46329099312914</v>
      </c>
      <c r="W34" s="2">
        <f>W12/'Output-Calculation-sheet'!W11*'Output-Calculation-sheet'!W20</f>
        <v>393.71469381245061</v>
      </c>
      <c r="X34" s="2">
        <f>X12/'Output-Calculation-sheet'!X11*'Output-Calculation-sheet'!X20</f>
        <v>83.30291661134298</v>
      </c>
      <c r="Y34" s="2">
        <f>Y12/'Output-Calculation-sheet'!Y11*'Output-Calculation-sheet'!Y20</f>
        <v>213.71029725473699</v>
      </c>
      <c r="AA34" s="2">
        <f t="shared" si="1"/>
        <v>65.549148154649913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1.0569518487047826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0.20533730979094483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1.2622891584957274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1.016565081174948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0.19749124735594276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1.237678201819107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1.8606072252678472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0.36146592929684646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8.908665242007709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30552.251784913686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6610.3254767642775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4548.5507853986064</v>
      </c>
      <c r="N52" s="2">
        <f>N8/'Output-Calculation-sheet'!N7*'Output-Calculation-sheet'!N43</f>
        <v>145.38196909682426</v>
      </c>
      <c r="O52" s="2">
        <f>O8/'Output-Calculation-sheet'!O7*'Output-Calculation-sheet'!O43</f>
        <v>6189.8583364957549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588.23698346604817</v>
      </c>
      <c r="Y52" s="2">
        <f>Y8/'Output-Calculation-sheet'!Y7*'Output-Calculation-sheet'!Y43</f>
        <v>0</v>
      </c>
      <c r="AA52" s="2">
        <f t="shared" si="3"/>
        <v>48.634605336135195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53133.567687396288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12444.293384004599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8504.3752485732257</v>
      </c>
      <c r="N53" s="2">
        <f>N9/'Output-Calculation-sheet'!N8*'Output-Calculation-sheet'!N44</f>
        <v>3028.9745989654052</v>
      </c>
      <c r="O53" s="2">
        <f>O9/'Output-Calculation-sheet'!O8*'Output-Calculation-sheet'!O44</f>
        <v>10537.100557936192</v>
      </c>
      <c r="P53" s="2">
        <f>P9/'Output-Calculation-sheet'!P8*'Output-Calculation-sheet'!P44</f>
        <v>141.68236739073703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945.07908807681724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1063.4784681019507</v>
      </c>
      <c r="Y53" s="2">
        <f>Y9/'Output-Calculation-sheet'!Y8*'Output-Calculation-sheet'!Y44</f>
        <v>0</v>
      </c>
      <c r="AA53" s="2">
        <f t="shared" si="3"/>
        <v>89.798551400445206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60172.083316614386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11113.431591316927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1224.2543562792803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442.44788728879325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142.84514646003436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58675.423106413669</v>
      </c>
      <c r="D55" s="2">
        <f>D11/'Output-Calculation-sheet'!D10*'Output-Calculation-sheet'!D46</f>
        <v>6319.3358510183907</v>
      </c>
      <c r="E55" s="2">
        <f>E11/'Output-Calculation-sheet'!E10*'Output-Calculation-sheet'!E46</f>
        <v>7721.6116358346844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21054.17637255002</v>
      </c>
      <c r="I55" s="2">
        <f>I11/'Output-Calculation-sheet'!I10*'Output-Calculation-sheet'!I46</f>
        <v>1529.1934545135127</v>
      </c>
      <c r="J55" s="2">
        <f>J11/'Output-Calculation-sheet'!J10*'Output-Calculation-sheet'!J46</f>
        <v>1084.6029460883108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14430.668684048933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10775.39963643828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4326.4932954686092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5405.9320963130558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1245.4878635091488</v>
      </c>
      <c r="V55" s="2">
        <f>V11/'Output-Calculation-sheet'!V10*'Output-Calculation-sheet'!V46</f>
        <v>500.20005326223418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1489.835692476099</v>
      </c>
      <c r="Y55" s="2">
        <f>Y11/'Output-Calculation-sheet'!Y10*'Output-Calculation-sheet'!Y46</f>
        <v>381.9253735395323</v>
      </c>
      <c r="AA55" s="2">
        <f t="shared" si="3"/>
        <v>229.54846544238023</v>
      </c>
    </row>
    <row r="56" spans="1:27" x14ac:dyDescent="0.25">
      <c r="A56" s="2">
        <v>2035</v>
      </c>
      <c r="B56" s="2">
        <f>B12/'Output-Calculation-sheet'!B11*'Output-Calculation-sheet'!B47</f>
        <v>80810.830723218925</v>
      </c>
      <c r="C56" s="2">
        <f>C12/'Output-Calculation-sheet'!C11*'Output-Calculation-sheet'!C47</f>
        <v>54512.527477145697</v>
      </c>
      <c r="D56" s="2">
        <f>D12/'Output-Calculation-sheet'!D11*'Output-Calculation-sheet'!D47</f>
        <v>11783.073166246586</v>
      </c>
      <c r="E56" s="2">
        <f>E12/'Output-Calculation-sheet'!E11*'Output-Calculation-sheet'!E47</f>
        <v>21314.064348886433</v>
      </c>
      <c r="F56" s="2">
        <f>F12/'Output-Calculation-sheet'!F11*'Output-Calculation-sheet'!F47</f>
        <v>2384.7320832836276</v>
      </c>
      <c r="G56" s="2">
        <f>G12/'Output-Calculation-sheet'!G11*'Output-Calculation-sheet'!G47</f>
        <v>5419.6924880566758</v>
      </c>
      <c r="H56" s="2">
        <f>H12/'Output-Calculation-sheet'!H11*'Output-Calculation-sheet'!H47</f>
        <v>19443.452042097244</v>
      </c>
      <c r="I56" s="2">
        <f>I12/'Output-Calculation-sheet'!I11*'Output-Calculation-sheet'!I47</f>
        <v>3498.5812061973697</v>
      </c>
      <c r="J56" s="2">
        <f>J12/'Output-Calculation-sheet'!J11*'Output-Calculation-sheet'!J47</f>
        <v>3439.3637718794212</v>
      </c>
      <c r="K56" s="2">
        <f>K12/'Output-Calculation-sheet'!K11*'Output-Calculation-sheet'!K47</f>
        <v>4768.1290742932115</v>
      </c>
      <c r="L56" s="2">
        <f>L12/'Output-Calculation-sheet'!L11*'Output-Calculation-sheet'!L47</f>
        <v>4447.589486822013</v>
      </c>
      <c r="M56" s="2">
        <f>M12/'Output-Calculation-sheet'!M11*'Output-Calculation-sheet'!M47</f>
        <v>13828.421349544822</v>
      </c>
      <c r="N56" s="2">
        <f>N12/'Output-Calculation-sheet'!N11*'Output-Calculation-sheet'!N47</f>
        <v>11467.506860483789</v>
      </c>
      <c r="O56" s="2">
        <f>O12/'Output-Calculation-sheet'!O11*'Output-Calculation-sheet'!O47</f>
        <v>10019.581899807323</v>
      </c>
      <c r="P56" s="2">
        <f>P12/'Output-Calculation-sheet'!P11*'Output-Calculation-sheet'!P47</f>
        <v>5618.6960102081757</v>
      </c>
      <c r="Q56" s="2">
        <f>Q12/'Output-Calculation-sheet'!Q11*'Output-Calculation-sheet'!Q47</f>
        <v>5298.9999589944118</v>
      </c>
      <c r="R56" s="2">
        <f>R12/'Output-Calculation-sheet'!R11*'Output-Calculation-sheet'!R47</f>
        <v>4310.237034260761</v>
      </c>
      <c r="S56" s="2">
        <f>S12/'Output-Calculation-sheet'!S11*'Output-Calculation-sheet'!S47</f>
        <v>5736.0336247166979</v>
      </c>
      <c r="T56" s="2">
        <f>T12/'Output-Calculation-sheet'!T11*'Output-Calculation-sheet'!T47</f>
        <v>1545.4865133908172</v>
      </c>
      <c r="U56" s="2">
        <f>U12/'Output-Calculation-sheet'!U11*'Output-Calculation-sheet'!U47</f>
        <v>1467.493740418362</v>
      </c>
      <c r="V56" s="2">
        <f>V12/'Output-Calculation-sheet'!V11*'Output-Calculation-sheet'!V47</f>
        <v>900.86216495823726</v>
      </c>
      <c r="W56" s="2">
        <f>W12/'Output-Calculation-sheet'!W11*'Output-Calculation-sheet'!W47</f>
        <v>523.22364451271631</v>
      </c>
      <c r="X56" s="2">
        <f>X12/'Output-Calculation-sheet'!X11*'Output-Calculation-sheet'!X47</f>
        <v>1393.7546940436396</v>
      </c>
      <c r="Y56" s="2">
        <f>Y12/'Output-Calculation-sheet'!Y11*'Output-Calculation-sheet'!Y47</f>
        <v>783.21037817056344</v>
      </c>
      <c r="AA56" s="2">
        <f t="shared" si="3"/>
        <v>274.71554374163753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7.1099462046324762</v>
      </c>
      <c r="C63" s="2">
        <f>C8*'Output-Calculation-sheet'!C52/10^9</f>
        <v>4.4836088627473476</v>
      </c>
      <c r="D63" s="2">
        <f>D8*'Output-Calculation-sheet'!D52/10^9</f>
        <v>2.4381364183042984</v>
      </c>
      <c r="E63" s="2">
        <f>E8*'Output-Calculation-sheet'!E52/10^9</f>
        <v>2.4241737853955319</v>
      </c>
      <c r="F63" s="2">
        <f>F8*'Output-Calculation-sheet'!F52/10^9</f>
        <v>1.0266382151163116</v>
      </c>
      <c r="G63" s="2">
        <f>G8*'Output-Calculation-sheet'!G52/10^9</f>
        <v>0.73810560149727478</v>
      </c>
      <c r="H63" s="2">
        <f>H8*'Output-Calculation-sheet'!H52/10^9</f>
        <v>1.2893227660481335</v>
      </c>
      <c r="I63" s="2">
        <f>I8*'Output-Calculation-sheet'!I52/10^9</f>
        <v>0.68660966347240082</v>
      </c>
      <c r="J63" s="2">
        <f>J8*'Output-Calculation-sheet'!J52/10^9</f>
        <v>0.94482235946456827</v>
      </c>
      <c r="K63" s="2">
        <f>K8*'Output-Calculation-sheet'!K52/10^9</f>
        <v>0.83010832807159574</v>
      </c>
      <c r="L63" s="2">
        <f>L8*'Output-Calculation-sheet'!L52/10^9</f>
        <v>1.116534068292566</v>
      </c>
      <c r="M63" s="2">
        <f>M8*'Output-Calculation-sheet'!M52/10^9</f>
        <v>1.0464961320528683</v>
      </c>
      <c r="N63" s="2">
        <f>N8*'Output-Calculation-sheet'!N52/10^9</f>
        <v>0.87340399054130979</v>
      </c>
      <c r="O63" s="2">
        <f>O8*'Output-Calculation-sheet'!O52/10^9</f>
        <v>0.93136050498230061</v>
      </c>
      <c r="P63" s="2">
        <f>P8*'Output-Calculation-sheet'!P52/10^9</f>
        <v>0.57358351640911187</v>
      </c>
      <c r="Q63" s="2">
        <f>Q8*'Output-Calculation-sheet'!Q52/10^9</f>
        <v>0.64912491406209782</v>
      </c>
      <c r="R63" s="2">
        <f>R8*'Output-Calculation-sheet'!R52/10^9</f>
        <v>0.58278597351914652</v>
      </c>
      <c r="S63" s="2">
        <f>S8*'Output-Calculation-sheet'!S52/10^9</f>
        <v>0.43186762639601578</v>
      </c>
      <c r="T63" s="2">
        <f>T8*'Output-Calculation-sheet'!T52/10^9</f>
        <v>0.22156780643107388</v>
      </c>
      <c r="U63" s="2">
        <f>U8*'Output-Calculation-sheet'!U52/10^9</f>
        <v>0.15217030585410796</v>
      </c>
      <c r="V63" s="2">
        <f>V8*'Output-Calculation-sheet'!V52/10^9</f>
        <v>0.27006653892485194</v>
      </c>
      <c r="W63" s="2">
        <f>W8*'Output-Calculation-sheet'!W52/10^9</f>
        <v>9.7751623222475437E-2</v>
      </c>
      <c r="X63" s="2">
        <f>X8*'Output-Calculation-sheet'!X52/10^9</f>
        <v>0.11250986316705709</v>
      </c>
      <c r="Y63" s="2">
        <f>Y8*'Output-Calculation-sheet'!Y52/10^9</f>
        <v>6.3780153334028672E-2</v>
      </c>
      <c r="AA63" s="2">
        <f t="shared" si="4"/>
        <v>29.09447522193895</v>
      </c>
    </row>
    <row r="64" spans="1:27" x14ac:dyDescent="0.25">
      <c r="A64" s="2">
        <v>2032</v>
      </c>
      <c r="B64" s="2">
        <f>B9*'Output-Calculation-sheet'!B53/10^9</f>
        <v>7.1568221904690139</v>
      </c>
      <c r="C64" s="2">
        <f>C9*'Output-Calculation-sheet'!C53/10^9</f>
        <v>4.8318188793866907</v>
      </c>
      <c r="D64" s="2">
        <f>D9*'Output-Calculation-sheet'!D53/10^9</f>
        <v>2.1179883458019511</v>
      </c>
      <c r="E64" s="2">
        <f>E9*'Output-Calculation-sheet'!E53/10^9</f>
        <v>2.1689233285043366</v>
      </c>
      <c r="F64" s="2">
        <f>F9*'Output-Calculation-sheet'!F53/10^9</f>
        <v>0.91483902773979175</v>
      </c>
      <c r="G64" s="2">
        <f>G9*'Output-Calculation-sheet'!G53/10^9</f>
        <v>0.65115374230448086</v>
      </c>
      <c r="H64" s="2">
        <f>H9*'Output-Calculation-sheet'!H53/10^9</f>
        <v>1.3379824551710777</v>
      </c>
      <c r="I64" s="2">
        <f>I9*'Output-Calculation-sheet'!I53/10^9</f>
        <v>0.60872242808491273</v>
      </c>
      <c r="J64" s="2">
        <f>J9*'Output-Calculation-sheet'!J53/10^9</f>
        <v>0.80582559853882219</v>
      </c>
      <c r="K64" s="2">
        <f>K9*'Output-Calculation-sheet'!K53/10^9</f>
        <v>0.74769459960867357</v>
      </c>
      <c r="L64" s="2">
        <f>L9*'Output-Calculation-sheet'!L53/10^9</f>
        <v>0.96190290871113671</v>
      </c>
      <c r="M64" s="2">
        <f>M9*'Output-Calculation-sheet'!M53/10^9</f>
        <v>1.0486395899829177</v>
      </c>
      <c r="N64" s="2">
        <f>N9*'Output-Calculation-sheet'!N53/10^9</f>
        <v>0.88275959647275848</v>
      </c>
      <c r="O64" s="2">
        <f>O9*'Output-Calculation-sheet'!O53/10^9</f>
        <v>0.99934284894453296</v>
      </c>
      <c r="P64" s="2">
        <f>P9*'Output-Calculation-sheet'!P53/10^9</f>
        <v>0.57005673785080468</v>
      </c>
      <c r="Q64" s="2">
        <f>Q9*'Output-Calculation-sheet'!Q53/10^9</f>
        <v>0.63000836010303995</v>
      </c>
      <c r="R64" s="2">
        <f>R9*'Output-Calculation-sheet'!R53/10^9</f>
        <v>0.54006520626509624</v>
      </c>
      <c r="S64" s="2">
        <f>S9*'Output-Calculation-sheet'!S53/10^9</f>
        <v>0.44621384719972179</v>
      </c>
      <c r="T64" s="2">
        <f>T9*'Output-Calculation-sheet'!T53/10^9</f>
        <v>0.19413938449780097</v>
      </c>
      <c r="U64" s="2">
        <f>U9*'Output-Calculation-sheet'!U53/10^9</f>
        <v>0.14612459682968426</v>
      </c>
      <c r="V64" s="2">
        <f>V9*'Output-Calculation-sheet'!V53/10^9</f>
        <v>0.23043040132652551</v>
      </c>
      <c r="W64" s="2">
        <f>W9*'Output-Calculation-sheet'!W53/10^9</f>
        <v>8.5623783796063779E-2</v>
      </c>
      <c r="X64" s="2">
        <f>X9*'Output-Calculation-sheet'!X53/10^9</f>
        <v>0.11622278107512657</v>
      </c>
      <c r="Y64" s="2">
        <f>Y9*'Output-Calculation-sheet'!Y53/10^9</f>
        <v>5.9990807347773067E-2</v>
      </c>
      <c r="AA64" s="2">
        <f t="shared" si="4"/>
        <v>28.253291446012735</v>
      </c>
    </row>
    <row r="65" spans="1:27" x14ac:dyDescent="0.25">
      <c r="A65" s="2">
        <v>2033</v>
      </c>
      <c r="B65" s="2">
        <f>B10*'Output-Calculation-sheet'!B54/10^9</f>
        <v>7.1681067048961467</v>
      </c>
      <c r="C65" s="2">
        <f>C10*'Output-Calculation-sheet'!C54/10^9</f>
        <v>5.0150172789664644</v>
      </c>
      <c r="D65" s="2">
        <f>D10*'Output-Calculation-sheet'!D54/10^9</f>
        <v>1.6934633981167255</v>
      </c>
      <c r="E65" s="2">
        <f>E10*'Output-Calculation-sheet'!E54/10^9</f>
        <v>1.906820420656852</v>
      </c>
      <c r="F65" s="2">
        <f>F10*'Output-Calculation-sheet'!F54/10^9</f>
        <v>0.77413645933573549</v>
      </c>
      <c r="G65" s="2">
        <f>G10*'Output-Calculation-sheet'!G54/10^9</f>
        <v>0.53151470362235687</v>
      </c>
      <c r="H65" s="2">
        <f>H10*'Output-Calculation-sheet'!H54/10^9</f>
        <v>1.3135190888172583</v>
      </c>
      <c r="I65" s="2">
        <f>I10*'Output-Calculation-sheet'!I54/10^9</f>
        <v>0.51755016277339994</v>
      </c>
      <c r="J65" s="2">
        <f>J10*'Output-Calculation-sheet'!J54/10^9</f>
        <v>0.61858787764087542</v>
      </c>
      <c r="K65" s="2">
        <f>K10*'Output-Calculation-sheet'!K54/10^9</f>
        <v>0.6599513238104191</v>
      </c>
      <c r="L65" s="2">
        <f>L10*'Output-Calculation-sheet'!L54/10^9</f>
        <v>0.77954130934573163</v>
      </c>
      <c r="M65" s="2">
        <f>M10*'Output-Calculation-sheet'!M54/10^9</f>
        <v>0.99180233980585597</v>
      </c>
      <c r="N65" s="2">
        <f>N10*'Output-Calculation-sheet'!N54/10^9</f>
        <v>0.85643530912954791</v>
      </c>
      <c r="O65" s="2">
        <f>O10*'Output-Calculation-sheet'!O54/10^9</f>
        <v>1.025852471630633</v>
      </c>
      <c r="P65" s="2">
        <f>P10*'Output-Calculation-sheet'!P54/10^9</f>
        <v>0.55841759385407874</v>
      </c>
      <c r="Q65" s="2">
        <f>Q10*'Output-Calculation-sheet'!Q54/10^9</f>
        <v>0.60932780961113153</v>
      </c>
      <c r="R65" s="2">
        <f>R10*'Output-Calculation-sheet'!R54/10^9</f>
        <v>0.49160611370141466</v>
      </c>
      <c r="S65" s="2">
        <f>S10*'Output-Calculation-sheet'!S54/10^9</f>
        <v>0.44655289774242518</v>
      </c>
      <c r="T65" s="2">
        <f>T10*'Output-Calculation-sheet'!T54/10^9</f>
        <v>0.16436527754023358</v>
      </c>
      <c r="U65" s="2">
        <f>U10*'Output-Calculation-sheet'!U54/10^9</f>
        <v>0.14192469325829732</v>
      </c>
      <c r="V65" s="2">
        <f>V10*'Output-Calculation-sheet'!V54/10^9</f>
        <v>0.18189498976565063</v>
      </c>
      <c r="W65" s="2">
        <f>W10*'Output-Calculation-sheet'!W54/10^9</f>
        <v>6.925426398033184E-2</v>
      </c>
      <c r="X65" s="2">
        <f>X10*'Output-Calculation-sheet'!X54/10^9</f>
        <v>0.11406962404916117</v>
      </c>
      <c r="Y65" s="2">
        <f>Y10*'Output-Calculation-sheet'!Y54/10^9</f>
        <v>5.6999971347424197E-2</v>
      </c>
      <c r="AA65" s="2">
        <f t="shared" si="4"/>
        <v>26.686712083398149</v>
      </c>
    </row>
    <row r="66" spans="1:27" x14ac:dyDescent="0.25">
      <c r="A66" s="2">
        <v>2034</v>
      </c>
      <c r="B66" s="2">
        <f>B11*'Output-Calculation-sheet'!B55/10^9</f>
        <v>7.0721405188979336</v>
      </c>
      <c r="C66" s="2">
        <f>C11*'Output-Calculation-sheet'!C55/10^9</f>
        <v>5.0066574075378441</v>
      </c>
      <c r="D66" s="2">
        <f>D11*'Output-Calculation-sheet'!D55/10^9</f>
        <v>1.4793668245723333</v>
      </c>
      <c r="E66" s="2">
        <f>E11*'Output-Calculation-sheet'!E55/10^9</f>
        <v>1.7912739341133792</v>
      </c>
      <c r="F66" s="2">
        <f>F11*'Output-Calculation-sheet'!F55/10^9</f>
        <v>0.68841814158972314</v>
      </c>
      <c r="G66" s="2">
        <f>G11*'Output-Calculation-sheet'!G55/10^9</f>
        <v>0.4920717240875771</v>
      </c>
      <c r="H66" s="2">
        <f>H11*'Output-Calculation-sheet'!H55/10^9</f>
        <v>1.2636689715397433</v>
      </c>
      <c r="I66" s="2">
        <f>I11*'Output-Calculation-sheet'!I55/10^9</f>
        <v>0.48123121150538772</v>
      </c>
      <c r="J66" s="2">
        <f>J11*'Output-Calculation-sheet'!J55/10^9</f>
        <v>0.49481710274681406</v>
      </c>
      <c r="K66" s="2">
        <f>K11*'Output-Calculation-sheet'!K55/10^9</f>
        <v>0.59186241829257891</v>
      </c>
      <c r="L66" s="2">
        <f>L11*'Output-Calculation-sheet'!L55/10^9</f>
        <v>0.62677488408695292</v>
      </c>
      <c r="M66" s="2">
        <f>M11*'Output-Calculation-sheet'!M55/10^9</f>
        <v>0.91139386384391075</v>
      </c>
      <c r="N66" s="2">
        <f>N11*'Output-Calculation-sheet'!N55/10^9</f>
        <v>0.79631519359673575</v>
      </c>
      <c r="O66" s="2">
        <f>O11*'Output-Calculation-sheet'!O55/10^9</f>
        <v>1.0050235108593071</v>
      </c>
      <c r="P66" s="2">
        <f>P11*'Output-Calculation-sheet'!P55/10^9</f>
        <v>0.54738787460094884</v>
      </c>
      <c r="Q66" s="2">
        <f>Q11*'Output-Calculation-sheet'!Q55/10^9</f>
        <v>0.59757600324988314</v>
      </c>
      <c r="R66" s="2">
        <f>R11*'Output-Calculation-sheet'!R55/10^9</f>
        <v>0.4433508642352525</v>
      </c>
      <c r="S66" s="2">
        <f>S11*'Output-Calculation-sheet'!S55/10^9</f>
        <v>0.43623927133915935</v>
      </c>
      <c r="T66" s="2">
        <f>T11*'Output-Calculation-sheet'!T55/10^9</f>
        <v>0.13896608259969029</v>
      </c>
      <c r="U66" s="2">
        <f>U11*'Output-Calculation-sheet'!U55/10^9</f>
        <v>0.14188502911686537</v>
      </c>
      <c r="V66" s="2">
        <f>V11*'Output-Calculation-sheet'!V55/10^9</f>
        <v>0.13182990908559389</v>
      </c>
      <c r="W66" s="2">
        <f>W11*'Output-Calculation-sheet'!W55/10^9</f>
        <v>5.9692514320970586E-2</v>
      </c>
      <c r="X66" s="2">
        <f>X11*'Output-Calculation-sheet'!X55/10^9</f>
        <v>0.11322892885465327</v>
      </c>
      <c r="Y66" s="2">
        <f>Y11*'Output-Calculation-sheet'!Y55/10^9</f>
        <v>5.8574959061213495E-2</v>
      </c>
      <c r="AA66" s="2">
        <f t="shared" si="4"/>
        <v>25.369747143734454</v>
      </c>
    </row>
    <row r="67" spans="1:27" x14ac:dyDescent="0.25">
      <c r="A67" s="2">
        <v>2035</v>
      </c>
      <c r="B67" s="2">
        <f>B12*'Output-Calculation-sheet'!B56/10^9</f>
        <v>7.0769008174390224</v>
      </c>
      <c r="C67" s="2">
        <f>C12*'Output-Calculation-sheet'!C56/10^9</f>
        <v>4.7494806698079337</v>
      </c>
      <c r="D67" s="2">
        <f>D12*'Output-Calculation-sheet'!D56/10^9</f>
        <v>1.5529863401341142</v>
      </c>
      <c r="E67" s="2">
        <f>E12*'Output-Calculation-sheet'!E56/10^9</f>
        <v>1.9765695042955662</v>
      </c>
      <c r="F67" s="2">
        <f>F12*'Output-Calculation-sheet'!F56/10^9</f>
        <v>0.76849842560207537</v>
      </c>
      <c r="G67" s="2">
        <f>G12*'Output-Calculation-sheet'!G56/10^9</f>
        <v>0.56496160331994505</v>
      </c>
      <c r="H67" s="2">
        <f>H12*'Output-Calculation-sheet'!H56/10^9</f>
        <v>1.248364051269278</v>
      </c>
      <c r="I67" s="2">
        <f>I12*'Output-Calculation-sheet'!I56/10^9</f>
        <v>0.53300291001727584</v>
      </c>
      <c r="J67" s="2">
        <f>J12*'Output-Calculation-sheet'!J56/10^9</f>
        <v>0.49530960210002295</v>
      </c>
      <c r="K67" s="2">
        <f>K12*'Output-Calculation-sheet'!K56/10^9</f>
        <v>0.60825033072095669</v>
      </c>
      <c r="L67" s="2">
        <f>L12*'Output-Calculation-sheet'!L56/10^9</f>
        <v>0.5829653852248059</v>
      </c>
      <c r="M67" s="2">
        <f>M12*'Output-Calculation-sheet'!M56/10^9</f>
        <v>0.89738484252477413</v>
      </c>
      <c r="N67" s="2">
        <f>N12*'Output-Calculation-sheet'!N56/10^9</f>
        <v>0.76678441864464941</v>
      </c>
      <c r="O67" s="2">
        <f>O12*'Output-Calculation-sheet'!O56/10^9</f>
        <v>0.93557115442352323</v>
      </c>
      <c r="P67" s="2">
        <f>P12*'Output-Calculation-sheet'!P56/10^9</f>
        <v>0.58732907911772514</v>
      </c>
      <c r="Q67" s="2">
        <f>Q12*'Output-Calculation-sheet'!Q56/10^9</f>
        <v>0.59025253737790118</v>
      </c>
      <c r="R67" s="2">
        <f>R12*'Output-Calculation-sheet'!R56/10^9</f>
        <v>0.4484364973872505</v>
      </c>
      <c r="S67" s="2">
        <f>S12*'Output-Calculation-sheet'!S56/10^9</f>
        <v>0.42740252095020842</v>
      </c>
      <c r="T67" s="2">
        <f>T12*'Output-Calculation-sheet'!T56/10^9</f>
        <v>0.13749471916445158</v>
      </c>
      <c r="U67" s="2">
        <f>U12*'Output-Calculation-sheet'!U56/10^9</f>
        <v>0.14769968681405402</v>
      </c>
      <c r="V67" s="2">
        <f>V12*'Output-Calculation-sheet'!V56/10^9</f>
        <v>0.10561469270907439</v>
      </c>
      <c r="W67" s="2">
        <f>W12*'Output-Calculation-sheet'!W56/10^9</f>
        <v>7.0042494604929825E-2</v>
      </c>
      <c r="X67" s="2">
        <f>X12*'Output-Calculation-sheet'!X56/10^9</f>
        <v>0.11184564594547498</v>
      </c>
      <c r="Y67" s="2">
        <f>Y12*'Output-Calculation-sheet'!Y56/10^9</f>
        <v>6.6280006520211404E-2</v>
      </c>
      <c r="AA67" s="2">
        <f t="shared" si="4"/>
        <v>25.449427936115224</v>
      </c>
    </row>
    <row r="68" spans="1:27" x14ac:dyDescent="0.25">
      <c r="B68" s="2">
        <f>SUM(B60:B67)</f>
        <v>53.217973635564327</v>
      </c>
      <c r="C68" s="2">
        <f t="shared" ref="C68:Y68" si="5">SUM(C60:C67)</f>
        <v>33.401986448414874</v>
      </c>
      <c r="D68" s="2">
        <f t="shared" si="5"/>
        <v>16.209002707449123</v>
      </c>
      <c r="E68" s="2">
        <f t="shared" si="5"/>
        <v>17.096611940047456</v>
      </c>
      <c r="F68" s="2">
        <f t="shared" si="5"/>
        <v>7.0020714710582759</v>
      </c>
      <c r="G68" s="2">
        <f t="shared" si="5"/>
        <v>5.037051358122608</v>
      </c>
      <c r="H68" s="2">
        <f t="shared" si="5"/>
        <v>9.3575090625217712</v>
      </c>
      <c r="I68" s="2">
        <f t="shared" si="5"/>
        <v>4.7313193212817461</v>
      </c>
      <c r="J68" s="2">
        <f t="shared" si="5"/>
        <v>6.1003708217360417</v>
      </c>
      <c r="K68" s="2">
        <f t="shared" si="5"/>
        <v>5.7451154856815387</v>
      </c>
      <c r="L68" s="2">
        <f t="shared" si="5"/>
        <v>7.3188039377306158</v>
      </c>
      <c r="M68" s="2">
        <f t="shared" si="5"/>
        <v>7.3874185646426564</v>
      </c>
      <c r="N68" s="2">
        <f t="shared" si="5"/>
        <v>6.3386654319486828</v>
      </c>
      <c r="O68" s="2">
        <f t="shared" si="5"/>
        <v>6.8439747455474835</v>
      </c>
      <c r="P68" s="2">
        <f t="shared" si="5"/>
        <v>4.3009867923755047</v>
      </c>
      <c r="Q68" s="2">
        <f t="shared" si="5"/>
        <v>4.7477611837916527</v>
      </c>
      <c r="R68" s="2">
        <f t="shared" si="5"/>
        <v>4.1099184438585397</v>
      </c>
      <c r="S68" s="2">
        <f t="shared" si="5"/>
        <v>3.2360530763181679</v>
      </c>
      <c r="T68" s="2">
        <f t="shared" si="5"/>
        <v>1.48449168713499</v>
      </c>
      <c r="U68" s="2">
        <f t="shared" si="5"/>
        <v>1.1403124686610879</v>
      </c>
      <c r="V68" s="2">
        <f t="shared" si="5"/>
        <v>1.7147215862545706</v>
      </c>
      <c r="W68" s="2">
        <f t="shared" si="5"/>
        <v>0.65740488774068817</v>
      </c>
      <c r="X68" s="2">
        <f t="shared" si="5"/>
        <v>0.82144358985320887</v>
      </c>
      <c r="Y68" s="2">
        <f t="shared" si="5"/>
        <v>0.47897175127461067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5893.5293693098502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1451.4501245017173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953.47609085630052</v>
      </c>
      <c r="N74" s="2">
        <f>N8/'Output-Calculation-sheet'!N7*'Output-Calculation-sheet'!N61</f>
        <v>39.961868755489569</v>
      </c>
      <c r="O74" s="2">
        <f>O8/'Output-Calculation-sheet'!O7*'Output-Calculation-sheet'!O61</f>
        <v>1178.3455250769068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118.48309889040966</v>
      </c>
      <c r="Y74" s="2">
        <f>Y8/'Output-Calculation-sheet'!Y7*'Output-Calculation-sheet'!Y61</f>
        <v>0</v>
      </c>
      <c r="AA74" s="2">
        <f t="shared" si="6"/>
        <v>9.6352460773906774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9543.8753703456478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2368.2142288685195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1606.9173075761653</v>
      </c>
      <c r="N75" s="2">
        <f>N9/'Output-Calculation-sheet'!N8*'Output-Calculation-sheet'!N62</f>
        <v>621.13150004100714</v>
      </c>
      <c r="O75" s="2">
        <f>O9/'Output-Calculation-sheet'!O8*'Output-Calculation-sheet'!O62</f>
        <v>1886.5166859685692</v>
      </c>
      <c r="P75" s="2">
        <f>P9/'Output-Calculation-sheet'!P8*'Output-Calculation-sheet'!P62</f>
        <v>41.583774829181316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208.12619591961442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193.58945772163298</v>
      </c>
      <c r="Y75" s="2">
        <f>Y9/'Output-Calculation-sheet'!Y8*'Output-Calculation-sheet'!Y62</f>
        <v>0</v>
      </c>
      <c r="AA75" s="2">
        <f t="shared" si="6"/>
        <v>16.469954521270335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11132.762564318138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3276.1740324052521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2230.6047561244372</v>
      </c>
      <c r="N76" s="2">
        <f>N10/'Output-Calculation-sheet'!N9*'Output-Calculation-sheet'!N63</f>
        <v>1276.4991269199606</v>
      </c>
      <c r="O76" s="2">
        <f>O10/'Output-Calculation-sheet'!O9*'Output-Calculation-sheet'!O63</f>
        <v>1970.9499812775746</v>
      </c>
      <c r="P76" s="2">
        <f>P10/'Output-Calculation-sheet'!P9*'Output-Calculation-sheet'!P63</f>
        <v>442.76900806704992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333.09780855368575</v>
      </c>
      <c r="S76" s="2">
        <f>S10/'Output-Calculation-sheet'!S9*'Output-Calculation-sheet'!S63</f>
        <v>566.03129922170115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117.97711043377394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262.70513797506447</v>
      </c>
      <c r="Y76" s="2">
        <f>Y10/'Output-Calculation-sheet'!Y9*'Output-Calculation-sheet'!Y63</f>
        <v>4.9834854414466232</v>
      </c>
      <c r="AA76" s="2">
        <f t="shared" si="6"/>
        <v>26.945395037395741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10707.640510291703</v>
      </c>
      <c r="D77" s="2">
        <f>D11/'Output-Calculation-sheet'!D10*'Output-Calculation-sheet'!D64</f>
        <v>1462.2153242275178</v>
      </c>
      <c r="E77" s="2">
        <f>E11/'Output-Calculation-sheet'!E10*'Output-Calculation-sheet'!E64</f>
        <v>1777.3517775101755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759.43365318646204</v>
      </c>
      <c r="H77" s="2">
        <f>H11/'Output-Calculation-sheet'!H10*'Output-Calculation-sheet'!H64</f>
        <v>4035.5119048992133</v>
      </c>
      <c r="I77" s="2">
        <f>I11/'Output-Calculation-sheet'!I10*'Output-Calculation-sheet'!I64</f>
        <v>452.87064155417676</v>
      </c>
      <c r="J77" s="2">
        <f>J11/'Output-Calculation-sheet'!J10*'Output-Calculation-sheet'!J64</f>
        <v>306.33727395912871</v>
      </c>
      <c r="K77" s="2">
        <f>K11/'Output-Calculation-sheet'!K10*'Output-Calculation-sheet'!K64</f>
        <v>688.95524055055637</v>
      </c>
      <c r="L77" s="2">
        <f>L11/'Output-Calculation-sheet'!L10*'Output-Calculation-sheet'!L64</f>
        <v>288.61156802906072</v>
      </c>
      <c r="M77" s="2">
        <f>M11/'Output-Calculation-sheet'!M10*'Output-Calculation-sheet'!M64</f>
        <v>2714.1367878085434</v>
      </c>
      <c r="N77" s="2">
        <f>N11/'Output-Calculation-sheet'!N10*'Output-Calculation-sheet'!N64</f>
        <v>1910.9221918057606</v>
      </c>
      <c r="O77" s="2">
        <f>O11/'Output-Calculation-sheet'!O10*'Output-Calculation-sheet'!O64</f>
        <v>1981.7380482487472</v>
      </c>
      <c r="P77" s="2">
        <f>P11/'Output-Calculation-sheet'!P10*'Output-Calculation-sheet'!P64</f>
        <v>843.43479611692305</v>
      </c>
      <c r="Q77" s="2">
        <f>Q11/'Output-Calculation-sheet'!Q10*'Output-Calculation-sheet'!Q64</f>
        <v>758.35620263618011</v>
      </c>
      <c r="R77" s="2">
        <f>R11/'Output-Calculation-sheet'!R10*'Output-Calculation-sheet'!R64</f>
        <v>721.98564610497283</v>
      </c>
      <c r="S77" s="2">
        <f>S11/'Output-Calculation-sheet'!S10*'Output-Calculation-sheet'!S64</f>
        <v>960.93635491549003</v>
      </c>
      <c r="T77" s="2">
        <f>T11/'Output-Calculation-sheet'!T10*'Output-Calculation-sheet'!T64</f>
        <v>198.5671161329511</v>
      </c>
      <c r="U77" s="2">
        <f>U11/'Output-Calculation-sheet'!U10*'Output-Calculation-sheet'!U64</f>
        <v>263.91368874482396</v>
      </c>
      <c r="V77" s="2">
        <f>V11/'Output-Calculation-sheet'!V10*'Output-Calculation-sheet'!V64</f>
        <v>102.66906213239314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282.39742306647793</v>
      </c>
      <c r="Y77" s="2">
        <f>Y11/'Output-Calculation-sheet'!Y10*'Output-Calculation-sheet'!Y64</f>
        <v>66.081088059481274</v>
      </c>
      <c r="AA77" s="2">
        <f t="shared" si="6"/>
        <v>43.129467198626806</v>
      </c>
    </row>
    <row r="78" spans="1:27" x14ac:dyDescent="0.25">
      <c r="A78" s="2">
        <v>2035</v>
      </c>
      <c r="B78" s="2">
        <f>B12/'Output-Calculation-sheet'!B11*'Output-Calculation-sheet'!B65</f>
        <v>13793.721052702635</v>
      </c>
      <c r="C78" s="2">
        <f>C12/'Output-Calculation-sheet'!C11*'Output-Calculation-sheet'!C65</f>
        <v>10079.758037308507</v>
      </c>
      <c r="D78" s="2">
        <f>D12/'Output-Calculation-sheet'!D11*'Output-Calculation-sheet'!D65</f>
        <v>2589.6737000467342</v>
      </c>
      <c r="E78" s="2">
        <f>E12/'Output-Calculation-sheet'!E11*'Output-Calculation-sheet'!E65</f>
        <v>3241.4038399690608</v>
      </c>
      <c r="F78" s="2">
        <f>F12/'Output-Calculation-sheet'!F11*'Output-Calculation-sheet'!F65</f>
        <v>647.99674517588755</v>
      </c>
      <c r="G78" s="2">
        <f>G12/'Output-Calculation-sheet'!G11*'Output-Calculation-sheet'!G65</f>
        <v>1191.1394963942359</v>
      </c>
      <c r="H78" s="2">
        <f>H12/'Output-Calculation-sheet'!H11*'Output-Calculation-sheet'!H65</f>
        <v>3766.0509602676161</v>
      </c>
      <c r="I78" s="2">
        <f>I12/'Output-Calculation-sheet'!I11*'Output-Calculation-sheet'!I65</f>
        <v>864.98921742023765</v>
      </c>
      <c r="J78" s="2">
        <f>J12/'Output-Calculation-sheet'!J11*'Output-Calculation-sheet'!J65</f>
        <v>836.45788591674216</v>
      </c>
      <c r="K78" s="2">
        <f>K12/'Output-Calculation-sheet'!K11*'Output-Calculation-sheet'!K65</f>
        <v>1047.9339062607687</v>
      </c>
      <c r="L78" s="2">
        <f>L12/'Output-Calculation-sheet'!L11*'Output-Calculation-sheet'!L65</f>
        <v>772.64107855496502</v>
      </c>
      <c r="M78" s="2">
        <f>M12/'Output-Calculation-sheet'!M11*'Output-Calculation-sheet'!M65</f>
        <v>2749.7642998303013</v>
      </c>
      <c r="N78" s="2">
        <f>N12/'Output-Calculation-sheet'!N11*'Output-Calculation-sheet'!N65</f>
        <v>1960.6888396569393</v>
      </c>
      <c r="O78" s="2">
        <f>O12/'Output-Calculation-sheet'!O11*'Output-Calculation-sheet'!O65</f>
        <v>1850.8323881504841</v>
      </c>
      <c r="P78" s="2">
        <f>P12/'Output-Calculation-sheet'!P11*'Output-Calculation-sheet'!P65</f>
        <v>1068.1329451584857</v>
      </c>
      <c r="Q78" s="2">
        <f>Q12/'Output-Calculation-sheet'!Q11*'Output-Calculation-sheet'!Q65</f>
        <v>906.9476587120464</v>
      </c>
      <c r="R78" s="2">
        <f>R12/'Output-Calculation-sheet'!R11*'Output-Calculation-sheet'!R65</f>
        <v>896.35217009743292</v>
      </c>
      <c r="S78" s="2">
        <f>S12/'Output-Calculation-sheet'!S11*'Output-Calculation-sheet'!S65</f>
        <v>1037.0631930323957</v>
      </c>
      <c r="T78" s="2">
        <f>T12/'Output-Calculation-sheet'!T11*'Output-Calculation-sheet'!T65</f>
        <v>323.55825069038565</v>
      </c>
      <c r="U78" s="2">
        <f>U12/'Output-Calculation-sheet'!U11*'Output-Calculation-sheet'!U65</f>
        <v>270.7217254977615</v>
      </c>
      <c r="V78" s="2">
        <f>V12/'Output-Calculation-sheet'!V11*'Output-Calculation-sheet'!V65</f>
        <v>164.68932228659287</v>
      </c>
      <c r="W78" s="2">
        <f>W12/'Output-Calculation-sheet'!W11*'Output-Calculation-sheet'!W65</f>
        <v>114.99504390672209</v>
      </c>
      <c r="X78" s="2">
        <f>X12/'Output-Calculation-sheet'!X11*'Output-Calculation-sheet'!X65</f>
        <v>265.76910937277859</v>
      </c>
      <c r="Y78" s="2">
        <f>Y12/'Output-Calculation-sheet'!Y11*'Output-Calculation-sheet'!Y65</f>
        <v>124.68782417706976</v>
      </c>
      <c r="AA78" s="2">
        <f t="shared" si="6"/>
        <v>50.565968690586779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185.43014889557591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54.036134155511803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0.23946628305108772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535.03425324997261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103.94276176628566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2.0720941480891502</v>
      </c>
      <c r="Y88" s="2">
        <f>Y11/'Output-Calculation-sheet'!Y10*'Output-Calculation-sheet'!Y73</f>
        <v>0</v>
      </c>
      <c r="AA88" s="2">
        <f t="shared" si="7"/>
        <v>0.64104910916434743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816.05580055607334</v>
      </c>
      <c r="D89" s="2">
        <f>D12/'Output-Calculation-sheet'!D11*'Output-Calculation-sheet'!D74</f>
        <v>72.288792430960655</v>
      </c>
      <c r="E89" s="2">
        <f>E12/'Output-Calculation-sheet'!E11*'Output-Calculation-sheet'!E74</f>
        <v>114.90061643604547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75.36221721743118</v>
      </c>
      <c r="I89" s="2">
        <f>I12/'Output-Calculation-sheet'!I11*'Output-Calculation-sheet'!I74</f>
        <v>23.323874707982466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22.923697472563518</v>
      </c>
      <c r="L89" s="2">
        <f>L12/'Output-Calculation-sheet'!L11*'Output-Calculation-sheet'!L74</f>
        <v>18.227825765663987</v>
      </c>
      <c r="M89" s="2">
        <f>M12/'Output-Calculation-sheet'!M11*'Output-Calculation-sheet'!M74</f>
        <v>34.571053373862057</v>
      </c>
      <c r="N89" s="2">
        <f>N12/'Output-Calculation-sheet'!N11*'Output-Calculation-sheet'!N74</f>
        <v>33.977798105137154</v>
      </c>
      <c r="O89" s="2">
        <f>O12/'Output-Calculation-sheet'!O11*'Output-Calculation-sheet'!O74</f>
        <v>142.6839194592815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29.769662690979843</v>
      </c>
      <c r="R89" s="2">
        <f>R12/'Output-Calculation-sheet'!R11*'Output-Calculation-sheet'!R74</f>
        <v>14.761085733769729</v>
      </c>
      <c r="S89" s="2">
        <f>S12/'Output-Calculation-sheet'!S11*'Output-Calculation-sheet'!S74</f>
        <v>19.477193971873337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9.4983413619311463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7.5850595594211683</v>
      </c>
      <c r="Y89" s="2">
        <f>Y12/'Output-Calculation-sheet'!Y11*'Output-Calculation-sheet'!Y74</f>
        <v>3.6598615802362779</v>
      </c>
      <c r="AA89" s="2">
        <f t="shared" si="7"/>
        <v>1.937704584461877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11516938534.347284</v>
      </c>
      <c r="C96" s="2">
        <f>C8/'Output-Calculation-sheet'!C7*'Output-Calculation-sheet'!C79</f>
        <v>3896232648.7672896</v>
      </c>
      <c r="D96" s="2">
        <f>D8/'Output-Calculation-sheet'!D7*'Output-Calculation-sheet'!D79</f>
        <v>4067410288.3974147</v>
      </c>
      <c r="E96" s="2">
        <f>E8/'Output-Calculation-sheet'!E7*'Output-Calculation-sheet'!E79</f>
        <v>7231509173.4378891</v>
      </c>
      <c r="F96" s="2">
        <f>F8/'Output-Calculation-sheet'!F7*'Output-Calculation-sheet'!F79</f>
        <v>2993050386.1640315</v>
      </c>
      <c r="G96" s="2">
        <f>G8/'Output-Calculation-sheet'!G7*'Output-Calculation-sheet'!G79</f>
        <v>2331340139.8330264</v>
      </c>
      <c r="H96" s="2">
        <f>H8/'Output-Calculation-sheet'!H7*'Output-Calculation-sheet'!H79</f>
        <v>1995495496.5596471</v>
      </c>
      <c r="I96" s="2">
        <f>I8/'Output-Calculation-sheet'!I7*'Output-Calculation-sheet'!I79</f>
        <v>1624026258.5759199</v>
      </c>
      <c r="J96" s="2">
        <f>J8/'Output-Calculation-sheet'!J7*'Output-Calculation-sheet'!J79</f>
        <v>1098208503.7688136</v>
      </c>
      <c r="K96" s="2">
        <f>K8/'Output-Calculation-sheet'!K7*'Output-Calculation-sheet'!K79</f>
        <v>1571208767.8743763</v>
      </c>
      <c r="L96" s="2">
        <f>L8/'Output-Calculation-sheet'!L7*'Output-Calculation-sheet'!L79</f>
        <v>1108643539.4577227</v>
      </c>
      <c r="M96" s="2">
        <f>M8/'Output-Calculation-sheet'!M7*'Output-Calculation-sheet'!M79</f>
        <v>1489598794.9957213</v>
      </c>
      <c r="N96" s="2">
        <f>N8/'Output-Calculation-sheet'!N7*'Output-Calculation-sheet'!N79</f>
        <v>1108380138.3817377</v>
      </c>
      <c r="O96" s="2">
        <f>O8/'Output-Calculation-sheet'!O7*'Output-Calculation-sheet'!O79</f>
        <v>560324122.23170543</v>
      </c>
      <c r="P96" s="2">
        <f>P8/'Output-Calculation-sheet'!P7*'Output-Calculation-sheet'!P79</f>
        <v>1874166669.4973598</v>
      </c>
      <c r="Q96" s="2">
        <f>Q8/'Output-Calculation-sheet'!Q7*'Output-Calculation-sheet'!Q79</f>
        <v>873441830.78358078</v>
      </c>
      <c r="R96" s="2">
        <f>R8/'Output-Calculation-sheet'!R7*'Output-Calculation-sheet'!R79</f>
        <v>1089722513.2642126</v>
      </c>
      <c r="S96" s="2">
        <f>S8/'Output-Calculation-sheet'!S7*'Output-Calculation-sheet'!S79</f>
        <v>634963658.60766017</v>
      </c>
      <c r="T96" s="2">
        <f>T8/'Output-Calculation-sheet'!T7*'Output-Calculation-sheet'!T79</f>
        <v>484966058.21279258</v>
      </c>
      <c r="U96" s="2">
        <f>U8/'Output-Calculation-sheet'!U7*'Output-Calculation-sheet'!U79</f>
        <v>304643213.71187967</v>
      </c>
      <c r="V96" s="2">
        <f>V8/'Output-Calculation-sheet'!V7*'Output-Calculation-sheet'!V79</f>
        <v>158064785.64190263</v>
      </c>
      <c r="W96" s="2">
        <f>W8/'Output-Calculation-sheet'!W7*'Output-Calculation-sheet'!W79</f>
        <v>467068626.81957757</v>
      </c>
      <c r="X96" s="2">
        <f>X8/'Output-Calculation-sheet'!X7*'Output-Calculation-sheet'!X79</f>
        <v>164161404.51539698</v>
      </c>
      <c r="Y96" s="2">
        <f>Y8/'Output-Calculation-sheet'!Y7*'Output-Calculation-sheet'!Y79</f>
        <v>256746173.02606896</v>
      </c>
      <c r="AA96" s="2">
        <f t="shared" si="8"/>
        <v>48.900311726872999</v>
      </c>
    </row>
    <row r="97" spans="1:27" x14ac:dyDescent="0.25">
      <c r="A97" s="2">
        <v>2032</v>
      </c>
      <c r="B97" s="2">
        <f>B9/'Output-Calculation-sheet'!B8*'Output-Calculation-sheet'!B80</f>
        <v>15178239645.059916</v>
      </c>
      <c r="C97" s="2">
        <f>C9/'Output-Calculation-sheet'!C8*'Output-Calculation-sheet'!C80</f>
        <v>5169790237.1919079</v>
      </c>
      <c r="D97" s="2">
        <f>D9/'Output-Calculation-sheet'!D8*'Output-Calculation-sheet'!D80</f>
        <v>5151192728.2931604</v>
      </c>
      <c r="E97" s="2">
        <f>E9/'Output-Calculation-sheet'!E8*'Output-Calculation-sheet'!E80</f>
        <v>9420760872.9814339</v>
      </c>
      <c r="F97" s="2">
        <f>F9/'Output-Calculation-sheet'!F8*'Output-Calculation-sheet'!F80</f>
        <v>3891717079.6970062</v>
      </c>
      <c r="G97" s="2">
        <f>G9/'Output-Calculation-sheet'!G8*'Output-Calculation-sheet'!G80</f>
        <v>2945816017.0952783</v>
      </c>
      <c r="H97" s="2">
        <f>H9/'Output-Calculation-sheet'!H8*'Output-Calculation-sheet'!H80</f>
        <v>2591723092.5254626</v>
      </c>
      <c r="I97" s="2">
        <f>I9/'Output-Calculation-sheet'!I8*'Output-Calculation-sheet'!I80</f>
        <v>2131932761.7627535</v>
      </c>
      <c r="J97" s="2">
        <f>J9/'Output-Calculation-sheet'!J8*'Output-Calculation-sheet'!J80</f>
        <v>1401549012.5565677</v>
      </c>
      <c r="K97" s="2">
        <f>K9/'Output-Calculation-sheet'!K8*'Output-Calculation-sheet'!K80</f>
        <v>2020628199.2817295</v>
      </c>
      <c r="L97" s="2">
        <f>L9/'Output-Calculation-sheet'!L8*'Output-Calculation-sheet'!L80</f>
        <v>1470682608.6871054</v>
      </c>
      <c r="M97" s="2">
        <f>M9/'Output-Calculation-sheet'!M8*'Output-Calculation-sheet'!M80</f>
        <v>1940401168.6996665</v>
      </c>
      <c r="N97" s="2">
        <f>N9/'Output-Calculation-sheet'!N8*'Output-Calculation-sheet'!N80</f>
        <v>1417722488.3591845</v>
      </c>
      <c r="O97" s="2">
        <f>O9/'Output-Calculation-sheet'!O8*'Output-Calculation-sheet'!O80</f>
        <v>733436762.76563859</v>
      </c>
      <c r="P97" s="2">
        <f>P9/'Output-Calculation-sheet'!P8*'Output-Calculation-sheet'!P80</f>
        <v>2399667172.3785434</v>
      </c>
      <c r="Q97" s="2">
        <f>Q9/'Output-Calculation-sheet'!Q8*'Output-Calculation-sheet'!Q80</f>
        <v>1122472282.6834061</v>
      </c>
      <c r="R97" s="2">
        <f>R9/'Output-Calculation-sheet'!R8*'Output-Calculation-sheet'!R80</f>
        <v>1418240868.4846249</v>
      </c>
      <c r="S97" s="2">
        <f>S9/'Output-Calculation-sheet'!S8*'Output-Calculation-sheet'!S80</f>
        <v>823142896.16771913</v>
      </c>
      <c r="T97" s="2">
        <f>T9/'Output-Calculation-sheet'!T8*'Output-Calculation-sheet'!T80</f>
        <v>619855549.98579013</v>
      </c>
      <c r="U97" s="2">
        <f>U9/'Output-Calculation-sheet'!U8*'Output-Calculation-sheet'!U80</f>
        <v>396269207.59878898</v>
      </c>
      <c r="V97" s="2">
        <f>V9/'Output-Calculation-sheet'!V8*'Output-Calculation-sheet'!V80</f>
        <v>207779956.61394203</v>
      </c>
      <c r="W97" s="2">
        <f>W9/'Output-Calculation-sheet'!W8*'Output-Calculation-sheet'!W80</f>
        <v>601734769.09121311</v>
      </c>
      <c r="X97" s="2">
        <f>X9/'Output-Calculation-sheet'!X8*'Output-Calculation-sheet'!X80</f>
        <v>216080850.43434849</v>
      </c>
      <c r="Y97" s="2">
        <f>Y9/'Output-Calculation-sheet'!Y8*'Output-Calculation-sheet'!Y80</f>
        <v>330752379.27262157</v>
      </c>
      <c r="AA97" s="2">
        <f t="shared" si="8"/>
        <v>63.601588607667786</v>
      </c>
    </row>
    <row r="98" spans="1:27" x14ac:dyDescent="0.25">
      <c r="A98" s="2">
        <v>2033</v>
      </c>
      <c r="B98" s="2">
        <f>B10/'Output-Calculation-sheet'!B9*'Output-Calculation-sheet'!B81</f>
        <v>18330223535.204174</v>
      </c>
      <c r="C98" s="2">
        <f>C10/'Output-Calculation-sheet'!C9*'Output-Calculation-sheet'!C81</f>
        <v>6284509599.8973885</v>
      </c>
      <c r="D98" s="2">
        <f>D10/'Output-Calculation-sheet'!D9*'Output-Calculation-sheet'!D81</f>
        <v>5980939031.5763607</v>
      </c>
      <c r="E98" s="2">
        <f>E10/'Output-Calculation-sheet'!E9*'Output-Calculation-sheet'!E81</f>
        <v>11250522637.441013</v>
      </c>
      <c r="F98" s="2">
        <f>F10/'Output-Calculation-sheet'!F9*'Output-Calculation-sheet'!F81</f>
        <v>4639987472.993927</v>
      </c>
      <c r="G98" s="2">
        <f>G10/'Output-Calculation-sheet'!G9*'Output-Calculation-sheet'!G81</f>
        <v>3406820768.2731538</v>
      </c>
      <c r="H98" s="2">
        <f>H10/'Output-Calculation-sheet'!H9*'Output-Calculation-sheet'!H81</f>
        <v>3086607450.619071</v>
      </c>
      <c r="I98" s="2">
        <f>I10/'Output-Calculation-sheet'!I9*'Output-Calculation-sheet'!I81</f>
        <v>2565882038.3478117</v>
      </c>
      <c r="J98" s="2">
        <f>J10/'Output-Calculation-sheet'!J9*'Output-Calculation-sheet'!J81</f>
        <v>1640689647.5034509</v>
      </c>
      <c r="K98" s="2">
        <f>K10/'Output-Calculation-sheet'!K9*'Output-Calculation-sheet'!K81</f>
        <v>2383166777.5781155</v>
      </c>
      <c r="L98" s="2">
        <f>L10/'Output-Calculation-sheet'!L9*'Output-Calculation-sheet'!L81</f>
        <v>1787410756.4730759</v>
      </c>
      <c r="M98" s="2">
        <f>M10/'Output-Calculation-sheet'!M9*'Output-Calculation-sheet'!M81</f>
        <v>2317912600.3629823</v>
      </c>
      <c r="N98" s="2">
        <f>N10/'Output-Calculation-sheet'!N9*'Output-Calculation-sheet'!N81</f>
        <v>1662921435.2007477</v>
      </c>
      <c r="O98" s="2">
        <f>O10/'Output-Calculation-sheet'!O9*'Output-Calculation-sheet'!O81</f>
        <v>880610847.61257637</v>
      </c>
      <c r="P98" s="2">
        <f>P10/'Output-Calculation-sheet'!P9*'Output-Calculation-sheet'!P81</f>
        <v>2814176763.7976871</v>
      </c>
      <c r="Q98" s="2">
        <f>Q10/'Output-Calculation-sheet'!Q9*'Output-Calculation-sheet'!Q81</f>
        <v>1323154573.2992671</v>
      </c>
      <c r="R98" s="2">
        <f>R10/'Output-Calculation-sheet'!R9*'Output-Calculation-sheet'!R81</f>
        <v>1692514876.9484847</v>
      </c>
      <c r="S98" s="2">
        <f>S10/'Output-Calculation-sheet'!S9*'Output-Calculation-sheet'!S81</f>
        <v>978574932.18758214</v>
      </c>
      <c r="T98" s="2">
        <f>T10/'Output-Calculation-sheet'!T9*'Output-Calculation-sheet'!T81</f>
        <v>726142857.86181092</v>
      </c>
      <c r="U98" s="2">
        <f>U10/'Output-Calculation-sheet'!U9*'Output-Calculation-sheet'!U81</f>
        <v>472475638.34377629</v>
      </c>
      <c r="V98" s="2">
        <f>V10/'Output-Calculation-sheet'!V9*'Output-Calculation-sheet'!V81</f>
        <v>250231054.44622886</v>
      </c>
      <c r="W98" s="2">
        <f>W10/'Output-Calculation-sheet'!W9*'Output-Calculation-sheet'!W81</f>
        <v>709491369.14615178</v>
      </c>
      <c r="X98" s="2">
        <f>X10/'Output-Calculation-sheet'!X9*'Output-Calculation-sheet'!X81</f>
        <v>260716612.31160447</v>
      </c>
      <c r="Y98" s="2">
        <f>Y10/'Output-Calculation-sheet'!Y9*'Output-Calculation-sheet'!Y81</f>
        <v>390122292.68626904</v>
      </c>
      <c r="AA98" s="2">
        <f t="shared" si="8"/>
        <v>75.835805570112711</v>
      </c>
    </row>
    <row r="99" spans="1:27" x14ac:dyDescent="0.25">
      <c r="A99" s="2">
        <v>2034</v>
      </c>
      <c r="B99" s="2">
        <f>B11/'Output-Calculation-sheet'!B10*'Output-Calculation-sheet'!B82</f>
        <v>20561138877.226082</v>
      </c>
      <c r="C99" s="2">
        <f>C11/'Output-Calculation-sheet'!C10*'Output-Calculation-sheet'!C82</f>
        <v>7094436490.5589218</v>
      </c>
      <c r="D99" s="2">
        <f>D11/'Output-Calculation-sheet'!D10*'Output-Calculation-sheet'!D82</f>
        <v>6453941654.2299891</v>
      </c>
      <c r="E99" s="2">
        <f>E11/'Output-Calculation-sheet'!E10*'Output-Calculation-sheet'!E82</f>
        <v>12484584190.804195</v>
      </c>
      <c r="F99" s="2">
        <f>F11/'Output-Calculation-sheet'!F10*'Output-Calculation-sheet'!F82</f>
        <v>5141760505.4818592</v>
      </c>
      <c r="G99" s="2">
        <f>G11/'Output-Calculation-sheet'!G10*'Output-Calculation-sheet'!G82</f>
        <v>3655425830.203445</v>
      </c>
      <c r="H99" s="2">
        <f>H11/'Output-Calculation-sheet'!H10*'Output-Calculation-sheet'!H82</f>
        <v>3416659114.721601</v>
      </c>
      <c r="I99" s="2">
        <f>I11/'Output-Calculation-sheet'!I10*'Output-Calculation-sheet'!I82</f>
        <v>2869755799.1012688</v>
      </c>
      <c r="J99" s="2">
        <f>J11/'Output-Calculation-sheet'!J10*'Output-Calculation-sheet'!J82</f>
        <v>1785847936.2168427</v>
      </c>
      <c r="K99" s="2">
        <f>K11/'Output-Calculation-sheet'!K10*'Output-Calculation-sheet'!K82</f>
        <v>2612929881.8431287</v>
      </c>
      <c r="L99" s="2">
        <f>L11/'Output-Calculation-sheet'!L10*'Output-Calculation-sheet'!L82</f>
        <v>2017372950.7422626</v>
      </c>
      <c r="M99" s="2">
        <f>M11/'Output-Calculation-sheet'!M10*'Output-Calculation-sheet'!M82</f>
        <v>2573705982.1381683</v>
      </c>
      <c r="N99" s="2">
        <f>N11/'Output-Calculation-sheet'!N10*'Output-Calculation-sheet'!N82</f>
        <v>1813178269.2220795</v>
      </c>
      <c r="O99" s="2">
        <f>O11/'Output-Calculation-sheet'!O10*'Output-Calculation-sheet'!O82</f>
        <v>983014935.80737674</v>
      </c>
      <c r="P99" s="2">
        <f>P11/'Output-Calculation-sheet'!P10*'Output-Calculation-sheet'!P82</f>
        <v>3064280248.0794735</v>
      </c>
      <c r="Q99" s="2">
        <f>Q11/'Output-Calculation-sheet'!Q10*'Output-Calculation-sheet'!Q82</f>
        <v>1450209974.4177866</v>
      </c>
      <c r="R99" s="2">
        <f>R11/'Output-Calculation-sheet'!R10*'Output-Calculation-sheet'!R82</f>
        <v>1877290105.2343874</v>
      </c>
      <c r="S99" s="2">
        <f>S11/'Output-Calculation-sheet'!S10*'Output-Calculation-sheet'!S82</f>
        <v>1081371583.0785084</v>
      </c>
      <c r="T99" s="2">
        <f>T11/'Output-Calculation-sheet'!T10*'Output-Calculation-sheet'!T82</f>
        <v>790356200.02882123</v>
      </c>
      <c r="U99" s="2">
        <f>U11/'Output-Calculation-sheet'!U10*'Output-Calculation-sheet'!U82</f>
        <v>523389808.0226202</v>
      </c>
      <c r="V99" s="2">
        <f>V11/'Output-Calculation-sheet'!V10*'Output-Calculation-sheet'!V82</f>
        <v>279850005.03095025</v>
      </c>
      <c r="W99" s="2">
        <f>W11/'Output-Calculation-sheet'!W10*'Output-Calculation-sheet'!W82</f>
        <v>776033862.00686336</v>
      </c>
      <c r="X99" s="2">
        <f>X11/'Output-Calculation-sheet'!X10*'Output-Calculation-sheet'!X82</f>
        <v>292275717.49866331</v>
      </c>
      <c r="Y99" s="2">
        <f>Y11/'Output-Calculation-sheet'!Y10*'Output-Calculation-sheet'!Y82</f>
        <v>427064753.5124054</v>
      </c>
      <c r="AA99" s="2">
        <f t="shared" si="8"/>
        <v>84.025874675207675</v>
      </c>
    </row>
    <row r="100" spans="1:27" x14ac:dyDescent="0.25">
      <c r="A100" s="2">
        <v>2035</v>
      </c>
      <c r="B100" s="2">
        <f>B12/'Output-Calculation-sheet'!B11*'Output-Calculation-sheet'!B83</f>
        <v>21499050955.95533</v>
      </c>
      <c r="C100" s="2">
        <f>C12/'Output-Calculation-sheet'!C11*'Output-Calculation-sheet'!C83</f>
        <v>7464121296.3617706</v>
      </c>
      <c r="D100" s="2">
        <f>D12/'Output-Calculation-sheet'!D11*'Output-Calculation-sheet'!D83</f>
        <v>6496560522.9259157</v>
      </c>
      <c r="E100" s="2">
        <f>E12/'Output-Calculation-sheet'!E11*'Output-Calculation-sheet'!E83</f>
        <v>12919982580.058668</v>
      </c>
      <c r="F100" s="2">
        <f>F12/'Output-Calculation-sheet'!F11*'Output-Calculation-sheet'!F83</f>
        <v>5314765676.4839191</v>
      </c>
      <c r="G100" s="2">
        <f>G12/'Output-Calculation-sheet'!G11*'Output-Calculation-sheet'!G83</f>
        <v>3652278904.6153836</v>
      </c>
      <c r="H100" s="2">
        <f>H12/'Output-Calculation-sheet'!H11*'Output-Calculation-sheet'!H83</f>
        <v>3527828479.5694089</v>
      </c>
      <c r="I100" s="2">
        <f>I12/'Output-Calculation-sheet'!I11*'Output-Calculation-sheet'!I83</f>
        <v>2993292784.5236378</v>
      </c>
      <c r="J100" s="2">
        <f>J12/'Output-Calculation-sheet'!J11*'Output-Calculation-sheet'!J83</f>
        <v>1814064260.2442322</v>
      </c>
      <c r="K100" s="2">
        <f>K12/'Output-Calculation-sheet'!K11*'Output-Calculation-sheet'!K83</f>
        <v>2672889371.0824227</v>
      </c>
      <c r="L100" s="2">
        <f>L12/'Output-Calculation-sheet'!L11*'Output-Calculation-sheet'!L83</f>
        <v>2122121754.0727093</v>
      </c>
      <c r="M100" s="2">
        <f>M12/'Output-Calculation-sheet'!M11*'Output-Calculation-sheet'!M83</f>
        <v>2665855167.6339316</v>
      </c>
      <c r="N100" s="2">
        <f>N12/'Output-Calculation-sheet'!N11*'Output-Calculation-sheet'!N83</f>
        <v>1844561220.1831069</v>
      </c>
      <c r="O100" s="2">
        <f>O12/'Output-Calculation-sheet'!O11*'Output-Calculation-sheet'!O83</f>
        <v>1023848598.3664869</v>
      </c>
      <c r="P100" s="2">
        <f>P12/'Output-Calculation-sheet'!P11*'Output-Calculation-sheet'!P83</f>
        <v>3109500943.2248321</v>
      </c>
      <c r="Q100" s="2">
        <f>Q12/'Output-Calculation-sheet'!Q11*'Output-Calculation-sheet'!Q83</f>
        <v>1483246204.3367083</v>
      </c>
      <c r="R100" s="2">
        <f>R12/'Output-Calculation-sheet'!R11*'Output-Calculation-sheet'!R83</f>
        <v>1942228234.24366</v>
      </c>
      <c r="S100" s="2">
        <f>S12/'Output-Calculation-sheet'!S11*'Output-Calculation-sheet'!S83</f>
        <v>1114739216.4519253</v>
      </c>
      <c r="T100" s="2">
        <f>T12/'Output-Calculation-sheet'!T11*'Output-Calculation-sheet'!T83</f>
        <v>802226005.95280445</v>
      </c>
      <c r="U100" s="2">
        <f>U12/'Output-Calculation-sheet'!U11*'Output-Calculation-sheet'!U83</f>
        <v>540609496.62394547</v>
      </c>
      <c r="V100" s="2">
        <f>V12/'Output-Calculation-sheet'!V11*'Output-Calculation-sheet'!V83</f>
        <v>291690233.63265407</v>
      </c>
      <c r="W100" s="2">
        <f>W12/'Output-Calculation-sheet'!W11*'Output-Calculation-sheet'!W83</f>
        <v>790260503.19957364</v>
      </c>
      <c r="X100" s="2">
        <f>X12/'Output-Calculation-sheet'!X11*'Output-Calculation-sheet'!X83</f>
        <v>305522216.89721596</v>
      </c>
      <c r="Y100" s="2">
        <f>Y12/'Output-Calculation-sheet'!Y11*'Output-Calculation-sheet'!Y83</f>
        <v>435480707.66762829</v>
      </c>
      <c r="AA100" s="2">
        <f t="shared" si="8"/>
        <v>86.826725334307895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1347538237.8677583</v>
      </c>
      <c r="C107" s="2">
        <f>C8/'Output-Calculation-sheet'!C7*'Output-Calculation-sheet'!C88</f>
        <v>22192501005.451626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6924149335.2115726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4777104368.3385801</v>
      </c>
      <c r="N107" s="2">
        <f>N8/'Output-Calculation-sheet'!N7*'Output-Calculation-sheet'!N88</f>
        <v>1451458142.6077261</v>
      </c>
      <c r="O107" s="2">
        <f>O8/'Output-Calculation-sheet'!O7*'Output-Calculation-sheet'!O88</f>
        <v>4312023206.5112476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479120423.12429291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517361932.050937</v>
      </c>
      <c r="Y107" s="2">
        <f>Y8/'Output-Calculation-sheet'!Y7*'Output-Calculation-sheet'!Y88</f>
        <v>0</v>
      </c>
      <c r="AA107" s="2">
        <f t="shared" si="9"/>
        <v>42001.256651163734</v>
      </c>
    </row>
    <row r="108" spans="1:27" x14ac:dyDescent="0.25">
      <c r="A108" s="2">
        <v>2032</v>
      </c>
      <c r="B108" s="2">
        <f>B9/'Output-Calculation-sheet'!B8*'Output-Calculation-sheet'!B89</f>
        <v>5837987602.193162</v>
      </c>
      <c r="C108" s="2">
        <f>C9/'Output-Calculation-sheet'!C8*'Output-Calculation-sheet'!C89</f>
        <v>29265379732.420303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9130596327.0493145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6299317532.0290041</v>
      </c>
      <c r="N108" s="2">
        <f>N9/'Output-Calculation-sheet'!N8*'Output-Calculation-sheet'!N89</f>
        <v>2968504380.1203637</v>
      </c>
      <c r="O108" s="2">
        <f>O9/'Output-Calculation-sheet'!O8*'Output-Calculation-sheet'!O89</f>
        <v>5686288174.1941481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892142900.60237312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682234918.00037742</v>
      </c>
      <c r="Y108" s="2">
        <f>Y9/'Output-Calculation-sheet'!Y8*'Output-Calculation-sheet'!Y89</f>
        <v>0</v>
      </c>
      <c r="AA108" s="2">
        <f t="shared" si="9"/>
        <v>60762.451566609037</v>
      </c>
    </row>
    <row r="109" spans="1:27" x14ac:dyDescent="0.25">
      <c r="A109" s="2">
        <v>2033</v>
      </c>
      <c r="B109" s="2">
        <f>B10/'Output-Calculation-sheet'!B9*'Output-Calculation-sheet'!B90</f>
        <v>15014981259.094126</v>
      </c>
      <c r="C109" s="2">
        <f>C10/'Output-Calculation-sheet'!C9*'Output-Calculation-sheet'!C90</f>
        <v>33137053699.190331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11031907426.097496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7611057442.8485432</v>
      </c>
      <c r="N109" s="2">
        <f>N10/'Output-Calculation-sheet'!N9*'Output-Calculation-sheet'!N90</f>
        <v>4482487658.2735825</v>
      </c>
      <c r="O109" s="2">
        <f>O10/'Output-Calculation-sheet'!O9*'Output-Calculation-sheet'!O90</f>
        <v>6079591044.2008581</v>
      </c>
      <c r="P109" s="2">
        <f>P10/'Output-Calculation-sheet'!P9*'Output-Calculation-sheet'!P90</f>
        <v>0</v>
      </c>
      <c r="Q109" s="2">
        <f>Q10/'Output-Calculation-sheet'!Q9*'Output-Calculation-sheet'!Q90</f>
        <v>145962087.03461933</v>
      </c>
      <c r="R109" s="2">
        <f>R10/'Output-Calculation-sheet'!R9*'Output-Calculation-sheet'!R90</f>
        <v>0</v>
      </c>
      <c r="S109" s="2">
        <f>S10/'Output-Calculation-sheet'!S9*'Output-Calculation-sheet'!S90</f>
        <v>1809127114.2480352</v>
      </c>
      <c r="T109" s="2">
        <f>T10/'Output-Calculation-sheet'!T9*'Output-Calculation-sheet'!T90</f>
        <v>1.3791472707717253E-7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824300548.63628912</v>
      </c>
      <c r="Y109" s="2">
        <f>Y10/'Output-Calculation-sheet'!Y9*'Output-Calculation-sheet'!Y90</f>
        <v>0</v>
      </c>
      <c r="AA109" s="2">
        <f t="shared" si="9"/>
        <v>80136.468279623878</v>
      </c>
    </row>
    <row r="110" spans="1:27" x14ac:dyDescent="0.25">
      <c r="A110" s="2">
        <v>2034</v>
      </c>
      <c r="B110" s="2">
        <f>B11/'Output-Calculation-sheet'!B10*'Output-Calculation-sheet'!B91</f>
        <v>33143359746.333927</v>
      </c>
      <c r="C110" s="2">
        <f>C11/'Output-Calculation-sheet'!C10*'Output-Calculation-sheet'!C91</f>
        <v>33514715051.091816</v>
      </c>
      <c r="D110" s="2">
        <f>D11/'Output-Calculation-sheet'!D10*'Output-Calculation-sheet'!D91</f>
        <v>0</v>
      </c>
      <c r="E110" s="2">
        <f>E11/'Output-Calculation-sheet'!E10*'Output-Calculation-sheet'!E91</f>
        <v>676106198.15359616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12379032206.027891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562627238.40099955</v>
      </c>
      <c r="M110" s="2">
        <f>M11/'Output-Calculation-sheet'!M10*'Output-Calculation-sheet'!M91</f>
        <v>8540455048.739995</v>
      </c>
      <c r="N110" s="2">
        <f>N11/'Output-Calculation-sheet'!N10*'Output-Calculation-sheet'!N91</f>
        <v>5907006234.1163807</v>
      </c>
      <c r="O110" s="2">
        <f>O11/'Output-Calculation-sheet'!O10*'Output-Calculation-sheet'!O91</f>
        <v>6133281248.3687077</v>
      </c>
      <c r="P110" s="2">
        <f>P11/'Output-Calculation-sheet'!P10*'Output-Calculation-sheet'!P91</f>
        <v>0</v>
      </c>
      <c r="Q110" s="2">
        <f>Q11/'Output-Calculation-sheet'!Q10*'Output-Calculation-sheet'!Q91</f>
        <v>1503146734.3394556</v>
      </c>
      <c r="R110" s="2">
        <f>R11/'Output-Calculation-sheet'!R10*'Output-Calculation-sheet'!R91</f>
        <v>0</v>
      </c>
      <c r="S110" s="2">
        <f>S11/'Output-Calculation-sheet'!S10*'Output-Calculation-sheet'!S91</f>
        <v>2904856328.7565908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846131356.99561214</v>
      </c>
      <c r="Y110" s="2">
        <f>Y11/'Output-Calculation-sheet'!Y10*'Output-Calculation-sheet'!Y91</f>
        <v>37027445.007636249</v>
      </c>
      <c r="AA110" s="2">
        <f t="shared" si="9"/>
        <v>106147.7448363326</v>
      </c>
    </row>
    <row r="111" spans="1:27" x14ac:dyDescent="0.25">
      <c r="A111" s="2">
        <v>2035</v>
      </c>
      <c r="B111" s="2">
        <f>B12/'Output-Calculation-sheet'!B11*'Output-Calculation-sheet'!B92</f>
        <v>38537275280.813896</v>
      </c>
      <c r="C111" s="2">
        <f>C12/'Output-Calculation-sheet'!C11*'Output-Calculation-sheet'!C92</f>
        <v>32229797420.641895</v>
      </c>
      <c r="D111" s="2">
        <f>D12/'Output-Calculation-sheet'!D11*'Output-Calculation-sheet'!D92</f>
        <v>0</v>
      </c>
      <c r="E111" s="2">
        <f>E12/'Output-Calculation-sheet'!E11*'Output-Calculation-sheet'!E92</f>
        <v>4289742127.2514029</v>
      </c>
      <c r="F111" s="2">
        <f>F12/'Output-Calculation-sheet'!F11*'Output-Calculation-sheet'!F92</f>
        <v>0</v>
      </c>
      <c r="G111" s="2">
        <f>G12/'Output-Calculation-sheet'!G11*'Output-Calculation-sheet'!G92</f>
        <v>-4.6640991879753581E-7</v>
      </c>
      <c r="H111" s="2">
        <f>H12/'Output-Calculation-sheet'!H11*'Output-Calculation-sheet'!H92</f>
        <v>11929575217.759096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1415594822.3523841</v>
      </c>
      <c r="M111" s="2">
        <f>M12/'Output-Calculation-sheet'!M11*'Output-Calculation-sheet'!M92</f>
        <v>8417811227.7144623</v>
      </c>
      <c r="N111" s="2">
        <f>N12/'Output-Calculation-sheet'!N11*'Output-Calculation-sheet'!N92</f>
        <v>6071095203.1691284</v>
      </c>
      <c r="O111" s="2">
        <f>O12/'Output-Calculation-sheet'!O11*'Output-Calculation-sheet'!O92</f>
        <v>5855782932.9003353</v>
      </c>
      <c r="P111" s="2">
        <f>P12/'Output-Calculation-sheet'!P11*'Output-Calculation-sheet'!P92</f>
        <v>294494534.5661059</v>
      </c>
      <c r="Q111" s="2">
        <f>Q12/'Output-Calculation-sheet'!Q11*'Output-Calculation-sheet'!Q92</f>
        <v>2025445982.9218683</v>
      </c>
      <c r="R111" s="2">
        <f>R12/'Output-Calculation-sheet'!R11*'Output-Calculation-sheet'!R92</f>
        <v>0</v>
      </c>
      <c r="S111" s="2">
        <f>S12/'Output-Calculation-sheet'!S11*'Output-Calculation-sheet'!S92</f>
        <v>3107514232.5946951</v>
      </c>
      <c r="T111" s="2">
        <f>T12/'Output-Calculation-sheet'!T11*'Output-Calculation-sheet'!T92</f>
        <v>0</v>
      </c>
      <c r="U111" s="2">
        <f>U12/'Output-Calculation-sheet'!U11*'Output-Calculation-sheet'!U92</f>
        <v>58759684.15072827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830658835.00111067</v>
      </c>
      <c r="Y111" s="2">
        <f>Y12/'Output-Calculation-sheet'!Y11*'Output-Calculation-sheet'!Y92</f>
        <v>200120133.24884561</v>
      </c>
      <c r="AA111" s="2">
        <f t="shared" si="9"/>
        <v>115263.66763508595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45756022151.418518</v>
      </c>
      <c r="C118" s="2">
        <f>C8/'Output-Calculation-sheet'!C7*'Output-Calculation-sheet'!C97</f>
        <v>0</v>
      </c>
      <c r="D118" s="2">
        <f>D8/'Output-Calculation-sheet'!D7*'Output-Calculation-sheet'!D97</f>
        <v>19784038134.193344</v>
      </c>
      <c r="E118" s="2">
        <f>E8/'Output-Calculation-sheet'!E7*'Output-Calculation-sheet'!E97</f>
        <v>15696626638.631807</v>
      </c>
      <c r="F118" s="2">
        <f>F8/'Output-Calculation-sheet'!F7*'Output-Calculation-sheet'!F97</f>
        <v>10104481835.281401</v>
      </c>
      <c r="G118" s="2">
        <f>G8/'Output-Calculation-sheet'!G7*'Output-Calculation-sheet'!G97</f>
        <v>7099686247.4877567</v>
      </c>
      <c r="H118" s="2">
        <f>H8/'Output-Calculation-sheet'!H7*'Output-Calculation-sheet'!H97</f>
        <v>0</v>
      </c>
      <c r="I118" s="2">
        <f>I8/'Output-Calculation-sheet'!I7*'Output-Calculation-sheet'!I97</f>
        <v>6468373038.8918934</v>
      </c>
      <c r="J118" s="2">
        <f>J8/'Output-Calculation-sheet'!J7*'Output-Calculation-sheet'!J97</f>
        <v>6295868801.6669521</v>
      </c>
      <c r="K118" s="2">
        <f>K8/'Output-Calculation-sheet'!K7*'Output-Calculation-sheet'!K97</f>
        <v>6235510383.4366703</v>
      </c>
      <c r="L118" s="2">
        <f>L8/'Output-Calculation-sheet'!L7*'Output-Calculation-sheet'!L97</f>
        <v>5002207508.5094547</v>
      </c>
      <c r="M118" s="2">
        <f>M8/'Output-Calculation-sheet'!M7*'Output-Calculation-sheet'!M97</f>
        <v>0</v>
      </c>
      <c r="N118" s="2">
        <f>N8/'Output-Calculation-sheet'!N7*'Output-Calculation-sheet'!N97</f>
        <v>3238070790.3982024</v>
      </c>
      <c r="O118" s="2">
        <f>O8/'Output-Calculation-sheet'!O7*'Output-Calculation-sheet'!O97</f>
        <v>0</v>
      </c>
      <c r="P118" s="2">
        <f>P8/'Output-Calculation-sheet'!P7*'Output-Calculation-sheet'!P97</f>
        <v>4269126205.6686525</v>
      </c>
      <c r="Q118" s="2">
        <f>Q8/'Output-Calculation-sheet'!Q7*'Output-Calculation-sheet'!Q97</f>
        <v>4200129430.4841647</v>
      </c>
      <c r="R118" s="2">
        <f>R8/'Output-Calculation-sheet'!R7*'Output-Calculation-sheet'!R97</f>
        <v>4040717677.2337141</v>
      </c>
      <c r="S118" s="2">
        <f>S8/'Output-Calculation-sheet'!S7*'Output-Calculation-sheet'!S97</f>
        <v>2206547854.2792716</v>
      </c>
      <c r="T118" s="2">
        <f>T8/'Output-Calculation-sheet'!T7*'Output-Calculation-sheet'!T97</f>
        <v>1485333363.3704872</v>
      </c>
      <c r="U118" s="2">
        <f>U8/'Output-Calculation-sheet'!U7*'Output-Calculation-sheet'!U97</f>
        <v>1293674353.7728887</v>
      </c>
      <c r="V118" s="2">
        <f>V8/'Output-Calculation-sheet'!V7*'Output-Calculation-sheet'!V97</f>
        <v>996155517.34278035</v>
      </c>
      <c r="W118" s="2">
        <f>W8/'Output-Calculation-sheet'!W7*'Output-Calculation-sheet'!W97</f>
        <v>862449568.91778803</v>
      </c>
      <c r="X118" s="2">
        <f>X8/'Output-Calculation-sheet'!X7*'Output-Calculation-sheet'!X97</f>
        <v>0</v>
      </c>
      <c r="Y118" s="2">
        <f>Y8/'Output-Calculation-sheet'!Y7*'Output-Calculation-sheet'!Y97</f>
        <v>503234345.59970278</v>
      </c>
      <c r="AA118" s="2">
        <f t="shared" si="10"/>
        <v>145538.25384658546</v>
      </c>
    </row>
    <row r="119" spans="1:27" x14ac:dyDescent="0.25">
      <c r="A119" s="2">
        <v>2032</v>
      </c>
      <c r="B119" s="2">
        <f>B9/'Output-Calculation-sheet'!B8*'Output-Calculation-sheet'!B98</f>
        <v>56274902001.153954</v>
      </c>
      <c r="C119" s="2">
        <f>C9/'Output-Calculation-sheet'!C8*'Output-Calculation-sheet'!C98</f>
        <v>0</v>
      </c>
      <c r="D119" s="2">
        <f>D9/'Output-Calculation-sheet'!D8*'Output-Calculation-sheet'!D98</f>
        <v>26088131327.119591</v>
      </c>
      <c r="E119" s="2">
        <f>E9/'Output-Calculation-sheet'!E8*'Output-Calculation-sheet'!E98</f>
        <v>20698280008.61216</v>
      </c>
      <c r="F119" s="2">
        <f>F9/'Output-Calculation-sheet'!F8*'Output-Calculation-sheet'!F98</f>
        <v>13324229717.384197</v>
      </c>
      <c r="G119" s="2">
        <f>G9/'Output-Calculation-sheet'!G8*'Output-Calculation-sheet'!G98</f>
        <v>9361969503.7416553</v>
      </c>
      <c r="H119" s="2">
        <f>H9/'Output-Calculation-sheet'!H8*'Output-Calculation-sheet'!H98</f>
        <v>1.2523554178380487E-6</v>
      </c>
      <c r="I119" s="2">
        <f>I9/'Output-Calculation-sheet'!I8*'Output-Calculation-sheet'!I98</f>
        <v>8529491806.8992891</v>
      </c>
      <c r="J119" s="2">
        <f>J9/'Output-Calculation-sheet'!J8*'Output-Calculation-sheet'!J98</f>
        <v>8302016625.5586739</v>
      </c>
      <c r="K119" s="2">
        <f>K9/'Output-Calculation-sheet'!K8*'Output-Calculation-sheet'!K98</f>
        <v>8222426582.235116</v>
      </c>
      <c r="L119" s="2">
        <f>L9/'Output-Calculation-sheet'!L8*'Output-Calculation-sheet'!L98</f>
        <v>6596139061.2600803</v>
      </c>
      <c r="M119" s="2">
        <f>M9/'Output-Calculation-sheet'!M8*'Output-Calculation-sheet'!M98</f>
        <v>0</v>
      </c>
      <c r="N119" s="2">
        <f>N9/'Output-Calculation-sheet'!N8*'Output-Calculation-sheet'!N98</f>
        <v>3214804107.684464</v>
      </c>
      <c r="O119" s="2">
        <f>O9/'Output-Calculation-sheet'!O8*'Output-Calculation-sheet'!O98</f>
        <v>0</v>
      </c>
      <c r="P119" s="2">
        <f>P9/'Output-Calculation-sheet'!P8*'Output-Calculation-sheet'!P98</f>
        <v>5629426540.8851223</v>
      </c>
      <c r="Q119" s="2">
        <f>Q9/'Output-Calculation-sheet'!Q8*'Output-Calculation-sheet'!Q98</f>
        <v>5538481434.9978514</v>
      </c>
      <c r="R119" s="2">
        <f>R9/'Output-Calculation-sheet'!R8*'Output-Calculation-sheet'!R98</f>
        <v>5328274285.6191425</v>
      </c>
      <c r="S119" s="2">
        <f>S9/'Output-Calculation-sheet'!S8*'Output-Calculation-sheet'!S98</f>
        <v>2649111630.3379278</v>
      </c>
      <c r="T119" s="2">
        <f>T9/'Output-Calculation-sheet'!T8*'Output-Calculation-sheet'!T98</f>
        <v>1958627733.5455921</v>
      </c>
      <c r="U119" s="2">
        <f>U9/'Output-Calculation-sheet'!U8*'Output-Calculation-sheet'!U98</f>
        <v>1705898167.5565486</v>
      </c>
      <c r="V119" s="2">
        <f>V9/'Output-Calculation-sheet'!V8*'Output-Calculation-sheet'!V98</f>
        <v>1313575707.1970673</v>
      </c>
      <c r="W119" s="2">
        <f>W9/'Output-Calculation-sheet'!W8*'Output-Calculation-sheet'!W98</f>
        <v>1137265266.3316894</v>
      </c>
      <c r="X119" s="2">
        <f>X9/'Output-Calculation-sheet'!X8*'Output-Calculation-sheet'!X98</f>
        <v>0</v>
      </c>
      <c r="Y119" s="2">
        <f>Y9/'Output-Calculation-sheet'!Y8*'Output-Calculation-sheet'!Y98</f>
        <v>663587459.60011601</v>
      </c>
      <c r="AA119" s="2">
        <f t="shared" si="10"/>
        <v>186536.63896772027</v>
      </c>
    </row>
    <row r="120" spans="1:27" x14ac:dyDescent="0.25">
      <c r="A120" s="2">
        <v>2033</v>
      </c>
      <c r="B120" s="2">
        <f>B10/'Output-Calculation-sheet'!B9*'Output-Calculation-sheet'!B99</f>
        <v>60025188795.756332</v>
      </c>
      <c r="C120" s="2">
        <f>C10/'Output-Calculation-sheet'!C9*'Output-Calculation-sheet'!C99</f>
        <v>0</v>
      </c>
      <c r="D120" s="2">
        <f>D10/'Output-Calculation-sheet'!D9*'Output-Calculation-sheet'!D99</f>
        <v>31519652976.782566</v>
      </c>
      <c r="E120" s="2">
        <f>E10/'Output-Calculation-sheet'!E9*'Output-Calculation-sheet'!E99</f>
        <v>25007642865.515732</v>
      </c>
      <c r="F120" s="2">
        <f>F10/'Output-Calculation-sheet'!F9*'Output-Calculation-sheet'!F99</f>
        <v>16098317103.109348</v>
      </c>
      <c r="G120" s="2">
        <f>G10/'Output-Calculation-sheet'!G9*'Output-Calculation-sheet'!G99</f>
        <v>11311119403.032646</v>
      </c>
      <c r="H120" s="2">
        <f>H10/'Output-Calculation-sheet'!H9*'Output-Calculation-sheet'!H99</f>
        <v>0</v>
      </c>
      <c r="I120" s="2">
        <f>I10/'Output-Calculation-sheet'!I9*'Output-Calculation-sheet'!I99</f>
        <v>10305321480.779398</v>
      </c>
      <c r="J120" s="2">
        <f>J10/'Output-Calculation-sheet'!J9*'Output-Calculation-sheet'!J99</f>
        <v>10030486229.931845</v>
      </c>
      <c r="K120" s="2">
        <f>K10/'Output-Calculation-sheet'!K9*'Output-Calculation-sheet'!K99</f>
        <v>9934561076.9163742</v>
      </c>
      <c r="L120" s="2">
        <f>L10/'Output-Calculation-sheet'!L9*'Output-Calculation-sheet'!L99</f>
        <v>7969447069.4382811</v>
      </c>
      <c r="M120" s="2">
        <f>M10/'Output-Calculation-sheet'!M9*'Output-Calculation-sheet'!M99</f>
        <v>0</v>
      </c>
      <c r="N120" s="2">
        <f>N10/'Output-Calculation-sheet'!N9*'Output-Calculation-sheet'!N99</f>
        <v>2987740263.7770448</v>
      </c>
      <c r="O120" s="2">
        <f>O10/'Output-Calculation-sheet'!O9*'Output-Calculation-sheet'!O99</f>
        <v>0</v>
      </c>
      <c r="P120" s="2">
        <f>P10/'Output-Calculation-sheet'!P9*'Output-Calculation-sheet'!P99</f>
        <v>6801109207.0309925</v>
      </c>
      <c r="Q120" s="2">
        <f>Q10/'Output-Calculation-sheet'!Q9*'Output-Calculation-sheet'!Q99</f>
        <v>6545559257.2054739</v>
      </c>
      <c r="R120" s="2">
        <f>R10/'Output-Calculation-sheet'!R9*'Output-Calculation-sheet'!R99</f>
        <v>6437312204.9395161</v>
      </c>
      <c r="S120" s="2">
        <f>S10/'Output-Calculation-sheet'!S9*'Output-Calculation-sheet'!S99</f>
        <v>2469127044.4005775</v>
      </c>
      <c r="T120" s="2">
        <f>T10/'Output-Calculation-sheet'!T9*'Output-Calculation-sheet'!T99</f>
        <v>2366391256.2304101</v>
      </c>
      <c r="U120" s="2">
        <f>U10/'Output-Calculation-sheet'!U9*'Output-Calculation-sheet'!U99</f>
        <v>2061506613.9447768</v>
      </c>
      <c r="V120" s="2">
        <f>V10/'Output-Calculation-sheet'!V9*'Output-Calculation-sheet'!V99</f>
        <v>1587060629.292017</v>
      </c>
      <c r="W120" s="2">
        <f>W10/'Output-Calculation-sheet'!W9*'Output-Calculation-sheet'!W99</f>
        <v>1374042777.5119307</v>
      </c>
      <c r="X120" s="2">
        <f>X10/'Output-Calculation-sheet'!X9*'Output-Calculation-sheet'!X99</f>
        <v>0</v>
      </c>
      <c r="Y120" s="2">
        <f>Y10/'Output-Calculation-sheet'!Y9*'Output-Calculation-sheet'!Y99</f>
        <v>801746755.36881399</v>
      </c>
      <c r="AA120" s="2">
        <f t="shared" si="10"/>
        <v>215633.33301096407</v>
      </c>
    </row>
    <row r="121" spans="1:27" x14ac:dyDescent="0.25">
      <c r="A121" s="2">
        <v>2034</v>
      </c>
      <c r="B121" s="2">
        <f>B11/'Output-Calculation-sheet'!B10*'Output-Calculation-sheet'!B100</f>
        <v>51052750277.356255</v>
      </c>
      <c r="C121" s="2">
        <f>C11/'Output-Calculation-sheet'!C10*'Output-Calculation-sheet'!C100</f>
        <v>0</v>
      </c>
      <c r="D121" s="2">
        <f>D11/'Output-Calculation-sheet'!D10*'Output-Calculation-sheet'!D100</f>
        <v>35367806117.545685</v>
      </c>
      <c r="E121" s="2">
        <f>E11/'Output-Calculation-sheet'!E10*'Output-Calculation-sheet'!E100</f>
        <v>27383471508.545441</v>
      </c>
      <c r="F121" s="2">
        <f>F11/'Output-Calculation-sheet'!F10*'Output-Calculation-sheet'!F100</f>
        <v>18063621800.943531</v>
      </c>
      <c r="G121" s="2">
        <f>G11/'Output-Calculation-sheet'!G10*'Output-Calculation-sheet'!G100</f>
        <v>12691377179.030809</v>
      </c>
      <c r="H121" s="2">
        <f>H11/'Output-Calculation-sheet'!H10*'Output-Calculation-sheet'!H100</f>
        <v>0</v>
      </c>
      <c r="I121" s="2">
        <f>I11/'Output-Calculation-sheet'!I10*'Output-Calculation-sheet'!I100</f>
        <v>11563060022.697865</v>
      </c>
      <c r="J121" s="2">
        <f>J11/'Output-Calculation-sheet'!J10*'Output-Calculation-sheet'!J100</f>
        <v>11254806221.934063</v>
      </c>
      <c r="K121" s="2">
        <f>K11/'Output-Calculation-sheet'!K10*'Output-Calculation-sheet'!K100</f>
        <v>11147187579.242992</v>
      </c>
      <c r="L121" s="2">
        <f>L11/'Output-Calculation-sheet'!L10*'Output-Calculation-sheet'!L100</f>
        <v>8379529144.8924427</v>
      </c>
      <c r="M121" s="2">
        <f>M11/'Output-Calculation-sheet'!M10*'Output-Calculation-sheet'!M100</f>
        <v>5.7198599692599369E-7</v>
      </c>
      <c r="N121" s="2">
        <f>N11/'Output-Calculation-sheet'!N10*'Output-Calculation-sheet'!N100</f>
        <v>2475423562.5667067</v>
      </c>
      <c r="O121" s="2">
        <f>O11/'Output-Calculation-sheet'!O10*'Output-Calculation-sheet'!O100</f>
        <v>0</v>
      </c>
      <c r="P121" s="2">
        <f>P11/'Output-Calculation-sheet'!P10*'Output-Calculation-sheet'!P100</f>
        <v>7631124664.9802322</v>
      </c>
      <c r="Q121" s="2">
        <f>Q11/'Output-Calculation-sheet'!Q10*'Output-Calculation-sheet'!Q100</f>
        <v>6004710767.7585831</v>
      </c>
      <c r="R121" s="2">
        <f>R11/'Output-Calculation-sheet'!R10*'Output-Calculation-sheet'!R100</f>
        <v>7222911443.7662058</v>
      </c>
      <c r="S121" s="2">
        <f>S11/'Output-Calculation-sheet'!S10*'Output-Calculation-sheet'!S100</f>
        <v>1895679479.0005372</v>
      </c>
      <c r="T121" s="2">
        <f>T11/'Output-Calculation-sheet'!T10*'Output-Calculation-sheet'!T100</f>
        <v>2655141013.8970289</v>
      </c>
      <c r="U121" s="2">
        <f>U11/'Output-Calculation-sheet'!U10*'Output-Calculation-sheet'!U100</f>
        <v>2313940006.2860012</v>
      </c>
      <c r="V121" s="2">
        <f>V11/'Output-Calculation-sheet'!V10*'Output-Calculation-sheet'!V100</f>
        <v>1781321233.1984057</v>
      </c>
      <c r="W121" s="2">
        <f>W11/'Output-Calculation-sheet'!W10*'Output-Calculation-sheet'!W100</f>
        <v>1541841911.5507326</v>
      </c>
      <c r="X121" s="2">
        <f>X11/'Output-Calculation-sheet'!X10*'Output-Calculation-sheet'!X100</f>
        <v>68447776.087009624</v>
      </c>
      <c r="Y121" s="2">
        <f>Y11/'Output-Calculation-sheet'!Y10*'Output-Calculation-sheet'!Y100</f>
        <v>862586254.61524737</v>
      </c>
      <c r="AA121" s="2">
        <f t="shared" si="10"/>
        <v>221356.73796589577</v>
      </c>
    </row>
    <row r="122" spans="1:27" x14ac:dyDescent="0.25">
      <c r="A122" s="2">
        <v>2035</v>
      </c>
      <c r="B122" s="2">
        <f>B12/'Output-Calculation-sheet'!B11*'Output-Calculation-sheet'!B101</f>
        <v>44345338816.623116</v>
      </c>
      <c r="C122" s="2">
        <f>C12/'Output-Calculation-sheet'!C11*'Output-Calculation-sheet'!C101</f>
        <v>0</v>
      </c>
      <c r="D122" s="2">
        <f>D12/'Output-Calculation-sheet'!D11*'Output-Calculation-sheet'!D101</f>
        <v>34455505929.036552</v>
      </c>
      <c r="E122" s="2">
        <f>E12/'Output-Calculation-sheet'!E11*'Output-Calculation-sheet'!E101</f>
        <v>24350565919.565094</v>
      </c>
      <c r="F122" s="2">
        <f>F12/'Output-Calculation-sheet'!F11*'Output-Calculation-sheet'!F101</f>
        <v>18121040729.53833</v>
      </c>
      <c r="G122" s="2">
        <f>G12/'Output-Calculation-sheet'!G11*'Output-Calculation-sheet'!G101</f>
        <v>12544625092.045721</v>
      </c>
      <c r="H122" s="2">
        <f>H12/'Output-Calculation-sheet'!H11*'Output-Calculation-sheet'!H101</f>
        <v>0</v>
      </c>
      <c r="I122" s="2">
        <f>I12/'Output-Calculation-sheet'!I11*'Output-Calculation-sheet'!I101</f>
        <v>11460171843.44236</v>
      </c>
      <c r="J122" s="2">
        <f>J12/'Output-Calculation-sheet'!J11*'Output-Calculation-sheet'!J101</f>
        <v>11050590392.028742</v>
      </c>
      <c r="K122" s="2">
        <f>K12/'Output-Calculation-sheet'!K11*'Output-Calculation-sheet'!K101</f>
        <v>11112131684.749571</v>
      </c>
      <c r="L122" s="2">
        <f>L12/'Output-Calculation-sheet'!L11*'Output-Calculation-sheet'!L101</f>
        <v>7647088756.1652107</v>
      </c>
      <c r="M122" s="2">
        <f>M12/'Output-Calculation-sheet'!M11*'Output-Calculation-sheet'!M101</f>
        <v>0</v>
      </c>
      <c r="N122" s="2">
        <f>N12/'Output-Calculation-sheet'!N11*'Output-Calculation-sheet'!N101</f>
        <v>2151934575.1816092</v>
      </c>
      <c r="O122" s="2">
        <f>O12/'Output-Calculation-sheet'!O11*'Output-Calculation-sheet'!O101</f>
        <v>0</v>
      </c>
      <c r="P122" s="2">
        <f>P12/'Output-Calculation-sheet'!P11*'Output-Calculation-sheet'!P101</f>
        <v>7406211950.3205805</v>
      </c>
      <c r="Q122" s="2">
        <f>Q12/'Output-Calculation-sheet'!Q11*'Output-Calculation-sheet'!Q101</f>
        <v>5253513402.8857298</v>
      </c>
      <c r="R122" s="2">
        <f>R12/'Output-Calculation-sheet'!R11*'Output-Calculation-sheet'!R101</f>
        <v>7242069121.6163702</v>
      </c>
      <c r="S122" s="2">
        <f>S12/'Output-Calculation-sheet'!S11*'Output-Calculation-sheet'!S101</f>
        <v>1587633799.7726269</v>
      </c>
      <c r="T122" s="2">
        <f>T12/'Output-Calculation-sheet'!T11*'Output-Calculation-sheet'!T101</f>
        <v>2700722937.2261205</v>
      </c>
      <c r="U122" s="2">
        <f>U12/'Output-Calculation-sheet'!U11*'Output-Calculation-sheet'!U101</f>
        <v>2192579548.0566664</v>
      </c>
      <c r="V122" s="2">
        <f>V12/'Output-Calculation-sheet'!V11*'Output-Calculation-sheet'!V101</f>
        <v>1821341885.2729025</v>
      </c>
      <c r="W122" s="2">
        <f>W12/'Output-Calculation-sheet'!W11*'Output-Calculation-sheet'!W101</f>
        <v>1588198758.4482028</v>
      </c>
      <c r="X122" s="2">
        <f>X12/'Output-Calculation-sheet'!X11*'Output-Calculation-sheet'!X101</f>
        <v>58487313.39170941</v>
      </c>
      <c r="Y122" s="2">
        <f>Y12/'Output-Calculation-sheet'!Y11*'Output-Calculation-sheet'!Y101</f>
        <v>717005312.11487937</v>
      </c>
      <c r="AA122" s="2">
        <f t="shared" si="10"/>
        <v>207806.75776748211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47103561247.085358</v>
      </c>
      <c r="C129" s="2">
        <f>C8/'Output-Calculation-sheet'!C7*'Output-Calculation-sheet'!C106</f>
        <v>22197572679.247921</v>
      </c>
      <c r="D129" s="2">
        <f>D8/'Output-Calculation-sheet'!D7*'Output-Calculation-sheet'!D106</f>
        <v>19784038134.193344</v>
      </c>
      <c r="E129" s="2">
        <f>E8/'Output-Calculation-sheet'!E7*'Output-Calculation-sheet'!E106</f>
        <v>15696626638.631807</v>
      </c>
      <c r="F129" s="2">
        <f>F8/'Output-Calculation-sheet'!F7*'Output-Calculation-sheet'!F106</f>
        <v>10104481835.281401</v>
      </c>
      <c r="G129" s="2">
        <f>G8/'Output-Calculation-sheet'!G7*'Output-Calculation-sheet'!G106</f>
        <v>7099686247.4877567</v>
      </c>
      <c r="H129" s="2">
        <f>H8/'Output-Calculation-sheet'!H7*'Output-Calculation-sheet'!H106</f>
        <v>6925471400.3069258</v>
      </c>
      <c r="I129" s="2">
        <f>I8/'Output-Calculation-sheet'!I7*'Output-Calculation-sheet'!I106</f>
        <v>6468373038.8918934</v>
      </c>
      <c r="J129" s="2">
        <f>J8/'Output-Calculation-sheet'!J7*'Output-Calculation-sheet'!J106</f>
        <v>6295868801.6669521</v>
      </c>
      <c r="K129" s="2">
        <f>K8/'Output-Calculation-sheet'!K7*'Output-Calculation-sheet'!K106</f>
        <v>6235510383.4366703</v>
      </c>
      <c r="L129" s="2">
        <f>L8/'Output-Calculation-sheet'!L7*'Output-Calculation-sheet'!L106</f>
        <v>5002207508.5094547</v>
      </c>
      <c r="M129" s="2">
        <f>M8/'Output-Calculation-sheet'!M7*'Output-Calculation-sheet'!M106</f>
        <v>4777971551.3948212</v>
      </c>
      <c r="N129" s="2">
        <f>N8/'Output-Calculation-sheet'!N7*'Output-Calculation-sheet'!N106</f>
        <v>4689566187.1355095</v>
      </c>
      <c r="O129" s="2">
        <f>O8/'Output-Calculation-sheet'!O7*'Output-Calculation-sheet'!O106</f>
        <v>4313006800.4386902</v>
      </c>
      <c r="P129" s="2">
        <f>P8/'Output-Calculation-sheet'!P7*'Output-Calculation-sheet'!P106</f>
        <v>4269126205.6686525</v>
      </c>
      <c r="Q129" s="2">
        <f>Q8/'Output-Calculation-sheet'!Q7*'Output-Calculation-sheet'!Q106</f>
        <v>4200129430.4841647</v>
      </c>
      <c r="R129" s="2">
        <f>R8/'Output-Calculation-sheet'!R7*'Output-Calculation-sheet'!R106</f>
        <v>4040717677.2337141</v>
      </c>
      <c r="S129" s="2">
        <f>S8/'Output-Calculation-sheet'!S7*'Output-Calculation-sheet'!S106</f>
        <v>2685667964.8870497</v>
      </c>
      <c r="T129" s="2">
        <f>T8/'Output-Calculation-sheet'!T7*'Output-Calculation-sheet'!T106</f>
        <v>1485333363.3704872</v>
      </c>
      <c r="U129" s="2">
        <f>U8/'Output-Calculation-sheet'!U7*'Output-Calculation-sheet'!U106</f>
        <v>1293674353.7728887</v>
      </c>
      <c r="V129" s="2">
        <f>V8/'Output-Calculation-sheet'!V7*'Output-Calculation-sheet'!V106</f>
        <v>996155517.34278035</v>
      </c>
      <c r="W129" s="2">
        <f>W8/'Output-Calculation-sheet'!W7*'Output-Calculation-sheet'!W106</f>
        <v>862449568.91778803</v>
      </c>
      <c r="X129" s="2">
        <f>X8/'Output-Calculation-sheet'!X7*'Output-Calculation-sheet'!X106</f>
        <v>517469843.11135215</v>
      </c>
      <c r="Y129" s="2">
        <f>Y8/'Output-Calculation-sheet'!Y7*'Output-Calculation-sheet'!Y106</f>
        <v>503234345.59970278</v>
      </c>
      <c r="AA129" s="2">
        <f t="shared" si="11"/>
        <v>187547.90072409707</v>
      </c>
    </row>
    <row r="130" spans="1:27" x14ac:dyDescent="0.25">
      <c r="A130" s="2">
        <v>2032</v>
      </c>
      <c r="B130" s="2">
        <f>B9/'Output-Calculation-sheet'!B8*'Output-Calculation-sheet'!B107</f>
        <v>37267739194.549774</v>
      </c>
      <c r="C130" s="2">
        <f>C9/'Output-Calculation-sheet'!C8*'Output-Calculation-sheet'!C107</f>
        <v>17562430587.258366</v>
      </c>
      <c r="D130" s="2">
        <f>D9/'Output-Calculation-sheet'!D8*'Output-Calculation-sheet'!D107</f>
        <v>15652875533.367952</v>
      </c>
      <c r="E130" s="2">
        <f>E9/'Output-Calculation-sheet'!E8*'Output-Calculation-sheet'!E107</f>
        <v>12418966708.598196</v>
      </c>
      <c r="F130" s="2">
        <f>F9/'Output-Calculation-sheet'!F8*'Output-Calculation-sheet'!F107</f>
        <v>7994538645.8835716</v>
      </c>
      <c r="G130" s="2">
        <f>G9/'Output-Calculation-sheet'!G8*'Output-Calculation-sheet'!G107</f>
        <v>5617182287.481842</v>
      </c>
      <c r="H130" s="2">
        <f>H9/'Output-Calculation-sheet'!H8*'Output-Calculation-sheet'!H107</f>
        <v>5479344268.6891861</v>
      </c>
      <c r="I130" s="2">
        <f>I9/'Output-Calculation-sheet'!I8*'Output-Calculation-sheet'!I107</f>
        <v>5117694557.7539692</v>
      </c>
      <c r="J130" s="2">
        <f>J9/'Output-Calculation-sheet'!J8*'Output-Calculation-sheet'!J107</f>
        <v>4981209454.3862772</v>
      </c>
      <c r="K130" s="2">
        <f>K9/'Output-Calculation-sheet'!K8*'Output-Calculation-sheet'!K107</f>
        <v>4933455949.3410692</v>
      </c>
      <c r="L130" s="2">
        <f>L9/'Output-Calculation-sheet'!L8*'Output-Calculation-sheet'!L107</f>
        <v>3957683025.3807855</v>
      </c>
      <c r="M130" s="2">
        <f>M9/'Output-Calculation-sheet'!M8*'Output-Calculation-sheet'!M107</f>
        <v>3780270869.2372885</v>
      </c>
      <c r="N130" s="2">
        <f>N9/'Output-Calculation-sheet'!N8*'Output-Calculation-sheet'!N107</f>
        <v>3710323264.2773633</v>
      </c>
      <c r="O130" s="2">
        <f>O9/'Output-Calculation-sheet'!O8*'Output-Calculation-sheet'!O107</f>
        <v>3412396185.6428699</v>
      </c>
      <c r="P130" s="2">
        <f>P9/'Output-Calculation-sheet'!P8*'Output-Calculation-sheet'!P107</f>
        <v>3377677531.0921001</v>
      </c>
      <c r="Q130" s="2">
        <f>Q9/'Output-Calculation-sheet'!Q8*'Output-Calculation-sheet'!Q107</f>
        <v>3323089868.7850738</v>
      </c>
      <c r="R130" s="2">
        <f>R9/'Output-Calculation-sheet'!R8*'Output-Calculation-sheet'!R107</f>
        <v>3196964904.5075159</v>
      </c>
      <c r="S130" s="2">
        <f>S9/'Output-Calculation-sheet'!S8*'Output-Calculation-sheet'!S107</f>
        <v>2124866369.8191676</v>
      </c>
      <c r="T130" s="2">
        <f>T9/'Output-Calculation-sheet'!T8*'Output-Calculation-sheet'!T107</f>
        <v>1175176886.6246083</v>
      </c>
      <c r="U130" s="2">
        <f>U9/'Output-Calculation-sheet'!U8*'Output-Calculation-sheet'!U107</f>
        <v>1023538578.9885025</v>
      </c>
      <c r="V130" s="2">
        <f>V9/'Output-Calculation-sheet'!V8*'Output-Calculation-sheet'!V107</f>
        <v>788145176.37755382</v>
      </c>
      <c r="W130" s="2">
        <f>W9/'Output-Calculation-sheet'!W8*'Output-Calculation-sheet'!W107</f>
        <v>682359231.3650099</v>
      </c>
      <c r="X130" s="2">
        <f>X9/'Output-Calculation-sheet'!X8*'Output-Calculation-sheet'!X107</f>
        <v>409415458.48686486</v>
      </c>
      <c r="Y130" s="2">
        <f>Y9/'Output-Calculation-sheet'!Y8*'Output-Calculation-sheet'!Y107</f>
        <v>398152517.05892062</v>
      </c>
      <c r="AA130" s="2">
        <f t="shared" si="11"/>
        <v>148385.49705495383</v>
      </c>
    </row>
    <row r="131" spans="1:27" x14ac:dyDescent="0.25">
      <c r="A131" s="2">
        <v>2033</v>
      </c>
      <c r="B131" s="2">
        <f>B10/'Output-Calculation-sheet'!B9*'Output-Calculation-sheet'!B108</f>
        <v>25014918267.013206</v>
      </c>
      <c r="C131" s="2">
        <f>C10/'Output-Calculation-sheet'!C9*'Output-Calculation-sheet'!C108</f>
        <v>14638588402.9049</v>
      </c>
      <c r="D131" s="2">
        <f>D10/'Output-Calculation-sheet'!D9*'Output-Calculation-sheet'!D108</f>
        <v>10506553729.925268</v>
      </c>
      <c r="E131" s="2">
        <f>E10/'Output-Calculation-sheet'!E9*'Output-Calculation-sheet'!E108</f>
        <v>8335880955.1719112</v>
      </c>
      <c r="F131" s="2">
        <f>F10/'Output-Calculation-sheet'!F9*'Output-Calculation-sheet'!F108</f>
        <v>5366105701.0364494</v>
      </c>
      <c r="G131" s="2">
        <f>G10/'Output-Calculation-sheet'!G9*'Output-Calculation-sheet'!G108</f>
        <v>3770373134.3442154</v>
      </c>
      <c r="H131" s="2">
        <f>H10/'Output-Calculation-sheet'!H9*'Output-Calculation-sheet'!H108</f>
        <v>3677854260.0563669</v>
      </c>
      <c r="I131" s="2">
        <f>I10/'Output-Calculation-sheet'!I9*'Output-Calculation-sheet'!I108</f>
        <v>3435108043.5632772</v>
      </c>
      <c r="J131" s="2">
        <f>J10/'Output-Calculation-sheet'!J9*'Output-Calculation-sheet'!J108</f>
        <v>3343496284.1577206</v>
      </c>
      <c r="K131" s="2">
        <f>K10/'Output-Calculation-sheet'!K9*'Output-Calculation-sheet'!K108</f>
        <v>3311442225.626966</v>
      </c>
      <c r="L131" s="2">
        <f>L10/'Output-Calculation-sheet'!L9*'Output-Calculation-sheet'!L108</f>
        <v>2656483046.7893386</v>
      </c>
      <c r="M131" s="2">
        <f>M10/'Output-Calculation-sheet'!M9*'Output-Calculation-sheet'!M108</f>
        <v>2537398829.4784927</v>
      </c>
      <c r="N131" s="2">
        <f>N10/'Output-Calculation-sheet'!N9*'Output-Calculation-sheet'!N108</f>
        <v>2490449140.3627863</v>
      </c>
      <c r="O131" s="2">
        <f>O10/'Output-Calculation-sheet'!O9*'Output-Calculation-sheet'!O108</f>
        <v>3230591708.1901255</v>
      </c>
      <c r="P131" s="2">
        <f>P10/'Output-Calculation-sheet'!P9*'Output-Calculation-sheet'!P108</f>
        <v>2267171325.8463173</v>
      </c>
      <c r="Q131" s="2">
        <f>Q10/'Output-Calculation-sheet'!Q9*'Output-Calculation-sheet'!Q108</f>
        <v>2230529718.7294912</v>
      </c>
      <c r="R131" s="2">
        <f>R10/'Output-Calculation-sheet'!R9*'Output-Calculation-sheet'!R108</f>
        <v>2145871358.6255603</v>
      </c>
      <c r="S131" s="2">
        <f>S10/'Output-Calculation-sheet'!S9*'Output-Calculation-sheet'!S108</f>
        <v>1426256586.1754398</v>
      </c>
      <c r="T131" s="2">
        <f>T10/'Output-Calculation-sheet'!T9*'Output-Calculation-sheet'!T108</f>
        <v>788803703.58142102</v>
      </c>
      <c r="U131" s="2">
        <f>U10/'Output-Calculation-sheet'!U9*'Output-Calculation-sheet'!U108</f>
        <v>687021208.82896459</v>
      </c>
      <c r="V131" s="2">
        <f>V10/'Output-Calculation-sheet'!V9*'Output-Calculation-sheet'!V108</f>
        <v>529020071.07805085</v>
      </c>
      <c r="W131" s="2">
        <f>W10/'Output-Calculation-sheet'!W9*'Output-Calculation-sheet'!W108</f>
        <v>458014139.07903618</v>
      </c>
      <c r="X131" s="2">
        <f>X10/'Output-Calculation-sheet'!X9*'Output-Calculation-sheet'!X108</f>
        <v>274808429.76786178</v>
      </c>
      <c r="Y131" s="2">
        <f>Y10/'Output-Calculation-sheet'!Y9*'Output-Calculation-sheet'!Y108</f>
        <v>267248502.6460551</v>
      </c>
      <c r="AA131" s="2">
        <f t="shared" si="11"/>
        <v>103389.98877297925</v>
      </c>
    </row>
    <row r="132" spans="1:27" x14ac:dyDescent="0.25">
      <c r="A132" s="2">
        <v>2034</v>
      </c>
      <c r="B132" s="2">
        <f>B11/'Output-Calculation-sheet'!B10*'Output-Calculation-sheet'!B109</f>
        <v>12029537819.825062</v>
      </c>
      <c r="C132" s="2">
        <f>C11/'Output-Calculation-sheet'!C10*'Output-Calculation-sheet'!C109</f>
        <v>13586062372.113676</v>
      </c>
      <c r="D132" s="2">
        <f>D11/'Output-Calculation-sheet'!D10*'Output-Calculation-sheet'!D109</f>
        <v>5052544408.1496534</v>
      </c>
      <c r="E132" s="2">
        <f>E11/'Output-Calculation-sheet'!E10*'Output-Calculation-sheet'!E109</f>
        <v>4008680958.4766135</v>
      </c>
      <c r="F132" s="2">
        <f>F11/'Output-Calculation-sheet'!F10*'Output-Calculation-sheet'!F109</f>
        <v>2580531783.0950232</v>
      </c>
      <c r="G132" s="2">
        <f>G11/'Output-Calculation-sheet'!G10*'Output-Calculation-sheet'!G109</f>
        <v>1813152734.9460068</v>
      </c>
      <c r="H132" s="2">
        <f>H11/'Output-Calculation-sheet'!H10*'Output-Calculation-sheet'!H109</f>
        <v>1768660615.4317379</v>
      </c>
      <c r="I132" s="2">
        <f>I11/'Output-Calculation-sheet'!I10*'Output-Calculation-sheet'!I109</f>
        <v>1651924737.1137371</v>
      </c>
      <c r="J132" s="2">
        <f>J11/'Output-Calculation-sheet'!J10*'Output-Calculation-sheet'!J109</f>
        <v>1607869385.1953733</v>
      </c>
      <c r="K132" s="2">
        <f>K11/'Output-Calculation-sheet'!K10*'Output-Calculation-sheet'!K109</f>
        <v>1592455261.109252</v>
      </c>
      <c r="L132" s="2">
        <f>L11/'Output-Calculation-sheet'!L10*'Output-Calculation-sheet'!L109</f>
        <v>1277488414.614893</v>
      </c>
      <c r="M132" s="2">
        <f>M11/'Output-Calculation-sheet'!M10*'Output-Calculation-sheet'!M109</f>
        <v>1220221645.0176637</v>
      </c>
      <c r="N132" s="2">
        <f>N11/'Output-Calculation-sheet'!N10*'Output-Calculation-sheet'!N109</f>
        <v>1197644159.7103357</v>
      </c>
      <c r="O132" s="2">
        <f>O11/'Output-Calculation-sheet'!O10*'Output-Calculation-sheet'!O109</f>
        <v>2973331206.9467592</v>
      </c>
      <c r="P132" s="2">
        <f>P11/'Output-Calculation-sheet'!P10*'Output-Calculation-sheet'!P109</f>
        <v>1090270328.1392031</v>
      </c>
      <c r="Q132" s="2">
        <f>Q11/'Output-Calculation-sheet'!Q10*'Output-Calculation-sheet'!Q109</f>
        <v>1072649753.8820283</v>
      </c>
      <c r="R132" s="2">
        <f>R11/'Output-Calculation-sheet'!R10*'Output-Calculation-sheet'!R109</f>
        <v>1031938321.2743509</v>
      </c>
      <c r="S132" s="2">
        <f>S11/'Output-Calculation-sheet'!S10*'Output-Calculation-sheet'!S109</f>
        <v>685879124.54352498</v>
      </c>
      <c r="T132" s="2">
        <f>T11/'Output-Calculation-sheet'!T10*'Output-Calculation-sheet'!T109</f>
        <v>379331638.54036921</v>
      </c>
      <c r="U132" s="2">
        <f>U11/'Output-Calculation-sheet'!U10*'Output-Calculation-sheet'!U109</f>
        <v>330384908.96235847</v>
      </c>
      <c r="V132" s="2">
        <f>V11/'Output-Calculation-sheet'!V10*'Output-Calculation-sheet'!V109</f>
        <v>254402987.58530438</v>
      </c>
      <c r="W132" s="2">
        <f>W11/'Output-Calculation-sheet'!W10*'Output-Calculation-sheet'!W109</f>
        <v>220256605.96141413</v>
      </c>
      <c r="X132" s="2">
        <f>X11/'Output-Calculation-sheet'!X10*'Output-Calculation-sheet'!X109</f>
        <v>149220015.91084835</v>
      </c>
      <c r="Y132" s="2">
        <f>Y11/'Output-Calculation-sheet'!Y10*'Output-Calculation-sheet'!Y109</f>
        <v>128518428.09055972</v>
      </c>
      <c r="AA132" s="2">
        <f t="shared" si="11"/>
        <v>57702.95761463575</v>
      </c>
    </row>
    <row r="133" spans="1:27" x14ac:dyDescent="0.25">
      <c r="A133" s="2">
        <v>2035</v>
      </c>
      <c r="B133" s="2">
        <f>B12/'Output-Calculation-sheet'!B11*'Output-Calculation-sheet'!B110</f>
        <v>7424955866.3687992</v>
      </c>
      <c r="C133" s="2">
        <f>C12/'Output-Calculation-sheet'!C11*'Output-Calculation-sheet'!C110</f>
        <v>11927610310.413662</v>
      </c>
      <c r="D133" s="2">
        <f>D12/'Output-Calculation-sheet'!D11*'Output-Calculation-sheet'!D110</f>
        <v>3240923431.0572591</v>
      </c>
      <c r="E133" s="2">
        <f>E12/'Output-Calculation-sheet'!E11*'Output-Calculation-sheet'!E110</f>
        <v>1552742226.8841846</v>
      </c>
      <c r="F133" s="2">
        <f>F12/'Output-Calculation-sheet'!F11*'Output-Calculation-sheet'!F110</f>
        <v>1184842573.2420967</v>
      </c>
      <c r="G133" s="2">
        <f>G12/'Output-Calculation-sheet'!G11*'Output-Calculation-sheet'!G110</f>
        <v>1106134861.1619427</v>
      </c>
      <c r="H133" s="2">
        <f>H12/'Output-Calculation-sheet'!H11*'Output-Calculation-sheet'!H110</f>
        <v>1536763222.4179101</v>
      </c>
      <c r="I133" s="2">
        <f>I12/'Output-Calculation-sheet'!I11*'Output-Calculation-sheet'!I110</f>
        <v>914149881.09724069</v>
      </c>
      <c r="J133" s="2">
        <f>J12/'Output-Calculation-sheet'!J11*'Output-Calculation-sheet'!J110</f>
        <v>890273772.43618774</v>
      </c>
      <c r="K133" s="2">
        <f>K12/'Output-Calculation-sheet'!K11*'Output-Calculation-sheet'!K110</f>
        <v>770280707.05123103</v>
      </c>
      <c r="L133" s="2">
        <f>L12/'Output-Calculation-sheet'!L11*'Output-Calculation-sheet'!L110</f>
        <v>402605278.81652671</v>
      </c>
      <c r="M133" s="2">
        <f>M12/'Output-Calculation-sheet'!M11*'Output-Calculation-sheet'!M110</f>
        <v>816910015.55322242</v>
      </c>
      <c r="N133" s="2">
        <f>N12/'Output-Calculation-sheet'!N11*'Output-Calculation-sheet'!N110</f>
        <v>736131204.50467324</v>
      </c>
      <c r="O133" s="2">
        <f>O12/'Output-Calculation-sheet'!O11*'Output-Calculation-sheet'!O110</f>
        <v>2619637126.8503361</v>
      </c>
      <c r="P133" s="2">
        <f>P12/'Output-Calculation-sheet'!P11*'Output-Calculation-sheet'!P110</f>
        <v>542467678.68903148</v>
      </c>
      <c r="Q133" s="2">
        <f>Q12/'Output-Calculation-sheet'!Q11*'Output-Calculation-sheet'!Q110</f>
        <v>748625745.49899662</v>
      </c>
      <c r="R133" s="2">
        <f>R12/'Output-Calculation-sheet'!R11*'Output-Calculation-sheet'!R110</f>
        <v>458191776.94079393</v>
      </c>
      <c r="S133" s="2">
        <f>S12/'Output-Calculation-sheet'!S11*'Output-Calculation-sheet'!S110</f>
        <v>449421740.39146823</v>
      </c>
      <c r="T133" s="2">
        <f>T12/'Output-Calculation-sheet'!T11*'Output-Calculation-sheet'!T110</f>
        <v>118631599.37870999</v>
      </c>
      <c r="U133" s="2">
        <f>U12/'Output-Calculation-sheet'!U11*'Output-Calculation-sheet'!U110</f>
        <v>233716045.07655737</v>
      </c>
      <c r="V133" s="2">
        <f>V12/'Output-Calculation-sheet'!V11*'Output-Calculation-sheet'!V110</f>
        <v>51109169.834856458</v>
      </c>
      <c r="W133" s="2">
        <f>W12/'Output-Calculation-sheet'!W11*'Output-Calculation-sheet'!W110</f>
        <v>63385310.059276775</v>
      </c>
      <c r="X133" s="2">
        <f>X12/'Output-Calculation-sheet'!X11*'Output-Calculation-sheet'!X110</f>
        <v>128627838.22429104</v>
      </c>
      <c r="Y133" s="2">
        <f>Y12/'Output-Calculation-sheet'!Y11*'Output-Calculation-sheet'!Y110</f>
        <v>55557943.140923977</v>
      </c>
      <c r="AA133" s="2">
        <f t="shared" si="11"/>
        <v>37973.695325090186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1064.2096895669563</v>
      </c>
      <c r="C19" s="2">
        <f>C8/'Output-Calculation-sheet'!C7*'Output-Calculation-sheet'!C25</f>
        <v>16041.085538723342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4785.5733509796692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3317.6844960944331</v>
      </c>
      <c r="N19" s="2">
        <f>N8/'Output-Calculation-sheet'!N7*'Output-Calculation-sheet'!N25</f>
        <v>1135.8530562842179</v>
      </c>
      <c r="O19" s="2">
        <f>O8/'Output-Calculation-sheet'!O7*'Output-Calculation-sheet'!O25</f>
        <v>3102.6704745794168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405.29030125867206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370.6850052419274</v>
      </c>
      <c r="Y19" s="2">
        <f>Y8/'Output-Calculation-sheet'!Y7*'Output-Calculation-sheet'!Y25</f>
        <v>0</v>
      </c>
      <c r="AA19" s="2">
        <f t="shared" si="0"/>
        <v>30.223051912728636</v>
      </c>
    </row>
    <row r="20" spans="1:27" x14ac:dyDescent="0.25">
      <c r="A20" s="2">
        <v>2032</v>
      </c>
      <c r="B20" s="2">
        <f>B9/'Output-Calculation-sheet'!B8*'Output-Calculation-sheet'!B26</f>
        <v>6033.7681656120976</v>
      </c>
      <c r="C20" s="2">
        <f>C9/'Output-Calculation-sheet'!C8*'Output-Calculation-sheet'!C26</f>
        <v>22096.514689675965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6556.4365375299712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4561.6965632930105</v>
      </c>
      <c r="N20" s="2">
        <f>N9/'Output-Calculation-sheet'!N8*'Output-Calculation-sheet'!N26</f>
        <v>2058.4443532083801</v>
      </c>
      <c r="O20" s="2">
        <f>O9/'Output-Calculation-sheet'!O8*'Output-Calculation-sheet'!O26</f>
        <v>4305.4095912755593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748.09456352463235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510.35683395805711</v>
      </c>
      <c r="Y20" s="2">
        <f>Y9/'Output-Calculation-sheet'!Y8*'Output-Calculation-sheet'!Y26</f>
        <v>0</v>
      </c>
      <c r="AA20" s="2">
        <f t="shared" si="0"/>
        <v>46.870721298077676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27569.009550000836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8483.155710181336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5892.2347648540917</v>
      </c>
      <c r="N21" s="2">
        <f>N10/'Output-Calculation-sheet'!N9*'Output-Calculation-sheet'!N27</f>
        <v>3222.8742920618115</v>
      </c>
      <c r="O21" s="2">
        <f>O10/'Output-Calculation-sheet'!O9*'Output-Calculation-sheet'!O27</f>
        <v>4863.2537055822195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1403.0252488353003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692.89211390020739</v>
      </c>
      <c r="Y21" s="2">
        <f>Y10/'Output-Calculation-sheet'!Y9*'Output-Calculation-sheet'!Y27</f>
        <v>0</v>
      </c>
      <c r="AA21" s="2">
        <f t="shared" si="0"/>
        <v>67.019689019218688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30169.816632910391</v>
      </c>
      <c r="D22" s="2">
        <f>D11/'Output-Calculation-sheet'!D10*'Output-Calculation-sheet'!D28</f>
        <v>0</v>
      </c>
      <c r="E22" s="2">
        <f>E11/'Output-Calculation-sheet'!E10*'Output-Calculation-sheet'!E28</f>
        <v>1486.7048348482601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11884.685127079229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901.23905026073896</v>
      </c>
      <c r="M22" s="2">
        <f>M11/'Output-Calculation-sheet'!M10*'Output-Calculation-sheet'!M28</f>
        <v>8189.7300620004426</v>
      </c>
      <c r="N22" s="2">
        <f>N11/'Output-Calculation-sheet'!N10*'Output-Calculation-sheet'!N28</f>
        <v>4713.2352701275795</v>
      </c>
      <c r="O22" s="2">
        <f>O11/'Output-Calculation-sheet'!O10*'Output-Calculation-sheet'!O28</f>
        <v>5399.2367600321886</v>
      </c>
      <c r="P22" s="2">
        <f>P11/'Output-Calculation-sheet'!P10*'Output-Calculation-sheet'!P28</f>
        <v>0</v>
      </c>
      <c r="Q22" s="2">
        <f>Q11/'Output-Calculation-sheet'!Q10*'Output-Calculation-sheet'!Q28</f>
        <v>1767.6497433009399</v>
      </c>
      <c r="R22" s="2">
        <f>R11/'Output-Calculation-sheet'!R10*'Output-Calculation-sheet'!R28</f>
        <v>0</v>
      </c>
      <c r="S22" s="2">
        <f>S11/'Output-Calculation-sheet'!S10*'Output-Calculation-sheet'!S28</f>
        <v>2390.2799447507837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826.93803011201908</v>
      </c>
      <c r="Y22" s="2">
        <f>Y11/'Output-Calculation-sheet'!Y10*'Output-Calculation-sheet'!Y28</f>
        <v>82.260030829634388</v>
      </c>
      <c r="AA22" s="2">
        <f t="shared" si="0"/>
        <v>97.399812364287556</v>
      </c>
    </row>
    <row r="23" spans="1:27" x14ac:dyDescent="0.25">
      <c r="A23" s="2">
        <v>2035</v>
      </c>
      <c r="B23" s="2">
        <f>B12/'Output-Calculation-sheet'!B11*'Output-Calculation-sheet'!B29</f>
        <v>38378.556337426482</v>
      </c>
      <c r="C23" s="2">
        <f>C12/'Output-Calculation-sheet'!C11*'Output-Calculation-sheet'!C29</f>
        <v>32823.008019268716</v>
      </c>
      <c r="D23" s="2">
        <f>D12/'Output-Calculation-sheet'!D11*'Output-Calculation-sheet'!D29</f>
        <v>0</v>
      </c>
      <c r="E23" s="2">
        <f>E12/'Output-Calculation-sheet'!E11*'Output-Calculation-sheet'!E29</f>
        <v>7328.2513493367196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12734.871441052235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2143.3220096608966</v>
      </c>
      <c r="M23" s="2">
        <f>M12/'Output-Calculation-sheet'!M11*'Output-Calculation-sheet'!M29</f>
        <v>9635.4179896616024</v>
      </c>
      <c r="N23" s="2">
        <f>N12/'Output-Calculation-sheet'!N11*'Output-Calculation-sheet'!N29</f>
        <v>5631.8380258595926</v>
      </c>
      <c r="O23" s="2">
        <f>O12/'Output-Calculation-sheet'!O11*'Output-Calculation-sheet'!O29</f>
        <v>5871.2052418047006</v>
      </c>
      <c r="P23" s="2">
        <f>P12/'Output-Calculation-sheet'!P11*'Output-Calculation-sheet'!P29</f>
        <v>773.63703217867248</v>
      </c>
      <c r="Q23" s="2">
        <f>Q12/'Output-Calculation-sheet'!Q11*'Output-Calculation-sheet'!Q29</f>
        <v>2464.6861030963901</v>
      </c>
      <c r="R23" s="2">
        <f>R12/'Output-Calculation-sheet'!R11*'Output-Calculation-sheet'!R29</f>
        <v>0</v>
      </c>
      <c r="S23" s="2">
        <f>S12/'Output-Calculation-sheet'!S11*'Output-Calculation-sheet'!S29</f>
        <v>2926.0630638173629</v>
      </c>
      <c r="T23" s="2">
        <f>T12/'Output-Calculation-sheet'!T11*'Output-Calculation-sheet'!T29</f>
        <v>0</v>
      </c>
      <c r="U23" s="2">
        <f>U12/'Output-Calculation-sheet'!U11*'Output-Calculation-sheet'!U29</f>
        <v>169.80569543764329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912.63996063517789</v>
      </c>
      <c r="Y23" s="2">
        <f>Y12/'Output-Calculation-sheet'!Y11*'Output-Calculation-sheet'!Y29</f>
        <v>292.473277170686</v>
      </c>
      <c r="AA23" s="2">
        <f t="shared" si="0"/>
        <v>122.08577554640685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18548.829184511887</v>
      </c>
      <c r="C30" s="2">
        <f>C8/'Output-Calculation-sheet'!C7*'Output-Calculation-sheet'!C16</f>
        <v>0</v>
      </c>
      <c r="D30" s="2">
        <f>D8/'Output-Calculation-sheet'!D7*'Output-Calculation-sheet'!D16</f>
        <v>3123.3776255481876</v>
      </c>
      <c r="E30" s="2">
        <f>E8/'Output-Calculation-sheet'!E7*'Output-Calculation-sheet'!E16</f>
        <v>3360.577860944325</v>
      </c>
      <c r="F30" s="2">
        <f>F8/'Output-Calculation-sheet'!F7*'Output-Calculation-sheet'!F16</f>
        <v>1695.4294133959036</v>
      </c>
      <c r="G30" s="2">
        <f>G8/'Output-Calculation-sheet'!G7*'Output-Calculation-sheet'!G16</f>
        <v>1110.3048968839785</v>
      </c>
      <c r="H30" s="2">
        <f>H8/'Output-Calculation-sheet'!H7*'Output-Calculation-sheet'!H16</f>
        <v>0</v>
      </c>
      <c r="I30" s="2">
        <f>I8/'Output-Calculation-sheet'!I7*'Output-Calculation-sheet'!I16</f>
        <v>1082.3810270567153</v>
      </c>
      <c r="J30" s="2">
        <f>J8/'Output-Calculation-sheet'!J7*'Output-Calculation-sheet'!J16</f>
        <v>963.52723842808598</v>
      </c>
      <c r="K30" s="2">
        <f>K8/'Output-Calculation-sheet'!K7*'Output-Calculation-sheet'!K16</f>
        <v>1286.4930317131648</v>
      </c>
      <c r="L30" s="2">
        <f>L8/'Output-Calculation-sheet'!L7*'Output-Calculation-sheet'!L16</f>
        <v>1086.6683561312077</v>
      </c>
      <c r="M30" s="2">
        <f>M8/'Output-Calculation-sheet'!M7*'Output-Calculation-sheet'!M16</f>
        <v>0</v>
      </c>
      <c r="N30" s="2">
        <f>N8/'Output-Calculation-sheet'!N7*'Output-Calculation-sheet'!N16</f>
        <v>1543.5208494096833</v>
      </c>
      <c r="O30" s="2">
        <f>O8/'Output-Calculation-sheet'!O7*'Output-Calculation-sheet'!O16</f>
        <v>0</v>
      </c>
      <c r="P30" s="2">
        <f>P8/'Output-Calculation-sheet'!P7*'Output-Calculation-sheet'!P16</f>
        <v>1387.2658924857997</v>
      </c>
      <c r="Q30" s="2">
        <f>Q8/'Output-Calculation-sheet'!Q7*'Output-Calculation-sheet'!Q16</f>
        <v>1525.5343235297855</v>
      </c>
      <c r="R30" s="2">
        <f>R8/'Output-Calculation-sheet'!R7*'Output-Calculation-sheet'!R16</f>
        <v>967.95815883783678</v>
      </c>
      <c r="S30" s="2">
        <f>S8/'Output-Calculation-sheet'!S7*'Output-Calculation-sheet'!S16</f>
        <v>973.48207088337927</v>
      </c>
      <c r="T30" s="2">
        <f>T8/'Output-Calculation-sheet'!T7*'Output-Calculation-sheet'!T16</f>
        <v>290.56712561956158</v>
      </c>
      <c r="U30" s="2">
        <f>U8/'Output-Calculation-sheet'!U7*'Output-Calculation-sheet'!U16</f>
        <v>290.04774425063232</v>
      </c>
      <c r="V30" s="2">
        <f>V8/'Output-Calculation-sheet'!V7*'Output-Calculation-sheet'!V16</f>
        <v>225.73864598584035</v>
      </c>
      <c r="W30" s="2">
        <f>W8/'Output-Calculation-sheet'!W7*'Output-Calculation-sheet'!W16</f>
        <v>136.92186884800742</v>
      </c>
      <c r="X30" s="2">
        <f>X8/'Output-Calculation-sheet'!X7*'Output-Calculation-sheet'!X16</f>
        <v>0</v>
      </c>
      <c r="Y30" s="2">
        <f>Y8/'Output-Calculation-sheet'!Y7*'Output-Calculation-sheet'!Y16</f>
        <v>115.88879569581397</v>
      </c>
      <c r="AA30" s="2">
        <f t="shared" si="1"/>
        <v>39.714514110159797</v>
      </c>
    </row>
    <row r="31" spans="1:27" x14ac:dyDescent="0.25">
      <c r="A31" s="2">
        <v>2032</v>
      </c>
      <c r="B31" s="2">
        <f>B9/'Output-Calculation-sheet'!B8*'Output-Calculation-sheet'!B17</f>
        <v>25548.967894730162</v>
      </c>
      <c r="C31" s="2">
        <f>C9/'Output-Calculation-sheet'!C8*'Output-Calculation-sheet'!C17</f>
        <v>0</v>
      </c>
      <c r="D31" s="2">
        <f>D9/'Output-Calculation-sheet'!D8*'Output-Calculation-sheet'!D17</f>
        <v>4284.897364684698</v>
      </c>
      <c r="E31" s="2">
        <f>E9/'Output-Calculation-sheet'!E8*'Output-Calculation-sheet'!E17</f>
        <v>5036.311414316845</v>
      </c>
      <c r="F31" s="2">
        <f>F9/'Output-Calculation-sheet'!F8*'Output-Calculation-sheet'!F17</f>
        <v>2325.9813088308842</v>
      </c>
      <c r="G31" s="2">
        <f>G9/'Output-Calculation-sheet'!G8*'Output-Calculation-sheet'!G17</f>
        <v>1523.2273842757681</v>
      </c>
      <c r="H31" s="2">
        <f>H9/'Output-Calculation-sheet'!H8*'Output-Calculation-sheet'!H17</f>
        <v>0</v>
      </c>
      <c r="I31" s="2">
        <f>I9/'Output-Calculation-sheet'!I8*'Output-Calculation-sheet'!I17</f>
        <v>1484.9255801245711</v>
      </c>
      <c r="J31" s="2">
        <f>J9/'Output-Calculation-sheet'!J8*'Output-Calculation-sheet'!J17</f>
        <v>1321.8699853663802</v>
      </c>
      <c r="K31" s="2">
        <f>K9/'Output-Calculation-sheet'!K8*'Output-Calculation-sheet'!K17</f>
        <v>1881.9918835822411</v>
      </c>
      <c r="L31" s="2">
        <f>L9/'Output-Calculation-sheet'!L8*'Output-Calculation-sheet'!L17</f>
        <v>1605.0082308874034</v>
      </c>
      <c r="M31" s="2">
        <f>M9/'Output-Calculation-sheet'!M8*'Output-Calculation-sheet'!M17</f>
        <v>0</v>
      </c>
      <c r="N31" s="2">
        <f>N9/'Output-Calculation-sheet'!N8*'Output-Calculation-sheet'!N17</f>
        <v>1744.8081007264834</v>
      </c>
      <c r="O31" s="2">
        <f>O9/'Output-Calculation-sheet'!O8*'Output-Calculation-sheet'!O17</f>
        <v>0</v>
      </c>
      <c r="P31" s="2">
        <f>P9/'Output-Calculation-sheet'!P8*'Output-Calculation-sheet'!P17</f>
        <v>2165.5776665273311</v>
      </c>
      <c r="Q31" s="2">
        <f>Q9/'Output-Calculation-sheet'!Q8*'Output-Calculation-sheet'!Q17</f>
        <v>2308.7047591881656</v>
      </c>
      <c r="R31" s="2">
        <f>R9/'Output-Calculation-sheet'!R8*'Output-Calculation-sheet'!R17</f>
        <v>1510.4766670928138</v>
      </c>
      <c r="S31" s="2">
        <f>S9/'Output-Calculation-sheet'!S8*'Output-Calculation-sheet'!S17</f>
        <v>1299.6981403719485</v>
      </c>
      <c r="T31" s="2">
        <f>T9/'Output-Calculation-sheet'!T8*'Output-Calculation-sheet'!T17</f>
        <v>409.87887926849606</v>
      </c>
      <c r="U31" s="2">
        <f>U9/'Output-Calculation-sheet'!U8*'Output-Calculation-sheet'!U17</f>
        <v>471.08150230631941</v>
      </c>
      <c r="V31" s="2">
        <f>V9/'Output-Calculation-sheet'!V8*'Output-Calculation-sheet'!V17</f>
        <v>337.41332779571241</v>
      </c>
      <c r="W31" s="2">
        <f>W9/'Output-Calculation-sheet'!W8*'Output-Calculation-sheet'!W17</f>
        <v>187.84596060752366</v>
      </c>
      <c r="X31" s="2">
        <f>X9/'Output-Calculation-sheet'!X8*'Output-Calculation-sheet'!X17</f>
        <v>0</v>
      </c>
      <c r="Y31" s="2">
        <f>Y9/'Output-Calculation-sheet'!Y8*'Output-Calculation-sheet'!Y17</f>
        <v>181.49989525423035</v>
      </c>
      <c r="AA31" s="2">
        <f t="shared" si="1"/>
        <v>55.630165945937982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1813.3565679602118</v>
      </c>
      <c r="O32" s="2">
        <f>O10/'Output-Calculation-sheet'!O9*'Output-Calculation-sheet'!O18</f>
        <v>0</v>
      </c>
      <c r="P32" s="2">
        <f>P10/'Output-Calculation-sheet'!P9*'Output-Calculation-sheet'!P18</f>
        <v>2919.1376824382169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2099.1643716476228</v>
      </c>
      <c r="S32" s="2">
        <f>S10/'Output-Calculation-sheet'!S9*'Output-Calculation-sheet'!S18</f>
        <v>1371.9298200241444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677.65838798409311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71.50068388300889</v>
      </c>
    </row>
    <row r="33" spans="1:27" x14ac:dyDescent="0.25">
      <c r="A33" s="2">
        <v>2034</v>
      </c>
      <c r="B33" s="2">
        <f>B11/'Output-Calculation-sheet'!B10*'Output-Calculation-sheet'!B19</f>
        <v>29844.231588518203</v>
      </c>
      <c r="C33" s="2">
        <f>C11/'Output-Calculation-sheet'!C10*'Output-Calculation-sheet'!C19</f>
        <v>0</v>
      </c>
      <c r="D33" s="2">
        <f>D11/'Output-Calculation-sheet'!D10*'Output-Calculation-sheet'!D19</f>
        <v>8901.3227896243679</v>
      </c>
      <c r="E33" s="2">
        <f>E11/'Output-Calculation-sheet'!E10*'Output-Calculation-sheet'!E19</f>
        <v>11057.971973117908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3030.4030065958318</v>
      </c>
      <c r="H33" s="2">
        <f>H11/'Output-Calculation-sheet'!H10*'Output-Calculation-sheet'!H19</f>
        <v>0</v>
      </c>
      <c r="I33" s="2">
        <f>I11/'Output-Calculation-sheet'!I10*'Output-Calculation-sheet'!I19</f>
        <v>3306.4024776578085</v>
      </c>
      <c r="J33" s="2">
        <f>J11/'Output-Calculation-sheet'!J10*'Output-Calculation-sheet'!J19</f>
        <v>2801.3259005225909</v>
      </c>
      <c r="K33" s="2">
        <f>K11/'Output-Calculation-sheet'!K10*'Output-Calculation-sheet'!K19</f>
        <v>3879.013818942602</v>
      </c>
      <c r="L33" s="2">
        <f>L11/'Output-Calculation-sheet'!L10*'Output-Calculation-sheet'!L19</f>
        <v>3157.4438845279465</v>
      </c>
      <c r="M33" s="2">
        <f>M11/'Output-Calculation-sheet'!M10*'Output-Calculation-sheet'!M19</f>
        <v>0</v>
      </c>
      <c r="N33" s="2">
        <f>N11/'Output-Calculation-sheet'!N10*'Output-Calculation-sheet'!N19</f>
        <v>1783.9912789892935</v>
      </c>
      <c r="O33" s="2">
        <f>O11/'Output-Calculation-sheet'!O10*'Output-Calculation-sheet'!O19</f>
        <v>0</v>
      </c>
      <c r="P33" s="2">
        <f>P11/'Output-Calculation-sheet'!P10*'Output-Calculation-sheet'!P19</f>
        <v>3925.4133083773468</v>
      </c>
      <c r="Q33" s="2">
        <f>Q11/'Output-Calculation-sheet'!Q10*'Output-Calculation-sheet'!Q19</f>
        <v>3143.0320690160984</v>
      </c>
      <c r="R33" s="2">
        <f>R11/'Output-Calculation-sheet'!R10*'Output-Calculation-sheet'!R19</f>
        <v>2802.5615330709093</v>
      </c>
      <c r="S33" s="2">
        <f>S11/'Output-Calculation-sheet'!S10*'Output-Calculation-sheet'!S19</f>
        <v>1309.9375910964818</v>
      </c>
      <c r="T33" s="2">
        <f>T11/'Output-Calculation-sheet'!T10*'Output-Calculation-sheet'!T19</f>
        <v>822.38809566302234</v>
      </c>
      <c r="U33" s="2">
        <f>U11/'Output-Calculation-sheet'!U10*'Output-Calculation-sheet'!U19</f>
        <v>946.50430545402503</v>
      </c>
      <c r="V33" s="2">
        <f>V11/'Output-Calculation-sheet'!V10*'Output-Calculation-sheet'!V19</f>
        <v>645.77329286634313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126.99873683094691</v>
      </c>
      <c r="Y33" s="2">
        <f>Y11/'Output-Calculation-sheet'!Y10*'Output-Calculation-sheet'!Y19</f>
        <v>361.94413565039133</v>
      </c>
      <c r="AA33" s="2">
        <f t="shared" si="1"/>
        <v>87.3083434836701</v>
      </c>
    </row>
    <row r="34" spans="1:27" x14ac:dyDescent="0.25">
      <c r="A34" s="2">
        <v>2035</v>
      </c>
      <c r="B34" s="2">
        <f>B12/'Output-Calculation-sheet'!B11*'Output-Calculation-sheet'!B20</f>
        <v>29754.698672594724</v>
      </c>
      <c r="C34" s="2">
        <f>C12/'Output-Calculation-sheet'!C11*'Output-Calculation-sheet'!C20</f>
        <v>0</v>
      </c>
      <c r="D34" s="2">
        <f>D12/'Output-Calculation-sheet'!D11*'Output-Calculation-sheet'!D20</f>
        <v>10280.259443321303</v>
      </c>
      <c r="E34" s="2">
        <f>E12/'Output-Calculation-sheet'!E11*'Output-Calculation-sheet'!E20</f>
        <v>9986.2800678954536</v>
      </c>
      <c r="F34" s="2">
        <f>F12/'Output-Calculation-sheet'!F11*'Output-Calculation-sheet'!F20</f>
        <v>6541.8268882885786</v>
      </c>
      <c r="G34" s="2">
        <f>G12/'Output-Calculation-sheet'!G11*'Output-Calculation-sheet'!G20</f>
        <v>3471.1300708293479</v>
      </c>
      <c r="H34" s="2">
        <f>H12/'Output-Calculation-sheet'!H11*'Output-Calculation-sheet'!H20</f>
        <v>0</v>
      </c>
      <c r="I34" s="2">
        <f>I12/'Output-Calculation-sheet'!I11*'Output-Calculation-sheet'!I20</f>
        <v>3993.2866166924814</v>
      </c>
      <c r="J34" s="2">
        <f>J12/'Output-Calculation-sheet'!J11*'Output-Calculation-sheet'!J20</f>
        <v>3388.4100082382429</v>
      </c>
      <c r="K34" s="2">
        <f>K12/'Output-Calculation-sheet'!K11*'Output-Calculation-sheet'!K20</f>
        <v>4772.7038632892863</v>
      </c>
      <c r="L34" s="2">
        <f>L12/'Output-Calculation-sheet'!L11*'Output-Calculation-sheet'!L20</f>
        <v>3483.5283793998788</v>
      </c>
      <c r="M34" s="2">
        <f>M12/'Output-Calculation-sheet'!M11*'Output-Calculation-sheet'!M20</f>
        <v>0</v>
      </c>
      <c r="N34" s="2">
        <f>N12/'Output-Calculation-sheet'!N11*'Output-Calculation-sheet'!N20</f>
        <v>1841.6547236548702</v>
      </c>
      <c r="O34" s="2">
        <f>O12/'Output-Calculation-sheet'!O11*'Output-Calculation-sheet'!O20</f>
        <v>0</v>
      </c>
      <c r="P34" s="2">
        <f>P12/'Output-Calculation-sheet'!P11*'Output-Calculation-sheet'!P20</f>
        <v>4156.6853931136111</v>
      </c>
      <c r="Q34" s="2">
        <f>Q12/'Output-Calculation-sheet'!Q11*'Output-Calculation-sheet'!Q20</f>
        <v>3081.2554771657524</v>
      </c>
      <c r="R34" s="2">
        <f>R12/'Output-Calculation-sheet'!R11*'Output-Calculation-sheet'!R20</f>
        <v>3498.5350274132797</v>
      </c>
      <c r="S34" s="2">
        <f>S12/'Output-Calculation-sheet'!S11*'Output-Calculation-sheet'!S20</f>
        <v>1280.5248158279928</v>
      </c>
      <c r="T34" s="2">
        <f>T12/'Output-Calculation-sheet'!T11*'Output-Calculation-sheet'!T20</f>
        <v>1045.1181492937678</v>
      </c>
      <c r="U34" s="2">
        <f>U12/'Output-Calculation-sheet'!U11*'Output-Calculation-sheet'!U20</f>
        <v>956.4687286273122</v>
      </c>
      <c r="V34" s="2">
        <f>V12/'Output-Calculation-sheet'!V11*'Output-Calculation-sheet'!V20</f>
        <v>924.39525447136646</v>
      </c>
      <c r="W34" s="2">
        <f>W12/'Output-Calculation-sheet'!W11*'Output-Calculation-sheet'!W20</f>
        <v>561.24687338659646</v>
      </c>
      <c r="X34" s="2">
        <f>X12/'Output-Calculation-sheet'!X11*'Output-Calculation-sheet'!X20</f>
        <v>118.7496992793773</v>
      </c>
      <c r="Y34" s="2">
        <f>Y12/'Output-Calculation-sheet'!Y11*'Output-Calculation-sheet'!Y20</f>
        <v>304.64759895874681</v>
      </c>
      <c r="AA34" s="2">
        <f t="shared" si="1"/>
        <v>93.441405751741939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1.1920015659004468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0.23157383669703566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1.4235754025974825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1.2636200997680918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0.24548739112581591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1.5384701696184864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2.6523266827311565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0.51527572082507866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12.699451129721986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31041.998067902787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6716.2876282411798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4621.4631146049296</v>
      </c>
      <c r="N52" s="2">
        <f>N8/'Output-Calculation-sheet'!N7*'Output-Calculation-sheet'!N43</f>
        <v>147.71241202064053</v>
      </c>
      <c r="O52" s="2">
        <f>O8/'Output-Calculation-sheet'!O7*'Output-Calculation-sheet'!O43</f>
        <v>6289.0804865968075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597.66630076145839</v>
      </c>
      <c r="Y52" s="2">
        <f>Y8/'Output-Calculation-sheet'!Y7*'Output-Calculation-sheet'!Y43</f>
        <v>0</v>
      </c>
      <c r="AA52" s="2">
        <f t="shared" si="3"/>
        <v>49.414208010127801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56165.535880490177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13154.403835232226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8989.6616010258076</v>
      </c>
      <c r="N53" s="2">
        <f>N9/'Output-Calculation-sheet'!N8*'Output-Calculation-sheet'!N44</f>
        <v>3201.8173995050506</v>
      </c>
      <c r="O53" s="2">
        <f>O9/'Output-Calculation-sheet'!O8*'Output-Calculation-sheet'!O44</f>
        <v>11138.380598588774</v>
      </c>
      <c r="P53" s="2">
        <f>P9/'Output-Calculation-sheet'!P8*'Output-Calculation-sheet'!P44</f>
        <v>149.76720810721793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999.00826806084433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1124.1638884429265</v>
      </c>
      <c r="Y53" s="2">
        <f>Y9/'Output-Calculation-sheet'!Y8*'Output-Calculation-sheet'!Y44</f>
        <v>0</v>
      </c>
      <c r="AA53" s="2">
        <f t="shared" si="3"/>
        <v>94.922738679453033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67860.440023630697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12533.426073865876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1380.6807864839125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498.98070108290574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161.09687349550975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72935.265407667044</v>
      </c>
      <c r="D55" s="2">
        <f>D11/'Output-Calculation-sheet'!D10*'Output-Calculation-sheet'!D46</f>
        <v>7855.1191127896909</v>
      </c>
      <c r="E55" s="2">
        <f>E11/'Output-Calculation-sheet'!E10*'Output-Calculation-sheet'!E46</f>
        <v>9598.1888875884943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26170.956430715829</v>
      </c>
      <c r="I55" s="2">
        <f>I11/'Output-Calculation-sheet'!I10*'Output-Calculation-sheet'!I46</f>
        <v>1900.8321467462752</v>
      </c>
      <c r="J55" s="2">
        <f>J11/'Output-Calculation-sheet'!J10*'Output-Calculation-sheet'!J46</f>
        <v>1348.1931539108355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17937.742836083133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13394.136603531359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5377.9575857034197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6719.7315561806417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1548.1778072962625</v>
      </c>
      <c r="V55" s="2">
        <f>V11/'Output-Calculation-sheet'!V10*'Output-Calculation-sheet'!V46</f>
        <v>621.7632819697975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1851.9092985063141</v>
      </c>
      <c r="Y55" s="2">
        <f>Y11/'Output-Calculation-sheet'!Y10*'Output-Calculation-sheet'!Y46</f>
        <v>474.74439910742313</v>
      </c>
      <c r="AA55" s="2">
        <f t="shared" si="3"/>
        <v>285.33544991399719</v>
      </c>
    </row>
    <row r="56" spans="1:27" x14ac:dyDescent="0.25">
      <c r="A56" s="2">
        <v>2035</v>
      </c>
      <c r="B56" s="2">
        <f>B12/'Output-Calculation-sheet'!B11*'Output-Calculation-sheet'!B47</f>
        <v>115197.18921332741</v>
      </c>
      <c r="C56" s="2">
        <f>C12/'Output-Calculation-sheet'!C11*'Output-Calculation-sheet'!C47</f>
        <v>77708.518599316347</v>
      </c>
      <c r="D56" s="2">
        <f>D12/'Output-Calculation-sheet'!D11*'Output-Calculation-sheet'!D47</f>
        <v>16796.967645285957</v>
      </c>
      <c r="E56" s="2">
        <f>E12/'Output-Calculation-sheet'!E11*'Output-Calculation-sheet'!E47</f>
        <v>30383.554799891856</v>
      </c>
      <c r="F56" s="2">
        <f>F12/'Output-Calculation-sheet'!F11*'Output-Calculation-sheet'!F47</f>
        <v>3399.4754238083128</v>
      </c>
      <c r="G56" s="2">
        <f>G12/'Output-Calculation-sheet'!G11*'Output-Calculation-sheet'!G47</f>
        <v>7725.8621825468708</v>
      </c>
      <c r="H56" s="2">
        <f>H12/'Output-Calculation-sheet'!H11*'Output-Calculation-sheet'!H47</f>
        <v>27716.965706308172</v>
      </c>
      <c r="I56" s="2">
        <f>I12/'Output-Calculation-sheet'!I11*'Output-Calculation-sheet'!I47</f>
        <v>4987.2859563700813</v>
      </c>
      <c r="J56" s="2">
        <f>J12/'Output-Calculation-sheet'!J11*'Output-Calculation-sheet'!J47</f>
        <v>4902.8705144695141</v>
      </c>
      <c r="K56" s="2">
        <f>K12/'Output-Calculation-sheet'!K11*'Output-Calculation-sheet'!K47</f>
        <v>6797.0476512760642</v>
      </c>
      <c r="L56" s="2">
        <f>L12/'Output-Calculation-sheet'!L11*'Output-Calculation-sheet'!L47</f>
        <v>6340.1131144346764</v>
      </c>
      <c r="M56" s="2">
        <f>M12/'Output-Calculation-sheet'!M11*'Output-Calculation-sheet'!M47</f>
        <v>19712.64564995277</v>
      </c>
      <c r="N56" s="2">
        <f>N12/'Output-Calculation-sheet'!N11*'Output-Calculation-sheet'!N47</f>
        <v>16347.122604603028</v>
      </c>
      <c r="O56" s="2">
        <f>O12/'Output-Calculation-sheet'!O11*'Output-Calculation-sheet'!O47</f>
        <v>14283.081384274108</v>
      </c>
      <c r="P56" s="2">
        <f>P12/'Output-Calculation-sheet'!P11*'Output-Calculation-sheet'!P47</f>
        <v>8009.5450279060915</v>
      </c>
      <c r="Q56" s="2">
        <f>Q12/'Output-Calculation-sheet'!Q11*'Output-Calculation-sheet'!Q47</f>
        <v>7553.8129660917102</v>
      </c>
      <c r="R56" s="2">
        <f>R12/'Output-Calculation-sheet'!R11*'Output-Calculation-sheet'!R47</f>
        <v>6144.3148987127488</v>
      </c>
      <c r="S56" s="2">
        <f>S12/'Output-Calculation-sheet'!S11*'Output-Calculation-sheet'!S47</f>
        <v>8176.8117576180384</v>
      </c>
      <c r="T56" s="2">
        <f>T12/'Output-Calculation-sheet'!T11*'Output-Calculation-sheet'!T47</f>
        <v>2203.1168435764343</v>
      </c>
      <c r="U56" s="2">
        <f>U12/'Output-Calculation-sheet'!U11*'Output-Calculation-sheet'!U47</f>
        <v>2091.936842765002</v>
      </c>
      <c r="V56" s="2">
        <f>V12/'Output-Calculation-sheet'!V11*'Output-Calculation-sheet'!V47</f>
        <v>1284.1940658581077</v>
      </c>
      <c r="W56" s="2">
        <f>W12/'Output-Calculation-sheet'!W11*'Output-Calculation-sheet'!W47</f>
        <v>745.86404617295898</v>
      </c>
      <c r="X56" s="2">
        <f>X12/'Output-Calculation-sheet'!X11*'Output-Calculation-sheet'!X47</f>
        <v>1986.8206002809543</v>
      </c>
      <c r="Y56" s="2">
        <f>Y12/'Output-Calculation-sheet'!Y11*'Output-Calculation-sheet'!Y47</f>
        <v>1116.4794783136988</v>
      </c>
      <c r="AA56" s="2">
        <f t="shared" si="3"/>
        <v>391.61159697316089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7.2239171731386547</v>
      </c>
      <c r="C63" s="2">
        <f>C8*'Output-Calculation-sheet'!C52/10^9</f>
        <v>4.5554801863527574</v>
      </c>
      <c r="D63" s="2">
        <f>D8*'Output-Calculation-sheet'!D52/10^9</f>
        <v>2.4772192412887084</v>
      </c>
      <c r="E63" s="2">
        <f>E8*'Output-Calculation-sheet'!E52/10^9</f>
        <v>2.4630327902595628</v>
      </c>
      <c r="F63" s="2">
        <f>F8*'Output-Calculation-sheet'!F52/10^9</f>
        <v>1.0430950135666324</v>
      </c>
      <c r="G63" s="2">
        <f>G8*'Output-Calculation-sheet'!G52/10^9</f>
        <v>0.74993728177182717</v>
      </c>
      <c r="H63" s="2">
        <f>H8*'Output-Calculation-sheet'!H52/10^9</f>
        <v>1.3099903435704257</v>
      </c>
      <c r="I63" s="2">
        <f>I8*'Output-Calculation-sheet'!I52/10^9</f>
        <v>0.69761587450120766</v>
      </c>
      <c r="J63" s="2">
        <f>J8*'Output-Calculation-sheet'!J52/10^9</f>
        <v>0.95996766665469979</v>
      </c>
      <c r="K63" s="2">
        <f>K8*'Output-Calculation-sheet'!K52/10^9</f>
        <v>0.84341479304227607</v>
      </c>
      <c r="L63" s="2">
        <f>L8*'Output-Calculation-sheet'!L52/10^9</f>
        <v>1.1344318786937946</v>
      </c>
      <c r="M63" s="2">
        <f>M8*'Output-Calculation-sheet'!M52/10^9</f>
        <v>1.0632712488083684</v>
      </c>
      <c r="N63" s="2">
        <f>N8*'Output-Calculation-sheet'!N52/10^9</f>
        <v>0.88740447603503914</v>
      </c>
      <c r="O63" s="2">
        <f>O8*'Output-Calculation-sheet'!O52/10^9</f>
        <v>0.94629002142675345</v>
      </c>
      <c r="P63" s="2">
        <f>P8*'Output-Calculation-sheet'!P52/10^9</f>
        <v>0.58277794165549868</v>
      </c>
      <c r="Q63" s="2">
        <f>Q8*'Output-Calculation-sheet'!Q52/10^9</f>
        <v>0.65953025230346785</v>
      </c>
      <c r="R63" s="2">
        <f>R8*'Output-Calculation-sheet'!R52/10^9</f>
        <v>0.59212791225146999</v>
      </c>
      <c r="S63" s="2">
        <f>S8*'Output-Calculation-sheet'!S52/10^9</f>
        <v>0.43879037520876324</v>
      </c>
      <c r="T63" s="2">
        <f>T8*'Output-Calculation-sheet'!T52/10^9</f>
        <v>0.2251194925848011</v>
      </c>
      <c r="U63" s="2">
        <f>U8*'Output-Calculation-sheet'!U52/10^9</f>
        <v>0.1546095644134447</v>
      </c>
      <c r="V63" s="2">
        <f>V8*'Output-Calculation-sheet'!V52/10^9</f>
        <v>0.27439564973898473</v>
      </c>
      <c r="W63" s="2">
        <f>W8*'Output-Calculation-sheet'!W52/10^9</f>
        <v>9.9318561543957767E-2</v>
      </c>
      <c r="X63" s="2">
        <f>X8*'Output-Calculation-sheet'!X52/10^9</f>
        <v>0.11431337302530219</v>
      </c>
      <c r="Y63" s="2">
        <f>Y8*'Output-Calculation-sheet'!Y52/10^9</f>
        <v>6.4802536012847745E-2</v>
      </c>
      <c r="AA63" s="2">
        <f t="shared" si="4"/>
        <v>29.56085364784925</v>
      </c>
    </row>
    <row r="64" spans="1:27" x14ac:dyDescent="0.25">
      <c r="A64" s="2">
        <v>2032</v>
      </c>
      <c r="B64" s="2">
        <f>B9*'Output-Calculation-sheet'!B53/10^9</f>
        <v>7.5652129345800621</v>
      </c>
      <c r="C64" s="2">
        <f>C9*'Output-Calculation-sheet'!C53/10^9</f>
        <v>5.1075376348687564</v>
      </c>
      <c r="D64" s="2">
        <f>D9*'Output-Calculation-sheet'!D53/10^9</f>
        <v>2.2388474105573244</v>
      </c>
      <c r="E64" s="2">
        <f>E9*'Output-Calculation-sheet'!E53/10^9</f>
        <v>2.2926889032907702</v>
      </c>
      <c r="F64" s="2">
        <f>F9*'Output-Calculation-sheet'!F53/10^9</f>
        <v>0.96704261493775701</v>
      </c>
      <c r="G64" s="2">
        <f>G9*'Output-Calculation-sheet'!G53/10^9</f>
        <v>0.6883106192357763</v>
      </c>
      <c r="H64" s="2">
        <f>H9*'Output-Calculation-sheet'!H53/10^9</f>
        <v>1.4143319348608947</v>
      </c>
      <c r="I64" s="2">
        <f>I9*'Output-Calculation-sheet'!I53/10^9</f>
        <v>0.64345804100732784</v>
      </c>
      <c r="J64" s="2">
        <f>J9*'Output-Calculation-sheet'!J53/10^9</f>
        <v>0.85180853720247429</v>
      </c>
      <c r="K64" s="2">
        <f>K9*'Output-Calculation-sheet'!K53/10^9</f>
        <v>0.79036040096233107</v>
      </c>
      <c r="L64" s="2">
        <f>L9*'Output-Calculation-sheet'!L53/10^9</f>
        <v>1.0167921087214811</v>
      </c>
      <c r="M64" s="2">
        <f>M9*'Output-Calculation-sheet'!M53/10^9</f>
        <v>1.1084782573495249</v>
      </c>
      <c r="N64" s="2">
        <f>N9*'Output-Calculation-sheet'!N53/10^9</f>
        <v>0.9331326306044132</v>
      </c>
      <c r="O64" s="2">
        <f>O9*'Output-Calculation-sheet'!O53/10^9</f>
        <v>1.056368489492935</v>
      </c>
      <c r="P64" s="2">
        <f>P9*'Output-Calculation-sheet'!P53/10^9</f>
        <v>0.60258596509169415</v>
      </c>
      <c r="Q64" s="2">
        <f>Q9*'Output-Calculation-sheet'!Q53/10^9</f>
        <v>0.6659586151368041</v>
      </c>
      <c r="R64" s="2">
        <f>R9*'Output-Calculation-sheet'!R53/10^9</f>
        <v>0.5708830225507675</v>
      </c>
      <c r="S64" s="2">
        <f>S9*'Output-Calculation-sheet'!S53/10^9</f>
        <v>0.47167621027662338</v>
      </c>
      <c r="T64" s="2">
        <f>T9*'Output-Calculation-sheet'!T53/10^9</f>
        <v>0.20521758730712944</v>
      </c>
      <c r="U64" s="2">
        <f>U9*'Output-Calculation-sheet'!U53/10^9</f>
        <v>0.15446292510500098</v>
      </c>
      <c r="V64" s="2">
        <f>V9*'Output-Calculation-sheet'!V53/10^9</f>
        <v>0.24357948349722294</v>
      </c>
      <c r="W64" s="2">
        <f>W9*'Output-Calculation-sheet'!W53/10^9</f>
        <v>9.0509745728252919E-2</v>
      </c>
      <c r="X64" s="2">
        <f>X9*'Output-Calculation-sheet'!X53/10^9</f>
        <v>0.12285481786222691</v>
      </c>
      <c r="Y64" s="2">
        <f>Y9*'Output-Calculation-sheet'!Y53/10^9</f>
        <v>6.3414071165226377E-2</v>
      </c>
      <c r="AA64" s="2">
        <f t="shared" si="4"/>
        <v>29.865512961392774</v>
      </c>
    </row>
    <row r="65" spans="1:27" x14ac:dyDescent="0.25">
      <c r="A65" s="2">
        <v>2033</v>
      </c>
      <c r="B65" s="2">
        <f>B10*'Output-Calculation-sheet'!B54/10^9</f>
        <v>8.0839959050624941</v>
      </c>
      <c r="C65" s="2">
        <f>C10*'Output-Calculation-sheet'!C54/10^9</f>
        <v>5.6558001737461483</v>
      </c>
      <c r="D65" s="2">
        <f>D10*'Output-Calculation-sheet'!D54/10^9</f>
        <v>1.9098419902703123</v>
      </c>
      <c r="E65" s="2">
        <f>E10*'Output-Calculation-sheet'!E54/10^9</f>
        <v>2.1504602410216025</v>
      </c>
      <c r="F65" s="2">
        <f>F10*'Output-Calculation-sheet'!F54/10^9</f>
        <v>0.87305005699135074</v>
      </c>
      <c r="G65" s="2">
        <f>G10*'Output-Calculation-sheet'!G54/10^9</f>
        <v>0.59942783561365665</v>
      </c>
      <c r="H65" s="2">
        <f>H10*'Output-Calculation-sheet'!H54/10^9</f>
        <v>1.481351125530431</v>
      </c>
      <c r="I65" s="2">
        <f>I10*'Output-Calculation-sheet'!I54/10^9</f>
        <v>0.58367900601518874</v>
      </c>
      <c r="J65" s="2">
        <f>J10*'Output-Calculation-sheet'!J54/10^9</f>
        <v>0.69762659453080611</v>
      </c>
      <c r="K65" s="2">
        <f>K10*'Output-Calculation-sheet'!K54/10^9</f>
        <v>0.74427516481861522</v>
      </c>
      <c r="L65" s="2">
        <f>L10*'Output-Calculation-sheet'!L54/10^9</f>
        <v>0.87914549992308633</v>
      </c>
      <c r="M65" s="2">
        <f>M10*'Output-Calculation-sheet'!M54/10^9</f>
        <v>1.1185277205967741</v>
      </c>
      <c r="N65" s="2">
        <f>N10*'Output-Calculation-sheet'!N54/10^9</f>
        <v>0.96586446281905702</v>
      </c>
      <c r="O65" s="2">
        <f>O10*'Output-Calculation-sheet'!O54/10^9</f>
        <v>1.1569285337501716</v>
      </c>
      <c r="P65" s="2">
        <f>P10*'Output-Calculation-sheet'!P54/10^9</f>
        <v>0.62976818396799061</v>
      </c>
      <c r="Q65" s="2">
        <f>Q10*'Output-Calculation-sheet'!Q54/10^9</f>
        <v>0.68718334150530092</v>
      </c>
      <c r="R65" s="2">
        <f>R10*'Output-Calculation-sheet'!R54/10^9</f>
        <v>0.55442001265848906</v>
      </c>
      <c r="S65" s="2">
        <f>S10*'Output-Calculation-sheet'!S54/10^9</f>
        <v>0.50361022029398728</v>
      </c>
      <c r="T65" s="2">
        <f>T10*'Output-Calculation-sheet'!T54/10^9</f>
        <v>0.18536669238784156</v>
      </c>
      <c r="U65" s="2">
        <f>U10*'Output-Calculation-sheet'!U54/10^9</f>
        <v>0.16005881139348199</v>
      </c>
      <c r="V65" s="2">
        <f>V10*'Output-Calculation-sheet'!V54/10^9</f>
        <v>0.20513622535955373</v>
      </c>
      <c r="W65" s="2">
        <f>W10*'Output-Calculation-sheet'!W54/10^9</f>
        <v>7.8103076512897815E-2</v>
      </c>
      <c r="X65" s="2">
        <f>X10*'Output-Calculation-sheet'!X54/10^9</f>
        <v>0.12864462146965169</v>
      </c>
      <c r="Y65" s="2">
        <f>Y10*'Output-Calculation-sheet'!Y54/10^9</f>
        <v>6.4283018366135328E-2</v>
      </c>
      <c r="AA65" s="2">
        <f t="shared" si="4"/>
        <v>30.096548514605015</v>
      </c>
    </row>
    <row r="66" spans="1:27" x14ac:dyDescent="0.25">
      <c r="A66" s="2">
        <v>2034</v>
      </c>
      <c r="B66" s="2">
        <f>B11*'Output-Calculation-sheet'!B55/10^9</f>
        <v>8.7908773117948797</v>
      </c>
      <c r="C66" s="2">
        <f>C11*'Output-Calculation-sheet'!C55/10^9</f>
        <v>6.2234214512910766</v>
      </c>
      <c r="D66" s="2">
        <f>D11*'Output-Calculation-sheet'!D55/10^9</f>
        <v>1.8388961898033027</v>
      </c>
      <c r="E66" s="2">
        <f>E11*'Output-Calculation-sheet'!E55/10^9</f>
        <v>2.2266058408382321</v>
      </c>
      <c r="F66" s="2">
        <f>F11*'Output-Calculation-sheet'!F55/10^9</f>
        <v>0.85572386546303492</v>
      </c>
      <c r="G66" s="2">
        <f>G11*'Output-Calculation-sheet'!G55/10^9</f>
        <v>0.61165953129723183</v>
      </c>
      <c r="H66" s="2">
        <f>H11*'Output-Calculation-sheet'!H55/10^9</f>
        <v>1.5707774558273349</v>
      </c>
      <c r="I66" s="2">
        <f>I11*'Output-Calculation-sheet'!I55/10^9</f>
        <v>0.59818445739954207</v>
      </c>
      <c r="J66" s="2">
        <f>J11*'Output-Calculation-sheet'!J55/10^9</f>
        <v>0.61507211719018484</v>
      </c>
      <c r="K66" s="2">
        <f>K11*'Output-Calculation-sheet'!K55/10^9</f>
        <v>0.73570228006203076</v>
      </c>
      <c r="L66" s="2">
        <f>L11*'Output-Calculation-sheet'!L55/10^9</f>
        <v>0.77909949518105426</v>
      </c>
      <c r="M66" s="2">
        <f>M11*'Output-Calculation-sheet'!M55/10^9</f>
        <v>1.1328892035396132</v>
      </c>
      <c r="N66" s="2">
        <f>N11*'Output-Calculation-sheet'!N55/10^9</f>
        <v>0.98984305384219995</v>
      </c>
      <c r="O66" s="2">
        <f>O11*'Output-Calculation-sheet'!O55/10^9</f>
        <v>1.2492735906229278</v>
      </c>
      <c r="P66" s="2">
        <f>P11*'Output-Calculation-sheet'!P55/10^9</f>
        <v>0.68041912271434457</v>
      </c>
      <c r="Q66" s="2">
        <f>Q11*'Output-Calculation-sheet'!Q55/10^9</f>
        <v>0.74280443311399036</v>
      </c>
      <c r="R66" s="2">
        <f>R11*'Output-Calculation-sheet'!R55/10^9</f>
        <v>0.55109807888512929</v>
      </c>
      <c r="S66" s="2">
        <f>S11*'Output-Calculation-sheet'!S55/10^9</f>
        <v>0.54225816111568892</v>
      </c>
      <c r="T66" s="2">
        <f>T11*'Output-Calculation-sheet'!T55/10^9</f>
        <v>0.17273890123792399</v>
      </c>
      <c r="U66" s="2">
        <f>U11*'Output-Calculation-sheet'!U55/10^9</f>
        <v>0.17636723704991883</v>
      </c>
      <c r="V66" s="2">
        <f>V11*'Output-Calculation-sheet'!V55/10^9</f>
        <v>0.16386842904206361</v>
      </c>
      <c r="W66" s="2">
        <f>W11*'Output-Calculation-sheet'!W55/10^9</f>
        <v>7.4199539506602463E-2</v>
      </c>
      <c r="X66" s="2">
        <f>X11*'Output-Calculation-sheet'!X55/10^9</f>
        <v>0.14074686709736367</v>
      </c>
      <c r="Y66" s="2">
        <f>Y11*'Output-Calculation-sheet'!Y55/10^9</f>
        <v>7.2810385663940061E-2</v>
      </c>
      <c r="AA66" s="2">
        <f t="shared" si="4"/>
        <v>31.535336999579609</v>
      </c>
    </row>
    <row r="67" spans="1:27" x14ac:dyDescent="0.25">
      <c r="A67" s="2">
        <v>2035</v>
      </c>
      <c r="B67" s="2">
        <f>B12*'Output-Calculation-sheet'!B56/10^9</f>
        <v>10.088240341232332</v>
      </c>
      <c r="C67" s="2">
        <f>C12*'Output-Calculation-sheet'!C56/10^9</f>
        <v>6.7704640391439836</v>
      </c>
      <c r="D67" s="2">
        <f>D12*'Output-Calculation-sheet'!D56/10^9</f>
        <v>2.2138079718903341</v>
      </c>
      <c r="E67" s="2">
        <f>E12*'Output-Calculation-sheet'!E56/10^9</f>
        <v>2.8176328487390085</v>
      </c>
      <c r="F67" s="2">
        <f>F12*'Output-Calculation-sheet'!F56/10^9</f>
        <v>1.0955073441509613</v>
      </c>
      <c r="G67" s="2">
        <f>G12*'Output-Calculation-sheet'!G56/10^9</f>
        <v>0.80536220372268597</v>
      </c>
      <c r="H67" s="2">
        <f>H12*'Output-Calculation-sheet'!H56/10^9</f>
        <v>1.7795638101250635</v>
      </c>
      <c r="I67" s="2">
        <f>I12*'Output-Calculation-sheet'!I56/10^9</f>
        <v>0.75980455252110646</v>
      </c>
      <c r="J67" s="2">
        <f>J12*'Output-Calculation-sheet'!J56/10^9</f>
        <v>0.70607211238455958</v>
      </c>
      <c r="K67" s="2">
        <f>K12*'Output-Calculation-sheet'!K56/10^9</f>
        <v>0.86707100780983015</v>
      </c>
      <c r="L67" s="2">
        <f>L12*'Output-Calculation-sheet'!L56/10^9</f>
        <v>0.83102689559738308</v>
      </c>
      <c r="M67" s="2">
        <f>M12*'Output-Calculation-sheet'!M56/10^9</f>
        <v>1.2792370846374173</v>
      </c>
      <c r="N67" s="2">
        <f>N12*'Output-Calculation-sheet'!N56/10^9</f>
        <v>1.0930639985991277</v>
      </c>
      <c r="O67" s="2">
        <f>O12*'Output-Calculation-sheet'!O56/10^9</f>
        <v>1.3336723101856607</v>
      </c>
      <c r="P67" s="2">
        <f>P12*'Output-Calculation-sheet'!P56/10^9</f>
        <v>0.83724741414115822</v>
      </c>
      <c r="Q67" s="2">
        <f>Q12*'Output-Calculation-sheet'!Q56/10^9</f>
        <v>0.84141485273003069</v>
      </c>
      <c r="R67" s="2">
        <f>R12*'Output-Calculation-sheet'!R56/10^9</f>
        <v>0.63925371855926361</v>
      </c>
      <c r="S67" s="2">
        <f>S12*'Output-Calculation-sheet'!S56/10^9</f>
        <v>0.60926943375682574</v>
      </c>
      <c r="T67" s="2">
        <f>T12*'Output-Calculation-sheet'!T56/10^9</f>
        <v>0.19600101914148135</v>
      </c>
      <c r="U67" s="2">
        <f>U12*'Output-Calculation-sheet'!U56/10^9</f>
        <v>0.21054837100912355</v>
      </c>
      <c r="V67" s="2">
        <f>V12*'Output-Calculation-sheet'!V56/10^9</f>
        <v>0.15055550884491692</v>
      </c>
      <c r="W67" s="2">
        <f>W12*'Output-Calculation-sheet'!W56/10^9</f>
        <v>9.9846746181996987E-2</v>
      </c>
      <c r="X67" s="2">
        <f>X12*'Output-Calculation-sheet'!X56/10^9</f>
        <v>0.15943783677706619</v>
      </c>
      <c r="Y67" s="2">
        <f>Y12*'Output-Calculation-sheet'!Y56/10^9</f>
        <v>9.4483256561494131E-2</v>
      </c>
      <c r="AA67" s="2">
        <f t="shared" si="4"/>
        <v>36.278584678442819</v>
      </c>
    </row>
    <row r="68" spans="1:27" x14ac:dyDescent="0.25">
      <c r="B68" s="2">
        <f>SUM(B60:B67)</f>
        <v>59.386300865038152</v>
      </c>
      <c r="C68" s="2">
        <f t="shared" ref="C68:Y68" si="5">SUM(C60:C67)</f>
        <v>37.62810683537132</v>
      </c>
      <c r="D68" s="2">
        <f t="shared" si="5"/>
        <v>17.605674184329683</v>
      </c>
      <c r="E68" s="2">
        <f t="shared" si="5"/>
        <v>18.77927159123097</v>
      </c>
      <c r="F68" s="2">
        <f t="shared" si="5"/>
        <v>7.6639600967843746</v>
      </c>
      <c r="G68" s="2">
        <f t="shared" si="5"/>
        <v>5.5139414549321515</v>
      </c>
      <c r="H68" s="2">
        <f t="shared" si="5"/>
        <v>10.460666399590428</v>
      </c>
      <c r="I68" s="2">
        <f t="shared" si="5"/>
        <v>5.1869448768727411</v>
      </c>
      <c r="J68" s="2">
        <f t="shared" si="5"/>
        <v>6.571555309207664</v>
      </c>
      <c r="K68" s="2">
        <f t="shared" si="5"/>
        <v>6.2880721318723971</v>
      </c>
      <c r="L68" s="2">
        <f t="shared" si="5"/>
        <v>7.8915812601862232</v>
      </c>
      <c r="M68" s="2">
        <f t="shared" si="5"/>
        <v>8.1941053113640265</v>
      </c>
      <c r="N68" s="2">
        <f t="shared" si="5"/>
        <v>7.0322755454635182</v>
      </c>
      <c r="O68" s="2">
        <f t="shared" si="5"/>
        <v>7.6893572001856345</v>
      </c>
      <c r="P68" s="2">
        <f t="shared" si="5"/>
        <v>4.7970106181135206</v>
      </c>
      <c r="Q68" s="2">
        <f t="shared" si="5"/>
        <v>5.2683630541771933</v>
      </c>
      <c r="R68" s="2">
        <f t="shared" si="5"/>
        <v>4.5114565336554984</v>
      </c>
      <c r="S68" s="2">
        <f t="shared" si="5"/>
        <v>3.6133813133425261</v>
      </c>
      <c r="T68" s="2">
        <f t="shared" si="5"/>
        <v>1.6124021095609173</v>
      </c>
      <c r="U68" s="2">
        <f t="shared" si="5"/>
        <v>1.266555065759049</v>
      </c>
      <c r="V68" s="2">
        <f t="shared" si="5"/>
        <v>1.8324203509256161</v>
      </c>
      <c r="W68" s="2">
        <f t="shared" si="5"/>
        <v>0.71701787728962474</v>
      </c>
      <c r="X68" s="2">
        <f t="shared" si="5"/>
        <v>0.91956426299334626</v>
      </c>
      <c r="Y68" s="2">
        <f t="shared" si="5"/>
        <v>0.53313912143360342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5988.0014272984481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1474.716570079054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968.76011557248955</v>
      </c>
      <c r="N74" s="2">
        <f>N8/'Output-Calculation-sheet'!N7*'Output-Calculation-sheet'!N61</f>
        <v>40.602449254173564</v>
      </c>
      <c r="O74" s="2">
        <f>O8/'Output-Calculation-sheet'!O7*'Output-Calculation-sheet'!O61</f>
        <v>1197.2341603580617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120.38235848302864</v>
      </c>
      <c r="Y74" s="2">
        <f>Y8/'Output-Calculation-sheet'!Y7*'Output-Calculation-sheet'!Y61</f>
        <v>0</v>
      </c>
      <c r="AA74" s="2">
        <f t="shared" si="6"/>
        <v>9.7896970810452544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10088.478863414008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2503.3519681335788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1698.6130543057548</v>
      </c>
      <c r="N75" s="2">
        <f>N9/'Output-Calculation-sheet'!N8*'Output-Calculation-sheet'!N62</f>
        <v>656.57521356939014</v>
      </c>
      <c r="O75" s="2">
        <f>O9/'Output-Calculation-sheet'!O8*'Output-Calculation-sheet'!O62</f>
        <v>1994.167251073656</v>
      </c>
      <c r="P75" s="2">
        <f>P9/'Output-Calculation-sheet'!P8*'Output-Calculation-sheet'!P62</f>
        <v>43.95667557946846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220.00253010237594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204.6362799825352</v>
      </c>
      <c r="Y75" s="2">
        <f>Y9/'Output-Calculation-sheet'!Y8*'Output-Calculation-sheet'!Y62</f>
        <v>0</v>
      </c>
      <c r="AA75" s="2">
        <f t="shared" si="6"/>
        <v>17.409781836160768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12555.227019780365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3694.7800238724058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2515.6154137613562</v>
      </c>
      <c r="N76" s="2">
        <f>N10/'Output-Calculation-sheet'!N9*'Output-Calculation-sheet'!N63</f>
        <v>1439.6010187443658</v>
      </c>
      <c r="O76" s="2">
        <f>O10/'Output-Calculation-sheet'!O9*'Output-Calculation-sheet'!O63</f>
        <v>2222.7838163803885</v>
      </c>
      <c r="P76" s="2">
        <f>P10/'Output-Calculation-sheet'!P9*'Output-Calculation-sheet'!P63</f>
        <v>499.34285236822126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375.65865453621188</v>
      </c>
      <c r="S76" s="2">
        <f>S10/'Output-Calculation-sheet'!S9*'Output-Calculation-sheet'!S63</f>
        <v>638.35471393303305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133.05137840460651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296.27171400485838</v>
      </c>
      <c r="Y76" s="2">
        <f>Y10/'Output-Calculation-sheet'!Y9*'Output-Calculation-sheet'!Y63</f>
        <v>5.6202394244599558</v>
      </c>
      <c r="AA76" s="2">
        <f t="shared" si="6"/>
        <v>30.388284118847302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13309.91002982043</v>
      </c>
      <c r="D77" s="2">
        <f>D11/'Output-Calculation-sheet'!D10*'Output-Calculation-sheet'!D64</f>
        <v>1817.5763737106247</v>
      </c>
      <c r="E77" s="2">
        <f>E11/'Output-Calculation-sheet'!E10*'Output-Calculation-sheet'!E64</f>
        <v>2209.3001933772803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943.99822143957044</v>
      </c>
      <c r="H77" s="2">
        <f>H11/'Output-Calculation-sheet'!H10*'Output-Calculation-sheet'!H64</f>
        <v>5016.2592147963833</v>
      </c>
      <c r="I77" s="2">
        <f>I11/'Output-Calculation-sheet'!I10*'Output-Calculation-sheet'!I64</f>
        <v>562.93144025890933</v>
      </c>
      <c r="J77" s="2">
        <f>J11/'Output-Calculation-sheet'!J10*'Output-Calculation-sheet'!J64</f>
        <v>380.78618265690926</v>
      </c>
      <c r="K77" s="2">
        <f>K11/'Output-Calculation-sheet'!K10*'Output-Calculation-sheet'!K64</f>
        <v>856.39149516529551</v>
      </c>
      <c r="L77" s="2">
        <f>L11/'Output-Calculation-sheet'!L10*'Output-Calculation-sheet'!L64</f>
        <v>358.75261224356768</v>
      </c>
      <c r="M77" s="2">
        <f>M11/'Output-Calculation-sheet'!M10*'Output-Calculation-sheet'!M64</f>
        <v>3373.7513338849863</v>
      </c>
      <c r="N77" s="2">
        <f>N11/'Output-Calculation-sheet'!N10*'Output-Calculation-sheet'!N64</f>
        <v>2375.3321212526439</v>
      </c>
      <c r="O77" s="2">
        <f>O11/'Output-Calculation-sheet'!O10*'Output-Calculation-sheet'!O64</f>
        <v>2463.3583000391741</v>
      </c>
      <c r="P77" s="2">
        <f>P11/'Output-Calculation-sheet'!P10*'Output-Calculation-sheet'!P64</f>
        <v>1048.4140966019752</v>
      </c>
      <c r="Q77" s="2">
        <f>Q11/'Output-Calculation-sheet'!Q10*'Output-Calculation-sheet'!Q64</f>
        <v>942.6589189226388</v>
      </c>
      <c r="R77" s="2">
        <f>R11/'Output-Calculation-sheet'!R10*'Output-Calculation-sheet'!R64</f>
        <v>897.44925441255521</v>
      </c>
      <c r="S77" s="2">
        <f>S11/'Output-Calculation-sheet'!S10*'Output-Calculation-sheet'!S64</f>
        <v>1194.4719675651809</v>
      </c>
      <c r="T77" s="2">
        <f>T11/'Output-Calculation-sheet'!T10*'Output-Calculation-sheet'!T64</f>
        <v>246.82472745234935</v>
      </c>
      <c r="U77" s="2">
        <f>U11/'Output-Calculation-sheet'!U10*'Output-Calculation-sheet'!U64</f>
        <v>328.05242662521425</v>
      </c>
      <c r="V77" s="2">
        <f>V11/'Output-Calculation-sheet'!V10*'Output-Calculation-sheet'!V64</f>
        <v>127.62064420399275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351.02824847876428</v>
      </c>
      <c r="Y77" s="2">
        <f>Y11/'Output-Calculation-sheet'!Y10*'Output-Calculation-sheet'!Y64</f>
        <v>82.140723336664976</v>
      </c>
      <c r="AA77" s="2">
        <f t="shared" si="6"/>
        <v>53.611187963964966</v>
      </c>
    </row>
    <row r="78" spans="1:27" x14ac:dyDescent="0.25">
      <c r="A78" s="2">
        <v>2035</v>
      </c>
      <c r="B78" s="2">
        <f>B12/'Output-Calculation-sheet'!B11*'Output-Calculation-sheet'!B65</f>
        <v>19663.179797104662</v>
      </c>
      <c r="C78" s="2">
        <f>C12/'Output-Calculation-sheet'!C11*'Output-Calculation-sheet'!C65</f>
        <v>14368.863473578376</v>
      </c>
      <c r="D78" s="2">
        <f>D12/'Output-Calculation-sheet'!D11*'Output-Calculation-sheet'!D65</f>
        <v>3691.6231222375714</v>
      </c>
      <c r="E78" s="2">
        <f>E12/'Output-Calculation-sheet'!E11*'Output-Calculation-sheet'!E65</f>
        <v>4620.6753244331494</v>
      </c>
      <c r="F78" s="2">
        <f>F12/'Output-Calculation-sheet'!F11*'Output-Calculation-sheet'!F65</f>
        <v>923.73018561482252</v>
      </c>
      <c r="G78" s="2">
        <f>G12/'Output-Calculation-sheet'!G11*'Output-Calculation-sheet'!G65</f>
        <v>1697.9892511631958</v>
      </c>
      <c r="H78" s="2">
        <f>H12/'Output-Calculation-sheet'!H11*'Output-Calculation-sheet'!H65</f>
        <v>5368.5685591192614</v>
      </c>
      <c r="I78" s="2">
        <f>I12/'Output-Calculation-sheet'!I11*'Output-Calculation-sheet'!I65</f>
        <v>1233.0565798529387</v>
      </c>
      <c r="J78" s="2">
        <f>J12/'Output-Calculation-sheet'!J11*'Output-Calculation-sheet'!J65</f>
        <v>1192.3846901532334</v>
      </c>
      <c r="K78" s="2">
        <f>K12/'Output-Calculation-sheet'!K11*'Output-Calculation-sheet'!K65</f>
        <v>1493.8472900501633</v>
      </c>
      <c r="L78" s="2">
        <f>L12/'Output-Calculation-sheet'!L11*'Output-Calculation-sheet'!L65</f>
        <v>1101.4127651420372</v>
      </c>
      <c r="M78" s="2">
        <f>M12/'Output-Calculation-sheet'!M11*'Output-Calculation-sheet'!M65</f>
        <v>3919.8349466860464</v>
      </c>
      <c r="N78" s="2">
        <f>N12/'Output-Calculation-sheet'!N11*'Output-Calculation-sheet'!N65</f>
        <v>2794.9946959959043</v>
      </c>
      <c r="O78" s="2">
        <f>O12/'Output-Calculation-sheet'!O11*'Output-Calculation-sheet'!O65</f>
        <v>2638.3924891229376</v>
      </c>
      <c r="P78" s="2">
        <f>P12/'Output-Calculation-sheet'!P11*'Output-Calculation-sheet'!P65</f>
        <v>1522.641357441913</v>
      </c>
      <c r="Q78" s="2">
        <f>Q12/'Output-Calculation-sheet'!Q11*'Output-Calculation-sheet'!Q65</f>
        <v>1292.8690388677921</v>
      </c>
      <c r="R78" s="2">
        <f>R12/'Output-Calculation-sheet'!R11*'Output-Calculation-sheet'!R65</f>
        <v>1277.7649928405237</v>
      </c>
      <c r="S78" s="2">
        <f>S12/'Output-Calculation-sheet'!S11*'Output-Calculation-sheet'!S65</f>
        <v>1478.3509067381067</v>
      </c>
      <c r="T78" s="2">
        <f>T12/'Output-Calculation-sheet'!T11*'Output-Calculation-sheet'!T65</f>
        <v>461.23769168981119</v>
      </c>
      <c r="U78" s="2">
        <f>U12/'Output-Calculation-sheet'!U11*'Output-Calculation-sheet'!U65</f>
        <v>385.9183423462012</v>
      </c>
      <c r="V78" s="2">
        <f>V12/'Output-Calculation-sheet'!V11*'Output-Calculation-sheet'!V65</f>
        <v>234.76738020232042</v>
      </c>
      <c r="W78" s="2">
        <f>W12/'Output-Calculation-sheet'!W11*'Output-Calculation-sheet'!W65</f>
        <v>163.92735618434051</v>
      </c>
      <c r="X78" s="2">
        <f>X12/'Output-Calculation-sheet'!X11*'Output-Calculation-sheet'!X65</f>
        <v>378.85830532214538</v>
      </c>
      <c r="Y78" s="2">
        <f>Y12/'Output-Calculation-sheet'!Y11*'Output-Calculation-sheet'!Y65</f>
        <v>177.74457638630565</v>
      </c>
      <c r="AA78" s="2">
        <f t="shared" si="6"/>
        <v>72.082633118273762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209.12308173692048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60.940483341325169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0.27006356507824564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665.06321040425883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129.20389006621889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2.5756735723314521</v>
      </c>
      <c r="Y88" s="2">
        <f>Y11/'Output-Calculation-sheet'!Y10*'Output-Calculation-sheet'!Y73</f>
        <v>0</v>
      </c>
      <c r="AA88" s="2">
        <f t="shared" si="7"/>
        <v>0.79684277404280923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1163.3011766364721</v>
      </c>
      <c r="D89" s="2">
        <f>D12/'Output-Calculation-sheet'!D11*'Output-Calculation-sheet'!D74</f>
        <v>103.04888125942306</v>
      </c>
      <c r="E89" s="2">
        <f>E12/'Output-Calculation-sheet'!E11*'Output-Calculation-sheet'!E74</f>
        <v>163.79274824739545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107.43009963685338</v>
      </c>
      <c r="I89" s="2">
        <f>I12/'Output-Calculation-sheet'!I11*'Output-Calculation-sheet'!I74</f>
        <v>33.248573042467207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32.678113708058</v>
      </c>
      <c r="L89" s="2">
        <f>L12/'Output-Calculation-sheet'!L11*'Output-Calculation-sheet'!L74</f>
        <v>25.984070141125724</v>
      </c>
      <c r="M89" s="2">
        <f>M12/'Output-Calculation-sheet'!M11*'Output-Calculation-sheet'!M74</f>
        <v>49.281614124881926</v>
      </c>
      <c r="N89" s="2">
        <f>N12/'Output-Calculation-sheet'!N11*'Output-Calculation-sheet'!N74</f>
        <v>48.435918828453417</v>
      </c>
      <c r="O89" s="2">
        <f>O12/'Output-Calculation-sheet'!O11*'Output-Calculation-sheet'!O74</f>
        <v>203.39831085200473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42.43715149489725</v>
      </c>
      <c r="R89" s="2">
        <f>R12/'Output-Calculation-sheet'!R11*'Output-Calculation-sheet'!R74</f>
        <v>21.042174310660098</v>
      </c>
      <c r="S89" s="2">
        <f>S12/'Output-Calculation-sheet'!S11*'Output-Calculation-sheet'!S74</f>
        <v>27.76506539089317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13.540044289741113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10.812629117175261</v>
      </c>
      <c r="Y89" s="2">
        <f>Y12/'Output-Calculation-sheet'!Y11*'Output-Calculation-sheet'!Y74</f>
        <v>5.2171938238957889</v>
      </c>
      <c r="AA89" s="2">
        <f t="shared" si="7"/>
        <v>2.7622302562427525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11701552679.265915</v>
      </c>
      <c r="C96" s="2">
        <f>C8/'Output-Calculation-sheet'!C7*'Output-Calculation-sheet'!C79</f>
        <v>3958688453.034286</v>
      </c>
      <c r="D96" s="2">
        <f>D8/'Output-Calculation-sheet'!D7*'Output-Calculation-sheet'!D79</f>
        <v>4132610034.8566232</v>
      </c>
      <c r="E96" s="2">
        <f>E8/'Output-Calculation-sheet'!E7*'Output-Calculation-sheet'!E79</f>
        <v>7347428771.2150183</v>
      </c>
      <c r="F96" s="2">
        <f>F8/'Output-Calculation-sheet'!F7*'Output-Calculation-sheet'!F79</f>
        <v>3041028365.389338</v>
      </c>
      <c r="G96" s="2">
        <f>G8/'Output-Calculation-sheet'!G7*'Output-Calculation-sheet'!G79</f>
        <v>2368711040.541245</v>
      </c>
      <c r="H96" s="2">
        <f>H8/'Output-Calculation-sheet'!H7*'Output-Calculation-sheet'!H79</f>
        <v>2027482877.0329957</v>
      </c>
      <c r="I96" s="2">
        <f>I8/'Output-Calculation-sheet'!I7*'Output-Calculation-sheet'!I79</f>
        <v>1650059063.9224305</v>
      </c>
      <c r="J96" s="2">
        <f>J8/'Output-Calculation-sheet'!J7*'Output-Calculation-sheet'!J79</f>
        <v>1115812559.1574047</v>
      </c>
      <c r="K96" s="2">
        <f>K8/'Output-Calculation-sheet'!K7*'Output-Calculation-sheet'!K79</f>
        <v>1596394919.758812</v>
      </c>
      <c r="L96" s="2">
        <f>L8/'Output-Calculation-sheet'!L7*'Output-Calculation-sheet'!L79</f>
        <v>1126414866.3121774</v>
      </c>
      <c r="M96" s="2">
        <f>M8/'Output-Calculation-sheet'!M7*'Output-Calculation-sheet'!M79</f>
        <v>1513476755.8782783</v>
      </c>
      <c r="N96" s="2">
        <f>N8/'Output-Calculation-sheet'!N7*'Output-Calculation-sheet'!N79</f>
        <v>1126147242.9713717</v>
      </c>
      <c r="O96" s="2">
        <f>O8/'Output-Calculation-sheet'!O7*'Output-Calculation-sheet'!O79</f>
        <v>569306002.12926531</v>
      </c>
      <c r="P96" s="2">
        <f>P8/'Output-Calculation-sheet'!P7*'Output-Calculation-sheet'!P79</f>
        <v>1904209173.9435165</v>
      </c>
      <c r="Q96" s="2">
        <f>Q8/'Output-Calculation-sheet'!Q7*'Output-Calculation-sheet'!Q79</f>
        <v>887442922.84857476</v>
      </c>
      <c r="R96" s="2">
        <f>R8/'Output-Calculation-sheet'!R7*'Output-Calculation-sheet'!R79</f>
        <v>1107190539.9785058</v>
      </c>
      <c r="S96" s="2">
        <f>S8/'Output-Calculation-sheet'!S7*'Output-Calculation-sheet'!S79</f>
        <v>645141994.85028732</v>
      </c>
      <c r="T96" s="2">
        <f>T8/'Output-Calculation-sheet'!T7*'Output-Calculation-sheet'!T79</f>
        <v>492739963.91564059</v>
      </c>
      <c r="U96" s="2">
        <f>U8/'Output-Calculation-sheet'!U7*'Output-Calculation-sheet'!U79</f>
        <v>309526581.47814423</v>
      </c>
      <c r="V96" s="2">
        <f>V8/'Output-Calculation-sheet'!V7*'Output-Calculation-sheet'!V79</f>
        <v>160598531.49423993</v>
      </c>
      <c r="W96" s="2">
        <f>W8/'Output-Calculation-sheet'!W7*'Output-Calculation-sheet'!W79</f>
        <v>474555640.39540386</v>
      </c>
      <c r="X96" s="2">
        <f>X8/'Output-Calculation-sheet'!X7*'Output-Calculation-sheet'!X79</f>
        <v>166792877.90850982</v>
      </c>
      <c r="Y96" s="2">
        <f>Y8/'Output-Calculation-sheet'!Y7*'Output-Calculation-sheet'!Y79</f>
        <v>260861761.12727997</v>
      </c>
      <c r="AA96" s="2">
        <f t="shared" si="8"/>
        <v>49.684173619405271</v>
      </c>
    </row>
    <row r="97" spans="1:27" x14ac:dyDescent="0.25">
      <c r="A97" s="2">
        <v>2032</v>
      </c>
      <c r="B97" s="2">
        <f>B9/'Output-Calculation-sheet'!B8*'Output-Calculation-sheet'!B80</f>
        <v>16044357653.580063</v>
      </c>
      <c r="C97" s="2">
        <f>C9/'Output-Calculation-sheet'!C8*'Output-Calculation-sheet'!C80</f>
        <v>5464794699.4624004</v>
      </c>
      <c r="D97" s="2">
        <f>D9/'Output-Calculation-sheet'!D8*'Output-Calculation-sheet'!D80</f>
        <v>5445135958.316205</v>
      </c>
      <c r="E97" s="2">
        <f>E9/'Output-Calculation-sheet'!E8*'Output-Calculation-sheet'!E80</f>
        <v>9958339066.2936554</v>
      </c>
      <c r="F97" s="2">
        <f>F9/'Output-Calculation-sheet'!F8*'Output-Calculation-sheet'!F80</f>
        <v>4113790674.8973618</v>
      </c>
      <c r="G97" s="2">
        <f>G9/'Output-Calculation-sheet'!G8*'Output-Calculation-sheet'!G80</f>
        <v>3113913527.8645024</v>
      </c>
      <c r="H97" s="2">
        <f>H9/'Output-Calculation-sheet'!H8*'Output-Calculation-sheet'!H80</f>
        <v>2739614949.2905807</v>
      </c>
      <c r="I97" s="2">
        <f>I9/'Output-Calculation-sheet'!I8*'Output-Calculation-sheet'!I80</f>
        <v>2253587538.6734476</v>
      </c>
      <c r="J97" s="2">
        <f>J9/'Output-Calculation-sheet'!J8*'Output-Calculation-sheet'!J80</f>
        <v>1481525799.5875964</v>
      </c>
      <c r="K97" s="2">
        <f>K9/'Output-Calculation-sheet'!K8*'Output-Calculation-sheet'!K80</f>
        <v>2135931588.3997922</v>
      </c>
      <c r="L97" s="2">
        <f>L9/'Output-Calculation-sheet'!L8*'Output-Calculation-sheet'!L80</f>
        <v>1554604375.768697</v>
      </c>
      <c r="M97" s="2">
        <f>M9/'Output-Calculation-sheet'!M8*'Output-Calculation-sheet'!M80</f>
        <v>2051126551.5678515</v>
      </c>
      <c r="N97" s="2">
        <f>N9/'Output-Calculation-sheet'!N8*'Output-Calculation-sheet'!N80</f>
        <v>1498622184.6985776</v>
      </c>
      <c r="O97" s="2">
        <f>O9/'Output-Calculation-sheet'!O8*'Output-Calculation-sheet'!O80</f>
        <v>775288967.18440294</v>
      </c>
      <c r="P97" s="2">
        <f>P9/'Output-Calculation-sheet'!P8*'Output-Calculation-sheet'!P80</f>
        <v>2536599715.3515449</v>
      </c>
      <c r="Q97" s="2">
        <f>Q9/'Output-Calculation-sheet'!Q8*'Output-Calculation-sheet'!Q80</f>
        <v>1186524075.3043799</v>
      </c>
      <c r="R97" s="2">
        <f>R9/'Output-Calculation-sheet'!R8*'Output-Calculation-sheet'!R80</f>
        <v>1499170145.2215085</v>
      </c>
      <c r="S97" s="2">
        <f>S9/'Output-Calculation-sheet'!S8*'Output-Calculation-sheet'!S80</f>
        <v>870114014.20434427</v>
      </c>
      <c r="T97" s="2">
        <f>T9/'Output-Calculation-sheet'!T8*'Output-Calculation-sheet'!T80</f>
        <v>655226453.79798484</v>
      </c>
      <c r="U97" s="2">
        <f>U9/'Output-Calculation-sheet'!U8*'Output-Calculation-sheet'!U80</f>
        <v>418881572.73133111</v>
      </c>
      <c r="V97" s="2">
        <f>V9/'Output-Calculation-sheet'!V8*'Output-Calculation-sheet'!V80</f>
        <v>219636533.29485139</v>
      </c>
      <c r="W97" s="2">
        <f>W9/'Output-Calculation-sheet'!W8*'Output-Calculation-sheet'!W80</f>
        <v>636071644.2526381</v>
      </c>
      <c r="X97" s="2">
        <f>X9/'Output-Calculation-sheet'!X8*'Output-Calculation-sheet'!X80</f>
        <v>228411102.17855853</v>
      </c>
      <c r="Y97" s="2">
        <f>Y9/'Output-Calculation-sheet'!Y8*'Output-Calculation-sheet'!Y80</f>
        <v>349626148.48090672</v>
      </c>
      <c r="AA97" s="2">
        <f t="shared" si="8"/>
        <v>67.230894940403189</v>
      </c>
    </row>
    <row r="98" spans="1:27" x14ac:dyDescent="0.25">
      <c r="A98" s="2">
        <v>2033</v>
      </c>
      <c r="B98" s="2">
        <f>B10/'Output-Calculation-sheet'!B9*'Output-Calculation-sheet'!B81</f>
        <v>20672327868.146263</v>
      </c>
      <c r="C98" s="2">
        <f>C10/'Output-Calculation-sheet'!C9*'Output-Calculation-sheet'!C81</f>
        <v>7087499107.1484756</v>
      </c>
      <c r="D98" s="2">
        <f>D10/'Output-Calculation-sheet'!D9*'Output-Calculation-sheet'!D81</f>
        <v>6745140471.5650434</v>
      </c>
      <c r="E98" s="2">
        <f>E10/'Output-Calculation-sheet'!E9*'Output-Calculation-sheet'!E81</f>
        <v>12688033629.405037</v>
      </c>
      <c r="F98" s="2">
        <f>F10/'Output-Calculation-sheet'!F9*'Output-Calculation-sheet'!F81</f>
        <v>5232851752.2769814</v>
      </c>
      <c r="G98" s="2">
        <f>G10/'Output-Calculation-sheet'!G9*'Output-Calculation-sheet'!G81</f>
        <v>3842119861.4678059</v>
      </c>
      <c r="H98" s="2">
        <f>H10/'Output-Calculation-sheet'!H9*'Output-Calculation-sheet'!H81</f>
        <v>3480991985.5540805</v>
      </c>
      <c r="I98" s="2">
        <f>I10/'Output-Calculation-sheet'!I9*'Output-Calculation-sheet'!I81</f>
        <v>2893732019.4618444</v>
      </c>
      <c r="J98" s="2">
        <f>J10/'Output-Calculation-sheet'!J9*'Output-Calculation-sheet'!J81</f>
        <v>1850325188.7750025</v>
      </c>
      <c r="K98" s="2">
        <f>K10/'Output-Calculation-sheet'!K9*'Output-Calculation-sheet'!K81</f>
        <v>2687670714.7597613</v>
      </c>
      <c r="L98" s="2">
        <f>L10/'Output-Calculation-sheet'!L9*'Output-Calculation-sheet'!L81</f>
        <v>2015793267.4360693</v>
      </c>
      <c r="M98" s="2">
        <f>M10/'Output-Calculation-sheet'!M9*'Output-Calculation-sheet'!M81</f>
        <v>2614078827.3740668</v>
      </c>
      <c r="N98" s="2">
        <f>N10/'Output-Calculation-sheet'!N9*'Output-Calculation-sheet'!N81</f>
        <v>1875397594.6565177</v>
      </c>
      <c r="O98" s="2">
        <f>O10/'Output-Calculation-sheet'!O9*'Output-Calculation-sheet'!O81</f>
        <v>993128978.00351834</v>
      </c>
      <c r="P98" s="2">
        <f>P10/'Output-Calculation-sheet'!P9*'Output-Calculation-sheet'!P81</f>
        <v>3173752061.9110436</v>
      </c>
      <c r="Q98" s="2">
        <f>Q10/'Output-Calculation-sheet'!Q9*'Output-Calculation-sheet'!Q81</f>
        <v>1492217763.0265839</v>
      </c>
      <c r="R98" s="2">
        <f>R10/'Output-Calculation-sheet'!R9*'Output-Calculation-sheet'!R81</f>
        <v>1908772273.8785777</v>
      </c>
      <c r="S98" s="2">
        <f>S10/'Output-Calculation-sheet'!S9*'Output-Calculation-sheet'!S81</f>
        <v>1103610209.8198097</v>
      </c>
      <c r="T98" s="2">
        <f>T10/'Output-Calculation-sheet'!T9*'Output-Calculation-sheet'!T81</f>
        <v>818924177.76589203</v>
      </c>
      <c r="U98" s="2">
        <f>U10/'Output-Calculation-sheet'!U9*'Output-Calculation-sheet'!U81</f>
        <v>532845182.53669232</v>
      </c>
      <c r="V98" s="2">
        <f>V10/'Output-Calculation-sheet'!V9*'Output-Calculation-sheet'!V81</f>
        <v>282203781.65981716</v>
      </c>
      <c r="W98" s="2">
        <f>W10/'Output-Calculation-sheet'!W9*'Output-Calculation-sheet'!W81</f>
        <v>800145081.39744151</v>
      </c>
      <c r="X98" s="2">
        <f>X10/'Output-Calculation-sheet'!X9*'Output-Calculation-sheet'!X81</f>
        <v>294029108.81183827</v>
      </c>
      <c r="Y98" s="2">
        <f>Y10/'Output-Calculation-sheet'!Y9*'Output-Calculation-sheet'!Y81</f>
        <v>439969317.75516641</v>
      </c>
      <c r="AA98" s="2">
        <f t="shared" si="8"/>
        <v>85.525560224593349</v>
      </c>
    </row>
    <row r="99" spans="1:27" x14ac:dyDescent="0.25">
      <c r="A99" s="2">
        <v>2034</v>
      </c>
      <c r="B99" s="2">
        <f>B11/'Output-Calculation-sheet'!B10*'Output-Calculation-sheet'!B82</f>
        <v>25558096417.552109</v>
      </c>
      <c r="C99" s="2">
        <f>C11/'Output-Calculation-sheet'!C10*'Output-Calculation-sheet'!C82</f>
        <v>8818591856.0541821</v>
      </c>
      <c r="D99" s="2">
        <f>D11/'Output-Calculation-sheet'!D10*'Output-Calculation-sheet'!D82</f>
        <v>8022438059.3415575</v>
      </c>
      <c r="E99" s="2">
        <f>E11/'Output-Calculation-sheet'!E10*'Output-Calculation-sheet'!E82</f>
        <v>15518702946.705063</v>
      </c>
      <c r="F99" s="2">
        <f>F11/'Output-Calculation-sheet'!F10*'Output-Calculation-sheet'!F82</f>
        <v>6391358549.7262087</v>
      </c>
      <c r="G99" s="2">
        <f>G11/'Output-Calculation-sheet'!G10*'Output-Calculation-sheet'!G82</f>
        <v>4543801117.8957739</v>
      </c>
      <c r="H99" s="2">
        <f>H11/'Output-Calculation-sheet'!H10*'Output-Calculation-sheet'!H82</f>
        <v>4247007113.8269453</v>
      </c>
      <c r="I99" s="2">
        <f>I11/'Output-Calculation-sheet'!I10*'Output-Calculation-sheet'!I82</f>
        <v>3567190312.0842419</v>
      </c>
      <c r="J99" s="2">
        <f>J11/'Output-Calculation-sheet'!J10*'Output-Calculation-sheet'!J82</f>
        <v>2219861166.906054</v>
      </c>
      <c r="K99" s="2">
        <f>K11/'Output-Calculation-sheet'!K10*'Output-Calculation-sheet'!K82</f>
        <v>3247948192.5205145</v>
      </c>
      <c r="L99" s="2">
        <f>L11/'Output-Calculation-sheet'!L10*'Output-Calculation-sheet'!L82</f>
        <v>2507653525.0847144</v>
      </c>
      <c r="M99" s="2">
        <f>M11/'Output-Calculation-sheet'!M10*'Output-Calculation-sheet'!M82</f>
        <v>3199191739.071229</v>
      </c>
      <c r="N99" s="2">
        <f>N11/'Output-Calculation-sheet'!N10*'Output-Calculation-sheet'!N82</f>
        <v>2253833569.4194837</v>
      </c>
      <c r="O99" s="2">
        <f>O11/'Output-Calculation-sheet'!O10*'Output-Calculation-sheet'!O82</f>
        <v>1221916288.7463667</v>
      </c>
      <c r="P99" s="2">
        <f>P11/'Output-Calculation-sheet'!P10*'Output-Calculation-sheet'!P82</f>
        <v>3808989886.1371603</v>
      </c>
      <c r="Q99" s="2">
        <f>Q11/'Output-Calculation-sheet'!Q10*'Output-Calculation-sheet'!Q82</f>
        <v>1802653373.1027443</v>
      </c>
      <c r="R99" s="2">
        <f>R11/'Output-Calculation-sheet'!R10*'Output-Calculation-sheet'!R82</f>
        <v>2333526454.9202847</v>
      </c>
      <c r="S99" s="2">
        <f>S11/'Output-Calculation-sheet'!S10*'Output-Calculation-sheet'!S82</f>
        <v>1344176475.2697456</v>
      </c>
      <c r="T99" s="2">
        <f>T11/'Output-Calculation-sheet'!T10*'Output-Calculation-sheet'!T82</f>
        <v>982435850.716452</v>
      </c>
      <c r="U99" s="2">
        <f>U11/'Output-Calculation-sheet'!U10*'Output-Calculation-sheet'!U82</f>
        <v>650588824.73784924</v>
      </c>
      <c r="V99" s="2">
        <f>V11/'Output-Calculation-sheet'!V10*'Output-Calculation-sheet'!V82</f>
        <v>347861733.4254595</v>
      </c>
      <c r="W99" s="2">
        <f>W11/'Output-Calculation-sheet'!W10*'Output-Calculation-sheet'!W82</f>
        <v>964632766.0587523</v>
      </c>
      <c r="X99" s="2">
        <f>X11/'Output-Calculation-sheet'!X10*'Output-Calculation-sheet'!X82</f>
        <v>363307257.10014004</v>
      </c>
      <c r="Y99" s="2">
        <f>Y11/'Output-Calculation-sheet'!Y10*'Output-Calculation-sheet'!Y82</f>
        <v>530853967.37910312</v>
      </c>
      <c r="AA99" s="2">
        <f t="shared" si="8"/>
        <v>104.44661744378213</v>
      </c>
    </row>
    <row r="100" spans="1:27" x14ac:dyDescent="0.25">
      <c r="A100" s="2">
        <v>2035</v>
      </c>
      <c r="B100" s="2">
        <f>B12/'Output-Calculation-sheet'!B11*'Output-Calculation-sheet'!B83</f>
        <v>30647256298.635689</v>
      </c>
      <c r="C100" s="2">
        <f>C12/'Output-Calculation-sheet'!C11*'Output-Calculation-sheet'!C83</f>
        <v>10640229602.801977</v>
      </c>
      <c r="D100" s="2">
        <f>D12/'Output-Calculation-sheet'!D11*'Output-Calculation-sheet'!D83</f>
        <v>9260955556.2989712</v>
      </c>
      <c r="E100" s="2">
        <f>E12/'Output-Calculation-sheet'!E11*'Output-Calculation-sheet'!E83</f>
        <v>18417651007.766144</v>
      </c>
      <c r="F100" s="2">
        <f>F12/'Output-Calculation-sheet'!F11*'Output-Calculation-sheet'!F83</f>
        <v>7576287259.7534485</v>
      </c>
      <c r="G100" s="2">
        <f>G12/'Output-Calculation-sheet'!G11*'Output-Calculation-sheet'!G83</f>
        <v>5206384593.1228094</v>
      </c>
      <c r="H100" s="2">
        <f>H12/'Output-Calculation-sheet'!H11*'Output-Calculation-sheet'!H83</f>
        <v>5028978433.163847</v>
      </c>
      <c r="I100" s="2">
        <f>I12/'Output-Calculation-sheet'!I11*'Output-Calculation-sheet'!I83</f>
        <v>4266988869.9780717</v>
      </c>
      <c r="J100" s="2">
        <f>J12/'Output-Calculation-sheet'!J11*'Output-Calculation-sheet'!J83</f>
        <v>2585978908.5480347</v>
      </c>
      <c r="K100" s="2">
        <f>K12/'Output-Calculation-sheet'!K11*'Output-Calculation-sheet'!K83</f>
        <v>3810248451.4913378</v>
      </c>
      <c r="L100" s="2">
        <f>L12/'Output-Calculation-sheet'!L11*'Output-Calculation-sheet'!L83</f>
        <v>3025120012.3771529</v>
      </c>
      <c r="M100" s="2">
        <f>M12/'Output-Calculation-sheet'!M11*'Output-Calculation-sheet'!M83</f>
        <v>3800221076.9628386</v>
      </c>
      <c r="N100" s="2">
        <f>N12/'Output-Calculation-sheet'!N11*'Output-Calculation-sheet'!N83</f>
        <v>2629452834.4199576</v>
      </c>
      <c r="O100" s="2">
        <f>O12/'Output-Calculation-sheet'!O11*'Output-Calculation-sheet'!O83</f>
        <v>1459513281.2802022</v>
      </c>
      <c r="P100" s="2">
        <f>P12/'Output-Calculation-sheet'!P11*'Output-Calculation-sheet'!P83</f>
        <v>4432645541.5681019</v>
      </c>
      <c r="Q100" s="2">
        <f>Q12/'Output-Calculation-sheet'!Q11*'Output-Calculation-sheet'!Q83</f>
        <v>2114392243.2396376</v>
      </c>
      <c r="R100" s="2">
        <f>R12/'Output-Calculation-sheet'!R11*'Output-Calculation-sheet'!R83</f>
        <v>2768678794.57831</v>
      </c>
      <c r="S100" s="2">
        <f>S12/'Output-Calculation-sheet'!S11*'Output-Calculation-sheet'!S83</f>
        <v>1589079375.7702584</v>
      </c>
      <c r="T100" s="2">
        <f>T12/'Output-Calculation-sheet'!T11*'Output-Calculation-sheet'!T83</f>
        <v>1143586573.3903942</v>
      </c>
      <c r="U100" s="2">
        <f>U12/'Output-Calculation-sheet'!U11*'Output-Calculation-sheet'!U83</f>
        <v>770647868.80376315</v>
      </c>
      <c r="V100" s="2">
        <f>V12/'Output-Calculation-sheet'!V11*'Output-Calculation-sheet'!V83</f>
        <v>415809300.99021834</v>
      </c>
      <c r="W100" s="2">
        <f>W12/'Output-Calculation-sheet'!W11*'Output-Calculation-sheet'!W83</f>
        <v>1126529549.3212123</v>
      </c>
      <c r="X100" s="2">
        <f>X12/'Output-Calculation-sheet'!X11*'Output-Calculation-sheet'!X83</f>
        <v>435527024.20953298</v>
      </c>
      <c r="Y100" s="2">
        <f>Y12/'Output-Calculation-sheet'!Y11*'Output-Calculation-sheet'!Y83</f>
        <v>620785023.87585926</v>
      </c>
      <c r="AA100" s="2">
        <f t="shared" si="8"/>
        <v>123.77294748234775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1369138997.3740442</v>
      </c>
      <c r="C107" s="2">
        <f>C8/'Output-Calculation-sheet'!C7*'Output-Calculation-sheet'!C88</f>
        <v>22548242210.8517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7035142018.2928181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4853680364.2525721</v>
      </c>
      <c r="N107" s="2">
        <f>N8/'Output-Calculation-sheet'!N7*'Output-Calculation-sheet'!N88</f>
        <v>1474724716.713645</v>
      </c>
      <c r="O107" s="2">
        <f>O8/'Output-Calculation-sheet'!O7*'Output-Calculation-sheet'!O88</f>
        <v>4381144047.5025616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486800624.50457716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525655136.91733307</v>
      </c>
      <c r="Y107" s="2">
        <f>Y8/'Output-Calculation-sheet'!Y7*'Output-Calculation-sheet'!Y88</f>
        <v>0</v>
      </c>
      <c r="AA107" s="2">
        <f t="shared" si="9"/>
        <v>42674.528116409259</v>
      </c>
    </row>
    <row r="108" spans="1:27" x14ac:dyDescent="0.25">
      <c r="A108" s="2">
        <v>2032</v>
      </c>
      <c r="B108" s="2">
        <f>B9/'Output-Calculation-sheet'!B8*'Output-Calculation-sheet'!B89</f>
        <v>6171121504.0170507</v>
      </c>
      <c r="C108" s="2">
        <f>C9/'Output-Calculation-sheet'!C8*'Output-Calculation-sheet'!C89</f>
        <v>30935354183.026615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9651616820.3552856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6658776368.0642347</v>
      </c>
      <c r="N108" s="2">
        <f>N9/'Output-Calculation-sheet'!N8*'Output-Calculation-sheet'!N89</f>
        <v>3137896560.1173368</v>
      </c>
      <c r="O108" s="2">
        <f>O9/'Output-Calculation-sheet'!O8*'Output-Calculation-sheet'!O89</f>
        <v>6010765630.3731766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943051375.52796233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721165384.40092039</v>
      </c>
      <c r="Y108" s="2">
        <f>Y9/'Output-Calculation-sheet'!Y8*'Output-Calculation-sheet'!Y89</f>
        <v>0</v>
      </c>
      <c r="AA108" s="2">
        <f t="shared" si="9"/>
        <v>64229.747825882579</v>
      </c>
    </row>
    <row r="109" spans="1:27" x14ac:dyDescent="0.25">
      <c r="A109" s="2">
        <v>2033</v>
      </c>
      <c r="B109" s="2">
        <f>B10/'Output-Calculation-sheet'!B9*'Output-Calculation-sheet'!B90</f>
        <v>16933487740.939762</v>
      </c>
      <c r="C109" s="2">
        <f>C10/'Output-Calculation-sheet'!C9*'Output-Calculation-sheet'!C90</f>
        <v>37371068461.790115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12441485336.244415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8583543707.4557991</v>
      </c>
      <c r="N109" s="2">
        <f>N10/'Output-Calculation-sheet'!N9*'Output-Calculation-sheet'!N90</f>
        <v>5055227742.2468729</v>
      </c>
      <c r="O109" s="2">
        <f>O10/'Output-Calculation-sheet'!O9*'Output-Calculation-sheet'!O90</f>
        <v>6856397529.9369373</v>
      </c>
      <c r="P109" s="2">
        <f>P10/'Output-Calculation-sheet'!P9*'Output-Calculation-sheet'!P90</f>
        <v>0</v>
      </c>
      <c r="Q109" s="2">
        <f>Q10/'Output-Calculation-sheet'!Q9*'Output-Calculation-sheet'!Q90</f>
        <v>164612074.3537862</v>
      </c>
      <c r="R109" s="2">
        <f>R10/'Output-Calculation-sheet'!R9*'Output-Calculation-sheet'!R90</f>
        <v>0</v>
      </c>
      <c r="S109" s="2">
        <f>S10/'Output-Calculation-sheet'!S9*'Output-Calculation-sheet'!S90</f>
        <v>2040284385.4611025</v>
      </c>
      <c r="T109" s="2">
        <f>T10/'Output-Calculation-sheet'!T9*'Output-Calculation-sheet'!T90</f>
        <v>1.5553648052953016E-7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929623753.3915273</v>
      </c>
      <c r="Y109" s="2">
        <f>Y10/'Output-Calculation-sheet'!Y9*'Output-Calculation-sheet'!Y90</f>
        <v>0</v>
      </c>
      <c r="AA109" s="2">
        <f t="shared" si="9"/>
        <v>90375.730731820309</v>
      </c>
    </row>
    <row r="110" spans="1:27" x14ac:dyDescent="0.25">
      <c r="A110" s="2">
        <v>2034</v>
      </c>
      <c r="B110" s="2">
        <f>B11/'Output-Calculation-sheet'!B10*'Output-Calculation-sheet'!B91</f>
        <v>41198164608.316589</v>
      </c>
      <c r="C110" s="2">
        <f>C11/'Output-Calculation-sheet'!C10*'Output-Calculation-sheet'!C91</f>
        <v>41659770103.072731</v>
      </c>
      <c r="D110" s="2">
        <f>D11/'Output-Calculation-sheet'!D10*'Output-Calculation-sheet'!D91</f>
        <v>0</v>
      </c>
      <c r="E110" s="2">
        <f>E11/'Output-Calculation-sheet'!E10*'Output-Calculation-sheet'!E91</f>
        <v>840419760.01892853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15387498745.416159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699362097.20955861</v>
      </c>
      <c r="M110" s="2">
        <f>M11/'Output-Calculation-sheet'!M10*'Output-Calculation-sheet'!M91</f>
        <v>10616035176.302187</v>
      </c>
      <c r="N110" s="2">
        <f>N11/'Output-Calculation-sheet'!N10*'Output-Calculation-sheet'!N91</f>
        <v>7342581350.7756233</v>
      </c>
      <c r="O110" s="2">
        <f>O11/'Output-Calculation-sheet'!O10*'Output-Calculation-sheet'!O91</f>
        <v>7623847805.2106676</v>
      </c>
      <c r="P110" s="2">
        <f>P11/'Output-Calculation-sheet'!P10*'Output-Calculation-sheet'!P91</f>
        <v>0</v>
      </c>
      <c r="Q110" s="2">
        <f>Q11/'Output-Calculation-sheet'!Q10*'Output-Calculation-sheet'!Q91</f>
        <v>1868455312.4889617</v>
      </c>
      <c r="R110" s="2">
        <f>R11/'Output-Calculation-sheet'!R10*'Output-Calculation-sheet'!R91</f>
        <v>0</v>
      </c>
      <c r="S110" s="2">
        <f>S11/'Output-Calculation-sheet'!S10*'Output-Calculation-sheet'!S91</f>
        <v>3610821296.0776196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1051766000.5672592</v>
      </c>
      <c r="Y110" s="2">
        <f>Y11/'Output-Calculation-sheet'!Y10*'Output-Calculation-sheet'!Y91</f>
        <v>46026196.080459952</v>
      </c>
      <c r="AA110" s="2">
        <f t="shared" si="9"/>
        <v>131944.74845153673</v>
      </c>
    </row>
    <row r="111" spans="1:27" x14ac:dyDescent="0.25">
      <c r="A111" s="2">
        <v>2035</v>
      </c>
      <c r="B111" s="2">
        <f>B12/'Output-Calculation-sheet'!B11*'Output-Calculation-sheet'!B92</f>
        <v>54935529712.534676</v>
      </c>
      <c r="C111" s="2">
        <f>C12/'Output-Calculation-sheet'!C11*'Output-Calculation-sheet'!C92</f>
        <v>45944114650.786812</v>
      </c>
      <c r="D111" s="2">
        <f>D12/'Output-Calculation-sheet'!D11*'Output-Calculation-sheet'!D92</f>
        <v>0</v>
      </c>
      <c r="E111" s="2">
        <f>E12/'Output-Calculation-sheet'!E11*'Output-Calculation-sheet'!E92</f>
        <v>6115099066.3851137</v>
      </c>
      <c r="F111" s="2">
        <f>F12/'Output-Calculation-sheet'!F11*'Output-Calculation-sheet'!F92</f>
        <v>0</v>
      </c>
      <c r="G111" s="2">
        <f>G12/'Output-Calculation-sheet'!G11*'Output-Calculation-sheet'!G92</f>
        <v>-6.6487513104174419E-7</v>
      </c>
      <c r="H111" s="2">
        <f>H12/'Output-Calculation-sheet'!H11*'Output-Calculation-sheet'!H92</f>
        <v>17005808767.165161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2017954068.043993</v>
      </c>
      <c r="M111" s="2">
        <f>M12/'Output-Calculation-sheet'!M11*'Output-Calculation-sheet'!M92</f>
        <v>11999730532.19058</v>
      </c>
      <c r="N111" s="2">
        <f>N12/'Output-Calculation-sheet'!N11*'Output-Calculation-sheet'!N92</f>
        <v>8654447635.206049</v>
      </c>
      <c r="O111" s="2">
        <f>O12/'Output-Calculation-sheet'!O11*'Output-Calculation-sheet'!O92</f>
        <v>8347516396.9533701</v>
      </c>
      <c r="P111" s="2">
        <f>P12/'Output-Calculation-sheet'!P11*'Output-Calculation-sheet'!P92</f>
        <v>419806878.81921524</v>
      </c>
      <c r="Q111" s="2">
        <f>Q12/'Output-Calculation-sheet'!Q11*'Output-Calculation-sheet'!Q92</f>
        <v>2887307085.5461979</v>
      </c>
      <c r="R111" s="2">
        <f>R12/'Output-Calculation-sheet'!R11*'Output-Calculation-sheet'!R92</f>
        <v>0</v>
      </c>
      <c r="S111" s="2">
        <f>S12/'Output-Calculation-sheet'!S11*'Output-Calculation-sheet'!S92</f>
        <v>4429813452.3750591</v>
      </c>
      <c r="T111" s="2">
        <f>T12/'Output-Calculation-sheet'!T11*'Output-Calculation-sheet'!T92</f>
        <v>0</v>
      </c>
      <c r="U111" s="2">
        <f>U12/'Output-Calculation-sheet'!U11*'Output-Calculation-sheet'!U92</f>
        <v>83762911.390068337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1184118046.1946557</v>
      </c>
      <c r="Y111" s="2">
        <f>Y12/'Output-Calculation-sheet'!Y11*'Output-Calculation-sheet'!Y92</f>
        <v>285274593.13247454</v>
      </c>
      <c r="AA111" s="2">
        <f t="shared" si="9"/>
        <v>164310.28379672341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46489481731.77224</v>
      </c>
      <c r="C118" s="2">
        <f>C8/'Output-Calculation-sheet'!C7*'Output-Calculation-sheet'!C97</f>
        <v>0</v>
      </c>
      <c r="D118" s="2">
        <f>D8/'Output-Calculation-sheet'!D7*'Output-Calculation-sheet'!D97</f>
        <v>20101172177.436607</v>
      </c>
      <c r="E118" s="2">
        <f>E8/'Output-Calculation-sheet'!E7*'Output-Calculation-sheet'!E97</f>
        <v>15948240320.197941</v>
      </c>
      <c r="F118" s="2">
        <f>F8/'Output-Calculation-sheet'!F7*'Output-Calculation-sheet'!F97</f>
        <v>10266454591.175076</v>
      </c>
      <c r="G118" s="2">
        <f>G8/'Output-Calculation-sheet'!G7*'Output-Calculation-sheet'!G97</f>
        <v>7213492751.0009565</v>
      </c>
      <c r="H118" s="2">
        <f>H8/'Output-Calculation-sheet'!H7*'Output-Calculation-sheet'!H97</f>
        <v>0</v>
      </c>
      <c r="I118" s="2">
        <f>I8/'Output-Calculation-sheet'!I7*'Output-Calculation-sheet'!I97</f>
        <v>6572059722.1218491</v>
      </c>
      <c r="J118" s="2">
        <f>J8/'Output-Calculation-sheet'!J7*'Output-Calculation-sheet'!J97</f>
        <v>6396790277.6193714</v>
      </c>
      <c r="K118" s="2">
        <f>K8/'Output-Calculation-sheet'!K7*'Output-Calculation-sheet'!K97</f>
        <v>6335464326.4169378</v>
      </c>
      <c r="L118" s="2">
        <f>L8/'Output-Calculation-sheet'!L7*'Output-Calculation-sheet'!L97</f>
        <v>5082391861.2465048</v>
      </c>
      <c r="M118" s="2">
        <f>M8/'Output-Calculation-sheet'!M7*'Output-Calculation-sheet'!M97</f>
        <v>0</v>
      </c>
      <c r="N118" s="2">
        <f>N8/'Output-Calculation-sheet'!N7*'Output-Calculation-sheet'!N97</f>
        <v>3289976396.0739236</v>
      </c>
      <c r="O118" s="2">
        <f>O8/'Output-Calculation-sheet'!O7*'Output-Calculation-sheet'!O97</f>
        <v>0</v>
      </c>
      <c r="P118" s="2">
        <f>P8/'Output-Calculation-sheet'!P7*'Output-Calculation-sheet'!P97</f>
        <v>4337559416.6004229</v>
      </c>
      <c r="Q118" s="2">
        <f>Q8/'Output-Calculation-sheet'!Q7*'Output-Calculation-sheet'!Q97</f>
        <v>4267456637.3667836</v>
      </c>
      <c r="R118" s="2">
        <f>R8/'Output-Calculation-sheet'!R7*'Output-Calculation-sheet'!R97</f>
        <v>4105489546.6515589</v>
      </c>
      <c r="S118" s="2">
        <f>S8/'Output-Calculation-sheet'!S7*'Output-Calculation-sheet'!S97</f>
        <v>2241918360.436348</v>
      </c>
      <c r="T118" s="2">
        <f>T8/'Output-Calculation-sheet'!T7*'Output-Calculation-sheet'!T97</f>
        <v>1509142950.2654731</v>
      </c>
      <c r="U118" s="2">
        <f>U8/'Output-Calculation-sheet'!U7*'Output-Calculation-sheet'!U97</f>
        <v>1314411686.3472242</v>
      </c>
      <c r="V118" s="2">
        <f>V8/'Output-Calculation-sheet'!V7*'Output-Calculation-sheet'!V97</f>
        <v>1012123684.4465423</v>
      </c>
      <c r="W118" s="2">
        <f>W8/'Output-Calculation-sheet'!W7*'Output-Calculation-sheet'!W97</f>
        <v>876274457.29644442</v>
      </c>
      <c r="X118" s="2">
        <f>X8/'Output-Calculation-sheet'!X7*'Output-Calculation-sheet'!X97</f>
        <v>0</v>
      </c>
      <c r="Y118" s="2">
        <f>Y8/'Output-Calculation-sheet'!Y7*'Output-Calculation-sheet'!Y97</f>
        <v>511301088.17452019</v>
      </c>
      <c r="AA118" s="2">
        <f t="shared" si="10"/>
        <v>147871.20198264671</v>
      </c>
    </row>
    <row r="119" spans="1:27" x14ac:dyDescent="0.25">
      <c r="A119" s="2">
        <v>2032</v>
      </c>
      <c r="B119" s="2">
        <f>B9/'Output-Calculation-sheet'!B8*'Output-Calculation-sheet'!B98</f>
        <v>59486124592.883789</v>
      </c>
      <c r="C119" s="2">
        <f>C9/'Output-Calculation-sheet'!C8*'Output-Calculation-sheet'!C98</f>
        <v>0</v>
      </c>
      <c r="D119" s="2">
        <f>D9/'Output-Calculation-sheet'!D8*'Output-Calculation-sheet'!D98</f>
        <v>27576802008.268772</v>
      </c>
      <c r="E119" s="2">
        <f>E9/'Output-Calculation-sheet'!E8*'Output-Calculation-sheet'!E98</f>
        <v>21879388851.276031</v>
      </c>
      <c r="F119" s="2">
        <f>F9/'Output-Calculation-sheet'!F8*'Output-Calculation-sheet'!F98</f>
        <v>14084552098.487322</v>
      </c>
      <c r="G119" s="2">
        <f>G9/'Output-Calculation-sheet'!G8*'Output-Calculation-sheet'!G98</f>
        <v>9896192876.9406815</v>
      </c>
      <c r="H119" s="2">
        <f>H9/'Output-Calculation-sheet'!H8*'Output-Calculation-sheet'!H98</f>
        <v>1.3238187499386422E-6</v>
      </c>
      <c r="I119" s="2">
        <f>I9/'Output-Calculation-sheet'!I8*'Output-Calculation-sheet'!I98</f>
        <v>9016211389.0271797</v>
      </c>
      <c r="J119" s="2">
        <f>J9/'Output-Calculation-sheet'!J8*'Output-Calculation-sheet'!J98</f>
        <v>8775755759.6466217</v>
      </c>
      <c r="K119" s="2">
        <f>K9/'Output-Calculation-sheet'!K8*'Output-Calculation-sheet'!K98</f>
        <v>8691624058.5660763</v>
      </c>
      <c r="L119" s="2">
        <f>L9/'Output-Calculation-sheet'!L8*'Output-Calculation-sheet'!L98</f>
        <v>6972535465.6692038</v>
      </c>
      <c r="M119" s="2">
        <f>M9/'Output-Calculation-sheet'!M8*'Output-Calculation-sheet'!M98</f>
        <v>0</v>
      </c>
      <c r="N119" s="2">
        <f>N9/'Output-Calculation-sheet'!N8*'Output-Calculation-sheet'!N98</f>
        <v>3398250923.4313941</v>
      </c>
      <c r="O119" s="2">
        <f>O9/'Output-Calculation-sheet'!O8*'Output-Calculation-sheet'!O98</f>
        <v>0</v>
      </c>
      <c r="P119" s="2">
        <f>P9/'Output-Calculation-sheet'!P8*'Output-Calculation-sheet'!P98</f>
        <v>5950659293.7418604</v>
      </c>
      <c r="Q119" s="2">
        <f>Q9/'Output-Calculation-sheet'!Q8*'Output-Calculation-sheet'!Q98</f>
        <v>5854524574.5767851</v>
      </c>
      <c r="R119" s="2">
        <f>R9/'Output-Calculation-sheet'!R8*'Output-Calculation-sheet'!R98</f>
        <v>5632322345.2774706</v>
      </c>
      <c r="S119" s="2">
        <f>S9/'Output-Calculation-sheet'!S8*'Output-Calculation-sheet'!S98</f>
        <v>2800278257.2505965</v>
      </c>
      <c r="T119" s="2">
        <f>T9/'Output-Calculation-sheet'!T8*'Output-Calculation-sheet'!T98</f>
        <v>2070393181.4289355</v>
      </c>
      <c r="U119" s="2">
        <f>U9/'Output-Calculation-sheet'!U8*'Output-Calculation-sheet'!U98</f>
        <v>1803242072.9219604</v>
      </c>
      <c r="V119" s="2">
        <f>V9/'Output-Calculation-sheet'!V8*'Output-Calculation-sheet'!V98</f>
        <v>1388532461.2188203</v>
      </c>
      <c r="W119" s="2">
        <f>W9/'Output-Calculation-sheet'!W8*'Output-Calculation-sheet'!W98</f>
        <v>1202161193.0444379</v>
      </c>
      <c r="X119" s="2">
        <f>X9/'Output-Calculation-sheet'!X8*'Output-Calculation-sheet'!X98</f>
        <v>0</v>
      </c>
      <c r="Y119" s="2">
        <f>Y9/'Output-Calculation-sheet'!Y8*'Output-Calculation-sheet'!Y98</f>
        <v>701453843.47783148</v>
      </c>
      <c r="AA119" s="2">
        <f t="shared" si="10"/>
        <v>197181.00524713573</v>
      </c>
    </row>
    <row r="120" spans="1:27" x14ac:dyDescent="0.25">
      <c r="A120" s="2">
        <v>2033</v>
      </c>
      <c r="B120" s="2">
        <f>B10/'Output-Calculation-sheet'!B9*'Output-Calculation-sheet'!B99</f>
        <v>67694776375.755363</v>
      </c>
      <c r="C120" s="2">
        <f>C10/'Output-Calculation-sheet'!C9*'Output-Calculation-sheet'!C99</f>
        <v>0</v>
      </c>
      <c r="D120" s="2">
        <f>D10/'Output-Calculation-sheet'!D9*'Output-Calculation-sheet'!D99</f>
        <v>35547007889.720413</v>
      </c>
      <c r="E120" s="2">
        <f>E10/'Output-Calculation-sheet'!E9*'Output-Calculation-sheet'!E99</f>
        <v>28202939889.553925</v>
      </c>
      <c r="F120" s="2">
        <f>F10/'Output-Calculation-sheet'!F9*'Output-Calculation-sheet'!F99</f>
        <v>18155244459.606434</v>
      </c>
      <c r="G120" s="2">
        <f>G10/'Output-Calculation-sheet'!G9*'Output-Calculation-sheet'!G99</f>
        <v>12756373014.55512</v>
      </c>
      <c r="H120" s="2">
        <f>H10/'Output-Calculation-sheet'!H9*'Output-Calculation-sheet'!H99</f>
        <v>0</v>
      </c>
      <c r="I120" s="2">
        <f>I10/'Output-Calculation-sheet'!I9*'Output-Calculation-sheet'!I99</f>
        <v>11622061456.488907</v>
      </c>
      <c r="J120" s="2">
        <f>J10/'Output-Calculation-sheet'!J9*'Output-Calculation-sheet'!J99</f>
        <v>11312109730.895748</v>
      </c>
      <c r="K120" s="2">
        <f>K10/'Output-Calculation-sheet'!K9*'Output-Calculation-sheet'!K99</f>
        <v>11203927950.671988</v>
      </c>
      <c r="L120" s="2">
        <f>L10/'Output-Calculation-sheet'!L9*'Output-Calculation-sheet'!L99</f>
        <v>8987725786.9147129</v>
      </c>
      <c r="M120" s="2">
        <f>M10/'Output-Calculation-sheet'!M9*'Output-Calculation-sheet'!M99</f>
        <v>0</v>
      </c>
      <c r="N120" s="2">
        <f>N10/'Output-Calculation-sheet'!N9*'Output-Calculation-sheet'!N99</f>
        <v>3369492259.5483184</v>
      </c>
      <c r="O120" s="2">
        <f>O10/'Output-Calculation-sheet'!O9*'Output-Calculation-sheet'!O99</f>
        <v>0</v>
      </c>
      <c r="P120" s="2">
        <f>P10/'Output-Calculation-sheet'!P9*'Output-Calculation-sheet'!P99</f>
        <v>7670106102.3502064</v>
      </c>
      <c r="Q120" s="2">
        <f>Q10/'Output-Calculation-sheet'!Q9*'Output-Calculation-sheet'!Q99</f>
        <v>7381903815.0548267</v>
      </c>
      <c r="R120" s="2">
        <f>R10/'Output-Calculation-sheet'!R9*'Output-Calculation-sheet'!R99</f>
        <v>7259825731.7786131</v>
      </c>
      <c r="S120" s="2">
        <f>S10/'Output-Calculation-sheet'!S9*'Output-Calculation-sheet'!S99</f>
        <v>2784614367.1911926</v>
      </c>
      <c r="T120" s="2">
        <f>T10/'Output-Calculation-sheet'!T9*'Output-Calculation-sheet'!T99</f>
        <v>2668751737.7602267</v>
      </c>
      <c r="U120" s="2">
        <f>U10/'Output-Calculation-sheet'!U9*'Output-Calculation-sheet'!U99</f>
        <v>2324911125.2774343</v>
      </c>
      <c r="V120" s="2">
        <f>V10/'Output-Calculation-sheet'!V9*'Output-Calculation-sheet'!V99</f>
        <v>1789843839.7295663</v>
      </c>
      <c r="W120" s="2">
        <f>W10/'Output-Calculation-sheet'!W9*'Output-Calculation-sheet'!W99</f>
        <v>1549608096.5424294</v>
      </c>
      <c r="X120" s="2">
        <f>X10/'Output-Calculation-sheet'!X9*'Output-Calculation-sheet'!X99</f>
        <v>0</v>
      </c>
      <c r="Y120" s="2">
        <f>Y10/'Output-Calculation-sheet'!Y9*'Output-Calculation-sheet'!Y99</f>
        <v>904188198.38041711</v>
      </c>
      <c r="AA120" s="2">
        <f t="shared" si="10"/>
        <v>243185.41182777588</v>
      </c>
    </row>
    <row r="121" spans="1:27" x14ac:dyDescent="0.25">
      <c r="A121" s="2">
        <v>2034</v>
      </c>
      <c r="B121" s="2">
        <f>B11/'Output-Calculation-sheet'!B10*'Output-Calculation-sheet'!B100</f>
        <v>63460060347.87867</v>
      </c>
      <c r="C121" s="2">
        <f>C11/'Output-Calculation-sheet'!C10*'Output-Calculation-sheet'!C100</f>
        <v>0</v>
      </c>
      <c r="D121" s="2">
        <f>D11/'Output-Calculation-sheet'!D10*'Output-Calculation-sheet'!D100</f>
        <v>43963216445.696831</v>
      </c>
      <c r="E121" s="2">
        <f>E11/'Output-Calculation-sheet'!E10*'Output-Calculation-sheet'!E100</f>
        <v>34038455225.740662</v>
      </c>
      <c r="F121" s="2">
        <f>F11/'Output-Calculation-sheet'!F10*'Output-Calculation-sheet'!F100</f>
        <v>22453609714.686954</v>
      </c>
      <c r="G121" s="2">
        <f>G11/'Output-Calculation-sheet'!G10*'Output-Calculation-sheet'!G100</f>
        <v>15775752673.52849</v>
      </c>
      <c r="H121" s="2">
        <f>H11/'Output-Calculation-sheet'!H10*'Output-Calculation-sheet'!H100</f>
        <v>0</v>
      </c>
      <c r="I121" s="2">
        <f>I11/'Output-Calculation-sheet'!I10*'Output-Calculation-sheet'!I100</f>
        <v>14373221478.961409</v>
      </c>
      <c r="J121" s="2">
        <f>J11/'Output-Calculation-sheet'!J10*'Output-Calculation-sheet'!J100</f>
        <v>13990052997.485685</v>
      </c>
      <c r="K121" s="2">
        <f>K11/'Output-Calculation-sheet'!K10*'Output-Calculation-sheet'!K100</f>
        <v>13856279880.021313</v>
      </c>
      <c r="L121" s="2">
        <f>L11/'Output-Calculation-sheet'!L10*'Output-Calculation-sheet'!L100</f>
        <v>10415999575.590734</v>
      </c>
      <c r="M121" s="2">
        <f>M11/'Output-Calculation-sheet'!M10*'Output-Calculation-sheet'!M100</f>
        <v>7.1099530751754049E-7</v>
      </c>
      <c r="N121" s="2">
        <f>N11/'Output-Calculation-sheet'!N10*'Output-Calculation-sheet'!N100</f>
        <v>3077023819.7474613</v>
      </c>
      <c r="O121" s="2">
        <f>O11/'Output-Calculation-sheet'!O10*'Output-Calculation-sheet'!O100</f>
        <v>0</v>
      </c>
      <c r="P121" s="2">
        <f>P11/'Output-Calculation-sheet'!P10*'Output-Calculation-sheet'!P100</f>
        <v>9485710938.8017273</v>
      </c>
      <c r="Q121" s="2">
        <f>Q11/'Output-Calculation-sheet'!Q10*'Output-Calculation-sheet'!Q100</f>
        <v>7464030941.0035868</v>
      </c>
      <c r="R121" s="2">
        <f>R11/'Output-Calculation-sheet'!R10*'Output-Calculation-sheet'!R100</f>
        <v>8978289976.9082355</v>
      </c>
      <c r="S121" s="2">
        <f>S11/'Output-Calculation-sheet'!S10*'Output-Calculation-sheet'!S100</f>
        <v>2356384983.8461432</v>
      </c>
      <c r="T121" s="2">
        <f>T11/'Output-Calculation-sheet'!T10*'Output-Calculation-sheet'!T100</f>
        <v>3300417863.06598</v>
      </c>
      <c r="U121" s="2">
        <f>U11/'Output-Calculation-sheet'!U10*'Output-Calculation-sheet'!U100</f>
        <v>2876295040.7670884</v>
      </c>
      <c r="V121" s="2">
        <f>V11/'Output-Calculation-sheet'!V10*'Output-Calculation-sheet'!V100</f>
        <v>2214234342.7846055</v>
      </c>
      <c r="W121" s="2">
        <f>W11/'Output-Calculation-sheet'!W10*'Output-Calculation-sheet'!W100</f>
        <v>1916554548.4294128</v>
      </c>
      <c r="X121" s="2">
        <f>X11/'Output-Calculation-sheet'!X10*'Output-Calculation-sheet'!X100</f>
        <v>85082585.709124982</v>
      </c>
      <c r="Y121" s="2">
        <f>Y11/'Output-Calculation-sheet'!Y10*'Output-Calculation-sheet'!Y100</f>
        <v>1072219919.117919</v>
      </c>
      <c r="AA121" s="2">
        <f t="shared" si="10"/>
        <v>275152.89329977205</v>
      </c>
    </row>
    <row r="122" spans="1:27" x14ac:dyDescent="0.25">
      <c r="A122" s="2">
        <v>2035</v>
      </c>
      <c r="B122" s="2">
        <f>B12/'Output-Calculation-sheet'!B11*'Output-Calculation-sheet'!B101</f>
        <v>63215021311.739357</v>
      </c>
      <c r="C122" s="2">
        <f>C12/'Output-Calculation-sheet'!C11*'Output-Calculation-sheet'!C101</f>
        <v>0</v>
      </c>
      <c r="D122" s="2">
        <f>D12/'Output-Calculation-sheet'!D11*'Output-Calculation-sheet'!D101</f>
        <v>49116899311.959503</v>
      </c>
      <c r="E122" s="2">
        <f>E12/'Output-Calculation-sheet'!E11*'Output-Calculation-sheet'!E101</f>
        <v>34712138516.375427</v>
      </c>
      <c r="F122" s="2">
        <f>F12/'Output-Calculation-sheet'!F11*'Output-Calculation-sheet'!F101</f>
        <v>25831846288.188843</v>
      </c>
      <c r="G122" s="2">
        <f>G12/'Output-Calculation-sheet'!G11*'Output-Calculation-sheet'!G101</f>
        <v>17882572637.920319</v>
      </c>
      <c r="H122" s="2">
        <f>H12/'Output-Calculation-sheet'!H11*'Output-Calculation-sheet'!H101</f>
        <v>0</v>
      </c>
      <c r="I122" s="2">
        <f>I12/'Output-Calculation-sheet'!I11*'Output-Calculation-sheet'!I101</f>
        <v>16336666415.272436</v>
      </c>
      <c r="J122" s="2">
        <f>J12/'Output-Calculation-sheet'!J11*'Output-Calculation-sheet'!J101</f>
        <v>15752801213.856968</v>
      </c>
      <c r="K122" s="2">
        <f>K12/'Output-Calculation-sheet'!K11*'Output-Calculation-sheet'!K101</f>
        <v>15840529354.732979</v>
      </c>
      <c r="L122" s="2">
        <f>L12/'Output-Calculation-sheet'!L11*'Output-Calculation-sheet'!L101</f>
        <v>10901052773.387236</v>
      </c>
      <c r="M122" s="2">
        <f>M12/'Output-Calculation-sheet'!M11*'Output-Calculation-sheet'!M101</f>
        <v>0</v>
      </c>
      <c r="N122" s="2">
        <f>N12/'Output-Calculation-sheet'!N11*'Output-Calculation-sheet'!N101</f>
        <v>3067618686.9177961</v>
      </c>
      <c r="O122" s="2">
        <f>O12/'Output-Calculation-sheet'!O11*'Output-Calculation-sheet'!O101</f>
        <v>0</v>
      </c>
      <c r="P122" s="2">
        <f>P12/'Output-Calculation-sheet'!P11*'Output-Calculation-sheet'!P101</f>
        <v>10557678862.592714</v>
      </c>
      <c r="Q122" s="2">
        <f>Q12/'Output-Calculation-sheet'!Q11*'Output-Calculation-sheet'!Q101</f>
        <v>7488971120.4650822</v>
      </c>
      <c r="R122" s="2">
        <f>R12/'Output-Calculation-sheet'!R11*'Output-Calculation-sheet'!R101</f>
        <v>10323690518.121746</v>
      </c>
      <c r="S122" s="2">
        <f>S12/'Output-Calculation-sheet'!S11*'Output-Calculation-sheet'!S101</f>
        <v>2263198504.4219098</v>
      </c>
      <c r="T122" s="2">
        <f>T12/'Output-Calculation-sheet'!T11*'Output-Calculation-sheet'!T101</f>
        <v>3849925665.0138555</v>
      </c>
      <c r="U122" s="2">
        <f>U12/'Output-Calculation-sheet'!U11*'Output-Calculation-sheet'!U101</f>
        <v>3125558774.7619023</v>
      </c>
      <c r="V122" s="2">
        <f>V12/'Output-Calculation-sheet'!V11*'Output-Calculation-sheet'!V101</f>
        <v>2596353284.6056538</v>
      </c>
      <c r="W122" s="2">
        <f>W12/'Output-Calculation-sheet'!W11*'Output-Calculation-sheet'!W101</f>
        <v>2264003862.452085</v>
      </c>
      <c r="X122" s="2">
        <f>X12/'Output-Calculation-sheet'!X11*'Output-Calculation-sheet'!X101</f>
        <v>83374642.322889239</v>
      </c>
      <c r="Y122" s="2">
        <f>Y12/'Output-Calculation-sheet'!Y11*'Output-Calculation-sheet'!Y101</f>
        <v>1022103050.636336</v>
      </c>
      <c r="AA122" s="2">
        <f t="shared" si="10"/>
        <v>296232.00479574507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47858621600.695717</v>
      </c>
      <c r="C129" s="2">
        <f>C8/'Output-Calculation-sheet'!C7*'Output-Calculation-sheet'!C106</f>
        <v>22553395182.530972</v>
      </c>
      <c r="D129" s="2">
        <f>D8/'Output-Calculation-sheet'!D7*'Output-Calculation-sheet'!D106</f>
        <v>20101172177.436607</v>
      </c>
      <c r="E129" s="2">
        <f>E8/'Output-Calculation-sheet'!E7*'Output-Calculation-sheet'!E106</f>
        <v>15948240320.197941</v>
      </c>
      <c r="F129" s="2">
        <f>F8/'Output-Calculation-sheet'!F7*'Output-Calculation-sheet'!F106</f>
        <v>10266454591.175076</v>
      </c>
      <c r="G129" s="2">
        <f>G8/'Output-Calculation-sheet'!G7*'Output-Calculation-sheet'!G106</f>
        <v>7213492751.0009565</v>
      </c>
      <c r="H129" s="2">
        <f>H8/'Output-Calculation-sheet'!H7*'Output-Calculation-sheet'!H106</f>
        <v>7036485275.8184662</v>
      </c>
      <c r="I129" s="2">
        <f>I8/'Output-Calculation-sheet'!I7*'Output-Calculation-sheet'!I106</f>
        <v>6572059722.1218491</v>
      </c>
      <c r="J129" s="2">
        <f>J8/'Output-Calculation-sheet'!J7*'Output-Calculation-sheet'!J106</f>
        <v>6396790277.6193714</v>
      </c>
      <c r="K129" s="2">
        <f>K8/'Output-Calculation-sheet'!K7*'Output-Calculation-sheet'!K106</f>
        <v>6335464326.4169378</v>
      </c>
      <c r="L129" s="2">
        <f>L8/'Output-Calculation-sheet'!L7*'Output-Calculation-sheet'!L106</f>
        <v>5082391861.2465048</v>
      </c>
      <c r="M129" s="2">
        <f>M8/'Output-Calculation-sheet'!M7*'Output-Calculation-sheet'!M106</f>
        <v>4854561448.0740156</v>
      </c>
      <c r="N129" s="2">
        <f>N8/'Output-Calculation-sheet'!N7*'Output-Calculation-sheet'!N106</f>
        <v>4764738964.0931482</v>
      </c>
      <c r="O129" s="2">
        <f>O8/'Output-Calculation-sheet'!O7*'Output-Calculation-sheet'!O106</f>
        <v>4382143408.2374182</v>
      </c>
      <c r="P129" s="2">
        <f>P8/'Output-Calculation-sheet'!P7*'Output-Calculation-sheet'!P106</f>
        <v>4337559416.6004229</v>
      </c>
      <c r="Q129" s="2">
        <f>Q8/'Output-Calculation-sheet'!Q7*'Output-Calculation-sheet'!Q106</f>
        <v>4267456637.3667836</v>
      </c>
      <c r="R129" s="2">
        <f>R8/'Output-Calculation-sheet'!R7*'Output-Calculation-sheet'!R106</f>
        <v>4105489546.6515589</v>
      </c>
      <c r="S129" s="2">
        <f>S8/'Output-Calculation-sheet'!S7*'Output-Calculation-sheet'!S106</f>
        <v>2728718667.4148355</v>
      </c>
      <c r="T129" s="2">
        <f>T8/'Output-Calculation-sheet'!T7*'Output-Calculation-sheet'!T106</f>
        <v>1509142950.2654731</v>
      </c>
      <c r="U129" s="2">
        <f>U8/'Output-Calculation-sheet'!U7*'Output-Calculation-sheet'!U106</f>
        <v>1314411686.3472242</v>
      </c>
      <c r="V129" s="2">
        <f>V8/'Output-Calculation-sheet'!V7*'Output-Calculation-sheet'!V106</f>
        <v>1012123684.4465423</v>
      </c>
      <c r="W129" s="2">
        <f>W8/'Output-Calculation-sheet'!W7*'Output-Calculation-sheet'!W106</f>
        <v>876274457.29644442</v>
      </c>
      <c r="X129" s="2">
        <f>X8/'Output-Calculation-sheet'!X7*'Output-Calculation-sheet'!X106</f>
        <v>525764777.76974863</v>
      </c>
      <c r="Y129" s="2">
        <f>Y8/'Output-Calculation-sheet'!Y7*'Output-Calculation-sheet'!Y106</f>
        <v>511301088.17452019</v>
      </c>
      <c r="AA129" s="2">
        <f t="shared" si="11"/>
        <v>190554.25481899854</v>
      </c>
    </row>
    <row r="130" spans="1:27" x14ac:dyDescent="0.25">
      <c r="A130" s="2">
        <v>2032</v>
      </c>
      <c r="B130" s="2">
        <f>B9/'Output-Calculation-sheet'!B8*'Output-Calculation-sheet'!B107</f>
        <v>39394353400.679886</v>
      </c>
      <c r="C130" s="2">
        <f>C9/'Output-Calculation-sheet'!C8*'Output-Calculation-sheet'!C107</f>
        <v>18564598016.467484</v>
      </c>
      <c r="D130" s="2">
        <f>D9/'Output-Calculation-sheet'!D8*'Output-Calculation-sheet'!D107</f>
        <v>16546077755.865927</v>
      </c>
      <c r="E130" s="2">
        <f>E9/'Output-Calculation-sheet'!E8*'Output-Calculation-sheet'!E107</f>
        <v>13127631940.210215</v>
      </c>
      <c r="F130" s="2">
        <f>F9/'Output-Calculation-sheet'!F8*'Output-Calculation-sheet'!F107</f>
        <v>8450732121.0777578</v>
      </c>
      <c r="G130" s="2">
        <f>G9/'Output-Calculation-sheet'!G8*'Output-Calculation-sheet'!G107</f>
        <v>5937716344.79671</v>
      </c>
      <c r="H130" s="2">
        <f>H9/'Output-Calculation-sheet'!H8*'Output-Calculation-sheet'!H107</f>
        <v>5792012855.8884926</v>
      </c>
      <c r="I130" s="2">
        <f>I9/'Output-Calculation-sheet'!I8*'Output-Calculation-sheet'!I107</f>
        <v>5409726276.9934883</v>
      </c>
      <c r="J130" s="2">
        <f>J9/'Output-Calculation-sheet'!J8*'Output-Calculation-sheet'!J107</f>
        <v>5265452905.1120644</v>
      </c>
      <c r="K130" s="2">
        <f>K9/'Output-Calculation-sheet'!K8*'Output-Calculation-sheet'!K107</f>
        <v>5214974435.1396456</v>
      </c>
      <c r="L130" s="2">
        <f>L9/'Output-Calculation-sheet'!L8*'Output-Calculation-sheet'!L107</f>
        <v>4183520844.5518951</v>
      </c>
      <c r="M130" s="2">
        <f>M9/'Output-Calculation-sheet'!M8*'Output-Calculation-sheet'!M107</f>
        <v>3995984993.766623</v>
      </c>
      <c r="N130" s="2">
        <f>N9/'Output-Calculation-sheet'!N8*'Output-Calculation-sheet'!N107</f>
        <v>3922045958.8566265</v>
      </c>
      <c r="O130" s="2">
        <f>O9/'Output-Calculation-sheet'!O8*'Output-Calculation-sheet'!O107</f>
        <v>3607118225.7282434</v>
      </c>
      <c r="P130" s="2">
        <f>P9/'Output-Calculation-sheet'!P8*'Output-Calculation-sheet'!P107</f>
        <v>3570418415.7443523</v>
      </c>
      <c r="Q130" s="2">
        <f>Q9/'Output-Calculation-sheet'!Q8*'Output-Calculation-sheet'!Q107</f>
        <v>3512715810.0398879</v>
      </c>
      <c r="R130" s="2">
        <f>R9/'Output-Calculation-sheet'!R8*'Output-Calculation-sheet'!R107</f>
        <v>3379393759.3123012</v>
      </c>
      <c r="S130" s="2">
        <f>S9/'Output-Calculation-sheet'!S8*'Output-Calculation-sheet'!S107</f>
        <v>2246117916.2195573</v>
      </c>
      <c r="T130" s="2">
        <f>T9/'Output-Calculation-sheet'!T8*'Output-Calculation-sheet'!T107</f>
        <v>1242236169.4205215</v>
      </c>
      <c r="U130" s="2">
        <f>U9/'Output-Calculation-sheet'!U8*'Output-Calculation-sheet'!U107</f>
        <v>1081944903.8593578</v>
      </c>
      <c r="V130" s="2">
        <f>V9/'Output-Calculation-sheet'!V8*'Output-Calculation-sheet'!V107</f>
        <v>833119214.64233172</v>
      </c>
      <c r="W130" s="2">
        <f>W9/'Output-Calculation-sheet'!W8*'Output-Calculation-sheet'!W107</f>
        <v>721296791.47643936</v>
      </c>
      <c r="X130" s="2">
        <f>X9/'Output-Calculation-sheet'!X8*'Output-Calculation-sheet'!X107</f>
        <v>432777989.9697184</v>
      </c>
      <c r="Y130" s="2">
        <f>Y9/'Output-Calculation-sheet'!Y8*'Output-Calculation-sheet'!Y107</f>
        <v>420872349.74219197</v>
      </c>
      <c r="AA130" s="2">
        <f t="shared" si="11"/>
        <v>156852.83939556166</v>
      </c>
    </row>
    <row r="131" spans="1:27" x14ac:dyDescent="0.25">
      <c r="A131" s="2">
        <v>2033</v>
      </c>
      <c r="B131" s="2">
        <f>B10/'Output-Calculation-sheet'!B9*'Output-Calculation-sheet'!B108</f>
        <v>28211144889.609669</v>
      </c>
      <c r="C131" s="2">
        <f>C10/'Output-Calculation-sheet'!C9*'Output-Calculation-sheet'!C108</f>
        <v>16509002108.485363</v>
      </c>
      <c r="D131" s="2">
        <f>D10/'Output-Calculation-sheet'!D9*'Output-Calculation-sheet'!D108</f>
        <v>11849005717.370317</v>
      </c>
      <c r="E131" s="2">
        <f>E10/'Output-Calculation-sheet'!E9*'Output-Calculation-sheet'!E108</f>
        <v>9400979963.1846409</v>
      </c>
      <c r="F131" s="2">
        <f>F10/'Output-Calculation-sheet'!F9*'Output-Calculation-sheet'!F108</f>
        <v>6051748153.2021446</v>
      </c>
      <c r="G131" s="2">
        <f>G10/'Output-Calculation-sheet'!G9*'Output-Calculation-sheet'!G108</f>
        <v>4252124338.1850405</v>
      </c>
      <c r="H131" s="2">
        <f>H10/'Output-Calculation-sheet'!H9*'Output-Calculation-sheet'!H108</f>
        <v>4147784066.5240321</v>
      </c>
      <c r="I131" s="2">
        <f>I10/'Output-Calculation-sheet'!I9*'Output-Calculation-sheet'!I108</f>
        <v>3874021481.6619554</v>
      </c>
      <c r="J131" s="2">
        <f>J10/'Output-Calculation-sheet'!J9*'Output-Calculation-sheet'!J108</f>
        <v>3770704229.5088544</v>
      </c>
      <c r="K131" s="2">
        <f>K10/'Output-Calculation-sheet'!K9*'Output-Calculation-sheet'!K108</f>
        <v>3734554533.5610728</v>
      </c>
      <c r="L131" s="2">
        <f>L10/'Output-Calculation-sheet'!L9*'Output-Calculation-sheet'!L108</f>
        <v>2995909374.1509929</v>
      </c>
      <c r="M131" s="2">
        <f>M10/'Output-Calculation-sheet'!M9*'Output-Calculation-sheet'!M108</f>
        <v>2861609430.7027602</v>
      </c>
      <c r="N131" s="2">
        <f>N10/'Output-Calculation-sheet'!N9*'Output-Calculation-sheet'!N108</f>
        <v>2808660847.460259</v>
      </c>
      <c r="O131" s="2">
        <f>O10/'Output-Calculation-sheet'!O9*'Output-Calculation-sheet'!O108</f>
        <v>3643373517.5983534</v>
      </c>
      <c r="P131" s="2">
        <f>P10/'Output-Calculation-sheet'!P9*'Output-Calculation-sheet'!P108</f>
        <v>2556854197.1756639</v>
      </c>
      <c r="Q131" s="2">
        <f>Q10/'Output-Calculation-sheet'!Q9*'Output-Calculation-sheet'!Q108</f>
        <v>2515530788.6269317</v>
      </c>
      <c r="R131" s="2">
        <f>R10/'Output-Calculation-sheet'!R9*'Output-Calculation-sheet'!R108</f>
        <v>2420055391.2054586</v>
      </c>
      <c r="S131" s="2">
        <f>S10/'Output-Calculation-sheet'!S9*'Output-Calculation-sheet'!S108</f>
        <v>1608493410.7266078</v>
      </c>
      <c r="T131" s="2">
        <f>T10/'Output-Calculation-sheet'!T9*'Output-Calculation-sheet'!T108</f>
        <v>889591376.38042784</v>
      </c>
      <c r="U131" s="2">
        <f>U10/'Output-Calculation-sheet'!U9*'Output-Calculation-sheet'!U108</f>
        <v>774803845.35443377</v>
      </c>
      <c r="V131" s="2">
        <f>V10/'Output-Calculation-sheet'!V9*'Output-Calculation-sheet'!V108</f>
        <v>596614456.8369385</v>
      </c>
      <c r="W131" s="2">
        <f>W10/'Output-Calculation-sheet'!W9*'Output-Calculation-sheet'!W108</f>
        <v>516535896.7447592</v>
      </c>
      <c r="X131" s="2">
        <f>X10/'Output-Calculation-sheet'!X9*'Output-Calculation-sheet'!X108</f>
        <v>309921477.50850689</v>
      </c>
      <c r="Y131" s="2">
        <f>Y10/'Output-Calculation-sheet'!Y9*'Output-Calculation-sheet'!Y108</f>
        <v>301395597.18734604</v>
      </c>
      <c r="AA131" s="2">
        <f t="shared" si="11"/>
        <v>116600.41908895255</v>
      </c>
    </row>
    <row r="132" spans="1:27" x14ac:dyDescent="0.25">
      <c r="A132" s="2">
        <v>2034</v>
      </c>
      <c r="B132" s="2">
        <f>B11/'Output-Calculation-sheet'!B10*'Output-Calculation-sheet'!B109</f>
        <v>14953067011.196468</v>
      </c>
      <c r="C132" s="2">
        <f>C11/'Output-Calculation-sheet'!C10*'Output-Calculation-sheet'!C109</f>
        <v>16887872511.087461</v>
      </c>
      <c r="D132" s="2">
        <f>D11/'Output-Calculation-sheet'!D10*'Output-Calculation-sheet'!D109</f>
        <v>6280460333.8623095</v>
      </c>
      <c r="E132" s="2">
        <f>E11/'Output-Calculation-sheet'!E10*'Output-Calculation-sheet'!E109</f>
        <v>4982907564.3971672</v>
      </c>
      <c r="F132" s="2">
        <f>F11/'Output-Calculation-sheet'!F10*'Output-Calculation-sheet'!F109</f>
        <v>3207676409.1094022</v>
      </c>
      <c r="G132" s="2">
        <f>G11/'Output-Calculation-sheet'!G10*'Output-Calculation-sheet'!G109</f>
        <v>2253801829.5682178</v>
      </c>
      <c r="H132" s="2">
        <f>H11/'Output-Calculation-sheet'!H10*'Output-Calculation-sheet'!H109</f>
        <v>2198496824.9594293</v>
      </c>
      <c r="I132" s="2">
        <f>I11/'Output-Calculation-sheet'!I10*'Output-Calculation-sheet'!I109</f>
        <v>2053390717.2066269</v>
      </c>
      <c r="J132" s="2">
        <f>J11/'Output-Calculation-sheet'!J10*'Output-Calculation-sheet'!J109</f>
        <v>1998628627.4818265</v>
      </c>
      <c r="K132" s="2">
        <f>K11/'Output-Calculation-sheet'!K10*'Output-Calculation-sheet'!K109</f>
        <v>1979468420.8445594</v>
      </c>
      <c r="L132" s="2">
        <f>L11/'Output-Calculation-sheet'!L10*'Output-Calculation-sheet'!L109</f>
        <v>1587955427.3716416</v>
      </c>
      <c r="M132" s="2">
        <f>M11/'Output-Calculation-sheet'!M10*'Output-Calculation-sheet'!M109</f>
        <v>1516771159.4365194</v>
      </c>
      <c r="N132" s="2">
        <f>N11/'Output-Calculation-sheet'!N10*'Output-Calculation-sheet'!N109</f>
        <v>1488706685.4890332</v>
      </c>
      <c r="O132" s="2">
        <f>O11/'Output-Calculation-sheet'!O10*'Output-Calculation-sheet'!O109</f>
        <v>3695937570.4928889</v>
      </c>
      <c r="P132" s="2">
        <f>P11/'Output-Calculation-sheet'!P10*'Output-Calculation-sheet'!P109</f>
        <v>1355237875.4000838</v>
      </c>
      <c r="Q132" s="2">
        <f>Q11/'Output-Calculation-sheet'!Q10*'Output-Calculation-sheet'!Q109</f>
        <v>1333334986.7280788</v>
      </c>
      <c r="R132" s="2">
        <f>R11/'Output-Calculation-sheet'!R10*'Output-Calculation-sheet'!R109</f>
        <v>1282729486.4152443</v>
      </c>
      <c r="S132" s="2">
        <f>S11/'Output-Calculation-sheet'!S10*'Output-Calculation-sheet'!S109</f>
        <v>852567793.08494222</v>
      </c>
      <c r="T132" s="2">
        <f>T11/'Output-Calculation-sheet'!T10*'Output-Calculation-sheet'!T109</f>
        <v>471520310.71494532</v>
      </c>
      <c r="U132" s="2">
        <f>U11/'Output-Calculation-sheet'!U10*'Output-Calculation-sheet'!U109</f>
        <v>410678095.63393807</v>
      </c>
      <c r="V132" s="2">
        <f>V11/'Output-Calculation-sheet'!V10*'Output-Calculation-sheet'!V109</f>
        <v>316230347.1827783</v>
      </c>
      <c r="W132" s="2">
        <f>W11/'Output-Calculation-sheet'!W10*'Output-Calculation-sheet'!W109</f>
        <v>273785397.07252169</v>
      </c>
      <c r="X132" s="2">
        <f>X11/'Output-Calculation-sheet'!X10*'Output-Calculation-sheet'!X109</f>
        <v>185484839.96197015</v>
      </c>
      <c r="Y132" s="2">
        <f>Y11/'Output-Calculation-sheet'!Y10*'Output-Calculation-sheet'!Y109</f>
        <v>159752161.40429583</v>
      </c>
      <c r="AA132" s="2">
        <f t="shared" si="11"/>
        <v>71726.462386102387</v>
      </c>
    </row>
    <row r="133" spans="1:27" x14ac:dyDescent="0.25">
      <c r="A133" s="2">
        <v>2035</v>
      </c>
      <c r="B133" s="2">
        <f>B12/'Output-Calculation-sheet'!B11*'Output-Calculation-sheet'!B110</f>
        <v>10584398628.053375</v>
      </c>
      <c r="C133" s="2">
        <f>C12/'Output-Calculation-sheet'!C11*'Output-Calculation-sheet'!C110</f>
        <v>17003007758.918705</v>
      </c>
      <c r="D133" s="2">
        <f>D12/'Output-Calculation-sheet'!D11*'Output-Calculation-sheet'!D110</f>
        <v>4619990493.5037136</v>
      </c>
      <c r="E133" s="2">
        <f>E12/'Output-Calculation-sheet'!E11*'Output-Calculation-sheet'!E110</f>
        <v>2213459984.3744287</v>
      </c>
      <c r="F133" s="2">
        <f>F12/'Output-Calculation-sheet'!F11*'Output-Calculation-sheet'!F110</f>
        <v>1689012882.014075</v>
      </c>
      <c r="G133" s="2">
        <f>G12/'Output-Calculation-sheet'!G11*'Output-Calculation-sheet'!G110</f>
        <v>1576813723.5609188</v>
      </c>
      <c r="H133" s="2">
        <f>H12/'Output-Calculation-sheet'!H11*'Output-Calculation-sheet'!H110</f>
        <v>2190681646.5641589</v>
      </c>
      <c r="I133" s="2">
        <f>I12/'Output-Calculation-sheet'!I11*'Output-Calculation-sheet'!I110</f>
        <v>1303135927.1974688</v>
      </c>
      <c r="J133" s="2">
        <f>J12/'Output-Calculation-sheet'!J11*'Output-Calculation-sheet'!J110</f>
        <v>1269100135.4293365</v>
      </c>
      <c r="K133" s="2">
        <f>K12/'Output-Calculation-sheet'!K11*'Output-Calculation-sheet'!K110</f>
        <v>1098048016.1313424</v>
      </c>
      <c r="L133" s="2">
        <f>L12/'Output-Calculation-sheet'!L11*'Output-Calculation-sheet'!L110</f>
        <v>573920550.83510029</v>
      </c>
      <c r="M133" s="2">
        <f>M12/'Output-Calculation-sheet'!M11*'Output-Calculation-sheet'!M110</f>
        <v>1164518874.3853354</v>
      </c>
      <c r="N133" s="2">
        <f>N12/'Output-Calculation-sheet'!N11*'Output-Calculation-sheet'!N110</f>
        <v>1049367329.7531672</v>
      </c>
      <c r="O133" s="2">
        <f>O12/'Output-Calculation-sheet'!O11*'Output-Calculation-sheet'!O110</f>
        <v>3734336487.7120142</v>
      </c>
      <c r="P133" s="2">
        <f>P12/'Output-Calculation-sheet'!P11*'Output-Calculation-sheet'!P110</f>
        <v>773296738.38014042</v>
      </c>
      <c r="Q133" s="2">
        <f>Q12/'Output-Calculation-sheet'!Q11*'Output-Calculation-sheet'!Q110</f>
        <v>1067178506.6730847</v>
      </c>
      <c r="R133" s="2">
        <f>R12/'Output-Calculation-sheet'!R11*'Output-Calculation-sheet'!R110</f>
        <v>653160032.53353095</v>
      </c>
      <c r="S133" s="2">
        <f>S12/'Output-Calculation-sheet'!S11*'Output-Calculation-sheet'!S110</f>
        <v>640658198.92114365</v>
      </c>
      <c r="T133" s="2">
        <f>T12/'Output-Calculation-sheet'!T11*'Output-Calculation-sheet'!T110</f>
        <v>169111326.7615788</v>
      </c>
      <c r="U133" s="2">
        <f>U12/'Output-Calculation-sheet'!U11*'Output-Calculation-sheet'!U110</f>
        <v>333166126.69270545</v>
      </c>
      <c r="V133" s="2">
        <f>V12/'Output-Calculation-sheet'!V11*'Output-Calculation-sheet'!V110</f>
        <v>72856975.424092293</v>
      </c>
      <c r="W133" s="2">
        <f>W12/'Output-Calculation-sheet'!W11*'Output-Calculation-sheet'!W110</f>
        <v>90356818.397932172</v>
      </c>
      <c r="X133" s="2">
        <f>X12/'Output-Calculation-sheet'!X11*'Output-Calculation-sheet'!X110</f>
        <v>183361132.23208672</v>
      </c>
      <c r="Y133" s="2">
        <f>Y12/'Output-Calculation-sheet'!Y11*'Output-Calculation-sheet'!Y110</f>
        <v>79198776.092638195</v>
      </c>
      <c r="AA133" s="2">
        <f t="shared" si="11"/>
        <v>54132.137070542078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1066.1365058506681</v>
      </c>
      <c r="C19" s="2">
        <f>C8/'Output-Calculation-sheet'!C7*'Output-Calculation-sheet'!C25</f>
        <v>16070.128898436597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4794.2379222102854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3323.6913653928082</v>
      </c>
      <c r="N19" s="2">
        <f>N8/'Output-Calculation-sheet'!N7*'Output-Calculation-sheet'!N25</f>
        <v>1137.9095872350333</v>
      </c>
      <c r="O19" s="2">
        <f>O8/'Output-Calculation-sheet'!O7*'Output-Calculation-sheet'!O25</f>
        <v>3108.2880479317555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406.02410396668296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371.35615295955307</v>
      </c>
      <c r="Y19" s="2">
        <f>Y8/'Output-Calculation-sheet'!Y7*'Output-Calculation-sheet'!Y25</f>
        <v>0</v>
      </c>
      <c r="AA19" s="2">
        <f t="shared" si="0"/>
        <v>30.277772583983385</v>
      </c>
    </row>
    <row r="20" spans="1:27" x14ac:dyDescent="0.25">
      <c r="A20" s="2">
        <v>2032</v>
      </c>
      <c r="B20" s="2">
        <f>B9/'Output-Calculation-sheet'!B8*'Output-Calculation-sheet'!B26</f>
        <v>6056.6425089982822</v>
      </c>
      <c r="C20" s="2">
        <f>C9/'Output-Calculation-sheet'!C8*'Output-Calculation-sheet'!C26</f>
        <v>22180.283779037098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6581.2923451501447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4578.9902031459687</v>
      </c>
      <c r="N20" s="2">
        <f>N9/'Output-Calculation-sheet'!N8*'Output-Calculation-sheet'!N26</f>
        <v>2066.2480277421473</v>
      </c>
      <c r="O20" s="2">
        <f>O9/'Output-Calculation-sheet'!O8*'Output-Calculation-sheet'!O26</f>
        <v>4321.7316332741721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750.93063071543463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512.29162448182558</v>
      </c>
      <c r="Y20" s="2">
        <f>Y9/'Output-Calculation-sheet'!Y8*'Output-Calculation-sheet'!Y26</f>
        <v>0</v>
      </c>
      <c r="AA20" s="2">
        <f t="shared" si="0"/>
        <v>47.048410752545074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27717.822865507609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8528.9464929406058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5924.0401508804534</v>
      </c>
      <c r="N21" s="2">
        <f>N10/'Output-Calculation-sheet'!N9*'Output-Calculation-sheet'!N27</f>
        <v>3240.2708767303106</v>
      </c>
      <c r="O21" s="2">
        <f>O10/'Output-Calculation-sheet'!O9*'Output-Calculation-sheet'!O27</f>
        <v>4889.5048085377221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1410.5985654842075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696.63224002156767</v>
      </c>
      <c r="Y21" s="2">
        <f>Y10/'Output-Calculation-sheet'!Y9*'Output-Calculation-sheet'!Y27</f>
        <v>0</v>
      </c>
      <c r="AA21" s="2">
        <f t="shared" si="0"/>
        <v>67.381451095186435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30404.454005756223</v>
      </c>
      <c r="D22" s="2">
        <f>D11/'Output-Calculation-sheet'!D10*'Output-Calculation-sheet'!D28</f>
        <v>0</v>
      </c>
      <c r="E22" s="2">
        <f>E11/'Output-Calculation-sheet'!E10*'Output-Calculation-sheet'!E28</f>
        <v>1498.2672689488857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11977.114966121597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908.24818676402742</v>
      </c>
      <c r="M22" s="2">
        <f>M11/'Output-Calculation-sheet'!M10*'Output-Calculation-sheet'!M28</f>
        <v>8253.4234138509164</v>
      </c>
      <c r="N22" s="2">
        <f>N11/'Output-Calculation-sheet'!N10*'Output-Calculation-sheet'!N28</f>
        <v>4749.8911489101065</v>
      </c>
      <c r="O22" s="2">
        <f>O11/'Output-Calculation-sheet'!O10*'Output-Calculation-sheet'!O28</f>
        <v>5441.2278249485271</v>
      </c>
      <c r="P22" s="2">
        <f>P11/'Output-Calculation-sheet'!P10*'Output-Calculation-sheet'!P28</f>
        <v>0</v>
      </c>
      <c r="Q22" s="2">
        <f>Q11/'Output-Calculation-sheet'!Q10*'Output-Calculation-sheet'!Q28</f>
        <v>1781.3971484285962</v>
      </c>
      <c r="R22" s="2">
        <f>R11/'Output-Calculation-sheet'!R10*'Output-Calculation-sheet'!R28</f>
        <v>0</v>
      </c>
      <c r="S22" s="2">
        <f>S11/'Output-Calculation-sheet'!S10*'Output-Calculation-sheet'!S28</f>
        <v>2408.8696834100037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833.36931105922031</v>
      </c>
      <c r="Y22" s="2">
        <f>Y11/'Output-Calculation-sheet'!Y10*'Output-Calculation-sheet'!Y28</f>
        <v>82.899785381640115</v>
      </c>
      <c r="AA22" s="2">
        <f t="shared" si="0"/>
        <v>98.157312363936299</v>
      </c>
    </row>
    <row r="23" spans="1:27" x14ac:dyDescent="0.25">
      <c r="A23" s="2">
        <v>2035</v>
      </c>
      <c r="B23" s="2">
        <f>B12/'Output-Calculation-sheet'!B11*'Output-Calculation-sheet'!B29</f>
        <v>38843.727491207726</v>
      </c>
      <c r="C23" s="2">
        <f>C12/'Output-Calculation-sheet'!C11*'Output-Calculation-sheet'!C29</f>
        <v>33220.842590654211</v>
      </c>
      <c r="D23" s="2">
        <f>D12/'Output-Calculation-sheet'!D11*'Output-Calculation-sheet'!D29</f>
        <v>0</v>
      </c>
      <c r="E23" s="2">
        <f>E12/'Output-Calculation-sheet'!E11*'Output-Calculation-sheet'!E29</f>
        <v>7417.0741571932404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12889.225731750581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2169.3003597424604</v>
      </c>
      <c r="M23" s="2">
        <f>M12/'Output-Calculation-sheet'!M11*'Output-Calculation-sheet'!M29</f>
        <v>9752.2050429318788</v>
      </c>
      <c r="N23" s="2">
        <f>N12/'Output-Calculation-sheet'!N11*'Output-Calculation-sheet'!N29</f>
        <v>5700.0992853338939</v>
      </c>
      <c r="O23" s="2">
        <f>O12/'Output-Calculation-sheet'!O11*'Output-Calculation-sheet'!O29</f>
        <v>5942.3677757052637</v>
      </c>
      <c r="P23" s="2">
        <f>P12/'Output-Calculation-sheet'!P11*'Output-Calculation-sheet'!P29</f>
        <v>783.01397767142157</v>
      </c>
      <c r="Q23" s="2">
        <f>Q12/'Output-Calculation-sheet'!Q11*'Output-Calculation-sheet'!Q29</f>
        <v>2494.5595790084544</v>
      </c>
      <c r="R23" s="2">
        <f>R12/'Output-Calculation-sheet'!R11*'Output-Calculation-sheet'!R29</f>
        <v>0</v>
      </c>
      <c r="S23" s="2">
        <f>S12/'Output-Calculation-sheet'!S11*'Output-Calculation-sheet'!S29</f>
        <v>2961.5287056061143</v>
      </c>
      <c r="T23" s="2">
        <f>T12/'Output-Calculation-sheet'!T11*'Output-Calculation-sheet'!T29</f>
        <v>0</v>
      </c>
      <c r="U23" s="2">
        <f>U12/'Output-Calculation-sheet'!U11*'Output-Calculation-sheet'!U29</f>
        <v>171.86384245523513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923.70170510891489</v>
      </c>
      <c r="Y23" s="2">
        <f>Y12/'Output-Calculation-sheet'!Y11*'Output-Calculation-sheet'!Y29</f>
        <v>296.01822895562304</v>
      </c>
      <c r="AA23" s="2">
        <f t="shared" si="0"/>
        <v>123.56552847332503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18582.412966417738</v>
      </c>
      <c r="C30" s="2">
        <f>C8/'Output-Calculation-sheet'!C7*'Output-Calculation-sheet'!C16</f>
        <v>0</v>
      </c>
      <c r="D30" s="2">
        <f>D8/'Output-Calculation-sheet'!D7*'Output-Calculation-sheet'!D16</f>
        <v>3129.0326904551193</v>
      </c>
      <c r="E30" s="2">
        <f>E8/'Output-Calculation-sheet'!E7*'Output-Calculation-sheet'!E16</f>
        <v>3366.6623912851305</v>
      </c>
      <c r="F30" s="2">
        <f>F8/'Output-Calculation-sheet'!F7*'Output-Calculation-sheet'!F16</f>
        <v>1698.499091330282</v>
      </c>
      <c r="G30" s="2">
        <f>G8/'Output-Calculation-sheet'!G7*'Output-Calculation-sheet'!G16</f>
        <v>1112.3151713403893</v>
      </c>
      <c r="H30" s="2">
        <f>H8/'Output-Calculation-sheet'!H7*'Output-Calculation-sheet'!H16</f>
        <v>0</v>
      </c>
      <c r="I30" s="2">
        <f>I8/'Output-Calculation-sheet'!I7*'Output-Calculation-sheet'!I16</f>
        <v>1084.3407436506907</v>
      </c>
      <c r="J30" s="2">
        <f>J8/'Output-Calculation-sheet'!J7*'Output-Calculation-sheet'!J16</f>
        <v>965.27176301849681</v>
      </c>
      <c r="K30" s="2">
        <f>K8/'Output-Calculation-sheet'!K7*'Output-Calculation-sheet'!K16</f>
        <v>1288.822305489459</v>
      </c>
      <c r="L30" s="2">
        <f>L8/'Output-Calculation-sheet'!L7*'Output-Calculation-sheet'!L16</f>
        <v>1088.6358351948872</v>
      </c>
      <c r="M30" s="2">
        <f>M8/'Output-Calculation-sheet'!M7*'Output-Calculation-sheet'!M16</f>
        <v>0</v>
      </c>
      <c r="N30" s="2">
        <f>N8/'Output-Calculation-sheet'!N7*'Output-Calculation-sheet'!N16</f>
        <v>1546.3154876619446</v>
      </c>
      <c r="O30" s="2">
        <f>O8/'Output-Calculation-sheet'!O7*'Output-Calculation-sheet'!O16</f>
        <v>0</v>
      </c>
      <c r="P30" s="2">
        <f>P8/'Output-Calculation-sheet'!P7*'Output-Calculation-sheet'!P16</f>
        <v>1389.7776216475288</v>
      </c>
      <c r="Q30" s="2">
        <f>Q8/'Output-Calculation-sheet'!Q7*'Output-Calculation-sheet'!Q16</f>
        <v>1528.2963960844288</v>
      </c>
      <c r="R30" s="2">
        <f>R8/'Output-Calculation-sheet'!R7*'Output-Calculation-sheet'!R16</f>
        <v>969.71070587878648</v>
      </c>
      <c r="S30" s="2">
        <f>S8/'Output-Calculation-sheet'!S7*'Output-Calculation-sheet'!S16</f>
        <v>975.24461930261305</v>
      </c>
      <c r="T30" s="2">
        <f>T8/'Output-Calculation-sheet'!T7*'Output-Calculation-sheet'!T16</f>
        <v>291.09321504972166</v>
      </c>
      <c r="U30" s="2">
        <f>U8/'Output-Calculation-sheet'!U7*'Output-Calculation-sheet'!U16</f>
        <v>290.57289330927642</v>
      </c>
      <c r="V30" s="2">
        <f>V8/'Output-Calculation-sheet'!V7*'Output-Calculation-sheet'!V16</f>
        <v>226.14735951590188</v>
      </c>
      <c r="W30" s="2">
        <f>W8/'Output-Calculation-sheet'!W7*'Output-Calculation-sheet'!W16</f>
        <v>137.16977420827521</v>
      </c>
      <c r="X30" s="2">
        <f>X8/'Output-Calculation-sheet'!X7*'Output-Calculation-sheet'!X16</f>
        <v>0</v>
      </c>
      <c r="Y30" s="2">
        <f>Y8/'Output-Calculation-sheet'!Y7*'Output-Calculation-sheet'!Y16</f>
        <v>116.09861939957794</v>
      </c>
      <c r="AA30" s="2">
        <f t="shared" si="1"/>
        <v>39.786419650240255</v>
      </c>
    </row>
    <row r="31" spans="1:27" x14ac:dyDescent="0.25">
      <c r="A31" s="2">
        <v>2032</v>
      </c>
      <c r="B31" s="2">
        <f>B9/'Output-Calculation-sheet'!B8*'Output-Calculation-sheet'!B17</f>
        <v>25645.825422024202</v>
      </c>
      <c r="C31" s="2">
        <f>C9/'Output-Calculation-sheet'!C8*'Output-Calculation-sheet'!C17</f>
        <v>0</v>
      </c>
      <c r="D31" s="2">
        <f>D9/'Output-Calculation-sheet'!D8*'Output-Calculation-sheet'!D17</f>
        <v>4301.1416437163252</v>
      </c>
      <c r="E31" s="2">
        <f>E9/'Output-Calculation-sheet'!E8*'Output-Calculation-sheet'!E17</f>
        <v>5055.4043448917073</v>
      </c>
      <c r="F31" s="2">
        <f>F9/'Output-Calculation-sheet'!F8*'Output-Calculation-sheet'!F17</f>
        <v>2334.7992305189059</v>
      </c>
      <c r="G31" s="2">
        <f>G9/'Output-Calculation-sheet'!G8*'Output-Calculation-sheet'!G17</f>
        <v>1529.0020221615491</v>
      </c>
      <c r="H31" s="2">
        <f>H9/'Output-Calculation-sheet'!H8*'Output-Calculation-sheet'!H17</f>
        <v>0</v>
      </c>
      <c r="I31" s="2">
        <f>I9/'Output-Calculation-sheet'!I8*'Output-Calculation-sheet'!I17</f>
        <v>1490.5550137869852</v>
      </c>
      <c r="J31" s="2">
        <f>J9/'Output-Calculation-sheet'!J8*'Output-Calculation-sheet'!J17</f>
        <v>1326.88126639794</v>
      </c>
      <c r="K31" s="2">
        <f>K9/'Output-Calculation-sheet'!K8*'Output-Calculation-sheet'!K17</f>
        <v>1889.1266172036653</v>
      </c>
      <c r="L31" s="2">
        <f>L9/'Output-Calculation-sheet'!L8*'Output-Calculation-sheet'!L17</f>
        <v>1611.0929044120194</v>
      </c>
      <c r="M31" s="2">
        <f>M9/'Output-Calculation-sheet'!M8*'Output-Calculation-sheet'!M17</f>
        <v>0</v>
      </c>
      <c r="N31" s="2">
        <f>N9/'Output-Calculation-sheet'!N8*'Output-Calculation-sheet'!N17</f>
        <v>1751.4227631635456</v>
      </c>
      <c r="O31" s="2">
        <f>O9/'Output-Calculation-sheet'!O8*'Output-Calculation-sheet'!O17</f>
        <v>0</v>
      </c>
      <c r="P31" s="2">
        <f>P9/'Output-Calculation-sheet'!P8*'Output-Calculation-sheet'!P17</f>
        <v>2173.7874892805353</v>
      </c>
      <c r="Q31" s="2">
        <f>Q9/'Output-Calculation-sheet'!Q8*'Output-Calculation-sheet'!Q17</f>
        <v>2317.4571845365513</v>
      </c>
      <c r="R31" s="2">
        <f>R9/'Output-Calculation-sheet'!R8*'Output-Calculation-sheet'!R17</f>
        <v>1516.2029663160447</v>
      </c>
      <c r="S31" s="2">
        <f>S9/'Output-Calculation-sheet'!S8*'Output-Calculation-sheet'!S17</f>
        <v>1304.6253667328633</v>
      </c>
      <c r="T31" s="2">
        <f>T9/'Output-Calculation-sheet'!T8*'Output-Calculation-sheet'!T17</f>
        <v>411.43275239948019</v>
      </c>
      <c r="U31" s="2">
        <f>U9/'Output-Calculation-sheet'!U8*'Output-Calculation-sheet'!U17</f>
        <v>472.86739791100109</v>
      </c>
      <c r="V31" s="2">
        <f>V9/'Output-Calculation-sheet'!V8*'Output-Calculation-sheet'!V17</f>
        <v>338.69248007853656</v>
      </c>
      <c r="W31" s="2">
        <f>W9/'Output-Calculation-sheet'!W8*'Output-Calculation-sheet'!W17</f>
        <v>188.55809486404564</v>
      </c>
      <c r="X31" s="2">
        <f>X9/'Output-Calculation-sheet'!X8*'Output-Calculation-sheet'!X17</f>
        <v>0</v>
      </c>
      <c r="Y31" s="2">
        <f>Y9/'Output-Calculation-sheet'!Y8*'Output-Calculation-sheet'!Y17</f>
        <v>182.18797123173701</v>
      </c>
      <c r="AA31" s="2">
        <f t="shared" si="1"/>
        <v>55.841062931627633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1823.144790586952</v>
      </c>
      <c r="O32" s="2">
        <f>O10/'Output-Calculation-sheet'!O9*'Output-Calculation-sheet'!O18</f>
        <v>0</v>
      </c>
      <c r="P32" s="2">
        <f>P10/'Output-Calculation-sheet'!P9*'Output-Calculation-sheet'!P18</f>
        <v>2934.8947431391662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2110.4953412775631</v>
      </c>
      <c r="S32" s="2">
        <f>S10/'Output-Calculation-sheet'!S9*'Output-Calculation-sheet'!S18</f>
        <v>1379.3352882833553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681.31628477265895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71.886633686912262</v>
      </c>
    </row>
    <row r="33" spans="1:27" x14ac:dyDescent="0.25">
      <c r="A33" s="2">
        <v>2034</v>
      </c>
      <c r="B33" s="2">
        <f>B11/'Output-Calculation-sheet'!B10*'Output-Calculation-sheet'!B19</f>
        <v>30076.336814073129</v>
      </c>
      <c r="C33" s="2">
        <f>C11/'Output-Calculation-sheet'!C10*'Output-Calculation-sheet'!C19</f>
        <v>0</v>
      </c>
      <c r="D33" s="2">
        <f>D11/'Output-Calculation-sheet'!D10*'Output-Calculation-sheet'!D19</f>
        <v>8970.5503563551447</v>
      </c>
      <c r="E33" s="2">
        <f>E11/'Output-Calculation-sheet'!E10*'Output-Calculation-sheet'!E19</f>
        <v>11143.972280124908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3053.9711246518132</v>
      </c>
      <c r="H33" s="2">
        <f>H11/'Output-Calculation-sheet'!H10*'Output-Calculation-sheet'!H19</f>
        <v>0</v>
      </c>
      <c r="I33" s="2">
        <f>I11/'Output-Calculation-sheet'!I10*'Output-Calculation-sheet'!I19</f>
        <v>3332.1171049745117</v>
      </c>
      <c r="J33" s="2">
        <f>J11/'Output-Calculation-sheet'!J10*'Output-Calculation-sheet'!J19</f>
        <v>2823.1124349845404</v>
      </c>
      <c r="K33" s="2">
        <f>K11/'Output-Calculation-sheet'!K10*'Output-Calculation-sheet'!K19</f>
        <v>3909.1817719926216</v>
      </c>
      <c r="L33" s="2">
        <f>L11/'Output-Calculation-sheet'!L10*'Output-Calculation-sheet'!L19</f>
        <v>3182.0000277418103</v>
      </c>
      <c r="M33" s="2">
        <f>M11/'Output-Calculation-sheet'!M10*'Output-Calculation-sheet'!M19</f>
        <v>0</v>
      </c>
      <c r="N33" s="2">
        <f>N11/'Output-Calculation-sheet'!N10*'Output-Calculation-sheet'!N19</f>
        <v>1797.8657758738816</v>
      </c>
      <c r="O33" s="2">
        <f>O11/'Output-Calculation-sheet'!O10*'Output-Calculation-sheet'!O19</f>
        <v>0</v>
      </c>
      <c r="P33" s="2">
        <f>P11/'Output-Calculation-sheet'!P10*'Output-Calculation-sheet'!P19</f>
        <v>3955.9421205746003</v>
      </c>
      <c r="Q33" s="2">
        <f>Q11/'Output-Calculation-sheet'!Q10*'Output-Calculation-sheet'!Q19</f>
        <v>3167.4761283359567</v>
      </c>
      <c r="R33" s="2">
        <f>R11/'Output-Calculation-sheet'!R10*'Output-Calculation-sheet'!R19</f>
        <v>2824.3576773219556</v>
      </c>
      <c r="S33" s="2">
        <f>S11/'Output-Calculation-sheet'!S10*'Output-Calculation-sheet'!S19</f>
        <v>1320.1252670345445</v>
      </c>
      <c r="T33" s="2">
        <f>T11/'Output-Calculation-sheet'!T10*'Output-Calculation-sheet'!T19</f>
        <v>828.78399075824007</v>
      </c>
      <c r="U33" s="2">
        <f>U11/'Output-Calculation-sheet'!U10*'Output-Calculation-sheet'!U19</f>
        <v>953.86547991263069</v>
      </c>
      <c r="V33" s="2">
        <f>V11/'Output-Calculation-sheet'!V10*'Output-Calculation-sheet'!V19</f>
        <v>650.7956153662044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127.98643424811475</v>
      </c>
      <c r="Y33" s="2">
        <f>Y11/'Output-Calculation-sheet'!Y10*'Output-Calculation-sheet'!Y19</f>
        <v>364.75905567921649</v>
      </c>
      <c r="AA33" s="2">
        <f t="shared" si="1"/>
        <v>87.987359885784457</v>
      </c>
    </row>
    <row r="34" spans="1:27" x14ac:dyDescent="0.25">
      <c r="A34" s="2">
        <v>2035</v>
      </c>
      <c r="B34" s="2">
        <f>B12/'Output-Calculation-sheet'!B11*'Output-Calculation-sheet'!B20</f>
        <v>30115.343491807125</v>
      </c>
      <c r="C34" s="2">
        <f>C12/'Output-Calculation-sheet'!C11*'Output-Calculation-sheet'!C20</f>
        <v>0</v>
      </c>
      <c r="D34" s="2">
        <f>D12/'Output-Calculation-sheet'!D11*'Output-Calculation-sheet'!D20</f>
        <v>10404.862362315336</v>
      </c>
      <c r="E34" s="2">
        <f>E12/'Output-Calculation-sheet'!E11*'Output-Calculation-sheet'!E20</f>
        <v>10107.319780289103</v>
      </c>
      <c r="F34" s="2">
        <f>F12/'Output-Calculation-sheet'!F11*'Output-Calculation-sheet'!F20</f>
        <v>6621.1177593340517</v>
      </c>
      <c r="G34" s="2">
        <f>G12/'Output-Calculation-sheet'!G11*'Output-Calculation-sheet'!G20</f>
        <v>3513.2022521218432</v>
      </c>
      <c r="H34" s="2">
        <f>H12/'Output-Calculation-sheet'!H11*'Output-Calculation-sheet'!H20</f>
        <v>0</v>
      </c>
      <c r="I34" s="2">
        <f>I12/'Output-Calculation-sheet'!I11*'Output-Calculation-sheet'!I20</f>
        <v>4041.6876489390884</v>
      </c>
      <c r="J34" s="2">
        <f>J12/'Output-Calculation-sheet'!J11*'Output-Calculation-sheet'!J20</f>
        <v>3429.4795726887164</v>
      </c>
      <c r="K34" s="2">
        <f>K12/'Output-Calculation-sheet'!K11*'Output-Calculation-sheet'!K20</f>
        <v>4830.551900699109</v>
      </c>
      <c r="L34" s="2">
        <f>L12/'Output-Calculation-sheet'!L11*'Output-Calculation-sheet'!L20</f>
        <v>3525.7508356389349</v>
      </c>
      <c r="M34" s="2">
        <f>M12/'Output-Calculation-sheet'!M11*'Output-Calculation-sheet'!M20</f>
        <v>0</v>
      </c>
      <c r="N34" s="2">
        <f>N12/'Output-Calculation-sheet'!N11*'Output-Calculation-sheet'!N20</f>
        <v>1863.9766850422966</v>
      </c>
      <c r="O34" s="2">
        <f>O12/'Output-Calculation-sheet'!O11*'Output-Calculation-sheet'!O20</f>
        <v>0</v>
      </c>
      <c r="P34" s="2">
        <f>P12/'Output-Calculation-sheet'!P11*'Output-Calculation-sheet'!P20</f>
        <v>4207.0669166711996</v>
      </c>
      <c r="Q34" s="2">
        <f>Q12/'Output-Calculation-sheet'!Q11*'Output-Calculation-sheet'!Q20</f>
        <v>3118.6021442161277</v>
      </c>
      <c r="R34" s="2">
        <f>R12/'Output-Calculation-sheet'!R11*'Output-Calculation-sheet'!R20</f>
        <v>3540.9393732395679</v>
      </c>
      <c r="S34" s="2">
        <f>S12/'Output-Calculation-sheet'!S11*'Output-Calculation-sheet'!S20</f>
        <v>1296.0455457060816</v>
      </c>
      <c r="T34" s="2">
        <f>T12/'Output-Calculation-sheet'!T11*'Output-Calculation-sheet'!T20</f>
        <v>1057.7856089832453</v>
      </c>
      <c r="U34" s="2">
        <f>U12/'Output-Calculation-sheet'!U11*'Output-Calculation-sheet'!U20</f>
        <v>968.06170409359777</v>
      </c>
      <c r="V34" s="2">
        <f>V12/'Output-Calculation-sheet'!V11*'Output-Calculation-sheet'!V20</f>
        <v>935.59948016687576</v>
      </c>
      <c r="W34" s="2">
        <f>W12/'Output-Calculation-sheet'!W11*'Output-Calculation-sheet'!W20</f>
        <v>568.04952258876972</v>
      </c>
      <c r="X34" s="2">
        <f>X12/'Output-Calculation-sheet'!X11*'Output-Calculation-sheet'!X20</f>
        <v>120.18901695822117</v>
      </c>
      <c r="Y34" s="2">
        <f>Y12/'Output-Calculation-sheet'!Y11*'Output-Calculation-sheet'!Y20</f>
        <v>308.34011083591002</v>
      </c>
      <c r="AA34" s="2">
        <f t="shared" si="1"/>
        <v>94.573971712335194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1.1984358088422977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0.23282383700484538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1.4312596458471432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1.2734475542764279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0.24739660115587309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1.5504351942387282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2.6844744751692904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0.52152117204696102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12.853376104972822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31098.201490914769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6728.4478749435502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4629.8305542844328</v>
      </c>
      <c r="N52" s="2">
        <f>N8/'Output-Calculation-sheet'!N7*'Output-Calculation-sheet'!N43</f>
        <v>147.9798543147466</v>
      </c>
      <c r="O52" s="2">
        <f>O8/'Output-Calculation-sheet'!O7*'Output-Calculation-sheet'!O43</f>
        <v>6300.4672488204078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598.74841190160566</v>
      </c>
      <c r="Y52" s="2">
        <f>Y8/'Output-Calculation-sheet'!Y7*'Output-Calculation-sheet'!Y43</f>
        <v>0</v>
      </c>
      <c r="AA52" s="2">
        <f t="shared" si="3"/>
        <v>49.503675435179517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56378.462482728806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13204.272895843887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9023.7418972425894</v>
      </c>
      <c r="N53" s="2">
        <f>N9/'Output-Calculation-sheet'!N8*'Output-Calculation-sheet'!N44</f>
        <v>3213.9556634631444</v>
      </c>
      <c r="O53" s="2">
        <f>O9/'Output-Calculation-sheet'!O8*'Output-Calculation-sheet'!O44</f>
        <v>11180.606805427513</v>
      </c>
      <c r="P53" s="2">
        <f>P9/'Output-Calculation-sheet'!P8*'Output-Calculation-sheet'!P44</f>
        <v>150.33498374131662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1002.7955627566363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1128.4256549047445</v>
      </c>
      <c r="Y53" s="2">
        <f>Y9/'Output-Calculation-sheet'!Y8*'Output-Calculation-sheet'!Y44</f>
        <v>0</v>
      </c>
      <c r="AA53" s="2">
        <f t="shared" si="3"/>
        <v>95.282595946108628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68226.740345495724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12601.079599297334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1388.1334911275285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501.67412292555008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161.96644988776873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73502.499185428896</v>
      </c>
      <c r="D55" s="2">
        <f>D11/'Output-Calculation-sheet'!D10*'Output-Calculation-sheet'!D46</f>
        <v>7916.2101208803879</v>
      </c>
      <c r="E55" s="2">
        <f>E11/'Output-Calculation-sheet'!E10*'Output-Calculation-sheet'!E46</f>
        <v>9672.8361369259364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26374.493778538719</v>
      </c>
      <c r="I55" s="2">
        <f>I11/'Output-Calculation-sheet'!I10*'Output-Calculation-sheet'!I46</f>
        <v>1915.6153410414277</v>
      </c>
      <c r="J55" s="2">
        <f>J11/'Output-Calculation-sheet'!J10*'Output-Calculation-sheet'!J46</f>
        <v>1358.6783518678326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18077.248650952799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13498.305782364303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5419.7831577491315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6771.9924027663483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1560.2183303734212</v>
      </c>
      <c r="V55" s="2">
        <f>V11/'Output-Calculation-sheet'!V10*'Output-Calculation-sheet'!V46</f>
        <v>626.59887327578667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1866.3120089316831</v>
      </c>
      <c r="Y55" s="2">
        <f>Y11/'Output-Calculation-sheet'!Y10*'Output-Calculation-sheet'!Y46</f>
        <v>478.43659186865875</v>
      </c>
      <c r="AA55" s="2">
        <f t="shared" si="3"/>
        <v>287.55456715830195</v>
      </c>
    </row>
    <row r="56" spans="1:27" x14ac:dyDescent="0.25">
      <c r="A56" s="2">
        <v>2035</v>
      </c>
      <c r="B56" s="2">
        <f>B12/'Output-Calculation-sheet'!B11*'Output-Calculation-sheet'!B47</f>
        <v>116593.44833645818</v>
      </c>
      <c r="C56" s="2">
        <f>C12/'Output-Calculation-sheet'!C11*'Output-Calculation-sheet'!C47</f>
        <v>78650.392518117806</v>
      </c>
      <c r="D56" s="2">
        <f>D12/'Output-Calculation-sheet'!D11*'Output-Calculation-sheet'!D47</f>
        <v>17000.556981760405</v>
      </c>
      <c r="E56" s="2">
        <f>E12/'Output-Calculation-sheet'!E11*'Output-Calculation-sheet'!E47</f>
        <v>30751.821733071371</v>
      </c>
      <c r="F56" s="2">
        <f>F12/'Output-Calculation-sheet'!F11*'Output-Calculation-sheet'!F47</f>
        <v>3440.6791077416183</v>
      </c>
      <c r="G56" s="2">
        <f>G12/'Output-Calculation-sheet'!G11*'Output-Calculation-sheet'!G47</f>
        <v>7819.5042725153653</v>
      </c>
      <c r="H56" s="2">
        <f>H12/'Output-Calculation-sheet'!H11*'Output-Calculation-sheet'!H47</f>
        <v>28052.911978063708</v>
      </c>
      <c r="I56" s="2">
        <f>I12/'Output-Calculation-sheet'!I11*'Output-Calculation-sheet'!I47</f>
        <v>5047.7348576305803</v>
      </c>
      <c r="J56" s="2">
        <f>J12/'Output-Calculation-sheet'!J11*'Output-Calculation-sheet'!J47</f>
        <v>4962.2962498724819</v>
      </c>
      <c r="K56" s="2">
        <f>K12/'Output-Calculation-sheet'!K11*'Output-Calculation-sheet'!K47</f>
        <v>6879.431951259925</v>
      </c>
      <c r="L56" s="2">
        <f>L12/'Output-Calculation-sheet'!L11*'Output-Calculation-sheet'!L47</f>
        <v>6416.9590933874879</v>
      </c>
      <c r="M56" s="2">
        <f>M12/'Output-Calculation-sheet'!M11*'Output-Calculation-sheet'!M47</f>
        <v>19951.574755061574</v>
      </c>
      <c r="N56" s="2">
        <f>N12/'Output-Calculation-sheet'!N11*'Output-Calculation-sheet'!N47</f>
        <v>16545.259548997965</v>
      </c>
      <c r="O56" s="2">
        <f>O12/'Output-Calculation-sheet'!O11*'Output-Calculation-sheet'!O47</f>
        <v>14456.200909371901</v>
      </c>
      <c r="P56" s="2">
        <f>P12/'Output-Calculation-sheet'!P11*'Output-Calculation-sheet'!P47</f>
        <v>8106.6255243462483</v>
      </c>
      <c r="Q56" s="2">
        <f>Q12/'Output-Calculation-sheet'!Q11*'Output-Calculation-sheet'!Q47</f>
        <v>7645.3697162203725</v>
      </c>
      <c r="R56" s="2">
        <f>R12/'Output-Calculation-sheet'!R11*'Output-Calculation-sheet'!R47</f>
        <v>6218.787685690465</v>
      </c>
      <c r="S56" s="2">
        <f>S12/'Output-Calculation-sheet'!S11*'Output-Calculation-sheet'!S47</f>
        <v>8275.9196272862337</v>
      </c>
      <c r="T56" s="2">
        <f>T12/'Output-Calculation-sheet'!T11*'Output-Calculation-sheet'!T47</f>
        <v>2229.8199429590945</v>
      </c>
      <c r="U56" s="2">
        <f>U12/'Output-Calculation-sheet'!U11*'Output-Calculation-sheet'!U47</f>
        <v>2117.2923737607707</v>
      </c>
      <c r="V56" s="2">
        <f>V12/'Output-Calculation-sheet'!V11*'Output-Calculation-sheet'!V47</f>
        <v>1299.7592692503908</v>
      </c>
      <c r="W56" s="2">
        <f>W12/'Output-Calculation-sheet'!W11*'Output-Calculation-sheet'!W47</f>
        <v>754.90436639427662</v>
      </c>
      <c r="X56" s="2">
        <f>X12/'Output-Calculation-sheet'!X11*'Output-Calculation-sheet'!X47</f>
        <v>2010.9020592827808</v>
      </c>
      <c r="Y56" s="2">
        <f>Y12/'Output-Calculation-sheet'!Y11*'Output-Calculation-sheet'!Y47</f>
        <v>1130.0118801720196</v>
      </c>
      <c r="AA56" s="2">
        <f t="shared" si="3"/>
        <v>396.35816473867294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7.236996513965793</v>
      </c>
      <c r="C63" s="2">
        <f>C8*'Output-Calculation-sheet'!C52/10^9</f>
        <v>4.5637281599328166</v>
      </c>
      <c r="D63" s="2">
        <f>D8*'Output-Calculation-sheet'!D52/10^9</f>
        <v>2.4817043971928805</v>
      </c>
      <c r="E63" s="2">
        <f>E8*'Output-Calculation-sheet'!E52/10^9</f>
        <v>2.4674922607324539</v>
      </c>
      <c r="F63" s="2">
        <f>F8*'Output-Calculation-sheet'!F52/10^9</f>
        <v>1.0449836004469275</v>
      </c>
      <c r="G63" s="2">
        <f>G8*'Output-Calculation-sheet'!G52/10^9</f>
        <v>0.75129508877212681</v>
      </c>
      <c r="H63" s="2">
        <f>H8*'Output-Calculation-sheet'!H52/10^9</f>
        <v>1.312362160657079</v>
      </c>
      <c r="I63" s="2">
        <f>I8*'Output-Calculation-sheet'!I52/10^9</f>
        <v>0.69887895041560932</v>
      </c>
      <c r="J63" s="2">
        <f>J8*'Output-Calculation-sheet'!J52/10^9</f>
        <v>0.96170574642420437</v>
      </c>
      <c r="K63" s="2">
        <f>K8*'Output-Calculation-sheet'!K52/10^9</f>
        <v>0.84494184675461204</v>
      </c>
      <c r="L63" s="2">
        <f>L8*'Output-Calculation-sheet'!L52/10^9</f>
        <v>1.1364858365162591</v>
      </c>
      <c r="M63" s="2">
        <f>M8*'Output-Calculation-sheet'!M52/10^9</f>
        <v>1.0651963659880852</v>
      </c>
      <c r="N63" s="2">
        <f>N8*'Output-Calculation-sheet'!N52/10^9</f>
        <v>0.88901117574039412</v>
      </c>
      <c r="O63" s="2">
        <f>O8*'Output-Calculation-sheet'!O52/10^9</f>
        <v>0.94800333698878436</v>
      </c>
      <c r="P63" s="2">
        <f>P8*'Output-Calculation-sheet'!P52/10^9</f>
        <v>0.58383309651715654</v>
      </c>
      <c r="Q63" s="2">
        <f>Q8*'Output-Calculation-sheet'!Q52/10^9</f>
        <v>0.66072437188553634</v>
      </c>
      <c r="R63" s="2">
        <f>R8*'Output-Calculation-sheet'!R52/10^9</f>
        <v>0.59319999580281479</v>
      </c>
      <c r="S63" s="2">
        <f>S8*'Output-Calculation-sheet'!S52/10^9</f>
        <v>0.43958483183547586</v>
      </c>
      <c r="T63" s="2">
        <f>T8*'Output-Calculation-sheet'!T52/10^9</f>
        <v>0.22552708510002226</v>
      </c>
      <c r="U63" s="2">
        <f>U8*'Output-Calculation-sheet'!U52/10^9</f>
        <v>0.15488949442089528</v>
      </c>
      <c r="V63" s="2">
        <f>V8*'Output-Calculation-sheet'!V52/10^9</f>
        <v>0.27489245972979764</v>
      </c>
      <c r="W63" s="2">
        <f>W8*'Output-Calculation-sheet'!W52/10^9</f>
        <v>9.9498383832303583E-2</v>
      </c>
      <c r="X63" s="2">
        <f>X8*'Output-Calculation-sheet'!X52/10^9</f>
        <v>0.11452034433062905</v>
      </c>
      <c r="Y63" s="2">
        <f>Y8*'Output-Calculation-sheet'!Y52/10^9</f>
        <v>6.4919864940444896E-2</v>
      </c>
      <c r="AA63" s="2">
        <f t="shared" si="4"/>
        <v>29.614375368923106</v>
      </c>
    </row>
    <row r="64" spans="1:27" x14ac:dyDescent="0.25">
      <c r="A64" s="2">
        <v>2032</v>
      </c>
      <c r="B64" s="2">
        <f>B9*'Output-Calculation-sheet'!B53/10^9</f>
        <v>7.5938930684044674</v>
      </c>
      <c r="C64" s="2">
        <f>C9*'Output-Calculation-sheet'!C53/10^9</f>
        <v>5.1269005879208311</v>
      </c>
      <c r="D64" s="2">
        <f>D9*'Output-Calculation-sheet'!D53/10^9</f>
        <v>2.247335002896425</v>
      </c>
      <c r="E64" s="2">
        <f>E9*'Output-Calculation-sheet'!E53/10^9</f>
        <v>2.3013806116580979</v>
      </c>
      <c r="F64" s="2">
        <f>F9*'Output-Calculation-sheet'!F53/10^9</f>
        <v>0.97070872610345105</v>
      </c>
      <c r="G64" s="2">
        <f>G9*'Output-Calculation-sheet'!G53/10^9</f>
        <v>0.69092004224120251</v>
      </c>
      <c r="H64" s="2">
        <f>H9*'Output-Calculation-sheet'!H53/10^9</f>
        <v>1.4196937441734292</v>
      </c>
      <c r="I64" s="2">
        <f>I9*'Output-Calculation-sheet'!I53/10^9</f>
        <v>0.64589742544846174</v>
      </c>
      <c r="J64" s="2">
        <f>J9*'Output-Calculation-sheet'!J53/10^9</f>
        <v>0.85503778971010291</v>
      </c>
      <c r="K64" s="2">
        <f>K9*'Output-Calculation-sheet'!K53/10^9</f>
        <v>0.79335670024235483</v>
      </c>
      <c r="L64" s="2">
        <f>L9*'Output-Calculation-sheet'!L53/10^9</f>
        <v>1.0206468229247567</v>
      </c>
      <c r="M64" s="2">
        <f>M9*'Output-Calculation-sheet'!M53/10^9</f>
        <v>1.1126805587304829</v>
      </c>
      <c r="N64" s="2">
        <f>N9*'Output-Calculation-sheet'!N53/10^9</f>
        <v>0.93667018717460893</v>
      </c>
      <c r="O64" s="2">
        <f>O9*'Output-Calculation-sheet'!O53/10^9</f>
        <v>1.0603732399088892</v>
      </c>
      <c r="P64" s="2">
        <f>P9*'Output-Calculation-sheet'!P53/10^9</f>
        <v>0.60487040126936509</v>
      </c>
      <c r="Q64" s="2">
        <f>Q9*'Output-Calculation-sheet'!Q53/10^9</f>
        <v>0.66848330047861837</v>
      </c>
      <c r="R64" s="2">
        <f>R9*'Output-Calculation-sheet'!R53/10^9</f>
        <v>0.57304727114845033</v>
      </c>
      <c r="S64" s="2">
        <f>S9*'Output-Calculation-sheet'!S53/10^9</f>
        <v>0.47346436045157581</v>
      </c>
      <c r="T64" s="2">
        <f>T9*'Output-Calculation-sheet'!T53/10^9</f>
        <v>0.20599557834558216</v>
      </c>
      <c r="U64" s="2">
        <f>U9*'Output-Calculation-sheet'!U53/10^9</f>
        <v>0.15504850245771118</v>
      </c>
      <c r="V64" s="2">
        <f>V9*'Output-Calculation-sheet'!V53/10^9</f>
        <v>0.24450290657123158</v>
      </c>
      <c r="W64" s="2">
        <f>W9*'Output-Calculation-sheet'!W53/10^9</f>
        <v>9.0852873098539316E-2</v>
      </c>
      <c r="X64" s="2">
        <f>X9*'Output-Calculation-sheet'!X53/10^9</f>
        <v>0.12332056716072395</v>
      </c>
      <c r="Y64" s="2">
        <f>Y9*'Output-Calculation-sheet'!Y53/10^9</f>
        <v>6.3654477359089856E-2</v>
      </c>
      <c r="AA64" s="2">
        <f t="shared" si="4"/>
        <v>29.978734745878448</v>
      </c>
    </row>
    <row r="65" spans="1:27" x14ac:dyDescent="0.25">
      <c r="A65" s="2">
        <v>2033</v>
      </c>
      <c r="B65" s="2">
        <f>B10*'Output-Calculation-sheet'!B54/10^9</f>
        <v>8.1276320839754046</v>
      </c>
      <c r="C65" s="2">
        <f>C10*'Output-Calculation-sheet'!C54/10^9</f>
        <v>5.6863293218525559</v>
      </c>
      <c r="D65" s="2">
        <f>D10*'Output-Calculation-sheet'!D54/10^9</f>
        <v>1.9201510265144588</v>
      </c>
      <c r="E65" s="2">
        <f>E10*'Output-Calculation-sheet'!E54/10^9</f>
        <v>2.1620680979433948</v>
      </c>
      <c r="F65" s="2">
        <f>F10*'Output-Calculation-sheet'!F54/10^9</f>
        <v>0.87776264825614114</v>
      </c>
      <c r="G65" s="2">
        <f>G10*'Output-Calculation-sheet'!G54/10^9</f>
        <v>0.60266345579300828</v>
      </c>
      <c r="H65" s="2">
        <f>H10*'Output-Calculation-sheet'!H54/10^9</f>
        <v>1.4893472333347415</v>
      </c>
      <c r="I65" s="2">
        <f>I10*'Output-Calculation-sheet'!I54/10^9</f>
        <v>0.58682961641050557</v>
      </c>
      <c r="J65" s="2">
        <f>J10*'Output-Calculation-sheet'!J54/10^9</f>
        <v>0.70139227665767179</v>
      </c>
      <c r="K65" s="2">
        <f>K10*'Output-Calculation-sheet'!K54/10^9</f>
        <v>0.74829264882452884</v>
      </c>
      <c r="L65" s="2">
        <f>L10*'Output-Calculation-sheet'!L54/10^9</f>
        <v>0.8838909934606447</v>
      </c>
      <c r="M65" s="2">
        <f>M10*'Output-Calculation-sheet'!M54/10^9</f>
        <v>1.124565362909834</v>
      </c>
      <c r="N65" s="2">
        <f>N10*'Output-Calculation-sheet'!N54/10^9</f>
        <v>0.97107805211328202</v>
      </c>
      <c r="O65" s="2">
        <f>O10*'Output-Calculation-sheet'!O54/10^9</f>
        <v>1.1631734578051873</v>
      </c>
      <c r="P65" s="2">
        <f>P10*'Output-Calculation-sheet'!P54/10^9</f>
        <v>0.63316757672771184</v>
      </c>
      <c r="Q65" s="2">
        <f>Q10*'Output-Calculation-sheet'!Q54/10^9</f>
        <v>0.69089265254257104</v>
      </c>
      <c r="R65" s="2">
        <f>R10*'Output-Calculation-sheet'!R54/10^9</f>
        <v>0.55741268746305117</v>
      </c>
      <c r="S65" s="2">
        <f>S10*'Output-Calculation-sheet'!S54/10^9</f>
        <v>0.50632863157637764</v>
      </c>
      <c r="T65" s="2">
        <f>T10*'Output-Calculation-sheet'!T54/10^9</f>
        <v>0.18636727356681823</v>
      </c>
      <c r="U65" s="2">
        <f>U10*'Output-Calculation-sheet'!U54/10^9</f>
        <v>0.16092278448458414</v>
      </c>
      <c r="V65" s="2">
        <f>V10*'Output-Calculation-sheet'!V54/10^9</f>
        <v>0.20624351946712527</v>
      </c>
      <c r="W65" s="2">
        <f>W10*'Output-Calculation-sheet'!W54/10^9</f>
        <v>7.8524665026844381E-2</v>
      </c>
      <c r="X65" s="2">
        <f>X10*'Output-Calculation-sheet'!X54/10^9</f>
        <v>0.12933902554711016</v>
      </c>
      <c r="Y65" s="2">
        <f>Y10*'Output-Calculation-sheet'!Y54/10^9</f>
        <v>6.4630008310641585E-2</v>
      </c>
      <c r="AA65" s="2">
        <f t="shared" si="4"/>
        <v>30.259005100564192</v>
      </c>
    </row>
    <row r="66" spans="1:27" x14ac:dyDescent="0.25">
      <c r="A66" s="2">
        <v>2034</v>
      </c>
      <c r="B66" s="2">
        <f>B11*'Output-Calculation-sheet'!B55/10^9</f>
        <v>8.8592459194847102</v>
      </c>
      <c r="C66" s="2">
        <f>C11*'Output-Calculation-sheet'!C55/10^9</f>
        <v>6.2718223838260929</v>
      </c>
      <c r="D66" s="2">
        <f>D11*'Output-Calculation-sheet'!D55/10^9</f>
        <v>1.85319769438855</v>
      </c>
      <c r="E66" s="2">
        <f>E11*'Output-Calculation-sheet'!E55/10^9</f>
        <v>2.2439226495949529</v>
      </c>
      <c r="F66" s="2">
        <f>F11*'Output-Calculation-sheet'!F55/10^9</f>
        <v>0.86237902025289515</v>
      </c>
      <c r="G66" s="2">
        <f>G11*'Output-Calculation-sheet'!G55/10^9</f>
        <v>0.61641654348745956</v>
      </c>
      <c r="H66" s="2">
        <f>H11*'Output-Calculation-sheet'!H55/10^9</f>
        <v>1.5829937413966255</v>
      </c>
      <c r="I66" s="2">
        <f>I11*'Output-Calculation-sheet'!I55/10^9</f>
        <v>0.60283667094360205</v>
      </c>
      <c r="J66" s="2">
        <f>J11*'Output-Calculation-sheet'!J55/10^9</f>
        <v>0.61985566981976226</v>
      </c>
      <c r="K66" s="2">
        <f>K11*'Output-Calculation-sheet'!K55/10^9</f>
        <v>0.74142400029291</v>
      </c>
      <c r="L66" s="2">
        <f>L11*'Output-Calculation-sheet'!L55/10^9</f>
        <v>0.78515872520419538</v>
      </c>
      <c r="M66" s="2">
        <f>M11*'Output-Calculation-sheet'!M55/10^9</f>
        <v>1.1416999347972225</v>
      </c>
      <c r="N66" s="2">
        <f>N11*'Output-Calculation-sheet'!N55/10^9</f>
        <v>0.99754128338430026</v>
      </c>
      <c r="O66" s="2">
        <f>O11*'Output-Calculation-sheet'!O55/10^9</f>
        <v>1.2589894691393946</v>
      </c>
      <c r="P66" s="2">
        <f>P11*'Output-Calculation-sheet'!P55/10^9</f>
        <v>0.68571089353716097</v>
      </c>
      <c r="Q66" s="2">
        <f>Q11*'Output-Calculation-sheet'!Q55/10^9</f>
        <v>0.74858138836846733</v>
      </c>
      <c r="R66" s="2">
        <f>R11*'Output-Calculation-sheet'!R55/10^9</f>
        <v>0.55538409119283871</v>
      </c>
      <c r="S66" s="2">
        <f>S11*'Output-Calculation-sheet'!S55/10^9</f>
        <v>0.54647542341716404</v>
      </c>
      <c r="T66" s="2">
        <f>T11*'Output-Calculation-sheet'!T55/10^9</f>
        <v>0.17408233008497004</v>
      </c>
      <c r="U66" s="2">
        <f>U11*'Output-Calculation-sheet'!U55/10^9</f>
        <v>0.17773888427141132</v>
      </c>
      <c r="V66" s="2">
        <f>V11*'Output-Calculation-sheet'!V55/10^9</f>
        <v>0.16514287025430685</v>
      </c>
      <c r="W66" s="2">
        <f>W11*'Output-Calculation-sheet'!W55/10^9</f>
        <v>7.4776605825169609E-2</v>
      </c>
      <c r="X66" s="2">
        <f>X11*'Output-Calculation-sheet'!X55/10^9</f>
        <v>0.14184148678079861</v>
      </c>
      <c r="Y66" s="2">
        <f>Y11*'Output-Calculation-sheet'!Y55/10^9</f>
        <v>7.33766482241653E-2</v>
      </c>
      <c r="AA66" s="2">
        <f t="shared" si="4"/>
        <v>31.780594327969126</v>
      </c>
    </row>
    <row r="67" spans="1:27" x14ac:dyDescent="0.25">
      <c r="A67" s="2">
        <v>2035</v>
      </c>
      <c r="B67" s="2">
        <f>B12*'Output-Calculation-sheet'!B56/10^9</f>
        <v>10.210515873378318</v>
      </c>
      <c r="C67" s="2">
        <f>C12*'Output-Calculation-sheet'!C56/10^9</f>
        <v>6.8525261297821274</v>
      </c>
      <c r="D67" s="2">
        <f>D12*'Output-Calculation-sheet'!D56/10^9</f>
        <v>2.2406406541694763</v>
      </c>
      <c r="E67" s="2">
        <f>E12*'Output-Calculation-sheet'!E56/10^9</f>
        <v>2.8517842511955327</v>
      </c>
      <c r="F67" s="2">
        <f>F12*'Output-Calculation-sheet'!F56/10^9</f>
        <v>1.1087855511469231</v>
      </c>
      <c r="G67" s="2">
        <f>G12*'Output-Calculation-sheet'!G56/10^9</f>
        <v>0.81512367734935665</v>
      </c>
      <c r="H67" s="2">
        <f>H12*'Output-Calculation-sheet'!H56/10^9</f>
        <v>1.8011331923473939</v>
      </c>
      <c r="I67" s="2">
        <f>I12*'Output-Calculation-sheet'!I56/10^9</f>
        <v>0.7690138400523262</v>
      </c>
      <c r="J67" s="2">
        <f>J12*'Output-Calculation-sheet'!J56/10^9</f>
        <v>0.714630130468486</v>
      </c>
      <c r="K67" s="2">
        <f>K12*'Output-Calculation-sheet'!K56/10^9</f>
        <v>0.87758042920564816</v>
      </c>
      <c r="L67" s="2">
        <f>L12*'Output-Calculation-sheet'!L56/10^9</f>
        <v>0.84109944070433118</v>
      </c>
      <c r="M67" s="2">
        <f>M12*'Output-Calculation-sheet'!M56/10^9</f>
        <v>1.2947422064400378</v>
      </c>
      <c r="N67" s="2">
        <f>N12*'Output-Calculation-sheet'!N56/10^9</f>
        <v>1.1063125907794762</v>
      </c>
      <c r="O67" s="2">
        <f>O12*'Output-Calculation-sheet'!O56/10^9</f>
        <v>1.3498372196168724</v>
      </c>
      <c r="P67" s="2">
        <f>P12*'Output-Calculation-sheet'!P56/10^9</f>
        <v>0.8473953556690319</v>
      </c>
      <c r="Q67" s="2">
        <f>Q12*'Output-Calculation-sheet'!Q56/10^9</f>
        <v>0.85161330611665287</v>
      </c>
      <c r="R67" s="2">
        <f>R12*'Output-Calculation-sheet'!R56/10^9</f>
        <v>0.64700185757748852</v>
      </c>
      <c r="S67" s="2">
        <f>S12*'Output-Calculation-sheet'!S56/10^9</f>
        <v>0.61665414523405016</v>
      </c>
      <c r="T67" s="2">
        <f>T12*'Output-Calculation-sheet'!T56/10^9</f>
        <v>0.19837666921582842</v>
      </c>
      <c r="U67" s="2">
        <f>U12*'Output-Calculation-sheet'!U56/10^9</f>
        <v>0.21310034372555328</v>
      </c>
      <c r="V67" s="2">
        <f>V12*'Output-Calculation-sheet'!V56/10^9</f>
        <v>0.15238033203893622</v>
      </c>
      <c r="W67" s="2">
        <f>W12*'Output-Calculation-sheet'!W56/10^9</f>
        <v>0.10105694871578766</v>
      </c>
      <c r="X67" s="2">
        <f>X12*'Output-Calculation-sheet'!X56/10^9</f>
        <v>0.16137031912053693</v>
      </c>
      <c r="Y67" s="2">
        <f>Y12*'Output-Calculation-sheet'!Y56/10^9</f>
        <v>9.5628450379659155E-2</v>
      </c>
      <c r="AA67" s="2">
        <f t="shared" si="4"/>
        <v>36.718302914429813</v>
      </c>
    </row>
    <row r="68" spans="1:27" x14ac:dyDescent="0.25">
      <c r="B68" s="2">
        <f>SUM(B60:B67)</f>
        <v>59.662340658438431</v>
      </c>
      <c r="C68" s="2">
        <f t="shared" ref="C68:Y68" si="5">SUM(C60:C67)</f>
        <v>37.816709933283015</v>
      </c>
      <c r="D68" s="2">
        <f t="shared" si="5"/>
        <v>17.670090155681489</v>
      </c>
      <c r="E68" s="2">
        <f t="shared" si="5"/>
        <v>18.855498838206223</v>
      </c>
      <c r="F68" s="2">
        <f t="shared" si="5"/>
        <v>7.6941607478809759</v>
      </c>
      <c r="G68" s="2">
        <f t="shared" si="5"/>
        <v>5.5356627909341274</v>
      </c>
      <c r="H68" s="2">
        <f t="shared" si="5"/>
        <v>10.510181801585547</v>
      </c>
      <c r="I68" s="2">
        <f t="shared" si="5"/>
        <v>5.2076594486988741</v>
      </c>
      <c r="J68" s="2">
        <f t="shared" si="5"/>
        <v>6.5936298943251677</v>
      </c>
      <c r="K68" s="2">
        <f t="shared" si="5"/>
        <v>6.3128441104973687</v>
      </c>
      <c r="L68" s="2">
        <f t="shared" si="5"/>
        <v>7.9183672008796107</v>
      </c>
      <c r="M68" s="2">
        <f t="shared" si="5"/>
        <v>8.2305862252979942</v>
      </c>
      <c r="N68" s="2">
        <f t="shared" si="5"/>
        <v>7.0635802127557428</v>
      </c>
      <c r="O68" s="2">
        <f t="shared" si="5"/>
        <v>7.727200978166314</v>
      </c>
      <c r="P68" s="2">
        <f t="shared" si="5"/>
        <v>4.8191893142632614</v>
      </c>
      <c r="Q68" s="2">
        <f t="shared" si="5"/>
        <v>5.2917665787794448</v>
      </c>
      <c r="R68" s="2">
        <f t="shared" si="5"/>
        <v>4.5297196919350231</v>
      </c>
      <c r="S68" s="2">
        <f t="shared" si="5"/>
        <v>3.6302843052052807</v>
      </c>
      <c r="T68" s="2">
        <f t="shared" si="5"/>
        <v>1.618307353214961</v>
      </c>
      <c r="U68" s="2">
        <f t="shared" si="5"/>
        <v>1.2722081661482341</v>
      </c>
      <c r="V68" s="2">
        <f t="shared" si="5"/>
        <v>1.8380471425042719</v>
      </c>
      <c r="W68" s="2">
        <f t="shared" si="5"/>
        <v>0.71974968431456132</v>
      </c>
      <c r="X68" s="2">
        <f t="shared" si="5"/>
        <v>0.92395848970153449</v>
      </c>
      <c r="Y68" s="2">
        <f t="shared" si="5"/>
        <v>0.5355553028779606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5998.8430675974587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1477.3866340043735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970.51411460481847</v>
      </c>
      <c r="N74" s="2">
        <f>N8/'Output-Calculation-sheet'!N7*'Output-Calculation-sheet'!N61</f>
        <v>40.675962454765973</v>
      </c>
      <c r="O74" s="2">
        <f>O8/'Output-Calculation-sheet'!O7*'Output-Calculation-sheet'!O61</f>
        <v>1199.4018255261292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120.60031805516064</v>
      </c>
      <c r="Y74" s="2">
        <f>Y8/'Output-Calculation-sheet'!Y7*'Output-Calculation-sheet'!Y61</f>
        <v>0</v>
      </c>
      <c r="AA74" s="2">
        <f t="shared" si="6"/>
        <v>9.807421922242705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10126.72483565424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2512.8423116409604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1705.0525888085695</v>
      </c>
      <c r="N75" s="2">
        <f>N9/'Output-Calculation-sheet'!N8*'Output-Calculation-sheet'!N62</f>
        <v>659.06432592535361</v>
      </c>
      <c r="O75" s="2">
        <f>O9/'Output-Calculation-sheet'!O8*'Output-Calculation-sheet'!O62</f>
        <v>2001.7272476162007</v>
      </c>
      <c r="P75" s="2">
        <f>P9/'Output-Calculation-sheet'!P8*'Output-Calculation-sheet'!P62</f>
        <v>44.123317728076422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220.83657166334808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205.41206725329403</v>
      </c>
      <c r="Y75" s="2">
        <f>Y9/'Output-Calculation-sheet'!Y8*'Output-Calculation-sheet'!Y62</f>
        <v>0</v>
      </c>
      <c r="AA75" s="2">
        <f t="shared" si="6"/>
        <v>17.475783266290048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12622.998223398148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3714.7238838222324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2529.1943227019483</v>
      </c>
      <c r="N76" s="2">
        <f>N10/'Output-Calculation-sheet'!N9*'Output-Calculation-sheet'!N63</f>
        <v>1447.3717658297019</v>
      </c>
      <c r="O76" s="2">
        <f>O10/'Output-Calculation-sheet'!O9*'Output-Calculation-sheet'!O63</f>
        <v>2234.7820649489649</v>
      </c>
      <c r="P76" s="2">
        <f>P10/'Output-Calculation-sheet'!P9*'Output-Calculation-sheet'!P63</f>
        <v>502.03822904835755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377.68640275034198</v>
      </c>
      <c r="S76" s="2">
        <f>S10/'Output-Calculation-sheet'!S9*'Output-Calculation-sheet'!S63</f>
        <v>641.80045547400005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133.76956948496527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297.8709436025693</v>
      </c>
      <c r="Y76" s="2">
        <f>Y10/'Output-Calculation-sheet'!Y9*'Output-Calculation-sheet'!Y63</f>
        <v>5.6505766210566959</v>
      </c>
      <c r="AA76" s="2">
        <f t="shared" si="6"/>
        <v>30.552315449174429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13413.424159860078</v>
      </c>
      <c r="D77" s="2">
        <f>D11/'Output-Calculation-sheet'!D10*'Output-Calculation-sheet'!D64</f>
        <v>1831.7120693452107</v>
      </c>
      <c r="E77" s="2">
        <f>E11/'Output-Calculation-sheet'!E10*'Output-Calculation-sheet'!E64</f>
        <v>2226.4824122654236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951.33990552551541</v>
      </c>
      <c r="H77" s="2">
        <f>H11/'Output-Calculation-sheet'!H10*'Output-Calculation-sheet'!H64</f>
        <v>5055.2717781803303</v>
      </c>
      <c r="I77" s="2">
        <f>I11/'Output-Calculation-sheet'!I10*'Output-Calculation-sheet'!I64</f>
        <v>567.3094832494188</v>
      </c>
      <c r="J77" s="2">
        <f>J11/'Output-Calculation-sheet'!J10*'Output-Calculation-sheet'!J64</f>
        <v>383.74764147522853</v>
      </c>
      <c r="K77" s="2">
        <f>K11/'Output-Calculation-sheet'!K10*'Output-Calculation-sheet'!K64</f>
        <v>863.05184225981168</v>
      </c>
      <c r="L77" s="2">
        <f>L11/'Output-Calculation-sheet'!L10*'Output-Calculation-sheet'!L64</f>
        <v>361.54271108515582</v>
      </c>
      <c r="M77" s="2">
        <f>M11/'Output-Calculation-sheet'!M10*'Output-Calculation-sheet'!M64</f>
        <v>3399.9897482329989</v>
      </c>
      <c r="N77" s="2">
        <f>N11/'Output-Calculation-sheet'!N10*'Output-Calculation-sheet'!N64</f>
        <v>2393.8056073645566</v>
      </c>
      <c r="O77" s="2">
        <f>O11/'Output-Calculation-sheet'!O10*'Output-Calculation-sheet'!O64</f>
        <v>2482.5163853179774</v>
      </c>
      <c r="P77" s="2">
        <f>P11/'Output-Calculation-sheet'!P10*'Output-Calculation-sheet'!P64</f>
        <v>1056.5678461681186</v>
      </c>
      <c r="Q77" s="2">
        <f>Q11/'Output-Calculation-sheet'!Q10*'Output-Calculation-sheet'!Q64</f>
        <v>949.99018695508744</v>
      </c>
      <c r="R77" s="2">
        <f>R11/'Output-Calculation-sheet'!R10*'Output-Calculation-sheet'!R64</f>
        <v>904.42891683079165</v>
      </c>
      <c r="S77" s="2">
        <f>S11/'Output-Calculation-sheet'!S10*'Output-Calculation-sheet'!S64</f>
        <v>1203.7616416728372</v>
      </c>
      <c r="T77" s="2">
        <f>T11/'Output-Calculation-sheet'!T10*'Output-Calculation-sheet'!T64</f>
        <v>248.74433824440268</v>
      </c>
      <c r="U77" s="2">
        <f>U11/'Output-Calculation-sheet'!U10*'Output-Calculation-sheet'!U64</f>
        <v>330.60376329641804</v>
      </c>
      <c r="V77" s="2">
        <f>V11/'Output-Calculation-sheet'!V10*'Output-Calculation-sheet'!V64</f>
        <v>128.61317833309488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353.7582732256792</v>
      </c>
      <c r="Y77" s="2">
        <f>Y11/'Output-Calculation-sheet'!Y10*'Output-Calculation-sheet'!Y64</f>
        <v>82.779550007767355</v>
      </c>
      <c r="AA77" s="2">
        <f t="shared" si="6"/>
        <v>54.028134094333119</v>
      </c>
    </row>
    <row r="78" spans="1:27" x14ac:dyDescent="0.25">
      <c r="A78" s="2">
        <v>2035</v>
      </c>
      <c r="B78" s="2">
        <f>B12/'Output-Calculation-sheet'!B11*'Output-Calculation-sheet'!B65</f>
        <v>19901.509346366718</v>
      </c>
      <c r="C78" s="2">
        <f>C12/'Output-Calculation-sheet'!C11*'Output-Calculation-sheet'!C65</f>
        <v>14543.02272912107</v>
      </c>
      <c r="D78" s="2">
        <f>D12/'Output-Calculation-sheet'!D11*'Output-Calculation-sheet'!D65</f>
        <v>3736.3678117459185</v>
      </c>
      <c r="E78" s="2">
        <f>E12/'Output-Calculation-sheet'!E11*'Output-Calculation-sheet'!E65</f>
        <v>4676.6806846404843</v>
      </c>
      <c r="F78" s="2">
        <f>F12/'Output-Calculation-sheet'!F11*'Output-Calculation-sheet'!F65</f>
        <v>934.92635027633617</v>
      </c>
      <c r="G78" s="2">
        <f>G12/'Output-Calculation-sheet'!G11*'Output-Calculation-sheet'!G65</f>
        <v>1718.5699007355061</v>
      </c>
      <c r="H78" s="2">
        <f>H12/'Output-Calculation-sheet'!H11*'Output-Calculation-sheet'!H65</f>
        <v>5433.6388345314672</v>
      </c>
      <c r="I78" s="2">
        <f>I12/'Output-Calculation-sheet'!I11*'Output-Calculation-sheet'!I65</f>
        <v>1248.0019662005845</v>
      </c>
      <c r="J78" s="2">
        <f>J12/'Output-Calculation-sheet'!J11*'Output-Calculation-sheet'!J65</f>
        <v>1206.8371087693229</v>
      </c>
      <c r="K78" s="2">
        <f>K12/'Output-Calculation-sheet'!K11*'Output-Calculation-sheet'!K65</f>
        <v>1511.9536164418087</v>
      </c>
      <c r="L78" s="2">
        <f>L12/'Output-Calculation-sheet'!L11*'Output-Calculation-sheet'!L65</f>
        <v>1114.7625493873311</v>
      </c>
      <c r="M78" s="2">
        <f>M12/'Output-Calculation-sheet'!M11*'Output-Calculation-sheet'!M65</f>
        <v>3967.3457005755504</v>
      </c>
      <c r="N78" s="2">
        <f>N12/'Output-Calculation-sheet'!N11*'Output-Calculation-sheet'!N65</f>
        <v>2828.8717104442294</v>
      </c>
      <c r="O78" s="2">
        <f>O12/'Output-Calculation-sheet'!O11*'Output-Calculation-sheet'!O65</f>
        <v>2670.3713907653691</v>
      </c>
      <c r="P78" s="2">
        <f>P12/'Output-Calculation-sheet'!P11*'Output-Calculation-sheet'!P65</f>
        <v>1541.0966852246722</v>
      </c>
      <c r="Q78" s="2">
        <f>Q12/'Output-Calculation-sheet'!Q11*'Output-Calculation-sheet'!Q65</f>
        <v>1308.5393881433245</v>
      </c>
      <c r="R78" s="2">
        <f>R12/'Output-Calculation-sheet'!R11*'Output-Calculation-sheet'!R65</f>
        <v>1293.2522720063964</v>
      </c>
      <c r="S78" s="2">
        <f>S12/'Output-Calculation-sheet'!S11*'Output-Calculation-sheet'!S65</f>
        <v>1496.2694076565551</v>
      </c>
      <c r="T78" s="2">
        <f>T12/'Output-Calculation-sheet'!T11*'Output-Calculation-sheet'!T65</f>
        <v>466.82816954219231</v>
      </c>
      <c r="U78" s="2">
        <f>U12/'Output-Calculation-sheet'!U11*'Output-Calculation-sheet'!U65</f>
        <v>390.59590444614554</v>
      </c>
      <c r="V78" s="2">
        <f>V12/'Output-Calculation-sheet'!V11*'Output-Calculation-sheet'!V65</f>
        <v>237.61290185662023</v>
      </c>
      <c r="W78" s="2">
        <f>W12/'Output-Calculation-sheet'!W11*'Output-Calculation-sheet'!W65</f>
        <v>165.91425419952759</v>
      </c>
      <c r="X78" s="2">
        <f>X12/'Output-Calculation-sheet'!X11*'Output-Calculation-sheet'!X65</f>
        <v>383.4502955329508</v>
      </c>
      <c r="Y78" s="2">
        <f>Y12/'Output-Calculation-sheet'!Y11*'Output-Calculation-sheet'!Y65</f>
        <v>179.89894740925487</v>
      </c>
      <c r="AA78" s="2">
        <f t="shared" si="6"/>
        <v>72.956317926019352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210.2518962881224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61.269430790748785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0.27152132707887122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670.23555488233046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130.20873745045952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2.59570515845853</v>
      </c>
      <c r="Y88" s="2">
        <f>Y11/'Output-Calculation-sheet'!Y10*'Output-Calculation-sheet'!Y73</f>
        <v>0</v>
      </c>
      <c r="AA88" s="2">
        <f t="shared" si="7"/>
        <v>0.80303999749124844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1177.4010856005659</v>
      </c>
      <c r="D89" s="2">
        <f>D12/'Output-Calculation-sheet'!D11*'Output-Calculation-sheet'!D74</f>
        <v>104.29789559362212</v>
      </c>
      <c r="E89" s="2">
        <f>E12/'Output-Calculation-sheet'!E11*'Output-Calculation-sheet'!E74</f>
        <v>165.77801473353838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108.73221696923918</v>
      </c>
      <c r="I89" s="2">
        <f>I12/'Output-Calculation-sheet'!I11*'Output-Calculation-sheet'!I74</f>
        <v>33.651565717537203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33.074192073365026</v>
      </c>
      <c r="L89" s="2">
        <f>L12/'Output-Calculation-sheet'!L11*'Output-Calculation-sheet'!L74</f>
        <v>26.299012677817572</v>
      </c>
      <c r="M89" s="2">
        <f>M12/'Output-Calculation-sheet'!M11*'Output-Calculation-sheet'!M74</f>
        <v>49.878936887653936</v>
      </c>
      <c r="N89" s="2">
        <f>N12/'Output-Calculation-sheet'!N11*'Output-Calculation-sheet'!N74</f>
        <v>49.022991256290261</v>
      </c>
      <c r="O89" s="2">
        <f>O12/'Output-Calculation-sheet'!O11*'Output-Calculation-sheet'!O74</f>
        <v>205.86362054485303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42.951515259665015</v>
      </c>
      <c r="R89" s="2">
        <f>R12/'Output-Calculation-sheet'!R11*'Output-Calculation-sheet'!R74</f>
        <v>21.297218101679675</v>
      </c>
      <c r="S89" s="2">
        <f>S12/'Output-Calculation-sheet'!S11*'Output-Calculation-sheet'!S74</f>
        <v>28.101594659715563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13.704157758969391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10.943684676368875</v>
      </c>
      <c r="Y89" s="2">
        <f>Y12/'Output-Calculation-sheet'!Y11*'Output-Calculation-sheet'!Y74</f>
        <v>5.2804293465982228</v>
      </c>
      <c r="AA89" s="2">
        <f t="shared" si="7"/>
        <v>2.7957101460022553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11722739051.15123</v>
      </c>
      <c r="C96" s="2">
        <f>C8/'Output-Calculation-sheet'!C7*'Output-Calculation-sheet'!C79</f>
        <v>3965855898.931675</v>
      </c>
      <c r="D96" s="2">
        <f>D8/'Output-Calculation-sheet'!D7*'Output-Calculation-sheet'!D79</f>
        <v>4140092376.3420048</v>
      </c>
      <c r="E96" s="2">
        <f>E8/'Output-Calculation-sheet'!E7*'Output-Calculation-sheet'!E79</f>
        <v>7360731737.2926435</v>
      </c>
      <c r="F96" s="2">
        <f>F8/'Output-Calculation-sheet'!F7*'Output-Calculation-sheet'!F79</f>
        <v>3046534331.9588084</v>
      </c>
      <c r="G96" s="2">
        <f>G8/'Output-Calculation-sheet'!G7*'Output-Calculation-sheet'!G79</f>
        <v>2372999735.7571106</v>
      </c>
      <c r="H96" s="2">
        <f>H8/'Output-Calculation-sheet'!H7*'Output-Calculation-sheet'!H79</f>
        <v>2031153757.9324205</v>
      </c>
      <c r="I96" s="2">
        <f>I8/'Output-Calculation-sheet'!I7*'Output-Calculation-sheet'!I79</f>
        <v>1653046596.0832644</v>
      </c>
      <c r="J96" s="2">
        <f>J8/'Output-Calculation-sheet'!J7*'Output-Calculation-sheet'!J79</f>
        <v>1117832805.5709</v>
      </c>
      <c r="K96" s="2">
        <f>K8/'Output-Calculation-sheet'!K7*'Output-Calculation-sheet'!K79</f>
        <v>1599285289.7270441</v>
      </c>
      <c r="L96" s="2">
        <f>L8/'Output-Calculation-sheet'!L7*'Output-Calculation-sheet'!L79</f>
        <v>1128454308.8467669</v>
      </c>
      <c r="M96" s="2">
        <f>M8/'Output-Calculation-sheet'!M7*'Output-Calculation-sheet'!M79</f>
        <v>1516216997.4743042</v>
      </c>
      <c r="N96" s="2">
        <f>N8/'Output-Calculation-sheet'!N7*'Output-Calculation-sheet'!N79</f>
        <v>1128186200.9576471</v>
      </c>
      <c r="O96" s="2">
        <f>O8/'Output-Calculation-sheet'!O7*'Output-Calculation-sheet'!O79</f>
        <v>570336765.22611713</v>
      </c>
      <c r="P96" s="2">
        <f>P8/'Output-Calculation-sheet'!P7*'Output-Calculation-sheet'!P79</f>
        <v>1907656860.315778</v>
      </c>
      <c r="Q96" s="2">
        <f>Q8/'Output-Calculation-sheet'!Q7*'Output-Calculation-sheet'!Q79</f>
        <v>889049692.16422069</v>
      </c>
      <c r="R96" s="2">
        <f>R8/'Output-Calculation-sheet'!R7*'Output-Calculation-sheet'!R79</f>
        <v>1109195175.7025712</v>
      </c>
      <c r="S96" s="2">
        <f>S8/'Output-Calculation-sheet'!S7*'Output-Calculation-sheet'!S79</f>
        <v>646310063.61828518</v>
      </c>
      <c r="T96" s="2">
        <f>T8/'Output-Calculation-sheet'!T7*'Output-Calculation-sheet'!T79</f>
        <v>493632099.54963821</v>
      </c>
      <c r="U96" s="2">
        <f>U8/'Output-Calculation-sheet'!U7*'Output-Calculation-sheet'!U79</f>
        <v>310086998.15474534</v>
      </c>
      <c r="V96" s="2">
        <f>V8/'Output-Calculation-sheet'!V7*'Output-Calculation-sheet'!V79</f>
        <v>160889304.89036381</v>
      </c>
      <c r="W96" s="2">
        <f>W8/'Output-Calculation-sheet'!W7*'Output-Calculation-sheet'!W79</f>
        <v>475414852.20714098</v>
      </c>
      <c r="X96" s="2">
        <f>X8/'Output-Calculation-sheet'!X7*'Output-Calculation-sheet'!X79</f>
        <v>167094866.54506513</v>
      </c>
      <c r="Y96" s="2">
        <f>Y8/'Output-Calculation-sheet'!Y7*'Output-Calculation-sheet'!Y79</f>
        <v>261334067.19070464</v>
      </c>
      <c r="AA96" s="2">
        <f t="shared" si="8"/>
        <v>49.774129833590465</v>
      </c>
    </row>
    <row r="97" spans="1:27" x14ac:dyDescent="0.25">
      <c r="A97" s="2">
        <v>2032</v>
      </c>
      <c r="B97" s="2">
        <f>B9/'Output-Calculation-sheet'!B8*'Output-Calculation-sheet'!B80</f>
        <v>16105182686.346552</v>
      </c>
      <c r="C97" s="2">
        <f>C9/'Output-Calculation-sheet'!C8*'Output-Calculation-sheet'!C80</f>
        <v>5485512033.4831085</v>
      </c>
      <c r="D97" s="2">
        <f>D9/'Output-Calculation-sheet'!D8*'Output-Calculation-sheet'!D80</f>
        <v>5465778764.9796839</v>
      </c>
      <c r="E97" s="2">
        <f>E9/'Output-Calculation-sheet'!E8*'Output-Calculation-sheet'!E80</f>
        <v>9996091671.4826813</v>
      </c>
      <c r="F97" s="2">
        <f>F9/'Output-Calculation-sheet'!F8*'Output-Calculation-sheet'!F80</f>
        <v>4129386279.1588559</v>
      </c>
      <c r="G97" s="2">
        <f>G9/'Output-Calculation-sheet'!G8*'Output-Calculation-sheet'!G80</f>
        <v>3125718543.4627495</v>
      </c>
      <c r="H97" s="2">
        <f>H9/'Output-Calculation-sheet'!H8*'Output-Calculation-sheet'!H80</f>
        <v>2750000978.6135416</v>
      </c>
      <c r="I97" s="2">
        <f>I9/'Output-Calculation-sheet'!I8*'Output-Calculation-sheet'!I80</f>
        <v>2262131011.6401811</v>
      </c>
      <c r="J97" s="2">
        <f>J9/'Output-Calculation-sheet'!J8*'Output-Calculation-sheet'!J80</f>
        <v>1487142344.4970279</v>
      </c>
      <c r="K97" s="2">
        <f>K9/'Output-Calculation-sheet'!K8*'Output-Calculation-sheet'!K80</f>
        <v>2144029021.2579038</v>
      </c>
      <c r="L97" s="2">
        <f>L9/'Output-Calculation-sheet'!L8*'Output-Calculation-sheet'!L80</f>
        <v>1560497965.5363095</v>
      </c>
      <c r="M97" s="2">
        <f>M9/'Output-Calculation-sheet'!M8*'Output-Calculation-sheet'!M80</f>
        <v>2058902483.9174702</v>
      </c>
      <c r="N97" s="2">
        <f>N9/'Output-Calculation-sheet'!N8*'Output-Calculation-sheet'!N80</f>
        <v>1504303542.934103</v>
      </c>
      <c r="O97" s="2">
        <f>O9/'Output-Calculation-sheet'!O8*'Output-Calculation-sheet'!O80</f>
        <v>778228129.83900547</v>
      </c>
      <c r="P97" s="2">
        <f>P9/'Output-Calculation-sheet'!P8*'Output-Calculation-sheet'!P80</f>
        <v>2546216102.8774924</v>
      </c>
      <c r="Q97" s="2">
        <f>Q9/'Output-Calculation-sheet'!Q8*'Output-Calculation-sheet'!Q80</f>
        <v>1191022252.6273286</v>
      </c>
      <c r="R97" s="2">
        <f>R9/'Output-Calculation-sheet'!R8*'Output-Calculation-sheet'!R80</f>
        <v>1504853580.8051882</v>
      </c>
      <c r="S97" s="2">
        <f>S9/'Output-Calculation-sheet'!S8*'Output-Calculation-sheet'!S80</f>
        <v>873412663.77120614</v>
      </c>
      <c r="T97" s="2">
        <f>T9/'Output-Calculation-sheet'!T8*'Output-Calculation-sheet'!T80</f>
        <v>657710452.93227482</v>
      </c>
      <c r="U97" s="2">
        <f>U9/'Output-Calculation-sheet'!U8*'Output-Calculation-sheet'!U80</f>
        <v>420469575.56302917</v>
      </c>
      <c r="V97" s="2">
        <f>V9/'Output-Calculation-sheet'!V8*'Output-Calculation-sheet'!V80</f>
        <v>220469187.34201396</v>
      </c>
      <c r="W97" s="2">
        <f>W9/'Output-Calculation-sheet'!W8*'Output-Calculation-sheet'!W80</f>
        <v>638483026.46181417</v>
      </c>
      <c r="X97" s="2">
        <f>X9/'Output-Calculation-sheet'!X8*'Output-Calculation-sheet'!X80</f>
        <v>229277021.09374428</v>
      </c>
      <c r="Y97" s="2">
        <f>Y9/'Output-Calculation-sheet'!Y8*'Output-Calculation-sheet'!Y80</f>
        <v>350951600.23139346</v>
      </c>
      <c r="AA97" s="2">
        <f t="shared" si="8"/>
        <v>67.485770920854662</v>
      </c>
    </row>
    <row r="98" spans="1:27" x14ac:dyDescent="0.25">
      <c r="A98" s="2">
        <v>2033</v>
      </c>
      <c r="B98" s="2">
        <f>B10/'Output-Calculation-sheet'!B9*'Output-Calculation-sheet'!B81</f>
        <v>20783913946.119892</v>
      </c>
      <c r="C98" s="2">
        <f>C10/'Output-Calculation-sheet'!C9*'Output-Calculation-sheet'!C81</f>
        <v>7125756348.0868263</v>
      </c>
      <c r="D98" s="2">
        <f>D10/'Output-Calculation-sheet'!D9*'Output-Calculation-sheet'!D81</f>
        <v>6781549712.7208424</v>
      </c>
      <c r="E98" s="2">
        <f>E10/'Output-Calculation-sheet'!E9*'Output-Calculation-sheet'!E81</f>
        <v>12756521702.87858</v>
      </c>
      <c r="F98" s="2">
        <f>F10/'Output-Calculation-sheet'!F9*'Output-Calculation-sheet'!F81</f>
        <v>5261097889.2083578</v>
      </c>
      <c r="G98" s="2">
        <f>G10/'Output-Calculation-sheet'!G9*'Output-Calculation-sheet'!G81</f>
        <v>3862859039.4249425</v>
      </c>
      <c r="H98" s="2">
        <f>H10/'Output-Calculation-sheet'!H9*'Output-Calculation-sheet'!H81</f>
        <v>3499781850.2274308</v>
      </c>
      <c r="I98" s="2">
        <f>I10/'Output-Calculation-sheet'!I9*'Output-Calculation-sheet'!I81</f>
        <v>2909351944.2626696</v>
      </c>
      <c r="J98" s="2">
        <f>J10/'Output-Calculation-sheet'!J9*'Output-Calculation-sheet'!J81</f>
        <v>1860312962.3875408</v>
      </c>
      <c r="K98" s="2">
        <f>K10/'Output-Calculation-sheet'!K9*'Output-Calculation-sheet'!K81</f>
        <v>2702178352.0155892</v>
      </c>
      <c r="L98" s="2">
        <f>L10/'Output-Calculation-sheet'!L9*'Output-Calculation-sheet'!L81</f>
        <v>2026674212.540729</v>
      </c>
      <c r="M98" s="2">
        <f>M10/'Output-Calculation-sheet'!M9*'Output-Calculation-sheet'!M81</f>
        <v>2628189226.8279195</v>
      </c>
      <c r="N98" s="2">
        <f>N10/'Output-Calculation-sheet'!N9*'Output-Calculation-sheet'!N81</f>
        <v>1885520705.2981277</v>
      </c>
      <c r="O98" s="2">
        <f>O10/'Output-Calculation-sheet'!O9*'Output-Calculation-sheet'!O81</f>
        <v>998489736.99903166</v>
      </c>
      <c r="P98" s="2">
        <f>P10/'Output-Calculation-sheet'!P9*'Output-Calculation-sheet'!P81</f>
        <v>3190883492.26123</v>
      </c>
      <c r="Q98" s="2">
        <f>Q10/'Output-Calculation-sheet'!Q9*'Output-Calculation-sheet'!Q81</f>
        <v>1500272527.285392</v>
      </c>
      <c r="R98" s="2">
        <f>R10/'Output-Calculation-sheet'!R9*'Output-Calculation-sheet'!R81</f>
        <v>1919075535.9565322</v>
      </c>
      <c r="S98" s="2">
        <f>S10/'Output-Calculation-sheet'!S9*'Output-Calculation-sheet'!S81</f>
        <v>1109567329.6812453</v>
      </c>
      <c r="T98" s="2">
        <f>T10/'Output-Calculation-sheet'!T9*'Output-Calculation-sheet'!T81</f>
        <v>823344605.77658939</v>
      </c>
      <c r="U98" s="2">
        <f>U10/'Output-Calculation-sheet'!U9*'Output-Calculation-sheet'!U81</f>
        <v>535721399.69354326</v>
      </c>
      <c r="V98" s="2">
        <f>V10/'Output-Calculation-sheet'!V9*'Output-Calculation-sheet'!V81</f>
        <v>283727074.70091039</v>
      </c>
      <c r="W98" s="2">
        <f>W10/'Output-Calculation-sheet'!W9*'Output-Calculation-sheet'!W81</f>
        <v>804464142.70551038</v>
      </c>
      <c r="X98" s="2">
        <f>X10/'Output-Calculation-sheet'!X9*'Output-Calculation-sheet'!X81</f>
        <v>295616233.16820782</v>
      </c>
      <c r="Y98" s="2">
        <f>Y10/'Output-Calculation-sheet'!Y9*'Output-Calculation-sheet'!Y81</f>
        <v>442344205.13650858</v>
      </c>
      <c r="AA98" s="2">
        <f t="shared" si="8"/>
        <v>85.987214175364144</v>
      </c>
    </row>
    <row r="99" spans="1:27" x14ac:dyDescent="0.25">
      <c r="A99" s="2">
        <v>2034</v>
      </c>
      <c r="B99" s="2">
        <f>B11/'Output-Calculation-sheet'!B10*'Output-Calculation-sheet'!B82</f>
        <v>25756867416.770355</v>
      </c>
      <c r="C99" s="2">
        <f>C11/'Output-Calculation-sheet'!C10*'Output-Calculation-sheet'!C82</f>
        <v>8887176005.9176273</v>
      </c>
      <c r="D99" s="2">
        <f>D11/'Output-Calculation-sheet'!D10*'Output-Calculation-sheet'!D82</f>
        <v>8084830344.0864658</v>
      </c>
      <c r="E99" s="2">
        <f>E11/'Output-Calculation-sheet'!E10*'Output-Calculation-sheet'!E82</f>
        <v>15639395350.430767</v>
      </c>
      <c r="F99" s="2">
        <f>F11/'Output-Calculation-sheet'!F10*'Output-Calculation-sheet'!F82</f>
        <v>6441065566.4200916</v>
      </c>
      <c r="G99" s="2">
        <f>G11/'Output-Calculation-sheet'!G10*'Output-Calculation-sheet'!G82</f>
        <v>4579139269.5991554</v>
      </c>
      <c r="H99" s="2">
        <f>H11/'Output-Calculation-sheet'!H10*'Output-Calculation-sheet'!H82</f>
        <v>4280037032.5623088</v>
      </c>
      <c r="I99" s="2">
        <f>I11/'Output-Calculation-sheet'!I10*'Output-Calculation-sheet'!I82</f>
        <v>3594933144.3809252</v>
      </c>
      <c r="J99" s="2">
        <f>J11/'Output-Calculation-sheet'!J10*'Output-Calculation-sheet'!J82</f>
        <v>2237125520.8337851</v>
      </c>
      <c r="K99" s="2">
        <f>K11/'Output-Calculation-sheet'!K10*'Output-Calculation-sheet'!K82</f>
        <v>3273208207.8631678</v>
      </c>
      <c r="L99" s="2">
        <f>L11/'Output-Calculation-sheet'!L10*'Output-Calculation-sheet'!L82</f>
        <v>2527156104.1786695</v>
      </c>
      <c r="M99" s="2">
        <f>M11/'Output-Calculation-sheet'!M10*'Output-Calculation-sheet'!M82</f>
        <v>3224072564.6333866</v>
      </c>
      <c r="N99" s="2">
        <f>N11/'Output-Calculation-sheet'!N10*'Output-Calculation-sheet'!N82</f>
        <v>2271362134.2760377</v>
      </c>
      <c r="O99" s="2">
        <f>O11/'Output-Calculation-sheet'!O10*'Output-Calculation-sheet'!O82</f>
        <v>1231419403.4426696</v>
      </c>
      <c r="P99" s="2">
        <f>P11/'Output-Calculation-sheet'!P10*'Output-Calculation-sheet'!P82</f>
        <v>3838613247.4904613</v>
      </c>
      <c r="Q99" s="2">
        <f>Q11/'Output-Calculation-sheet'!Q10*'Output-Calculation-sheet'!Q82</f>
        <v>1816673009.243161</v>
      </c>
      <c r="R99" s="2">
        <f>R11/'Output-Calculation-sheet'!R10*'Output-Calculation-sheet'!R82</f>
        <v>2351674809.0687637</v>
      </c>
      <c r="S99" s="2">
        <f>S11/'Output-Calculation-sheet'!S10*'Output-Calculation-sheet'!S82</f>
        <v>1354630434.6237581</v>
      </c>
      <c r="T99" s="2">
        <f>T11/'Output-Calculation-sheet'!T10*'Output-Calculation-sheet'!T82</f>
        <v>990076472.79269636</v>
      </c>
      <c r="U99" s="2">
        <f>U11/'Output-Calculation-sheet'!U10*'Output-Calculation-sheet'!U82</f>
        <v>655648598.69990981</v>
      </c>
      <c r="V99" s="2">
        <f>V11/'Output-Calculation-sheet'!V10*'Output-Calculation-sheet'!V82</f>
        <v>350567131.48066378</v>
      </c>
      <c r="W99" s="2">
        <f>W11/'Output-Calculation-sheet'!W10*'Output-Calculation-sheet'!W82</f>
        <v>972134929.58672452</v>
      </c>
      <c r="X99" s="2">
        <f>X11/'Output-Calculation-sheet'!X10*'Output-Calculation-sheet'!X82</f>
        <v>366132778.4275986</v>
      </c>
      <c r="Y99" s="2">
        <f>Y11/'Output-Calculation-sheet'!Y10*'Output-Calculation-sheet'!Y82</f>
        <v>534982536.7299273</v>
      </c>
      <c r="AA99" s="2">
        <f t="shared" si="8"/>
        <v>105.25892201353908</v>
      </c>
    </row>
    <row r="100" spans="1:27" x14ac:dyDescent="0.25">
      <c r="A100" s="2">
        <v>2035</v>
      </c>
      <c r="B100" s="2">
        <f>B12/'Output-Calculation-sheet'!B11*'Output-Calculation-sheet'!B83</f>
        <v>31018719452.364674</v>
      </c>
      <c r="C100" s="2">
        <f>C12/'Output-Calculation-sheet'!C11*'Output-Calculation-sheet'!C83</f>
        <v>10769195576.334597</v>
      </c>
      <c r="D100" s="2">
        <f>D12/'Output-Calculation-sheet'!D11*'Output-Calculation-sheet'!D83</f>
        <v>9373203899.9668465</v>
      </c>
      <c r="E100" s="2">
        <f>E12/'Output-Calculation-sheet'!E11*'Output-Calculation-sheet'!E83</f>
        <v>18640884000.010513</v>
      </c>
      <c r="F100" s="2">
        <f>F12/'Output-Calculation-sheet'!F11*'Output-Calculation-sheet'!F83</f>
        <v>7668116411.8198261</v>
      </c>
      <c r="G100" s="2">
        <f>G12/'Output-Calculation-sheet'!G11*'Output-Calculation-sheet'!G83</f>
        <v>5269489101.4560232</v>
      </c>
      <c r="H100" s="2">
        <f>H12/'Output-Calculation-sheet'!H11*'Output-Calculation-sheet'!H83</f>
        <v>5089932672.2844696</v>
      </c>
      <c r="I100" s="2">
        <f>I12/'Output-Calculation-sheet'!I11*'Output-Calculation-sheet'!I83</f>
        <v>4318707337.9258547</v>
      </c>
      <c r="J100" s="2">
        <f>J12/'Output-Calculation-sheet'!J11*'Output-Calculation-sheet'!J83</f>
        <v>2617322526.1131945</v>
      </c>
      <c r="K100" s="2">
        <f>K12/'Output-Calculation-sheet'!K11*'Output-Calculation-sheet'!K83</f>
        <v>3856430951.2391181</v>
      </c>
      <c r="L100" s="2">
        <f>L12/'Output-Calculation-sheet'!L11*'Output-Calculation-sheet'!L83</f>
        <v>3061786283.8781452</v>
      </c>
      <c r="M100" s="2">
        <f>M12/'Output-Calculation-sheet'!M11*'Output-Calculation-sheet'!M83</f>
        <v>3846282038.9086809</v>
      </c>
      <c r="N100" s="2">
        <f>N12/'Output-Calculation-sheet'!N11*'Output-Calculation-sheet'!N83</f>
        <v>2661323382.0780435</v>
      </c>
      <c r="O100" s="2">
        <f>O12/'Output-Calculation-sheet'!O11*'Output-Calculation-sheet'!O83</f>
        <v>1477203458.8638253</v>
      </c>
      <c r="P100" s="2">
        <f>P12/'Output-Calculation-sheet'!P11*'Output-Calculation-sheet'!P83</f>
        <v>4486371867.8724537</v>
      </c>
      <c r="Q100" s="2">
        <f>Q12/'Output-Calculation-sheet'!Q11*'Output-Calculation-sheet'!Q83</f>
        <v>2140019947.1763468</v>
      </c>
      <c r="R100" s="2">
        <f>R12/'Output-Calculation-sheet'!R11*'Output-Calculation-sheet'!R83</f>
        <v>2802236844.4955678</v>
      </c>
      <c r="S100" s="2">
        <f>S12/'Output-Calculation-sheet'!S11*'Output-Calculation-sheet'!S83</f>
        <v>1608339972.2392337</v>
      </c>
      <c r="T100" s="2">
        <f>T12/'Output-Calculation-sheet'!T11*'Output-Calculation-sheet'!T83</f>
        <v>1157447529.5221384</v>
      </c>
      <c r="U100" s="2">
        <f>U12/'Output-Calculation-sheet'!U11*'Output-Calculation-sheet'!U83</f>
        <v>779988583.84105361</v>
      </c>
      <c r="V100" s="2">
        <f>V12/'Output-Calculation-sheet'!V11*'Output-Calculation-sheet'!V83</f>
        <v>420849159.46206933</v>
      </c>
      <c r="W100" s="2">
        <f>W12/'Output-Calculation-sheet'!W11*'Output-Calculation-sheet'!W83</f>
        <v>1140183764.0764291</v>
      </c>
      <c r="X100" s="2">
        <f>X12/'Output-Calculation-sheet'!X11*'Output-Calculation-sheet'!X83</f>
        <v>440805873.32968318</v>
      </c>
      <c r="Y100" s="2">
        <f>Y12/'Output-Calculation-sheet'!Y11*'Output-Calculation-sheet'!Y83</f>
        <v>628309311.22183335</v>
      </c>
      <c r="AA100" s="2">
        <f t="shared" si="8"/>
        <v>125.27314994648061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1371617906.6911347</v>
      </c>
      <c r="C107" s="2">
        <f>C8/'Output-Calculation-sheet'!C7*'Output-Calculation-sheet'!C88</f>
        <v>22589067172.96854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7047879570.2357893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4862468247.3675804</v>
      </c>
      <c r="N107" s="2">
        <f>N8/'Output-Calculation-sheet'!N7*'Output-Calculation-sheet'!N88</f>
        <v>1477394795.3889408</v>
      </c>
      <c r="O107" s="2">
        <f>O8/'Output-Calculation-sheet'!O7*'Output-Calculation-sheet'!O88</f>
        <v>4389076374.913949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487682006.60381186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526606867.47133815</v>
      </c>
      <c r="Y107" s="2">
        <f>Y8/'Output-Calculation-sheet'!Y7*'Output-Calculation-sheet'!Y88</f>
        <v>0</v>
      </c>
      <c r="AA107" s="2">
        <f t="shared" si="9"/>
        <v>42751.792941641084</v>
      </c>
    </row>
    <row r="108" spans="1:27" x14ac:dyDescent="0.25">
      <c r="A108" s="2">
        <v>2032</v>
      </c>
      <c r="B108" s="2">
        <f>B9/'Output-Calculation-sheet'!B8*'Output-Calculation-sheet'!B89</f>
        <v>6194516561.3819103</v>
      </c>
      <c r="C108" s="2">
        <f>C9/'Output-Calculation-sheet'!C8*'Output-Calculation-sheet'!C89</f>
        <v>31052631793.788776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9688206624.8225689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6684020151.5498161</v>
      </c>
      <c r="N108" s="2">
        <f>N9/'Output-Calculation-sheet'!N8*'Output-Calculation-sheet'!N89</f>
        <v>3149792496.6956649</v>
      </c>
      <c r="O108" s="2">
        <f>O9/'Output-Calculation-sheet'!O8*'Output-Calculation-sheet'!O89</f>
        <v>6033552769.8968058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946626534.59979773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723899361.60856843</v>
      </c>
      <c r="Y108" s="2">
        <f>Y9/'Output-Calculation-sheet'!Y8*'Output-Calculation-sheet'!Y89</f>
        <v>0</v>
      </c>
      <c r="AA108" s="2">
        <f t="shared" si="9"/>
        <v>64473.24629434391</v>
      </c>
    </row>
    <row r="109" spans="1:27" x14ac:dyDescent="0.25">
      <c r="A109" s="2">
        <v>2033</v>
      </c>
      <c r="B109" s="2">
        <f>B10/'Output-Calculation-sheet'!B9*'Output-Calculation-sheet'!B90</f>
        <v>17024892129.234972</v>
      </c>
      <c r="C109" s="2">
        <f>C10/'Output-Calculation-sheet'!C9*'Output-Calculation-sheet'!C90</f>
        <v>37572791798.703735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12508642579.574377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8629876369.3378716</v>
      </c>
      <c r="N109" s="2">
        <f>N10/'Output-Calculation-sheet'!N9*'Output-Calculation-sheet'!N90</f>
        <v>5082515091.8196297</v>
      </c>
      <c r="O109" s="2">
        <f>O10/'Output-Calculation-sheet'!O9*'Output-Calculation-sheet'!O90</f>
        <v>6893407319.7522678</v>
      </c>
      <c r="P109" s="2">
        <f>P10/'Output-Calculation-sheet'!P9*'Output-Calculation-sheet'!P90</f>
        <v>0</v>
      </c>
      <c r="Q109" s="2">
        <f>Q10/'Output-Calculation-sheet'!Q9*'Output-Calculation-sheet'!Q90</f>
        <v>165500625.26500431</v>
      </c>
      <c r="R109" s="2">
        <f>R10/'Output-Calculation-sheet'!R9*'Output-Calculation-sheet'!R90</f>
        <v>0</v>
      </c>
      <c r="S109" s="2">
        <f>S10/'Output-Calculation-sheet'!S9*'Output-Calculation-sheet'!S90</f>
        <v>2051297529.8915002</v>
      </c>
      <c r="T109" s="2">
        <f>T10/'Output-Calculation-sheet'!T9*'Output-Calculation-sheet'!T90</f>
        <v>1.5637604276726221E-7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934641720.85478127</v>
      </c>
      <c r="Y109" s="2">
        <f>Y10/'Output-Calculation-sheet'!Y9*'Output-Calculation-sheet'!Y90</f>
        <v>0</v>
      </c>
      <c r="AA109" s="2">
        <f t="shared" si="9"/>
        <v>90863.565164434127</v>
      </c>
    </row>
    <row r="110" spans="1:27" x14ac:dyDescent="0.25">
      <c r="A110" s="2">
        <v>2034</v>
      </c>
      <c r="B110" s="2">
        <f>B11/'Output-Calculation-sheet'!B10*'Output-Calculation-sheet'!B91</f>
        <v>41518571895.751701</v>
      </c>
      <c r="C110" s="2">
        <f>C11/'Output-Calculation-sheet'!C10*'Output-Calculation-sheet'!C91</f>
        <v>41983767399.088226</v>
      </c>
      <c r="D110" s="2">
        <f>D11/'Output-Calculation-sheet'!D10*'Output-Calculation-sheet'!D91</f>
        <v>0</v>
      </c>
      <c r="E110" s="2">
        <f>E11/'Output-Calculation-sheet'!E10*'Output-Calculation-sheet'!E91</f>
        <v>846955891.37756109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15507170744.892427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704801191.75739217</v>
      </c>
      <c r="M110" s="2">
        <f>M11/'Output-Calculation-sheet'!M10*'Output-Calculation-sheet'!M91</f>
        <v>10698598442.566431</v>
      </c>
      <c r="N110" s="2">
        <f>N11/'Output-Calculation-sheet'!N10*'Output-Calculation-sheet'!N91</f>
        <v>7399686238.7176132</v>
      </c>
      <c r="O110" s="2">
        <f>O11/'Output-Calculation-sheet'!O10*'Output-Calculation-sheet'!O91</f>
        <v>7683140164.9142971</v>
      </c>
      <c r="P110" s="2">
        <f>P11/'Output-Calculation-sheet'!P10*'Output-Calculation-sheet'!P91</f>
        <v>0</v>
      </c>
      <c r="Q110" s="2">
        <f>Q11/'Output-Calculation-sheet'!Q10*'Output-Calculation-sheet'!Q91</f>
        <v>1882986704.9444263</v>
      </c>
      <c r="R110" s="2">
        <f>R11/'Output-Calculation-sheet'!R10*'Output-Calculation-sheet'!R91</f>
        <v>0</v>
      </c>
      <c r="S110" s="2">
        <f>S11/'Output-Calculation-sheet'!S10*'Output-Calculation-sheet'!S91</f>
        <v>3638903456.2390847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1059945818.6359069</v>
      </c>
      <c r="Y110" s="2">
        <f>Y11/'Output-Calculation-sheet'!Y10*'Output-Calculation-sheet'!Y91</f>
        <v>46384152.042268008</v>
      </c>
      <c r="AA110" s="2">
        <f t="shared" si="9"/>
        <v>132970.91210092735</v>
      </c>
    </row>
    <row r="111" spans="1:27" x14ac:dyDescent="0.25">
      <c r="A111" s="2">
        <v>2035</v>
      </c>
      <c r="B111" s="2">
        <f>B12/'Output-Calculation-sheet'!B11*'Output-Calculation-sheet'!B92</f>
        <v>55601381328.090187</v>
      </c>
      <c r="C111" s="2">
        <f>C12/'Output-Calculation-sheet'!C11*'Output-Calculation-sheet'!C92</f>
        <v>46500984915.360115</v>
      </c>
      <c r="D111" s="2">
        <f>D12/'Output-Calculation-sheet'!D11*'Output-Calculation-sheet'!D92</f>
        <v>0</v>
      </c>
      <c r="E111" s="2">
        <f>E12/'Output-Calculation-sheet'!E11*'Output-Calculation-sheet'!E92</f>
        <v>6189217739.9273739</v>
      </c>
      <c r="F111" s="2">
        <f>F12/'Output-Calculation-sheet'!F11*'Output-Calculation-sheet'!F92</f>
        <v>0</v>
      </c>
      <c r="G111" s="2">
        <f>G12/'Output-Calculation-sheet'!G11*'Output-Calculation-sheet'!G92</f>
        <v>-6.7293381696801848E-7</v>
      </c>
      <c r="H111" s="2">
        <f>H12/'Output-Calculation-sheet'!H11*'Output-Calculation-sheet'!H92</f>
        <v>17211929383.471169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2042412883.374526</v>
      </c>
      <c r="M111" s="2">
        <f>M12/'Output-Calculation-sheet'!M11*'Output-Calculation-sheet'!M92</f>
        <v>12145174473.532364</v>
      </c>
      <c r="N111" s="2">
        <f>N12/'Output-Calculation-sheet'!N11*'Output-Calculation-sheet'!N92</f>
        <v>8759344738.5888081</v>
      </c>
      <c r="O111" s="2">
        <f>O12/'Output-Calculation-sheet'!O11*'Output-Calculation-sheet'!O92</f>
        <v>8448693309.3791237</v>
      </c>
      <c r="P111" s="2">
        <f>P12/'Output-Calculation-sheet'!P11*'Output-Calculation-sheet'!P92</f>
        <v>424895190.33538347</v>
      </c>
      <c r="Q111" s="2">
        <f>Q12/'Output-Calculation-sheet'!Q11*'Output-Calculation-sheet'!Q92</f>
        <v>2922302981.6006436</v>
      </c>
      <c r="R111" s="2">
        <f>R12/'Output-Calculation-sheet'!R11*'Output-Calculation-sheet'!R92</f>
        <v>0</v>
      </c>
      <c r="S111" s="2">
        <f>S12/'Output-Calculation-sheet'!S11*'Output-Calculation-sheet'!S92</f>
        <v>4483505452.0573769</v>
      </c>
      <c r="T111" s="2">
        <f>T12/'Output-Calculation-sheet'!T11*'Output-Calculation-sheet'!T92</f>
        <v>0</v>
      </c>
      <c r="U111" s="2">
        <f>U12/'Output-Calculation-sheet'!U11*'Output-Calculation-sheet'!U92</f>
        <v>84778168.18588993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1198470268.1208465</v>
      </c>
      <c r="Y111" s="2">
        <f>Y12/'Output-Calculation-sheet'!Y11*'Output-Calculation-sheet'!Y92</f>
        <v>288732292.54318684</v>
      </c>
      <c r="AA111" s="2">
        <f t="shared" si="9"/>
        <v>166301.82312456699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46573653762.247322</v>
      </c>
      <c r="C118" s="2">
        <f>C8/'Output-Calculation-sheet'!C7*'Output-Calculation-sheet'!C97</f>
        <v>0</v>
      </c>
      <c r="D118" s="2">
        <f>D8/'Output-Calculation-sheet'!D7*'Output-Calculation-sheet'!D97</f>
        <v>20137566570.62141</v>
      </c>
      <c r="E118" s="2">
        <f>E8/'Output-Calculation-sheet'!E7*'Output-Calculation-sheet'!E97</f>
        <v>15977115578.003582</v>
      </c>
      <c r="F118" s="2">
        <f>F8/'Output-Calculation-sheet'!F7*'Output-Calculation-sheet'!F97</f>
        <v>10285042630.803164</v>
      </c>
      <c r="G118" s="2">
        <f>G8/'Output-Calculation-sheet'!G7*'Output-Calculation-sheet'!G97</f>
        <v>7226553217.7786293</v>
      </c>
      <c r="H118" s="2">
        <f>H8/'Output-Calculation-sheet'!H7*'Output-Calculation-sheet'!H97</f>
        <v>0</v>
      </c>
      <c r="I118" s="2">
        <f>I8/'Output-Calculation-sheet'!I7*'Output-Calculation-sheet'!I97</f>
        <v>6583958835.4396992</v>
      </c>
      <c r="J118" s="2">
        <f>J8/'Output-Calculation-sheet'!J7*'Output-Calculation-sheet'!J97</f>
        <v>6408372054.9619751</v>
      </c>
      <c r="K118" s="2">
        <f>K8/'Output-Calculation-sheet'!K7*'Output-Calculation-sheet'!K97</f>
        <v>6346935069.3999138</v>
      </c>
      <c r="L118" s="2">
        <f>L8/'Output-Calculation-sheet'!L7*'Output-Calculation-sheet'!L97</f>
        <v>5091593840.4188967</v>
      </c>
      <c r="M118" s="2">
        <f>M8/'Output-Calculation-sheet'!M7*'Output-Calculation-sheet'!M97</f>
        <v>0</v>
      </c>
      <c r="N118" s="2">
        <f>N8/'Output-Calculation-sheet'!N7*'Output-Calculation-sheet'!N97</f>
        <v>3295933098.1742039</v>
      </c>
      <c r="O118" s="2">
        <f>O8/'Output-Calculation-sheet'!O7*'Output-Calculation-sheet'!O97</f>
        <v>0</v>
      </c>
      <c r="P118" s="2">
        <f>P8/'Output-Calculation-sheet'!P7*'Output-Calculation-sheet'!P97</f>
        <v>4345412831.3902044</v>
      </c>
      <c r="Q118" s="2">
        <f>Q8/'Output-Calculation-sheet'!Q7*'Output-Calculation-sheet'!Q97</f>
        <v>4275183126.8166757</v>
      </c>
      <c r="R118" s="2">
        <f>R8/'Output-Calculation-sheet'!R7*'Output-Calculation-sheet'!R97</f>
        <v>4112922784.8457313</v>
      </c>
      <c r="S118" s="2">
        <f>S8/'Output-Calculation-sheet'!S7*'Output-Calculation-sheet'!S97</f>
        <v>2245977489.8034177</v>
      </c>
      <c r="T118" s="2">
        <f>T8/'Output-Calculation-sheet'!T7*'Output-Calculation-sheet'!T97</f>
        <v>1511875345.2431993</v>
      </c>
      <c r="U118" s="2">
        <f>U8/'Output-Calculation-sheet'!U7*'Output-Calculation-sheet'!U97</f>
        <v>1316791508.54353</v>
      </c>
      <c r="V118" s="2">
        <f>V8/'Output-Calculation-sheet'!V7*'Output-Calculation-sheet'!V97</f>
        <v>1013956195.8542476</v>
      </c>
      <c r="W118" s="2">
        <f>W8/'Output-Calculation-sheet'!W7*'Output-Calculation-sheet'!W97</f>
        <v>877861005.42682874</v>
      </c>
      <c r="X118" s="2">
        <f>X8/'Output-Calculation-sheet'!X7*'Output-Calculation-sheet'!X97</f>
        <v>0</v>
      </c>
      <c r="Y118" s="2">
        <f>Y8/'Output-Calculation-sheet'!Y7*'Output-Calculation-sheet'!Y97</f>
        <v>512226829.85140264</v>
      </c>
      <c r="AA118" s="2">
        <f t="shared" si="10"/>
        <v>148138.93177562399</v>
      </c>
    </row>
    <row r="119" spans="1:27" x14ac:dyDescent="0.25">
      <c r="A119" s="2">
        <v>2032</v>
      </c>
      <c r="B119" s="2">
        <f>B9/'Output-Calculation-sheet'!B8*'Output-Calculation-sheet'!B98</f>
        <v>59711639727.589493</v>
      </c>
      <c r="C119" s="2">
        <f>C9/'Output-Calculation-sheet'!C8*'Output-Calculation-sheet'!C98</f>
        <v>0</v>
      </c>
      <c r="D119" s="2">
        <f>D9/'Output-Calculation-sheet'!D8*'Output-Calculation-sheet'!D98</f>
        <v>27681347165.012623</v>
      </c>
      <c r="E119" s="2">
        <f>E9/'Output-Calculation-sheet'!E8*'Output-Calculation-sheet'!E98</f>
        <v>21962334804.770947</v>
      </c>
      <c r="F119" s="2">
        <f>F9/'Output-Calculation-sheet'!F8*'Output-Calculation-sheet'!F98</f>
        <v>14137947401.770195</v>
      </c>
      <c r="G119" s="2">
        <f>G9/'Output-Calculation-sheet'!G8*'Output-Calculation-sheet'!G98</f>
        <v>9933709882.5447731</v>
      </c>
      <c r="H119" s="2">
        <f>H9/'Output-Calculation-sheet'!H8*'Output-Calculation-sheet'!H98</f>
        <v>1.3288374188427187E-6</v>
      </c>
      <c r="I119" s="2">
        <f>I9/'Output-Calculation-sheet'!I8*'Output-Calculation-sheet'!I98</f>
        <v>9050392336.9347324</v>
      </c>
      <c r="J119" s="2">
        <f>J9/'Output-Calculation-sheet'!J8*'Output-Calculation-sheet'!J98</f>
        <v>8809025127.181076</v>
      </c>
      <c r="K119" s="2">
        <f>K9/'Output-Calculation-sheet'!K8*'Output-Calculation-sheet'!K98</f>
        <v>8724574478.2445049</v>
      </c>
      <c r="L119" s="2">
        <f>L9/'Output-Calculation-sheet'!L8*'Output-Calculation-sheet'!L98</f>
        <v>6998968726.964036</v>
      </c>
      <c r="M119" s="2">
        <f>M9/'Output-Calculation-sheet'!M8*'Output-Calculation-sheet'!M98</f>
        <v>0</v>
      </c>
      <c r="N119" s="2">
        <f>N9/'Output-Calculation-sheet'!N8*'Output-Calculation-sheet'!N98</f>
        <v>3411133877.5657625</v>
      </c>
      <c r="O119" s="2">
        <f>O9/'Output-Calculation-sheet'!O8*'Output-Calculation-sheet'!O98</f>
        <v>0</v>
      </c>
      <c r="P119" s="2">
        <f>P9/'Output-Calculation-sheet'!P8*'Output-Calculation-sheet'!P98</f>
        <v>5973218566.8732042</v>
      </c>
      <c r="Q119" s="2">
        <f>Q9/'Output-Calculation-sheet'!Q8*'Output-Calculation-sheet'!Q98</f>
        <v>5876719395.7575111</v>
      </c>
      <c r="R119" s="2">
        <f>R9/'Output-Calculation-sheet'!R8*'Output-Calculation-sheet'!R98</f>
        <v>5653674785.7178936</v>
      </c>
      <c r="S119" s="2">
        <f>S9/'Output-Calculation-sheet'!S8*'Output-Calculation-sheet'!S98</f>
        <v>2810894264.4744534</v>
      </c>
      <c r="T119" s="2">
        <f>T9/'Output-Calculation-sheet'!T8*'Output-Calculation-sheet'!T98</f>
        <v>2078242154.6205688</v>
      </c>
      <c r="U119" s="2">
        <f>U9/'Output-Calculation-sheet'!U8*'Output-Calculation-sheet'!U98</f>
        <v>1810078261.7267466</v>
      </c>
      <c r="V119" s="2">
        <f>V9/'Output-Calculation-sheet'!V8*'Output-Calculation-sheet'!V98</f>
        <v>1393796463.323144</v>
      </c>
      <c r="W119" s="2">
        <f>W9/'Output-Calculation-sheet'!W8*'Output-Calculation-sheet'!W98</f>
        <v>1206718651.5314848</v>
      </c>
      <c r="X119" s="2">
        <f>X9/'Output-Calculation-sheet'!X8*'Output-Calculation-sheet'!X98</f>
        <v>0</v>
      </c>
      <c r="Y119" s="2">
        <f>Y9/'Output-Calculation-sheet'!Y8*'Output-Calculation-sheet'!Y98</f>
        <v>704113093.16142344</v>
      </c>
      <c r="AA119" s="2">
        <f t="shared" si="10"/>
        <v>197928.52916576463</v>
      </c>
    </row>
    <row r="120" spans="1:27" x14ac:dyDescent="0.25">
      <c r="A120" s="2">
        <v>2033</v>
      </c>
      <c r="B120" s="2">
        <f>B10/'Output-Calculation-sheet'!B9*'Output-Calculation-sheet'!B99</f>
        <v>68060182470.475433</v>
      </c>
      <c r="C120" s="2">
        <f>C10/'Output-Calculation-sheet'!C9*'Output-Calculation-sheet'!C99</f>
        <v>0</v>
      </c>
      <c r="D120" s="2">
        <f>D10/'Output-Calculation-sheet'!D9*'Output-Calculation-sheet'!D99</f>
        <v>35738885225.423058</v>
      </c>
      <c r="E120" s="2">
        <f>E10/'Output-Calculation-sheet'!E9*'Output-Calculation-sheet'!E99</f>
        <v>28355175064.502483</v>
      </c>
      <c r="F120" s="2">
        <f>F10/'Output-Calculation-sheet'!F9*'Output-Calculation-sheet'!F99</f>
        <v>18253243704.627186</v>
      </c>
      <c r="G120" s="2">
        <f>G10/'Output-Calculation-sheet'!G9*'Output-Calculation-sheet'!G99</f>
        <v>12825229973.62339</v>
      </c>
      <c r="H120" s="2">
        <f>H10/'Output-Calculation-sheet'!H9*'Output-Calculation-sheet'!H99</f>
        <v>0</v>
      </c>
      <c r="I120" s="2">
        <f>I10/'Output-Calculation-sheet'!I9*'Output-Calculation-sheet'!I99</f>
        <v>11684795574.492926</v>
      </c>
      <c r="J120" s="2">
        <f>J10/'Output-Calculation-sheet'!J9*'Output-Calculation-sheet'!J99</f>
        <v>11373170776.682611</v>
      </c>
      <c r="K120" s="2">
        <f>K10/'Output-Calculation-sheet'!K9*'Output-Calculation-sheet'!K99</f>
        <v>11264405047.682478</v>
      </c>
      <c r="L120" s="2">
        <f>L10/'Output-Calculation-sheet'!L9*'Output-Calculation-sheet'!L99</f>
        <v>9036240162.1152725</v>
      </c>
      <c r="M120" s="2">
        <f>M10/'Output-Calculation-sheet'!M9*'Output-Calculation-sheet'!M99</f>
        <v>0</v>
      </c>
      <c r="N120" s="2">
        <f>N10/'Output-Calculation-sheet'!N9*'Output-Calculation-sheet'!N99</f>
        <v>3387680265.6792011</v>
      </c>
      <c r="O120" s="2">
        <f>O10/'Output-Calculation-sheet'!O9*'Output-Calculation-sheet'!O99</f>
        <v>0</v>
      </c>
      <c r="P120" s="2">
        <f>P10/'Output-Calculation-sheet'!P9*'Output-Calculation-sheet'!P99</f>
        <v>7711508167.1327438</v>
      </c>
      <c r="Q120" s="2">
        <f>Q10/'Output-Calculation-sheet'!Q9*'Output-Calculation-sheet'!Q99</f>
        <v>7421750207.7762651</v>
      </c>
      <c r="R120" s="2">
        <f>R10/'Output-Calculation-sheet'!R9*'Output-Calculation-sheet'!R99</f>
        <v>7299013165.59585</v>
      </c>
      <c r="S120" s="2">
        <f>S10/'Output-Calculation-sheet'!S9*'Output-Calculation-sheet'!S99</f>
        <v>2799645291.5208454</v>
      </c>
      <c r="T120" s="2">
        <f>T10/'Output-Calculation-sheet'!T9*'Output-Calculation-sheet'!T99</f>
        <v>2683157253.2590804</v>
      </c>
      <c r="U120" s="2">
        <f>U10/'Output-Calculation-sheet'!U9*'Output-Calculation-sheet'!U99</f>
        <v>2337460641.5081005</v>
      </c>
      <c r="V120" s="2">
        <f>V10/'Output-Calculation-sheet'!V9*'Output-Calculation-sheet'!V99</f>
        <v>1799505144.2296958</v>
      </c>
      <c r="W120" s="2">
        <f>W10/'Output-Calculation-sheet'!W9*'Output-Calculation-sheet'!W99</f>
        <v>1557972645.0824988</v>
      </c>
      <c r="X120" s="2">
        <f>X10/'Output-Calculation-sheet'!X9*'Output-Calculation-sheet'!X99</f>
        <v>0</v>
      </c>
      <c r="Y120" s="2">
        <f>Y10/'Output-Calculation-sheet'!Y9*'Output-Calculation-sheet'!Y99</f>
        <v>909068868.59089565</v>
      </c>
      <c r="AA120" s="2">
        <f t="shared" si="10"/>
        <v>244498.08965000001</v>
      </c>
    </row>
    <row r="121" spans="1:27" x14ac:dyDescent="0.25">
      <c r="A121" s="2">
        <v>2034</v>
      </c>
      <c r="B121" s="2">
        <f>B11/'Output-Calculation-sheet'!B10*'Output-Calculation-sheet'!B100</f>
        <v>63953603348.879921</v>
      </c>
      <c r="C121" s="2">
        <f>C11/'Output-Calculation-sheet'!C10*'Output-Calculation-sheet'!C100</f>
        <v>0</v>
      </c>
      <c r="D121" s="2">
        <f>D11/'Output-Calculation-sheet'!D10*'Output-Calculation-sheet'!D100</f>
        <v>44305128156.138519</v>
      </c>
      <c r="E121" s="2">
        <f>E11/'Output-Calculation-sheet'!E10*'Output-Calculation-sheet'!E100</f>
        <v>34303179861.195881</v>
      </c>
      <c r="F121" s="2">
        <f>F11/'Output-Calculation-sheet'!F10*'Output-Calculation-sheet'!F100</f>
        <v>22628236430.469261</v>
      </c>
      <c r="G121" s="2">
        <f>G11/'Output-Calculation-sheet'!G10*'Output-Calculation-sheet'!G100</f>
        <v>15898444210.1401</v>
      </c>
      <c r="H121" s="2">
        <f>H11/'Output-Calculation-sheet'!H10*'Output-Calculation-sheet'!H100</f>
        <v>0</v>
      </c>
      <c r="I121" s="2">
        <f>I11/'Output-Calculation-sheet'!I10*'Output-Calculation-sheet'!I100</f>
        <v>14485005218.590631</v>
      </c>
      <c r="J121" s="2">
        <f>J11/'Output-Calculation-sheet'!J10*'Output-Calculation-sheet'!J100</f>
        <v>14098856750.628923</v>
      </c>
      <c r="K121" s="2">
        <f>K11/'Output-Calculation-sheet'!K10*'Output-Calculation-sheet'!K100</f>
        <v>13964043249.882769</v>
      </c>
      <c r="L121" s="2">
        <f>L11/'Output-Calculation-sheet'!L10*'Output-Calculation-sheet'!L100</f>
        <v>10497007120.506134</v>
      </c>
      <c r="M121" s="2">
        <f>M11/'Output-Calculation-sheet'!M10*'Output-Calculation-sheet'!M100</f>
        <v>7.1652487612882743E-7</v>
      </c>
      <c r="N121" s="2">
        <f>N11/'Output-Calculation-sheet'!N10*'Output-Calculation-sheet'!N100</f>
        <v>3100954518.2344389</v>
      </c>
      <c r="O121" s="2">
        <f>O11/'Output-Calculation-sheet'!O10*'Output-Calculation-sheet'!O100</f>
        <v>0</v>
      </c>
      <c r="P121" s="2">
        <f>P11/'Output-Calculation-sheet'!P10*'Output-Calculation-sheet'!P100</f>
        <v>9559483422.1196213</v>
      </c>
      <c r="Q121" s="2">
        <f>Q11/'Output-Calculation-sheet'!Q10*'Output-Calculation-sheet'!Q100</f>
        <v>7522080369.4156437</v>
      </c>
      <c r="R121" s="2">
        <f>R11/'Output-Calculation-sheet'!R10*'Output-Calculation-sheet'!R100</f>
        <v>9048116134.5697899</v>
      </c>
      <c r="S121" s="2">
        <f>S11/'Output-Calculation-sheet'!S10*'Output-Calculation-sheet'!S100</f>
        <v>2374711113.8571525</v>
      </c>
      <c r="T121" s="2">
        <f>T11/'Output-Calculation-sheet'!T10*'Output-Calculation-sheet'!T100</f>
        <v>3326085946.7041969</v>
      </c>
      <c r="U121" s="2">
        <f>U11/'Output-Calculation-sheet'!U10*'Output-Calculation-sheet'!U100</f>
        <v>2898664626.9036803</v>
      </c>
      <c r="V121" s="2">
        <f>V11/'Output-Calculation-sheet'!V10*'Output-Calculation-sheet'!V100</f>
        <v>2231454935.6499009</v>
      </c>
      <c r="W121" s="2">
        <f>W11/'Output-Calculation-sheet'!W10*'Output-Calculation-sheet'!W100</f>
        <v>1931460019.3386612</v>
      </c>
      <c r="X121" s="2">
        <f>X11/'Output-Calculation-sheet'!X10*'Output-Calculation-sheet'!X100</f>
        <v>85744291.898082808</v>
      </c>
      <c r="Y121" s="2">
        <f>Y11/'Output-Calculation-sheet'!Y10*'Output-Calculation-sheet'!Y100</f>
        <v>1080558811.859493</v>
      </c>
      <c r="AA121" s="2">
        <f t="shared" si="10"/>
        <v>277292.81853698287</v>
      </c>
    </row>
    <row r="122" spans="1:27" x14ac:dyDescent="0.25">
      <c r="A122" s="2">
        <v>2035</v>
      </c>
      <c r="B122" s="2">
        <f>B12/'Output-Calculation-sheet'!B11*'Output-Calculation-sheet'!B101</f>
        <v>63981225338.314774</v>
      </c>
      <c r="C122" s="2">
        <f>C12/'Output-Calculation-sheet'!C11*'Output-Calculation-sheet'!C101</f>
        <v>0</v>
      </c>
      <c r="D122" s="2">
        <f>D12/'Output-Calculation-sheet'!D11*'Output-Calculation-sheet'!D101</f>
        <v>49712225632.267708</v>
      </c>
      <c r="E122" s="2">
        <f>E12/'Output-Calculation-sheet'!E11*'Output-Calculation-sheet'!E101</f>
        <v>35132870484.037537</v>
      </c>
      <c r="F122" s="2">
        <f>F12/'Output-Calculation-sheet'!F11*'Output-Calculation-sheet'!F101</f>
        <v>26144943780.354233</v>
      </c>
      <c r="G122" s="2">
        <f>G12/'Output-Calculation-sheet'!G11*'Output-Calculation-sheet'!G101</f>
        <v>18099320158.942787</v>
      </c>
      <c r="H122" s="2">
        <f>H12/'Output-Calculation-sheet'!H11*'Output-Calculation-sheet'!H101</f>
        <v>0</v>
      </c>
      <c r="I122" s="2">
        <f>I12/'Output-Calculation-sheet'!I11*'Output-Calculation-sheet'!I101</f>
        <v>16534676624.372475</v>
      </c>
      <c r="J122" s="2">
        <f>J12/'Output-Calculation-sheet'!J11*'Output-Calculation-sheet'!J101</f>
        <v>15943734626.034079</v>
      </c>
      <c r="K122" s="2">
        <f>K12/'Output-Calculation-sheet'!K11*'Output-Calculation-sheet'!K101</f>
        <v>16032526084.668879</v>
      </c>
      <c r="L122" s="2">
        <f>L12/'Output-Calculation-sheet'!L11*'Output-Calculation-sheet'!L101</f>
        <v>11033180080.403254</v>
      </c>
      <c r="M122" s="2">
        <f>M12/'Output-Calculation-sheet'!M11*'Output-Calculation-sheet'!M101</f>
        <v>0</v>
      </c>
      <c r="N122" s="2">
        <f>N12/'Output-Calculation-sheet'!N11*'Output-Calculation-sheet'!N101</f>
        <v>3104800067.8798223</v>
      </c>
      <c r="O122" s="2">
        <f>O12/'Output-Calculation-sheet'!O11*'Output-Calculation-sheet'!O101</f>
        <v>0</v>
      </c>
      <c r="P122" s="2">
        <f>P12/'Output-Calculation-sheet'!P11*'Output-Calculation-sheet'!P101</f>
        <v>10685644271.572281</v>
      </c>
      <c r="Q122" s="2">
        <f>Q12/'Output-Calculation-sheet'!Q11*'Output-Calculation-sheet'!Q101</f>
        <v>7579741948.4793673</v>
      </c>
      <c r="R122" s="2">
        <f>R12/'Output-Calculation-sheet'!R11*'Output-Calculation-sheet'!R101</f>
        <v>10448819847.82798</v>
      </c>
      <c r="S122" s="2">
        <f>S12/'Output-Calculation-sheet'!S11*'Output-Calculation-sheet'!S101</f>
        <v>2290629829.6203318</v>
      </c>
      <c r="T122" s="2">
        <f>T12/'Output-Calculation-sheet'!T11*'Output-Calculation-sheet'!T101</f>
        <v>3896589076.4205017</v>
      </c>
      <c r="U122" s="2">
        <f>U12/'Output-Calculation-sheet'!U11*'Output-Calculation-sheet'!U101</f>
        <v>3163442424.3886399</v>
      </c>
      <c r="V122" s="2">
        <f>V12/'Output-Calculation-sheet'!V11*'Output-Calculation-sheet'!V101</f>
        <v>2627822645.8397017</v>
      </c>
      <c r="W122" s="2">
        <f>W12/'Output-Calculation-sheet'!W11*'Output-Calculation-sheet'!W101</f>
        <v>2291444949.0735478</v>
      </c>
      <c r="X122" s="2">
        <f>X12/'Output-Calculation-sheet'!X11*'Output-Calculation-sheet'!X101</f>
        <v>84385193.064414009</v>
      </c>
      <c r="Y122" s="2">
        <f>Y12/'Output-Calculation-sheet'!Y11*'Output-Calculation-sheet'!Y101</f>
        <v>1034491553.5067312</v>
      </c>
      <c r="AA122" s="2">
        <f t="shared" si="10"/>
        <v>299822.51461706904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47945272542.06588</v>
      </c>
      <c r="C129" s="2">
        <f>C8/'Output-Calculation-sheet'!C7*'Output-Calculation-sheet'!C106</f>
        <v>22594229474.416031</v>
      </c>
      <c r="D129" s="2">
        <f>D8/'Output-Calculation-sheet'!D7*'Output-Calculation-sheet'!D106</f>
        <v>20137566570.62141</v>
      </c>
      <c r="E129" s="2">
        <f>E8/'Output-Calculation-sheet'!E7*'Output-Calculation-sheet'!E106</f>
        <v>15977115578.003582</v>
      </c>
      <c r="F129" s="2">
        <f>F8/'Output-Calculation-sheet'!F7*'Output-Calculation-sheet'!F106</f>
        <v>10285042630.803164</v>
      </c>
      <c r="G129" s="2">
        <f>G8/'Output-Calculation-sheet'!G7*'Output-Calculation-sheet'!G106</f>
        <v>7226553217.7786293</v>
      </c>
      <c r="H129" s="2">
        <f>H8/'Output-Calculation-sheet'!H7*'Output-Calculation-sheet'!H106</f>
        <v>7049225259.8107777</v>
      </c>
      <c r="I129" s="2">
        <f>I8/'Output-Calculation-sheet'!I7*'Output-Calculation-sheet'!I106</f>
        <v>6583958835.4396992</v>
      </c>
      <c r="J129" s="2">
        <f>J8/'Output-Calculation-sheet'!J7*'Output-Calculation-sheet'!J106</f>
        <v>6408372054.9619751</v>
      </c>
      <c r="K129" s="2">
        <f>K8/'Output-Calculation-sheet'!K7*'Output-Calculation-sheet'!K106</f>
        <v>6346935069.3999138</v>
      </c>
      <c r="L129" s="2">
        <f>L8/'Output-Calculation-sheet'!L7*'Output-Calculation-sheet'!L106</f>
        <v>5091593840.4188967</v>
      </c>
      <c r="M129" s="2">
        <f>M8/'Output-Calculation-sheet'!M7*'Output-Calculation-sheet'!M106</f>
        <v>4863350926.4448004</v>
      </c>
      <c r="N129" s="2">
        <f>N8/'Output-Calculation-sheet'!N7*'Output-Calculation-sheet'!N106</f>
        <v>4773365813.4008131</v>
      </c>
      <c r="O129" s="2">
        <f>O8/'Output-Calculation-sheet'!O7*'Output-Calculation-sheet'!O106</f>
        <v>4390077545.0521173</v>
      </c>
      <c r="P129" s="2">
        <f>P8/'Output-Calculation-sheet'!P7*'Output-Calculation-sheet'!P106</f>
        <v>4345412831.3902044</v>
      </c>
      <c r="Q129" s="2">
        <f>Q8/'Output-Calculation-sheet'!Q7*'Output-Calculation-sheet'!Q106</f>
        <v>4275183126.8166757</v>
      </c>
      <c r="R129" s="2">
        <f>R8/'Output-Calculation-sheet'!R7*'Output-Calculation-sheet'!R106</f>
        <v>4112922784.8457313</v>
      </c>
      <c r="S129" s="2">
        <f>S8/'Output-Calculation-sheet'!S7*'Output-Calculation-sheet'!S106</f>
        <v>2733659178.3062391</v>
      </c>
      <c r="T129" s="2">
        <f>T8/'Output-Calculation-sheet'!T7*'Output-Calculation-sheet'!T106</f>
        <v>1511875345.2431993</v>
      </c>
      <c r="U129" s="2">
        <f>U8/'Output-Calculation-sheet'!U7*'Output-Calculation-sheet'!U106</f>
        <v>1316791508.54353</v>
      </c>
      <c r="V129" s="2">
        <f>V8/'Output-Calculation-sheet'!V7*'Output-Calculation-sheet'!V106</f>
        <v>1013956195.8542476</v>
      </c>
      <c r="W129" s="2">
        <f>W8/'Output-Calculation-sheet'!W7*'Output-Calculation-sheet'!W106</f>
        <v>877861005.42682874</v>
      </c>
      <c r="X129" s="2">
        <f>X8/'Output-Calculation-sheet'!X7*'Output-Calculation-sheet'!X106</f>
        <v>526716706.83517665</v>
      </c>
      <c r="Y129" s="2">
        <f>Y8/'Output-Calculation-sheet'!Y7*'Output-Calculation-sheet'!Y106</f>
        <v>512226829.85140264</v>
      </c>
      <c r="AA129" s="2">
        <f t="shared" si="11"/>
        <v>190899.26487173091</v>
      </c>
    </row>
    <row r="130" spans="1:27" x14ac:dyDescent="0.25">
      <c r="A130" s="2">
        <v>2032</v>
      </c>
      <c r="B130" s="2">
        <f>B9/'Output-Calculation-sheet'!B8*'Output-Calculation-sheet'!B107</f>
        <v>39543699537.692505</v>
      </c>
      <c r="C130" s="2">
        <f>C9/'Output-Calculation-sheet'!C8*'Output-Calculation-sheet'!C107</f>
        <v>18634977417.564686</v>
      </c>
      <c r="D130" s="2">
        <f>D9/'Output-Calculation-sheet'!D8*'Output-Calculation-sheet'!D107</f>
        <v>16608804836.836527</v>
      </c>
      <c r="E130" s="2">
        <f>E9/'Output-Calculation-sheet'!E8*'Output-Calculation-sheet'!E107</f>
        <v>13177399507.111315</v>
      </c>
      <c r="F130" s="2">
        <f>F9/'Output-Calculation-sheet'!F8*'Output-Calculation-sheet'!F107</f>
        <v>8482769306.3153162</v>
      </c>
      <c r="G130" s="2">
        <f>G9/'Output-Calculation-sheet'!G8*'Output-Calculation-sheet'!G107</f>
        <v>5960226550.5044336</v>
      </c>
      <c r="H130" s="2">
        <f>H9/'Output-Calculation-sheet'!H8*'Output-Calculation-sheet'!H107</f>
        <v>5813970691.7426882</v>
      </c>
      <c r="I130" s="2">
        <f>I9/'Output-Calculation-sheet'!I8*'Output-Calculation-sheet'!I107</f>
        <v>5430234843.6285906</v>
      </c>
      <c r="J130" s="2">
        <f>J9/'Output-Calculation-sheet'!J8*'Output-Calculation-sheet'!J107</f>
        <v>5285414523.5450945</v>
      </c>
      <c r="K130" s="2">
        <f>K9/'Output-Calculation-sheet'!K8*'Output-Calculation-sheet'!K107</f>
        <v>5234744686.946702</v>
      </c>
      <c r="L130" s="2">
        <f>L9/'Output-Calculation-sheet'!L8*'Output-Calculation-sheet'!L107</f>
        <v>4199380799.6802559</v>
      </c>
      <c r="M130" s="2">
        <f>M9/'Output-Calculation-sheet'!M8*'Output-Calculation-sheet'!M107</f>
        <v>4011133990.2816691</v>
      </c>
      <c r="N130" s="2">
        <f>N9/'Output-Calculation-sheet'!N8*'Output-Calculation-sheet'!N107</f>
        <v>3936914648.467638</v>
      </c>
      <c r="O130" s="2">
        <f>O9/'Output-Calculation-sheet'!O8*'Output-Calculation-sheet'!O107</f>
        <v>3620793007.1691546</v>
      </c>
      <c r="P130" s="2">
        <f>P9/'Output-Calculation-sheet'!P8*'Output-Calculation-sheet'!P107</f>
        <v>3583954066.2089434</v>
      </c>
      <c r="Q130" s="2">
        <f>Q9/'Output-Calculation-sheet'!Q8*'Output-Calculation-sheet'!Q107</f>
        <v>3526032706.7869101</v>
      </c>
      <c r="R130" s="2">
        <f>R9/'Output-Calculation-sheet'!R8*'Output-Calculation-sheet'!R107</f>
        <v>3392205224.9115591</v>
      </c>
      <c r="S130" s="2">
        <f>S9/'Output-Calculation-sheet'!S8*'Output-Calculation-sheet'!S107</f>
        <v>2254633071.4411788</v>
      </c>
      <c r="T130" s="2">
        <f>T9/'Output-Calculation-sheet'!T8*'Output-Calculation-sheet'!T107</f>
        <v>1246945554.3233106</v>
      </c>
      <c r="U130" s="2">
        <f>U9/'Output-Calculation-sheet'!U8*'Output-Calculation-sheet'!U107</f>
        <v>1086046615.8536737</v>
      </c>
      <c r="V130" s="2">
        <f>V9/'Output-Calculation-sheet'!V8*'Output-Calculation-sheet'!V107</f>
        <v>836277614.91133237</v>
      </c>
      <c r="W130" s="2">
        <f>W9/'Output-Calculation-sheet'!W8*'Output-Calculation-sheet'!W107</f>
        <v>724031266.85546005</v>
      </c>
      <c r="X130" s="2">
        <f>X9/'Output-Calculation-sheet'!X8*'Output-Calculation-sheet'!X107</f>
        <v>434418674.87520903</v>
      </c>
      <c r="Y130" s="2">
        <f>Y9/'Output-Calculation-sheet'!Y8*'Output-Calculation-sheet'!Y107</f>
        <v>422467899.71784753</v>
      </c>
      <c r="AA130" s="2">
        <f t="shared" si="11"/>
        <v>157447.477043372</v>
      </c>
    </row>
    <row r="131" spans="1:27" x14ac:dyDescent="0.25">
      <c r="A131" s="2">
        <v>2033</v>
      </c>
      <c r="B131" s="2">
        <f>B10/'Output-Calculation-sheet'!B9*'Output-Calculation-sheet'!B108</f>
        <v>28363424353.89912</v>
      </c>
      <c r="C131" s="2">
        <f>C10/'Output-Calculation-sheet'!C9*'Output-Calculation-sheet'!C108</f>
        <v>16598115187.97472</v>
      </c>
      <c r="D131" s="2">
        <f>D10/'Output-Calculation-sheet'!D9*'Output-Calculation-sheet'!D108</f>
        <v>11912964845.936855</v>
      </c>
      <c r="E131" s="2">
        <f>E10/'Output-Calculation-sheet'!E9*'Output-Calculation-sheet'!E108</f>
        <v>9451725021.5008278</v>
      </c>
      <c r="F131" s="2">
        <f>F10/'Output-Calculation-sheet'!F9*'Output-Calculation-sheet'!F108</f>
        <v>6084414568.2090616</v>
      </c>
      <c r="G131" s="2">
        <f>G10/'Output-Calculation-sheet'!G9*'Output-Calculation-sheet'!G108</f>
        <v>4275076657.8744636</v>
      </c>
      <c r="H131" s="2">
        <f>H10/'Output-Calculation-sheet'!H9*'Output-Calculation-sheet'!H108</f>
        <v>4170173173.3153424</v>
      </c>
      <c r="I131" s="2">
        <f>I10/'Output-Calculation-sheet'!I9*'Output-Calculation-sheet'!I108</f>
        <v>3894932859.7071118</v>
      </c>
      <c r="J131" s="2">
        <f>J10/'Output-Calculation-sheet'!J9*'Output-Calculation-sheet'!J108</f>
        <v>3791057916.7594223</v>
      </c>
      <c r="K131" s="2">
        <f>K10/'Output-Calculation-sheet'!K9*'Output-Calculation-sheet'!K108</f>
        <v>3754713090.2575741</v>
      </c>
      <c r="L131" s="2">
        <f>L10/'Output-Calculation-sheet'!L9*'Output-Calculation-sheet'!L108</f>
        <v>3012080836.7534723</v>
      </c>
      <c r="M131" s="2">
        <f>M10/'Output-Calculation-sheet'!M9*'Output-Calculation-sheet'!M108</f>
        <v>2877055962.6608992</v>
      </c>
      <c r="N131" s="2">
        <f>N10/'Output-Calculation-sheet'!N9*'Output-Calculation-sheet'!N108</f>
        <v>2823821571.028749</v>
      </c>
      <c r="O131" s="2">
        <f>O10/'Output-Calculation-sheet'!O9*'Output-Calculation-sheet'!O108</f>
        <v>3663039893.0551891</v>
      </c>
      <c r="P131" s="2">
        <f>P10/'Output-Calculation-sheet'!P9*'Output-Calculation-sheet'!P108</f>
        <v>2570655706.7895312</v>
      </c>
      <c r="Q131" s="2">
        <f>Q10/'Output-Calculation-sheet'!Q9*'Output-Calculation-sheet'!Q108</f>
        <v>2529109240.7739344</v>
      </c>
      <c r="R131" s="2">
        <f>R10/'Output-Calculation-sheet'!R9*'Output-Calculation-sheet'!R108</f>
        <v>2433118481.6956043</v>
      </c>
      <c r="S131" s="2">
        <f>S10/'Output-Calculation-sheet'!S9*'Output-Calculation-sheet'!S108</f>
        <v>1617175813.2259398</v>
      </c>
      <c r="T131" s="2">
        <f>T10/'Output-Calculation-sheet'!T9*'Output-Calculation-sheet'!T108</f>
        <v>894393255.1684674</v>
      </c>
      <c r="U131" s="2">
        <f>U10/'Output-Calculation-sheet'!U9*'Output-Calculation-sheet'!U108</f>
        <v>778986118.52915478</v>
      </c>
      <c r="V131" s="2">
        <f>V10/'Output-Calculation-sheet'!V9*'Output-Calculation-sheet'!V108</f>
        <v>599834890.82605791</v>
      </c>
      <c r="W131" s="2">
        <f>W10/'Output-Calculation-sheet'!W9*'Output-Calculation-sheet'!W108</f>
        <v>519324078.86038584</v>
      </c>
      <c r="X131" s="2">
        <f>X10/'Output-Calculation-sheet'!X9*'Output-Calculation-sheet'!X108</f>
        <v>311594386.45110607</v>
      </c>
      <c r="Y131" s="2">
        <f>Y10/'Output-Calculation-sheet'!Y9*'Output-Calculation-sheet'!Y108</f>
        <v>303022484.72624171</v>
      </c>
      <c r="AA131" s="2">
        <f t="shared" si="11"/>
        <v>117229.81039597925</v>
      </c>
    </row>
    <row r="132" spans="1:27" x14ac:dyDescent="0.25">
      <c r="A132" s="2">
        <v>2034</v>
      </c>
      <c r="B132" s="2">
        <f>B11/'Output-Calculation-sheet'!B10*'Output-Calculation-sheet'!B109</f>
        <v>15069360338.470707</v>
      </c>
      <c r="C132" s="2">
        <f>C11/'Output-Calculation-sheet'!C10*'Output-Calculation-sheet'!C109</f>
        <v>17019213250.978947</v>
      </c>
      <c r="D132" s="2">
        <f>D11/'Output-Calculation-sheet'!D10*'Output-Calculation-sheet'!D109</f>
        <v>6329304870.4708729</v>
      </c>
      <c r="E132" s="2">
        <f>E11/'Output-Calculation-sheet'!E10*'Output-Calculation-sheet'!E109</f>
        <v>5021660744.5795202</v>
      </c>
      <c r="F132" s="2">
        <f>F11/'Output-Calculation-sheet'!F10*'Output-Calculation-sheet'!F109</f>
        <v>3232623221.8371916</v>
      </c>
      <c r="G132" s="2">
        <f>G11/'Output-Calculation-sheet'!G10*'Output-Calculation-sheet'!G109</f>
        <v>2271330147.5768909</v>
      </c>
      <c r="H132" s="2">
        <f>H11/'Output-Calculation-sheet'!H10*'Output-Calculation-sheet'!H109</f>
        <v>2215595023.6490312</v>
      </c>
      <c r="I132" s="2">
        <f>I11/'Output-Calculation-sheet'!I10*'Output-Calculation-sheet'!I109</f>
        <v>2069360393.428848</v>
      </c>
      <c r="J132" s="2">
        <f>J11/'Output-Calculation-sheet'!J10*'Output-Calculation-sheet'!J109</f>
        <v>2014172406.7547586</v>
      </c>
      <c r="K132" s="2">
        <f>K11/'Output-Calculation-sheet'!K10*'Output-Calculation-sheet'!K109</f>
        <v>1994863186.9297993</v>
      </c>
      <c r="L132" s="2">
        <f>L11/'Output-Calculation-sheet'!L10*'Output-Calculation-sheet'!L109</f>
        <v>1600305309.8455153</v>
      </c>
      <c r="M132" s="2">
        <f>M11/'Output-Calculation-sheet'!M10*'Output-Calculation-sheet'!M109</f>
        <v>1528567426.0293458</v>
      </c>
      <c r="N132" s="2">
        <f>N11/'Output-Calculation-sheet'!N10*'Output-Calculation-sheet'!N109</f>
        <v>1500284688.4272456</v>
      </c>
      <c r="O132" s="2">
        <f>O11/'Output-Calculation-sheet'!O10*'Output-Calculation-sheet'!O109</f>
        <v>3724681698.8478713</v>
      </c>
      <c r="P132" s="2">
        <f>P11/'Output-Calculation-sheet'!P10*'Output-Calculation-sheet'!P109</f>
        <v>1365777861.7226443</v>
      </c>
      <c r="Q132" s="2">
        <f>Q11/'Output-Calculation-sheet'!Q10*'Output-Calculation-sheet'!Q109</f>
        <v>1343704629.4148703</v>
      </c>
      <c r="R132" s="2">
        <f>R11/'Output-Calculation-sheet'!R10*'Output-Calculation-sheet'!R109</f>
        <v>1292705558.8729084</v>
      </c>
      <c r="S132" s="2">
        <f>S11/'Output-Calculation-sheet'!S10*'Output-Calculation-sheet'!S109</f>
        <v>859198402.3980993</v>
      </c>
      <c r="T132" s="2">
        <f>T11/'Output-Calculation-sheet'!T10*'Output-Calculation-sheet'!T109</f>
        <v>475187429.02380884</v>
      </c>
      <c r="U132" s="2">
        <f>U11/'Output-Calculation-sheet'!U10*'Output-Calculation-sheet'!U109</f>
        <v>413872030.50657368</v>
      </c>
      <c r="V132" s="2">
        <f>V11/'Output-Calculation-sheet'!V10*'Output-Calculation-sheet'!V109</f>
        <v>318689740.91327083</v>
      </c>
      <c r="W132" s="2">
        <f>W11/'Output-Calculation-sheet'!W10*'Output-Calculation-sheet'!W109</f>
        <v>275914686.98748171</v>
      </c>
      <c r="X132" s="2">
        <f>X11/'Output-Calculation-sheet'!X10*'Output-Calculation-sheet'!X109</f>
        <v>186927396.80880001</v>
      </c>
      <c r="Y132" s="2">
        <f>Y11/'Output-Calculation-sheet'!Y10*'Output-Calculation-sheet'!Y109</f>
        <v>160994589.4877817</v>
      </c>
      <c r="AA132" s="2">
        <f t="shared" si="11"/>
        <v>72284.295033962786</v>
      </c>
    </row>
    <row r="133" spans="1:27" x14ac:dyDescent="0.25">
      <c r="A133" s="2">
        <v>2035</v>
      </c>
      <c r="B133" s="2">
        <f>B12/'Output-Calculation-sheet'!B11*'Output-Calculation-sheet'!B110</f>
        <v>10712687896.638781</v>
      </c>
      <c r="C133" s="2">
        <f>C12/'Output-Calculation-sheet'!C11*'Output-Calculation-sheet'!C110</f>
        <v>17209094425.322426</v>
      </c>
      <c r="D133" s="2">
        <f>D12/'Output-Calculation-sheet'!D11*'Output-Calculation-sheet'!D110</f>
        <v>4675987553.14886</v>
      </c>
      <c r="E133" s="2">
        <f>E12/'Output-Calculation-sheet'!E11*'Output-Calculation-sheet'!E110</f>
        <v>2240288448.8358698</v>
      </c>
      <c r="F133" s="2">
        <f>F12/'Output-Calculation-sheet'!F11*'Output-Calculation-sheet'!F110</f>
        <v>1709484732.6009007</v>
      </c>
      <c r="G133" s="2">
        <f>G12/'Output-Calculation-sheet'!G11*'Output-Calculation-sheet'!G110</f>
        <v>1595925652.9581077</v>
      </c>
      <c r="H133" s="2">
        <f>H12/'Output-Calculation-sheet'!H11*'Output-Calculation-sheet'!H110</f>
        <v>2217234023.8901882</v>
      </c>
      <c r="I133" s="2">
        <f>I12/'Output-Calculation-sheet'!I11*'Output-Calculation-sheet'!I110</f>
        <v>1318930717.3260665</v>
      </c>
      <c r="J133" s="2">
        <f>J12/'Output-Calculation-sheet'!J11*'Output-Calculation-sheet'!J110</f>
        <v>1284482391.3190894</v>
      </c>
      <c r="K133" s="2">
        <f>K12/'Output-Calculation-sheet'!K11*'Output-Calculation-sheet'!K110</f>
        <v>1111357017.5976872</v>
      </c>
      <c r="L133" s="2">
        <f>L12/'Output-Calculation-sheet'!L11*'Output-Calculation-sheet'!L110</f>
        <v>580876812.6200279</v>
      </c>
      <c r="M133" s="2">
        <f>M12/'Output-Calculation-sheet'!M11*'Output-Calculation-sheet'!M110</f>
        <v>1178633542.5775204</v>
      </c>
      <c r="N133" s="2">
        <f>N12/'Output-Calculation-sheet'!N11*'Output-Calculation-sheet'!N110</f>
        <v>1062086292.0619602</v>
      </c>
      <c r="O133" s="2">
        <f>O12/'Output-Calculation-sheet'!O11*'Output-Calculation-sheet'!O110</f>
        <v>3779598888.8644614</v>
      </c>
      <c r="P133" s="2">
        <f>P12/'Output-Calculation-sheet'!P11*'Output-Calculation-sheet'!P110</f>
        <v>782669559.30766368</v>
      </c>
      <c r="Q133" s="2">
        <f>Q12/'Output-Calculation-sheet'!Q11*'Output-Calculation-sheet'!Q110</f>
        <v>1080113351.1439164</v>
      </c>
      <c r="R133" s="2">
        <f>R12/'Output-Calculation-sheet'!R11*'Output-Calculation-sheet'!R110</f>
        <v>661076724.42955005</v>
      </c>
      <c r="S133" s="2">
        <f>S12/'Output-Calculation-sheet'!S11*'Output-Calculation-sheet'!S110</f>
        <v>648423361.08491516</v>
      </c>
      <c r="T133" s="2">
        <f>T12/'Output-Calculation-sheet'!T11*'Output-Calculation-sheet'!T110</f>
        <v>171161057.61376423</v>
      </c>
      <c r="U133" s="2">
        <f>U12/'Output-Calculation-sheet'!U11*'Output-Calculation-sheet'!U110</f>
        <v>337204300.25483447</v>
      </c>
      <c r="V133" s="2">
        <f>V12/'Output-Calculation-sheet'!V11*'Output-Calculation-sheet'!V110</f>
        <v>73740045.72567074</v>
      </c>
      <c r="W133" s="2">
        <f>W12/'Output-Calculation-sheet'!W11*'Output-Calculation-sheet'!W110</f>
        <v>91451997.307128906</v>
      </c>
      <c r="X133" s="2">
        <f>X12/'Output-Calculation-sheet'!X11*'Output-Calculation-sheet'!X110</f>
        <v>185583579.2853089</v>
      </c>
      <c r="Y133" s="2">
        <f>Y12/'Output-Calculation-sheet'!Y11*'Output-Calculation-sheet'!Y110</f>
        <v>80158712.827338859</v>
      </c>
      <c r="AA133" s="2">
        <f t="shared" si="11"/>
        <v>54788.251084742034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1037.6250859230158</v>
      </c>
      <c r="C19" s="2">
        <f>C8/'Output-Calculation-sheet'!C7*'Output-Calculation-sheet'!C25</f>
        <v>15640.36949070556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4666.0268255232377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3234.8067247219465</v>
      </c>
      <c r="N19" s="2">
        <f>N8/'Output-Calculation-sheet'!N7*'Output-Calculation-sheet'!N25</f>
        <v>1107.4787578775185</v>
      </c>
      <c r="O19" s="2">
        <f>O8/'Output-Calculation-sheet'!O7*'Output-Calculation-sheet'!O25</f>
        <v>3025.1638839017719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395.16590366548797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361.42506893640626</v>
      </c>
      <c r="Y19" s="2">
        <f>Y8/'Output-Calculation-sheet'!Y7*'Output-Calculation-sheet'!Y25</f>
        <v>0</v>
      </c>
      <c r="AA19" s="2">
        <f t="shared" si="0"/>
        <v>29.468061741254942</v>
      </c>
    </row>
    <row r="20" spans="1:27" x14ac:dyDescent="0.25">
      <c r="A20" s="2">
        <v>2032</v>
      </c>
      <c r="B20" s="2">
        <f>B9/'Output-Calculation-sheet'!B8*'Output-Calculation-sheet'!B26</f>
        <v>5488.4563694999024</v>
      </c>
      <c r="C20" s="2">
        <f>C9/'Output-Calculation-sheet'!C8*'Output-Calculation-sheet'!C26</f>
        <v>20099.505559971632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5963.8877212276466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4149.4256775096828</v>
      </c>
      <c r="N20" s="2">
        <f>N9/'Output-Calculation-sheet'!N8*'Output-Calculation-sheet'!N26</f>
        <v>1872.409033879667</v>
      </c>
      <c r="O20" s="2">
        <f>O9/'Output-Calculation-sheet'!O8*'Output-Calculation-sheet'!O26</f>
        <v>3916.3010652639409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680.48427772970194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464.23248941165537</v>
      </c>
      <c r="Y20" s="2">
        <f>Y9/'Output-Calculation-sheet'!Y8*'Output-Calculation-sheet'!Y26</f>
        <v>0</v>
      </c>
      <c r="AA20" s="2">
        <f t="shared" si="0"/>
        <v>42.634702194493826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22297.821303181667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6861.1783012960268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4765.6408412070514</v>
      </c>
      <c r="N21" s="2">
        <f>N10/'Output-Calculation-sheet'!N9*'Output-Calculation-sheet'!N27</f>
        <v>2606.6614731543818</v>
      </c>
      <c r="O21" s="2">
        <f>O10/'Output-Calculation-sheet'!O9*'Output-Calculation-sheet'!O27</f>
        <v>3933.4007223739791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1134.7671459013504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560.41130204948399</v>
      </c>
      <c r="Y21" s="2">
        <f>Y10/'Output-Calculation-sheet'!Y9*'Output-Calculation-sheet'!Y27</f>
        <v>0</v>
      </c>
      <c r="AA21" s="2">
        <f t="shared" si="0"/>
        <v>54.205539986303208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20490.568069629509</v>
      </c>
      <c r="D22" s="2">
        <f>D11/'Output-Calculation-sheet'!D10*'Output-Calculation-sheet'!D28</f>
        <v>0</v>
      </c>
      <c r="E22" s="2">
        <f>E11/'Output-Calculation-sheet'!E10*'Output-Calculation-sheet'!E28</f>
        <v>1009.7319114851664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8071.7742684880986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612.09851989062213</v>
      </c>
      <c r="M22" s="2">
        <f>M11/'Output-Calculation-sheet'!M10*'Output-Calculation-sheet'!M28</f>
        <v>5562.2552615800505</v>
      </c>
      <c r="N22" s="2">
        <f>N11/'Output-Calculation-sheet'!N10*'Output-Calculation-sheet'!N28</f>
        <v>3201.1088866008567</v>
      </c>
      <c r="O22" s="2">
        <f>O11/'Output-Calculation-sheet'!O10*'Output-Calculation-sheet'!O28</f>
        <v>3667.0235587312873</v>
      </c>
      <c r="P22" s="2">
        <f>P11/'Output-Calculation-sheet'!P10*'Output-Calculation-sheet'!P28</f>
        <v>0</v>
      </c>
      <c r="Q22" s="2">
        <f>Q11/'Output-Calculation-sheet'!Q10*'Output-Calculation-sheet'!Q28</f>
        <v>1200.5425100549237</v>
      </c>
      <c r="R22" s="2">
        <f>R11/'Output-Calculation-sheet'!R10*'Output-Calculation-sheet'!R28</f>
        <v>0</v>
      </c>
      <c r="S22" s="2">
        <f>S11/'Output-Calculation-sheet'!S10*'Output-Calculation-sheet'!S28</f>
        <v>1623.4170233556838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561.63516674781613</v>
      </c>
      <c r="Y22" s="2">
        <f>Y11/'Output-Calculation-sheet'!Y10*'Output-Calculation-sheet'!Y28</f>
        <v>55.868909699828187</v>
      </c>
      <c r="AA22" s="2">
        <f t="shared" si="0"/>
        <v>66.151462221434443</v>
      </c>
    </row>
    <row r="23" spans="1:27" x14ac:dyDescent="0.25">
      <c r="A23" s="2">
        <v>2035</v>
      </c>
      <c r="B23" s="2">
        <f>B12/'Output-Calculation-sheet'!B11*'Output-Calculation-sheet'!B29</f>
        <v>20460.43794540122</v>
      </c>
      <c r="C23" s="2">
        <f>C12/'Output-Calculation-sheet'!C11*'Output-Calculation-sheet'!C29</f>
        <v>17498.655052450242</v>
      </c>
      <c r="D23" s="2">
        <f>D12/'Output-Calculation-sheet'!D11*'Output-Calculation-sheet'!D29</f>
        <v>0</v>
      </c>
      <c r="E23" s="2">
        <f>E12/'Output-Calculation-sheet'!E11*'Output-Calculation-sheet'!E29</f>
        <v>3906.849196283787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6789.2352325982165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1142.6512917817595</v>
      </c>
      <c r="M23" s="2">
        <f>M12/'Output-Calculation-sheet'!M11*'Output-Calculation-sheet'!M29</f>
        <v>5136.8496022144418</v>
      </c>
      <c r="N23" s="2">
        <f>N12/'Output-Calculation-sheet'!N11*'Output-Calculation-sheet'!N29</f>
        <v>3002.4545851475864</v>
      </c>
      <c r="O23" s="2">
        <f>O12/'Output-Calculation-sheet'!O11*'Output-Calculation-sheet'!O29</f>
        <v>3130.0664219490732</v>
      </c>
      <c r="P23" s="2">
        <f>P12/'Output-Calculation-sheet'!P11*'Output-Calculation-sheet'!P29</f>
        <v>412.44262420886884</v>
      </c>
      <c r="Q23" s="2">
        <f>Q12/'Output-Calculation-sheet'!Q11*'Output-Calculation-sheet'!Q29</f>
        <v>1313.977436356012</v>
      </c>
      <c r="R23" s="2">
        <f>R12/'Output-Calculation-sheet'!R11*'Output-Calculation-sheet'!R29</f>
        <v>0</v>
      </c>
      <c r="S23" s="2">
        <f>S12/'Output-Calculation-sheet'!S11*'Output-Calculation-sheet'!S29</f>
        <v>1559.9474668926609</v>
      </c>
      <c r="T23" s="2">
        <f>T12/'Output-Calculation-sheet'!T11*'Output-Calculation-sheet'!T29</f>
        <v>0</v>
      </c>
      <c r="U23" s="2">
        <f>U12/'Output-Calculation-sheet'!U11*'Output-Calculation-sheet'!U29</f>
        <v>90.527086629610636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486.54808995146294</v>
      </c>
      <c r="Y23" s="2">
        <f>Y12/'Output-Calculation-sheet'!Y11*'Output-Calculation-sheet'!Y29</f>
        <v>155.9238259413961</v>
      </c>
      <c r="AA23" s="2">
        <f t="shared" si="0"/>
        <v>65.086565857806335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18085.468178909639</v>
      </c>
      <c r="C30" s="2">
        <f>C8/'Output-Calculation-sheet'!C7*'Output-Calculation-sheet'!C16</f>
        <v>0</v>
      </c>
      <c r="D30" s="2">
        <f>D8/'Output-Calculation-sheet'!D7*'Output-Calculation-sheet'!D16</f>
        <v>3045.353757677432</v>
      </c>
      <c r="E30" s="2">
        <f>E8/'Output-Calculation-sheet'!E7*'Output-Calculation-sheet'!E16</f>
        <v>3276.6285872967997</v>
      </c>
      <c r="F30" s="2">
        <f>F8/'Output-Calculation-sheet'!F7*'Output-Calculation-sheet'!F16</f>
        <v>1653.0765581237924</v>
      </c>
      <c r="G30" s="2">
        <f>G8/'Output-Calculation-sheet'!G7*'Output-Calculation-sheet'!G16</f>
        <v>1082.5688069977859</v>
      </c>
      <c r="H30" s="2">
        <f>H8/'Output-Calculation-sheet'!H7*'Output-Calculation-sheet'!H16</f>
        <v>0</v>
      </c>
      <c r="I30" s="2">
        <f>I8/'Output-Calculation-sheet'!I7*'Output-Calculation-sheet'!I16</f>
        <v>1055.3424923787115</v>
      </c>
      <c r="J30" s="2">
        <f>J8/'Output-Calculation-sheet'!J7*'Output-Calculation-sheet'!J16</f>
        <v>939.45774349220176</v>
      </c>
      <c r="K30" s="2">
        <f>K8/'Output-Calculation-sheet'!K7*'Output-Calculation-sheet'!K16</f>
        <v>1254.3556553351107</v>
      </c>
      <c r="L30" s="2">
        <f>L8/'Output-Calculation-sheet'!L7*'Output-Calculation-sheet'!L16</f>
        <v>1059.5227213720323</v>
      </c>
      <c r="M30" s="2">
        <f>M8/'Output-Calculation-sheet'!M7*'Output-Calculation-sheet'!M16</f>
        <v>0</v>
      </c>
      <c r="N30" s="2">
        <f>N8/'Output-Calculation-sheet'!N7*'Output-Calculation-sheet'!N16</f>
        <v>1504.9627622206713</v>
      </c>
      <c r="O30" s="2">
        <f>O8/'Output-Calculation-sheet'!O7*'Output-Calculation-sheet'!O16</f>
        <v>0</v>
      </c>
      <c r="P30" s="2">
        <f>P8/'Output-Calculation-sheet'!P7*'Output-Calculation-sheet'!P16</f>
        <v>1352.611148912192</v>
      </c>
      <c r="Q30" s="2">
        <f>Q8/'Output-Calculation-sheet'!Q7*'Output-Calculation-sheet'!Q16</f>
        <v>1487.4255506687073</v>
      </c>
      <c r="R30" s="2">
        <f>R8/'Output-Calculation-sheet'!R7*'Output-Calculation-sheet'!R16</f>
        <v>943.77797682211678</v>
      </c>
      <c r="S30" s="2">
        <f>S8/'Output-Calculation-sheet'!S7*'Output-Calculation-sheet'!S16</f>
        <v>949.16389819370249</v>
      </c>
      <c r="T30" s="2">
        <f>T8/'Output-Calculation-sheet'!T7*'Output-Calculation-sheet'!T16</f>
        <v>283.30858255019876</v>
      </c>
      <c r="U30" s="2">
        <f>U8/'Output-Calculation-sheet'!U7*'Output-Calculation-sheet'!U16</f>
        <v>282.802175642946</v>
      </c>
      <c r="V30" s="2">
        <f>V8/'Output-Calculation-sheet'!V7*'Output-Calculation-sheet'!V16</f>
        <v>220.09955766566614</v>
      </c>
      <c r="W30" s="2">
        <f>W8/'Output-Calculation-sheet'!W7*'Output-Calculation-sheet'!W16</f>
        <v>133.50147750107934</v>
      </c>
      <c r="X30" s="2">
        <f>X8/'Output-Calculation-sheet'!X7*'Output-Calculation-sheet'!X16</f>
        <v>0</v>
      </c>
      <c r="Y30" s="2">
        <f>Y8/'Output-Calculation-sheet'!Y7*'Output-Calculation-sheet'!Y16</f>
        <v>112.99382327585751</v>
      </c>
      <c r="AA30" s="2">
        <f t="shared" si="1"/>
        <v>38.722421455036631</v>
      </c>
    </row>
    <row r="31" spans="1:27" x14ac:dyDescent="0.25">
      <c r="A31" s="2">
        <v>2032</v>
      </c>
      <c r="B31" s="2">
        <f>B9/'Output-Calculation-sheet'!B8*'Output-Calculation-sheet'!B17</f>
        <v>23239.937585794723</v>
      </c>
      <c r="C31" s="2">
        <f>C9/'Output-Calculation-sheet'!C8*'Output-Calculation-sheet'!C17</f>
        <v>0</v>
      </c>
      <c r="D31" s="2">
        <f>D9/'Output-Calculation-sheet'!D8*'Output-Calculation-sheet'!D17</f>
        <v>3897.6426651406377</v>
      </c>
      <c r="E31" s="2">
        <f>E9/'Output-Calculation-sheet'!E8*'Output-Calculation-sheet'!E17</f>
        <v>4581.1464249203937</v>
      </c>
      <c r="F31" s="2">
        <f>F9/'Output-Calculation-sheet'!F8*'Output-Calculation-sheet'!F17</f>
        <v>2115.7668938205766</v>
      </c>
      <c r="G31" s="2">
        <f>G9/'Output-Calculation-sheet'!G8*'Output-Calculation-sheet'!G17</f>
        <v>1385.5631853858133</v>
      </c>
      <c r="H31" s="2">
        <f>H9/'Output-Calculation-sheet'!H8*'Output-Calculation-sheet'!H17</f>
        <v>0</v>
      </c>
      <c r="I31" s="2">
        <f>I9/'Output-Calculation-sheet'!I8*'Output-Calculation-sheet'!I17</f>
        <v>1350.7229702520838</v>
      </c>
      <c r="J31" s="2">
        <f>J9/'Output-Calculation-sheet'!J8*'Output-Calculation-sheet'!J17</f>
        <v>1202.4037950584507</v>
      </c>
      <c r="K31" s="2">
        <f>K9/'Output-Calculation-sheet'!K8*'Output-Calculation-sheet'!K17</f>
        <v>1711.9037485833226</v>
      </c>
      <c r="L31" s="2">
        <f>L9/'Output-Calculation-sheet'!L8*'Output-Calculation-sheet'!L17</f>
        <v>1459.9529524714685</v>
      </c>
      <c r="M31" s="2">
        <f>M9/'Output-Calculation-sheet'!M8*'Output-Calculation-sheet'!M17</f>
        <v>0</v>
      </c>
      <c r="N31" s="2">
        <f>N9/'Output-Calculation-sheet'!N8*'Output-Calculation-sheet'!N17</f>
        <v>1587.1181774210281</v>
      </c>
      <c r="O31" s="2">
        <f>O9/'Output-Calculation-sheet'!O8*'Output-Calculation-sheet'!O17</f>
        <v>0</v>
      </c>
      <c r="P31" s="2">
        <f>P9/'Output-Calculation-sheet'!P8*'Output-Calculation-sheet'!P17</f>
        <v>1969.8599964841237</v>
      </c>
      <c r="Q31" s="2">
        <f>Q9/'Output-Calculation-sheet'!Q8*'Output-Calculation-sheet'!Q17</f>
        <v>2100.051740979608</v>
      </c>
      <c r="R31" s="2">
        <f>R9/'Output-Calculation-sheet'!R8*'Output-Calculation-sheet'!R17</f>
        <v>1373.9648353966109</v>
      </c>
      <c r="S31" s="2">
        <f>S9/'Output-Calculation-sheet'!S8*'Output-Calculation-sheet'!S17</f>
        <v>1182.2357672948399</v>
      </c>
      <c r="T31" s="2">
        <f>T9/'Output-Calculation-sheet'!T8*'Output-Calculation-sheet'!T17</f>
        <v>372.83539637231763</v>
      </c>
      <c r="U31" s="2">
        <f>U9/'Output-Calculation-sheet'!U8*'Output-Calculation-sheet'!U17</f>
        <v>428.50673093841237</v>
      </c>
      <c r="V31" s="2">
        <f>V9/'Output-Calculation-sheet'!V8*'Output-Calculation-sheet'!V17</f>
        <v>306.91903919160137</v>
      </c>
      <c r="W31" s="2">
        <f>W9/'Output-Calculation-sheet'!W8*'Output-Calculation-sheet'!W17</f>
        <v>170.86907065091094</v>
      </c>
      <c r="X31" s="2">
        <f>X9/'Output-Calculation-sheet'!X8*'Output-Calculation-sheet'!X17</f>
        <v>0</v>
      </c>
      <c r="Y31" s="2">
        <f>Y9/'Output-Calculation-sheet'!Y8*'Output-Calculation-sheet'!Y17</f>
        <v>165.09654146955288</v>
      </c>
      <c r="AA31" s="2">
        <f t="shared" si="1"/>
        <v>50.602497517626475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1466.643211755367</v>
      </c>
      <c r="O32" s="2">
        <f>O10/'Output-Calculation-sheet'!O9*'Output-Calculation-sheet'!O18</f>
        <v>0</v>
      </c>
      <c r="P32" s="2">
        <f>P10/'Output-Calculation-sheet'!P9*'Output-Calculation-sheet'!P18</f>
        <v>2360.9992330097793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1697.8046295102729</v>
      </c>
      <c r="S32" s="2">
        <f>S10/'Output-Calculation-sheet'!S9*'Output-Calculation-sheet'!S18</f>
        <v>1109.6171558837752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548.09026100362769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57.829769668985683</v>
      </c>
    </row>
    <row r="33" spans="1:27" x14ac:dyDescent="0.25">
      <c r="A33" s="2">
        <v>2034</v>
      </c>
      <c r="B33" s="2">
        <f>B11/'Output-Calculation-sheet'!B10*'Output-Calculation-sheet'!B19</f>
        <v>20269.439032096878</v>
      </c>
      <c r="C33" s="2">
        <f>C11/'Output-Calculation-sheet'!C10*'Output-Calculation-sheet'!C19</f>
        <v>0</v>
      </c>
      <c r="D33" s="2">
        <f>D11/'Output-Calculation-sheet'!D10*'Output-Calculation-sheet'!D19</f>
        <v>6045.5508480479493</v>
      </c>
      <c r="E33" s="2">
        <f>E11/'Output-Calculation-sheet'!E10*'Output-Calculation-sheet'!E19</f>
        <v>7510.291831872164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2058.1722401761817</v>
      </c>
      <c r="H33" s="2">
        <f>H11/'Output-Calculation-sheet'!H10*'Output-Calculation-sheet'!H19</f>
        <v>0</v>
      </c>
      <c r="I33" s="2">
        <f>I11/'Output-Calculation-sheet'!I10*'Output-Calculation-sheet'!I19</f>
        <v>2245.6240241160303</v>
      </c>
      <c r="J33" s="2">
        <f>J11/'Output-Calculation-sheet'!J10*'Output-Calculation-sheet'!J19</f>
        <v>1902.588926816989</v>
      </c>
      <c r="K33" s="2">
        <f>K11/'Output-Calculation-sheet'!K10*'Output-Calculation-sheet'!K19</f>
        <v>2634.527006484142</v>
      </c>
      <c r="L33" s="2">
        <f>L11/'Output-Calculation-sheet'!L10*'Output-Calculation-sheet'!L19</f>
        <v>2144.4551562630459</v>
      </c>
      <c r="M33" s="2">
        <f>M11/'Output-Calculation-sheet'!M10*'Output-Calculation-sheet'!M19</f>
        <v>0</v>
      </c>
      <c r="N33" s="2">
        <f>N11/'Output-Calculation-sheet'!N10*'Output-Calculation-sheet'!N19</f>
        <v>1211.6412632710512</v>
      </c>
      <c r="O33" s="2">
        <f>O11/'Output-Calculation-sheet'!O10*'Output-Calculation-sheet'!O19</f>
        <v>0</v>
      </c>
      <c r="P33" s="2">
        <f>P11/'Output-Calculation-sheet'!P10*'Output-Calculation-sheet'!P19</f>
        <v>2666.0403533575059</v>
      </c>
      <c r="Q33" s="2">
        <f>Q11/'Output-Calculation-sheet'!Q10*'Output-Calculation-sheet'!Q19</f>
        <v>2134.6670196513592</v>
      </c>
      <c r="R33" s="2">
        <f>R11/'Output-Calculation-sheet'!R10*'Output-Calculation-sheet'!R19</f>
        <v>1903.4281368509257</v>
      </c>
      <c r="S33" s="2">
        <f>S11/'Output-Calculation-sheet'!S10*'Output-Calculation-sheet'!S19</f>
        <v>889.67611914649069</v>
      </c>
      <c r="T33" s="2">
        <f>T11/'Output-Calculation-sheet'!T10*'Output-Calculation-sheet'!T19</f>
        <v>558.54496760362167</v>
      </c>
      <c r="U33" s="2">
        <f>U11/'Output-Calculation-sheet'!U10*'Output-Calculation-sheet'!U19</f>
        <v>642.84152386749781</v>
      </c>
      <c r="V33" s="2">
        <f>V11/'Output-Calculation-sheet'!V10*'Output-Calculation-sheet'!V19</f>
        <v>438.59270926401109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86.254294928422581</v>
      </c>
      <c r="Y33" s="2">
        <f>Y11/'Output-Calculation-sheet'!Y10*'Output-Calculation-sheet'!Y19</f>
        <v>245.82320267924402</v>
      </c>
      <c r="AA33" s="2">
        <f t="shared" si="1"/>
        <v>59.297594578259023</v>
      </c>
    </row>
    <row r="34" spans="1:27" x14ac:dyDescent="0.25">
      <c r="A34" s="2">
        <v>2035</v>
      </c>
      <c r="B34" s="2">
        <f>B12/'Output-Calculation-sheet'!B11*'Output-Calculation-sheet'!B20</f>
        <v>15862.87301747838</v>
      </c>
      <c r="C34" s="2">
        <f>C12/'Output-Calculation-sheet'!C11*'Output-Calculation-sheet'!C20</f>
        <v>0</v>
      </c>
      <c r="D34" s="2">
        <f>D12/'Output-Calculation-sheet'!D11*'Output-Calculation-sheet'!D20</f>
        <v>5480.6285195667915</v>
      </c>
      <c r="E34" s="2">
        <f>E12/'Output-Calculation-sheet'!E11*'Output-Calculation-sheet'!E20</f>
        <v>5323.9017600908837</v>
      </c>
      <c r="F34" s="2">
        <f>F12/'Output-Calculation-sheet'!F11*'Output-Calculation-sheet'!F20</f>
        <v>3487.5893173411891</v>
      </c>
      <c r="G34" s="2">
        <f>G12/'Output-Calculation-sheet'!G11*'Output-Calculation-sheet'!G20</f>
        <v>1850.5344700879491</v>
      </c>
      <c r="H34" s="2">
        <f>H12/'Output-Calculation-sheet'!H11*'Output-Calculation-sheet'!H20</f>
        <v>0</v>
      </c>
      <c r="I34" s="2">
        <f>I12/'Output-Calculation-sheet'!I11*'Output-Calculation-sheet'!I20</f>
        <v>2128.9074112295407</v>
      </c>
      <c r="J34" s="2">
        <f>J12/'Output-Calculation-sheet'!J11*'Output-Calculation-sheet'!J20</f>
        <v>1806.4346167061653</v>
      </c>
      <c r="K34" s="2">
        <f>K12/'Output-Calculation-sheet'!K11*'Output-Calculation-sheet'!K20</f>
        <v>2544.4315926854702</v>
      </c>
      <c r="L34" s="2">
        <f>L12/'Output-Calculation-sheet'!L11*'Output-Calculation-sheet'!L20</f>
        <v>1857.1442763793832</v>
      </c>
      <c r="M34" s="2">
        <f>M12/'Output-Calculation-sheet'!M11*'Output-Calculation-sheet'!M20</f>
        <v>0</v>
      </c>
      <c r="N34" s="2">
        <f>N12/'Output-Calculation-sheet'!N11*'Output-Calculation-sheet'!N20</f>
        <v>981.82594099948483</v>
      </c>
      <c r="O34" s="2">
        <f>O12/'Output-Calculation-sheet'!O11*'Output-Calculation-sheet'!O20</f>
        <v>0</v>
      </c>
      <c r="P34" s="2">
        <f>P12/'Output-Calculation-sheet'!P11*'Output-Calculation-sheet'!P20</f>
        <v>2216.0188308443198</v>
      </c>
      <c r="Q34" s="2">
        <f>Q12/'Output-Calculation-sheet'!Q11*'Output-Calculation-sheet'!Q20</f>
        <v>1642.6838969708094</v>
      </c>
      <c r="R34" s="2">
        <f>R12/'Output-Calculation-sheet'!R11*'Output-Calculation-sheet'!R20</f>
        <v>1865.1446448077095</v>
      </c>
      <c r="S34" s="2">
        <f>S12/'Output-Calculation-sheet'!S11*'Output-Calculation-sheet'!S20</f>
        <v>682.6754581762325</v>
      </c>
      <c r="T34" s="2">
        <f>T12/'Output-Calculation-sheet'!T11*'Output-Calculation-sheet'!T20</f>
        <v>557.17507587393538</v>
      </c>
      <c r="U34" s="2">
        <f>U12/'Output-Calculation-sheet'!U11*'Output-Calculation-sheet'!U20</f>
        <v>509.91415353765217</v>
      </c>
      <c r="V34" s="2">
        <f>V12/'Output-Calculation-sheet'!V11*'Output-Calculation-sheet'!V20</f>
        <v>492.81509118909798</v>
      </c>
      <c r="W34" s="2">
        <f>W12/'Output-Calculation-sheet'!W11*'Output-Calculation-sheet'!W20</f>
        <v>299.21283969137801</v>
      </c>
      <c r="X34" s="2">
        <f>X12/'Output-Calculation-sheet'!X11*'Output-Calculation-sheet'!X20</f>
        <v>63.308031489745176</v>
      </c>
      <c r="Y34" s="2">
        <f>Y12/'Output-Calculation-sheet'!Y11*'Output-Calculation-sheet'!Y20</f>
        <v>162.4142200375662</v>
      </c>
      <c r="AA34" s="2">
        <f t="shared" si="1"/>
        <v>49.815633165183691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0.96409114231526993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0.18729697270399467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1.1513881150192646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0.85821846329042006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0.16672875938570292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1.0448896033154647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1.4140126852565107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0.27470462458308198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6.7703518990093334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30266.55012466243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6548.5106888786504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4506.0161624099592</v>
      </c>
      <c r="N52" s="2">
        <f>N8/'Output-Calculation-sheet'!N7*'Output-Calculation-sheet'!N43</f>
        <v>144.02246635922018</v>
      </c>
      <c r="O52" s="2">
        <f>O8/'Output-Calculation-sheet'!O7*'Output-Calculation-sheet'!O43</f>
        <v>6131.9754407960618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582.73623399656299</v>
      </c>
      <c r="Y52" s="2">
        <f>Y8/'Output-Calculation-sheet'!Y7*'Output-Calculation-sheet'!Y43</f>
        <v>0</v>
      </c>
      <c r="AA52" s="2">
        <f t="shared" si="3"/>
        <v>48.179811117102886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51089.482507218578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11965.552791359221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8177.2060376790305</v>
      </c>
      <c r="N53" s="2">
        <f>N9/'Output-Calculation-sheet'!N8*'Output-Calculation-sheet'!N44</f>
        <v>2912.4478465119155</v>
      </c>
      <c r="O53" s="2">
        <f>O9/'Output-Calculation-sheet'!O8*'Output-Calculation-sheet'!O44</f>
        <v>10131.730995341792</v>
      </c>
      <c r="P53" s="2">
        <f>P9/'Output-Calculation-sheet'!P8*'Output-Calculation-sheet'!P44</f>
        <v>136.23174850551959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908.72124044649627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1022.5657142497196</v>
      </c>
      <c r="Y53" s="2">
        <f>Y9/'Output-Calculation-sheet'!Y8*'Output-Calculation-sheet'!Y44</f>
        <v>0</v>
      </c>
      <c r="AA53" s="2">
        <f t="shared" si="3"/>
        <v>86.343938881312283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54885.539593211419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10137.037908628483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1116.6949395813053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403.57570649405517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130.29518855906926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49535.767442552315</v>
      </c>
      <c r="D55" s="2">
        <f>D11/'Output-Calculation-sheet'!D10*'Output-Calculation-sheet'!D46</f>
        <v>5334.9960602706515</v>
      </c>
      <c r="E55" s="2">
        <f>E11/'Output-Calculation-sheet'!E10*'Output-Calculation-sheet'!E46</f>
        <v>6518.8444841840992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17774.644463895092</v>
      </c>
      <c r="I55" s="2">
        <f>I11/'Output-Calculation-sheet'!I10*'Output-Calculation-sheet'!I46</f>
        <v>1290.9965932427092</v>
      </c>
      <c r="J55" s="2">
        <f>J11/'Output-Calculation-sheet'!J10*'Output-Calculation-sheet'!J46</f>
        <v>915.65831928470493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12182.856298746208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9096.9551173602813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3652.5712875970457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4563.8698616205083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1051.4827826195374</v>
      </c>
      <c r="V55" s="2">
        <f>V11/'Output-Calculation-sheet'!V10*'Output-Calculation-sheet'!V46</f>
        <v>422.28572375546986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1257.7694455865462</v>
      </c>
      <c r="Y55" s="2">
        <f>Y11/'Output-Calculation-sheet'!Y10*'Output-Calculation-sheet'!Y46</f>
        <v>322.43425752129275</v>
      </c>
      <c r="AA55" s="2">
        <f t="shared" si="3"/>
        <v>193.79254207210963</v>
      </c>
    </row>
    <row r="56" spans="1:27" x14ac:dyDescent="0.25">
      <c r="A56" s="2">
        <v>2035</v>
      </c>
      <c r="B56" s="2">
        <f>B12/'Output-Calculation-sheet'!B11*'Output-Calculation-sheet'!B47</f>
        <v>61414.111585156585</v>
      </c>
      <c r="C56" s="2">
        <f>C12/'Output-Calculation-sheet'!C11*'Output-Calculation-sheet'!C47</f>
        <v>41428.09095400654</v>
      </c>
      <c r="D56" s="2">
        <f>D12/'Output-Calculation-sheet'!D11*'Output-Calculation-sheet'!D47</f>
        <v>8954.8265222821246</v>
      </c>
      <c r="E56" s="2">
        <f>E12/'Output-Calculation-sheet'!E11*'Output-Calculation-sheet'!E47</f>
        <v>16198.129811820088</v>
      </c>
      <c r="F56" s="2">
        <f>F12/'Output-Calculation-sheet'!F11*'Output-Calculation-sheet'!F47</f>
        <v>1812.3338289282447</v>
      </c>
      <c r="G56" s="2">
        <f>G12/'Output-Calculation-sheet'!G11*'Output-Calculation-sheet'!G47</f>
        <v>4118.824125923913</v>
      </c>
      <c r="H56" s="2">
        <f>H12/'Output-Calculation-sheet'!H11*'Output-Calculation-sheet'!H47</f>
        <v>14776.513527052581</v>
      </c>
      <c r="I56" s="2">
        <f>I12/'Output-Calculation-sheet'!I11*'Output-Calculation-sheet'!I47</f>
        <v>2658.8299447514746</v>
      </c>
      <c r="J56" s="2">
        <f>J12/'Output-Calculation-sheet'!J11*'Output-Calculation-sheet'!J47</f>
        <v>2613.8262480137764</v>
      </c>
      <c r="K56" s="2">
        <f>K12/'Output-Calculation-sheet'!K11*'Output-Calculation-sheet'!K47</f>
        <v>3623.6530227492799</v>
      </c>
      <c r="L56" s="2">
        <f>L12/'Output-Calculation-sheet'!L11*'Output-Calculation-sheet'!L47</f>
        <v>3380.0513444069215</v>
      </c>
      <c r="M56" s="2">
        <f>M12/'Output-Calculation-sheet'!M11*'Output-Calculation-sheet'!M47</f>
        <v>10509.237489666024</v>
      </c>
      <c r="N56" s="2">
        <f>N12/'Output-Calculation-sheet'!N11*'Output-Calculation-sheet'!N47</f>
        <v>8715.0044075830392</v>
      </c>
      <c r="O56" s="2">
        <f>O12/'Output-Calculation-sheet'!O11*'Output-Calculation-sheet'!O47</f>
        <v>7614.6194182678864</v>
      </c>
      <c r="P56" s="2">
        <f>P12/'Output-Calculation-sheet'!P11*'Output-Calculation-sheet'!P47</f>
        <v>4270.0615826592748</v>
      </c>
      <c r="Q56" s="2">
        <f>Q12/'Output-Calculation-sheet'!Q11*'Output-Calculation-sheet'!Q47</f>
        <v>4027.1009697456057</v>
      </c>
      <c r="R56" s="2">
        <f>R12/'Output-Calculation-sheet'!R11*'Output-Calculation-sheet'!R47</f>
        <v>3275.6670833790508</v>
      </c>
      <c r="S56" s="2">
        <f>S12/'Output-Calculation-sheet'!S11*'Output-Calculation-sheet'!S47</f>
        <v>4359.2350917801487</v>
      </c>
      <c r="T56" s="2">
        <f>T12/'Output-Calculation-sheet'!T11*'Output-Calculation-sheet'!T47</f>
        <v>1174.5292102221506</v>
      </c>
      <c r="U56" s="2">
        <f>U12/'Output-Calculation-sheet'!U11*'Output-Calculation-sheet'!U47</f>
        <v>1115.2567486065579</v>
      </c>
      <c r="V56" s="2">
        <f>V12/'Output-Calculation-sheet'!V11*'Output-Calculation-sheet'!V47</f>
        <v>684.63161467902717</v>
      </c>
      <c r="W56" s="2">
        <f>W12/'Output-Calculation-sheet'!W11*'Output-Calculation-sheet'!W47</f>
        <v>397.63624504931073</v>
      </c>
      <c r="X56" s="2">
        <f>X12/'Output-Calculation-sheet'!X11*'Output-Calculation-sheet'!X47</f>
        <v>1059.2170076249192</v>
      </c>
      <c r="Y56" s="2">
        <f>Y12/'Output-Calculation-sheet'!Y11*'Output-Calculation-sheet'!Y47</f>
        <v>595.21934286711019</v>
      </c>
      <c r="AA56" s="2">
        <f t="shared" si="3"/>
        <v>208.77660712722164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7.0434593397931495</v>
      </c>
      <c r="C63" s="2">
        <f>C8*'Output-Calculation-sheet'!C52/10^9</f>
        <v>4.441681527733806</v>
      </c>
      <c r="D63" s="2">
        <f>D8*'Output-Calculation-sheet'!D52/10^9</f>
        <v>2.415336801846157</v>
      </c>
      <c r="E63" s="2">
        <f>E8*'Output-Calculation-sheet'!E52/10^9</f>
        <v>2.401504736969875</v>
      </c>
      <c r="F63" s="2">
        <f>F8*'Output-Calculation-sheet'!F52/10^9</f>
        <v>1.0170378673383145</v>
      </c>
      <c r="G63" s="2">
        <f>G8*'Output-Calculation-sheet'!G52/10^9</f>
        <v>0.73120339352671038</v>
      </c>
      <c r="H63" s="2">
        <f>H8*'Output-Calculation-sheet'!H52/10^9</f>
        <v>1.2772659900876266</v>
      </c>
      <c r="I63" s="2">
        <f>I8*'Output-Calculation-sheet'!I52/10^9</f>
        <v>0.68018900675028371</v>
      </c>
      <c r="J63" s="2">
        <f>J8*'Output-Calculation-sheet'!J52/10^9</f>
        <v>0.93598709198111474</v>
      </c>
      <c r="K63" s="2">
        <f>K8*'Output-Calculation-sheet'!K52/10^9</f>
        <v>0.82234577985786461</v>
      </c>
      <c r="L63" s="2">
        <f>L8*'Output-Calculation-sheet'!L52/10^9</f>
        <v>1.1060930821654555</v>
      </c>
      <c r="M63" s="2">
        <f>M8*'Output-Calculation-sheet'!M52/10^9</f>
        <v>1.0367100879838791</v>
      </c>
      <c r="N63" s="2">
        <f>N8*'Output-Calculation-sheet'!N52/10^9</f>
        <v>0.865236573883303</v>
      </c>
      <c r="O63" s="2">
        <f>O8*'Output-Calculation-sheet'!O52/10^9</f>
        <v>0.92265112262845139</v>
      </c>
      <c r="P63" s="2">
        <f>P8*'Output-Calculation-sheet'!P52/10^9</f>
        <v>0.56821979513303378</v>
      </c>
      <c r="Q63" s="2">
        <f>Q8*'Output-Calculation-sheet'!Q52/10^9</f>
        <v>0.64305478649953385</v>
      </c>
      <c r="R63" s="2">
        <f>R8*'Output-Calculation-sheet'!R52/10^9</f>
        <v>0.57733619779139533</v>
      </c>
      <c r="S63" s="2">
        <f>S8*'Output-Calculation-sheet'!S52/10^9</f>
        <v>0.42782912544561991</v>
      </c>
      <c r="T63" s="2">
        <f>T8*'Output-Calculation-sheet'!T52/10^9</f>
        <v>0.21949587109219179</v>
      </c>
      <c r="U63" s="2">
        <f>U8*'Output-Calculation-sheet'!U52/10^9</f>
        <v>0.15074732370112218</v>
      </c>
      <c r="V63" s="2">
        <f>V8*'Output-Calculation-sheet'!V52/10^9</f>
        <v>0.26754107994747994</v>
      </c>
      <c r="W63" s="2">
        <f>W8*'Output-Calculation-sheet'!W52/10^9</f>
        <v>9.6837523625381033E-2</v>
      </c>
      <c r="X63" s="2">
        <f>X8*'Output-Calculation-sheet'!X52/10^9</f>
        <v>0.111457755619379</v>
      </c>
      <c r="Y63" s="2">
        <f>Y8*'Output-Calculation-sheet'!Y52/10^9</f>
        <v>6.3183729351047171E-2</v>
      </c>
      <c r="AA63" s="2">
        <f t="shared" si="4"/>
        <v>28.822405590752172</v>
      </c>
    </row>
    <row r="64" spans="1:27" x14ac:dyDescent="0.25">
      <c r="A64" s="2">
        <v>2032</v>
      </c>
      <c r="B64" s="2">
        <f>B9*'Output-Calculation-sheet'!B53/10^9</f>
        <v>6.8814942798198881</v>
      </c>
      <c r="C64" s="2">
        <f>C9*'Output-Calculation-sheet'!C53/10^9</f>
        <v>4.6459354577658232</v>
      </c>
      <c r="D64" s="2">
        <f>D9*'Output-Calculation-sheet'!D53/10^9</f>
        <v>2.0365078659871187</v>
      </c>
      <c r="E64" s="2">
        <f>E9*'Output-Calculation-sheet'!E53/10^9</f>
        <v>2.0854833445977206</v>
      </c>
      <c r="F64" s="2">
        <f>F9*'Output-Calculation-sheet'!F53/10^9</f>
        <v>0.87964453619250793</v>
      </c>
      <c r="G64" s="2">
        <f>G9*'Output-Calculation-sheet'!G53/10^9</f>
        <v>0.62610340646984097</v>
      </c>
      <c r="H64" s="2">
        <f>H9*'Output-Calculation-sheet'!H53/10^9</f>
        <v>1.2865093426550185</v>
      </c>
      <c r="I64" s="2">
        <f>I9*'Output-Calculation-sheet'!I53/10^9</f>
        <v>0.58530445432093159</v>
      </c>
      <c r="J64" s="2">
        <f>J9*'Output-Calculation-sheet'!J53/10^9</f>
        <v>0.77482492917906876</v>
      </c>
      <c r="K64" s="2">
        <f>K9*'Output-Calculation-sheet'!K53/10^9</f>
        <v>0.71893027007313703</v>
      </c>
      <c r="L64" s="2">
        <f>L9*'Output-Calculation-sheet'!L53/10^9</f>
        <v>0.9248978370390406</v>
      </c>
      <c r="M64" s="2">
        <f>M9*'Output-Calculation-sheet'!M53/10^9</f>
        <v>1.0082976980579721</v>
      </c>
      <c r="N64" s="2">
        <f>N9*'Output-Calculation-sheet'!N53/10^9</f>
        <v>0.84879922288320842</v>
      </c>
      <c r="O64" s="2">
        <f>O9*'Output-Calculation-sheet'!O53/10^9</f>
        <v>0.96089743681895767</v>
      </c>
      <c r="P64" s="2">
        <f>P9*'Output-Calculation-sheet'!P53/10^9</f>
        <v>0.54812625999249787</v>
      </c>
      <c r="Q64" s="2">
        <f>Q9*'Output-Calculation-sheet'!Q53/10^9</f>
        <v>0.60577150177929218</v>
      </c>
      <c r="R64" s="2">
        <f>R9*'Output-Calculation-sheet'!R53/10^9</f>
        <v>0.51928852341648779</v>
      </c>
      <c r="S64" s="2">
        <f>S9*'Output-Calculation-sheet'!S53/10^9</f>
        <v>0.42904769119045016</v>
      </c>
      <c r="T64" s="2">
        <f>T9*'Output-Calculation-sheet'!T53/10^9</f>
        <v>0.18667070780220404</v>
      </c>
      <c r="U64" s="2">
        <f>U9*'Output-Calculation-sheet'!U53/10^9</f>
        <v>0.14050308229867614</v>
      </c>
      <c r="V64" s="2">
        <f>V9*'Output-Calculation-sheet'!V53/10^9</f>
        <v>0.22156558405724056</v>
      </c>
      <c r="W64" s="2">
        <f>W9*'Output-Calculation-sheet'!W53/10^9</f>
        <v>8.2329777480545999E-2</v>
      </c>
      <c r="X64" s="2">
        <f>X9*'Output-Calculation-sheet'!X53/10^9</f>
        <v>0.11175161012360284</v>
      </c>
      <c r="Y64" s="2">
        <f>Y9*'Output-Calculation-sheet'!Y53/10^9</f>
        <v>5.7682919404544147E-2</v>
      </c>
      <c r="AA64" s="2">
        <f t="shared" si="4"/>
        <v>27.166367739405775</v>
      </c>
    </row>
    <row r="65" spans="1:27" x14ac:dyDescent="0.25">
      <c r="A65" s="2">
        <v>2033</v>
      </c>
      <c r="B65" s="2">
        <f>B10*'Output-Calculation-sheet'!B54/10^9</f>
        <v>6.538337758555075</v>
      </c>
      <c r="C65" s="2">
        <f>C10*'Output-Calculation-sheet'!C54/10^9</f>
        <v>4.5744124892107934</v>
      </c>
      <c r="D65" s="2">
        <f>D10*'Output-Calculation-sheet'!D54/10^9</f>
        <v>1.544680643645356</v>
      </c>
      <c r="E65" s="2">
        <f>E10*'Output-Calculation-sheet'!E54/10^9</f>
        <v>1.7392927405292016</v>
      </c>
      <c r="F65" s="2">
        <f>F10*'Output-Calculation-sheet'!F54/10^9</f>
        <v>0.70612308810800639</v>
      </c>
      <c r="G65" s="2">
        <f>G10*'Output-Calculation-sheet'!G54/10^9</f>
        <v>0.4848173721447992</v>
      </c>
      <c r="H65" s="2">
        <f>H10*'Output-Calculation-sheet'!H54/10^9</f>
        <v>1.1981171330960487</v>
      </c>
      <c r="I65" s="2">
        <f>I10*'Output-Calculation-sheet'!I54/10^9</f>
        <v>0.47207971512146629</v>
      </c>
      <c r="J65" s="2">
        <f>J10*'Output-Calculation-sheet'!J54/10^9</f>
        <v>0.56424055107901461</v>
      </c>
      <c r="K65" s="2">
        <f>K10*'Output-Calculation-sheet'!K54/10^9</f>
        <v>0.60196992552171913</v>
      </c>
      <c r="L65" s="2">
        <f>L10*'Output-Calculation-sheet'!L54/10^9</f>
        <v>0.71105308376160725</v>
      </c>
      <c r="M65" s="2">
        <f>M10*'Output-Calculation-sheet'!M54/10^9</f>
        <v>0.90466547923268525</v>
      </c>
      <c r="N65" s="2">
        <f>N10*'Output-Calculation-sheet'!N54/10^9</f>
        <v>0.7811914010176052</v>
      </c>
      <c r="O65" s="2">
        <f>O10*'Output-Calculation-sheet'!O54/10^9</f>
        <v>0.93572406579664491</v>
      </c>
      <c r="P65" s="2">
        <f>P10*'Output-Calculation-sheet'!P54/10^9</f>
        <v>0.5093566529141802</v>
      </c>
      <c r="Q65" s="2">
        <f>Q10*'Output-Calculation-sheet'!Q54/10^9</f>
        <v>0.55579404561554147</v>
      </c>
      <c r="R65" s="2">
        <f>R10*'Output-Calculation-sheet'!R54/10^9</f>
        <v>0.44841503452438458</v>
      </c>
      <c r="S65" s="2">
        <f>S10*'Output-Calculation-sheet'!S54/10^9</f>
        <v>0.40732006270319365</v>
      </c>
      <c r="T65" s="2">
        <f>T10*'Output-Calculation-sheet'!T54/10^9</f>
        <v>0.14992462369493473</v>
      </c>
      <c r="U65" s="2">
        <f>U10*'Output-Calculation-sheet'!U54/10^9</f>
        <v>0.12945560369075398</v>
      </c>
      <c r="V65" s="2">
        <f>V10*'Output-Calculation-sheet'!V54/10^9</f>
        <v>0.16591422653689039</v>
      </c>
      <c r="W65" s="2">
        <f>W10*'Output-Calculation-sheet'!W54/10^9</f>
        <v>6.3169786355754959E-2</v>
      </c>
      <c r="X65" s="2">
        <f>X10*'Output-Calculation-sheet'!X54/10^9</f>
        <v>0.10404779961149001</v>
      </c>
      <c r="Y65" s="2">
        <f>Y10*'Output-Calculation-sheet'!Y54/10^9</f>
        <v>5.1992120128856324E-2</v>
      </c>
      <c r="AA65" s="2">
        <f t="shared" si="4"/>
        <v>24.342095402596005</v>
      </c>
    </row>
    <row r="66" spans="1:27" x14ac:dyDescent="0.25">
      <c r="A66" s="2">
        <v>2034</v>
      </c>
      <c r="B66" s="2">
        <f>B11*'Output-Calculation-sheet'!B55/10^9</f>
        <v>5.9705391033965336</v>
      </c>
      <c r="C66" s="2">
        <f>C11*'Output-Calculation-sheet'!C55/10^9</f>
        <v>4.226788728127933</v>
      </c>
      <c r="D66" s="2">
        <f>D11*'Output-Calculation-sheet'!D55/10^9</f>
        <v>1.2489312748770274</v>
      </c>
      <c r="E66" s="2">
        <f>E11*'Output-Calculation-sheet'!E55/10^9</f>
        <v>1.5122537568279941</v>
      </c>
      <c r="F66" s="2">
        <f>F11*'Output-Calculation-sheet'!F55/10^9</f>
        <v>0.58118577011667172</v>
      </c>
      <c r="G66" s="2">
        <f>G11*'Output-Calculation-sheet'!G55/10^9</f>
        <v>0.41542351463322641</v>
      </c>
      <c r="H66" s="2">
        <f>H11*'Output-Calculation-sheet'!H55/10^9</f>
        <v>1.0668318860698545</v>
      </c>
      <c r="I66" s="2">
        <f>I11*'Output-Calculation-sheet'!I55/10^9</f>
        <v>0.40627158897509341</v>
      </c>
      <c r="J66" s="2">
        <f>J11*'Output-Calculation-sheet'!J55/10^9</f>
        <v>0.41774125571809384</v>
      </c>
      <c r="K66" s="2">
        <f>K11*'Output-Calculation-sheet'!K55/10^9</f>
        <v>0.49967017804637009</v>
      </c>
      <c r="L66" s="2">
        <f>L11*'Output-Calculation-sheet'!L55/10^9</f>
        <v>0.52914445696720036</v>
      </c>
      <c r="M66" s="2">
        <f>M11*'Output-Calculation-sheet'!M55/10^9</f>
        <v>0.7694293811237346</v>
      </c>
      <c r="N66" s="2">
        <f>N11*'Output-Calculation-sheet'!N55/10^9</f>
        <v>0.67227609367962393</v>
      </c>
      <c r="O66" s="2">
        <f>O11*'Output-Calculation-sheet'!O55/10^9</f>
        <v>0.84847468109322011</v>
      </c>
      <c r="P66" s="2">
        <f>P11*'Output-Calculation-sheet'!P55/10^9</f>
        <v>0.46212327106579804</v>
      </c>
      <c r="Q66" s="2">
        <f>Q11*'Output-Calculation-sheet'!Q55/10^9</f>
        <v>0.50449377881010016</v>
      </c>
      <c r="R66" s="2">
        <f>R11*'Output-Calculation-sheet'!R55/10^9</f>
        <v>0.37429172460132581</v>
      </c>
      <c r="S66" s="2">
        <f>S11*'Output-Calculation-sheet'!S55/10^9</f>
        <v>0.36828787847297184</v>
      </c>
      <c r="T66" s="2">
        <f>T11*'Output-Calculation-sheet'!T55/10^9</f>
        <v>0.11731984510067085</v>
      </c>
      <c r="U66" s="2">
        <f>U11*'Output-Calculation-sheet'!U55/10^9</f>
        <v>0.11978411801421765</v>
      </c>
      <c r="V66" s="2">
        <f>V11*'Output-Calculation-sheet'!V55/10^9</f>
        <v>0.11129524718711373</v>
      </c>
      <c r="W66" s="2">
        <f>W11*'Output-Calculation-sheet'!W55/10^9</f>
        <v>5.0394430085355622E-2</v>
      </c>
      <c r="X66" s="2">
        <f>X11*'Output-Calculation-sheet'!X55/10^9</f>
        <v>9.5591673490639281E-2</v>
      </c>
      <c r="Y66" s="2">
        <f>Y11*'Output-Calculation-sheet'!Y55/10^9</f>
        <v>4.9450952313561287E-2</v>
      </c>
      <c r="AA66" s="2">
        <f t="shared" si="4"/>
        <v>21.417994588794325</v>
      </c>
    </row>
    <row r="67" spans="1:27" x14ac:dyDescent="0.25">
      <c r="A67" s="2">
        <v>2035</v>
      </c>
      <c r="B67" s="2">
        <f>B12*'Output-Calculation-sheet'!B56/10^9</f>
        <v>5.3782589857031189</v>
      </c>
      <c r="C67" s="2">
        <f>C12*'Output-Calculation-sheet'!C56/10^9</f>
        <v>3.6094807245103642</v>
      </c>
      <c r="D67" s="2">
        <f>D12*'Output-Calculation-sheet'!D56/10^9</f>
        <v>1.1802288818176541</v>
      </c>
      <c r="E67" s="2">
        <f>E12*'Output-Calculation-sheet'!E56/10^9</f>
        <v>1.5021409754886659</v>
      </c>
      <c r="F67" s="2">
        <f>F12*'Output-Calculation-sheet'!F56/10^9</f>
        <v>0.5840386448271252</v>
      </c>
      <c r="G67" s="2">
        <f>G12*'Output-Calculation-sheet'!G56/10^9</f>
        <v>0.42935599890635562</v>
      </c>
      <c r="H67" s="2">
        <f>H12*'Output-Calculation-sheet'!H56/10^9</f>
        <v>0.94872393288640222</v>
      </c>
      <c r="I67" s="2">
        <f>I12*'Output-Calculation-sheet'!I56/10^9</f>
        <v>0.40506823031097611</v>
      </c>
      <c r="J67" s="2">
        <f>J12*'Output-Calculation-sheet'!J56/10^9</f>
        <v>0.37642230503429525</v>
      </c>
      <c r="K67" s="2">
        <f>K12*'Output-Calculation-sheet'!K56/10^9</f>
        <v>0.46225429621616526</v>
      </c>
      <c r="L67" s="2">
        <f>L12*'Output-Calculation-sheet'!L56/10^9</f>
        <v>0.44303840089337349</v>
      </c>
      <c r="M67" s="2">
        <f>M12*'Output-Calculation-sheet'!M56/10^9</f>
        <v>0.68198894084391071</v>
      </c>
      <c r="N67" s="2">
        <f>N12*'Output-Calculation-sheet'!N56/10^9</f>
        <v>0.58273604449992855</v>
      </c>
      <c r="O67" s="2">
        <f>O12*'Output-Calculation-sheet'!O56/10^9</f>
        <v>0.71100953621444618</v>
      </c>
      <c r="P67" s="2">
        <f>P12*'Output-Calculation-sheet'!P56/10^9</f>
        <v>0.4463546937870958</v>
      </c>
      <c r="Q67" s="2">
        <f>Q12*'Output-Calculation-sheet'!Q56/10^9</f>
        <v>0.44857644537903202</v>
      </c>
      <c r="R67" s="2">
        <f>R12*'Output-Calculation-sheet'!R56/10^9</f>
        <v>0.34079997499004011</v>
      </c>
      <c r="S67" s="2">
        <f>S12*'Output-Calculation-sheet'!S56/10^9</f>
        <v>0.32481470464418166</v>
      </c>
      <c r="T67" s="2">
        <f>T12*'Output-Calculation-sheet'!T56/10^9</f>
        <v>0.10449237991448086</v>
      </c>
      <c r="U67" s="2">
        <f>U12*'Output-Calculation-sheet'!U56/10^9</f>
        <v>0.11224788763970367</v>
      </c>
      <c r="V67" s="2">
        <f>V12*'Output-Calculation-sheet'!V56/10^9</f>
        <v>8.0264396059518101E-2</v>
      </c>
      <c r="W67" s="2">
        <f>W12*'Output-Calculation-sheet'!W56/10^9</f>
        <v>5.3230458601558873E-2</v>
      </c>
      <c r="X67" s="2">
        <f>X12*'Output-Calculation-sheet'!X56/10^9</f>
        <v>8.4999757073846202E-2</v>
      </c>
      <c r="Y67" s="2">
        <f>Y12*'Output-Calculation-sheet'!Y56/10^9</f>
        <v>5.0371066351723642E-2</v>
      </c>
      <c r="AA67" s="2">
        <f t="shared" si="4"/>
        <v>19.340897662593967</v>
      </c>
    </row>
    <row r="68" spans="1:27" x14ac:dyDescent="0.25">
      <c r="B68" s="2">
        <f>SUM(B60:B67)</f>
        <v>49.446146666497491</v>
      </c>
      <c r="C68" s="2">
        <f t="shared" ref="C68:Y68" si="5">SUM(C60:C67)</f>
        <v>30.813702277317319</v>
      </c>
      <c r="D68" s="2">
        <f t="shared" si="5"/>
        <v>15.352746848693013</v>
      </c>
      <c r="E68" s="2">
        <f t="shared" si="5"/>
        <v>16.069526521495249</v>
      </c>
      <c r="F68" s="2">
        <f t="shared" si="5"/>
        <v>6.5975711082572639</v>
      </c>
      <c r="G68" s="2">
        <f t="shared" si="5"/>
        <v>4.7461476689719069</v>
      </c>
      <c r="H68" s="2">
        <f t="shared" si="5"/>
        <v>8.6821000144712315</v>
      </c>
      <c r="I68" s="2">
        <f t="shared" si="5"/>
        <v>4.4531159409071206</v>
      </c>
      <c r="J68" s="2">
        <f t="shared" si="5"/>
        <v>5.8102244142365258</v>
      </c>
      <c r="K68" s="2">
        <f t="shared" si="5"/>
        <v>5.4124189348925702</v>
      </c>
      <c r="L68" s="2">
        <f t="shared" si="5"/>
        <v>6.9653122428961005</v>
      </c>
      <c r="M68" s="2">
        <f t="shared" si="5"/>
        <v>6.8927933836745119</v>
      </c>
      <c r="N68" s="2">
        <f t="shared" si="5"/>
        <v>5.9132062595273513</v>
      </c>
      <c r="O68" s="2">
        <f t="shared" si="5"/>
        <v>6.3255810972589064</v>
      </c>
      <c r="P68" s="2">
        <f t="shared" si="5"/>
        <v>3.9983926634354403</v>
      </c>
      <c r="Q68" s="2">
        <f t="shared" si="5"/>
        <v>4.4291621174710993</v>
      </c>
      <c r="R68" s="2">
        <f t="shared" si="5"/>
        <v>3.8638052440740127</v>
      </c>
      <c r="S68" s="2">
        <f t="shared" si="5"/>
        <v>3.0050763751470542</v>
      </c>
      <c r="T68" s="2">
        <f t="shared" si="5"/>
        <v>1.4058618445062221</v>
      </c>
      <c r="U68" s="2">
        <f t="shared" si="5"/>
        <v>1.0632461721325526</v>
      </c>
      <c r="V68" s="2">
        <f t="shared" si="5"/>
        <v>1.6414655882311173</v>
      </c>
      <c r="W68" s="2">
        <f t="shared" si="5"/>
        <v>0.62100218396451312</v>
      </c>
      <c r="X68" s="2">
        <f t="shared" si="5"/>
        <v>0.761415342680693</v>
      </c>
      <c r="Y68" s="2">
        <f t="shared" si="5"/>
        <v>0.4460266412136924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5838.4175190473825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1437.8772555275623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944.55990019103399</v>
      </c>
      <c r="N74" s="2">
        <f>N8/'Output-Calculation-sheet'!N7*'Output-Calculation-sheet'!N61</f>
        <v>39.588175440490645</v>
      </c>
      <c r="O74" s="2">
        <f>O8/'Output-Calculation-sheet'!O7*'Output-Calculation-sheet'!O61</f>
        <v>1167.3265247349959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117.37513413864565</v>
      </c>
      <c r="Y74" s="2">
        <f>Y8/'Output-Calculation-sheet'!Y7*'Output-Calculation-sheet'!Y61</f>
        <v>0</v>
      </c>
      <c r="AA74" s="2">
        <f t="shared" si="6"/>
        <v>9.5451445090801101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9176.7158692038847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2277.1073858799878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1545.0980848672282</v>
      </c>
      <c r="N75" s="2">
        <f>N9/'Output-Calculation-sheet'!N8*'Output-Calculation-sheet'!N62</f>
        <v>597.23614067712697</v>
      </c>
      <c r="O75" s="2">
        <f>O9/'Output-Calculation-sheet'!O8*'Output-Calculation-sheet'!O62</f>
        <v>1813.941081359563</v>
      </c>
      <c r="P75" s="2">
        <f>P9/'Output-Calculation-sheet'!P8*'Output-Calculation-sheet'!P62</f>
        <v>39.984018186369994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200.11943689321154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186.14193709031466</v>
      </c>
      <c r="Y75" s="2">
        <f>Y9/'Output-Calculation-sheet'!Y8*'Output-Calculation-sheet'!Y62</f>
        <v>0</v>
      </c>
      <c r="AA75" s="2">
        <f t="shared" si="6"/>
        <v>15.836343954157686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10154.670518728599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2988.3389382361661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2034.6303287336791</v>
      </c>
      <c r="N76" s="2">
        <f>N10/'Output-Calculation-sheet'!N9*'Output-Calculation-sheet'!N63</f>
        <v>1164.3496370670009</v>
      </c>
      <c r="O76" s="2">
        <f>O10/'Output-Calculation-sheet'!O9*'Output-Calculation-sheet'!O63</f>
        <v>1797.7880650142031</v>
      </c>
      <c r="P76" s="2">
        <f>P10/'Output-Calculation-sheet'!P9*'Output-Calculation-sheet'!P63</f>
        <v>403.86861453741591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303.83280671183405</v>
      </c>
      <c r="S76" s="2">
        <f>S10/'Output-Calculation-sheet'!S9*'Output-Calculation-sheet'!S63</f>
        <v>516.30144033672741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107.61198564015264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239.62463084088117</v>
      </c>
      <c r="Y76" s="2">
        <f>Y10/'Output-Calculation-sheet'!Y9*'Output-Calculation-sheet'!Y63</f>
        <v>4.5456509469597863</v>
      </c>
      <c r="AA76" s="2">
        <f t="shared" si="6"/>
        <v>24.578051226811304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9039.7505820164097</v>
      </c>
      <c r="D77" s="2">
        <f>D11/'Output-Calculation-sheet'!D10*'Output-Calculation-sheet'!D64</f>
        <v>1234.4514008958754</v>
      </c>
      <c r="E77" s="2">
        <f>E11/'Output-Calculation-sheet'!E10*'Output-Calculation-sheet'!E64</f>
        <v>1500.5002035465059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641.13945568089923</v>
      </c>
      <c r="H77" s="2">
        <f>H11/'Output-Calculation-sheet'!H10*'Output-Calculation-sheet'!H64</f>
        <v>3406.9150020477305</v>
      </c>
      <c r="I77" s="2">
        <f>I11/'Output-Calculation-sheet'!I10*'Output-Calculation-sheet'!I64</f>
        <v>382.32864108882831</v>
      </c>
      <c r="J77" s="2">
        <f>J11/'Output-Calculation-sheet'!J10*'Output-Calculation-sheet'!J64</f>
        <v>258.62023924913353</v>
      </c>
      <c r="K77" s="2">
        <f>K11/'Output-Calculation-sheet'!K10*'Output-Calculation-sheet'!K64</f>
        <v>581.63920714036749</v>
      </c>
      <c r="L77" s="2">
        <f>L11/'Output-Calculation-sheet'!L10*'Output-Calculation-sheet'!L64</f>
        <v>243.6556015827893</v>
      </c>
      <c r="M77" s="2">
        <f>M11/'Output-Calculation-sheet'!M10*'Output-Calculation-sheet'!M64</f>
        <v>2291.3656452775358</v>
      </c>
      <c r="N77" s="2">
        <f>N11/'Output-Calculation-sheet'!N10*'Output-Calculation-sheet'!N64</f>
        <v>1613.2648438244591</v>
      </c>
      <c r="O77" s="2">
        <f>O11/'Output-Calculation-sheet'!O10*'Output-Calculation-sheet'!O64</f>
        <v>1673.0499737866753</v>
      </c>
      <c r="P77" s="2">
        <f>P11/'Output-Calculation-sheet'!P10*'Output-Calculation-sheet'!P64</f>
        <v>712.05604836682551</v>
      </c>
      <c r="Q77" s="2">
        <f>Q11/'Output-Calculation-sheet'!Q10*'Output-Calculation-sheet'!Q64</f>
        <v>640.22983565493325</v>
      </c>
      <c r="R77" s="2">
        <f>R11/'Output-Calculation-sheet'!R10*'Output-Calculation-sheet'!R64</f>
        <v>609.52458744873582</v>
      </c>
      <c r="S77" s="2">
        <f>S11/'Output-Calculation-sheet'!S10*'Output-Calculation-sheet'!S64</f>
        <v>811.25481989041702</v>
      </c>
      <c r="T77" s="2">
        <f>T11/'Output-Calculation-sheet'!T10*'Output-Calculation-sheet'!T64</f>
        <v>167.63704402542223</v>
      </c>
      <c r="U77" s="2">
        <f>U11/'Output-Calculation-sheet'!U10*'Output-Calculation-sheet'!U64</f>
        <v>222.80482045881902</v>
      </c>
      <c r="V77" s="2">
        <f>V11/'Output-Calculation-sheet'!V10*'Output-Calculation-sheet'!V64</f>
        <v>86.676678515152716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238.40941121169408</v>
      </c>
      <c r="Y77" s="2">
        <f>Y11/'Output-Calculation-sheet'!Y10*'Output-Calculation-sheet'!Y64</f>
        <v>55.787879101079376</v>
      </c>
      <c r="AA77" s="2">
        <f t="shared" si="6"/>
        <v>36.411348124370605</v>
      </c>
    </row>
    <row r="78" spans="1:27" x14ac:dyDescent="0.25">
      <c r="A78" s="2">
        <v>2035</v>
      </c>
      <c r="B78" s="2">
        <f>B12/'Output-Calculation-sheet'!B11*'Output-Calculation-sheet'!B65</f>
        <v>10482.866174296141</v>
      </c>
      <c r="C78" s="2">
        <f>C12/'Output-Calculation-sheet'!C11*'Output-Calculation-sheet'!C65</f>
        <v>7660.3517042769154</v>
      </c>
      <c r="D78" s="2">
        <f>D12/'Output-Calculation-sheet'!D11*'Output-Calculation-sheet'!D65</f>
        <v>1968.0840818051215</v>
      </c>
      <c r="E78" s="2">
        <f>E12/'Output-Calculation-sheet'!E11*'Output-Calculation-sheet'!E65</f>
        <v>2463.3818924870652</v>
      </c>
      <c r="F78" s="2">
        <f>F12/'Output-Calculation-sheet'!F11*'Output-Calculation-sheet'!F65</f>
        <v>492.4605286060476</v>
      </c>
      <c r="G78" s="2">
        <f>G12/'Output-Calculation-sheet'!G11*'Output-Calculation-sheet'!G65</f>
        <v>905.23477224970827</v>
      </c>
      <c r="H78" s="2">
        <f>H12/'Output-Calculation-sheet'!H11*'Output-Calculation-sheet'!H65</f>
        <v>2862.0999417941457</v>
      </c>
      <c r="I78" s="2">
        <f>I12/'Output-Calculation-sheet'!I11*'Output-Calculation-sheet'!I65</f>
        <v>657.36911554035453</v>
      </c>
      <c r="J78" s="2">
        <f>J12/'Output-Calculation-sheet'!J11*'Output-Calculation-sheet'!J65</f>
        <v>635.68605200855859</v>
      </c>
      <c r="K78" s="2">
        <f>K12/'Output-Calculation-sheet'!K11*'Output-Calculation-sheet'!K65</f>
        <v>796.40228020173356</v>
      </c>
      <c r="L78" s="2">
        <f>L12/'Output-Calculation-sheet'!L11*'Output-Calculation-sheet'!L65</f>
        <v>587.18695240459249</v>
      </c>
      <c r="M78" s="2">
        <f>M12/'Output-Calculation-sheet'!M11*'Output-Calculation-sheet'!M65</f>
        <v>2089.7487382732265</v>
      </c>
      <c r="N78" s="2">
        <f>N12/'Output-Calculation-sheet'!N11*'Output-Calculation-sheet'!N65</f>
        <v>1490.0720869320869</v>
      </c>
      <c r="O78" s="2">
        <f>O12/'Output-Calculation-sheet'!O11*'Output-Calculation-sheet'!O65</f>
        <v>1406.5840654529527</v>
      </c>
      <c r="P78" s="2">
        <f>P12/'Output-Calculation-sheet'!P11*'Output-Calculation-sheet'!P65</f>
        <v>811.75301991911238</v>
      </c>
      <c r="Q78" s="2">
        <f>Q12/'Output-Calculation-sheet'!Q11*'Output-Calculation-sheet'!Q65</f>
        <v>689.25643030216145</v>
      </c>
      <c r="R78" s="2">
        <f>R12/'Output-Calculation-sheet'!R11*'Output-Calculation-sheet'!R65</f>
        <v>681.20413688736119</v>
      </c>
      <c r="S78" s="2">
        <f>S12/'Output-Calculation-sheet'!S11*'Output-Calculation-sheet'!S65</f>
        <v>788.14082329994574</v>
      </c>
      <c r="T78" s="2">
        <f>T12/'Output-Calculation-sheet'!T11*'Output-Calculation-sheet'!T65</f>
        <v>245.89578320580202</v>
      </c>
      <c r="U78" s="2">
        <f>U12/'Output-Calculation-sheet'!U11*'Output-Calculation-sheet'!U65</f>
        <v>205.74141002449267</v>
      </c>
      <c r="V78" s="2">
        <f>V12/'Output-Calculation-sheet'!V11*'Output-Calculation-sheet'!V65</f>
        <v>125.1595649404277</v>
      </c>
      <c r="W78" s="2">
        <f>W12/'Output-Calculation-sheet'!W11*'Output-Calculation-sheet'!W65</f>
        <v>87.393216911928519</v>
      </c>
      <c r="X78" s="2">
        <f>X12/'Output-Calculation-sheet'!X11*'Output-Calculation-sheet'!X65</f>
        <v>201.9775516825346</v>
      </c>
      <c r="Y78" s="2">
        <f>Y12/'Output-Calculation-sheet'!Y11*'Output-Calculation-sheet'!Y65</f>
        <v>94.759475664203634</v>
      </c>
      <c r="AA78" s="2">
        <f t="shared" si="6"/>
        <v>38.428809799166622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169.13879689741577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49.288677027367015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0.21842747392478279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451.69392804758951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87.751978624054161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1.749331635029967</v>
      </c>
      <c r="Y88" s="2">
        <f>Y11/'Output-Calculation-sheet'!Y10*'Output-Calculation-sheet'!Y73</f>
        <v>0</v>
      </c>
      <c r="AA88" s="2">
        <f t="shared" si="7"/>
        <v>0.54119523830667371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620.18100230548714</v>
      </c>
      <c r="D89" s="2">
        <f>D12/'Output-Calculation-sheet'!D11*'Output-Calculation-sheet'!D74</f>
        <v>54.937586026270701</v>
      </c>
      <c r="E89" s="2">
        <f>E12/'Output-Calculation-sheet'!E11*'Output-Calculation-sheet'!E74</f>
        <v>87.321454511159502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57.273308244389845</v>
      </c>
      <c r="I89" s="2">
        <f>I12/'Output-Calculation-sheet'!I11*'Output-Calculation-sheet'!I74</f>
        <v>17.72553296500983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17.421408763217691</v>
      </c>
      <c r="L89" s="2">
        <f>L12/'Output-Calculation-sheet'!L11*'Output-Calculation-sheet'!L74</f>
        <v>13.852669444290662</v>
      </c>
      <c r="M89" s="2">
        <f>M12/'Output-Calculation-sheet'!M11*'Output-Calculation-sheet'!M74</f>
        <v>26.273093724165058</v>
      </c>
      <c r="N89" s="2">
        <f>N12/'Output-Calculation-sheet'!N11*'Output-Calculation-sheet'!N74</f>
        <v>25.822235281727526</v>
      </c>
      <c r="O89" s="2">
        <f>O12/'Output-Calculation-sheet'!O11*'Output-Calculation-sheet'!O74</f>
        <v>108.43603601963761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22.624162751379806</v>
      </c>
      <c r="R89" s="2">
        <f>R12/'Output-Calculation-sheet'!R11*'Output-Calculation-sheet'!R74</f>
        <v>11.218037956777572</v>
      </c>
      <c r="S89" s="2">
        <f>S12/'Output-Calculation-sheet'!S11*'Output-Calculation-sheet'!S74</f>
        <v>14.802156508591338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7.2184902822430939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5.7644462999995607</v>
      </c>
      <c r="Y89" s="2">
        <f>Y12/'Output-Calculation-sheet'!Y11*'Output-Calculation-sheet'!Y74</f>
        <v>2.7813987984444402</v>
      </c>
      <c r="AA89" s="2">
        <f t="shared" si="7"/>
        <v>1.4726046558882711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11409240794.637655</v>
      </c>
      <c r="C96" s="2">
        <f>C8/'Output-Calculation-sheet'!C7*'Output-Calculation-sheet'!C79</f>
        <v>3859798013.9549508</v>
      </c>
      <c r="D96" s="2">
        <f>D8/'Output-Calculation-sheet'!D7*'Output-Calculation-sheet'!D79</f>
        <v>4029374929.1545329</v>
      </c>
      <c r="E96" s="2">
        <f>E8/'Output-Calculation-sheet'!E7*'Output-Calculation-sheet'!E79</f>
        <v>7163885543.2217503</v>
      </c>
      <c r="F96" s="2">
        <f>F8/'Output-Calculation-sheet'!F7*'Output-Calculation-sheet'!F79</f>
        <v>2965061631.9942017</v>
      </c>
      <c r="G96" s="2">
        <f>G8/'Output-Calculation-sheet'!G7*'Output-Calculation-sheet'!G79</f>
        <v>2309539201.7794333</v>
      </c>
      <c r="H96" s="2">
        <f>H8/'Output-Calculation-sheet'!H7*'Output-Calculation-sheet'!H79</f>
        <v>1976835124.8003221</v>
      </c>
      <c r="I96" s="2">
        <f>I8/'Output-Calculation-sheet'!I7*'Output-Calculation-sheet'!I79</f>
        <v>1608839587.5039077</v>
      </c>
      <c r="J96" s="2">
        <f>J8/'Output-Calculation-sheet'!J7*'Output-Calculation-sheet'!J79</f>
        <v>1087938884.5264204</v>
      </c>
      <c r="K96" s="2">
        <f>K8/'Output-Calculation-sheet'!K7*'Output-Calculation-sheet'!K79</f>
        <v>1556516006.216635</v>
      </c>
      <c r="L96" s="2">
        <f>L8/'Output-Calculation-sheet'!L7*'Output-Calculation-sheet'!L79</f>
        <v>1098276339.6166196</v>
      </c>
      <c r="M96" s="2">
        <f>M8/'Output-Calculation-sheet'!M7*'Output-Calculation-sheet'!M79</f>
        <v>1475669188.37181</v>
      </c>
      <c r="N96" s="2">
        <f>N8/'Output-Calculation-sheet'!N7*'Output-Calculation-sheet'!N79</f>
        <v>1098015401.66922</v>
      </c>
      <c r="O96" s="2">
        <f>O8/'Output-Calculation-sheet'!O7*'Output-Calculation-sheet'!O79</f>
        <v>555084392.82886398</v>
      </c>
      <c r="P96" s="2">
        <f>P8/'Output-Calculation-sheet'!P7*'Output-Calculation-sheet'!P79</f>
        <v>1856640873.5975182</v>
      </c>
      <c r="Q96" s="2">
        <f>Q8/'Output-Calculation-sheet'!Q7*'Output-Calculation-sheet'!Q79</f>
        <v>865274060.27211273</v>
      </c>
      <c r="R96" s="2">
        <f>R8/'Output-Calculation-sheet'!R7*'Output-Calculation-sheet'!R79</f>
        <v>1079532248.6171241</v>
      </c>
      <c r="S96" s="2">
        <f>S8/'Output-Calculation-sheet'!S7*'Output-Calculation-sheet'!S79</f>
        <v>629025956.44611275</v>
      </c>
      <c r="T96" s="2">
        <f>T8/'Output-Calculation-sheet'!T7*'Output-Calculation-sheet'!T79</f>
        <v>480431020.6982969</v>
      </c>
      <c r="U96" s="2">
        <f>U8/'Output-Calculation-sheet'!U7*'Output-Calculation-sheet'!U79</f>
        <v>301794419.69975585</v>
      </c>
      <c r="V96" s="2">
        <f>V8/'Output-Calculation-sheet'!V7*'Output-Calculation-sheet'!V79</f>
        <v>156586682.75105616</v>
      </c>
      <c r="W96" s="2">
        <f>W8/'Output-Calculation-sheet'!W7*'Output-Calculation-sheet'!W79</f>
        <v>462700952.6110428</v>
      </c>
      <c r="X96" s="2">
        <f>X8/'Output-Calculation-sheet'!X7*'Output-Calculation-sheet'!X79</f>
        <v>162626290.63412207</v>
      </c>
      <c r="Y96" s="2">
        <f>Y8/'Output-Calculation-sheet'!Y7*'Output-Calculation-sheet'!Y79</f>
        <v>254345276.08357504</v>
      </c>
      <c r="AA96" s="2">
        <f t="shared" si="8"/>
        <v>48.443032821687041</v>
      </c>
    </row>
    <row r="97" spans="1:27" x14ac:dyDescent="0.25">
      <c r="A97" s="2">
        <v>2032</v>
      </c>
      <c r="B97" s="2">
        <f>B9/'Output-Calculation-sheet'!B8*'Output-Calculation-sheet'!B80</f>
        <v>14594322244.628841</v>
      </c>
      <c r="C97" s="2">
        <f>C9/'Output-Calculation-sheet'!C8*'Output-Calculation-sheet'!C80</f>
        <v>4970904823.1605425</v>
      </c>
      <c r="D97" s="2">
        <f>D9/'Output-Calculation-sheet'!D8*'Output-Calculation-sheet'!D80</f>
        <v>4953022773.320591</v>
      </c>
      <c r="E97" s="2">
        <f>E9/'Output-Calculation-sheet'!E8*'Output-Calculation-sheet'!E80</f>
        <v>9058337671.8940487</v>
      </c>
      <c r="F97" s="2">
        <f>F9/'Output-Calculation-sheet'!F8*'Output-Calculation-sheet'!F80</f>
        <v>3742000025.9720383</v>
      </c>
      <c r="G97" s="2">
        <f>G9/'Output-Calculation-sheet'!G8*'Output-Calculation-sheet'!G80</f>
        <v>2832488432.9303823</v>
      </c>
      <c r="H97" s="2">
        <f>H9/'Output-Calculation-sheet'!H8*'Output-Calculation-sheet'!H80</f>
        <v>2492017708.6196814</v>
      </c>
      <c r="I97" s="2">
        <f>I9/'Output-Calculation-sheet'!I8*'Output-Calculation-sheet'!I80</f>
        <v>2049915830.5998886</v>
      </c>
      <c r="J97" s="2">
        <f>J9/'Output-Calculation-sheet'!J8*'Output-Calculation-sheet'!J80</f>
        <v>1347630450.5146823</v>
      </c>
      <c r="K97" s="2">
        <f>K9/'Output-Calculation-sheet'!K8*'Output-Calculation-sheet'!K80</f>
        <v>1942893231.7918515</v>
      </c>
      <c r="L97" s="2">
        <f>L9/'Output-Calculation-sheet'!L8*'Output-Calculation-sheet'!L80</f>
        <v>1414104429.2798998</v>
      </c>
      <c r="M97" s="2">
        <f>M9/'Output-Calculation-sheet'!M8*'Output-Calculation-sheet'!M80</f>
        <v>1865752590.6882303</v>
      </c>
      <c r="N97" s="2">
        <f>N9/'Output-Calculation-sheet'!N8*'Output-Calculation-sheet'!N80</f>
        <v>1363181721.4920065</v>
      </c>
      <c r="O97" s="2">
        <f>O9/'Output-Calculation-sheet'!O8*'Output-Calculation-sheet'!O80</f>
        <v>705220942.09673238</v>
      </c>
      <c r="P97" s="2">
        <f>P9/'Output-Calculation-sheet'!P8*'Output-Calculation-sheet'!P80</f>
        <v>2307350312.8505602</v>
      </c>
      <c r="Q97" s="2">
        <f>Q9/'Output-Calculation-sheet'!Q8*'Output-Calculation-sheet'!Q80</f>
        <v>1079289995.890764</v>
      </c>
      <c r="R97" s="2">
        <f>R9/'Output-Calculation-sheet'!R8*'Output-Calculation-sheet'!R80</f>
        <v>1363680159.1746898</v>
      </c>
      <c r="S97" s="2">
        <f>S9/'Output-Calculation-sheet'!S8*'Output-Calculation-sheet'!S80</f>
        <v>791476018.36413944</v>
      </c>
      <c r="T97" s="2">
        <f>T9/'Output-Calculation-sheet'!T8*'Output-Calculation-sheet'!T80</f>
        <v>596009277.30500019</v>
      </c>
      <c r="U97" s="2">
        <f>U9/'Output-Calculation-sheet'!U8*'Output-Calculation-sheet'!U80</f>
        <v>381024456.49570066</v>
      </c>
      <c r="V97" s="2">
        <f>V9/'Output-Calculation-sheet'!V8*'Output-Calculation-sheet'!V80</f>
        <v>199786517.65363535</v>
      </c>
      <c r="W97" s="2">
        <f>W9/'Output-Calculation-sheet'!W8*'Output-Calculation-sheet'!W80</f>
        <v>578585615.41244042</v>
      </c>
      <c r="X97" s="2">
        <f>X9/'Output-Calculation-sheet'!X8*'Output-Calculation-sheet'!X80</f>
        <v>207768070.33473879</v>
      </c>
      <c r="Y97" s="2">
        <f>Y9/'Output-Calculation-sheet'!Y8*'Output-Calculation-sheet'!Y80</f>
        <v>318028105.97034043</v>
      </c>
      <c r="AA97" s="2">
        <f t="shared" si="8"/>
        <v>61.154791406441412</v>
      </c>
    </row>
    <row r="98" spans="1:27" x14ac:dyDescent="0.25">
      <c r="A98" s="2">
        <v>2033</v>
      </c>
      <c r="B98" s="2">
        <f>B10/'Output-Calculation-sheet'!B9*'Output-Calculation-sheet'!B81</f>
        <v>16719783563.087561</v>
      </c>
      <c r="C98" s="2">
        <f>C10/'Output-Calculation-sheet'!C9*'Output-Calculation-sheet'!C81</f>
        <v>5732370917.8247042</v>
      </c>
      <c r="D98" s="2">
        <f>D10/'Output-Calculation-sheet'!D9*'Output-Calculation-sheet'!D81</f>
        <v>5455471174.1471081</v>
      </c>
      <c r="E98" s="2">
        <f>E10/'Output-Calculation-sheet'!E9*'Output-Calculation-sheet'!E81</f>
        <v>10262084535.322906</v>
      </c>
      <c r="F98" s="2">
        <f>F10/'Output-Calculation-sheet'!F9*'Output-Calculation-sheet'!F81</f>
        <v>4232331708.061295</v>
      </c>
      <c r="G98" s="2">
        <f>G10/'Output-Calculation-sheet'!G9*'Output-Calculation-sheet'!G81</f>
        <v>3107507432.9760122</v>
      </c>
      <c r="H98" s="2">
        <f>H10/'Output-Calculation-sheet'!H9*'Output-Calculation-sheet'!H81</f>
        <v>2815427123.3762946</v>
      </c>
      <c r="I98" s="2">
        <f>I10/'Output-Calculation-sheet'!I9*'Output-Calculation-sheet'!I81</f>
        <v>2340451126.9159212</v>
      </c>
      <c r="J98" s="2">
        <f>J10/'Output-Calculation-sheet'!J9*'Output-Calculation-sheet'!J81</f>
        <v>1496543440.8244693</v>
      </c>
      <c r="K98" s="2">
        <f>K10/'Output-Calculation-sheet'!K9*'Output-Calculation-sheet'!K81</f>
        <v>2173788695.9927402</v>
      </c>
      <c r="L98" s="2">
        <f>L10/'Output-Calculation-sheet'!L9*'Output-Calculation-sheet'!L81</f>
        <v>1630374061.1328859</v>
      </c>
      <c r="M98" s="2">
        <f>M10/'Output-Calculation-sheet'!M9*'Output-Calculation-sheet'!M81</f>
        <v>2114267560.4469025</v>
      </c>
      <c r="N98" s="2">
        <f>N10/'Output-Calculation-sheet'!N9*'Output-Calculation-sheet'!N81</f>
        <v>1516822008.5028951</v>
      </c>
      <c r="O98" s="2">
        <f>O10/'Output-Calculation-sheet'!O9*'Output-Calculation-sheet'!O81</f>
        <v>803242947.20748222</v>
      </c>
      <c r="P98" s="2">
        <f>P10/'Output-Calculation-sheet'!P9*'Output-Calculation-sheet'!P81</f>
        <v>2566931402.0421414</v>
      </c>
      <c r="Q98" s="2">
        <f>Q10/'Output-Calculation-sheet'!Q9*'Output-Calculation-sheet'!Q81</f>
        <v>1206906072.0173478</v>
      </c>
      <c r="R98" s="2">
        <f>R10/'Output-Calculation-sheet'!R9*'Output-Calculation-sheet'!R81</f>
        <v>1543815456.7802014</v>
      </c>
      <c r="S98" s="2">
        <f>S10/'Output-Calculation-sheet'!S9*'Output-Calculation-sheet'!S81</f>
        <v>892600193.06454194</v>
      </c>
      <c r="T98" s="2">
        <f>T10/'Output-Calculation-sheet'!T9*'Output-Calculation-sheet'!T81</f>
        <v>662346064.4663707</v>
      </c>
      <c r="U98" s="2">
        <f>U10/'Output-Calculation-sheet'!U9*'Output-Calculation-sheet'!U81</f>
        <v>430965306.92971611</v>
      </c>
      <c r="V98" s="2">
        <f>V10/'Output-Calculation-sheet'!V9*'Output-Calculation-sheet'!V81</f>
        <v>228246483.90505964</v>
      </c>
      <c r="W98" s="2">
        <f>W10/'Output-Calculation-sheet'!W9*'Output-Calculation-sheet'!W81</f>
        <v>647157526.9783082</v>
      </c>
      <c r="X98" s="2">
        <f>X10/'Output-Calculation-sheet'!X9*'Output-Calculation-sheet'!X81</f>
        <v>237810811.24185434</v>
      </c>
      <c r="Y98" s="2">
        <f>Y10/'Output-Calculation-sheet'!Y9*'Output-Calculation-sheet'!Y81</f>
        <v>355847286.0040471</v>
      </c>
      <c r="AA98" s="2">
        <f t="shared" si="8"/>
        <v>69.173092899248786</v>
      </c>
    </row>
    <row r="99" spans="1:27" x14ac:dyDescent="0.25">
      <c r="A99" s="2">
        <v>2034</v>
      </c>
      <c r="B99" s="2">
        <f>B11/'Output-Calculation-sheet'!B10*'Output-Calculation-sheet'!B82</f>
        <v>17358405612.672291</v>
      </c>
      <c r="C99" s="2">
        <f>C11/'Output-Calculation-sheet'!C10*'Output-Calculation-sheet'!C82</f>
        <v>5989362113.2468662</v>
      </c>
      <c r="D99" s="2">
        <f>D11/'Output-Calculation-sheet'!D10*'Output-Calculation-sheet'!D82</f>
        <v>5448634810.7269545</v>
      </c>
      <c r="E99" s="2">
        <f>E11/'Output-Calculation-sheet'!E10*'Output-Calculation-sheet'!E82</f>
        <v>10539906256.339249</v>
      </c>
      <c r="F99" s="2">
        <f>F11/'Output-Calculation-sheet'!F10*'Output-Calculation-sheet'!F82</f>
        <v>4340847311.5383282</v>
      </c>
      <c r="G99" s="2">
        <f>G11/'Output-Calculation-sheet'!G10*'Output-Calculation-sheet'!G82</f>
        <v>3086033542.528708</v>
      </c>
      <c r="H99" s="2">
        <f>H11/'Output-Calculation-sheet'!H10*'Output-Calculation-sheet'!H82</f>
        <v>2884458643.4490657</v>
      </c>
      <c r="I99" s="2">
        <f>I11/'Output-Calculation-sheet'!I10*'Output-Calculation-sheet'!I82</f>
        <v>2422744453.3869529</v>
      </c>
      <c r="J99" s="2">
        <f>J11/'Output-Calculation-sheet'!J10*'Output-Calculation-sheet'!J82</f>
        <v>1507672946.7423272</v>
      </c>
      <c r="K99" s="2">
        <f>K11/'Output-Calculation-sheet'!K10*'Output-Calculation-sheet'!K82</f>
        <v>2205923368.2207375</v>
      </c>
      <c r="L99" s="2">
        <f>L11/'Output-Calculation-sheet'!L10*'Output-Calculation-sheet'!L82</f>
        <v>1703134158.089112</v>
      </c>
      <c r="M99" s="2">
        <f>M11/'Output-Calculation-sheet'!M10*'Output-Calculation-sheet'!M82</f>
        <v>2172809231.6519885</v>
      </c>
      <c r="N99" s="2">
        <f>N11/'Output-Calculation-sheet'!N10*'Output-Calculation-sheet'!N82</f>
        <v>1530746133.9167874</v>
      </c>
      <c r="O99" s="2">
        <f>O11/'Output-Calculation-sheet'!O10*'Output-Calculation-sheet'!O82</f>
        <v>829894301.13520634</v>
      </c>
      <c r="P99" s="2">
        <f>P11/'Output-Calculation-sheet'!P10*'Output-Calculation-sheet'!P82</f>
        <v>2586968541.7075315</v>
      </c>
      <c r="Q99" s="2">
        <f>Q11/'Output-Calculation-sheet'!Q10*'Output-Calculation-sheet'!Q82</f>
        <v>1224316080.4370384</v>
      </c>
      <c r="R99" s="2">
        <f>R11/'Output-Calculation-sheet'!R10*'Output-Calculation-sheet'!R82</f>
        <v>1584871504.146518</v>
      </c>
      <c r="S99" s="2">
        <f>S11/'Output-Calculation-sheet'!S10*'Output-Calculation-sheet'!S82</f>
        <v>912930293.85085797</v>
      </c>
      <c r="T99" s="2">
        <f>T11/'Output-Calculation-sheet'!T10*'Output-Calculation-sheet'!T82</f>
        <v>667245310.70535326</v>
      </c>
      <c r="U99" s="2">
        <f>U11/'Output-Calculation-sheet'!U10*'Output-Calculation-sheet'!U82</f>
        <v>441863295.3867299</v>
      </c>
      <c r="V99" s="2">
        <f>V11/'Output-Calculation-sheet'!V10*'Output-Calculation-sheet'!V82</f>
        <v>236258795.14953107</v>
      </c>
      <c r="W99" s="2">
        <f>W11/'Output-Calculation-sheet'!W10*'Output-Calculation-sheet'!W82</f>
        <v>655153910.79840016</v>
      </c>
      <c r="X99" s="2">
        <f>X11/'Output-Calculation-sheet'!X10*'Output-Calculation-sheet'!X82</f>
        <v>246748999.91537246</v>
      </c>
      <c r="Y99" s="2">
        <f>Y11/'Output-Calculation-sheet'!Y10*'Output-Calculation-sheet'!Y82</f>
        <v>360542441.67161435</v>
      </c>
      <c r="AA99" s="2">
        <f t="shared" si="8"/>
        <v>70.937472057413544</v>
      </c>
    </row>
    <row r="100" spans="1:27" x14ac:dyDescent="0.25">
      <c r="A100" s="2">
        <v>2035</v>
      </c>
      <c r="B100" s="2">
        <f>B12/'Output-Calculation-sheet'!B11*'Output-Calculation-sheet'!B83</f>
        <v>16338714780.773075</v>
      </c>
      <c r="C100" s="2">
        <f>C12/'Output-Calculation-sheet'!C11*'Output-Calculation-sheet'!C83</f>
        <v>5672536392.429327</v>
      </c>
      <c r="D100" s="2">
        <f>D12/'Output-Calculation-sheet'!D11*'Output-Calculation-sheet'!D83</f>
        <v>4937215584.8913755</v>
      </c>
      <c r="E100" s="2">
        <f>E12/'Output-Calculation-sheet'!E11*'Output-Calculation-sheet'!E83</f>
        <v>9818847854.2891541</v>
      </c>
      <c r="F100" s="2">
        <f>F12/'Output-Calculation-sheet'!F11*'Output-Calculation-sheet'!F83</f>
        <v>4039082501.4840541</v>
      </c>
      <c r="G100" s="2">
        <f>G12/'Output-Calculation-sheet'!G11*'Output-Calculation-sheet'!G83</f>
        <v>2775636163.8751884</v>
      </c>
      <c r="H100" s="2">
        <f>H12/'Output-Calculation-sheet'!H11*'Output-Calculation-sheet'!H83</f>
        <v>2681057105.3233547</v>
      </c>
      <c r="I100" s="2">
        <f>I12/'Output-Calculation-sheet'!I11*'Output-Calculation-sheet'!I83</f>
        <v>2274823998.5975013</v>
      </c>
      <c r="J100" s="2">
        <f>J12/'Output-Calculation-sheet'!J11*'Output-Calculation-sheet'!J83</f>
        <v>1378641252.7160573</v>
      </c>
      <c r="K100" s="2">
        <f>K12/'Output-Calculation-sheet'!K11*'Output-Calculation-sheet'!K83</f>
        <v>2031325808.9459248</v>
      </c>
      <c r="L100" s="2">
        <f>L12/'Output-Calculation-sheet'!L11*'Output-Calculation-sheet'!L83</f>
        <v>1612756867.3101518</v>
      </c>
      <c r="M100" s="2">
        <f>M12/'Output-Calculation-sheet'!M11*'Output-Calculation-sheet'!M83</f>
        <v>2025979998.8406193</v>
      </c>
      <c r="N100" s="2">
        <f>N12/'Output-Calculation-sheet'!N11*'Output-Calculation-sheet'!N83</f>
        <v>1401818142.2979627</v>
      </c>
      <c r="O100" s="2">
        <f>O12/'Output-Calculation-sheet'!O11*'Output-Calculation-sheet'!O83</f>
        <v>778098077.98843694</v>
      </c>
      <c r="P100" s="2">
        <f>P12/'Output-Calculation-sheet'!P11*'Output-Calculation-sheet'!P83</f>
        <v>2363139150.9317803</v>
      </c>
      <c r="Q100" s="2">
        <f>Q12/'Output-Calculation-sheet'!Q11*'Output-Calculation-sheet'!Q83</f>
        <v>1127228207.9785814</v>
      </c>
      <c r="R100" s="2">
        <f>R12/'Output-Calculation-sheet'!R11*'Output-Calculation-sheet'!R83</f>
        <v>1476042511.0616965</v>
      </c>
      <c r="S100" s="2">
        <f>S12/'Output-Calculation-sheet'!S11*'Output-Calculation-sheet'!S83</f>
        <v>847172563.56403351</v>
      </c>
      <c r="T100" s="2">
        <f>T12/'Output-Calculation-sheet'!T11*'Output-Calculation-sheet'!T83</f>
        <v>609670721.17901278</v>
      </c>
      <c r="U100" s="2">
        <f>U12/'Output-Calculation-sheet'!U11*'Output-Calculation-sheet'!U83</f>
        <v>410849036.60220438</v>
      </c>
      <c r="V100" s="2">
        <f>V12/'Output-Calculation-sheet'!V11*'Output-Calculation-sheet'!V83</f>
        <v>221676926.17802909</v>
      </c>
      <c r="W100" s="2">
        <f>W12/'Output-Calculation-sheet'!W11*'Output-Calculation-sheet'!W83</f>
        <v>600577252.95596826</v>
      </c>
      <c r="X100" s="2">
        <f>X12/'Output-Calculation-sheet'!X11*'Output-Calculation-sheet'!X83</f>
        <v>232188870.62967479</v>
      </c>
      <c r="Y100" s="2">
        <f>Y12/'Output-Calculation-sheet'!Y11*'Output-Calculation-sheet'!Y83</f>
        <v>330953914.64894658</v>
      </c>
      <c r="AA100" s="2">
        <f t="shared" si="8"/>
        <v>65.986033685492131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1334937074.6369362</v>
      </c>
      <c r="C107" s="2">
        <f>C8/'Output-Calculation-sheet'!C7*'Output-Calculation-sheet'!C88</f>
        <v>21984973441.623547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6859399902.8350573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4732432484.2877369</v>
      </c>
      <c r="N107" s="2">
        <f>N8/'Output-Calculation-sheet'!N7*'Output-Calculation-sheet'!N88</f>
        <v>1437885198.6542792</v>
      </c>
      <c r="O107" s="2">
        <f>O8/'Output-Calculation-sheet'!O7*'Output-Calculation-sheet'!O88</f>
        <v>4271700411.3924103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474640049.58879828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512523952.71054888</v>
      </c>
      <c r="Y107" s="2">
        <f>Y8/'Output-Calculation-sheet'!Y7*'Output-Calculation-sheet'!Y88</f>
        <v>0</v>
      </c>
      <c r="AA107" s="2">
        <f t="shared" si="9"/>
        <v>41608.492515729318</v>
      </c>
    </row>
    <row r="108" spans="1:27" x14ac:dyDescent="0.25">
      <c r="A108" s="2">
        <v>2032</v>
      </c>
      <c r="B108" s="2">
        <f>B9/'Output-Calculation-sheet'!B8*'Output-Calculation-sheet'!B89</f>
        <v>5613396172.3476744</v>
      </c>
      <c r="C108" s="2">
        <f>C9/'Output-Calculation-sheet'!C8*'Output-Calculation-sheet'!C89</f>
        <v>28139520287.873661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8779335957.1808376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6056978419.9970341</v>
      </c>
      <c r="N108" s="2">
        <f>N9/'Output-Calculation-sheet'!N8*'Output-Calculation-sheet'!N89</f>
        <v>2854303958.9027224</v>
      </c>
      <c r="O108" s="2">
        <f>O9/'Output-Calculation-sheet'!O8*'Output-Calculation-sheet'!O89</f>
        <v>5467532726.4991274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857821544.79861712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655988867.79179823</v>
      </c>
      <c r="Y108" s="2">
        <f>Y9/'Output-Calculation-sheet'!Y8*'Output-Calculation-sheet'!Y89</f>
        <v>0</v>
      </c>
      <c r="AA108" s="2">
        <f t="shared" si="9"/>
        <v>58424.87793539148</v>
      </c>
    </row>
    <row r="109" spans="1:27" x14ac:dyDescent="0.25">
      <c r="A109" s="2">
        <v>2033</v>
      </c>
      <c r="B109" s="2">
        <f>B10/'Output-Calculation-sheet'!B9*'Output-Calculation-sheet'!B90</f>
        <v>13695808803.079794</v>
      </c>
      <c r="C109" s="2">
        <f>C10/'Output-Calculation-sheet'!C9*'Output-Calculation-sheet'!C90</f>
        <v>30225728819.116718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10062676218.766253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6942372136.7201996</v>
      </c>
      <c r="N109" s="2">
        <f>N10/'Output-Calculation-sheet'!N9*'Output-Calculation-sheet'!N90</f>
        <v>4088669367.6488595</v>
      </c>
      <c r="O109" s="2">
        <f>O10/'Output-Calculation-sheet'!O9*'Output-Calculation-sheet'!O90</f>
        <v>5545455908.7018557</v>
      </c>
      <c r="P109" s="2">
        <f>P10/'Output-Calculation-sheet'!P9*'Output-Calculation-sheet'!P90</f>
        <v>0</v>
      </c>
      <c r="Q109" s="2">
        <f>Q10/'Output-Calculation-sheet'!Q9*'Output-Calculation-sheet'!Q90</f>
        <v>133138283.82661892</v>
      </c>
      <c r="R109" s="2">
        <f>R10/'Output-Calculation-sheet'!R9*'Output-Calculation-sheet'!R90</f>
        <v>0</v>
      </c>
      <c r="S109" s="2">
        <f>S10/'Output-Calculation-sheet'!S9*'Output-Calculation-sheet'!S90</f>
        <v>1650182483.058486</v>
      </c>
      <c r="T109" s="2">
        <f>T10/'Output-Calculation-sheet'!T9*'Output-Calculation-sheet'!T90</f>
        <v>1.2579794144157617E-7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751879906.84694993</v>
      </c>
      <c r="Y109" s="2">
        <f>Y10/'Output-Calculation-sheet'!Y9*'Output-Calculation-sheet'!Y90</f>
        <v>0</v>
      </c>
      <c r="AA109" s="2">
        <f t="shared" si="9"/>
        <v>73095.91192776573</v>
      </c>
    </row>
    <row r="110" spans="1:27" x14ac:dyDescent="0.25">
      <c r="A110" s="2">
        <v>2034</v>
      </c>
      <c r="B110" s="2">
        <f>B11/'Output-Calculation-sheet'!B10*'Output-Calculation-sheet'!B91</f>
        <v>27980740039.687725</v>
      </c>
      <c r="C110" s="2">
        <f>C11/'Output-Calculation-sheet'!C10*'Output-Calculation-sheet'!C91</f>
        <v>28294250689.311554</v>
      </c>
      <c r="D110" s="2">
        <f>D11/'Output-Calculation-sheet'!D10*'Output-Calculation-sheet'!D91</f>
        <v>0</v>
      </c>
      <c r="E110" s="2">
        <f>E11/'Output-Calculation-sheet'!E10*'Output-Calculation-sheet'!E91</f>
        <v>570791612.9972291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10450795717.477072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474988855.00547731</v>
      </c>
      <c r="M110" s="2">
        <f>M11/'Output-Calculation-sheet'!M10*'Output-Calculation-sheet'!M91</f>
        <v>7210139658.9965582</v>
      </c>
      <c r="N110" s="2">
        <f>N11/'Output-Calculation-sheet'!N10*'Output-Calculation-sheet'!N91</f>
        <v>4986893516.9708481</v>
      </c>
      <c r="O110" s="2">
        <f>O11/'Output-Calculation-sheet'!O10*'Output-Calculation-sheet'!O91</f>
        <v>5177922501.350481</v>
      </c>
      <c r="P110" s="2">
        <f>P11/'Output-Calculation-sheet'!P10*'Output-Calculation-sheet'!P91</f>
        <v>0</v>
      </c>
      <c r="Q110" s="2">
        <f>Q11/'Output-Calculation-sheet'!Q10*'Output-Calculation-sheet'!Q91</f>
        <v>1269007075.2320189</v>
      </c>
      <c r="R110" s="2">
        <f>R11/'Output-Calculation-sheet'!R10*'Output-Calculation-sheet'!R91</f>
        <v>0</v>
      </c>
      <c r="S110" s="2">
        <f>S11/'Output-Calculation-sheet'!S10*'Output-Calculation-sheet'!S91</f>
        <v>2452377502.1501989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714332575.83794689</v>
      </c>
      <c r="Y110" s="2">
        <f>Y11/'Output-Calculation-sheet'!Y10*'Output-Calculation-sheet'!Y91</f>
        <v>31259815.5715672</v>
      </c>
      <c r="AA110" s="2">
        <f t="shared" si="9"/>
        <v>89613.49956058868</v>
      </c>
    </row>
    <row r="111" spans="1:27" x14ac:dyDescent="0.25">
      <c r="A111" s="2">
        <v>2035</v>
      </c>
      <c r="B111" s="2">
        <f>B12/'Output-Calculation-sheet'!B11*'Output-Calculation-sheet'!B92</f>
        <v>29287318334.716499</v>
      </c>
      <c r="C111" s="2">
        <f>C12/'Output-Calculation-sheet'!C11*'Output-Calculation-sheet'!C92</f>
        <v>24493800613.654293</v>
      </c>
      <c r="D111" s="2">
        <f>D12/'Output-Calculation-sheet'!D11*'Output-Calculation-sheet'!D92</f>
        <v>0</v>
      </c>
      <c r="E111" s="2">
        <f>E12/'Output-Calculation-sheet'!E11*'Output-Calculation-sheet'!E92</f>
        <v>3260091491.6577978</v>
      </c>
      <c r="F111" s="2">
        <f>F12/'Output-Calculation-sheet'!F11*'Output-Calculation-sheet'!F92</f>
        <v>0</v>
      </c>
      <c r="G111" s="2">
        <f>G12/'Output-Calculation-sheet'!G11*'Output-Calculation-sheet'!G92</f>
        <v>-3.5445930379757271E-7</v>
      </c>
      <c r="H111" s="2">
        <f>H12/'Output-Calculation-sheet'!H11*'Output-Calculation-sheet'!H92</f>
        <v>9066164238.5080566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1075814932.2469459</v>
      </c>
      <c r="M111" s="2">
        <f>M12/'Output-Calculation-sheet'!M11*'Output-Calculation-sheet'!M92</f>
        <v>6397315723.8328085</v>
      </c>
      <c r="N111" s="2">
        <f>N12/'Output-Calculation-sheet'!N11*'Output-Calculation-sheet'!N92</f>
        <v>4613873102.3390951</v>
      </c>
      <c r="O111" s="2">
        <f>O12/'Output-Calculation-sheet'!O11*'Output-Calculation-sheet'!O92</f>
        <v>4450241424.83251</v>
      </c>
      <c r="P111" s="2">
        <f>P12/'Output-Calculation-sheet'!P11*'Output-Calculation-sheet'!P92</f>
        <v>223808121.32729369</v>
      </c>
      <c r="Q111" s="2">
        <f>Q12/'Output-Calculation-sheet'!Q11*'Output-Calculation-sheet'!Q92</f>
        <v>1539285817.1563158</v>
      </c>
      <c r="R111" s="2">
        <f>R12/'Output-Calculation-sheet'!R11*'Output-Calculation-sheet'!R92</f>
        <v>0</v>
      </c>
      <c r="S111" s="2">
        <f>S12/'Output-Calculation-sheet'!S11*'Output-Calculation-sheet'!S92</f>
        <v>2361629302.9666662</v>
      </c>
      <c r="T111" s="2">
        <f>T12/'Output-Calculation-sheet'!T11*'Output-Calculation-sheet'!T92</f>
        <v>0</v>
      </c>
      <c r="U111" s="2">
        <f>U12/'Output-Calculation-sheet'!U11*'Output-Calculation-sheet'!U92</f>
        <v>44655818.617943272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631278925.42870188</v>
      </c>
      <c r="Y111" s="2">
        <f>Y12/'Output-Calculation-sheet'!Y11*'Output-Calculation-sheet'!Y92</f>
        <v>152086051.87930244</v>
      </c>
      <c r="AA111" s="2">
        <f t="shared" si="9"/>
        <v>87597.363899164222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45328146275.454155</v>
      </c>
      <c r="C118" s="2">
        <f>C8/'Output-Calculation-sheet'!C7*'Output-Calculation-sheet'!C97</f>
        <v>0</v>
      </c>
      <c r="D118" s="2">
        <f>D8/'Output-Calculation-sheet'!D7*'Output-Calculation-sheet'!D97</f>
        <v>19599032702.148422</v>
      </c>
      <c r="E118" s="2">
        <f>E8/'Output-Calculation-sheet'!E7*'Output-Calculation-sheet'!E97</f>
        <v>15549843602.063107</v>
      </c>
      <c r="F118" s="2">
        <f>F8/'Output-Calculation-sheet'!F7*'Output-Calculation-sheet'!F97</f>
        <v>10009992327.383852</v>
      </c>
      <c r="G118" s="2">
        <f>G8/'Output-Calculation-sheet'!G7*'Output-Calculation-sheet'!G97</f>
        <v>7033295326.0443878</v>
      </c>
      <c r="H118" s="2">
        <f>H8/'Output-Calculation-sheet'!H7*'Output-Calculation-sheet'!H97</f>
        <v>0</v>
      </c>
      <c r="I118" s="2">
        <f>I8/'Output-Calculation-sheet'!I7*'Output-Calculation-sheet'!I97</f>
        <v>6407885683.3494644</v>
      </c>
      <c r="J118" s="2">
        <f>J8/'Output-Calculation-sheet'!J7*'Output-Calculation-sheet'!J97</f>
        <v>6236994575.8971672</v>
      </c>
      <c r="K118" s="2">
        <f>K8/'Output-Calculation-sheet'!K7*'Output-Calculation-sheet'!K97</f>
        <v>6177200584.1589136</v>
      </c>
      <c r="L118" s="2">
        <f>L8/'Output-Calculation-sheet'!L7*'Output-Calculation-sheet'!L97</f>
        <v>4955430629.3398447</v>
      </c>
      <c r="M118" s="2">
        <f>M8/'Output-Calculation-sheet'!M7*'Output-Calculation-sheet'!M97</f>
        <v>0</v>
      </c>
      <c r="N118" s="2">
        <f>N8/'Output-Calculation-sheet'!N7*'Output-Calculation-sheet'!N97</f>
        <v>3207790789.8489571</v>
      </c>
      <c r="O118" s="2">
        <f>O8/'Output-Calculation-sheet'!O7*'Output-Calculation-sheet'!O97</f>
        <v>0</v>
      </c>
      <c r="P118" s="2">
        <f>P8/'Output-Calculation-sheet'!P7*'Output-Calculation-sheet'!P97</f>
        <v>4229204551.0106497</v>
      </c>
      <c r="Q118" s="2">
        <f>Q8/'Output-Calculation-sheet'!Q7*'Output-Calculation-sheet'!Q97</f>
        <v>4160852981.7298369</v>
      </c>
      <c r="R118" s="2">
        <f>R8/'Output-Calculation-sheet'!R7*'Output-Calculation-sheet'!R97</f>
        <v>4002931927.1973677</v>
      </c>
      <c r="S118" s="2">
        <f>S8/'Output-Calculation-sheet'!S7*'Output-Calculation-sheet'!S97</f>
        <v>2185913879.7418294</v>
      </c>
      <c r="T118" s="2">
        <f>T8/'Output-Calculation-sheet'!T7*'Output-Calculation-sheet'!T97</f>
        <v>1471443643.8522987</v>
      </c>
      <c r="U118" s="2">
        <f>U8/'Output-Calculation-sheet'!U7*'Output-Calculation-sheet'!U97</f>
        <v>1281576885.0396712</v>
      </c>
      <c r="V118" s="2">
        <f>V8/'Output-Calculation-sheet'!V7*'Output-Calculation-sheet'!V97</f>
        <v>986840220.80827701</v>
      </c>
      <c r="W118" s="2">
        <f>W8/'Output-Calculation-sheet'!W7*'Output-Calculation-sheet'!W97</f>
        <v>854384589.76477957</v>
      </c>
      <c r="X118" s="2">
        <f>X8/'Output-Calculation-sheet'!X7*'Output-Calculation-sheet'!X97</f>
        <v>0</v>
      </c>
      <c r="Y118" s="2">
        <f>Y8/'Output-Calculation-sheet'!Y7*'Output-Calculation-sheet'!Y97</f>
        <v>498528476.8131578</v>
      </c>
      <c r="AA118" s="2">
        <f t="shared" si="10"/>
        <v>144177.28965164619</v>
      </c>
    </row>
    <row r="119" spans="1:27" x14ac:dyDescent="0.25">
      <c r="A119" s="2">
        <v>2032</v>
      </c>
      <c r="B119" s="2">
        <f>B9/'Output-Calculation-sheet'!B8*'Output-Calculation-sheet'!B98</f>
        <v>54109967512.408928</v>
      </c>
      <c r="C119" s="2">
        <f>C9/'Output-Calculation-sheet'!C8*'Output-Calculation-sheet'!C98</f>
        <v>0</v>
      </c>
      <c r="D119" s="2">
        <f>D9/'Output-Calculation-sheet'!D8*'Output-Calculation-sheet'!D98</f>
        <v>25084502831.136913</v>
      </c>
      <c r="E119" s="2">
        <f>E9/'Output-Calculation-sheet'!E8*'Output-Calculation-sheet'!E98</f>
        <v>19902002829.001484</v>
      </c>
      <c r="F119" s="2">
        <f>F9/'Output-Calculation-sheet'!F8*'Output-Calculation-sheet'!F98</f>
        <v>12811637364.037498</v>
      </c>
      <c r="G119" s="2">
        <f>G9/'Output-Calculation-sheet'!G8*'Output-Calculation-sheet'!G98</f>
        <v>9001808047.3820553</v>
      </c>
      <c r="H119" s="2">
        <f>H9/'Output-Calculation-sheet'!H8*'Output-Calculation-sheet'!H98</f>
        <v>1.2041764368033296E-6</v>
      </c>
      <c r="I119" s="2">
        <f>I9/'Output-Calculation-sheet'!I8*'Output-Calculation-sheet'!I98</f>
        <v>8201356344.5959396</v>
      </c>
      <c r="J119" s="2">
        <f>J9/'Output-Calculation-sheet'!J8*'Output-Calculation-sheet'!J98</f>
        <v>7982632291.1632452</v>
      </c>
      <c r="K119" s="2">
        <f>K9/'Output-Calculation-sheet'!K8*'Output-Calculation-sheet'!K98</f>
        <v>7906104131.9767466</v>
      </c>
      <c r="L119" s="2">
        <f>L9/'Output-Calculation-sheet'!L8*'Output-Calculation-sheet'!L98</f>
        <v>6342381019.2471895</v>
      </c>
      <c r="M119" s="2">
        <f>M9/'Output-Calculation-sheet'!M8*'Output-Calculation-sheet'!M98</f>
        <v>0</v>
      </c>
      <c r="N119" s="2">
        <f>N9/'Output-Calculation-sheet'!N8*'Output-Calculation-sheet'!N98</f>
        <v>3091128365.2168436</v>
      </c>
      <c r="O119" s="2">
        <f>O9/'Output-Calculation-sheet'!O8*'Output-Calculation-sheet'!O98</f>
        <v>0</v>
      </c>
      <c r="P119" s="2">
        <f>P9/'Output-Calculation-sheet'!P8*'Output-Calculation-sheet'!P98</f>
        <v>5412858599.6389713</v>
      </c>
      <c r="Q119" s="2">
        <f>Q9/'Output-Calculation-sheet'!Q8*'Output-Calculation-sheet'!Q98</f>
        <v>5325412215.0167131</v>
      </c>
      <c r="R119" s="2">
        <f>R9/'Output-Calculation-sheet'!R8*'Output-Calculation-sheet'!R98</f>
        <v>5123291880.3864594</v>
      </c>
      <c r="S119" s="2">
        <f>S9/'Output-Calculation-sheet'!S8*'Output-Calculation-sheet'!S98</f>
        <v>2547198469.6017876</v>
      </c>
      <c r="T119" s="2">
        <f>T9/'Output-Calculation-sheet'!T8*'Output-Calculation-sheet'!T98</f>
        <v>1883277966.9502029</v>
      </c>
      <c r="U119" s="2">
        <f>U9/'Output-Calculation-sheet'!U8*'Output-Calculation-sheet'!U98</f>
        <v>1640271082.5523956</v>
      </c>
      <c r="V119" s="2">
        <f>V9/'Output-Calculation-sheet'!V8*'Output-Calculation-sheet'!V98</f>
        <v>1263041539.193892</v>
      </c>
      <c r="W119" s="2">
        <f>W9/'Output-Calculation-sheet'!W8*'Output-Calculation-sheet'!W98</f>
        <v>1093513883.2038648</v>
      </c>
      <c r="X119" s="2">
        <f>X9/'Output-Calculation-sheet'!X8*'Output-Calculation-sheet'!X98</f>
        <v>0</v>
      </c>
      <c r="Y119" s="2">
        <f>Y9/'Output-Calculation-sheet'!Y8*'Output-Calculation-sheet'!Y98</f>
        <v>638058790.04228151</v>
      </c>
      <c r="AA119" s="2">
        <f t="shared" si="10"/>
        <v>179360.44516275337</v>
      </c>
    </row>
    <row r="120" spans="1:27" x14ac:dyDescent="0.25">
      <c r="A120" s="2">
        <v>2033</v>
      </c>
      <c r="B120" s="2">
        <f>B10/'Output-Calculation-sheet'!B9*'Output-Calculation-sheet'!B99</f>
        <v>54751550796.477257</v>
      </c>
      <c r="C120" s="2">
        <f>C10/'Output-Calculation-sheet'!C9*'Output-Calculation-sheet'!C99</f>
        <v>0</v>
      </c>
      <c r="D120" s="2">
        <f>D10/'Output-Calculation-sheet'!D9*'Output-Calculation-sheet'!D99</f>
        <v>28750428206.360825</v>
      </c>
      <c r="E120" s="2">
        <f>E10/'Output-Calculation-sheet'!E9*'Output-Calculation-sheet'!E99</f>
        <v>22810544308.496155</v>
      </c>
      <c r="F120" s="2">
        <f>F10/'Output-Calculation-sheet'!F9*'Output-Calculation-sheet'!F99</f>
        <v>14683965919.83737</v>
      </c>
      <c r="G120" s="2">
        <f>G10/'Output-Calculation-sheet'!G9*'Output-Calculation-sheet'!G99</f>
        <v>10317357445.845217</v>
      </c>
      <c r="H120" s="2">
        <f>H10/'Output-Calculation-sheet'!H9*'Output-Calculation-sheet'!H99</f>
        <v>0</v>
      </c>
      <c r="I120" s="2">
        <f>I10/'Output-Calculation-sheet'!I9*'Output-Calculation-sheet'!I99</f>
        <v>9399925995.2150555</v>
      </c>
      <c r="J120" s="2">
        <f>J10/'Output-Calculation-sheet'!J9*'Output-Calculation-sheet'!J99</f>
        <v>9149236967.8361645</v>
      </c>
      <c r="K120" s="2">
        <f>K10/'Output-Calculation-sheet'!K9*'Output-Calculation-sheet'!K99</f>
        <v>9061739518.9592075</v>
      </c>
      <c r="L120" s="2">
        <f>L10/'Output-Calculation-sheet'!L9*'Output-Calculation-sheet'!L99</f>
        <v>7269274696.1094971</v>
      </c>
      <c r="M120" s="2">
        <f>M10/'Output-Calculation-sheet'!M9*'Output-Calculation-sheet'!M99</f>
        <v>0</v>
      </c>
      <c r="N120" s="2">
        <f>N10/'Output-Calculation-sheet'!N9*'Output-Calculation-sheet'!N99</f>
        <v>2725246119.1831231</v>
      </c>
      <c r="O120" s="2">
        <f>O10/'Output-Calculation-sheet'!O9*'Output-Calculation-sheet'!O99</f>
        <v>0</v>
      </c>
      <c r="P120" s="2">
        <f>P10/'Output-Calculation-sheet'!P9*'Output-Calculation-sheet'!P99</f>
        <v>6203583590.3521967</v>
      </c>
      <c r="Q120" s="2">
        <f>Q10/'Output-Calculation-sheet'!Q9*'Output-Calculation-sheet'!Q99</f>
        <v>5970485513.7011108</v>
      </c>
      <c r="R120" s="2">
        <f>R10/'Output-Calculation-sheet'!R9*'Output-Calculation-sheet'!R99</f>
        <v>5871748731.699893</v>
      </c>
      <c r="S120" s="2">
        <f>S10/'Output-Calculation-sheet'!S9*'Output-Calculation-sheet'!S99</f>
        <v>2252196744.51089</v>
      </c>
      <c r="T120" s="2">
        <f>T10/'Output-Calculation-sheet'!T9*'Output-Calculation-sheet'!T99</f>
        <v>2158487023.0178905</v>
      </c>
      <c r="U120" s="2">
        <f>U10/'Output-Calculation-sheet'!U9*'Output-Calculation-sheet'!U99</f>
        <v>1880388656.0811787</v>
      </c>
      <c r="V120" s="2">
        <f>V10/'Output-Calculation-sheet'!V9*'Output-Calculation-sheet'!V99</f>
        <v>1447626111.7218554</v>
      </c>
      <c r="W120" s="2">
        <f>W10/'Output-Calculation-sheet'!W9*'Output-Calculation-sheet'!W99</f>
        <v>1253323387.0444047</v>
      </c>
      <c r="X120" s="2">
        <f>X10/'Output-Calculation-sheet'!X9*'Output-Calculation-sheet'!X99</f>
        <v>0</v>
      </c>
      <c r="Y120" s="2">
        <f>Y10/'Output-Calculation-sheet'!Y9*'Output-Calculation-sheet'!Y99</f>
        <v>731307624.06847894</v>
      </c>
      <c r="AA120" s="2">
        <f t="shared" si="10"/>
        <v>196688.41735651775</v>
      </c>
    </row>
    <row r="121" spans="1:27" x14ac:dyDescent="0.25">
      <c r="A121" s="2">
        <v>2034</v>
      </c>
      <c r="B121" s="2">
        <f>B11/'Output-Calculation-sheet'!B10*'Output-Calculation-sheet'!B100</f>
        <v>43100450429.736839</v>
      </c>
      <c r="C121" s="2">
        <f>C11/'Output-Calculation-sheet'!C10*'Output-Calculation-sheet'!C100</f>
        <v>0</v>
      </c>
      <c r="D121" s="2">
        <f>D11/'Output-Calculation-sheet'!D10*'Output-Calculation-sheet'!D100</f>
        <v>29858692550.280373</v>
      </c>
      <c r="E121" s="2">
        <f>E11/'Output-Calculation-sheet'!E10*'Output-Calculation-sheet'!E100</f>
        <v>23118048487.813854</v>
      </c>
      <c r="F121" s="2">
        <f>F11/'Output-Calculation-sheet'!F10*'Output-Calculation-sheet'!F100</f>
        <v>15249917620.17561</v>
      </c>
      <c r="G121" s="2">
        <f>G11/'Output-Calculation-sheet'!G10*'Output-Calculation-sheet'!G100</f>
        <v>10714487858.502834</v>
      </c>
      <c r="H121" s="2">
        <f>H11/'Output-Calculation-sheet'!H10*'Output-Calculation-sheet'!H100</f>
        <v>0</v>
      </c>
      <c r="I121" s="2">
        <f>I11/'Output-Calculation-sheet'!I10*'Output-Calculation-sheet'!I100</f>
        <v>9761924531.329464</v>
      </c>
      <c r="J121" s="2">
        <f>J11/'Output-Calculation-sheet'!J10*'Output-Calculation-sheet'!J100</f>
        <v>9501686295.6336479</v>
      </c>
      <c r="K121" s="2">
        <f>K11/'Output-Calculation-sheet'!K10*'Output-Calculation-sheet'!K100</f>
        <v>9410831014.587616</v>
      </c>
      <c r="L121" s="2">
        <f>L11/'Output-Calculation-sheet'!L10*'Output-Calculation-sheet'!L100</f>
        <v>7074280593.5405216</v>
      </c>
      <c r="M121" s="2">
        <f>M11/'Output-Calculation-sheet'!M10*'Output-Calculation-sheet'!M100</f>
        <v>4.82889834006589E-7</v>
      </c>
      <c r="N121" s="2">
        <f>N11/'Output-Calculation-sheet'!N10*'Output-Calculation-sheet'!N100</f>
        <v>2089835904.4592083</v>
      </c>
      <c r="O121" s="2">
        <f>O11/'Output-Calculation-sheet'!O10*'Output-Calculation-sheet'!O100</f>
        <v>0</v>
      </c>
      <c r="P121" s="2">
        <f>P11/'Output-Calculation-sheet'!P10*'Output-Calculation-sheet'!P100</f>
        <v>6442452337.225091</v>
      </c>
      <c r="Q121" s="2">
        <f>Q11/'Output-Calculation-sheet'!Q10*'Output-Calculation-sheet'!Q100</f>
        <v>5069378973.4081287</v>
      </c>
      <c r="R121" s="2">
        <f>R11/'Output-Calculation-sheet'!R10*'Output-Calculation-sheet'!R100</f>
        <v>6097824993.7398939</v>
      </c>
      <c r="S121" s="2">
        <f>S11/'Output-Calculation-sheet'!S10*'Output-Calculation-sheet'!S100</f>
        <v>1600396432.5418723</v>
      </c>
      <c r="T121" s="2">
        <f>T11/'Output-Calculation-sheet'!T10*'Output-Calculation-sheet'!T100</f>
        <v>2241559426.9009914</v>
      </c>
      <c r="U121" s="2">
        <f>U11/'Output-Calculation-sheet'!U10*'Output-Calculation-sheet'!U100</f>
        <v>1953506050.0462294</v>
      </c>
      <c r="V121" s="2">
        <f>V11/'Output-Calculation-sheet'!V10*'Output-Calculation-sheet'!V100</f>
        <v>1503851351.6667173</v>
      </c>
      <c r="W121" s="2">
        <f>W11/'Output-Calculation-sheet'!W10*'Output-Calculation-sheet'!W100</f>
        <v>1301674846.4726267</v>
      </c>
      <c r="X121" s="2">
        <f>X11/'Output-Calculation-sheet'!X10*'Output-Calculation-sheet'!X100</f>
        <v>57785916.806373805</v>
      </c>
      <c r="Y121" s="2">
        <f>Y11/'Output-Calculation-sheet'!Y10*'Output-Calculation-sheet'!Y100</f>
        <v>728224354.34798813</v>
      </c>
      <c r="AA121" s="2">
        <f t="shared" si="10"/>
        <v>186876.80996921592</v>
      </c>
    </row>
    <row r="122" spans="1:27" x14ac:dyDescent="0.25">
      <c r="A122" s="2">
        <v>2035</v>
      </c>
      <c r="B122" s="2">
        <f>B12/'Output-Calculation-sheet'!B11*'Output-Calculation-sheet'!B101</f>
        <v>33701294269.496475</v>
      </c>
      <c r="C122" s="2">
        <f>C12/'Output-Calculation-sheet'!C11*'Output-Calculation-sheet'!C101</f>
        <v>0</v>
      </c>
      <c r="D122" s="2">
        <f>D12/'Output-Calculation-sheet'!D11*'Output-Calculation-sheet'!D101</f>
        <v>26185280697.044987</v>
      </c>
      <c r="E122" s="2">
        <f>E12/'Output-Calculation-sheet'!E11*'Output-Calculation-sheet'!E101</f>
        <v>18505791354.477402</v>
      </c>
      <c r="F122" s="2">
        <f>F12/'Output-Calculation-sheet'!F11*'Output-Calculation-sheet'!F101</f>
        <v>13771515617.93405</v>
      </c>
      <c r="G122" s="2">
        <f>G12/'Output-Calculation-sheet'!G11*'Output-Calculation-sheet'!G101</f>
        <v>9533586009.4739914</v>
      </c>
      <c r="H122" s="2">
        <f>H12/'Output-Calculation-sheet'!H11*'Output-Calculation-sheet'!H101</f>
        <v>0</v>
      </c>
      <c r="I122" s="2">
        <f>I12/'Output-Calculation-sheet'!I11*'Output-Calculation-sheet'!I101</f>
        <v>8709429987.0378017</v>
      </c>
      <c r="J122" s="2">
        <f>J12/'Output-Calculation-sheet'!J11*'Output-Calculation-sheet'!J101</f>
        <v>8398158827.7735147</v>
      </c>
      <c r="K122" s="2">
        <f>K12/'Output-Calculation-sheet'!K11*'Output-Calculation-sheet'!K101</f>
        <v>8444928595.9398251</v>
      </c>
      <c r="L122" s="2">
        <f>L12/'Output-Calculation-sheet'!L11*'Output-Calculation-sheet'!L101</f>
        <v>5811586862.4252062</v>
      </c>
      <c r="M122" s="2">
        <f>M12/'Output-Calculation-sheet'!M11*'Output-Calculation-sheet'!M101</f>
        <v>0</v>
      </c>
      <c r="N122" s="2">
        <f>N12/'Output-Calculation-sheet'!N11*'Output-Calculation-sheet'!N101</f>
        <v>1635413829.3270543</v>
      </c>
      <c r="O122" s="2">
        <f>O12/'Output-Calculation-sheet'!O11*'Output-Calculation-sheet'!O101</f>
        <v>0</v>
      </c>
      <c r="P122" s="2">
        <f>P12/'Output-Calculation-sheet'!P11*'Output-Calculation-sheet'!P101</f>
        <v>5628526808.4692497</v>
      </c>
      <c r="Q122" s="2">
        <f>Q12/'Output-Calculation-sheet'!Q11*'Output-Calculation-sheet'!Q101</f>
        <v>3992532380.2696347</v>
      </c>
      <c r="R122" s="2">
        <f>R12/'Output-Calculation-sheet'!R11*'Output-Calculation-sheet'!R101</f>
        <v>5503782564.3162556</v>
      </c>
      <c r="S122" s="2">
        <f>S12/'Output-Calculation-sheet'!S11*'Output-Calculation-sheet'!S101</f>
        <v>1206560042.2987261</v>
      </c>
      <c r="T122" s="2">
        <f>T12/'Output-Calculation-sheet'!T11*'Output-Calculation-sheet'!T101</f>
        <v>2052478589.107492</v>
      </c>
      <c r="U122" s="2">
        <f>U12/'Output-Calculation-sheet'!U11*'Output-Calculation-sheet'!U101</f>
        <v>1666302942.5459735</v>
      </c>
      <c r="V122" s="2">
        <f>V12/'Output-Calculation-sheet'!V11*'Output-Calculation-sheet'!V101</f>
        <v>1384172056.8370607</v>
      </c>
      <c r="W122" s="2">
        <f>W12/'Output-Calculation-sheet'!W11*'Output-Calculation-sheet'!W101</f>
        <v>1206989396.0726237</v>
      </c>
      <c r="X122" s="2">
        <f>X12/'Output-Calculation-sheet'!X11*'Output-Calculation-sheet'!X101</f>
        <v>44448823.985698864</v>
      </c>
      <c r="Y122" s="2">
        <f>Y12/'Output-Calculation-sheet'!Y11*'Output-Calculation-sheet'!Y101</f>
        <v>544905229.3026495</v>
      </c>
      <c r="AA122" s="2">
        <f t="shared" si="10"/>
        <v>157927.68488413561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46663084199.86869</v>
      </c>
      <c r="C129" s="2">
        <f>C8/'Output-Calculation-sheet'!C7*'Output-Calculation-sheet'!C106</f>
        <v>21989997688.944241</v>
      </c>
      <c r="D129" s="2">
        <f>D8/'Output-Calculation-sheet'!D7*'Output-Calculation-sheet'!D106</f>
        <v>19599032702.148422</v>
      </c>
      <c r="E129" s="2">
        <f>E8/'Output-Calculation-sheet'!E7*'Output-Calculation-sheet'!E106</f>
        <v>15549843602.063107</v>
      </c>
      <c r="F129" s="2">
        <f>F8/'Output-Calculation-sheet'!F7*'Output-Calculation-sheet'!F106</f>
        <v>10009992327.383852</v>
      </c>
      <c r="G129" s="2">
        <f>G8/'Output-Calculation-sheet'!G7*'Output-Calculation-sheet'!G106</f>
        <v>7033295326.0443878</v>
      </c>
      <c r="H129" s="2">
        <f>H8/'Output-Calculation-sheet'!H7*'Output-Calculation-sheet'!H106</f>
        <v>6860709604.9728327</v>
      </c>
      <c r="I129" s="2">
        <f>I8/'Output-Calculation-sheet'!I7*'Output-Calculation-sheet'!I106</f>
        <v>6407885683.3494644</v>
      </c>
      <c r="J129" s="2">
        <f>J8/'Output-Calculation-sheet'!J7*'Output-Calculation-sheet'!J106</f>
        <v>6236994575.8971672</v>
      </c>
      <c r="K129" s="2">
        <f>K8/'Output-Calculation-sheet'!K7*'Output-Calculation-sheet'!K106</f>
        <v>6177200584.1589136</v>
      </c>
      <c r="L129" s="2">
        <f>L8/'Output-Calculation-sheet'!L7*'Output-Calculation-sheet'!L106</f>
        <v>4955430629.3398447</v>
      </c>
      <c r="M129" s="2">
        <f>M8/'Output-Calculation-sheet'!M7*'Output-Calculation-sheet'!M106</f>
        <v>4733291558.1008139</v>
      </c>
      <c r="N129" s="2">
        <f>N8/'Output-Calculation-sheet'!N7*'Output-Calculation-sheet'!N106</f>
        <v>4645712894.2602406</v>
      </c>
      <c r="O129" s="2">
        <f>O8/'Output-Calculation-sheet'!O7*'Output-Calculation-sheet'!O106</f>
        <v>4272674807.489852</v>
      </c>
      <c r="P129" s="2">
        <f>P8/'Output-Calculation-sheet'!P7*'Output-Calculation-sheet'!P106</f>
        <v>4229204551.0106497</v>
      </c>
      <c r="Q129" s="2">
        <f>Q8/'Output-Calculation-sheet'!Q7*'Output-Calculation-sheet'!Q106</f>
        <v>4160852981.7298369</v>
      </c>
      <c r="R129" s="2">
        <f>R8/'Output-Calculation-sheet'!R7*'Output-Calculation-sheet'!R106</f>
        <v>4002931927.1973677</v>
      </c>
      <c r="S129" s="2">
        <f>S8/'Output-Calculation-sheet'!S7*'Output-Calculation-sheet'!S106</f>
        <v>2660553619.7365322</v>
      </c>
      <c r="T129" s="2">
        <f>T8/'Output-Calculation-sheet'!T7*'Output-Calculation-sheet'!T106</f>
        <v>1471443643.8522987</v>
      </c>
      <c r="U129" s="2">
        <f>U8/'Output-Calculation-sheet'!U7*'Output-Calculation-sheet'!U106</f>
        <v>1281576885.0396712</v>
      </c>
      <c r="V129" s="2">
        <f>V8/'Output-Calculation-sheet'!V7*'Output-Calculation-sheet'!V106</f>
        <v>986840220.80827701</v>
      </c>
      <c r="W129" s="2">
        <f>W8/'Output-Calculation-sheet'!W7*'Output-Calculation-sheet'!W106</f>
        <v>854384589.76477957</v>
      </c>
      <c r="X129" s="2">
        <f>X8/'Output-Calculation-sheet'!X7*'Output-Calculation-sheet'!X106</f>
        <v>512630854.6679579</v>
      </c>
      <c r="Y129" s="2">
        <f>Y8/'Output-Calculation-sheet'!Y7*'Output-Calculation-sheet'!Y106</f>
        <v>498528476.8131578</v>
      </c>
      <c r="AA129" s="2">
        <f t="shared" si="11"/>
        <v>185794.09393464233</v>
      </c>
    </row>
    <row r="130" spans="1:27" x14ac:dyDescent="0.25">
      <c r="A130" s="2">
        <v>2032</v>
      </c>
      <c r="B130" s="2">
        <f>B9/'Output-Calculation-sheet'!B8*'Output-Calculation-sheet'!B107</f>
        <v>35834023434.401833</v>
      </c>
      <c r="C130" s="2">
        <f>C9/'Output-Calculation-sheet'!C8*'Output-Calculation-sheet'!C107</f>
        <v>16886791708.602188</v>
      </c>
      <c r="D130" s="2">
        <f>D9/'Output-Calculation-sheet'!D8*'Output-Calculation-sheet'!D107</f>
        <v>15050698561.304518</v>
      </c>
      <c r="E130" s="2">
        <f>E9/'Output-Calculation-sheet'!E8*'Output-Calculation-sheet'!E107</f>
        <v>11941200450.711704</v>
      </c>
      <c r="F130" s="2">
        <f>F9/'Output-Calculation-sheet'!F8*'Output-Calculation-sheet'!F107</f>
        <v>7686983202.504509</v>
      </c>
      <c r="G130" s="2">
        <f>G9/'Output-Calculation-sheet'!G8*'Output-Calculation-sheet'!G107</f>
        <v>5401085391.1516151</v>
      </c>
      <c r="H130" s="2">
        <f>H9/'Output-Calculation-sheet'!H8*'Output-Calculation-sheet'!H107</f>
        <v>5268550096.4887743</v>
      </c>
      <c r="I130" s="2">
        <f>I9/'Output-Calculation-sheet'!I8*'Output-Calculation-sheet'!I107</f>
        <v>4920813300.6223783</v>
      </c>
      <c r="J130" s="2">
        <f>J9/'Output-Calculation-sheet'!J8*'Output-Calculation-sheet'!J107</f>
        <v>4789578873.7902861</v>
      </c>
      <c r="K130" s="2">
        <f>K9/'Output-Calculation-sheet'!K8*'Output-Calculation-sheet'!K107</f>
        <v>4743662479.1860476</v>
      </c>
      <c r="L130" s="2">
        <f>L9/'Output-Calculation-sheet'!L8*'Output-Calculation-sheet'!L107</f>
        <v>3805428215.9989424</v>
      </c>
      <c r="M130" s="2">
        <f>M9/'Output-Calculation-sheet'!M8*'Output-Calculation-sheet'!M107</f>
        <v>3634841228.4812346</v>
      </c>
      <c r="N130" s="2">
        <f>N9/'Output-Calculation-sheet'!N8*'Output-Calculation-sheet'!N107</f>
        <v>3567584556.3705525</v>
      </c>
      <c r="O130" s="2">
        <f>O9/'Output-Calculation-sheet'!O8*'Output-Calculation-sheet'!O107</f>
        <v>3281118938.9688783</v>
      </c>
      <c r="P130" s="2">
        <f>P9/'Output-Calculation-sheet'!P8*'Output-Calculation-sheet'!P107</f>
        <v>3247735935.1250296</v>
      </c>
      <c r="Q130" s="2">
        <f>Q9/'Output-Calculation-sheet'!Q8*'Output-Calculation-sheet'!Q107</f>
        <v>3195248298.0261507</v>
      </c>
      <c r="R130" s="2">
        <f>R9/'Output-Calculation-sheet'!R8*'Output-Calculation-sheet'!R107</f>
        <v>3073975448.5519319</v>
      </c>
      <c r="S130" s="2">
        <f>S9/'Output-Calculation-sheet'!S8*'Output-Calculation-sheet'!S107</f>
        <v>2043121287.6526694</v>
      </c>
      <c r="T130" s="2">
        <f>T9/'Output-Calculation-sheet'!T8*'Output-Calculation-sheet'!T107</f>
        <v>1129967017.1844547</v>
      </c>
      <c r="U130" s="2">
        <f>U9/'Output-Calculation-sheet'!U8*'Output-Calculation-sheet'!U107</f>
        <v>984162340.35608613</v>
      </c>
      <c r="V130" s="2">
        <f>V9/'Output-Calculation-sheet'!V8*'Output-Calculation-sheet'!V107</f>
        <v>757824685.11409879</v>
      </c>
      <c r="W130" s="2">
        <f>W9/'Output-Calculation-sheet'!W8*'Output-Calculation-sheet'!W107</f>
        <v>656108398.73512173</v>
      </c>
      <c r="X130" s="2">
        <f>X9/'Output-Calculation-sheet'!X8*'Output-Calculation-sheet'!X107</f>
        <v>393664961.99936503</v>
      </c>
      <c r="Y130" s="2">
        <f>Y9/'Output-Calculation-sheet'!Y8*'Output-Calculation-sheet'!Y107</f>
        <v>382835313.73542446</v>
      </c>
      <c r="AA130" s="2">
        <f t="shared" si="11"/>
        <v>142677.00412506374</v>
      </c>
    </row>
    <row r="131" spans="1:27" x14ac:dyDescent="0.25">
      <c r="A131" s="2">
        <v>2033</v>
      </c>
      <c r="B131" s="2">
        <f>B10/'Output-Calculation-sheet'!B9*'Output-Calculation-sheet'!B108</f>
        <v>22817180514.439781</v>
      </c>
      <c r="C131" s="2">
        <f>C10/'Output-Calculation-sheet'!C9*'Output-Calculation-sheet'!C108</f>
        <v>13352484725.329746</v>
      </c>
      <c r="D131" s="2">
        <f>D10/'Output-Calculation-sheet'!D9*'Output-Calculation-sheet'!D108</f>
        <v>9583478565.9281445</v>
      </c>
      <c r="E131" s="2">
        <f>E10/'Output-Calculation-sheet'!E9*'Output-Calculation-sheet'!E108</f>
        <v>7603514769.4987173</v>
      </c>
      <c r="F131" s="2">
        <f>F10/'Output-Calculation-sheet'!F9*'Output-Calculation-sheet'!F108</f>
        <v>4894655306.6124573</v>
      </c>
      <c r="G131" s="2">
        <f>G10/'Output-Calculation-sheet'!G9*'Output-Calculation-sheet'!G108</f>
        <v>3439119148.6150723</v>
      </c>
      <c r="H131" s="2">
        <f>H10/'Output-Calculation-sheet'!H9*'Output-Calculation-sheet'!H108</f>
        <v>3354728712.7525506</v>
      </c>
      <c r="I131" s="2">
        <f>I10/'Output-Calculation-sheet'!I9*'Output-Calculation-sheet'!I108</f>
        <v>3133309470.7706962</v>
      </c>
      <c r="J131" s="2">
        <f>J10/'Output-Calculation-sheet'!J9*'Output-Calculation-sheet'!J108</f>
        <v>3049746453.3228841</v>
      </c>
      <c r="K131" s="2">
        <f>K10/'Output-Calculation-sheet'!K9*'Output-Calculation-sheet'!K108</f>
        <v>3020508570.8757076</v>
      </c>
      <c r="L131" s="2">
        <f>L10/'Output-Calculation-sheet'!L9*'Output-Calculation-sheet'!L108</f>
        <v>2423092195.0311289</v>
      </c>
      <c r="M131" s="2">
        <f>M10/'Output-Calculation-sheet'!M9*'Output-Calculation-sheet'!M108</f>
        <v>2314470369.694788</v>
      </c>
      <c r="N131" s="2">
        <f>N10/'Output-Calculation-sheet'!N9*'Output-Calculation-sheet'!N108</f>
        <v>2271645543.3165808</v>
      </c>
      <c r="O131" s="2">
        <f>O10/'Output-Calculation-sheet'!O9*'Output-Calculation-sheet'!O108</f>
        <v>2946761344.0668583</v>
      </c>
      <c r="P131" s="2">
        <f>P10/'Output-Calculation-sheet'!P9*'Output-Calculation-sheet'!P108</f>
        <v>2067984266.3013358</v>
      </c>
      <c r="Q131" s="2">
        <f>Q10/'Output-Calculation-sheet'!Q9*'Output-Calculation-sheet'!Q108</f>
        <v>2034561883.9053752</v>
      </c>
      <c r="R131" s="2">
        <f>R10/'Output-Calculation-sheet'!R9*'Output-Calculation-sheet'!R108</f>
        <v>1957341360.3790166</v>
      </c>
      <c r="S131" s="2">
        <f>S10/'Output-Calculation-sheet'!S9*'Output-Calculation-sheet'!S108</f>
        <v>1300949842.7819295</v>
      </c>
      <c r="T131" s="2">
        <f>T10/'Output-Calculation-sheet'!T9*'Output-Calculation-sheet'!T108</f>
        <v>719501711.05735672</v>
      </c>
      <c r="U131" s="2">
        <f>U10/'Output-Calculation-sheet'!U9*'Output-Calculation-sheet'!U108</f>
        <v>626661529.40306294</v>
      </c>
      <c r="V131" s="2">
        <f>V10/'Output-Calculation-sheet'!V9*'Output-Calculation-sheet'!V108</f>
        <v>482541910.73920709</v>
      </c>
      <c r="W131" s="2">
        <f>W10/'Output-Calculation-sheet'!W9*'Output-Calculation-sheet'!W108</f>
        <v>417774352.8074258</v>
      </c>
      <c r="X131" s="2">
        <f>X10/'Output-Calculation-sheet'!X9*'Output-Calculation-sheet'!X108</f>
        <v>250664562.72102505</v>
      </c>
      <c r="Y131" s="2">
        <f>Y10/'Output-Calculation-sheet'!Y9*'Output-Calculation-sheet'!Y108</f>
        <v>243768828.74448282</v>
      </c>
      <c r="AA131" s="2">
        <f t="shared" si="11"/>
        <v>94306.445939095342</v>
      </c>
    </row>
    <row r="132" spans="1:27" x14ac:dyDescent="0.25">
      <c r="A132" s="2">
        <v>2034</v>
      </c>
      <c r="B132" s="2">
        <f>B11/'Output-Calculation-sheet'!B10*'Output-Calculation-sheet'!B109</f>
        <v>10155740791.225868</v>
      </c>
      <c r="C132" s="2">
        <f>C11/'Output-Calculation-sheet'!C10*'Output-Calculation-sheet'!C109</f>
        <v>11469811217.287502</v>
      </c>
      <c r="D132" s="2">
        <f>D11/'Output-Calculation-sheet'!D10*'Output-Calculation-sheet'!D109</f>
        <v>4265528078.7896309</v>
      </c>
      <c r="E132" s="2">
        <f>E11/'Output-Calculation-sheet'!E10*'Output-Calculation-sheet'!E109</f>
        <v>3384263413.8377395</v>
      </c>
      <c r="F132" s="2">
        <f>F11/'Output-Calculation-sheet'!F10*'Output-Calculation-sheet'!F109</f>
        <v>2178571802.6043053</v>
      </c>
      <c r="G132" s="2">
        <f>G11/'Output-Calculation-sheet'!G10*'Output-Calculation-sheet'!G109</f>
        <v>1530724577.021338</v>
      </c>
      <c r="H132" s="2">
        <f>H11/'Output-Calculation-sheet'!H10*'Output-Calculation-sheet'!H109</f>
        <v>1493162831.93962</v>
      </c>
      <c r="I132" s="2">
        <f>I11/'Output-Calculation-sheet'!I10*'Output-Calculation-sheet'!I109</f>
        <v>1394610473.653677</v>
      </c>
      <c r="J132" s="2">
        <f>J11/'Output-Calculation-sheet'!J10*'Output-Calculation-sheet'!J109</f>
        <v>1357417462.4798157</v>
      </c>
      <c r="K132" s="2">
        <f>K11/'Output-Calculation-sheet'!K10*'Output-Calculation-sheet'!K109</f>
        <v>1344404340.0234854</v>
      </c>
      <c r="L132" s="2">
        <f>L11/'Output-Calculation-sheet'!L10*'Output-Calculation-sheet'!L109</f>
        <v>1078498725.133199</v>
      </c>
      <c r="M132" s="2">
        <f>M11/'Output-Calculation-sheet'!M10*'Output-Calculation-sheet'!M109</f>
        <v>1030152190.4041722</v>
      </c>
      <c r="N132" s="2">
        <f>N11/'Output-Calculation-sheet'!N10*'Output-Calculation-sheet'!N109</f>
        <v>1011091517.2566924</v>
      </c>
      <c r="O132" s="2">
        <f>O11/'Output-Calculation-sheet'!O10*'Output-Calculation-sheet'!O109</f>
        <v>2510186299.464427</v>
      </c>
      <c r="P132" s="2">
        <f>P11/'Output-Calculation-sheet'!P10*'Output-Calculation-sheet'!P109</f>
        <v>920442913.99946237</v>
      </c>
      <c r="Q132" s="2">
        <f>Q11/'Output-Calculation-sheet'!Q10*'Output-Calculation-sheet'!Q109</f>
        <v>905567032.03053892</v>
      </c>
      <c r="R132" s="2">
        <f>R11/'Output-Calculation-sheet'!R10*'Output-Calculation-sheet'!R109</f>
        <v>871197070.10883939</v>
      </c>
      <c r="S132" s="2">
        <f>S11/'Output-Calculation-sheet'!S10*'Output-Calculation-sheet'!S109</f>
        <v>579042246.45251262</v>
      </c>
      <c r="T132" s="2">
        <f>T11/'Output-Calculation-sheet'!T10*'Output-Calculation-sheet'!T109</f>
        <v>320244539.11920923</v>
      </c>
      <c r="U132" s="2">
        <f>U11/'Output-Calculation-sheet'!U10*'Output-Calculation-sheet'!U109</f>
        <v>278922062.26118028</v>
      </c>
      <c r="V132" s="2">
        <f>V11/'Output-Calculation-sheet'!V10*'Output-Calculation-sheet'!V109</f>
        <v>214775566.3706269</v>
      </c>
      <c r="W132" s="2">
        <f>W11/'Output-Calculation-sheet'!W10*'Output-Calculation-sheet'!W109</f>
        <v>185948041.49606356</v>
      </c>
      <c r="X132" s="2">
        <f>X11/'Output-Calculation-sheet'!X10*'Output-Calculation-sheet'!X109</f>
        <v>125976560.7915279</v>
      </c>
      <c r="Y132" s="2">
        <f>Y11/'Output-Calculation-sheet'!Y10*'Output-Calculation-sheet'!Y109</f>
        <v>108499583.45303299</v>
      </c>
      <c r="AA132" s="2">
        <f t="shared" si="11"/>
        <v>48714.779337204469</v>
      </c>
    </row>
    <row r="133" spans="1:27" x14ac:dyDescent="0.25">
      <c r="A133" s="2">
        <v>2035</v>
      </c>
      <c r="B133" s="2">
        <f>B12/'Output-Calculation-sheet'!B11*'Output-Calculation-sheet'!B110</f>
        <v>5642771692.9906187</v>
      </c>
      <c r="C133" s="2">
        <f>C12/'Output-Calculation-sheet'!C11*'Output-Calculation-sheet'!C110</f>
        <v>9064670960.467392</v>
      </c>
      <c r="D133" s="2">
        <f>D12/'Output-Calculation-sheet'!D11*'Output-Calculation-sheet'!D110</f>
        <v>2463016794.3157945</v>
      </c>
      <c r="E133" s="2">
        <f>E12/'Output-Calculation-sheet'!E11*'Output-Calculation-sheet'!E110</f>
        <v>1180043362.1510897</v>
      </c>
      <c r="F133" s="2">
        <f>F12/'Output-Calculation-sheet'!F11*'Output-Calculation-sheet'!F110</f>
        <v>900449275.82988834</v>
      </c>
      <c r="G133" s="2">
        <f>G12/'Output-Calculation-sheet'!G11*'Output-Calculation-sheet'!G110</f>
        <v>840633479.24615026</v>
      </c>
      <c r="H133" s="2">
        <f>H12/'Output-Calculation-sheet'!H11*'Output-Calculation-sheet'!H110</f>
        <v>1167899737.9050694</v>
      </c>
      <c r="I133" s="2">
        <f>I12/'Output-Calculation-sheet'!I11*'Output-Calculation-sheet'!I110</f>
        <v>694729930.3920244</v>
      </c>
      <c r="J133" s="2">
        <f>J12/'Output-Calculation-sheet'!J11*'Output-Calculation-sheet'!J110</f>
        <v>676584714.10843635</v>
      </c>
      <c r="K133" s="2">
        <f>K12/'Output-Calculation-sheet'!K11*'Output-Calculation-sheet'!K110</f>
        <v>585393131.97711504</v>
      </c>
      <c r="L133" s="2">
        <f>L12/'Output-Calculation-sheet'!L11*'Output-Calculation-sheet'!L110</f>
        <v>305969451.08382559</v>
      </c>
      <c r="M133" s="2">
        <f>M12/'Output-Calculation-sheet'!M11*'Output-Calculation-sheet'!M110</f>
        <v>620830183.296242</v>
      </c>
      <c r="N133" s="2">
        <f>N12/'Output-Calculation-sheet'!N11*'Output-Calculation-sheet'!N110</f>
        <v>559440405.82392013</v>
      </c>
      <c r="O133" s="2">
        <f>O12/'Output-Calculation-sheet'!O11*'Output-Calculation-sheet'!O110</f>
        <v>1990855500.1994302</v>
      </c>
      <c r="P133" s="2">
        <f>P12/'Output-Calculation-sheet'!P11*'Output-Calculation-sheet'!P110</f>
        <v>412261206.22933745</v>
      </c>
      <c r="Q133" s="2">
        <f>Q12/'Output-Calculation-sheet'!Q11*'Output-Calculation-sheet'!Q110</f>
        <v>568935929.23289084</v>
      </c>
      <c r="R133" s="2">
        <f>R12/'Output-Calculation-sheet'!R11*'Output-Calculation-sheet'!R110</f>
        <v>348213731.55811334</v>
      </c>
      <c r="S133" s="2">
        <f>S12/'Output-Calculation-sheet'!S11*'Output-Calculation-sheet'!S110</f>
        <v>341548733.82914621</v>
      </c>
      <c r="T133" s="2">
        <f>T12/'Output-Calculation-sheet'!T11*'Output-Calculation-sheet'!T110</f>
        <v>90156903.679451212</v>
      </c>
      <c r="U133" s="2">
        <f>U12/'Output-Calculation-sheet'!U11*'Output-Calculation-sheet'!U110</f>
        <v>177618063.60751933</v>
      </c>
      <c r="V133" s="2">
        <f>V12/'Output-Calculation-sheet'!V11*'Output-Calculation-sheet'!V110</f>
        <v>38841628.419997573</v>
      </c>
      <c r="W133" s="2">
        <f>W12/'Output-Calculation-sheet'!W11*'Output-Calculation-sheet'!W110</f>
        <v>48171172.972754598</v>
      </c>
      <c r="X133" s="2">
        <f>X12/'Output-Calculation-sheet'!X11*'Output-Calculation-sheet'!X110</f>
        <v>97753782.988823295</v>
      </c>
      <c r="Y133" s="2">
        <f>Y12/'Output-Calculation-sheet'!Y11*'Output-Calculation-sheet'!Y110</f>
        <v>42222579.43597807</v>
      </c>
      <c r="AA133" s="2">
        <f t="shared" si="11"/>
        <v>28859.012351741014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1057.8798297091118</v>
      </c>
      <c r="C19" s="2">
        <f>C8/'Output-Calculation-sheet'!C7*'Output-Calculation-sheet'!C25</f>
        <v>15945.674056923051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4757.1090276906543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3297.9510938160101</v>
      </c>
      <c r="N19" s="2">
        <f>N8/'Output-Calculation-sheet'!N7*'Output-Calculation-sheet'!N25</f>
        <v>1129.0970656783545</v>
      </c>
      <c r="O19" s="2">
        <f>O8/'Output-Calculation-sheet'!O7*'Output-Calculation-sheet'!O25</f>
        <v>3084.2159637046375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402.87965715924202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368.48019151246353</v>
      </c>
      <c r="Y19" s="2">
        <f>Y8/'Output-Calculation-sheet'!Y7*'Output-Calculation-sheet'!Y25</f>
        <v>0</v>
      </c>
      <c r="AA19" s="2">
        <f t="shared" si="0"/>
        <v>30.043286886193524</v>
      </c>
    </row>
    <row r="20" spans="1:27" x14ac:dyDescent="0.25">
      <c r="A20" s="2">
        <v>2032</v>
      </c>
      <c r="B20" s="2">
        <f>B9/'Output-Calculation-sheet'!B8*'Output-Calculation-sheet'!B26</f>
        <v>5899.5817009296634</v>
      </c>
      <c r="C20" s="2">
        <f>C9/'Output-Calculation-sheet'!C8*'Output-Calculation-sheet'!C26</f>
        <v>21605.104826613999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6410.6263214696337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4460.2478635781454</v>
      </c>
      <c r="N20" s="2">
        <f>N9/'Output-Calculation-sheet'!N8*'Output-Calculation-sheet'!N26</f>
        <v>2012.6660994006238</v>
      </c>
      <c r="O20" s="2">
        <f>O9/'Output-Calculation-sheet'!O8*'Output-Calculation-sheet'!O26</f>
        <v>4209.6605210087046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731.45750323788934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499.00688192217126</v>
      </c>
      <c r="Y20" s="2">
        <f>Y9/'Output-Calculation-sheet'!Y8*'Output-Calculation-sheet'!Y26</f>
        <v>0</v>
      </c>
      <c r="AA20" s="2">
        <f t="shared" si="0"/>
        <v>45.828351718160832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26231.514481420192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8071.6001587281316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5606.3762929848499</v>
      </c>
      <c r="N21" s="2">
        <f>N10/'Output-Calculation-sheet'!N9*'Output-Calculation-sheet'!N27</f>
        <v>3066.5183495507072</v>
      </c>
      <c r="O21" s="2">
        <f>O10/'Output-Calculation-sheet'!O9*'Output-Calculation-sheet'!O27</f>
        <v>4627.3156739066289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1334.9582641288696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659.2768407900453</v>
      </c>
      <c r="Y21" s="2">
        <f>Y10/'Output-Calculation-sheet'!Y9*'Output-Calculation-sheet'!Y27</f>
        <v>0</v>
      </c>
      <c r="AA21" s="2">
        <f t="shared" si="0"/>
        <v>63.768266315822714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27614.076451283247</v>
      </c>
      <c r="D22" s="2">
        <f>D11/'Output-Calculation-sheet'!D10*'Output-Calculation-sheet'!D28</f>
        <v>0</v>
      </c>
      <c r="E22" s="2">
        <f>E11/'Output-Calculation-sheet'!E10*'Output-Calculation-sheet'!E28</f>
        <v>1360.7633572823584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10877.911778243901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824.8934469039624</v>
      </c>
      <c r="M22" s="2">
        <f>M11/'Output-Calculation-sheet'!M10*'Output-Calculation-sheet'!M28</f>
        <v>7495.9630944776036</v>
      </c>
      <c r="N22" s="2">
        <f>N11/'Output-Calculation-sheet'!N10*'Output-Calculation-sheet'!N28</f>
        <v>4313.9685158117018</v>
      </c>
      <c r="O22" s="2">
        <f>O11/'Output-Calculation-sheet'!O10*'Output-Calculation-sheet'!O28</f>
        <v>4941.8575685829401</v>
      </c>
      <c r="P22" s="2">
        <f>P11/'Output-Calculation-sheet'!P10*'Output-Calculation-sheet'!P28</f>
        <v>0</v>
      </c>
      <c r="Q22" s="2">
        <f>Q11/'Output-Calculation-sheet'!Q10*'Output-Calculation-sheet'!Q28</f>
        <v>1617.9089102370397</v>
      </c>
      <c r="R22" s="2">
        <f>R11/'Output-Calculation-sheet'!R10*'Output-Calculation-sheet'!R28</f>
        <v>0</v>
      </c>
      <c r="S22" s="2">
        <f>S11/'Output-Calculation-sheet'!S10*'Output-Calculation-sheet'!S28</f>
        <v>2187.7949719560452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756.88660165993281</v>
      </c>
      <c r="Y22" s="2">
        <f>Y11/'Output-Calculation-sheet'!Y10*'Output-Calculation-sheet'!Y28</f>
        <v>75.29163361690982</v>
      </c>
      <c r="AA22" s="2">
        <f t="shared" si="0"/>
        <v>89.148896650374567</v>
      </c>
    </row>
    <row r="23" spans="1:27" x14ac:dyDescent="0.25">
      <c r="A23" s="2">
        <v>2035</v>
      </c>
      <c r="B23" s="2">
        <f>B12/'Output-Calculation-sheet'!B11*'Output-Calculation-sheet'!B29</f>
        <v>33403.291233841119</v>
      </c>
      <c r="C23" s="2">
        <f>C12/'Output-Calculation-sheet'!C11*'Output-Calculation-sheet'!C29</f>
        <v>28567.94524522376</v>
      </c>
      <c r="D23" s="2">
        <f>D12/'Output-Calculation-sheet'!D11*'Output-Calculation-sheet'!D29</f>
        <v>0</v>
      </c>
      <c r="E23" s="2">
        <f>E12/'Output-Calculation-sheet'!E11*'Output-Calculation-sheet'!E29</f>
        <v>6378.2418469443164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11083.966156281907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1865.4690569167292</v>
      </c>
      <c r="M23" s="2">
        <f>M12/'Output-Calculation-sheet'!M11*'Output-Calculation-sheet'!M29</f>
        <v>8386.3152756110321</v>
      </c>
      <c r="N23" s="2">
        <f>N12/'Output-Calculation-sheet'!N11*'Output-Calculation-sheet'!N29</f>
        <v>4901.7457588980142</v>
      </c>
      <c r="O23" s="2">
        <f>O12/'Output-Calculation-sheet'!O11*'Output-Calculation-sheet'!O29</f>
        <v>5110.0822256413167</v>
      </c>
      <c r="P23" s="2">
        <f>P12/'Output-Calculation-sheet'!P11*'Output-Calculation-sheet'!P29</f>
        <v>673.34536682266378</v>
      </c>
      <c r="Q23" s="2">
        <f>Q12/'Output-Calculation-sheet'!Q11*'Output-Calculation-sheet'!Q29</f>
        <v>2145.1726057095948</v>
      </c>
      <c r="R23" s="2">
        <f>R12/'Output-Calculation-sheet'!R11*'Output-Calculation-sheet'!R29</f>
        <v>0</v>
      </c>
      <c r="S23" s="2">
        <f>S12/'Output-Calculation-sheet'!S11*'Output-Calculation-sheet'!S29</f>
        <v>2546.7382313690973</v>
      </c>
      <c r="T23" s="2">
        <f>T12/'Output-Calculation-sheet'!T11*'Output-Calculation-sheet'!T29</f>
        <v>0</v>
      </c>
      <c r="U23" s="2">
        <f>U12/'Output-Calculation-sheet'!U11*'Output-Calculation-sheet'!U29</f>
        <v>147.7926644243563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794.3284298844045</v>
      </c>
      <c r="Y23" s="2">
        <f>Y12/'Output-Calculation-sheet'!Y11*'Output-Calculation-sheet'!Y29</f>
        <v>254.55803937891076</v>
      </c>
      <c r="AA23" s="2">
        <f t="shared" si="0"/>
        <v>106.25899213694723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18438.501783421572</v>
      </c>
      <c r="C30" s="2">
        <f>C8/'Output-Calculation-sheet'!C7*'Output-Calculation-sheet'!C16</f>
        <v>0</v>
      </c>
      <c r="D30" s="2">
        <f>D8/'Output-Calculation-sheet'!D7*'Output-Calculation-sheet'!D16</f>
        <v>3104.7999496947646</v>
      </c>
      <c r="E30" s="2">
        <f>E8/'Output-Calculation-sheet'!E7*'Output-Calculation-sheet'!E16</f>
        <v>3340.5893313249344</v>
      </c>
      <c r="F30" s="2">
        <f>F8/'Output-Calculation-sheet'!F7*'Output-Calculation-sheet'!F16</f>
        <v>1685.3450938385145</v>
      </c>
      <c r="G30" s="2">
        <f>G8/'Output-Calculation-sheet'!G7*'Output-Calculation-sheet'!G16</f>
        <v>1103.7008653048133</v>
      </c>
      <c r="H30" s="2">
        <f>H8/'Output-Calculation-sheet'!H7*'Output-Calculation-sheet'!H16</f>
        <v>0</v>
      </c>
      <c r="I30" s="2">
        <f>I8/'Output-Calculation-sheet'!I7*'Output-Calculation-sheet'!I16</f>
        <v>1075.9430850973195</v>
      </c>
      <c r="J30" s="2">
        <f>J8/'Output-Calculation-sheet'!J7*'Output-Calculation-sheet'!J16</f>
        <v>957.79623217221615</v>
      </c>
      <c r="K30" s="2">
        <f>K8/'Output-Calculation-sheet'!K7*'Output-Calculation-sheet'!K16</f>
        <v>1278.8410429381415</v>
      </c>
      <c r="L30" s="2">
        <f>L8/'Output-Calculation-sheet'!L7*'Output-Calculation-sheet'!L16</f>
        <v>1080.2049133776807</v>
      </c>
      <c r="M30" s="2">
        <f>M8/'Output-Calculation-sheet'!M7*'Output-Calculation-sheet'!M16</f>
        <v>0</v>
      </c>
      <c r="N30" s="2">
        <f>N8/'Output-Calculation-sheet'!N7*'Output-Calculation-sheet'!N16</f>
        <v>1534.3400735154141</v>
      </c>
      <c r="O30" s="2">
        <f>O8/'Output-Calculation-sheet'!O7*'Output-Calculation-sheet'!O16</f>
        <v>0</v>
      </c>
      <c r="P30" s="2">
        <f>P8/'Output-Calculation-sheet'!P7*'Output-Calculation-sheet'!P16</f>
        <v>1379.0145123573443</v>
      </c>
      <c r="Q30" s="2">
        <f>Q8/'Output-Calculation-sheet'!Q7*'Output-Calculation-sheet'!Q16</f>
        <v>1516.4605304879235</v>
      </c>
      <c r="R30" s="2">
        <f>R8/'Output-Calculation-sheet'!R7*'Output-Calculation-sheet'!R16</f>
        <v>962.20079771458518</v>
      </c>
      <c r="S30" s="2">
        <f>S8/'Output-Calculation-sheet'!S7*'Output-Calculation-sheet'!S16</f>
        <v>967.69185383947774</v>
      </c>
      <c r="T30" s="2">
        <f>T8/'Output-Calculation-sheet'!T7*'Output-Calculation-sheet'!T16</f>
        <v>288.83884856805605</v>
      </c>
      <c r="U30" s="2">
        <f>U8/'Output-Calculation-sheet'!U7*'Output-Calculation-sheet'!U16</f>
        <v>288.32255645053118</v>
      </c>
      <c r="V30" s="2">
        <f>V8/'Output-Calculation-sheet'!V7*'Output-Calculation-sheet'!V16</f>
        <v>224.39596511420564</v>
      </c>
      <c r="W30" s="2">
        <f>W8/'Output-Calculation-sheet'!W7*'Output-Calculation-sheet'!W16</f>
        <v>136.10746521141331</v>
      </c>
      <c r="X30" s="2">
        <f>X8/'Output-Calculation-sheet'!X7*'Output-Calculation-sheet'!X16</f>
        <v>0</v>
      </c>
      <c r="Y30" s="2">
        <f>Y8/'Output-Calculation-sheet'!Y7*'Output-Calculation-sheet'!Y16</f>
        <v>115.19949560482591</v>
      </c>
      <c r="AA30" s="2">
        <f t="shared" si="1"/>
        <v>39.478294396033732</v>
      </c>
    </row>
    <row r="31" spans="1:27" x14ac:dyDescent="0.25">
      <c r="A31" s="2">
        <v>2032</v>
      </c>
      <c r="B31" s="2">
        <f>B9/'Output-Calculation-sheet'!B8*'Output-Calculation-sheet'!B17</f>
        <v>24980.778069735275</v>
      </c>
      <c r="C31" s="2">
        <f>C9/'Output-Calculation-sheet'!C8*'Output-Calculation-sheet'!C17</f>
        <v>0</v>
      </c>
      <c r="D31" s="2">
        <f>D9/'Output-Calculation-sheet'!D8*'Output-Calculation-sheet'!D17</f>
        <v>4189.6044709054777</v>
      </c>
      <c r="E31" s="2">
        <f>E9/'Output-Calculation-sheet'!E8*'Output-Calculation-sheet'!E17</f>
        <v>4924.3076373771637</v>
      </c>
      <c r="F31" s="2">
        <f>F9/'Output-Calculation-sheet'!F8*'Output-Calculation-sheet'!F17</f>
        <v>2274.2532344033225</v>
      </c>
      <c r="G31" s="2">
        <f>G9/'Output-Calculation-sheet'!G8*'Output-Calculation-sheet'!G17</f>
        <v>1489.3519532029698</v>
      </c>
      <c r="H31" s="2">
        <f>H9/'Output-Calculation-sheet'!H8*'Output-Calculation-sheet'!H17</f>
        <v>0</v>
      </c>
      <c r="I31" s="2">
        <f>I9/'Output-Calculation-sheet'!I8*'Output-Calculation-sheet'!I17</f>
        <v>1451.9019523609059</v>
      </c>
      <c r="J31" s="2">
        <f>J9/'Output-Calculation-sheet'!J8*'Output-Calculation-sheet'!J17</f>
        <v>1292.4725913602515</v>
      </c>
      <c r="K31" s="2">
        <f>K9/'Output-Calculation-sheet'!K8*'Output-Calculation-sheet'!K17</f>
        <v>1840.1377999503557</v>
      </c>
      <c r="L31" s="2">
        <f>L9/'Output-Calculation-sheet'!L8*'Output-Calculation-sheet'!L17</f>
        <v>1569.3140553112789</v>
      </c>
      <c r="M31" s="2">
        <f>M9/'Output-Calculation-sheet'!M8*'Output-Calculation-sheet'!M17</f>
        <v>0</v>
      </c>
      <c r="N31" s="2">
        <f>N9/'Output-Calculation-sheet'!N8*'Output-Calculation-sheet'!N17</f>
        <v>1706.0048812192906</v>
      </c>
      <c r="O31" s="2">
        <f>O9/'Output-Calculation-sheet'!O8*'Output-Calculation-sheet'!O17</f>
        <v>0</v>
      </c>
      <c r="P31" s="2">
        <f>P9/'Output-Calculation-sheet'!P8*'Output-Calculation-sheet'!P17</f>
        <v>2117.4168484298302</v>
      </c>
      <c r="Q31" s="2">
        <f>Q9/'Output-Calculation-sheet'!Q8*'Output-Calculation-sheet'!Q17</f>
        <v>2257.3609022271744</v>
      </c>
      <c r="R31" s="2">
        <f>R9/'Output-Calculation-sheet'!R8*'Output-Calculation-sheet'!R17</f>
        <v>1476.8848023775527</v>
      </c>
      <c r="S31" s="2">
        <f>S9/'Output-Calculation-sheet'!S8*'Output-Calculation-sheet'!S17</f>
        <v>1270.7938315181871</v>
      </c>
      <c r="T31" s="2">
        <f>T9/'Output-Calculation-sheet'!T8*'Output-Calculation-sheet'!T17</f>
        <v>400.76348135339271</v>
      </c>
      <c r="U31" s="2">
        <f>U9/'Output-Calculation-sheet'!U8*'Output-Calculation-sheet'!U17</f>
        <v>460.60500409877477</v>
      </c>
      <c r="V31" s="2">
        <f>V9/'Output-Calculation-sheet'!V8*'Output-Calculation-sheet'!V17</f>
        <v>329.90950922812431</v>
      </c>
      <c r="W31" s="2">
        <f>W9/'Output-Calculation-sheet'!W8*'Output-Calculation-sheet'!W17</f>
        <v>183.6684077637706</v>
      </c>
      <c r="X31" s="2">
        <f>X9/'Output-Calculation-sheet'!X8*'Output-Calculation-sheet'!X17</f>
        <v>0</v>
      </c>
      <c r="Y31" s="2">
        <f>Y9/'Output-Calculation-sheet'!Y8*'Output-Calculation-sheet'!Y17</f>
        <v>177.46347412966657</v>
      </c>
      <c r="AA31" s="2">
        <f t="shared" si="1"/>
        <v>54.39299290695277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1725.3825889593945</v>
      </c>
      <c r="O32" s="2">
        <f>O10/'Output-Calculation-sheet'!O9*'Output-Calculation-sheet'!O18</f>
        <v>0</v>
      </c>
      <c r="P32" s="2">
        <f>P10/'Output-Calculation-sheet'!P9*'Output-Calculation-sheet'!P18</f>
        <v>2777.5173515486399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1997.3245870109351</v>
      </c>
      <c r="S32" s="2">
        <f>S10/'Output-Calculation-sheet'!S9*'Output-Calculation-sheet'!S18</f>
        <v>1305.3714126430941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644.78217056078688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68.031868221705452</v>
      </c>
    </row>
    <row r="33" spans="1:27" x14ac:dyDescent="0.25">
      <c r="A33" s="2">
        <v>2034</v>
      </c>
      <c r="B33" s="2">
        <f>B11/'Output-Calculation-sheet'!B10*'Output-Calculation-sheet'!B19</f>
        <v>27316.072309705767</v>
      </c>
      <c r="C33" s="2">
        <f>C11/'Output-Calculation-sheet'!C10*'Output-Calculation-sheet'!C19</f>
        <v>0</v>
      </c>
      <c r="D33" s="2">
        <f>D11/'Output-Calculation-sheet'!D10*'Output-Calculation-sheet'!D19</f>
        <v>8147.2755045553404</v>
      </c>
      <c r="E33" s="2">
        <f>E11/'Output-Calculation-sheet'!E10*'Output-Calculation-sheet'!E19</f>
        <v>10121.231003065881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2773.6920419679523</v>
      </c>
      <c r="H33" s="2">
        <f>H11/'Output-Calculation-sheet'!H10*'Output-Calculation-sheet'!H19</f>
        <v>0</v>
      </c>
      <c r="I33" s="2">
        <f>I11/'Output-Calculation-sheet'!I10*'Output-Calculation-sheet'!I19</f>
        <v>3026.3110945512999</v>
      </c>
      <c r="J33" s="2">
        <f>J11/'Output-Calculation-sheet'!J10*'Output-Calculation-sheet'!J19</f>
        <v>2564.0204752722225</v>
      </c>
      <c r="K33" s="2">
        <f>K11/'Output-Calculation-sheet'!K10*'Output-Calculation-sheet'!K19</f>
        <v>3550.4154849592169</v>
      </c>
      <c r="L33" s="2">
        <f>L11/'Output-Calculation-sheet'!L10*'Output-Calculation-sheet'!L19</f>
        <v>2889.971055471427</v>
      </c>
      <c r="M33" s="2">
        <f>M11/'Output-Calculation-sheet'!M10*'Output-Calculation-sheet'!M19</f>
        <v>0</v>
      </c>
      <c r="N33" s="2">
        <f>N11/'Output-Calculation-sheet'!N10*'Output-Calculation-sheet'!N19</f>
        <v>1632.8661246384463</v>
      </c>
      <c r="O33" s="2">
        <f>O11/'Output-Calculation-sheet'!O10*'Output-Calculation-sheet'!O19</f>
        <v>0</v>
      </c>
      <c r="P33" s="2">
        <f>P11/'Output-Calculation-sheet'!P10*'Output-Calculation-sheet'!P19</f>
        <v>3592.8843890344856</v>
      </c>
      <c r="Q33" s="2">
        <f>Q11/'Output-Calculation-sheet'!Q10*'Output-Calculation-sheet'!Q19</f>
        <v>2876.7800911315298</v>
      </c>
      <c r="R33" s="2">
        <f>R11/'Output-Calculation-sheet'!R10*'Output-Calculation-sheet'!R19</f>
        <v>2565.1514351341971</v>
      </c>
      <c r="S33" s="2">
        <f>S11/'Output-Calculation-sheet'!S10*'Output-Calculation-sheet'!S19</f>
        <v>1198.9703890838193</v>
      </c>
      <c r="T33" s="2">
        <f>T11/'Output-Calculation-sheet'!T10*'Output-Calculation-sheet'!T19</f>
        <v>752.72210045491477</v>
      </c>
      <c r="U33" s="2">
        <f>U11/'Output-Calculation-sheet'!U10*'Output-Calculation-sheet'!U19</f>
        <v>866.32419978864311</v>
      </c>
      <c r="V33" s="2">
        <f>V11/'Output-Calculation-sheet'!V10*'Output-Calculation-sheet'!V19</f>
        <v>591.06865966019234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116.24044225183164</v>
      </c>
      <c r="Y33" s="2">
        <f>Y11/'Output-Calculation-sheet'!Y10*'Output-Calculation-sheet'!Y19</f>
        <v>331.28318791440319</v>
      </c>
      <c r="AA33" s="2">
        <f t="shared" si="1"/>
        <v>79.91229450042519</v>
      </c>
    </row>
    <row r="34" spans="1:27" x14ac:dyDescent="0.25">
      <c r="A34" s="2">
        <v>2035</v>
      </c>
      <c r="B34" s="2">
        <f>B12/'Output-Calculation-sheet'!B11*'Output-Calculation-sheet'!B20</f>
        <v>25897.40105379156</v>
      </c>
      <c r="C34" s="2">
        <f>C12/'Output-Calculation-sheet'!C11*'Output-Calculation-sheet'!C20</f>
        <v>0</v>
      </c>
      <c r="D34" s="2">
        <f>D12/'Output-Calculation-sheet'!D11*'Output-Calculation-sheet'!D20</f>
        <v>8947.5616832890355</v>
      </c>
      <c r="E34" s="2">
        <f>E12/'Output-Calculation-sheet'!E11*'Output-Calculation-sheet'!E20</f>
        <v>8691.6927910942541</v>
      </c>
      <c r="F34" s="2">
        <f>F12/'Output-Calculation-sheet'!F11*'Output-Calculation-sheet'!F20</f>
        <v>5693.7667699026579</v>
      </c>
      <c r="G34" s="2">
        <f>G12/'Output-Calculation-sheet'!G11*'Output-Calculation-sheet'!G20</f>
        <v>3021.1446112522326</v>
      </c>
      <c r="H34" s="2">
        <f>H12/'Output-Calculation-sheet'!H11*'Output-Calculation-sheet'!H20</f>
        <v>0</v>
      </c>
      <c r="I34" s="2">
        <f>I12/'Output-Calculation-sheet'!I11*'Output-Calculation-sheet'!I20</f>
        <v>3475.6105640039177</v>
      </c>
      <c r="J34" s="2">
        <f>J12/'Output-Calculation-sheet'!J11*'Output-Calculation-sheet'!J20</f>
        <v>2949.1480953510418</v>
      </c>
      <c r="K34" s="2">
        <f>K12/'Output-Calculation-sheet'!K11*'Output-Calculation-sheet'!K20</f>
        <v>4153.986817968489</v>
      </c>
      <c r="L34" s="2">
        <f>L12/'Output-Calculation-sheet'!L11*'Output-Calculation-sheet'!L20</f>
        <v>3031.9356454002418</v>
      </c>
      <c r="M34" s="2">
        <f>M12/'Output-Calculation-sheet'!M11*'Output-Calculation-sheet'!M20</f>
        <v>0</v>
      </c>
      <c r="N34" s="2">
        <f>N12/'Output-Calculation-sheet'!N11*'Output-Calculation-sheet'!N20</f>
        <v>1602.9088886397626</v>
      </c>
      <c r="O34" s="2">
        <f>O12/'Output-Calculation-sheet'!O11*'Output-Calculation-sheet'!O20</f>
        <v>0</v>
      </c>
      <c r="P34" s="2">
        <f>P12/'Output-Calculation-sheet'!P11*'Output-Calculation-sheet'!P20</f>
        <v>3617.826880533928</v>
      </c>
      <c r="Q34" s="2">
        <f>Q12/'Output-Calculation-sheet'!Q11*'Output-Calculation-sheet'!Q20</f>
        <v>2681.8120297366395</v>
      </c>
      <c r="R34" s="2">
        <f>R12/'Output-Calculation-sheet'!R11*'Output-Calculation-sheet'!R20</f>
        <v>3044.9968827648831</v>
      </c>
      <c r="S34" s="2">
        <f>S12/'Output-Calculation-sheet'!S11*'Output-Calculation-sheet'!S20</f>
        <v>1114.5219475999561</v>
      </c>
      <c r="T34" s="2">
        <f>T12/'Output-Calculation-sheet'!T11*'Output-Calculation-sheet'!T20</f>
        <v>909.63259815451715</v>
      </c>
      <c r="U34" s="2">
        <f>U12/'Output-Calculation-sheet'!U11*'Output-Calculation-sheet'!U20</f>
        <v>832.47538592907495</v>
      </c>
      <c r="V34" s="2">
        <f>V12/'Output-Calculation-sheet'!V11*'Output-Calculation-sheet'!V20</f>
        <v>804.55980753439326</v>
      </c>
      <c r="W34" s="2">
        <f>W12/'Output-Calculation-sheet'!W11*'Output-Calculation-sheet'!W20</f>
        <v>488.48874358342692</v>
      </c>
      <c r="X34" s="2">
        <f>X12/'Output-Calculation-sheet'!X11*'Output-Calculation-sheet'!X20</f>
        <v>103.35539341514688</v>
      </c>
      <c r="Y34" s="2">
        <f>Y12/'Output-Calculation-sheet'!Y11*'Output-Calculation-sheet'!Y20</f>
        <v>265.15412362673118</v>
      </c>
      <c r="AA34" s="2">
        <f t="shared" si="1"/>
        <v>81.327980713571904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1.1341722770665212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0.22033916161620473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1.3545114386827259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1.1565765369057914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0.22469170657734991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1.4081435561501234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2.308488100792836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0.44847713439555803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11.053137613265461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30857.361995328356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6676.3395241518056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4593.9749098456314</v>
      </c>
      <c r="N52" s="2">
        <f>N8/'Output-Calculation-sheet'!N7*'Output-Calculation-sheet'!N43</f>
        <v>146.8338268352949</v>
      </c>
      <c r="O52" s="2">
        <f>O8/'Output-Calculation-sheet'!O7*'Output-Calculation-sheet'!O43</f>
        <v>6251.6733867506673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594.11141495026482</v>
      </c>
      <c r="Y52" s="2">
        <f>Y8/'Output-Calculation-sheet'!Y7*'Output-Calculation-sheet'!Y43</f>
        <v>0</v>
      </c>
      <c r="AA52" s="2">
        <f t="shared" si="3"/>
        <v>49.12029505786203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54916.456616929703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12861.859790249715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8789.7382901157162</v>
      </c>
      <c r="N53" s="2">
        <f>N9/'Output-Calculation-sheet'!N8*'Output-Calculation-sheet'!N44</f>
        <v>3130.6113893293677</v>
      </c>
      <c r="O53" s="2">
        <f>O9/'Output-Calculation-sheet'!O8*'Output-Calculation-sheet'!O44</f>
        <v>10890.671393695846</v>
      </c>
      <c r="P53" s="2">
        <f>P9/'Output-Calculation-sheet'!P8*'Output-Calculation-sheet'!P44</f>
        <v>146.43649807168791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976.79107575246087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1099.1633292942452</v>
      </c>
      <c r="Y53" s="2">
        <f>Y9/'Output-Calculation-sheet'!Y8*'Output-Calculation-sheet'!Y44</f>
        <v>0</v>
      </c>
      <c r="AA53" s="2">
        <f t="shared" si="3"/>
        <v>92.811728383438734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64568.228755804579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11925.373922561255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1313.6978308627804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474.77293163783776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153.28134884007301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66756.786077544806</v>
      </c>
      <c r="D55" s="2">
        <f>D11/'Output-Calculation-sheet'!D10*'Output-Calculation-sheet'!D46</f>
        <v>7189.6976489374802</v>
      </c>
      <c r="E55" s="2">
        <f>E11/'Output-Calculation-sheet'!E10*'Output-Calculation-sheet'!E46</f>
        <v>8785.1088046257664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23953.966988737186</v>
      </c>
      <c r="I55" s="2">
        <f>I11/'Output-Calculation-sheet'!I10*'Output-Calculation-sheet'!I46</f>
        <v>1739.8091894284398</v>
      </c>
      <c r="J55" s="2">
        <f>J11/'Output-Calculation-sheet'!J10*'Output-Calculation-sheet'!J46</f>
        <v>1233.9852534131596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16418.203930968823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12259.494867641371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4922.3809919141313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6150.490842627717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1417.02884213834</v>
      </c>
      <c r="V55" s="2">
        <f>V11/'Output-Calculation-sheet'!V10*'Output-Calculation-sheet'!V46</f>
        <v>569.09258056894203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1695.0306848736882</v>
      </c>
      <c r="Y55" s="2">
        <f>Y11/'Output-Calculation-sheet'!Y10*'Output-Calculation-sheet'!Y46</f>
        <v>434.52793536273686</v>
      </c>
      <c r="AA55" s="2">
        <f t="shared" si="3"/>
        <v>261.16416364265876</v>
      </c>
    </row>
    <row r="56" spans="1:27" x14ac:dyDescent="0.25">
      <c r="A56" s="2">
        <v>2035</v>
      </c>
      <c r="B56" s="2">
        <f>B12/'Output-Calculation-sheet'!B11*'Output-Calculation-sheet'!B47</f>
        <v>100263.41863360215</v>
      </c>
      <c r="C56" s="2">
        <f>C12/'Output-Calculation-sheet'!C11*'Output-Calculation-sheet'!C47</f>
        <v>67634.651374105888</v>
      </c>
      <c r="D56" s="2">
        <f>D12/'Output-Calculation-sheet'!D11*'Output-Calculation-sheet'!D47</f>
        <v>14619.466067662843</v>
      </c>
      <c r="E56" s="2">
        <f>E12/'Output-Calculation-sheet'!E11*'Output-Calculation-sheet'!E47</f>
        <v>26444.73441827788</v>
      </c>
      <c r="F56" s="2">
        <f>F12/'Output-Calculation-sheet'!F11*'Output-Calculation-sheet'!F47</f>
        <v>2958.7790281996049</v>
      </c>
      <c r="G56" s="2">
        <f>G12/'Output-Calculation-sheet'!G11*'Output-Calculation-sheet'!G47</f>
        <v>6724.3077683061592</v>
      </c>
      <c r="H56" s="2">
        <f>H12/'Output-Calculation-sheet'!H11*'Output-Calculation-sheet'!H47</f>
        <v>24123.832836914928</v>
      </c>
      <c r="I56" s="2">
        <f>I12/'Output-Calculation-sheet'!I11*'Output-Calculation-sheet'!I47</f>
        <v>4340.7512206136989</v>
      </c>
      <c r="J56" s="2">
        <f>J12/'Output-Calculation-sheet'!J11*'Output-Calculation-sheet'!J47</f>
        <v>4267.2791085924282</v>
      </c>
      <c r="K56" s="2">
        <f>K12/'Output-Calculation-sheet'!K11*'Output-Calculation-sheet'!K47</f>
        <v>5915.9015839389103</v>
      </c>
      <c r="L56" s="2">
        <f>L12/'Output-Calculation-sheet'!L11*'Output-Calculation-sheet'!L47</f>
        <v>5518.2024814839115</v>
      </c>
      <c r="M56" s="2">
        <f>M12/'Output-Calculation-sheet'!M11*'Output-Calculation-sheet'!M47</f>
        <v>17157.16552351791</v>
      </c>
      <c r="N56" s="2">
        <f>N12/'Output-Calculation-sheet'!N11*'Output-Calculation-sheet'!N47</f>
        <v>14227.937403272268</v>
      </c>
      <c r="O56" s="2">
        <f>O12/'Output-Calculation-sheet'!O11*'Output-Calculation-sheet'!O47</f>
        <v>12431.471444648801</v>
      </c>
      <c r="P56" s="2">
        <f>P12/'Output-Calculation-sheet'!P11*'Output-Calculation-sheet'!P47</f>
        <v>6971.2149374624378</v>
      </c>
      <c r="Q56" s="2">
        <f>Q12/'Output-Calculation-sheet'!Q11*'Output-Calculation-sheet'!Q47</f>
        <v>6574.5624252745492</v>
      </c>
      <c r="R56" s="2">
        <f>R12/'Output-Calculation-sheet'!R11*'Output-Calculation-sheet'!R47</f>
        <v>5347.7868784236171</v>
      </c>
      <c r="S56" s="2">
        <f>S12/'Output-Calculation-sheet'!S11*'Output-Calculation-sheet'!S47</f>
        <v>7116.7977790153309</v>
      </c>
      <c r="T56" s="2">
        <f>T12/'Output-Calculation-sheet'!T11*'Output-Calculation-sheet'!T47</f>
        <v>1917.5122925715334</v>
      </c>
      <c r="U56" s="2">
        <f>U12/'Output-Calculation-sheet'!U11*'Output-Calculation-sheet'!U47</f>
        <v>1820.7452877412525</v>
      </c>
      <c r="V56" s="2">
        <f>V12/'Output-Calculation-sheet'!V11*'Output-Calculation-sheet'!V47</f>
        <v>1117.7155285749179</v>
      </c>
      <c r="W56" s="2">
        <f>W12/'Output-Calculation-sheet'!W11*'Output-Calculation-sheet'!W47</f>
        <v>649.17277596682834</v>
      </c>
      <c r="X56" s="2">
        <f>X12/'Output-Calculation-sheet'!X11*'Output-Calculation-sheet'!X47</f>
        <v>1729.2559562971308</v>
      </c>
      <c r="Y56" s="2">
        <f>Y12/'Output-Calculation-sheet'!Y11*'Output-Calculation-sheet'!Y47</f>
        <v>971.74288795096118</v>
      </c>
      <c r="AA56" s="2">
        <f t="shared" si="3"/>
        <v>340.84440564241601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7.1809497168385237</v>
      </c>
      <c r="C63" s="2">
        <f>C8*'Output-Calculation-sheet'!C52/10^9</f>
        <v>4.5283844443693031</v>
      </c>
      <c r="D63" s="2">
        <f>D8*'Output-Calculation-sheet'!D52/10^9</f>
        <v>2.4624848794535947</v>
      </c>
      <c r="E63" s="2">
        <f>E8*'Output-Calculation-sheet'!E52/10^9</f>
        <v>2.4483828086436632</v>
      </c>
      <c r="F63" s="2">
        <f>F8*'Output-Calculation-sheet'!F52/10^9</f>
        <v>1.0368907426235821</v>
      </c>
      <c r="G63" s="2">
        <f>G8*'Output-Calculation-sheet'!G52/10^9</f>
        <v>0.74547669666127447</v>
      </c>
      <c r="H63" s="2">
        <f>H8*'Output-Calculation-sheet'!H52/10^9</f>
        <v>1.3021985940954661</v>
      </c>
      <c r="I63" s="2">
        <f>I8*'Output-Calculation-sheet'!I52/10^9</f>
        <v>0.69346649420192019</v>
      </c>
      <c r="J63" s="2">
        <f>J8*'Output-Calculation-sheet'!J52/10^9</f>
        <v>0.95425783253313801</v>
      </c>
      <c r="K63" s="2">
        <f>K8*'Output-Calculation-sheet'!K52/10^9</f>
        <v>0.83839820891009942</v>
      </c>
      <c r="L63" s="2">
        <f>L8*'Output-Calculation-sheet'!L52/10^9</f>
        <v>1.1276843411729465</v>
      </c>
      <c r="M63" s="2">
        <f>M8*'Output-Calculation-sheet'!M52/10^9</f>
        <v>1.0569469707437975</v>
      </c>
      <c r="N63" s="2">
        <f>N8*'Output-Calculation-sheet'!N52/10^9</f>
        <v>0.88212624372274817</v>
      </c>
      <c r="O63" s="2">
        <f>O8*'Output-Calculation-sheet'!O52/10^9</f>
        <v>0.94066154117588763</v>
      </c>
      <c r="P63" s="2">
        <f>P8*'Output-Calculation-sheet'!P52/10^9</f>
        <v>0.57931161097359762</v>
      </c>
      <c r="Q63" s="2">
        <f>Q8*'Output-Calculation-sheet'!Q52/10^9</f>
        <v>0.65560740316009236</v>
      </c>
      <c r="R63" s="2">
        <f>R8*'Output-Calculation-sheet'!R52/10^9</f>
        <v>0.58860596846612934</v>
      </c>
      <c r="S63" s="2">
        <f>S8*'Output-Calculation-sheet'!S52/10^9</f>
        <v>0.43618047453855552</v>
      </c>
      <c r="T63" s="2">
        <f>T8*'Output-Calculation-sheet'!T52/10^9</f>
        <v>0.2237804944030512</v>
      </c>
      <c r="U63" s="2">
        <f>U8*'Output-Calculation-sheet'!U52/10^9</f>
        <v>0.15368995535048113</v>
      </c>
      <c r="V63" s="2">
        <f>V8*'Output-Calculation-sheet'!V52/10^9</f>
        <v>0.27276355972375788</v>
      </c>
      <c r="W63" s="2">
        <f>W8*'Output-Calculation-sheet'!W52/10^9</f>
        <v>9.8727820281198045E-2</v>
      </c>
      <c r="X63" s="2">
        <f>X8*'Output-Calculation-sheet'!X52/10^9</f>
        <v>0.11363344346046041</v>
      </c>
      <c r="Y63" s="2">
        <f>Y8*'Output-Calculation-sheet'!Y52/10^9</f>
        <v>6.4417094144186365E-2</v>
      </c>
      <c r="AA63" s="2">
        <f t="shared" si="4"/>
        <v>29.385027339647461</v>
      </c>
    </row>
    <row r="64" spans="1:27" x14ac:dyDescent="0.25">
      <c r="A64" s="2">
        <v>2032</v>
      </c>
      <c r="B64" s="2">
        <f>B9*'Output-Calculation-sheet'!B53/10^9</f>
        <v>7.3969682903713734</v>
      </c>
      <c r="C64" s="2">
        <f>C9*'Output-Calculation-sheet'!C53/10^9</f>
        <v>4.9939498403688676</v>
      </c>
      <c r="D64" s="2">
        <f>D9*'Output-Calculation-sheet'!D53/10^9</f>
        <v>2.189057128474845</v>
      </c>
      <c r="E64" s="2">
        <f>E9*'Output-Calculation-sheet'!E53/10^9</f>
        <v>2.241701226915898</v>
      </c>
      <c r="F64" s="2">
        <f>F9*'Output-Calculation-sheet'!F53/10^9</f>
        <v>0.94553631470645039</v>
      </c>
      <c r="G64" s="2">
        <f>G9*'Output-Calculation-sheet'!G53/10^9</f>
        <v>0.67300310889339698</v>
      </c>
      <c r="H64" s="2">
        <f>H9*'Output-Calculation-sheet'!H53/10^9</f>
        <v>1.3828782566589253</v>
      </c>
      <c r="I64" s="2">
        <f>I9*'Output-Calculation-sheet'!I53/10^9</f>
        <v>0.62914801826128508</v>
      </c>
      <c r="J64" s="2">
        <f>J9*'Output-Calculation-sheet'!J53/10^9</f>
        <v>0.83286495616716938</v>
      </c>
      <c r="K64" s="2">
        <f>K9*'Output-Calculation-sheet'!K53/10^9</f>
        <v>0.77278338024838256</v>
      </c>
      <c r="L64" s="2">
        <f>L9*'Output-Calculation-sheet'!L53/10^9</f>
        <v>0.99417941717593306</v>
      </c>
      <c r="M64" s="2">
        <f>M9*'Output-Calculation-sheet'!M53/10^9</f>
        <v>1.0838265348357567</v>
      </c>
      <c r="N64" s="2">
        <f>N9*'Output-Calculation-sheet'!N53/10^9</f>
        <v>0.91238046291354147</v>
      </c>
      <c r="O64" s="2">
        <f>O9*'Output-Calculation-sheet'!O53/10^9</f>
        <v>1.0328756490131088</v>
      </c>
      <c r="P64" s="2">
        <f>P9*'Output-Calculation-sheet'!P53/10^9</f>
        <v>0.58918490656515987</v>
      </c>
      <c r="Q64" s="2">
        <f>Q9*'Output-Calculation-sheet'!Q53/10^9</f>
        <v>0.65114819654973999</v>
      </c>
      <c r="R64" s="2">
        <f>R9*'Output-Calculation-sheet'!R53/10^9</f>
        <v>0.55818701361560508</v>
      </c>
      <c r="S64" s="2">
        <f>S9*'Output-Calculation-sheet'!S53/10^9</f>
        <v>0.46118648621122954</v>
      </c>
      <c r="T64" s="2">
        <f>T9*'Output-Calculation-sheet'!T53/10^9</f>
        <v>0.20065370255458873</v>
      </c>
      <c r="U64" s="2">
        <f>U9*'Output-Calculation-sheet'!U53/10^9</f>
        <v>0.15102778585611915</v>
      </c>
      <c r="V64" s="2">
        <f>V9*'Output-Calculation-sheet'!V53/10^9</f>
        <v>0.23816245903381283</v>
      </c>
      <c r="W64" s="2">
        <f>W9*'Output-Calculation-sheet'!W53/10^9</f>
        <v>8.8496877075493155E-2</v>
      </c>
      <c r="X64" s="2">
        <f>X9*'Output-Calculation-sheet'!X53/10^9</f>
        <v>0.12012261913903247</v>
      </c>
      <c r="Y64" s="2">
        <f>Y9*'Output-Calculation-sheet'!Y53/10^9</f>
        <v>6.2003789930147012E-2</v>
      </c>
      <c r="AA64" s="2">
        <f t="shared" si="4"/>
        <v>29.201326421535864</v>
      </c>
    </row>
    <row r="65" spans="1:27" x14ac:dyDescent="0.25">
      <c r="A65" s="2">
        <v>2033</v>
      </c>
      <c r="B65" s="2">
        <f>B10*'Output-Calculation-sheet'!B54/10^9</f>
        <v>7.6918053681541103</v>
      </c>
      <c r="C65" s="2">
        <f>C10*'Output-Calculation-sheet'!C54/10^9</f>
        <v>5.381412193737531</v>
      </c>
      <c r="D65" s="2">
        <f>D10*'Output-Calculation-sheet'!D54/10^9</f>
        <v>1.817187075006782</v>
      </c>
      <c r="E65" s="2">
        <f>E10*'Output-Calculation-sheet'!E54/10^9</f>
        <v>2.0461318659913488</v>
      </c>
      <c r="F65" s="2">
        <f>F10*'Output-Calculation-sheet'!F54/10^9</f>
        <v>0.83069452210235994</v>
      </c>
      <c r="G65" s="2">
        <f>G10*'Output-Calculation-sheet'!G54/10^9</f>
        <v>0.57034692965476963</v>
      </c>
      <c r="H65" s="2">
        <f>H10*'Output-Calculation-sheet'!H54/10^9</f>
        <v>1.4094842047533198</v>
      </c>
      <c r="I65" s="2">
        <f>I10*'Output-Calculation-sheet'!I54/10^9</f>
        <v>0.5553621457100153</v>
      </c>
      <c r="J65" s="2">
        <f>J10*'Output-Calculation-sheet'!J54/10^9</f>
        <v>0.66378163074262986</v>
      </c>
      <c r="K65" s="2">
        <f>K10*'Output-Calculation-sheet'!K54/10^9</f>
        <v>0.70816707175105298</v>
      </c>
      <c r="L65" s="2">
        <f>L10*'Output-Calculation-sheet'!L54/10^9</f>
        <v>0.83649424803174088</v>
      </c>
      <c r="M65" s="2">
        <f>M10*'Output-Calculation-sheet'!M54/10^9</f>
        <v>1.0642629742461427</v>
      </c>
      <c r="N65" s="2">
        <f>N10*'Output-Calculation-sheet'!N54/10^9</f>
        <v>0.91900608897741332</v>
      </c>
      <c r="O65" s="2">
        <f>O10*'Output-Calculation-sheet'!O54/10^9</f>
        <v>1.1008007934414508</v>
      </c>
      <c r="P65" s="2">
        <f>P10*'Output-Calculation-sheet'!P54/10^9</f>
        <v>0.59921533298948504</v>
      </c>
      <c r="Q65" s="2">
        <f>Q10*'Output-Calculation-sheet'!Q54/10^9</f>
        <v>0.65384502629280972</v>
      </c>
      <c r="R65" s="2">
        <f>R10*'Output-Calculation-sheet'!R54/10^9</f>
        <v>0.52752263604043348</v>
      </c>
      <c r="S65" s="2">
        <f>S10*'Output-Calculation-sheet'!S54/10^9</f>
        <v>0.47917785231542859</v>
      </c>
      <c r="T65" s="2">
        <f>T10*'Output-Calculation-sheet'!T54/10^9</f>
        <v>0.17637373105210016</v>
      </c>
      <c r="U65" s="2">
        <f>U10*'Output-Calculation-sheet'!U54/10^9</f>
        <v>0.15229364773994572</v>
      </c>
      <c r="V65" s="2">
        <f>V10*'Output-Calculation-sheet'!V54/10^9</f>
        <v>0.19518415619624052</v>
      </c>
      <c r="W65" s="2">
        <f>W10*'Output-Calculation-sheet'!W54/10^9</f>
        <v>7.4313949468361881E-2</v>
      </c>
      <c r="X65" s="2">
        <f>X10*'Output-Calculation-sheet'!X54/10^9</f>
        <v>0.12240349965847375</v>
      </c>
      <c r="Y65" s="2">
        <f>Y10*'Output-Calculation-sheet'!Y54/10^9</f>
        <v>6.1164363707822342E-2</v>
      </c>
      <c r="AA65" s="2">
        <f t="shared" si="4"/>
        <v>28.636431307761761</v>
      </c>
    </row>
    <row r="66" spans="1:27" x14ac:dyDescent="0.25">
      <c r="A66" s="2">
        <v>2034</v>
      </c>
      <c r="B66" s="2">
        <f>B11*'Output-Calculation-sheet'!B55/10^9</f>
        <v>8.0461860645500902</v>
      </c>
      <c r="C66" s="2">
        <f>C11*'Output-Calculation-sheet'!C55/10^9</f>
        <v>5.6962240717447035</v>
      </c>
      <c r="D66" s="2">
        <f>D11*'Output-Calculation-sheet'!D55/10^9</f>
        <v>1.6831199403383088</v>
      </c>
      <c r="E66" s="2">
        <f>E11*'Output-Calculation-sheet'!E55/10^9</f>
        <v>2.0379859998456151</v>
      </c>
      <c r="F66" s="2">
        <f>F11*'Output-Calculation-sheet'!F55/10^9</f>
        <v>0.78323393640740013</v>
      </c>
      <c r="G66" s="2">
        <f>G11*'Output-Calculation-sheet'!G55/10^9</f>
        <v>0.55984473704003646</v>
      </c>
      <c r="H66" s="2">
        <f>H11*'Output-Calculation-sheet'!H55/10^9</f>
        <v>1.4377140332318914</v>
      </c>
      <c r="I66" s="2">
        <f>I11*'Output-Calculation-sheet'!I55/10^9</f>
        <v>0.54751116122401389</v>
      </c>
      <c r="J66" s="2">
        <f>J11*'Output-Calculation-sheet'!J55/10^9</f>
        <v>0.56296823655914774</v>
      </c>
      <c r="K66" s="2">
        <f>K11*'Output-Calculation-sheet'!K55/10^9</f>
        <v>0.67337959836504702</v>
      </c>
      <c r="L66" s="2">
        <f>L11*'Output-Calculation-sheet'!L55/10^9</f>
        <v>0.71310055625652669</v>
      </c>
      <c r="M66" s="2">
        <f>M11*'Output-Calculation-sheet'!M55/10^9</f>
        <v>1.0369200932845848</v>
      </c>
      <c r="N66" s="2">
        <f>N11*'Output-Calculation-sheet'!N55/10^9</f>
        <v>0.90599164377265873</v>
      </c>
      <c r="O66" s="2">
        <f>O11*'Output-Calculation-sheet'!O55/10^9</f>
        <v>1.1434453467111703</v>
      </c>
      <c r="P66" s="2">
        <f>P11*'Output-Calculation-sheet'!P55/10^9</f>
        <v>0.62277957808510731</v>
      </c>
      <c r="Q66" s="2">
        <f>Q11*'Output-Calculation-sheet'!Q55/10^9</f>
        <v>0.67988011508120072</v>
      </c>
      <c r="R66" s="2">
        <f>R11*'Output-Calculation-sheet'!R55/10^9</f>
        <v>0.5044135556955569</v>
      </c>
      <c r="S66" s="2">
        <f>S11*'Output-Calculation-sheet'!S55/10^9</f>
        <v>0.49632248347995372</v>
      </c>
      <c r="T66" s="2">
        <f>T11*'Output-Calculation-sheet'!T55/10^9</f>
        <v>0.15810587392471495</v>
      </c>
      <c r="U66" s="2">
        <f>U11*'Output-Calculation-sheet'!U55/10^9</f>
        <v>0.16142684679380623</v>
      </c>
      <c r="V66" s="2">
        <f>V11*'Output-Calculation-sheet'!V55/10^9</f>
        <v>0.1499868356038698</v>
      </c>
      <c r="W66" s="2">
        <f>W11*'Output-Calculation-sheet'!W55/10^9</f>
        <v>6.7913961212155885E-2</v>
      </c>
      <c r="X66" s="2">
        <f>X11*'Output-Calculation-sheet'!X55/10^9</f>
        <v>0.12882394333366803</v>
      </c>
      <c r="Y66" s="2">
        <f>Y11*'Output-Calculation-sheet'!Y55/10^9</f>
        <v>6.6642485124627102E-2</v>
      </c>
      <c r="AA66" s="2">
        <f t="shared" si="4"/>
        <v>28.863921097665862</v>
      </c>
    </row>
    <row r="67" spans="1:27" x14ac:dyDescent="0.25">
      <c r="A67" s="2">
        <v>2035</v>
      </c>
      <c r="B67" s="2">
        <f>B12*'Output-Calculation-sheet'!B56/10^9</f>
        <v>8.7804352824639071</v>
      </c>
      <c r="C67" s="2">
        <f>C12*'Output-Calculation-sheet'!C56/10^9</f>
        <v>5.8927641805856377</v>
      </c>
      <c r="D67" s="2">
        <f>D12*'Output-Calculation-sheet'!D56/10^9</f>
        <v>1.9268174594868221</v>
      </c>
      <c r="E67" s="2">
        <f>E12*'Output-Calculation-sheet'!E56/10^9</f>
        <v>2.4523645394311795</v>
      </c>
      <c r="F67" s="2">
        <f>F12*'Output-Calculation-sheet'!F56/10^9</f>
        <v>0.95348950970833179</v>
      </c>
      <c r="G67" s="2">
        <f>G12*'Output-Calculation-sheet'!G56/10^9</f>
        <v>0.70095779536768488</v>
      </c>
      <c r="H67" s="2">
        <f>H12*'Output-Calculation-sheet'!H56/10^9</f>
        <v>1.5488672292981163</v>
      </c>
      <c r="I67" s="2">
        <f>I12*'Output-Calculation-sheet'!I56/10^9</f>
        <v>0.66130608263423607</v>
      </c>
      <c r="J67" s="2">
        <f>J12*'Output-Calculation-sheet'!J56/10^9</f>
        <v>0.61453933271259586</v>
      </c>
      <c r="K67" s="2">
        <f>K12*'Output-Calculation-sheet'!K56/10^9</f>
        <v>0.75466688063113396</v>
      </c>
      <c r="L67" s="2">
        <f>L12*'Output-Calculation-sheet'!L56/10^9</f>
        <v>0.7232954041505687</v>
      </c>
      <c r="M67" s="2">
        <f>M12*'Output-Calculation-sheet'!M56/10^9</f>
        <v>1.113401153487444</v>
      </c>
      <c r="N67" s="2">
        <f>N12*'Output-Calculation-sheet'!N56/10^9</f>
        <v>0.95136291113762894</v>
      </c>
      <c r="O67" s="2">
        <f>O12*'Output-Calculation-sheet'!O56/10^9</f>
        <v>1.1607795821177727</v>
      </c>
      <c r="P67" s="2">
        <f>P12*'Output-Calculation-sheet'!P56/10^9</f>
        <v>0.72870951589350041</v>
      </c>
      <c r="Q67" s="2">
        <f>Q12*'Output-Calculation-sheet'!Q56/10^9</f>
        <v>0.73233670196218292</v>
      </c>
      <c r="R67" s="2">
        <f>R12*'Output-Calculation-sheet'!R56/10^9</f>
        <v>0.55638304749174539</v>
      </c>
      <c r="S67" s="2">
        <f>S12*'Output-Calculation-sheet'!S56/10^9</f>
        <v>0.53028582307068128</v>
      </c>
      <c r="T67" s="2">
        <f>T12*'Output-Calculation-sheet'!T56/10^9</f>
        <v>0.17059211573646152</v>
      </c>
      <c r="U67" s="2">
        <f>U12*'Output-Calculation-sheet'!U56/10^9</f>
        <v>0.1832535985406529</v>
      </c>
      <c r="V67" s="2">
        <f>V12*'Output-Calculation-sheet'!V56/10^9</f>
        <v>0.13103800634370422</v>
      </c>
      <c r="W67" s="2">
        <f>W12*'Output-Calculation-sheet'!W56/10^9</f>
        <v>8.69029546641958E-2</v>
      </c>
      <c r="X67" s="2">
        <f>X12*'Output-Calculation-sheet'!X56/10^9</f>
        <v>0.1387688595874654</v>
      </c>
      <c r="Y67" s="2">
        <f>Y12*'Output-Calculation-sheet'!Y56/10^9</f>
        <v>8.2234769538935451E-2</v>
      </c>
      <c r="AA67" s="2">
        <f t="shared" si="4"/>
        <v>31.575552736042592</v>
      </c>
    </row>
    <row r="68" spans="1:27" x14ac:dyDescent="0.25">
      <c r="B68" s="2">
        <f>SUM(B60:B67)</f>
        <v>56.730401921607736</v>
      </c>
      <c r="C68" s="2">
        <f t="shared" ref="C68:Y68" si="5">SUM(C60:C67)</f>
        <v>35.80813808077464</v>
      </c>
      <c r="D68" s="2">
        <f t="shared" si="5"/>
        <v>17.005727863280054</v>
      </c>
      <c r="E68" s="2">
        <f t="shared" si="5"/>
        <v>18.055417407909498</v>
      </c>
      <c r="F68" s="2">
        <f t="shared" si="5"/>
        <v>7.3793862272227617</v>
      </c>
      <c r="G68" s="2">
        <f t="shared" si="5"/>
        <v>5.3088732509081353</v>
      </c>
      <c r="H68" s="2">
        <f t="shared" si="5"/>
        <v>9.9857940477139984</v>
      </c>
      <c r="I68" s="2">
        <f t="shared" si="5"/>
        <v>4.9909968474598401</v>
      </c>
      <c r="J68" s="2">
        <f t="shared" si="5"/>
        <v>6.3694202699596199</v>
      </c>
      <c r="K68" s="2">
        <f t="shared" si="5"/>
        <v>6.0546436250830302</v>
      </c>
      <c r="L68" s="2">
        <f t="shared" si="5"/>
        <v>7.6458393488571392</v>
      </c>
      <c r="M68" s="2">
        <f t="shared" si="5"/>
        <v>7.8470595230300564</v>
      </c>
      <c r="N68" s="2">
        <f t="shared" si="5"/>
        <v>6.7338342740876724</v>
      </c>
      <c r="O68" s="2">
        <f t="shared" si="5"/>
        <v>7.3253871671665767</v>
      </c>
      <c r="P68" s="2">
        <f t="shared" si="5"/>
        <v>4.5834129350496848</v>
      </c>
      <c r="Q68" s="2">
        <f t="shared" si="5"/>
        <v>5.0442890024336249</v>
      </c>
      <c r="R68" s="2">
        <f t="shared" si="5"/>
        <v>4.3387860100598488</v>
      </c>
      <c r="S68" s="2">
        <f t="shared" si="5"/>
        <v>3.450930032306486</v>
      </c>
      <c r="T68" s="2">
        <f t="shared" si="5"/>
        <v>1.5574643345726564</v>
      </c>
      <c r="U68" s="2">
        <f t="shared" si="5"/>
        <v>1.2121999910690842</v>
      </c>
      <c r="V68" s="2">
        <f t="shared" si="5"/>
        <v>1.7820200713442598</v>
      </c>
      <c r="W68" s="2">
        <f t="shared" si="5"/>
        <v>0.69139577051732148</v>
      </c>
      <c r="X68" s="2">
        <f t="shared" si="5"/>
        <v>0.87731911194083589</v>
      </c>
      <c r="Y68" s="2">
        <f t="shared" si="5"/>
        <v>0.50980835610967812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5952.3851288988399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1465.94503819943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962.99798445532383</v>
      </c>
      <c r="N74" s="2">
        <f>N8/'Output-Calculation-sheet'!N7*'Output-Calculation-sheet'!N61</f>
        <v>40.360948151351685</v>
      </c>
      <c r="O74" s="2">
        <f>O8/'Output-Calculation-sheet'!O7*'Output-Calculation-sheet'!O61</f>
        <v>1190.1130783698175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119.66633093129265</v>
      </c>
      <c r="Y74" s="2">
        <f>Y8/'Output-Calculation-sheet'!Y7*'Output-Calculation-sheet'!Y61</f>
        <v>0</v>
      </c>
      <c r="AA74" s="2">
        <f t="shared" si="6"/>
        <v>9.7314685090060582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9864.1186832499334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2447.6793036825106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1660.8371778775299</v>
      </c>
      <c r="N75" s="2">
        <f>N9/'Output-Calculation-sheet'!N8*'Output-Calculation-sheet'!N62</f>
        <v>641.97347477387041</v>
      </c>
      <c r="O75" s="2">
        <f>O9/'Output-Calculation-sheet'!O8*'Output-Calculation-sheet'!O62</f>
        <v>1949.8184716604658</v>
      </c>
      <c r="P75" s="2">
        <f>P9/'Output-Calculation-sheet'!P8*'Output-Calculation-sheet'!P62</f>
        <v>42.979112184040396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215.10983934506808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200.0853230675647</v>
      </c>
      <c r="Y75" s="2">
        <f>Y9/'Output-Calculation-sheet'!Y8*'Output-Calculation-sheet'!Y62</f>
        <v>0</v>
      </c>
      <c r="AA75" s="2">
        <f t="shared" si="6"/>
        <v>17.022601385840979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11946.117207786187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3515.5298388972451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2393.5717398945462</v>
      </c>
      <c r="N76" s="2">
        <f>N10/'Output-Calculation-sheet'!N9*'Output-Calculation-sheet'!N63</f>
        <v>1369.7595810314101</v>
      </c>
      <c r="O76" s="2">
        <f>O10/'Output-Calculation-sheet'!O9*'Output-Calculation-sheet'!O63</f>
        <v>2114.9467035694374</v>
      </c>
      <c r="P76" s="2">
        <f>P10/'Output-Calculation-sheet'!P9*'Output-Calculation-sheet'!P63</f>
        <v>475.11751335623399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357.43378515885672</v>
      </c>
      <c r="S76" s="2">
        <f>S10/'Output-Calculation-sheet'!S9*'Output-Calculation-sheet'!S63</f>
        <v>607.3852922589557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126.5964652470893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281.8982576163454</v>
      </c>
      <c r="Y76" s="2">
        <f>Y10/'Output-Calculation-sheet'!Y9*'Output-Calculation-sheet'!Y63</f>
        <v>5.3475766543004273</v>
      </c>
      <c r="AA76" s="2">
        <f t="shared" si="6"/>
        <v>28.914013522441909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12182.403280576633</v>
      </c>
      <c r="D77" s="2">
        <f>D11/'Output-Calculation-sheet'!D10*'Output-Calculation-sheet'!D64</f>
        <v>1663.606164743521</v>
      </c>
      <c r="E77" s="2">
        <f>E11/'Output-Calculation-sheet'!E10*'Output-Calculation-sheet'!E64</f>
        <v>2022.1463453379242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864.03041072089684</v>
      </c>
      <c r="H77" s="2">
        <f>H11/'Output-Calculation-sheet'!H10*'Output-Calculation-sheet'!H64</f>
        <v>4591.3227495635201</v>
      </c>
      <c r="I77" s="2">
        <f>I11/'Output-Calculation-sheet'!I10*'Output-Calculation-sheet'!I64</f>
        <v>515.24449144923244</v>
      </c>
      <c r="J77" s="2">
        <f>J11/'Output-Calculation-sheet'!J10*'Output-Calculation-sheet'!J64</f>
        <v>348.52909076053078</v>
      </c>
      <c r="K77" s="2">
        <f>K11/'Output-Calculation-sheet'!K10*'Output-Calculation-sheet'!K64</f>
        <v>783.84500998015972</v>
      </c>
      <c r="L77" s="2">
        <f>L11/'Output-Calculation-sheet'!L10*'Output-Calculation-sheet'!L64</f>
        <v>328.3620242751137</v>
      </c>
      <c r="M77" s="2">
        <f>M11/'Output-Calculation-sheet'!M10*'Output-Calculation-sheet'!M64</f>
        <v>3087.9547063568502</v>
      </c>
      <c r="N77" s="2">
        <f>N11/'Output-Calculation-sheet'!N10*'Output-Calculation-sheet'!N64</f>
        <v>2174.1134058437865</v>
      </c>
      <c r="O77" s="2">
        <f>O11/'Output-Calculation-sheet'!O10*'Output-Calculation-sheet'!O64</f>
        <v>2254.6827265095935</v>
      </c>
      <c r="P77" s="2">
        <f>P11/'Output-Calculation-sheet'!P10*'Output-Calculation-sheet'!P64</f>
        <v>959.60102669597097</v>
      </c>
      <c r="Q77" s="2">
        <f>Q11/'Output-Calculation-sheet'!Q10*'Output-Calculation-sheet'!Q64</f>
        <v>862.80456296239231</v>
      </c>
      <c r="R77" s="2">
        <f>R11/'Output-Calculation-sheet'!R10*'Output-Calculation-sheet'!R64</f>
        <v>821.42469157277003</v>
      </c>
      <c r="S77" s="2">
        <f>S11/'Output-Calculation-sheet'!S10*'Output-Calculation-sheet'!S64</f>
        <v>1093.2860690733914</v>
      </c>
      <c r="T77" s="2">
        <f>T11/'Output-Calculation-sheet'!T10*'Output-Calculation-sheet'!T64</f>
        <v>225.91575470503022</v>
      </c>
      <c r="U77" s="2">
        <f>U11/'Output-Calculation-sheet'!U10*'Output-Calculation-sheet'!U64</f>
        <v>300.262507362272</v>
      </c>
      <c r="V77" s="2">
        <f>V11/'Output-Calculation-sheet'!V10*'Output-Calculation-sheet'!V64</f>
        <v>116.80966671725878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321.29200545020234</v>
      </c>
      <c r="Y77" s="2">
        <f>Y11/'Output-Calculation-sheet'!Y10*'Output-Calculation-sheet'!Y64</f>
        <v>75.182432879227036</v>
      </c>
      <c r="AA77" s="2">
        <f t="shared" si="6"/>
        <v>49.069686471549254</v>
      </c>
    </row>
    <row r="78" spans="1:27" x14ac:dyDescent="0.25">
      <c r="A78" s="2">
        <v>2035</v>
      </c>
      <c r="B78" s="2">
        <f>B12/'Output-Calculation-sheet'!B11*'Output-Calculation-sheet'!B65</f>
        <v>17114.112255065385</v>
      </c>
      <c r="C78" s="2">
        <f>C12/'Output-Calculation-sheet'!C11*'Output-Calculation-sheet'!C65</f>
        <v>12506.133036567082</v>
      </c>
      <c r="D78" s="2">
        <f>D12/'Output-Calculation-sheet'!D11*'Output-Calculation-sheet'!D65</f>
        <v>3213.0536957543168</v>
      </c>
      <c r="E78" s="2">
        <f>E12/'Output-Calculation-sheet'!E11*'Output-Calculation-sheet'!E65</f>
        <v>4021.6667401985346</v>
      </c>
      <c r="F78" s="2">
        <f>F12/'Output-Calculation-sheet'!F11*'Output-Calculation-sheet'!F65</f>
        <v>803.98095593532901</v>
      </c>
      <c r="G78" s="2">
        <f>G12/'Output-Calculation-sheet'!G11*'Output-Calculation-sheet'!G65</f>
        <v>1477.8677178439</v>
      </c>
      <c r="H78" s="2">
        <f>H12/'Output-Calculation-sheet'!H11*'Output-Calculation-sheet'!H65</f>
        <v>4672.605647602858</v>
      </c>
      <c r="I78" s="2">
        <f>I12/'Output-Calculation-sheet'!I11*'Output-Calculation-sheet'!I65</f>
        <v>1073.2073317845309</v>
      </c>
      <c r="J78" s="2">
        <f>J12/'Output-Calculation-sheet'!J11*'Output-Calculation-sheet'!J65</f>
        <v>1037.8080071010995</v>
      </c>
      <c r="K78" s="2">
        <f>K12/'Output-Calculation-sheet'!K11*'Output-Calculation-sheet'!K65</f>
        <v>1300.1900240778045</v>
      </c>
      <c r="L78" s="2">
        <f>L12/'Output-Calculation-sheet'!L11*'Output-Calculation-sheet'!L65</f>
        <v>958.62937207024595</v>
      </c>
      <c r="M78" s="2">
        <f>M12/'Output-Calculation-sheet'!M11*'Output-Calculation-sheet'!M65</f>
        <v>3411.6809178946319</v>
      </c>
      <c r="N78" s="2">
        <f>N12/'Output-Calculation-sheet'!N11*'Output-Calculation-sheet'!N65</f>
        <v>2432.6611195728183</v>
      </c>
      <c r="O78" s="2">
        <f>O12/'Output-Calculation-sheet'!O11*'Output-Calculation-sheet'!O65</f>
        <v>2296.3602885032906</v>
      </c>
      <c r="P78" s="2">
        <f>P12/'Output-Calculation-sheet'!P11*'Output-Calculation-sheet'!P65</f>
        <v>1325.2513268125172</v>
      </c>
      <c r="Q78" s="2">
        <f>Q12/'Output-Calculation-sheet'!Q11*'Output-Calculation-sheet'!Q65</f>
        <v>1125.2659076809089</v>
      </c>
      <c r="R78" s="2">
        <f>R12/'Output-Calculation-sheet'!R11*'Output-Calculation-sheet'!R65</f>
        <v>1112.1198986486154</v>
      </c>
      <c r="S78" s="2">
        <f>S12/'Output-Calculation-sheet'!S11*'Output-Calculation-sheet'!S65</f>
        <v>1286.7025390277463</v>
      </c>
      <c r="T78" s="2">
        <f>T12/'Output-Calculation-sheet'!T11*'Output-Calculation-sheet'!T65</f>
        <v>401.44441099038238</v>
      </c>
      <c r="U78" s="2">
        <f>U12/'Output-Calculation-sheet'!U11*'Output-Calculation-sheet'!U65</f>
        <v>335.88920512104323</v>
      </c>
      <c r="V78" s="2">
        <f>V12/'Output-Calculation-sheet'!V11*'Output-Calculation-sheet'!V65</f>
        <v>204.33293801248459</v>
      </c>
      <c r="W78" s="2">
        <f>W12/'Output-Calculation-sheet'!W11*'Output-Calculation-sheet'!W65</f>
        <v>142.67637301612766</v>
      </c>
      <c r="X78" s="2">
        <f>X12/'Output-Calculation-sheet'!X11*'Output-Calculation-sheet'!X65</f>
        <v>329.74440720934433</v>
      </c>
      <c r="Y78" s="2">
        <f>Y12/'Output-Calculation-sheet'!Y11*'Output-Calculation-sheet'!Y65</f>
        <v>154.70237593271634</v>
      </c>
      <c r="AA78" s="2">
        <f t="shared" si="6"/>
        <v>62.738086492423712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198.97759246781072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57.983989899001244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0.25696158236681199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608.72449310831121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118.2587929354473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2.3574835672791212</v>
      </c>
      <c r="Y88" s="2">
        <f>Y11/'Output-Calculation-sheet'!Y10*'Output-Calculation-sheet'!Y73</f>
        <v>0</v>
      </c>
      <c r="AA88" s="2">
        <f t="shared" si="7"/>
        <v>0.72934076961103766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1012.4947810494893</v>
      </c>
      <c r="D89" s="2">
        <f>D12/'Output-Calculation-sheet'!D11*'Output-Calculation-sheet'!D74</f>
        <v>89.689975875232165</v>
      </c>
      <c r="E89" s="2">
        <f>E12/'Output-Calculation-sheet'!E11*'Output-Calculation-sheet'!E74</f>
        <v>142.55921519287267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93.503228050057857</v>
      </c>
      <c r="I89" s="2">
        <f>I12/'Output-Calculation-sheet'!I11*'Output-Calculation-sheet'!I74</f>
        <v>28.93834147075799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28.441834538167839</v>
      </c>
      <c r="L89" s="2">
        <f>L12/'Output-Calculation-sheet'!L11*'Output-Calculation-sheet'!L74</f>
        <v>22.615583940507832</v>
      </c>
      <c r="M89" s="2">
        <f>M12/'Output-Calculation-sheet'!M11*'Output-Calculation-sheet'!M74</f>
        <v>42.892913808794773</v>
      </c>
      <c r="N89" s="2">
        <f>N12/'Output-Calculation-sheet'!N11*'Output-Calculation-sheet'!N74</f>
        <v>42.156851565251166</v>
      </c>
      <c r="O89" s="2">
        <f>O12/'Output-Calculation-sheet'!O11*'Output-Calculation-sheet'!O74</f>
        <v>177.03044778772028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36.93574396221657</v>
      </c>
      <c r="R89" s="2">
        <f>R12/'Output-Calculation-sheet'!R11*'Output-Calculation-sheet'!R74</f>
        <v>18.314338624738415</v>
      </c>
      <c r="S89" s="2">
        <f>S12/'Output-Calculation-sheet'!S11*'Output-Calculation-sheet'!S74</f>
        <v>24.16569704249688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11.784759143956327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9.4109167689639772</v>
      </c>
      <c r="Y89" s="2">
        <f>Y12/'Output-Calculation-sheet'!Y11*'Output-Calculation-sheet'!Y74</f>
        <v>4.5408546165932764</v>
      </c>
      <c r="AA89" s="2">
        <f t="shared" si="7"/>
        <v>2.4041441500035159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11631952496.797104</v>
      </c>
      <c r="C96" s="2">
        <f>C8/'Output-Calculation-sheet'!C7*'Output-Calculation-sheet'!C79</f>
        <v>3935142394.9836683</v>
      </c>
      <c r="D96" s="2">
        <f>D8/'Output-Calculation-sheet'!D7*'Output-Calculation-sheet'!D79</f>
        <v>4108029500.9409733</v>
      </c>
      <c r="E96" s="2">
        <f>E8/'Output-Calculation-sheet'!E7*'Output-Calculation-sheet'!E79</f>
        <v>7303726674.8206415</v>
      </c>
      <c r="F96" s="2">
        <f>F8/'Output-Calculation-sheet'!F7*'Output-Calculation-sheet'!F79</f>
        <v>3022940498.3408089</v>
      </c>
      <c r="G96" s="2">
        <f>G8/'Output-Calculation-sheet'!G7*'Output-Calculation-sheet'!G79</f>
        <v>2354622079.4301548</v>
      </c>
      <c r="H96" s="2">
        <f>H8/'Output-Calculation-sheet'!H7*'Output-Calculation-sheet'!H79</f>
        <v>2015423522.0002294</v>
      </c>
      <c r="I96" s="2">
        <f>I8/'Output-Calculation-sheet'!I7*'Output-Calculation-sheet'!I79</f>
        <v>1640244604.6723509</v>
      </c>
      <c r="J96" s="2">
        <f>J8/'Output-Calculation-sheet'!J7*'Output-Calculation-sheet'!J79</f>
        <v>1109175768.3103273</v>
      </c>
      <c r="K96" s="2">
        <f>K8/'Output-Calculation-sheet'!K7*'Output-Calculation-sheet'!K79</f>
        <v>1586899651.8441217</v>
      </c>
      <c r="L96" s="2">
        <f>L8/'Output-Calculation-sheet'!L7*'Output-Calculation-sheet'!L79</f>
        <v>1119715013.5336802</v>
      </c>
      <c r="M96" s="2">
        <f>M8/'Output-Calculation-sheet'!M7*'Output-Calculation-sheet'!M79</f>
        <v>1504474680.5760765</v>
      </c>
      <c r="N96" s="2">
        <f>N8/'Output-Calculation-sheet'!N7*'Output-Calculation-sheet'!N79</f>
        <v>1119448982.0015745</v>
      </c>
      <c r="O96" s="2">
        <f>O8/'Output-Calculation-sheet'!O7*'Output-Calculation-sheet'!O79</f>
        <v>565919801.79202342</v>
      </c>
      <c r="P96" s="2">
        <f>P8/'Output-Calculation-sheet'!P7*'Output-Calculation-sheet'!P79</f>
        <v>1892883044.018888</v>
      </c>
      <c r="Q96" s="2">
        <f>Q8/'Output-Calculation-sheet'!Q7*'Output-Calculation-sheet'!Q79</f>
        <v>882164461.85678184</v>
      </c>
      <c r="R96" s="2">
        <f>R8/'Output-Calculation-sheet'!R7*'Output-Calculation-sheet'!R79</f>
        <v>1100605032.4204543</v>
      </c>
      <c r="S96" s="2">
        <f>S8/'Output-Calculation-sheet'!S7*'Output-Calculation-sheet'!S79</f>
        <v>641304726.25947595</v>
      </c>
      <c r="T96" s="2">
        <f>T8/'Output-Calculation-sheet'!T7*'Output-Calculation-sheet'!T79</f>
        <v>489809174.10182643</v>
      </c>
      <c r="U96" s="2">
        <f>U8/'Output-Calculation-sheet'!U7*'Output-Calculation-sheet'!U79</f>
        <v>307685534.64100122</v>
      </c>
      <c r="V96" s="2">
        <f>V8/'Output-Calculation-sheet'!V7*'Output-Calculation-sheet'!V79</f>
        <v>159643300.38922361</v>
      </c>
      <c r="W96" s="2">
        <f>W8/'Output-Calculation-sheet'!W7*'Output-Calculation-sheet'!W79</f>
        <v>471733009.92332584</v>
      </c>
      <c r="X96" s="2">
        <f>X8/'Output-Calculation-sheet'!X7*'Output-Calculation-sheet'!X79</f>
        <v>165800803.176624</v>
      </c>
      <c r="Y96" s="2">
        <f>Y8/'Output-Calculation-sheet'!Y7*'Output-Calculation-sheet'!Y79</f>
        <v>259310169.92641607</v>
      </c>
      <c r="AA96" s="2">
        <f t="shared" si="8"/>
        <v>49.388654926757745</v>
      </c>
    </row>
    <row r="97" spans="1:27" x14ac:dyDescent="0.25">
      <c r="A97" s="2">
        <v>2032</v>
      </c>
      <c r="B97" s="2">
        <f>B9/'Output-Calculation-sheet'!B8*'Output-Calculation-sheet'!B80</f>
        <v>15687543209.845787</v>
      </c>
      <c r="C97" s="2">
        <f>C9/'Output-Calculation-sheet'!C8*'Output-Calculation-sheet'!C80</f>
        <v>5343261776.6173649</v>
      </c>
      <c r="D97" s="2">
        <f>D9/'Output-Calculation-sheet'!D8*'Output-Calculation-sheet'!D80</f>
        <v>5324040231.08461</v>
      </c>
      <c r="E97" s="2">
        <f>E9/'Output-Calculation-sheet'!E8*'Output-Calculation-sheet'!E80</f>
        <v>9736873097.3108444</v>
      </c>
      <c r="F97" s="2">
        <f>F9/'Output-Calculation-sheet'!F8*'Output-Calculation-sheet'!F80</f>
        <v>4022303065.1721315</v>
      </c>
      <c r="G97" s="2">
        <f>G9/'Output-Calculation-sheet'!G8*'Output-Calculation-sheet'!G80</f>
        <v>3044662433.6623178</v>
      </c>
      <c r="H97" s="2">
        <f>H9/'Output-Calculation-sheet'!H8*'Output-Calculation-sheet'!H80</f>
        <v>2678687973.8838029</v>
      </c>
      <c r="I97" s="2">
        <f>I9/'Output-Calculation-sheet'!I8*'Output-Calculation-sheet'!I80</f>
        <v>2203469447.2309504</v>
      </c>
      <c r="J97" s="2">
        <f>J9/'Output-Calculation-sheet'!J8*'Output-Calculation-sheet'!J80</f>
        <v>1448577780.3853524</v>
      </c>
      <c r="K97" s="2">
        <f>K9/'Output-Calculation-sheet'!K8*'Output-Calculation-sheet'!K80</f>
        <v>2088430076.7765279</v>
      </c>
      <c r="L97" s="2">
        <f>L9/'Output-Calculation-sheet'!L8*'Output-Calculation-sheet'!L80</f>
        <v>1520031144.0106149</v>
      </c>
      <c r="M97" s="2">
        <f>M9/'Output-Calculation-sheet'!M8*'Output-Calculation-sheet'!M80</f>
        <v>2005511040.1632566</v>
      </c>
      <c r="N97" s="2">
        <f>N9/'Output-Calculation-sheet'!N8*'Output-Calculation-sheet'!N80</f>
        <v>1465293954.7534077</v>
      </c>
      <c r="O97" s="2">
        <f>O9/'Output-Calculation-sheet'!O8*'Output-Calculation-sheet'!O80</f>
        <v>758047123.81914389</v>
      </c>
      <c r="P97" s="2">
        <f>P9/'Output-Calculation-sheet'!P8*'Output-Calculation-sheet'!P80</f>
        <v>2480187646.0152745</v>
      </c>
      <c r="Q97" s="2">
        <f>Q9/'Output-Calculation-sheet'!Q8*'Output-Calculation-sheet'!Q80</f>
        <v>1160136672.5146778</v>
      </c>
      <c r="R97" s="2">
        <f>R9/'Output-Calculation-sheet'!R8*'Output-Calculation-sheet'!R80</f>
        <v>1465829729.0465496</v>
      </c>
      <c r="S97" s="2">
        <f>S9/'Output-Calculation-sheet'!S8*'Output-Calculation-sheet'!S80</f>
        <v>850763333.13208306</v>
      </c>
      <c r="T97" s="2">
        <f>T9/'Output-Calculation-sheet'!T8*'Output-Calculation-sheet'!T80</f>
        <v>640654710.40508294</v>
      </c>
      <c r="U97" s="2">
        <f>U9/'Output-Calculation-sheet'!U8*'Output-Calculation-sheet'!U80</f>
        <v>409565961.68651509</v>
      </c>
      <c r="V97" s="2">
        <f>V9/'Output-Calculation-sheet'!V8*'Output-Calculation-sheet'!V80</f>
        <v>214751982.03119636</v>
      </c>
      <c r="W97" s="2">
        <f>W9/'Output-Calculation-sheet'!W8*'Output-Calculation-sheet'!W80</f>
        <v>621925889.41349006</v>
      </c>
      <c r="X97" s="2">
        <f>X9/'Output-Calculation-sheet'!X8*'Output-Calculation-sheet'!X80</f>
        <v>223331411.10420817</v>
      </c>
      <c r="Y97" s="2">
        <f>Y9/'Output-Calculation-sheet'!Y8*'Output-Calculation-sheet'!Y80</f>
        <v>341850725.96922171</v>
      </c>
      <c r="AA97" s="2">
        <f t="shared" si="8"/>
        <v>65.735730416034414</v>
      </c>
    </row>
    <row r="98" spans="1:27" x14ac:dyDescent="0.25">
      <c r="A98" s="2">
        <v>2033</v>
      </c>
      <c r="B98" s="2">
        <f>B10/'Output-Calculation-sheet'!B9*'Output-Calculation-sheet'!B81</f>
        <v>19669421451.447411</v>
      </c>
      <c r="C98" s="2">
        <f>C10/'Output-Calculation-sheet'!C9*'Output-Calculation-sheet'!C81</f>
        <v>6743653054.6746569</v>
      </c>
      <c r="D98" s="2">
        <f>D10/'Output-Calculation-sheet'!D9*'Output-Calculation-sheet'!D81</f>
        <v>6417903756.6863365</v>
      </c>
      <c r="E98" s="2">
        <f>E10/'Output-Calculation-sheet'!E9*'Output-Calculation-sheet'!E81</f>
        <v>12072480779.073711</v>
      </c>
      <c r="F98" s="2">
        <f>F10/'Output-Calculation-sheet'!F9*'Output-Calculation-sheet'!F81</f>
        <v>4978982878.2214813</v>
      </c>
      <c r="G98" s="2">
        <f>G10/'Output-Calculation-sheet'!G9*'Output-Calculation-sheet'!G81</f>
        <v>3655721566.7344079</v>
      </c>
      <c r="H98" s="2">
        <f>H10/'Output-Calculation-sheet'!H9*'Output-Calculation-sheet'!H81</f>
        <v>3312113607.6057081</v>
      </c>
      <c r="I98" s="2">
        <f>I10/'Output-Calculation-sheet'!I9*'Output-Calculation-sheet'!I81</f>
        <v>2753344230.0926032</v>
      </c>
      <c r="J98" s="2">
        <f>J10/'Output-Calculation-sheet'!J9*'Output-Calculation-sheet'!J81</f>
        <v>1760557697.8258388</v>
      </c>
      <c r="K98" s="2">
        <f>K10/'Output-Calculation-sheet'!K9*'Output-Calculation-sheet'!K81</f>
        <v>2557279874.2603908</v>
      </c>
      <c r="L98" s="2">
        <f>L10/'Output-Calculation-sheet'!L9*'Output-Calculation-sheet'!L81</f>
        <v>1917998185.2593243</v>
      </c>
      <c r="M98" s="2">
        <f>M10/'Output-Calculation-sheet'!M9*'Output-Calculation-sheet'!M81</f>
        <v>2487258256.1035337</v>
      </c>
      <c r="N98" s="2">
        <f>N10/'Output-Calculation-sheet'!N9*'Output-Calculation-sheet'!N81</f>
        <v>1784413729.9684584</v>
      </c>
      <c r="O98" s="2">
        <f>O10/'Output-Calculation-sheet'!O9*'Output-Calculation-sheet'!O81</f>
        <v>944947881.4670198</v>
      </c>
      <c r="P98" s="2">
        <f>P10/'Output-Calculation-sheet'!P9*'Output-Calculation-sheet'!P81</f>
        <v>3019779256.9031277</v>
      </c>
      <c r="Q98" s="2">
        <f>Q10/'Output-Calculation-sheet'!Q9*'Output-Calculation-sheet'!Q81</f>
        <v>1419823653.4131527</v>
      </c>
      <c r="R98" s="2">
        <f>R10/'Output-Calculation-sheet'!R9*'Output-Calculation-sheet'!R81</f>
        <v>1816169255.3070972</v>
      </c>
      <c r="S98" s="2">
        <f>S10/'Output-Calculation-sheet'!S9*'Output-Calculation-sheet'!S81</f>
        <v>1050069178.1555365</v>
      </c>
      <c r="T98" s="2">
        <f>T10/'Output-Calculation-sheet'!T9*'Output-Calculation-sheet'!T81</f>
        <v>779194529.61452043</v>
      </c>
      <c r="U98" s="2">
        <f>U10/'Output-Calculation-sheet'!U9*'Output-Calculation-sheet'!U81</f>
        <v>506994496.72706169</v>
      </c>
      <c r="V98" s="2">
        <f>V10/'Output-Calculation-sheet'!V9*'Output-Calculation-sheet'!V81</f>
        <v>268512823.13552731</v>
      </c>
      <c r="W98" s="2">
        <f>W10/'Output-Calculation-sheet'!W9*'Output-Calculation-sheet'!W81</f>
        <v>761326490.59615886</v>
      </c>
      <c r="X98" s="2">
        <f>X10/'Output-Calculation-sheet'!X9*'Output-Calculation-sheet'!X81</f>
        <v>279764451.15913033</v>
      </c>
      <c r="Y98" s="2">
        <f>Y10/'Output-Calculation-sheet'!Y9*'Output-Calculation-sheet'!Y81</f>
        <v>418624452.54493582</v>
      </c>
      <c r="AA98" s="2">
        <f t="shared" si="8"/>
        <v>81.376335536977109</v>
      </c>
    </row>
    <row r="99" spans="1:27" x14ac:dyDescent="0.25">
      <c r="A99" s="2">
        <v>2034</v>
      </c>
      <c r="B99" s="2">
        <f>B11/'Output-Calculation-sheet'!B10*'Output-Calculation-sheet'!B82</f>
        <v>23393023464.838657</v>
      </c>
      <c r="C99" s="2">
        <f>C11/'Output-Calculation-sheet'!C10*'Output-Calculation-sheet'!C82</f>
        <v>8071552859.2277231</v>
      </c>
      <c r="D99" s="2">
        <f>D11/'Output-Calculation-sheet'!D10*'Output-Calculation-sheet'!D82</f>
        <v>7342842702.4208784</v>
      </c>
      <c r="E99" s="2">
        <f>E11/'Output-Calculation-sheet'!E10*'Output-Calculation-sheet'!E82</f>
        <v>14204085321.738619</v>
      </c>
      <c r="F99" s="2">
        <f>F11/'Output-Calculation-sheet'!F10*'Output-Calculation-sheet'!F82</f>
        <v>5849934912.3381376</v>
      </c>
      <c r="G99" s="2">
        <f>G11/'Output-Calculation-sheet'!G10*'Output-Calculation-sheet'!G82</f>
        <v>4158887439.5785871</v>
      </c>
      <c r="H99" s="2">
        <f>H11/'Output-Calculation-sheet'!H10*'Output-Calculation-sheet'!H82</f>
        <v>3887235396.7982225</v>
      </c>
      <c r="I99" s="2">
        <f>I11/'Output-Calculation-sheet'!I10*'Output-Calculation-sheet'!I82</f>
        <v>3265007115.9769168</v>
      </c>
      <c r="J99" s="2">
        <f>J11/'Output-Calculation-sheet'!J10*'Output-Calculation-sheet'!J82</f>
        <v>2031812679.5411429</v>
      </c>
      <c r="K99" s="2">
        <f>K11/'Output-Calculation-sheet'!K10*'Output-Calculation-sheet'!K82</f>
        <v>2972808578.499361</v>
      </c>
      <c r="L99" s="2">
        <f>L11/'Output-Calculation-sheet'!L10*'Output-Calculation-sheet'!L82</f>
        <v>2295225622.2691936</v>
      </c>
      <c r="M99" s="2">
        <f>M11/'Output-Calculation-sheet'!M10*'Output-Calculation-sheet'!M82</f>
        <v>2928182373.1291451</v>
      </c>
      <c r="N99" s="2">
        <f>N11/'Output-Calculation-sheet'!N10*'Output-Calculation-sheet'!N82</f>
        <v>2062907217.8889925</v>
      </c>
      <c r="O99" s="2">
        <f>O11/'Output-Calculation-sheet'!O10*'Output-Calculation-sheet'!O82</f>
        <v>1118405531.7626059</v>
      </c>
      <c r="P99" s="2">
        <f>P11/'Output-Calculation-sheet'!P10*'Output-Calculation-sheet'!P82</f>
        <v>3486323407.1903477</v>
      </c>
      <c r="Q99" s="2">
        <f>Q11/'Output-Calculation-sheet'!Q10*'Output-Calculation-sheet'!Q82</f>
        <v>1649947318.7292228</v>
      </c>
      <c r="R99" s="2">
        <f>R11/'Output-Calculation-sheet'!R10*'Output-Calculation-sheet'!R82</f>
        <v>2135849173.7390628</v>
      </c>
      <c r="S99" s="2">
        <f>S11/'Output-Calculation-sheet'!S10*'Output-Calculation-sheet'!S82</f>
        <v>1230308834.9441688</v>
      </c>
      <c r="T99" s="2">
        <f>T11/'Output-Calculation-sheet'!T10*'Output-Calculation-sheet'!T82</f>
        <v>899211918.33072591</v>
      </c>
      <c r="U99" s="2">
        <f>U11/'Output-Calculation-sheet'!U10*'Output-Calculation-sheet'!U82</f>
        <v>595476259.04574192</v>
      </c>
      <c r="V99" s="2">
        <f>V11/'Output-Calculation-sheet'!V10*'Output-Calculation-sheet'!V82</f>
        <v>318393731.66120231</v>
      </c>
      <c r="W99" s="2">
        <f>W11/'Output-Calculation-sheet'!W10*'Output-Calculation-sheet'!W82</f>
        <v>882916965.43830049</v>
      </c>
      <c r="X99" s="2">
        <f>X11/'Output-Calculation-sheet'!X10*'Output-Calculation-sheet'!X82</f>
        <v>332530836.86049205</v>
      </c>
      <c r="Y99" s="2">
        <f>Y11/'Output-Calculation-sheet'!Y10*'Output-Calculation-sheet'!Y82</f>
        <v>485884359.7903387</v>
      </c>
      <c r="AA99" s="2">
        <f t="shared" si="8"/>
        <v>95.598754021737776</v>
      </c>
    </row>
    <row r="100" spans="1:27" x14ac:dyDescent="0.25">
      <c r="A100" s="2">
        <v>2035</v>
      </c>
      <c r="B100" s="2">
        <f>B12/'Output-Calculation-sheet'!B11*'Output-Calculation-sheet'!B83</f>
        <v>26674250554.421616</v>
      </c>
      <c r="C100" s="2">
        <f>C12/'Output-Calculation-sheet'!C11*'Output-Calculation-sheet'!C83</f>
        <v>9260866539.4412003</v>
      </c>
      <c r="D100" s="2">
        <f>D12/'Output-Calculation-sheet'!D11*'Output-Calculation-sheet'!D83</f>
        <v>8060396874.5182123</v>
      </c>
      <c r="E100" s="2">
        <f>E12/'Output-Calculation-sheet'!E11*'Output-Calculation-sheet'!E83</f>
        <v>16030049568.480289</v>
      </c>
      <c r="F100" s="2">
        <f>F12/'Output-Calculation-sheet'!F11*'Output-Calculation-sheet'!F83</f>
        <v>6594123228.1837978</v>
      </c>
      <c r="G100" s="2">
        <f>G12/'Output-Calculation-sheet'!G11*'Output-Calculation-sheet'!G83</f>
        <v>4531446657.618762</v>
      </c>
      <c r="H100" s="2">
        <f>H12/'Output-Calculation-sheet'!H11*'Output-Calculation-sheet'!H83</f>
        <v>4377038826.9623566</v>
      </c>
      <c r="I100" s="2">
        <f>I12/'Output-Calculation-sheet'!I11*'Output-Calculation-sheet'!I83</f>
        <v>3713830990.9911976</v>
      </c>
      <c r="J100" s="2">
        <f>J12/'Output-Calculation-sheet'!J11*'Output-Calculation-sheet'!J83</f>
        <v>2250741425.6894083</v>
      </c>
      <c r="K100" s="2">
        <f>K12/'Output-Calculation-sheet'!K11*'Output-Calculation-sheet'!K83</f>
        <v>3316300842.0496473</v>
      </c>
      <c r="L100" s="2">
        <f>L12/'Output-Calculation-sheet'!L11*'Output-Calculation-sheet'!L83</f>
        <v>2632953775.0801969</v>
      </c>
      <c r="M100" s="2">
        <f>M12/'Output-Calculation-sheet'!M11*'Output-Calculation-sheet'!M83</f>
        <v>3307573382.1436157</v>
      </c>
      <c r="N100" s="2">
        <f>N12/'Output-Calculation-sheet'!N11*'Output-Calculation-sheet'!N83</f>
        <v>2288579540.1356812</v>
      </c>
      <c r="O100" s="2">
        <f>O12/'Output-Calculation-sheet'!O11*'Output-Calculation-sheet'!O83</f>
        <v>1270306959.0639746</v>
      </c>
      <c r="P100" s="2">
        <f>P12/'Output-Calculation-sheet'!P11*'Output-Calculation-sheet'!P83</f>
        <v>3858012496.8639016</v>
      </c>
      <c r="Q100" s="2">
        <f>Q12/'Output-Calculation-sheet'!Q11*'Output-Calculation-sheet'!Q83</f>
        <v>1840289646.7117152</v>
      </c>
      <c r="R100" s="2">
        <f>R12/'Output-Calculation-sheet'!R11*'Output-Calculation-sheet'!R83</f>
        <v>2409756721.8303814</v>
      </c>
      <c r="S100" s="2">
        <f>S12/'Output-Calculation-sheet'!S11*'Output-Calculation-sheet'!S83</f>
        <v>1383076547.1180761</v>
      </c>
      <c r="T100" s="2">
        <f>T12/'Output-Calculation-sheet'!T11*'Output-Calculation-sheet'!T83</f>
        <v>995335911.70592904</v>
      </c>
      <c r="U100" s="2">
        <f>U12/'Output-Calculation-sheet'!U11*'Output-Calculation-sheet'!U83</f>
        <v>670743708.38924706</v>
      </c>
      <c r="V100" s="2">
        <f>V12/'Output-Calculation-sheet'!V11*'Output-Calculation-sheet'!V83</f>
        <v>361905201.86845386</v>
      </c>
      <c r="W100" s="2">
        <f>W12/'Output-Calculation-sheet'!W11*'Output-Calculation-sheet'!W83</f>
        <v>980490102.0419035</v>
      </c>
      <c r="X100" s="2">
        <f>X12/'Output-Calculation-sheet'!X11*'Output-Calculation-sheet'!X83</f>
        <v>379066786.72256529</v>
      </c>
      <c r="Y100" s="2">
        <f>Y12/'Output-Calculation-sheet'!Y11*'Output-Calculation-sheet'!Y83</f>
        <v>540308571.37558579</v>
      </c>
      <c r="AA100" s="2">
        <f t="shared" si="8"/>
        <v>107.72744485940773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1360995435.0063553</v>
      </c>
      <c r="C107" s="2">
        <f>C8/'Output-Calculation-sheet'!C7*'Output-Calculation-sheet'!C88</f>
        <v>22414126524.220901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6993297386.0813341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4824810944.2485209</v>
      </c>
      <c r="N107" s="2">
        <f>N8/'Output-Calculation-sheet'!N7*'Output-Calculation-sheet'!N88</f>
        <v>1465953136.3782933</v>
      </c>
      <c r="O107" s="2">
        <f>O8/'Output-Calculation-sheet'!O7*'Output-Calculation-sheet'!O88</f>
        <v>4355085247.1462107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483905161.55020493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522528569.49094862</v>
      </c>
      <c r="Y107" s="2">
        <f>Y8/'Output-Calculation-sheet'!Y7*'Output-Calculation-sheet'!Y88</f>
        <v>0</v>
      </c>
      <c r="AA107" s="2">
        <f t="shared" si="9"/>
        <v>42420.702404122771</v>
      </c>
    </row>
    <row r="108" spans="1:27" x14ac:dyDescent="0.25">
      <c r="A108" s="2">
        <v>2032</v>
      </c>
      <c r="B108" s="2">
        <f>B9/'Output-Calculation-sheet'!B8*'Output-Calculation-sheet'!B89</f>
        <v>6033880404.4220695</v>
      </c>
      <c r="C108" s="2">
        <f>C9/'Output-Calculation-sheet'!C8*'Output-Calculation-sheet'!C89</f>
        <v>30247375179.262856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9436972123.3690529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6510690191.1650543</v>
      </c>
      <c r="N108" s="2">
        <f>N9/'Output-Calculation-sheet'!N8*'Output-Calculation-sheet'!N89</f>
        <v>3068112101.3207502</v>
      </c>
      <c r="O108" s="2">
        <f>O9/'Output-Calculation-sheet'!O8*'Output-Calculation-sheet'!O89</f>
        <v>5877090724.7692032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922078622.4120549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705127208.79854512</v>
      </c>
      <c r="Y108" s="2">
        <f>Y9/'Output-Calculation-sheet'!Y8*'Output-Calculation-sheet'!Y89</f>
        <v>0</v>
      </c>
      <c r="AA108" s="2">
        <f t="shared" si="9"/>
        <v>62801.326555519576</v>
      </c>
    </row>
    <row r="109" spans="1:27" x14ac:dyDescent="0.25">
      <c r="A109" s="2">
        <v>2033</v>
      </c>
      <c r="B109" s="2">
        <f>B10/'Output-Calculation-sheet'!B9*'Output-Calculation-sheet'!B90</f>
        <v>16111969060.4699</v>
      </c>
      <c r="C109" s="2">
        <f>C10/'Output-Calculation-sheet'!C9*'Output-Calculation-sheet'!C90</f>
        <v>35558031991.089905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11837893638.368391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8167117888.4996662</v>
      </c>
      <c r="N109" s="2">
        <f>N10/'Output-Calculation-sheet'!N9*'Output-Calculation-sheet'!N90</f>
        <v>4809976197.6259289</v>
      </c>
      <c r="O109" s="2">
        <f>O10/'Output-Calculation-sheet'!O9*'Output-Calculation-sheet'!O90</f>
        <v>6523763241.1393232</v>
      </c>
      <c r="P109" s="2">
        <f>P10/'Output-Calculation-sheet'!P9*'Output-Calculation-sheet'!P90</f>
        <v>0</v>
      </c>
      <c r="Q109" s="2">
        <f>Q10/'Output-Calculation-sheet'!Q9*'Output-Calculation-sheet'!Q90</f>
        <v>156626011.69608682</v>
      </c>
      <c r="R109" s="2">
        <f>R10/'Output-Calculation-sheet'!R9*'Output-Calculation-sheet'!R90</f>
        <v>0</v>
      </c>
      <c r="S109" s="2">
        <f>S10/'Output-Calculation-sheet'!S9*'Output-Calculation-sheet'!S90</f>
        <v>1941301130.4004855</v>
      </c>
      <c r="T109" s="2">
        <f>T10/'Output-Calculation-sheet'!T9*'Output-Calculation-sheet'!T90</f>
        <v>1.4799071522681442E-7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884523577.2846725</v>
      </c>
      <c r="Y109" s="2">
        <f>Y10/'Output-Calculation-sheet'!Y9*'Output-Calculation-sheet'!Y90</f>
        <v>0</v>
      </c>
      <c r="AA109" s="2">
        <f t="shared" si="9"/>
        <v>85991.202736574371</v>
      </c>
    </row>
    <row r="110" spans="1:27" x14ac:dyDescent="0.25">
      <c r="A110" s="2">
        <v>2034</v>
      </c>
      <c r="B110" s="2">
        <f>B11/'Output-Calculation-sheet'!B10*'Output-Calculation-sheet'!B91</f>
        <v>37708192959.50293</v>
      </c>
      <c r="C110" s="2">
        <f>C11/'Output-Calculation-sheet'!C10*'Output-Calculation-sheet'!C91</f>
        <v>38130695011.060768</v>
      </c>
      <c r="D110" s="2">
        <f>D11/'Output-Calculation-sheet'!D10*'Output-Calculation-sheet'!D91</f>
        <v>0</v>
      </c>
      <c r="E110" s="2">
        <f>E11/'Output-Calculation-sheet'!E10*'Output-Calculation-sheet'!E91</f>
        <v>769226269.64249659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14083995667.591726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640117858.66832244</v>
      </c>
      <c r="M110" s="2">
        <f>M11/'Output-Calculation-sheet'!M10*'Output-Calculation-sheet'!M91</f>
        <v>9716731478.1800594</v>
      </c>
      <c r="N110" s="2">
        <f>N11/'Output-Calculation-sheet'!N10*'Output-Calculation-sheet'!N91</f>
        <v>6720577895.3561096</v>
      </c>
      <c r="O110" s="2">
        <f>O11/'Output-Calculation-sheet'!O10*'Output-Calculation-sheet'!O91</f>
        <v>6978017755.546649</v>
      </c>
      <c r="P110" s="2">
        <f>P11/'Output-Calculation-sheet'!P10*'Output-Calculation-sheet'!P91</f>
        <v>0</v>
      </c>
      <c r="Q110" s="2">
        <f>Q11/'Output-Calculation-sheet'!Q10*'Output-Calculation-sheet'!Q91</f>
        <v>1710175055.8402131</v>
      </c>
      <c r="R110" s="2">
        <f>R11/'Output-Calculation-sheet'!R10*'Output-Calculation-sheet'!R91</f>
        <v>0</v>
      </c>
      <c r="S110" s="2">
        <f>S11/'Output-Calculation-sheet'!S10*'Output-Calculation-sheet'!S91</f>
        <v>3304942039.7551274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962668984.76416004</v>
      </c>
      <c r="Y110" s="2">
        <f>Y11/'Output-Calculation-sheet'!Y10*'Output-Calculation-sheet'!Y91</f>
        <v>42127233.081726812</v>
      </c>
      <c r="AA110" s="2">
        <f t="shared" si="9"/>
        <v>120767.46820899026</v>
      </c>
    </row>
    <row r="111" spans="1:27" x14ac:dyDescent="0.25">
      <c r="A111" s="2">
        <v>2035</v>
      </c>
      <c r="B111" s="2">
        <f>B12/'Output-Calculation-sheet'!B11*'Output-Calculation-sheet'!B92</f>
        <v>47813875069.699341</v>
      </c>
      <c r="C111" s="2">
        <f>C12/'Output-Calculation-sheet'!C11*'Output-Calculation-sheet'!C92</f>
        <v>39988076379.637161</v>
      </c>
      <c r="D111" s="2">
        <f>D12/'Output-Calculation-sheet'!D11*'Output-Calculation-sheet'!D92</f>
        <v>0</v>
      </c>
      <c r="E111" s="2">
        <f>E12/'Output-Calculation-sheet'!E11*'Output-Calculation-sheet'!E92</f>
        <v>5322358486.92033</v>
      </c>
      <c r="F111" s="2">
        <f>F12/'Output-Calculation-sheet'!F11*'Output-Calculation-sheet'!F92</f>
        <v>0</v>
      </c>
      <c r="G111" s="2">
        <f>G12/'Output-Calculation-sheet'!G11*'Output-Calculation-sheet'!G92</f>
        <v>-5.7868298747515909E-7</v>
      </c>
      <c r="H111" s="2">
        <f>H12/'Output-Calculation-sheet'!H11*'Output-Calculation-sheet'!H92</f>
        <v>14801233739.025984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1756353387.5205669</v>
      </c>
      <c r="M111" s="2">
        <f>M12/'Output-Calculation-sheet'!M11*'Output-Calculation-sheet'!M92</f>
        <v>10444126406.690556</v>
      </c>
      <c r="N111" s="2">
        <f>N12/'Output-Calculation-sheet'!N11*'Output-Calculation-sheet'!N92</f>
        <v>7532514571.0314178</v>
      </c>
      <c r="O111" s="2">
        <f>O12/'Output-Calculation-sheet'!O11*'Output-Calculation-sheet'!O92</f>
        <v>7265372851.3174992</v>
      </c>
      <c r="P111" s="2">
        <f>P12/'Output-Calculation-sheet'!P11*'Output-Calculation-sheet'!P92</f>
        <v>365384547.34663987</v>
      </c>
      <c r="Q111" s="2">
        <f>Q12/'Output-Calculation-sheet'!Q11*'Output-Calculation-sheet'!Q92</f>
        <v>2513006445.8933191</v>
      </c>
      <c r="R111" s="2">
        <f>R12/'Output-Calculation-sheet'!R11*'Output-Calculation-sheet'!R92</f>
        <v>0</v>
      </c>
      <c r="S111" s="2">
        <f>S12/'Output-Calculation-sheet'!S11*'Output-Calculation-sheet'!S92</f>
        <v>3855547550.0513201</v>
      </c>
      <c r="T111" s="2">
        <f>T12/'Output-Calculation-sheet'!T11*'Output-Calculation-sheet'!T92</f>
        <v>0</v>
      </c>
      <c r="U111" s="2">
        <f>U12/'Output-Calculation-sheet'!U11*'Output-Calculation-sheet'!U92</f>
        <v>72904173.339848459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1030613022.6611675</v>
      </c>
      <c r="Y111" s="2">
        <f>Y12/'Output-Calculation-sheet'!Y11*'Output-Calculation-sheet'!Y92</f>
        <v>248292568.17893538</v>
      </c>
      <c r="AA111" s="2">
        <f t="shared" si="9"/>
        <v>143009.65919931408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46212964888.230171</v>
      </c>
      <c r="C118" s="2">
        <f>C8/'Output-Calculation-sheet'!C7*'Output-Calculation-sheet'!C97</f>
        <v>0</v>
      </c>
      <c r="D118" s="2">
        <f>D8/'Output-Calculation-sheet'!D7*'Output-Calculation-sheet'!D97</f>
        <v>19981611526.83461</v>
      </c>
      <c r="E118" s="2">
        <f>E8/'Output-Calculation-sheet'!E7*'Output-Calculation-sheet'!E97</f>
        <v>15853381076.577303</v>
      </c>
      <c r="F118" s="2">
        <f>F8/'Output-Calculation-sheet'!F7*'Output-Calculation-sheet'!F97</f>
        <v>10205390292.065468</v>
      </c>
      <c r="G118" s="2">
        <f>G8/'Output-Calculation-sheet'!G7*'Output-Calculation-sheet'!G97</f>
        <v>7170587298.5820904</v>
      </c>
      <c r="H118" s="2">
        <f>H8/'Output-Calculation-sheet'!H7*'Output-Calculation-sheet'!H97</f>
        <v>0</v>
      </c>
      <c r="I118" s="2">
        <f>I8/'Output-Calculation-sheet'!I7*'Output-Calculation-sheet'!I97</f>
        <v>6532969477.5711327</v>
      </c>
      <c r="J118" s="2">
        <f>J8/'Output-Calculation-sheet'!J7*'Output-Calculation-sheet'!J97</f>
        <v>6358742525.9457064</v>
      </c>
      <c r="K118" s="2">
        <f>K8/'Output-Calculation-sheet'!K7*'Output-Calculation-sheet'!K97</f>
        <v>6297781338.0794525</v>
      </c>
      <c r="L118" s="2">
        <f>L8/'Output-Calculation-sheet'!L7*'Output-Calculation-sheet'!L97</f>
        <v>5052162078.0188866</v>
      </c>
      <c r="M118" s="2">
        <f>M8/'Output-Calculation-sheet'!M7*'Output-Calculation-sheet'!M97</f>
        <v>0</v>
      </c>
      <c r="N118" s="2">
        <f>N8/'Output-Calculation-sheet'!N7*'Output-Calculation-sheet'!N97</f>
        <v>3270407800.0284982</v>
      </c>
      <c r="O118" s="2">
        <f>O8/'Output-Calculation-sheet'!O7*'Output-Calculation-sheet'!O97</f>
        <v>0</v>
      </c>
      <c r="P118" s="2">
        <f>P8/'Output-Calculation-sheet'!P7*'Output-Calculation-sheet'!P97</f>
        <v>4311759855.19695</v>
      </c>
      <c r="Q118" s="2">
        <f>Q8/'Output-Calculation-sheet'!Q7*'Output-Calculation-sheet'!Q97</f>
        <v>4242074043.3829317</v>
      </c>
      <c r="R118" s="2">
        <f>R8/'Output-Calculation-sheet'!R7*'Output-Calculation-sheet'!R97</f>
        <v>4081070323.8866134</v>
      </c>
      <c r="S118" s="2">
        <f>S8/'Output-Calculation-sheet'!S7*'Output-Calculation-sheet'!S97</f>
        <v>2228583555.1123481</v>
      </c>
      <c r="T118" s="2">
        <f>T8/'Output-Calculation-sheet'!T7*'Output-Calculation-sheet'!T97</f>
        <v>1500166652.1972597</v>
      </c>
      <c r="U118" s="2">
        <f>U8/'Output-Calculation-sheet'!U7*'Output-Calculation-sheet'!U97</f>
        <v>1306593638.9721096</v>
      </c>
      <c r="V118" s="2">
        <f>V8/'Output-Calculation-sheet'!V7*'Output-Calculation-sheet'!V97</f>
        <v>1006103629.2411075</v>
      </c>
      <c r="W118" s="2">
        <f>W8/'Output-Calculation-sheet'!W7*'Output-Calculation-sheet'!W97</f>
        <v>871062425.71463084</v>
      </c>
      <c r="X118" s="2">
        <f>X8/'Output-Calculation-sheet'!X7*'Output-Calculation-sheet'!X97</f>
        <v>0</v>
      </c>
      <c r="Y118" s="2">
        <f>Y8/'Output-Calculation-sheet'!Y7*'Output-Calculation-sheet'!Y97</f>
        <v>508259897.82919919</v>
      </c>
      <c r="AA118" s="2">
        <f t="shared" si="10"/>
        <v>146991.67232346648</v>
      </c>
    </row>
    <row r="119" spans="1:27" x14ac:dyDescent="0.25">
      <c r="A119" s="2">
        <v>2032</v>
      </c>
      <c r="B119" s="2">
        <f>B9/'Output-Calculation-sheet'!B8*'Output-Calculation-sheet'!B98</f>
        <v>58163197934.502953</v>
      </c>
      <c r="C119" s="2">
        <f>C9/'Output-Calculation-sheet'!C8*'Output-Calculation-sheet'!C98</f>
        <v>0</v>
      </c>
      <c r="D119" s="2">
        <f>D9/'Output-Calculation-sheet'!D8*'Output-Calculation-sheet'!D98</f>
        <v>26963514678.167717</v>
      </c>
      <c r="E119" s="2">
        <f>E9/'Output-Calculation-sheet'!E8*'Output-Calculation-sheet'!E98</f>
        <v>21392807703.512104</v>
      </c>
      <c r="F119" s="2">
        <f>F9/'Output-Calculation-sheet'!F8*'Output-Calculation-sheet'!F98</f>
        <v>13771322255.898592</v>
      </c>
      <c r="G119" s="2">
        <f>G9/'Output-Calculation-sheet'!G8*'Output-Calculation-sheet'!G98</f>
        <v>9676108992.4552975</v>
      </c>
      <c r="H119" s="2">
        <f>H9/'Output-Calculation-sheet'!H8*'Output-Calculation-sheet'!H98</f>
        <v>1.2943780168745199E-6</v>
      </c>
      <c r="I119" s="2">
        <f>I9/'Output-Calculation-sheet'!I8*'Output-Calculation-sheet'!I98</f>
        <v>8815697630.8058586</v>
      </c>
      <c r="J119" s="2">
        <f>J9/'Output-Calculation-sheet'!J8*'Output-Calculation-sheet'!J98</f>
        <v>8580589553.7232904</v>
      </c>
      <c r="K119" s="2">
        <f>K9/'Output-Calculation-sheet'!K8*'Output-Calculation-sheet'!K98</f>
        <v>8498328878.3808651</v>
      </c>
      <c r="L119" s="2">
        <f>L9/'Output-Calculation-sheet'!L8*'Output-Calculation-sheet'!L98</f>
        <v>6817471522.4863405</v>
      </c>
      <c r="M119" s="2">
        <f>M9/'Output-Calculation-sheet'!M8*'Output-Calculation-sheet'!M98</f>
        <v>0</v>
      </c>
      <c r="N119" s="2">
        <f>N9/'Output-Calculation-sheet'!N8*'Output-Calculation-sheet'!N98</f>
        <v>3322676379.4643383</v>
      </c>
      <c r="O119" s="2">
        <f>O9/'Output-Calculation-sheet'!O8*'Output-Calculation-sheet'!O98</f>
        <v>0</v>
      </c>
      <c r="P119" s="2">
        <f>P9/'Output-Calculation-sheet'!P8*'Output-Calculation-sheet'!P98</f>
        <v>5818321107.8454056</v>
      </c>
      <c r="Q119" s="2">
        <f>Q9/'Output-Calculation-sheet'!Q8*'Output-Calculation-sheet'!Q98</f>
        <v>5724324352.5105476</v>
      </c>
      <c r="R119" s="2">
        <f>R9/'Output-Calculation-sheet'!R8*'Output-Calculation-sheet'!R98</f>
        <v>5507063733.6238041</v>
      </c>
      <c r="S119" s="2">
        <f>S9/'Output-Calculation-sheet'!S8*'Output-Calculation-sheet'!S98</f>
        <v>2738002175.5129704</v>
      </c>
      <c r="T119" s="2">
        <f>T9/'Output-Calculation-sheet'!T8*'Output-Calculation-sheet'!T98</f>
        <v>2024349194.6708891</v>
      </c>
      <c r="U119" s="2">
        <f>U9/'Output-Calculation-sheet'!U8*'Output-Calculation-sheet'!U98</f>
        <v>1763139325.8341501</v>
      </c>
      <c r="V119" s="2">
        <f>V9/'Output-Calculation-sheet'!V8*'Output-Calculation-sheet'!V98</f>
        <v>1357652543.9012063</v>
      </c>
      <c r="W119" s="2">
        <f>W9/'Output-Calculation-sheet'!W8*'Output-Calculation-sheet'!W98</f>
        <v>1175426032.5203035</v>
      </c>
      <c r="X119" s="2">
        <f>X9/'Output-Calculation-sheet'!X8*'Output-Calculation-sheet'!X98</f>
        <v>0</v>
      </c>
      <c r="Y119" s="2">
        <f>Y9/'Output-Calculation-sheet'!Y8*'Output-Calculation-sheet'!Y98</f>
        <v>685854037.71621144</v>
      </c>
      <c r="AA119" s="2">
        <f t="shared" si="10"/>
        <v>192795.84803353282</v>
      </c>
    </row>
    <row r="120" spans="1:27" x14ac:dyDescent="0.25">
      <c r="A120" s="2">
        <v>2033</v>
      </c>
      <c r="B120" s="2">
        <f>B10/'Output-Calculation-sheet'!B9*'Output-Calculation-sheet'!B99</f>
        <v>64410602187.087807</v>
      </c>
      <c r="C120" s="2">
        <f>C10/'Output-Calculation-sheet'!C9*'Output-Calculation-sheet'!C99</f>
        <v>0</v>
      </c>
      <c r="D120" s="2">
        <f>D10/'Output-Calculation-sheet'!D9*'Output-Calculation-sheet'!D99</f>
        <v>33822464696.789612</v>
      </c>
      <c r="E120" s="2">
        <f>E10/'Output-Calculation-sheet'!E9*'Output-Calculation-sheet'!E99</f>
        <v>26834690045.346027</v>
      </c>
      <c r="F120" s="2">
        <f>F10/'Output-Calculation-sheet'!F9*'Output-Calculation-sheet'!F99</f>
        <v>17274452935.719463</v>
      </c>
      <c r="G120" s="2">
        <f>G10/'Output-Calculation-sheet'!G9*'Output-Calculation-sheet'!G99</f>
        <v>12137504717.201214</v>
      </c>
      <c r="H120" s="2">
        <f>H10/'Output-Calculation-sheet'!H9*'Output-Calculation-sheet'!H99</f>
        <v>0</v>
      </c>
      <c r="I120" s="2">
        <f>I10/'Output-Calculation-sheet'!I9*'Output-Calculation-sheet'!I99</f>
        <v>11058223649.526611</v>
      </c>
      <c r="J120" s="2">
        <f>J10/'Output-Calculation-sheet'!J9*'Output-Calculation-sheet'!J99</f>
        <v>10763309058.427786</v>
      </c>
      <c r="K120" s="2">
        <f>K10/'Output-Calculation-sheet'!K9*'Output-Calculation-sheet'!K99</f>
        <v>10660375656.724737</v>
      </c>
      <c r="L120" s="2">
        <f>L10/'Output-Calculation-sheet'!L9*'Output-Calculation-sheet'!L99</f>
        <v>8551691300.5850039</v>
      </c>
      <c r="M120" s="2">
        <f>M10/'Output-Calculation-sheet'!M9*'Output-Calculation-sheet'!M99</f>
        <v>0</v>
      </c>
      <c r="N120" s="2">
        <f>N10/'Output-Calculation-sheet'!N9*'Output-Calculation-sheet'!N99</f>
        <v>3206023228.403295</v>
      </c>
      <c r="O120" s="2">
        <f>O10/'Output-Calculation-sheet'!O9*'Output-Calculation-sheet'!O99</f>
        <v>0</v>
      </c>
      <c r="P120" s="2">
        <f>P10/'Output-Calculation-sheet'!P9*'Output-Calculation-sheet'!P99</f>
        <v>7297995197.5758514</v>
      </c>
      <c r="Q120" s="2">
        <f>Q10/'Output-Calculation-sheet'!Q9*'Output-Calculation-sheet'!Q99</f>
        <v>7023774882.9484444</v>
      </c>
      <c r="R120" s="2">
        <f>R10/'Output-Calculation-sheet'!R9*'Output-Calculation-sheet'!R99</f>
        <v>6907619349.558094</v>
      </c>
      <c r="S120" s="2">
        <f>S10/'Output-Calculation-sheet'!S9*'Output-Calculation-sheet'!S99</f>
        <v>2649520359.6512332</v>
      </c>
      <c r="T120" s="2">
        <f>T10/'Output-Calculation-sheet'!T9*'Output-Calculation-sheet'!T99</f>
        <v>2539278740.8414741</v>
      </c>
      <c r="U120" s="2">
        <f>U10/'Output-Calculation-sheet'!U9*'Output-Calculation-sheet'!U99</f>
        <v>2212119363.2336383</v>
      </c>
      <c r="V120" s="2">
        <f>V10/'Output-Calculation-sheet'!V9*'Output-Calculation-sheet'!V99</f>
        <v>1703010567.5793283</v>
      </c>
      <c r="W120" s="2">
        <f>W10/'Output-Calculation-sheet'!W9*'Output-Calculation-sheet'!W99</f>
        <v>1474429727.0185206</v>
      </c>
      <c r="X120" s="2">
        <f>X10/'Output-Calculation-sheet'!X9*'Output-Calculation-sheet'!X99</f>
        <v>0</v>
      </c>
      <c r="Y120" s="2">
        <f>Y10/'Output-Calculation-sheet'!Y9*'Output-Calculation-sheet'!Y99</f>
        <v>860322013.98923385</v>
      </c>
      <c r="AA120" s="2">
        <f t="shared" si="10"/>
        <v>231387.40767820735</v>
      </c>
    </row>
    <row r="121" spans="1:27" x14ac:dyDescent="0.25">
      <c r="A121" s="2">
        <v>2034</v>
      </c>
      <c r="B121" s="2">
        <f>B11/'Output-Calculation-sheet'!B10*'Output-Calculation-sheet'!B100</f>
        <v>58084242916.405228</v>
      </c>
      <c r="C121" s="2">
        <f>C11/'Output-Calculation-sheet'!C10*'Output-Calculation-sheet'!C100</f>
        <v>0</v>
      </c>
      <c r="D121" s="2">
        <f>D11/'Output-Calculation-sheet'!D10*'Output-Calculation-sheet'!D100</f>
        <v>40239012213.667328</v>
      </c>
      <c r="E121" s="2">
        <f>E11/'Output-Calculation-sheet'!E10*'Output-Calculation-sheet'!E100</f>
        <v>31154995614.453327</v>
      </c>
      <c r="F121" s="2">
        <f>F11/'Output-Calculation-sheet'!F10*'Output-Calculation-sheet'!F100</f>
        <v>20551523491.603954</v>
      </c>
      <c r="G121" s="2">
        <f>G11/'Output-Calculation-sheet'!G10*'Output-Calculation-sheet'!G100</f>
        <v>14439359897.472723</v>
      </c>
      <c r="H121" s="2">
        <f>H11/'Output-Calculation-sheet'!H10*'Output-Calculation-sheet'!H100</f>
        <v>0</v>
      </c>
      <c r="I121" s="2">
        <f>I11/'Output-Calculation-sheet'!I10*'Output-Calculation-sheet'!I100</f>
        <v>13155639677.912708</v>
      </c>
      <c r="J121" s="2">
        <f>J11/'Output-Calculation-sheet'!J10*'Output-Calculation-sheet'!J100</f>
        <v>12804930097.210426</v>
      </c>
      <c r="K121" s="2">
        <f>K11/'Output-Calculation-sheet'!K10*'Output-Calculation-sheet'!K100</f>
        <v>12682489144.461708</v>
      </c>
      <c r="L121" s="2">
        <f>L11/'Output-Calculation-sheet'!L10*'Output-Calculation-sheet'!L100</f>
        <v>9533641257.9697456</v>
      </c>
      <c r="M121" s="2">
        <f>M11/'Output-Calculation-sheet'!M10*'Output-Calculation-sheet'!M100</f>
        <v>6.5076559851795886E-7</v>
      </c>
      <c r="N121" s="2">
        <f>N11/'Output-Calculation-sheet'!N10*'Output-Calculation-sheet'!N100</f>
        <v>2816363521.0244656</v>
      </c>
      <c r="O121" s="2">
        <f>O11/'Output-Calculation-sheet'!O10*'Output-Calculation-sheet'!O100</f>
        <v>0</v>
      </c>
      <c r="P121" s="2">
        <f>P11/'Output-Calculation-sheet'!P10*'Output-Calculation-sheet'!P100</f>
        <v>8682159067.9842358</v>
      </c>
      <c r="Q121" s="2">
        <f>Q11/'Output-Calculation-sheet'!Q10*'Output-Calculation-sheet'!Q100</f>
        <v>6831739269.3325644</v>
      </c>
      <c r="R121" s="2">
        <f>R11/'Output-Calculation-sheet'!R10*'Output-Calculation-sheet'!R100</f>
        <v>8217722661.0547447</v>
      </c>
      <c r="S121" s="2">
        <f>S11/'Output-Calculation-sheet'!S10*'Output-Calculation-sheet'!S100</f>
        <v>2156771314.9970903</v>
      </c>
      <c r="T121" s="2">
        <f>T11/'Output-Calculation-sheet'!T10*'Output-Calculation-sheet'!T100</f>
        <v>3020833447.5744882</v>
      </c>
      <c r="U121" s="2">
        <f>U11/'Output-Calculation-sheet'!U10*'Output-Calculation-sheet'!U100</f>
        <v>2632638842.9403992</v>
      </c>
      <c r="V121" s="2">
        <f>V11/'Output-Calculation-sheet'!V10*'Output-Calculation-sheet'!V100</f>
        <v>2026662513.9515345</v>
      </c>
      <c r="W121" s="2">
        <f>W11/'Output-Calculation-sheet'!W10*'Output-Calculation-sheet'!W100</f>
        <v>1754199717.7952032</v>
      </c>
      <c r="X121" s="2">
        <f>X11/'Output-Calculation-sheet'!X10*'Output-Calculation-sheet'!X100</f>
        <v>77875084.725630626</v>
      </c>
      <c r="Y121" s="2">
        <f>Y11/'Output-Calculation-sheet'!Y10*'Output-Calculation-sheet'!Y100</f>
        <v>981390214.57667792</v>
      </c>
      <c r="AA121" s="2">
        <f t="shared" si="10"/>
        <v>251844.18996711416</v>
      </c>
    </row>
    <row r="122" spans="1:27" x14ac:dyDescent="0.25">
      <c r="A122" s="2">
        <v>2035</v>
      </c>
      <c r="B122" s="2">
        <f>B12/'Output-Calculation-sheet'!B11*'Output-Calculation-sheet'!B101</f>
        <v>55020041625.961212</v>
      </c>
      <c r="C122" s="2">
        <f>C12/'Output-Calculation-sheet'!C11*'Output-Calculation-sheet'!C101</f>
        <v>0</v>
      </c>
      <c r="D122" s="2">
        <f>D12/'Output-Calculation-sheet'!D11*'Output-Calculation-sheet'!D101</f>
        <v>42749552062.245445</v>
      </c>
      <c r="E122" s="2">
        <f>E12/'Output-Calculation-sheet'!E11*'Output-Calculation-sheet'!E101</f>
        <v>30212175310.022964</v>
      </c>
      <c r="F122" s="2">
        <f>F12/'Output-Calculation-sheet'!F11*'Output-Calculation-sheet'!F101</f>
        <v>22483093868.50819</v>
      </c>
      <c r="G122" s="2">
        <f>G12/'Output-Calculation-sheet'!G11*'Output-Calculation-sheet'!G101</f>
        <v>15564336932.920334</v>
      </c>
      <c r="H122" s="2">
        <f>H12/'Output-Calculation-sheet'!H11*'Output-Calculation-sheet'!H101</f>
        <v>0</v>
      </c>
      <c r="I122" s="2">
        <f>I12/'Output-Calculation-sheet'!I11*'Output-Calculation-sheet'!I101</f>
        <v>14218836718.652056</v>
      </c>
      <c r="J122" s="2">
        <f>J12/'Output-Calculation-sheet'!J11*'Output-Calculation-sheet'!J101</f>
        <v>13710661809.916183</v>
      </c>
      <c r="K122" s="2">
        <f>K12/'Output-Calculation-sheet'!K11*'Output-Calculation-sheet'!K101</f>
        <v>13787017173.919992</v>
      </c>
      <c r="L122" s="2">
        <f>L12/'Output-Calculation-sheet'!L11*'Output-Calculation-sheet'!L101</f>
        <v>9487877484.068552</v>
      </c>
      <c r="M122" s="2">
        <f>M12/'Output-Calculation-sheet'!M11*'Output-Calculation-sheet'!M101</f>
        <v>0</v>
      </c>
      <c r="N122" s="2">
        <f>N12/'Output-Calculation-sheet'!N11*'Output-Calculation-sheet'!N101</f>
        <v>2669943066.4504132</v>
      </c>
      <c r="O122" s="2">
        <f>O12/'Output-Calculation-sheet'!O11*'Output-Calculation-sheet'!O101</f>
        <v>0</v>
      </c>
      <c r="P122" s="2">
        <f>P12/'Output-Calculation-sheet'!P11*'Output-Calculation-sheet'!P101</f>
        <v>9189017395.5459671</v>
      </c>
      <c r="Q122" s="2">
        <f>Q12/'Output-Calculation-sheet'!Q11*'Output-Calculation-sheet'!Q101</f>
        <v>6518126455.2874804</v>
      </c>
      <c r="R122" s="2">
        <f>R12/'Output-Calculation-sheet'!R11*'Output-Calculation-sheet'!R101</f>
        <v>8985362501.7305355</v>
      </c>
      <c r="S122" s="2">
        <f>S12/'Output-Calculation-sheet'!S11*'Output-Calculation-sheet'!S101</f>
        <v>1969805171.8916748</v>
      </c>
      <c r="T122" s="2">
        <f>T12/'Output-Calculation-sheet'!T11*'Output-Calculation-sheet'!T101</f>
        <v>3350834436.9818645</v>
      </c>
      <c r="U122" s="2">
        <f>U12/'Output-Calculation-sheet'!U11*'Output-Calculation-sheet'!U101</f>
        <v>2720371998.9864621</v>
      </c>
      <c r="V122" s="2">
        <f>V12/'Output-Calculation-sheet'!V11*'Output-Calculation-sheet'!V101</f>
        <v>2259770903.0302253</v>
      </c>
      <c r="W122" s="2">
        <f>W12/'Output-Calculation-sheet'!W11*'Output-Calculation-sheet'!W101</f>
        <v>1970506126.0545394</v>
      </c>
      <c r="X122" s="2">
        <f>X12/'Output-Calculation-sheet'!X11*'Output-Calculation-sheet'!X101</f>
        <v>72566238.149841651</v>
      </c>
      <c r="Y122" s="2">
        <f>Y12/'Output-Calculation-sheet'!Y11*'Output-Calculation-sheet'!Y101</f>
        <v>889601098.36409712</v>
      </c>
      <c r="AA122" s="2">
        <f t="shared" si="10"/>
        <v>257829.49837868795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47573961189.602028</v>
      </c>
      <c r="C129" s="2">
        <f>C8/'Output-Calculation-sheet'!C7*'Output-Calculation-sheet'!C106</f>
        <v>22419248846.312126</v>
      </c>
      <c r="D129" s="2">
        <f>D8/'Output-Calculation-sheet'!D7*'Output-Calculation-sheet'!D106</f>
        <v>19981611526.83461</v>
      </c>
      <c r="E129" s="2">
        <f>E8/'Output-Calculation-sheet'!E7*'Output-Calculation-sheet'!E106</f>
        <v>15853381076.577303</v>
      </c>
      <c r="F129" s="2">
        <f>F8/'Output-Calculation-sheet'!F7*'Output-Calculation-sheet'!F106</f>
        <v>10205390292.065468</v>
      </c>
      <c r="G129" s="2">
        <f>G8/'Output-Calculation-sheet'!G7*'Output-Calculation-sheet'!G106</f>
        <v>7170587298.5820904</v>
      </c>
      <c r="H129" s="2">
        <f>H8/'Output-Calculation-sheet'!H7*'Output-Calculation-sheet'!H106</f>
        <v>6994632653.986165</v>
      </c>
      <c r="I129" s="2">
        <f>I8/'Output-Calculation-sheet'!I7*'Output-Calculation-sheet'!I106</f>
        <v>6532969477.5711327</v>
      </c>
      <c r="J129" s="2">
        <f>J8/'Output-Calculation-sheet'!J7*'Output-Calculation-sheet'!J106</f>
        <v>6358742525.9457064</v>
      </c>
      <c r="K129" s="2">
        <f>K8/'Output-Calculation-sheet'!K7*'Output-Calculation-sheet'!K106</f>
        <v>6297781338.0794525</v>
      </c>
      <c r="L129" s="2">
        <f>L8/'Output-Calculation-sheet'!L7*'Output-Calculation-sheet'!L106</f>
        <v>5052162078.0188866</v>
      </c>
      <c r="M129" s="2">
        <f>M8/'Output-Calculation-sheet'!M7*'Output-Calculation-sheet'!M106</f>
        <v>4825686787.4325523</v>
      </c>
      <c r="N129" s="2">
        <f>N8/'Output-Calculation-sheet'!N7*'Output-Calculation-sheet'!N106</f>
        <v>4736398562.5749178</v>
      </c>
      <c r="O129" s="2">
        <f>O8/'Output-Calculation-sheet'!O7*'Output-Calculation-sheet'!O106</f>
        <v>4356078663.7391739</v>
      </c>
      <c r="P129" s="2">
        <f>P8/'Output-Calculation-sheet'!P7*'Output-Calculation-sheet'!P106</f>
        <v>4311759855.19695</v>
      </c>
      <c r="Q129" s="2">
        <f>Q8/'Output-Calculation-sheet'!Q7*'Output-Calculation-sheet'!Q106</f>
        <v>4242074043.3829317</v>
      </c>
      <c r="R129" s="2">
        <f>R8/'Output-Calculation-sheet'!R7*'Output-Calculation-sheet'!R106</f>
        <v>4081070323.8866134</v>
      </c>
      <c r="S129" s="2">
        <f>S8/'Output-Calculation-sheet'!S7*'Output-Calculation-sheet'!S106</f>
        <v>2712488401.0250902</v>
      </c>
      <c r="T129" s="2">
        <f>T8/'Output-Calculation-sheet'!T7*'Output-Calculation-sheet'!T106</f>
        <v>1500166652.1972597</v>
      </c>
      <c r="U129" s="2">
        <f>U8/'Output-Calculation-sheet'!U7*'Output-Calculation-sheet'!U106</f>
        <v>1306593638.9721096</v>
      </c>
      <c r="V129" s="2">
        <f>V8/'Output-Calculation-sheet'!V7*'Output-Calculation-sheet'!V106</f>
        <v>1006103629.2411075</v>
      </c>
      <c r="W129" s="2">
        <f>W8/'Output-Calculation-sheet'!W7*'Output-Calculation-sheet'!W106</f>
        <v>871062425.71463084</v>
      </c>
      <c r="X129" s="2">
        <f>X8/'Output-Calculation-sheet'!X7*'Output-Calculation-sheet'!X106</f>
        <v>522637558.20569122</v>
      </c>
      <c r="Y129" s="2">
        <f>Y8/'Output-Calculation-sheet'!Y7*'Output-Calculation-sheet'!Y106</f>
        <v>508259897.82919919</v>
      </c>
      <c r="AA129" s="2">
        <f t="shared" si="11"/>
        <v>189420.84874297323</v>
      </c>
    </row>
    <row r="130" spans="1:27" x14ac:dyDescent="0.25">
      <c r="A130" s="2">
        <v>2032</v>
      </c>
      <c r="B130" s="2">
        <f>B9/'Output-Calculation-sheet'!B8*'Output-Calculation-sheet'!B107</f>
        <v>38518252618.184639</v>
      </c>
      <c r="C130" s="2">
        <f>C9/'Output-Calculation-sheet'!C8*'Output-Calculation-sheet'!C107</f>
        <v>18151735323.08828</v>
      </c>
      <c r="D130" s="2">
        <f>D9/'Output-Calculation-sheet'!D8*'Output-Calculation-sheet'!D107</f>
        <v>16178105434.510578</v>
      </c>
      <c r="E130" s="2">
        <f>E9/'Output-Calculation-sheet'!E8*'Output-Calculation-sheet'!E107</f>
        <v>12835683282.031979</v>
      </c>
      <c r="F130" s="2">
        <f>F9/'Output-Calculation-sheet'!F8*'Output-Calculation-sheet'!F107</f>
        <v>8262794196.3546143</v>
      </c>
      <c r="G130" s="2">
        <f>G9/'Output-Calculation-sheet'!G8*'Output-Calculation-sheet'!G107</f>
        <v>5805666000.3475628</v>
      </c>
      <c r="H130" s="2">
        <f>H9/'Output-Calculation-sheet'!H8*'Output-Calculation-sheet'!H107</f>
        <v>5663202847.4171047</v>
      </c>
      <c r="I130" s="2">
        <f>I9/'Output-Calculation-sheet'!I8*'Output-Calculation-sheet'!I107</f>
        <v>5289418034.4351206</v>
      </c>
      <c r="J130" s="2">
        <f>J9/'Output-Calculation-sheet'!J8*'Output-Calculation-sheet'!J107</f>
        <v>5148353193.8046837</v>
      </c>
      <c r="K130" s="2">
        <f>K9/'Output-Calculation-sheet'!K8*'Output-Calculation-sheet'!K107</f>
        <v>5098997327.0285196</v>
      </c>
      <c r="L130" s="2">
        <f>L9/'Output-Calculation-sheet'!L8*'Output-Calculation-sheet'!L107</f>
        <v>4090482488.3129058</v>
      </c>
      <c r="M130" s="2">
        <f>M9/'Output-Calculation-sheet'!M8*'Output-Calculation-sheet'!M107</f>
        <v>3907117293.7622418</v>
      </c>
      <c r="N130" s="2">
        <f>N9/'Output-Calculation-sheet'!N8*'Output-Calculation-sheet'!N107</f>
        <v>3834822607.362874</v>
      </c>
      <c r="O130" s="2">
        <f>O9/'Output-Calculation-sheet'!O8*'Output-Calculation-sheet'!O107</f>
        <v>3526898630.0930271</v>
      </c>
      <c r="P130" s="2">
        <f>P9/'Output-Calculation-sheet'!P8*'Output-Calculation-sheet'!P107</f>
        <v>3491014996.2731996</v>
      </c>
      <c r="Q130" s="2">
        <f>Q9/'Output-Calculation-sheet'!Q8*'Output-Calculation-sheet'!Q107</f>
        <v>3434595653.1088119</v>
      </c>
      <c r="R130" s="2">
        <f>R9/'Output-Calculation-sheet'!R8*'Output-Calculation-sheet'!R107</f>
        <v>3304238584.4886432</v>
      </c>
      <c r="S130" s="2">
        <f>S9/'Output-Calculation-sheet'!S8*'Output-Calculation-sheet'!S107</f>
        <v>2196165943.5608926</v>
      </c>
      <c r="T130" s="2">
        <f>T9/'Output-Calculation-sheet'!T8*'Output-Calculation-sheet'!T107</f>
        <v>1214609771.5709651</v>
      </c>
      <c r="U130" s="2">
        <f>U9/'Output-Calculation-sheet'!U8*'Output-Calculation-sheet'!U107</f>
        <v>1057883263.1656545</v>
      </c>
      <c r="V130" s="2">
        <f>V9/'Output-Calculation-sheet'!V8*'Output-Calculation-sheet'!V107</f>
        <v>814591270.08042455</v>
      </c>
      <c r="W130" s="2">
        <f>W9/'Output-Calculation-sheet'!W8*'Output-Calculation-sheet'!W107</f>
        <v>705255693.47956467</v>
      </c>
      <c r="X130" s="2">
        <f>X9/'Output-Calculation-sheet'!X8*'Output-Calculation-sheet'!X107</f>
        <v>423153333.06006473</v>
      </c>
      <c r="Y130" s="2">
        <f>Y9/'Output-Calculation-sheet'!Y8*'Output-Calculation-sheet'!Y107</f>
        <v>411512465.3143546</v>
      </c>
      <c r="AA130" s="2">
        <f t="shared" si="11"/>
        <v>153364.55025083668</v>
      </c>
    </row>
    <row r="131" spans="1:27" x14ac:dyDescent="0.25">
      <c r="A131" s="2">
        <v>2033</v>
      </c>
      <c r="B131" s="2">
        <f>B10/'Output-Calculation-sheet'!B9*'Output-Calculation-sheet'!B108</f>
        <v>26842496984.416218</v>
      </c>
      <c r="C131" s="2">
        <f>C10/'Output-Calculation-sheet'!C9*'Output-Calculation-sheet'!C108</f>
        <v>15708077110.899227</v>
      </c>
      <c r="D131" s="2">
        <f>D10/'Output-Calculation-sheet'!D9*'Output-Calculation-sheet'!D108</f>
        <v>11274157836.606819</v>
      </c>
      <c r="E131" s="2">
        <f>E10/'Output-Calculation-sheet'!E9*'Output-Calculation-sheet'!E108</f>
        <v>8944896681.7820091</v>
      </c>
      <c r="F131" s="2">
        <f>F10/'Output-Calculation-sheet'!F9*'Output-Calculation-sheet'!F108</f>
        <v>5758150978.5731544</v>
      </c>
      <c r="G131" s="2">
        <f>G10/'Output-Calculation-sheet'!G9*'Output-Calculation-sheet'!G108</f>
        <v>4045834905.7337379</v>
      </c>
      <c r="H131" s="2">
        <f>H10/'Output-Calculation-sheet'!H9*'Output-Calculation-sheet'!H108</f>
        <v>3946556643.955524</v>
      </c>
      <c r="I131" s="2">
        <f>I10/'Output-Calculation-sheet'!I9*'Output-Calculation-sheet'!I108</f>
        <v>3686075497.6794376</v>
      </c>
      <c r="J131" s="2">
        <f>J10/'Output-Calculation-sheet'!J9*'Output-Calculation-sheet'!J108</f>
        <v>3587770624.1902657</v>
      </c>
      <c r="K131" s="2">
        <f>K10/'Output-Calculation-sheet'!K9*'Output-Calculation-sheet'!K108</f>
        <v>3553374710.5092411</v>
      </c>
      <c r="L131" s="2">
        <f>L10/'Output-Calculation-sheet'!L9*'Output-Calculation-sheet'!L108</f>
        <v>2850564507.6053123</v>
      </c>
      <c r="M131" s="2">
        <f>M10/'Output-Calculation-sheet'!M9*'Output-Calculation-sheet'!M108</f>
        <v>2722780050.7488952</v>
      </c>
      <c r="N131" s="2">
        <f>N10/'Output-Calculation-sheet'!N9*'Output-Calculation-sheet'!N108</f>
        <v>2672400238.3883052</v>
      </c>
      <c r="O131" s="2">
        <f>O10/'Output-Calculation-sheet'!O9*'Output-Calculation-sheet'!O108</f>
        <v>3466617290.504045</v>
      </c>
      <c r="P131" s="2">
        <f>P10/'Output-Calculation-sheet'!P9*'Output-Calculation-sheet'!P108</f>
        <v>2432809846.811904</v>
      </c>
      <c r="Q131" s="2">
        <f>Q10/'Output-Calculation-sheet'!Q9*'Output-Calculation-sheet'!Q108</f>
        <v>2393491220.301156</v>
      </c>
      <c r="R131" s="2">
        <f>R10/'Output-Calculation-sheet'!R9*'Output-Calculation-sheet'!R108</f>
        <v>2302647758.3502116</v>
      </c>
      <c r="S131" s="2">
        <f>S10/'Output-Calculation-sheet'!S9*'Output-Calculation-sheet'!S108</f>
        <v>1530458253.141803</v>
      </c>
      <c r="T131" s="2">
        <f>T10/'Output-Calculation-sheet'!T9*'Output-Calculation-sheet'!T108</f>
        <v>846433348.63907027</v>
      </c>
      <c r="U131" s="2">
        <f>U10/'Output-Calculation-sheet'!U9*'Output-Calculation-sheet'!U108</f>
        <v>737214670.43687344</v>
      </c>
      <c r="V131" s="2">
        <f>V10/'Output-Calculation-sheet'!V9*'Output-Calculation-sheet'!V108</f>
        <v>567670040.37482095</v>
      </c>
      <c r="W131" s="2">
        <f>W10/'Output-Calculation-sheet'!W9*'Output-Calculation-sheet'!W108</f>
        <v>491476446.80739373</v>
      </c>
      <c r="X131" s="2">
        <f>X10/'Output-Calculation-sheet'!X9*'Output-Calculation-sheet'!X108</f>
        <v>294885810.48307168</v>
      </c>
      <c r="Y131" s="2">
        <f>Y10/'Output-Calculation-sheet'!Y9*'Output-Calculation-sheet'!Y108</f>
        <v>286773558.47395366</v>
      </c>
      <c r="AA131" s="2">
        <f t="shared" si="11"/>
        <v>110943.61501541245</v>
      </c>
    </row>
    <row r="132" spans="1:27" x14ac:dyDescent="0.25">
      <c r="A132" s="2">
        <v>2034</v>
      </c>
      <c r="B132" s="2">
        <f>B11/'Output-Calculation-sheet'!B10*'Output-Calculation-sheet'!B109</f>
        <v>13686365437.76395</v>
      </c>
      <c r="C132" s="2">
        <f>C11/'Output-Calculation-sheet'!C10*'Output-Calculation-sheet'!C109</f>
        <v>15457270035.641819</v>
      </c>
      <c r="D132" s="2">
        <f>D11/'Output-Calculation-sheet'!D10*'Output-Calculation-sheet'!D109</f>
        <v>5748431086.5629377</v>
      </c>
      <c r="E132" s="2">
        <f>E11/'Output-Calculation-sheet'!E10*'Output-Calculation-sheet'!E109</f>
        <v>4560796378.2863483</v>
      </c>
      <c r="F132" s="2">
        <f>F11/'Output-Calculation-sheet'!F10*'Output-Calculation-sheet'!F109</f>
        <v>2935948291.2965913</v>
      </c>
      <c r="G132" s="2">
        <f>G11/'Output-Calculation-sheet'!G10*'Output-Calculation-sheet'!G109</f>
        <v>2062878166.778405</v>
      </c>
      <c r="H132" s="2">
        <f>H11/'Output-Calculation-sheet'!H10*'Output-Calculation-sheet'!H109</f>
        <v>2012258149.9586887</v>
      </c>
      <c r="I132" s="2">
        <f>I11/'Output-Calculation-sheet'!I10*'Output-Calculation-sheet'!I109</f>
        <v>1879444245.1945789</v>
      </c>
      <c r="J132" s="2">
        <f>J11/'Output-Calculation-sheet'!J10*'Output-Calculation-sheet'!J109</f>
        <v>1829321151.9490237</v>
      </c>
      <c r="K132" s="2">
        <f>K11/'Output-Calculation-sheet'!K10*'Output-Calculation-sheet'!K109</f>
        <v>1811784041.3546317</v>
      </c>
      <c r="L132" s="2">
        <f>L11/'Output-Calculation-sheet'!L10*'Output-Calculation-sheet'!L109</f>
        <v>1453436827.4826534</v>
      </c>
      <c r="M132" s="2">
        <f>M11/'Output-Calculation-sheet'!M10*'Output-Calculation-sheet'!M109</f>
        <v>1388282708.6888106</v>
      </c>
      <c r="N132" s="2">
        <f>N11/'Output-Calculation-sheet'!N10*'Output-Calculation-sheet'!N109</f>
        <v>1362595627.5049777</v>
      </c>
      <c r="O132" s="2">
        <f>O11/'Output-Calculation-sheet'!O10*'Output-Calculation-sheet'!O109</f>
        <v>3382847959.3551736</v>
      </c>
      <c r="P132" s="2">
        <f>P11/'Output-Calculation-sheet'!P10*'Output-Calculation-sheet'!P109</f>
        <v>1240433203.6990056</v>
      </c>
      <c r="Q132" s="2">
        <f>Q11/'Output-Calculation-sheet'!Q10*'Output-Calculation-sheet'!Q109</f>
        <v>1220385748.6663187</v>
      </c>
      <c r="R132" s="2">
        <f>R11/'Output-Calculation-sheet'!R10*'Output-Calculation-sheet'!R109</f>
        <v>1174067132.5641017</v>
      </c>
      <c r="S132" s="2">
        <f>S11/'Output-Calculation-sheet'!S10*'Output-Calculation-sheet'!S109</f>
        <v>780345220.67555296</v>
      </c>
      <c r="T132" s="2">
        <f>T11/'Output-Calculation-sheet'!T10*'Output-Calculation-sheet'!T109</f>
        <v>431576965.37711012</v>
      </c>
      <c r="U132" s="2">
        <f>U11/'Output-Calculation-sheet'!U10*'Output-Calculation-sheet'!U109</f>
        <v>375888805.2813794</v>
      </c>
      <c r="V132" s="2">
        <f>V11/'Output-Calculation-sheet'!V10*'Output-Calculation-sheet'!V109</f>
        <v>289441897.82696372</v>
      </c>
      <c r="W132" s="2">
        <f>W11/'Output-Calculation-sheet'!W10*'Output-Calculation-sheet'!W109</f>
        <v>250592536.83890325</v>
      </c>
      <c r="X132" s="2">
        <f>X11/'Output-Calculation-sheet'!X10*'Output-Calculation-sheet'!X109</f>
        <v>169772080.93723103</v>
      </c>
      <c r="Y132" s="2">
        <f>Y11/'Output-Calculation-sheet'!Y10*'Output-Calculation-sheet'!Y109</f>
        <v>146219264.50371042</v>
      </c>
      <c r="AA132" s="2">
        <f t="shared" si="11"/>
        <v>65650.382964188859</v>
      </c>
    </row>
    <row r="133" spans="1:27" x14ac:dyDescent="0.25">
      <c r="A133" s="2">
        <v>2035</v>
      </c>
      <c r="B133" s="2">
        <f>B12/'Output-Calculation-sheet'!B11*'Output-Calculation-sheet'!B110</f>
        <v>9212273301.7748318</v>
      </c>
      <c r="C133" s="2">
        <f>C12/'Output-Calculation-sheet'!C11*'Output-Calculation-sheet'!C110</f>
        <v>14798795843.932116</v>
      </c>
      <c r="D133" s="2">
        <f>D12/'Output-Calculation-sheet'!D11*'Output-Calculation-sheet'!D110</f>
        <v>4021070688.4142838</v>
      </c>
      <c r="E133" s="2">
        <f>E12/'Output-Calculation-sheet'!E11*'Output-Calculation-sheet'!E110</f>
        <v>1926514583.8852148</v>
      </c>
      <c r="F133" s="2">
        <f>F12/'Output-Calculation-sheet'!F11*'Output-Calculation-sheet'!F110</f>
        <v>1470055014.5656855</v>
      </c>
      <c r="G133" s="2">
        <f>G12/'Output-Calculation-sheet'!G11*'Output-Calculation-sheet'!G110</f>
        <v>1372400972.2131906</v>
      </c>
      <c r="H133" s="2">
        <f>H12/'Output-Calculation-sheet'!H11*'Output-Calculation-sheet'!H110</f>
        <v>1906689152.0735111</v>
      </c>
      <c r="I133" s="2">
        <f>I12/'Output-Calculation-sheet'!I11*'Output-Calculation-sheet'!I110</f>
        <v>1134201831.6361063</v>
      </c>
      <c r="J133" s="2">
        <f>J12/'Output-Calculation-sheet'!J11*'Output-Calculation-sheet'!J110</f>
        <v>1104578323.7894449</v>
      </c>
      <c r="K133" s="2">
        <f>K12/'Output-Calculation-sheet'!K11*'Output-Calculation-sheet'!K110</f>
        <v>955700817.64144349</v>
      </c>
      <c r="L133" s="2">
        <f>L12/'Output-Calculation-sheet'!L11*'Output-Calculation-sheet'!L110</f>
        <v>499519448.72757268</v>
      </c>
      <c r="M133" s="2">
        <f>M12/'Output-Calculation-sheet'!M11*'Output-Calculation-sheet'!M110</f>
        <v>1013554620.6167325</v>
      </c>
      <c r="N133" s="2">
        <f>N12/'Output-Calculation-sheet'!N11*'Output-Calculation-sheet'!N110</f>
        <v>913330929.35651827</v>
      </c>
      <c r="O133" s="2">
        <f>O12/'Output-Calculation-sheet'!O11*'Output-Calculation-sheet'!O110</f>
        <v>3250229846.2581587</v>
      </c>
      <c r="P133" s="2">
        <f>P12/'Output-Calculation-sheet'!P11*'Output-Calculation-sheet'!P110</f>
        <v>673049187.55115879</v>
      </c>
      <c r="Q133" s="2">
        <f>Q12/'Output-Calculation-sheet'!Q11*'Output-Calculation-sheet'!Q110</f>
        <v>928833126.06872988</v>
      </c>
      <c r="R133" s="2">
        <f>R12/'Output-Calculation-sheet'!R11*'Output-Calculation-sheet'!R110</f>
        <v>568486594.36796522</v>
      </c>
      <c r="S133" s="2">
        <f>S12/'Output-Calculation-sheet'!S11*'Output-Calculation-sheet'!S110</f>
        <v>557605455.81131887</v>
      </c>
      <c r="T133" s="2">
        <f>T12/'Output-Calculation-sheet'!T11*'Output-Calculation-sheet'!T110</f>
        <v>147188311.33440903</v>
      </c>
      <c r="U133" s="2">
        <f>U12/'Output-Calculation-sheet'!U11*'Output-Calculation-sheet'!U110</f>
        <v>289975606.7248022</v>
      </c>
      <c r="V133" s="2">
        <f>V12/'Output-Calculation-sheet'!V11*'Output-Calculation-sheet'!V110</f>
        <v>63412045.703617819</v>
      </c>
      <c r="W133" s="2">
        <f>W12/'Output-Calculation-sheet'!W11*'Output-Calculation-sheet'!W110</f>
        <v>78643268.740311638</v>
      </c>
      <c r="X133" s="2">
        <f>X12/'Output-Calculation-sheet'!X11*'Output-Calculation-sheet'!X110</f>
        <v>159590820.64122149</v>
      </c>
      <c r="Y133" s="2">
        <f>Y12/'Output-Calculation-sheet'!Y11*'Output-Calculation-sheet'!Y110</f>
        <v>68931716.970455572</v>
      </c>
      <c r="AA133" s="2">
        <f t="shared" si="11"/>
        <v>47114.631508798797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1062.4034465893317</v>
      </c>
      <c r="C19" s="2">
        <f>C8/'Output-Calculation-sheet'!C7*'Output-Calculation-sheet'!C25</f>
        <v>16013.85960910454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4777.4509777821158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3312.053515300147</v>
      </c>
      <c r="N19" s="2">
        <f>N8/'Output-Calculation-sheet'!N7*'Output-Calculation-sheet'!N25</f>
        <v>1133.9252157217427</v>
      </c>
      <c r="O19" s="2">
        <f>O8/'Output-Calculation-sheet'!O7*'Output-Calculation-sheet'!O25</f>
        <v>3097.4044289762492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404.60241731275005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370.05585556006218</v>
      </c>
      <c r="Y19" s="2">
        <f>Y8/'Output-Calculation-sheet'!Y7*'Output-Calculation-sheet'!Y25</f>
        <v>0</v>
      </c>
      <c r="AA19" s="2">
        <f t="shared" si="0"/>
        <v>30.171755466346937</v>
      </c>
    </row>
    <row r="20" spans="1:27" x14ac:dyDescent="0.25">
      <c r="A20" s="2">
        <v>2032</v>
      </c>
      <c r="B20" s="2">
        <f>B9/'Output-Calculation-sheet'!B8*'Output-Calculation-sheet'!B26</f>
        <v>5979.2567118786374</v>
      </c>
      <c r="C20" s="2">
        <f>C9/'Output-Calculation-sheet'!C8*'Output-Calculation-sheet'!C26</f>
        <v>21896.886015667267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6497.2030905094425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4520.4843880269409</v>
      </c>
      <c r="N20" s="2">
        <f>N9/'Output-Calculation-sheet'!N8*'Output-Calculation-sheet'!N26</f>
        <v>2039.847550838291</v>
      </c>
      <c r="O20" s="2">
        <f>O9/'Output-Calculation-sheet'!O8*'Output-Calculation-sheet'!O26</f>
        <v>4266.5128141212772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741.33598065095805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505.7460679859048</v>
      </c>
      <c r="Y20" s="2">
        <f>Y9/'Output-Calculation-sheet'!Y8*'Output-Calculation-sheet'!Y26</f>
        <v>0</v>
      </c>
      <c r="AA20" s="2">
        <f t="shared" si="0"/>
        <v>46.447272619678728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26954.658645500815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8294.1161157732658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5760.9315437227961</v>
      </c>
      <c r="N21" s="2">
        <f>N10/'Output-Calculation-sheet'!N9*'Output-Calculation-sheet'!N27</f>
        <v>3151.0553994451921</v>
      </c>
      <c r="O21" s="2">
        <f>O10/'Output-Calculation-sheet'!O9*'Output-Calculation-sheet'!O27</f>
        <v>4754.8804139186668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1371.7600766463959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677.45162823011162</v>
      </c>
      <c r="Y21" s="2">
        <f>Y10/'Output-Calculation-sheet'!Y9*'Output-Calculation-sheet'!Y27</f>
        <v>0</v>
      </c>
      <c r="AA21" s="2">
        <f t="shared" si="0"/>
        <v>65.526214743561752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28945.495514996706</v>
      </c>
      <c r="D22" s="2">
        <f>D11/'Output-Calculation-sheet'!D10*'Output-Calculation-sheet'!D28</f>
        <v>0</v>
      </c>
      <c r="E22" s="2">
        <f>E11/'Output-Calculation-sheet'!E10*'Output-Calculation-sheet'!E28</f>
        <v>1426.372876336336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11402.392803003069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864.66587466115448</v>
      </c>
      <c r="M22" s="2">
        <f>M11/'Output-Calculation-sheet'!M10*'Output-Calculation-sheet'!M28</f>
        <v>7857.3826835950304</v>
      </c>
      <c r="N22" s="2">
        <f>N11/'Output-Calculation-sheet'!N10*'Output-Calculation-sheet'!N28</f>
        <v>4521.9675025728338</v>
      </c>
      <c r="O22" s="2">
        <f>O11/'Output-Calculation-sheet'!O10*'Output-Calculation-sheet'!O28</f>
        <v>5180.1303708103051</v>
      </c>
      <c r="P22" s="2">
        <f>P11/'Output-Calculation-sheet'!P10*'Output-Calculation-sheet'!P28</f>
        <v>0</v>
      </c>
      <c r="Q22" s="2">
        <f>Q11/'Output-Calculation-sheet'!Q10*'Output-Calculation-sheet'!Q28</f>
        <v>1695.9167614227108</v>
      </c>
      <c r="R22" s="2">
        <f>R11/'Output-Calculation-sheet'!R10*'Output-Calculation-sheet'!R28</f>
        <v>0</v>
      </c>
      <c r="S22" s="2">
        <f>S11/'Output-Calculation-sheet'!S10*'Output-Calculation-sheet'!S28</f>
        <v>2293.2800110192788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793.38006369177629</v>
      </c>
      <c r="Y22" s="2">
        <f>Y11/'Output-Calculation-sheet'!Y10*'Output-Calculation-sheet'!Y28</f>
        <v>78.92183709347853</v>
      </c>
      <c r="AA22" s="2">
        <f t="shared" si="0"/>
        <v>93.44723125949065</v>
      </c>
    </row>
    <row r="23" spans="1:27" x14ac:dyDescent="0.25">
      <c r="A23" s="2">
        <v>2035</v>
      </c>
      <c r="B23" s="2">
        <f>B12/'Output-Calculation-sheet'!B11*'Output-Calculation-sheet'!B29</f>
        <v>35974.978370815094</v>
      </c>
      <c r="C23" s="2">
        <f>C12/'Output-Calculation-sheet'!C11*'Output-Calculation-sheet'!C29</f>
        <v>30767.363763674668</v>
      </c>
      <c r="D23" s="2">
        <f>D12/'Output-Calculation-sheet'!D11*'Output-Calculation-sheet'!D29</f>
        <v>0</v>
      </c>
      <c r="E23" s="2">
        <f>E12/'Output-Calculation-sheet'!E11*'Output-Calculation-sheet'!E29</f>
        <v>6869.2965277381063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11937.310007677215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2009.0897182614847</v>
      </c>
      <c r="M23" s="2">
        <f>M12/'Output-Calculation-sheet'!M11*'Output-Calculation-sheet'!M29</f>
        <v>9031.9695906279794</v>
      </c>
      <c r="N23" s="2">
        <f>N12/'Output-Calculation-sheet'!N11*'Output-Calculation-sheet'!N29</f>
        <v>5279.1264316175884</v>
      </c>
      <c r="O23" s="2">
        <f>O12/'Output-Calculation-sheet'!O11*'Output-Calculation-sheet'!O29</f>
        <v>5503.5025217601415</v>
      </c>
      <c r="P23" s="2">
        <f>P12/'Output-Calculation-sheet'!P11*'Output-Calculation-sheet'!P29</f>
        <v>725.1855764138835</v>
      </c>
      <c r="Q23" s="2">
        <f>Q12/'Output-Calculation-sheet'!Q11*'Output-Calculation-sheet'!Q29</f>
        <v>2310.3273731866179</v>
      </c>
      <c r="R23" s="2">
        <f>R12/'Output-Calculation-sheet'!R11*'Output-Calculation-sheet'!R29</f>
        <v>0</v>
      </c>
      <c r="S23" s="2">
        <f>S12/'Output-Calculation-sheet'!S11*'Output-Calculation-sheet'!S29</f>
        <v>2742.8091486030412</v>
      </c>
      <c r="T23" s="2">
        <f>T12/'Output-Calculation-sheet'!T11*'Output-Calculation-sheet'!T29</f>
        <v>0</v>
      </c>
      <c r="U23" s="2">
        <f>U12/'Output-Calculation-sheet'!U11*'Output-Calculation-sheet'!U29</f>
        <v>159.17107894580232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855.48300867623675</v>
      </c>
      <c r="Y23" s="2">
        <f>Y12/'Output-Calculation-sheet'!Y11*'Output-Calculation-sheet'!Y29</f>
        <v>274.15621702258073</v>
      </c>
      <c r="AA23" s="2">
        <f t="shared" si="0"/>
        <v>114.43976933502044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18517.346956163343</v>
      </c>
      <c r="C30" s="2">
        <f>C8/'Output-Calculation-sheet'!C7*'Output-Calculation-sheet'!C16</f>
        <v>0</v>
      </c>
      <c r="D30" s="2">
        <f>D8/'Output-Calculation-sheet'!D7*'Output-Calculation-sheet'!D16</f>
        <v>3118.0764344784916</v>
      </c>
      <c r="E30" s="2">
        <f>E8/'Output-Calculation-sheet'!E7*'Output-Calculation-sheet'!E16</f>
        <v>3354.8740788592727</v>
      </c>
      <c r="F30" s="2">
        <f>F8/'Output-Calculation-sheet'!F7*'Output-Calculation-sheet'!F16</f>
        <v>1692.551824982618</v>
      </c>
      <c r="G30" s="2">
        <f>G8/'Output-Calculation-sheet'!G7*'Output-Calculation-sheet'!G16</f>
        <v>1108.420418249101</v>
      </c>
      <c r="H30" s="2">
        <f>H8/'Output-Calculation-sheet'!H7*'Output-Calculation-sheet'!H16</f>
        <v>0</v>
      </c>
      <c r="I30" s="2">
        <f>I8/'Output-Calculation-sheet'!I7*'Output-Calculation-sheet'!I16</f>
        <v>1080.5439425531615</v>
      </c>
      <c r="J30" s="2">
        <f>J8/'Output-Calculation-sheet'!J7*'Output-Calculation-sheet'!J16</f>
        <v>961.89187997831584</v>
      </c>
      <c r="K30" s="2">
        <f>K8/'Output-Calculation-sheet'!K7*'Output-Calculation-sheet'!K16</f>
        <v>1284.3095156006209</v>
      </c>
      <c r="L30" s="2">
        <f>L8/'Output-Calculation-sheet'!L7*'Output-Calculation-sheet'!L16</f>
        <v>1084.8239949056795</v>
      </c>
      <c r="M30" s="2">
        <f>M8/'Output-Calculation-sheet'!M7*'Output-Calculation-sheet'!M16</f>
        <v>0</v>
      </c>
      <c r="N30" s="2">
        <f>N8/'Output-Calculation-sheet'!N7*'Output-Calculation-sheet'!N16</f>
        <v>1540.9010896739892</v>
      </c>
      <c r="O30" s="2">
        <f>O8/'Output-Calculation-sheet'!O7*'Output-Calculation-sheet'!O16</f>
        <v>0</v>
      </c>
      <c r="P30" s="2">
        <f>P8/'Output-Calculation-sheet'!P7*'Output-Calculation-sheet'!P16</f>
        <v>1384.9113383965396</v>
      </c>
      <c r="Q30" s="2">
        <f>Q8/'Output-Calculation-sheet'!Q7*'Output-Calculation-sheet'!Q16</f>
        <v>1522.9450916462438</v>
      </c>
      <c r="R30" s="2">
        <f>R8/'Output-Calculation-sheet'!R7*'Output-Calculation-sheet'!R16</f>
        <v>966.31527995393321</v>
      </c>
      <c r="S30" s="2">
        <f>S8/'Output-Calculation-sheet'!S7*'Output-Calculation-sheet'!S16</f>
        <v>971.82981647185261</v>
      </c>
      <c r="T30" s="2">
        <f>T8/'Output-Calculation-sheet'!T7*'Output-Calculation-sheet'!T16</f>
        <v>290.07395699375024</v>
      </c>
      <c r="U30" s="2">
        <f>U8/'Output-Calculation-sheet'!U7*'Output-Calculation-sheet'!U16</f>
        <v>289.55545715123401</v>
      </c>
      <c r="V30" s="2">
        <f>V8/'Output-Calculation-sheet'!V7*'Output-Calculation-sheet'!V16</f>
        <v>225.35550829400415</v>
      </c>
      <c r="W30" s="2">
        <f>W8/'Output-Calculation-sheet'!W7*'Output-Calculation-sheet'!W16</f>
        <v>136.68947652296612</v>
      </c>
      <c r="X30" s="2">
        <f>X8/'Output-Calculation-sheet'!X7*'Output-Calculation-sheet'!X16</f>
        <v>0</v>
      </c>
      <c r="Y30" s="2">
        <f>Y8/'Output-Calculation-sheet'!Y7*'Output-Calculation-sheet'!Y16</f>
        <v>115.69210201273341</v>
      </c>
      <c r="AA30" s="2">
        <f t="shared" si="1"/>
        <v>39.647108162887847</v>
      </c>
    </row>
    <row r="31" spans="1:27" x14ac:dyDescent="0.25">
      <c r="A31" s="2">
        <v>2032</v>
      </c>
      <c r="B31" s="2">
        <f>B9/'Output-Calculation-sheet'!B8*'Output-Calculation-sheet'!B17</f>
        <v>25318.148389720234</v>
      </c>
      <c r="C31" s="2">
        <f>C9/'Output-Calculation-sheet'!C8*'Output-Calculation-sheet'!C17</f>
        <v>0</v>
      </c>
      <c r="D31" s="2">
        <f>D9/'Output-Calculation-sheet'!D8*'Output-Calculation-sheet'!D17</f>
        <v>4246.1859031176382</v>
      </c>
      <c r="E31" s="2">
        <f>E9/'Output-Calculation-sheet'!E8*'Output-Calculation-sheet'!E17</f>
        <v>4990.8113803225851</v>
      </c>
      <c r="F31" s="2">
        <f>F9/'Output-Calculation-sheet'!F8*'Output-Calculation-sheet'!F17</f>
        <v>2304.9674715369933</v>
      </c>
      <c r="G31" s="2">
        <f>G9/'Output-Calculation-sheet'!G8*'Output-Calculation-sheet'!G17</f>
        <v>1509.4659441931481</v>
      </c>
      <c r="H31" s="2">
        <f>H9/'Output-Calculation-sheet'!H8*'Output-Calculation-sheet'!H17</f>
        <v>0</v>
      </c>
      <c r="I31" s="2">
        <f>I9/'Output-Calculation-sheet'!I8*'Output-Calculation-sheet'!I17</f>
        <v>1471.5101737256446</v>
      </c>
      <c r="J31" s="2">
        <f>J9/'Output-Calculation-sheet'!J8*'Output-Calculation-sheet'!J17</f>
        <v>1309.9276878549144</v>
      </c>
      <c r="K31" s="2">
        <f>K9/'Output-Calculation-sheet'!K8*'Output-Calculation-sheet'!K17</f>
        <v>1864.9892227784455</v>
      </c>
      <c r="L31" s="2">
        <f>L9/'Output-Calculation-sheet'!L8*'Output-Calculation-sheet'!L17</f>
        <v>1590.5079502139633</v>
      </c>
      <c r="M31" s="2">
        <f>M9/'Output-Calculation-sheet'!M8*'Output-Calculation-sheet'!M17</f>
        <v>0</v>
      </c>
      <c r="N31" s="2">
        <f>N9/'Output-Calculation-sheet'!N8*'Output-Calculation-sheet'!N17</f>
        <v>1729.0448126043798</v>
      </c>
      <c r="O31" s="2">
        <f>O9/'Output-Calculation-sheet'!O8*'Output-Calculation-sheet'!O17</f>
        <v>0</v>
      </c>
      <c r="P31" s="2">
        <f>P9/'Output-Calculation-sheet'!P8*'Output-Calculation-sheet'!P17</f>
        <v>2146.0129793310434</v>
      </c>
      <c r="Q31" s="2">
        <f>Q9/'Output-Calculation-sheet'!Q8*'Output-Calculation-sheet'!Q17</f>
        <v>2287.8470050931437</v>
      </c>
      <c r="R31" s="2">
        <f>R9/'Output-Calculation-sheet'!R8*'Output-Calculation-sheet'!R17</f>
        <v>1496.8304220443267</v>
      </c>
      <c r="S31" s="2">
        <f>S9/'Output-Calculation-sheet'!S8*'Output-Calculation-sheet'!S17</f>
        <v>1287.9561520983298</v>
      </c>
      <c r="T31" s="2">
        <f>T9/'Output-Calculation-sheet'!T8*'Output-Calculation-sheet'!T17</f>
        <v>406.17587097412604</v>
      </c>
      <c r="U31" s="2">
        <f>U9/'Output-Calculation-sheet'!U8*'Output-Calculation-sheet'!U17</f>
        <v>466.82556525126097</v>
      </c>
      <c r="V31" s="2">
        <f>V9/'Output-Calculation-sheet'!V8*'Output-Calculation-sheet'!V17</f>
        <v>334.36500202277091</v>
      </c>
      <c r="W31" s="2">
        <f>W9/'Output-Calculation-sheet'!W8*'Output-Calculation-sheet'!W17</f>
        <v>186.14888572668326</v>
      </c>
      <c r="X31" s="2">
        <f>X9/'Output-Calculation-sheet'!X8*'Output-Calculation-sheet'!X17</f>
        <v>0</v>
      </c>
      <c r="Y31" s="2">
        <f>Y9/'Output-Calculation-sheet'!Y8*'Output-Calculation-sheet'!Y17</f>
        <v>179.86015324372917</v>
      </c>
      <c r="AA31" s="2">
        <f t="shared" si="1"/>
        <v>55.127580971853348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1772.9475265803633</v>
      </c>
      <c r="O32" s="2">
        <f>O10/'Output-Calculation-sheet'!O9*'Output-Calculation-sheet'!O18</f>
        <v>0</v>
      </c>
      <c r="P32" s="2">
        <f>P10/'Output-Calculation-sheet'!P9*'Output-Calculation-sheet'!P18</f>
        <v>2854.0872905366359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2052.3863570774233</v>
      </c>
      <c r="S32" s="2">
        <f>S10/'Output-Calculation-sheet'!S9*'Output-Calculation-sheet'!S18</f>
        <v>1341.3575818625325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662.5573723728869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69.907354614642244</v>
      </c>
    </row>
    <row r="33" spans="1:27" x14ac:dyDescent="0.25">
      <c r="A33" s="2">
        <v>2034</v>
      </c>
      <c r="B33" s="2">
        <f>B11/'Output-Calculation-sheet'!B10*'Output-Calculation-sheet'!B19</f>
        <v>28633.123035015371</v>
      </c>
      <c r="C33" s="2">
        <f>C11/'Output-Calculation-sheet'!C10*'Output-Calculation-sheet'!C19</f>
        <v>0</v>
      </c>
      <c r="D33" s="2">
        <f>D11/'Output-Calculation-sheet'!D10*'Output-Calculation-sheet'!D19</f>
        <v>8540.0982717127972</v>
      </c>
      <c r="E33" s="2">
        <f>E11/'Output-Calculation-sheet'!E10*'Output-Calculation-sheet'!E19</f>
        <v>10609.228489764495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2907.4262433656172</v>
      </c>
      <c r="H33" s="2">
        <f>H11/'Output-Calculation-sheet'!H10*'Output-Calculation-sheet'!H19</f>
        <v>0</v>
      </c>
      <c r="I33" s="2">
        <f>I11/'Output-Calculation-sheet'!I10*'Output-Calculation-sheet'!I19</f>
        <v>3172.2253818214758</v>
      </c>
      <c r="J33" s="2">
        <f>J11/'Output-Calculation-sheet'!J10*'Output-Calculation-sheet'!J19</f>
        <v>2687.6453137328413</v>
      </c>
      <c r="K33" s="2">
        <f>K11/'Output-Calculation-sheet'!K10*'Output-Calculation-sheet'!K19</f>
        <v>3721.5995862677537</v>
      </c>
      <c r="L33" s="2">
        <f>L11/'Output-Calculation-sheet'!L10*'Output-Calculation-sheet'!L19</f>
        <v>3029.3116763182979</v>
      </c>
      <c r="M33" s="2">
        <f>M11/'Output-Calculation-sheet'!M10*'Output-Calculation-sheet'!M19</f>
        <v>0</v>
      </c>
      <c r="N33" s="2">
        <f>N11/'Output-Calculation-sheet'!N10*'Output-Calculation-sheet'!N19</f>
        <v>1711.5951413655118</v>
      </c>
      <c r="O33" s="2">
        <f>O11/'Output-Calculation-sheet'!O10*'Output-Calculation-sheet'!O19</f>
        <v>0</v>
      </c>
      <c r="P33" s="2">
        <f>P11/'Output-Calculation-sheet'!P10*'Output-Calculation-sheet'!P19</f>
        <v>3766.116138346048</v>
      </c>
      <c r="Q33" s="2">
        <f>Q11/'Output-Calculation-sheet'!Q10*'Output-Calculation-sheet'!Q19</f>
        <v>3015.4847065910071</v>
      </c>
      <c r="R33" s="2">
        <f>R11/'Output-Calculation-sheet'!R10*'Output-Calculation-sheet'!R19</f>
        <v>2688.8308030853527</v>
      </c>
      <c r="S33" s="2">
        <f>S11/'Output-Calculation-sheet'!S10*'Output-Calculation-sheet'!S19</f>
        <v>1256.7790228677661</v>
      </c>
      <c r="T33" s="2">
        <f>T11/'Output-Calculation-sheet'!T10*'Output-Calculation-sheet'!T19</f>
        <v>789.01477010085318</v>
      </c>
      <c r="U33" s="2">
        <f>U11/'Output-Calculation-sheet'!U10*'Output-Calculation-sheet'!U19</f>
        <v>908.09422084981475</v>
      </c>
      <c r="V33" s="2">
        <f>V11/'Output-Calculation-sheet'!V10*'Output-Calculation-sheet'!V19</f>
        <v>619.56717138204897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121.84500197924484</v>
      </c>
      <c r="Y33" s="2">
        <f>Y11/'Output-Calculation-sheet'!Y10*'Output-Calculation-sheet'!Y19</f>
        <v>347.25608321130557</v>
      </c>
      <c r="AA33" s="2">
        <f t="shared" si="1"/>
        <v>83.765284206985029</v>
      </c>
    </row>
    <row r="34" spans="1:27" x14ac:dyDescent="0.25">
      <c r="A34" s="2">
        <v>2035</v>
      </c>
      <c r="B34" s="2">
        <f>B12/'Output-Calculation-sheet'!B11*'Output-Calculation-sheet'!B20</f>
        <v>27891.216953693634</v>
      </c>
      <c r="C34" s="2">
        <f>C12/'Output-Calculation-sheet'!C11*'Output-Calculation-sheet'!C20</f>
        <v>0</v>
      </c>
      <c r="D34" s="2">
        <f>D12/'Output-Calculation-sheet'!D11*'Output-Calculation-sheet'!D20</f>
        <v>9636.4258172784375</v>
      </c>
      <c r="E34" s="2">
        <f>E12/'Output-Calculation-sheet'!E11*'Output-Calculation-sheet'!E20</f>
        <v>9360.857826147485</v>
      </c>
      <c r="F34" s="2">
        <f>F12/'Output-Calculation-sheet'!F11*'Output-Calculation-sheet'!F20</f>
        <v>6132.1243754626166</v>
      </c>
      <c r="G34" s="2">
        <f>G12/'Output-Calculation-sheet'!G11*'Output-Calculation-sheet'!G20</f>
        <v>3253.7396175737767</v>
      </c>
      <c r="H34" s="2">
        <f>H12/'Output-Calculation-sheet'!H11*'Output-Calculation-sheet'!H20</f>
        <v>0</v>
      </c>
      <c r="I34" s="2">
        <f>I12/'Output-Calculation-sheet'!I11*'Output-Calculation-sheet'!I20</f>
        <v>3743.194465183225</v>
      </c>
      <c r="J34" s="2">
        <f>J12/'Output-Calculation-sheet'!J11*'Output-Calculation-sheet'!J20</f>
        <v>3176.2001594351314</v>
      </c>
      <c r="K34" s="2">
        <f>K12/'Output-Calculation-sheet'!K11*'Output-Calculation-sheet'!K20</f>
        <v>4473.7982518821109</v>
      </c>
      <c r="L34" s="2">
        <f>L12/'Output-Calculation-sheet'!L11*'Output-Calculation-sheet'!L20</f>
        <v>3265.3614430207267</v>
      </c>
      <c r="M34" s="2">
        <f>M12/'Output-Calculation-sheet'!M11*'Output-Calculation-sheet'!M20</f>
        <v>0</v>
      </c>
      <c r="N34" s="2">
        <f>N12/'Output-Calculation-sheet'!N11*'Output-Calculation-sheet'!N20</f>
        <v>1726.3152961640585</v>
      </c>
      <c r="O34" s="2">
        <f>O12/'Output-Calculation-sheet'!O11*'Output-Calculation-sheet'!O20</f>
        <v>0</v>
      </c>
      <c r="P34" s="2">
        <f>P12/'Output-Calculation-sheet'!P11*'Output-Calculation-sheet'!P20</f>
        <v>3896.359878594968</v>
      </c>
      <c r="Q34" s="2">
        <f>Q12/'Output-Calculation-sheet'!Q11*'Output-Calculation-sheet'!Q20</f>
        <v>2888.282148275995</v>
      </c>
      <c r="R34" s="2">
        <f>R12/'Output-Calculation-sheet'!R11*'Output-Calculation-sheet'!R20</f>
        <v>3279.4282524377886</v>
      </c>
      <c r="S34" s="2">
        <f>S12/'Output-Calculation-sheet'!S11*'Output-Calculation-sheet'!S20</f>
        <v>1200.3279161332073</v>
      </c>
      <c r="T34" s="2">
        <f>T12/'Output-Calculation-sheet'!T11*'Output-Calculation-sheet'!T20</f>
        <v>979.66433352064905</v>
      </c>
      <c r="U34" s="2">
        <f>U12/'Output-Calculation-sheet'!U11*'Output-Calculation-sheet'!U20</f>
        <v>896.56686203105619</v>
      </c>
      <c r="V34" s="2">
        <f>V12/'Output-Calculation-sheet'!V11*'Output-Calculation-sheet'!V20</f>
        <v>866.50209021180387</v>
      </c>
      <c r="W34" s="2">
        <f>W12/'Output-Calculation-sheet'!W11*'Output-Calculation-sheet'!W20</f>
        <v>526.09702025400168</v>
      </c>
      <c r="X34" s="2">
        <f>X12/'Output-Calculation-sheet'!X11*'Output-Calculation-sheet'!X20</f>
        <v>111.31262535142196</v>
      </c>
      <c r="Y34" s="2">
        <f>Y12/'Output-Calculation-sheet'!Y11*'Output-Calculation-sheet'!Y20</f>
        <v>285.56808356477592</v>
      </c>
      <c r="AA34" s="2">
        <f t="shared" si="1"/>
        <v>87.589343416216877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1.1654388691576341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0.22641341931695755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1.3918522884745916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1.2123411413312457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0.23552526902232865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1.476037522418056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2.4862163705344686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0.48300495591104819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11.904108004902803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30989.311655092162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6704.8883265028589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4613.619279523421</v>
      </c>
      <c r="N52" s="2">
        <f>N8/'Output-Calculation-sheet'!N7*'Output-Calculation-sheet'!N43</f>
        <v>147.46170531355463</v>
      </c>
      <c r="O52" s="2">
        <f>O8/'Output-Calculation-sheet'!O7*'Output-Calculation-sheet'!O43</f>
        <v>6278.4062674311708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596.65190428556036</v>
      </c>
      <c r="Y52" s="2">
        <f>Y8/'Output-Calculation-sheet'!Y7*'Output-Calculation-sheet'!Y43</f>
        <v>0</v>
      </c>
      <c r="AA52" s="2">
        <f t="shared" si="3"/>
        <v>49.330339138148723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55658.114162166028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13035.561735838639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8908.4454341142828</v>
      </c>
      <c r="N53" s="2">
        <f>N9/'Output-Calculation-sheet'!N8*'Output-Calculation-sheet'!N44</f>
        <v>3172.8909117372855</v>
      </c>
      <c r="O53" s="2">
        <f>O9/'Output-Calculation-sheet'!O8*'Output-Calculation-sheet'!O44</f>
        <v>11037.752052380112</v>
      </c>
      <c r="P53" s="2">
        <f>P9/'Output-Calculation-sheet'!P8*'Output-Calculation-sheet'!P44</f>
        <v>148.41415177302616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989.98283130407435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1114.0077461928922</v>
      </c>
      <c r="Y53" s="2">
        <f>Y9/'Output-Calculation-sheet'!Y8*'Output-Calculation-sheet'!Y44</f>
        <v>0</v>
      </c>
      <c r="AA53" s="2">
        <f t="shared" si="3"/>
        <v>94.06516902550635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66348.230358184606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12254.12979987393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1349.9135408030768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487.86135911008802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157.5069726771799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69975.47991192629</v>
      </c>
      <c r="D55" s="2">
        <f>D11/'Output-Calculation-sheet'!D10*'Output-Calculation-sheet'!D46</f>
        <v>7536.3505789754981</v>
      </c>
      <c r="E55" s="2">
        <f>E11/'Output-Calculation-sheet'!E10*'Output-Calculation-sheet'!E46</f>
        <v>9208.6848514260619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25108.913030718086</v>
      </c>
      <c r="I55" s="2">
        <f>I11/'Output-Calculation-sheet'!I10*'Output-Calculation-sheet'!I46</f>
        <v>1823.6944906846852</v>
      </c>
      <c r="J55" s="2">
        <f>J11/'Output-Calculation-sheet'!J10*'Output-Calculation-sheet'!J46</f>
        <v>1293.4821369549306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17209.811419424634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12850.589239639334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5159.7147265062458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6447.0381768656171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1485.3512145190798</v>
      </c>
      <c r="V55" s="2">
        <f>V11/'Output-Calculation-sheet'!V10*'Output-Calculation-sheet'!V46</f>
        <v>596.53151056988236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1776.7569802072128</v>
      </c>
      <c r="Y55" s="2">
        <f>Y11/'Output-Calculation-sheet'!Y10*'Output-Calculation-sheet'!Y46</f>
        <v>455.4787999653845</v>
      </c>
      <c r="AA55" s="2">
        <f t="shared" si="3"/>
        <v>273.7562540153375</v>
      </c>
    </row>
    <row r="56" spans="1:27" x14ac:dyDescent="0.25">
      <c r="A56" s="2">
        <v>2035</v>
      </c>
      <c r="B56" s="2">
        <f>B12/'Output-Calculation-sheet'!B11*'Output-Calculation-sheet'!B47</f>
        <v>107982.60241714038</v>
      </c>
      <c r="C56" s="2">
        <f>C12/'Output-Calculation-sheet'!C11*'Output-Calculation-sheet'!C47</f>
        <v>72841.777873553729</v>
      </c>
      <c r="D56" s="2">
        <f>D12/'Output-Calculation-sheet'!D11*'Output-Calculation-sheet'!D47</f>
        <v>15745.004643261247</v>
      </c>
      <c r="E56" s="2">
        <f>E12/'Output-Calculation-sheet'!E11*'Output-Calculation-sheet'!E47</f>
        <v>28480.688985391891</v>
      </c>
      <c r="F56" s="2">
        <f>F12/'Output-Calculation-sheet'!F11*'Output-Calculation-sheet'!F47</f>
        <v>3186.5725685038165</v>
      </c>
      <c r="G56" s="2">
        <f>G12/'Output-Calculation-sheet'!G11*'Output-Calculation-sheet'!G47</f>
        <v>7242.0057302150062</v>
      </c>
      <c r="H56" s="2">
        <f>H12/'Output-Calculation-sheet'!H11*'Output-Calculation-sheet'!H47</f>
        <v>25981.103432405002</v>
      </c>
      <c r="I56" s="2">
        <f>I12/'Output-Calculation-sheet'!I11*'Output-Calculation-sheet'!I47</f>
        <v>4674.9414655422279</v>
      </c>
      <c r="J56" s="2">
        <f>J12/'Output-Calculation-sheet'!J11*'Output-Calculation-sheet'!J47</f>
        <v>4595.8128065630935</v>
      </c>
      <c r="K56" s="2">
        <f>K12/'Output-Calculation-sheet'!K11*'Output-Calculation-sheet'!K47</f>
        <v>6371.36113433215</v>
      </c>
      <c r="L56" s="2">
        <f>L12/'Output-Calculation-sheet'!L11*'Output-Calculation-sheet'!L47</f>
        <v>5943.0435620081262</v>
      </c>
      <c r="M56" s="2">
        <f>M12/'Output-Calculation-sheet'!M11*'Output-Calculation-sheet'!M47</f>
        <v>18478.079129751513</v>
      </c>
      <c r="N56" s="2">
        <f>N12/'Output-Calculation-sheet'!N11*'Output-Calculation-sheet'!N47</f>
        <v>15323.332565069886</v>
      </c>
      <c r="O56" s="2">
        <f>O12/'Output-Calculation-sheet'!O11*'Output-Calculation-sheet'!O47</f>
        <v>13388.558427008003</v>
      </c>
      <c r="P56" s="2">
        <f>P12/'Output-Calculation-sheet'!P11*'Output-Calculation-sheet'!P47</f>
        <v>7507.9220439044002</v>
      </c>
      <c r="Q56" s="2">
        <f>Q12/'Output-Calculation-sheet'!Q11*'Output-Calculation-sheet'!Q47</f>
        <v>7080.7316378215346</v>
      </c>
      <c r="R56" s="2">
        <f>R12/'Output-Calculation-sheet'!R11*'Output-Calculation-sheet'!R47</f>
        <v>5759.507826226125</v>
      </c>
      <c r="S56" s="2">
        <f>S12/'Output-Calculation-sheet'!S11*'Output-Calculation-sheet'!S47</f>
        <v>7664.7131678497299</v>
      </c>
      <c r="T56" s="2">
        <f>T12/'Output-Calculation-sheet'!T11*'Output-Calculation-sheet'!T47</f>
        <v>2065.1397123749994</v>
      </c>
      <c r="U56" s="2">
        <f>U12/'Output-Calculation-sheet'!U11*'Output-Calculation-sheet'!U47</f>
        <v>1960.9227092836661</v>
      </c>
      <c r="V56" s="2">
        <f>V12/'Output-Calculation-sheet'!V11*'Output-Calculation-sheet'!V47</f>
        <v>1203.7673678236233</v>
      </c>
      <c r="W56" s="2">
        <f>W12/'Output-Calculation-sheet'!W11*'Output-Calculation-sheet'!W47</f>
        <v>699.15196112976321</v>
      </c>
      <c r="X56" s="2">
        <f>X12/'Output-Calculation-sheet'!X11*'Output-Calculation-sheet'!X47</f>
        <v>1862.3897025562289</v>
      </c>
      <c r="Y56" s="2">
        <f>Y12/'Output-Calculation-sheet'!Y11*'Output-Calculation-sheet'!Y47</f>
        <v>1046.5564345531493</v>
      </c>
      <c r="AA56" s="2">
        <f t="shared" si="3"/>
        <v>367.08568730426941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7.2116562909151201</v>
      </c>
      <c r="C63" s="2">
        <f>C8*'Output-Calculation-sheet'!C52/10^9</f>
        <v>4.547748341607333</v>
      </c>
      <c r="D63" s="2">
        <f>D8*'Output-Calculation-sheet'!D52/10^9</f>
        <v>2.4730147504797255</v>
      </c>
      <c r="E63" s="2">
        <f>E8*'Output-Calculation-sheet'!E52/10^9</f>
        <v>2.4588523775789799</v>
      </c>
      <c r="F63" s="2">
        <f>F8*'Output-Calculation-sheet'!F52/10^9</f>
        <v>1.0413246077324059</v>
      </c>
      <c r="G63" s="2">
        <f>G8*'Output-Calculation-sheet'!G52/10^9</f>
        <v>0.74866444150158851</v>
      </c>
      <c r="H63" s="2">
        <f>H8*'Output-Calculation-sheet'!H52/10^9</f>
        <v>1.3077669463564865</v>
      </c>
      <c r="I63" s="2">
        <f>I8*'Output-Calculation-sheet'!I52/10^9</f>
        <v>0.69643183738263015</v>
      </c>
      <c r="J63" s="2">
        <f>J8*'Output-Calculation-sheet'!J52/10^9</f>
        <v>0.95833834973187859</v>
      </c>
      <c r="K63" s="2">
        <f>K8*'Output-Calculation-sheet'!K52/10^9</f>
        <v>0.84198329691694285</v>
      </c>
      <c r="L63" s="2">
        <f>L8*'Output-Calculation-sheet'!L52/10^9</f>
        <v>1.1325064502424542</v>
      </c>
      <c r="M63" s="2">
        <f>M8*'Output-Calculation-sheet'!M52/10^9</f>
        <v>1.0614665986108573</v>
      </c>
      <c r="N63" s="2">
        <f>N8*'Output-Calculation-sheet'!N52/10^9</f>
        <v>0.88589831787949469</v>
      </c>
      <c r="O63" s="2">
        <f>O8*'Output-Calculation-sheet'!O52/10^9</f>
        <v>0.94468391905543037</v>
      </c>
      <c r="P63" s="2">
        <f>P8*'Output-Calculation-sheet'!P52/10^9</f>
        <v>0.58178881463011134</v>
      </c>
      <c r="Q63" s="2">
        <f>Q8*'Output-Calculation-sheet'!Q52/10^9</f>
        <v>0.65841085647534048</v>
      </c>
      <c r="R63" s="2">
        <f>R8*'Output-Calculation-sheet'!R52/10^9</f>
        <v>0.59112291587355237</v>
      </c>
      <c r="S63" s="2">
        <f>S8*'Output-Calculation-sheet'!S52/10^9</f>
        <v>0.43804563285052311</v>
      </c>
      <c r="T63" s="2">
        <f>T8*'Output-Calculation-sheet'!T52/10^9</f>
        <v>0.22473740575868592</v>
      </c>
      <c r="U63" s="2">
        <f>U8*'Output-Calculation-sheet'!U52/10^9</f>
        <v>0.15434715142967553</v>
      </c>
      <c r="V63" s="2">
        <f>V8*'Output-Calculation-sheet'!V52/10^9</f>
        <v>0.27392992834940266</v>
      </c>
      <c r="W63" s="2">
        <f>W8*'Output-Calculation-sheet'!W52/10^9</f>
        <v>9.9149991894484327E-2</v>
      </c>
      <c r="X63" s="2">
        <f>X8*'Output-Calculation-sheet'!X52/10^9</f>
        <v>0.11411935324771535</v>
      </c>
      <c r="Y63" s="2">
        <f>Y8*'Output-Calculation-sheet'!Y52/10^9</f>
        <v>6.4692549112002021E-2</v>
      </c>
      <c r="AA63" s="2">
        <f t="shared" si="4"/>
        <v>29.510681125612823</v>
      </c>
    </row>
    <row r="64" spans="1:27" x14ac:dyDescent="0.25">
      <c r="A64" s="2">
        <v>2032</v>
      </c>
      <c r="B64" s="2">
        <f>B9*'Output-Calculation-sheet'!B53/10^9</f>
        <v>7.4968658016528389</v>
      </c>
      <c r="C64" s="2">
        <f>C9*'Output-Calculation-sheet'!C53/10^9</f>
        <v>5.0613941149599464</v>
      </c>
      <c r="D64" s="2">
        <f>D9*'Output-Calculation-sheet'!D53/10^9</f>
        <v>2.2186207754452183</v>
      </c>
      <c r="E64" s="2">
        <f>E9*'Output-Calculation-sheet'!E53/10^9</f>
        <v>2.2719758427875125</v>
      </c>
      <c r="F64" s="2">
        <f>F9*'Output-Calculation-sheet'!F53/10^9</f>
        <v>0.95830596856428507</v>
      </c>
      <c r="G64" s="2">
        <f>G9*'Output-Calculation-sheet'!G53/10^9</f>
        <v>0.68209214821652808</v>
      </c>
      <c r="H64" s="2">
        <f>H9*'Output-Calculation-sheet'!H53/10^9</f>
        <v>1.4015542994405743</v>
      </c>
      <c r="I64" s="2">
        <f>I9*'Output-Calculation-sheet'!I53/10^9</f>
        <v>0.63764478596188212</v>
      </c>
      <c r="J64" s="2">
        <f>J9*'Output-Calculation-sheet'!J53/10^9</f>
        <v>0.84411296117253731</v>
      </c>
      <c r="K64" s="2">
        <f>K9*'Output-Calculation-sheet'!K53/10^9</f>
        <v>0.78321997175668767</v>
      </c>
      <c r="L64" s="2">
        <f>L9*'Output-Calculation-sheet'!L53/10^9</f>
        <v>1.0076060056976675</v>
      </c>
      <c r="M64" s="2">
        <f>M9*'Output-Calculation-sheet'!M53/10^9</f>
        <v>1.0984638253094556</v>
      </c>
      <c r="N64" s="2">
        <f>N9*'Output-Calculation-sheet'!N53/10^9</f>
        <v>0.9247023404732353</v>
      </c>
      <c r="O64" s="2">
        <f>O9*'Output-Calculation-sheet'!O53/10^9</f>
        <v>1.0468248377549272</v>
      </c>
      <c r="P64" s="2">
        <f>P9*'Output-Calculation-sheet'!P53/10^9</f>
        <v>0.59714196458406177</v>
      </c>
      <c r="Q64" s="2">
        <f>Q9*'Output-Calculation-sheet'!Q53/10^9</f>
        <v>0.6599420809841785</v>
      </c>
      <c r="R64" s="2">
        <f>R9*'Output-Calculation-sheet'!R53/10^9</f>
        <v>0.5657254389948807</v>
      </c>
      <c r="S64" s="2">
        <f>S9*'Output-Calculation-sheet'!S53/10^9</f>
        <v>0.46741490039398559</v>
      </c>
      <c r="T64" s="2">
        <f>T9*'Output-Calculation-sheet'!T53/10^9</f>
        <v>0.20336357026359417</v>
      </c>
      <c r="U64" s="2">
        <f>U9*'Output-Calculation-sheet'!U53/10^9</f>
        <v>0.15306744580180467</v>
      </c>
      <c r="V64" s="2">
        <f>V9*'Output-Calculation-sheet'!V53/10^9</f>
        <v>0.24137888987469139</v>
      </c>
      <c r="W64" s="2">
        <f>W9*'Output-Calculation-sheet'!W53/10^9</f>
        <v>8.9692044802186163E-2</v>
      </c>
      <c r="X64" s="2">
        <f>X9*'Output-Calculation-sheet'!X53/10^9</f>
        <v>0.12174489873109466</v>
      </c>
      <c r="Y64" s="2">
        <f>Y9*'Output-Calculation-sheet'!Y53/10^9</f>
        <v>6.2841163305412562E-2</v>
      </c>
      <c r="AA64" s="2">
        <f t="shared" si="4"/>
        <v>29.595696076929187</v>
      </c>
    </row>
    <row r="65" spans="1:27" x14ac:dyDescent="0.25">
      <c r="A65" s="2">
        <v>2033</v>
      </c>
      <c r="B65" s="2">
        <f>B10*'Output-Calculation-sheet'!B54/10^9</f>
        <v>7.9038512325728218</v>
      </c>
      <c r="C65" s="2">
        <f>C10*'Output-Calculation-sheet'!C54/10^9</f>
        <v>5.5297656875920307</v>
      </c>
      <c r="D65" s="2">
        <f>D10*'Output-Calculation-sheet'!D54/10^9</f>
        <v>1.8672828569054849</v>
      </c>
      <c r="E65" s="2">
        <f>E10*'Output-Calculation-sheet'!E54/10^9</f>
        <v>2.1025391435383267</v>
      </c>
      <c r="F65" s="2">
        <f>F10*'Output-Calculation-sheet'!F54/10^9</f>
        <v>0.85359491148771349</v>
      </c>
      <c r="G65" s="2">
        <f>G10*'Output-Calculation-sheet'!G54/10^9</f>
        <v>0.5860701184158793</v>
      </c>
      <c r="H65" s="2">
        <f>H10*'Output-Calculation-sheet'!H54/10^9</f>
        <v>1.4483405307101425</v>
      </c>
      <c r="I65" s="2">
        <f>I10*'Output-Calculation-sheet'!I54/10^9</f>
        <v>0.57067223750459883</v>
      </c>
      <c r="J65" s="2">
        <f>J10*'Output-Calculation-sheet'!J54/10^9</f>
        <v>0.68208060516270941</v>
      </c>
      <c r="K65" s="2">
        <f>K10*'Output-Calculation-sheet'!K54/10^9</f>
        <v>0.72768965347211834</v>
      </c>
      <c r="L65" s="2">
        <f>L10*'Output-Calculation-sheet'!L54/10^9</f>
        <v>0.85955452288470902</v>
      </c>
      <c r="M65" s="2">
        <f>M10*'Output-Calculation-sheet'!M54/10^9</f>
        <v>1.0936023232729897</v>
      </c>
      <c r="N65" s="2">
        <f>N10*'Output-Calculation-sheet'!N54/10^9</f>
        <v>0.94434103067394748</v>
      </c>
      <c r="O65" s="2">
        <f>O10*'Output-Calculation-sheet'!O54/10^9</f>
        <v>1.1311474083941004</v>
      </c>
      <c r="P65" s="2">
        <f>P10*'Output-Calculation-sheet'!P54/10^9</f>
        <v>0.61573435904060747</v>
      </c>
      <c r="Q65" s="2">
        <f>Q10*'Output-Calculation-sheet'!Q54/10^9</f>
        <v>0.6718700707602836</v>
      </c>
      <c r="R65" s="2">
        <f>R10*'Output-Calculation-sheet'!R54/10^9</f>
        <v>0.54206525484131385</v>
      </c>
      <c r="S65" s="2">
        <f>S10*'Output-Calculation-sheet'!S54/10^9</f>
        <v>0.49238771359522726</v>
      </c>
      <c r="T65" s="2">
        <f>T10*'Output-Calculation-sheet'!T54/10^9</f>
        <v>0.18123596020008895</v>
      </c>
      <c r="U65" s="2">
        <f>U10*'Output-Calculation-sheet'!U54/10^9</f>
        <v>0.15649204286759635</v>
      </c>
      <c r="V65" s="2">
        <f>V10*'Output-Calculation-sheet'!V54/10^9</f>
        <v>0.20056494667916464</v>
      </c>
      <c r="W65" s="2">
        <f>W10*'Output-Calculation-sheet'!W54/10^9</f>
        <v>7.636261878579273E-2</v>
      </c>
      <c r="X65" s="2">
        <f>X10*'Output-Calculation-sheet'!X54/10^9</f>
        <v>0.12577789027948671</v>
      </c>
      <c r="Y65" s="2">
        <f>Y10*'Output-Calculation-sheet'!Y54/10^9</f>
        <v>6.2850528366608829E-2</v>
      </c>
      <c r="AA65" s="2">
        <f t="shared" si="4"/>
        <v>29.425873648003751</v>
      </c>
    </row>
    <row r="66" spans="1:27" x14ac:dyDescent="0.25">
      <c r="A66" s="2">
        <v>2034</v>
      </c>
      <c r="B66" s="2">
        <f>B11*'Output-Calculation-sheet'!B55/10^9</f>
        <v>8.4341347810471685</v>
      </c>
      <c r="C66" s="2">
        <f>C11*'Output-Calculation-sheet'!C55/10^9</f>
        <v>5.970868828873706</v>
      </c>
      <c r="D66" s="2">
        <f>D11*'Output-Calculation-sheet'!D55/10^9</f>
        <v>1.7642719563775251</v>
      </c>
      <c r="E66" s="2">
        <f>E11*'Output-Calculation-sheet'!E55/10^9</f>
        <v>2.1362479647736321</v>
      </c>
      <c r="F66" s="2">
        <f>F11*'Output-Calculation-sheet'!F55/10^9</f>
        <v>0.82099774125960578</v>
      </c>
      <c r="G66" s="2">
        <f>G11*'Output-Calculation-sheet'!G55/10^9</f>
        <v>0.58683778013274179</v>
      </c>
      <c r="H66" s="2">
        <f>H11*'Output-Calculation-sheet'!H55/10^9</f>
        <v>1.5070337468710691</v>
      </c>
      <c r="I66" s="2">
        <f>I11*'Output-Calculation-sheet'!I55/10^9</f>
        <v>0.57390953811471268</v>
      </c>
      <c r="J66" s="2">
        <f>J11*'Output-Calculation-sheet'!J55/10^9</f>
        <v>0.59011187990142455</v>
      </c>
      <c r="K66" s="2">
        <f>K11*'Output-Calculation-sheet'!K55/10^9</f>
        <v>0.70584675097689076</v>
      </c>
      <c r="L66" s="2">
        <f>L11*'Output-Calculation-sheet'!L55/10^9</f>
        <v>0.74748286401248609</v>
      </c>
      <c r="M66" s="2">
        <f>M11*'Output-Calculation-sheet'!M55/10^9</f>
        <v>1.086915434688895</v>
      </c>
      <c r="N66" s="2">
        <f>N11*'Output-Calculation-sheet'!N55/10^9</f>
        <v>0.94967423979255761</v>
      </c>
      <c r="O66" s="2">
        <f>O11*'Output-Calculation-sheet'!O55/10^9</f>
        <v>1.1985768277734292</v>
      </c>
      <c r="P66" s="2">
        <f>P11*'Output-Calculation-sheet'!P55/10^9</f>
        <v>0.65280703905113957</v>
      </c>
      <c r="Q66" s="2">
        <f>Q11*'Output-Calculation-sheet'!Q55/10^9</f>
        <v>0.71266069160548795</v>
      </c>
      <c r="R66" s="2">
        <f>R11*'Output-Calculation-sheet'!R55/10^9</f>
        <v>0.52873397159769164</v>
      </c>
      <c r="S66" s="2">
        <f>S11*'Output-Calculation-sheet'!S55/10^9</f>
        <v>0.52025278646946793</v>
      </c>
      <c r="T66" s="2">
        <f>T11*'Output-Calculation-sheet'!T55/10^9</f>
        <v>0.16572898509411493</v>
      </c>
      <c r="U66" s="2">
        <f>U11*'Output-Calculation-sheet'!U55/10^9</f>
        <v>0.16921007943588279</v>
      </c>
      <c r="V66" s="2">
        <f>V11*'Output-Calculation-sheet'!V55/10^9</f>
        <v>0.1572184854684362</v>
      </c>
      <c r="W66" s="2">
        <f>W11*'Output-Calculation-sheet'!W55/10^9</f>
        <v>7.1188448512489233E-2</v>
      </c>
      <c r="X66" s="2">
        <f>X11*'Output-Calculation-sheet'!X55/10^9</f>
        <v>0.13503521946741018</v>
      </c>
      <c r="Y66" s="2">
        <f>Y11*'Output-Calculation-sheet'!Y55/10^9</f>
        <v>6.9855667912206654E-2</v>
      </c>
      <c r="AA66" s="2">
        <f t="shared" si="4"/>
        <v>30.255601709210179</v>
      </c>
    </row>
    <row r="67" spans="1:27" x14ac:dyDescent="0.25">
      <c r="A67" s="2">
        <v>2035</v>
      </c>
      <c r="B67" s="2">
        <f>B12*'Output-Calculation-sheet'!B56/10^9</f>
        <v>9.4564325162355427</v>
      </c>
      <c r="C67" s="2">
        <f>C12*'Output-Calculation-sheet'!C56/10^9</f>
        <v>6.3464424046368091</v>
      </c>
      <c r="D67" s="2">
        <f>D12*'Output-Calculation-sheet'!D56/10^9</f>
        <v>2.075161275105776</v>
      </c>
      <c r="E67" s="2">
        <f>E12*'Output-Calculation-sheet'!E56/10^9</f>
        <v>2.6411697172526063</v>
      </c>
      <c r="F67" s="2">
        <f>F12*'Output-Calculation-sheet'!F56/10^9</f>
        <v>1.0268977463455746</v>
      </c>
      <c r="G67" s="2">
        <f>G12*'Output-Calculation-sheet'!G56/10^9</f>
        <v>0.75492385916927951</v>
      </c>
      <c r="H67" s="2">
        <f>H12*'Output-Calculation-sheet'!H56/10^9</f>
        <v>1.6681130216537832</v>
      </c>
      <c r="I67" s="2">
        <f>I12*'Output-Calculation-sheet'!I56/10^9</f>
        <v>0.71221939936124645</v>
      </c>
      <c r="J67" s="2">
        <f>J12*'Output-Calculation-sheet'!J56/10^9</f>
        <v>0.6618521225223748</v>
      </c>
      <c r="K67" s="2">
        <f>K12*'Output-Calculation-sheet'!K56/10^9</f>
        <v>0.81276795504421928</v>
      </c>
      <c r="L67" s="2">
        <f>L12*'Output-Calculation-sheet'!L56/10^9</f>
        <v>0.77898121888255978</v>
      </c>
      <c r="M67" s="2">
        <f>M12*'Output-Calculation-sheet'!M56/10^9</f>
        <v>1.1991208331642418</v>
      </c>
      <c r="N67" s="2">
        <f>N12*'Output-Calculation-sheet'!N56/10^9</f>
        <v>1.0246074230044144</v>
      </c>
      <c r="O67" s="2">
        <f>O12*'Output-Calculation-sheet'!O56/10^9</f>
        <v>1.2501468812649303</v>
      </c>
      <c r="P67" s="2">
        <f>P12*'Output-Calculation-sheet'!P56/10^9</f>
        <v>0.78481215786056757</v>
      </c>
      <c r="Q67" s="2">
        <f>Q12*'Output-Calculation-sheet'!Q56/10^9</f>
        <v>0.78871859748216877</v>
      </c>
      <c r="R67" s="2">
        <f>R12*'Output-Calculation-sheet'!R56/10^9</f>
        <v>0.5992184410596495</v>
      </c>
      <c r="S67" s="2">
        <f>S12*'Output-Calculation-sheet'!S56/10^9</f>
        <v>0.57111201653059185</v>
      </c>
      <c r="T67" s="2">
        <f>T12*'Output-Calculation-sheet'!T56/10^9</f>
        <v>0.1837258379986611</v>
      </c>
      <c r="U67" s="2">
        <f>U12*'Output-Calculation-sheet'!U56/10^9</f>
        <v>0.19736211613767765</v>
      </c>
      <c r="V67" s="2">
        <f>V12*'Output-Calculation-sheet'!V56/10^9</f>
        <v>0.14112649591827087</v>
      </c>
      <c r="W67" s="2">
        <f>W12*'Output-Calculation-sheet'!W56/10^9</f>
        <v>9.3593529227954025E-2</v>
      </c>
      <c r="X67" s="2">
        <f>X12*'Output-Calculation-sheet'!X56/10^9</f>
        <v>0.14945254008814865</v>
      </c>
      <c r="Y67" s="2">
        <f>Y12*'Output-Calculation-sheet'!Y56/10^9</f>
        <v>8.8565945037625424E-2</v>
      </c>
      <c r="AA67" s="2">
        <f t="shared" si="4"/>
        <v>34.006524050984659</v>
      </c>
    </row>
    <row r="68" spans="1:27" x14ac:dyDescent="0.25">
      <c r="B68" s="2">
        <f>SUM(B60:B67)</f>
        <v>58.136997821653225</v>
      </c>
      <c r="C68" s="2">
        <f t="shared" ref="C68:Y68" si="5">SUM(C60:C67)</f>
        <v>36.771622727638423</v>
      </c>
      <c r="D68" s="2">
        <f t="shared" si="5"/>
        <v>17.325412994833432</v>
      </c>
      <c r="E68" s="2">
        <f t="shared" si="5"/>
        <v>18.439636013012851</v>
      </c>
      <c r="F68" s="2">
        <f t="shared" si="5"/>
        <v>7.5306621770642241</v>
      </c>
      <c r="G68" s="2">
        <f t="shared" si="5"/>
        <v>5.4178323307269904</v>
      </c>
      <c r="H68" s="2">
        <f t="shared" si="5"/>
        <v>10.237460274708335</v>
      </c>
      <c r="I68" s="2">
        <f t="shared" si="5"/>
        <v>5.0950807437534396</v>
      </c>
      <c r="J68" s="2">
        <f t="shared" si="5"/>
        <v>6.477504199735864</v>
      </c>
      <c r="K68" s="2">
        <f t="shared" si="5"/>
        <v>6.1787561133441731</v>
      </c>
      <c r="L68" s="2">
        <f t="shared" si="5"/>
        <v>7.7772164437892997</v>
      </c>
      <c r="M68" s="2">
        <f t="shared" si="5"/>
        <v>8.0312708114787696</v>
      </c>
      <c r="N68" s="2">
        <f t="shared" si="5"/>
        <v>6.892190275387331</v>
      </c>
      <c r="O68" s="2">
        <f t="shared" si="5"/>
        <v>7.5182041289500043</v>
      </c>
      <c r="P68" s="2">
        <f t="shared" si="5"/>
        <v>4.6964963257093224</v>
      </c>
      <c r="Q68" s="2">
        <f t="shared" si="5"/>
        <v>5.1630738566950587</v>
      </c>
      <c r="R68" s="2">
        <f t="shared" si="5"/>
        <v>4.430539811117467</v>
      </c>
      <c r="S68" s="2">
        <f t="shared" si="5"/>
        <v>3.5369899625304329</v>
      </c>
      <c r="T68" s="2">
        <f t="shared" si="5"/>
        <v>1.586750176216885</v>
      </c>
      <c r="U68" s="2">
        <f t="shared" si="5"/>
        <v>1.240986992460716</v>
      </c>
      <c r="V68" s="2">
        <f t="shared" si="5"/>
        <v>1.8091038007328399</v>
      </c>
      <c r="W68" s="2">
        <f t="shared" si="5"/>
        <v>0.70502684103882329</v>
      </c>
      <c r="X68" s="2">
        <f t="shared" si="5"/>
        <v>0.89969664857559128</v>
      </c>
      <c r="Y68" s="2">
        <f t="shared" si="5"/>
        <v>0.52215170739781525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5977.8382182672776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1472.2135892522435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967.11587555765959</v>
      </c>
      <c r="N74" s="2">
        <f>N8/'Output-Calculation-sheet'!N7*'Output-Calculation-sheet'!N61</f>
        <v>40.533536248063328</v>
      </c>
      <c r="O74" s="2">
        <f>O8/'Output-Calculation-sheet'!O7*'Output-Calculation-sheet'!O61</f>
        <v>1195.2021399621574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120.17803804526949</v>
      </c>
      <c r="Y74" s="2">
        <f>Y8/'Output-Calculation-sheet'!Y7*'Output-Calculation-sheet'!Y61</f>
        <v>0</v>
      </c>
      <c r="AA74" s="2">
        <f t="shared" si="6"/>
        <v>9.7730813973326711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9997.3355457210564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2480.7356939838342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1683.2671105473323</v>
      </c>
      <c r="N75" s="2">
        <f>N9/'Output-Calculation-sheet'!N8*'Output-Calculation-sheet'!N62</f>
        <v>650.64345278663325</v>
      </c>
      <c r="O75" s="2">
        <f>O9/'Output-Calculation-sheet'!O8*'Output-Calculation-sheet'!O62</f>
        <v>1976.1511535273132</v>
      </c>
      <c r="P75" s="2">
        <f>P9/'Output-Calculation-sheet'!P8*'Output-Calculation-sheet'!P62</f>
        <v>43.559553545383174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218.01494002404493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202.78751469983331</v>
      </c>
      <c r="Y75" s="2">
        <f>Y9/'Output-Calculation-sheet'!Y8*'Output-Calculation-sheet'!Y62</f>
        <v>0</v>
      </c>
      <c r="AA75" s="2">
        <f t="shared" si="6"/>
        <v>17.252494964835432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12275.444931061658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3612.4451309384463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2459.5571574059541</v>
      </c>
      <c r="N76" s="2">
        <f>N10/'Output-Calculation-sheet'!N9*'Output-Calculation-sheet'!N63</f>
        <v>1407.5207879917621</v>
      </c>
      <c r="O76" s="2">
        <f>O10/'Output-Calculation-sheet'!O9*'Output-Calculation-sheet'!O63</f>
        <v>2173.2510522226985</v>
      </c>
      <c r="P76" s="2">
        <f>P10/'Output-Calculation-sheet'!P9*'Output-Calculation-sheet'!P63</f>
        <v>488.21544017549621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367.28743489631108</v>
      </c>
      <c r="S76" s="2">
        <f>S10/'Output-Calculation-sheet'!S9*'Output-Calculation-sheet'!S63</f>
        <v>624.12954580773862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130.08644654807406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289.66956186201321</v>
      </c>
      <c r="Y76" s="2">
        <f>Y10/'Output-Calculation-sheet'!Y9*'Output-Calculation-sheet'!Y63</f>
        <v>5.4949973780360022</v>
      </c>
      <c r="AA76" s="2">
        <f t="shared" si="6"/>
        <v>29.711108183282484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12769.780663927484</v>
      </c>
      <c r="D77" s="2">
        <f>D11/'Output-Calculation-sheet'!D10*'Output-Calculation-sheet'!D64</f>
        <v>1743.8173195926929</v>
      </c>
      <c r="E77" s="2">
        <f>E11/'Output-Calculation-sheet'!E10*'Output-Calculation-sheet'!E64</f>
        <v>2119.6445976713389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905.68983621323514</v>
      </c>
      <c r="H77" s="2">
        <f>H11/'Output-Calculation-sheet'!H10*'Output-Calculation-sheet'!H64</f>
        <v>4812.6944346609625</v>
      </c>
      <c r="I77" s="2">
        <f>I11/'Output-Calculation-sheet'!I10*'Output-Calculation-sheet'!I64</f>
        <v>540.08712341626949</v>
      </c>
      <c r="J77" s="2">
        <f>J11/'Output-Calculation-sheet'!J10*'Output-Calculation-sheet'!J64</f>
        <v>365.33350123994495</v>
      </c>
      <c r="K77" s="2">
        <f>K11/'Output-Calculation-sheet'!K10*'Output-Calculation-sheet'!K64</f>
        <v>821.63827788558513</v>
      </c>
      <c r="L77" s="2">
        <f>L11/'Output-Calculation-sheet'!L10*'Output-Calculation-sheet'!L64</f>
        <v>344.19407499354764</v>
      </c>
      <c r="M77" s="2">
        <f>M11/'Output-Calculation-sheet'!M10*'Output-Calculation-sheet'!M64</f>
        <v>3236.8411545848207</v>
      </c>
      <c r="N77" s="2">
        <f>N11/'Output-Calculation-sheet'!N10*'Output-Calculation-sheet'!N64</f>
        <v>2278.938785042043</v>
      </c>
      <c r="O77" s="2">
        <f>O11/'Output-Calculation-sheet'!O10*'Output-Calculation-sheet'!O64</f>
        <v>2363.3927740824793</v>
      </c>
      <c r="P77" s="2">
        <f>P11/'Output-Calculation-sheet'!P10*'Output-Calculation-sheet'!P64</f>
        <v>1005.8684114754701</v>
      </c>
      <c r="Q77" s="2">
        <f>Q11/'Output-Calculation-sheet'!Q10*'Output-Calculation-sheet'!Q64</f>
        <v>904.4048839223824</v>
      </c>
      <c r="R77" s="2">
        <f>R11/'Output-Calculation-sheet'!R10*'Output-Calculation-sheet'!R64</f>
        <v>861.02987249179762</v>
      </c>
      <c r="S77" s="2">
        <f>S11/'Output-Calculation-sheet'!S10*'Output-Calculation-sheet'!S64</f>
        <v>1145.999108997963</v>
      </c>
      <c r="T77" s="2">
        <f>T11/'Output-Calculation-sheet'!T10*'Output-Calculation-sheet'!T64</f>
        <v>236.80833491274208</v>
      </c>
      <c r="U77" s="2">
        <f>U11/'Output-Calculation-sheet'!U10*'Output-Calculation-sheet'!U64</f>
        <v>314.73973339319917</v>
      </c>
      <c r="V77" s="2">
        <f>V11/'Output-Calculation-sheet'!V10*'Output-Calculation-sheet'!V64</f>
        <v>122.44167173353178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336.78317358069569</v>
      </c>
      <c r="Y77" s="2">
        <f>Y11/'Output-Calculation-sheet'!Y10*'Output-Calculation-sheet'!Y64</f>
        <v>78.807371217047432</v>
      </c>
      <c r="AA77" s="2">
        <f t="shared" si="6"/>
        <v>51.435592719904953</v>
      </c>
    </row>
    <row r="78" spans="1:27" x14ac:dyDescent="0.25">
      <c r="A78" s="2">
        <v>2035</v>
      </c>
      <c r="B78" s="2">
        <f>B12/'Output-Calculation-sheet'!B11*'Output-Calculation-sheet'!B65</f>
        <v>18431.711231734229</v>
      </c>
      <c r="C78" s="2">
        <f>C12/'Output-Calculation-sheet'!C11*'Output-Calculation-sheet'!C65</f>
        <v>13468.968142792828</v>
      </c>
      <c r="D78" s="2">
        <f>D12/'Output-Calculation-sheet'!D11*'Output-Calculation-sheet'!D65</f>
        <v>3460.4235971790854</v>
      </c>
      <c r="E78" s="2">
        <f>E12/'Output-Calculation-sheet'!E11*'Output-Calculation-sheet'!E65</f>
        <v>4331.290979096485</v>
      </c>
      <c r="F78" s="2">
        <f>F12/'Output-Calculation-sheet'!F11*'Output-Calculation-sheet'!F65</f>
        <v>865.87867338708259</v>
      </c>
      <c r="G78" s="2">
        <f>G12/'Output-Calculation-sheet'!G11*'Output-Calculation-sheet'!G65</f>
        <v>1591.6473263717517</v>
      </c>
      <c r="H78" s="2">
        <f>H12/'Output-Calculation-sheet'!H11*'Output-Calculation-sheet'!H65</f>
        <v>5032.3450444176915</v>
      </c>
      <c r="I78" s="2">
        <f>I12/'Output-Calculation-sheet'!I11*'Output-Calculation-sheet'!I65</f>
        <v>1155.8325279406604</v>
      </c>
      <c r="J78" s="2">
        <f>J12/'Output-Calculation-sheet'!J11*'Output-Calculation-sheet'!J65</f>
        <v>1117.7078434323948</v>
      </c>
      <c r="K78" s="2">
        <f>K12/'Output-Calculation-sheet'!K11*'Output-Calculation-sheet'!K65</f>
        <v>1400.2903985329801</v>
      </c>
      <c r="L78" s="2">
        <f>L12/'Output-Calculation-sheet'!L11*'Output-Calculation-sheet'!L65</f>
        <v>1032.4333217475428</v>
      </c>
      <c r="M78" s="2">
        <f>M12/'Output-Calculation-sheet'!M11*'Output-Calculation-sheet'!M65</f>
        <v>3674.3429373521767</v>
      </c>
      <c r="N78" s="2">
        <f>N12/'Output-Calculation-sheet'!N11*'Output-Calculation-sheet'!N65</f>
        <v>2619.9493501255047</v>
      </c>
      <c r="O78" s="2">
        <f>O12/'Output-Calculation-sheet'!O11*'Output-Calculation-sheet'!O65</f>
        <v>2473.1548496876935</v>
      </c>
      <c r="P78" s="2">
        <f>P12/'Output-Calculation-sheet'!P11*'Output-Calculation-sheet'!P65</f>
        <v>1427.2811467653682</v>
      </c>
      <c r="Q78" s="2">
        <f>Q12/'Output-Calculation-sheet'!Q11*'Output-Calculation-sheet'!Q65</f>
        <v>1211.8990433261347</v>
      </c>
      <c r="R78" s="2">
        <f>R12/'Output-Calculation-sheet'!R11*'Output-Calculation-sheet'!R65</f>
        <v>1197.7409357525862</v>
      </c>
      <c r="S78" s="2">
        <f>S12/'Output-Calculation-sheet'!S11*'Output-Calculation-sheet'!S65</f>
        <v>1385.7645250327976</v>
      </c>
      <c r="T78" s="2">
        <f>T12/'Output-Calculation-sheet'!T11*'Output-Calculation-sheet'!T65</f>
        <v>432.35122854697516</v>
      </c>
      <c r="U78" s="2">
        <f>U12/'Output-Calculation-sheet'!U11*'Output-Calculation-sheet'!U65</f>
        <v>361.74899067963139</v>
      </c>
      <c r="V78" s="2">
        <f>V12/'Output-Calculation-sheet'!V11*'Output-Calculation-sheet'!V65</f>
        <v>220.06433360066666</v>
      </c>
      <c r="W78" s="2">
        <f>W12/'Output-Calculation-sheet'!W11*'Output-Calculation-sheet'!W65</f>
        <v>153.66088920248325</v>
      </c>
      <c r="X78" s="2">
        <f>X12/'Output-Calculation-sheet'!X11*'Output-Calculation-sheet'!X65</f>
        <v>355.13111071029346</v>
      </c>
      <c r="Y78" s="2">
        <f>Y12/'Output-Calculation-sheet'!Y11*'Output-Calculation-sheet'!Y65</f>
        <v>166.61276247098712</v>
      </c>
      <c r="AA78" s="2">
        <f t="shared" si="6"/>
        <v>67.568231189886021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204.4629595013393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59.582478767620408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0.26404543826895971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638.07428491118196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123.96066790648875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2.4711501810948717</v>
      </c>
      <c r="Y88" s="2">
        <f>Y11/'Output-Calculation-sheet'!Y10*'Output-Calculation-sheet'!Y73</f>
        <v>0</v>
      </c>
      <c r="AA88" s="2">
        <f t="shared" si="7"/>
        <v>0.76450610299876565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1090.4457765502054</v>
      </c>
      <c r="D89" s="2">
        <f>D12/'Output-Calculation-sheet'!D11*'Output-Calculation-sheet'!D74</f>
        <v>96.595120510805202</v>
      </c>
      <c r="E89" s="2">
        <f>E12/'Output-Calculation-sheet'!E11*'Output-Calculation-sheet'!E74</f>
        <v>153.53471151154659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100.70195128839148</v>
      </c>
      <c r="I89" s="2">
        <f>I12/'Output-Calculation-sheet'!I11*'Output-Calculation-sheet'!I74</f>
        <v>31.166276436948188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30.631543915058412</v>
      </c>
      <c r="L89" s="2">
        <f>L12/'Output-Calculation-sheet'!L11*'Output-Calculation-sheet'!L74</f>
        <v>24.356735909869368</v>
      </c>
      <c r="M89" s="2">
        <f>M12/'Output-Calculation-sheet'!M11*'Output-Calculation-sheet'!M74</f>
        <v>46.195197824378788</v>
      </c>
      <c r="N89" s="2">
        <f>N12/'Output-Calculation-sheet'!N11*'Output-Calculation-sheet'!N74</f>
        <v>45.40246685946633</v>
      </c>
      <c r="O89" s="2">
        <f>O12/'Output-Calculation-sheet'!O11*'Output-Calculation-sheet'!O74</f>
        <v>190.65985101751903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39.779391223716488</v>
      </c>
      <c r="R89" s="2">
        <f>R12/'Output-Calculation-sheet'!R11*'Output-Calculation-sheet'!R74</f>
        <v>19.724341870637414</v>
      </c>
      <c r="S89" s="2">
        <f>S12/'Output-Calculation-sheet'!S11*'Output-Calculation-sheet'!S74</f>
        <v>26.026190722749508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12.692056370768066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10.135454163571314</v>
      </c>
      <c r="Y89" s="2">
        <f>Y12/'Output-Calculation-sheet'!Y11*'Output-Calculation-sheet'!Y74</f>
        <v>4.890450628753034</v>
      </c>
      <c r="AA89" s="2">
        <f t="shared" si="7"/>
        <v>2.5892368866058164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11681692075.137392</v>
      </c>
      <c r="C96" s="2">
        <f>C8/'Output-Calculation-sheet'!C7*'Output-Calculation-sheet'!C79</f>
        <v>3951969520.3944159</v>
      </c>
      <c r="D96" s="2">
        <f>D8/'Output-Calculation-sheet'!D7*'Output-Calculation-sheet'!D79</f>
        <v>4125595911.6740398</v>
      </c>
      <c r="E96" s="2">
        <f>E8/'Output-Calculation-sheet'!E7*'Output-Calculation-sheet'!E79</f>
        <v>7334958257.4133596</v>
      </c>
      <c r="F96" s="2">
        <f>F8/'Output-Calculation-sheet'!F7*'Output-Calculation-sheet'!F79</f>
        <v>3035866942.6137419</v>
      </c>
      <c r="G96" s="2">
        <f>G8/'Output-Calculation-sheet'!G7*'Output-Calculation-sheet'!G79</f>
        <v>2364690716.6098404</v>
      </c>
      <c r="H96" s="2">
        <f>H8/'Output-Calculation-sheet'!H7*'Output-Calculation-sheet'!H79</f>
        <v>2024041706.7967191</v>
      </c>
      <c r="I96" s="2">
        <f>I8/'Output-Calculation-sheet'!I7*'Output-Calculation-sheet'!I79</f>
        <v>1647258480.8925126</v>
      </c>
      <c r="J96" s="2">
        <f>J8/'Output-Calculation-sheet'!J7*'Output-Calculation-sheet'!J79</f>
        <v>1113918732.5750294</v>
      </c>
      <c r="K96" s="2">
        <f>K8/'Output-Calculation-sheet'!K7*'Output-Calculation-sheet'!K79</f>
        <v>1593685418.8572526</v>
      </c>
      <c r="L96" s="2">
        <f>L8/'Output-Calculation-sheet'!L7*'Output-Calculation-sheet'!L79</f>
        <v>1124503044.8336525</v>
      </c>
      <c r="M96" s="2">
        <f>M8/'Output-Calculation-sheet'!M7*'Output-Calculation-sheet'!M79</f>
        <v>1510907988.8496525</v>
      </c>
      <c r="N96" s="2">
        <f>N8/'Output-Calculation-sheet'!N7*'Output-Calculation-sheet'!N79</f>
        <v>1124235875.7198522</v>
      </c>
      <c r="O96" s="2">
        <f>O8/'Output-Calculation-sheet'!O7*'Output-Calculation-sheet'!O79</f>
        <v>568339740.51884532</v>
      </c>
      <c r="P96" s="2">
        <f>P8/'Output-Calculation-sheet'!P7*'Output-Calculation-sheet'!P79</f>
        <v>1900977231.5151753</v>
      </c>
      <c r="Q96" s="2">
        <f>Q8/'Output-Calculation-sheet'!Q7*'Output-Calculation-sheet'!Q79</f>
        <v>885936699.43870318</v>
      </c>
      <c r="R96" s="2">
        <f>R8/'Output-Calculation-sheet'!R7*'Output-Calculation-sheet'!R79</f>
        <v>1105311347.2241697</v>
      </c>
      <c r="S96" s="2">
        <f>S8/'Output-Calculation-sheet'!S7*'Output-Calculation-sheet'!S79</f>
        <v>644047019.66899276</v>
      </c>
      <c r="T96" s="2">
        <f>T8/'Output-Calculation-sheet'!T7*'Output-Calculation-sheet'!T79</f>
        <v>491903654.95478189</v>
      </c>
      <c r="U96" s="2">
        <f>U8/'Output-Calculation-sheet'!U7*'Output-Calculation-sheet'!U79</f>
        <v>309001233.68281412</v>
      </c>
      <c r="V96" s="2">
        <f>V8/'Output-Calculation-sheet'!V7*'Output-Calculation-sheet'!V79</f>
        <v>160325953.66247228</v>
      </c>
      <c r="W96" s="2">
        <f>W8/'Output-Calculation-sheet'!W7*'Output-Calculation-sheet'!W79</f>
        <v>473750195.00117415</v>
      </c>
      <c r="X96" s="2">
        <f>X8/'Output-Calculation-sheet'!X7*'Output-Calculation-sheet'!X79</f>
        <v>166509786.64614531</v>
      </c>
      <c r="Y96" s="2">
        <f>Y8/'Output-Calculation-sheet'!Y7*'Output-Calculation-sheet'!Y79</f>
        <v>260419010.29651213</v>
      </c>
      <c r="AA96" s="2">
        <f t="shared" si="8"/>
        <v>49.599846544977247</v>
      </c>
    </row>
    <row r="97" spans="1:27" x14ac:dyDescent="0.25">
      <c r="A97" s="2">
        <v>2032</v>
      </c>
      <c r="B97" s="2">
        <f>B9/'Output-Calculation-sheet'!B8*'Output-Calculation-sheet'!B80</f>
        <v>15899406565.651165</v>
      </c>
      <c r="C97" s="2">
        <f>C9/'Output-Calculation-sheet'!C8*'Output-Calculation-sheet'!C80</f>
        <v>5415423577.5952425</v>
      </c>
      <c r="D97" s="2">
        <f>D9/'Output-Calculation-sheet'!D8*'Output-Calculation-sheet'!D80</f>
        <v>5395942441.3103943</v>
      </c>
      <c r="E97" s="2">
        <f>E9/'Output-Calculation-sheet'!E8*'Output-Calculation-sheet'!E80</f>
        <v>9868371483.1226311</v>
      </c>
      <c r="F97" s="2">
        <f>F9/'Output-Calculation-sheet'!F8*'Output-Calculation-sheet'!F80</f>
        <v>4076625059.0021639</v>
      </c>
      <c r="G97" s="2">
        <f>G9/'Output-Calculation-sheet'!G8*'Output-Calculation-sheet'!G80</f>
        <v>3085781198.52318</v>
      </c>
      <c r="H97" s="2">
        <f>H9/'Output-Calculation-sheet'!H8*'Output-Calculation-sheet'!H80</f>
        <v>2714864181.7011204</v>
      </c>
      <c r="I97" s="2">
        <f>I9/'Output-Calculation-sheet'!I8*'Output-Calculation-sheet'!I80</f>
        <v>2233227735.4001245</v>
      </c>
      <c r="J97" s="2">
        <f>J9/'Output-Calculation-sheet'!J8*'Output-Calculation-sheet'!J80</f>
        <v>1468141108.1539049</v>
      </c>
      <c r="K97" s="2">
        <f>K9/'Output-Calculation-sheet'!K8*'Output-Calculation-sheet'!K80</f>
        <v>2116634735.6266825</v>
      </c>
      <c r="L97" s="2">
        <f>L9/'Output-Calculation-sheet'!L8*'Output-Calculation-sheet'!L80</f>
        <v>1540559463.5053246</v>
      </c>
      <c r="M97" s="2">
        <f>M9/'Output-Calculation-sheet'!M8*'Output-Calculation-sheet'!M80</f>
        <v>2032595861.1189713</v>
      </c>
      <c r="N97" s="2">
        <f>N9/'Output-Calculation-sheet'!N8*'Output-Calculation-sheet'!N80</f>
        <v>1485083037.7438245</v>
      </c>
      <c r="O97" s="2">
        <f>O9/'Output-Calculation-sheet'!O8*'Output-Calculation-sheet'!O80</f>
        <v>768284699.28667402</v>
      </c>
      <c r="P97" s="2">
        <f>P9/'Output-Calculation-sheet'!P8*'Output-Calculation-sheet'!P80</f>
        <v>2513683067.8721557</v>
      </c>
      <c r="Q97" s="2">
        <f>Q9/'Output-Calculation-sheet'!Q8*'Output-Calculation-sheet'!Q80</f>
        <v>1175804546.403151</v>
      </c>
      <c r="R97" s="2">
        <f>R9/'Output-Calculation-sheet'!R8*'Output-Calculation-sheet'!R80</f>
        <v>1485626047.7741487</v>
      </c>
      <c r="S97" s="2">
        <f>S9/'Output-Calculation-sheet'!S8*'Output-Calculation-sheet'!S80</f>
        <v>862253059.23785114</v>
      </c>
      <c r="T97" s="2">
        <f>T9/'Output-Calculation-sheet'!T8*'Output-Calculation-sheet'!T80</f>
        <v>649306878.24572706</v>
      </c>
      <c r="U97" s="2">
        <f>U9/'Output-Calculation-sheet'!U8*'Output-Calculation-sheet'!U80</f>
        <v>415097230.53504336</v>
      </c>
      <c r="V97" s="2">
        <f>V9/'Output-Calculation-sheet'!V8*'Output-Calculation-sheet'!V80</f>
        <v>217652249.77678126</v>
      </c>
      <c r="W97" s="2">
        <f>W9/'Output-Calculation-sheet'!W8*'Output-Calculation-sheet'!W80</f>
        <v>630325120.84385753</v>
      </c>
      <c r="X97" s="2">
        <f>X9/'Output-Calculation-sheet'!X8*'Output-Calculation-sheet'!X80</f>
        <v>226347545.72646007</v>
      </c>
      <c r="Y97" s="2">
        <f>Y9/'Output-Calculation-sheet'!Y8*'Output-Calculation-sheet'!Y80</f>
        <v>346467487.24404573</v>
      </c>
      <c r="AA97" s="2">
        <f t="shared" si="8"/>
        <v>66.623504381400636</v>
      </c>
    </row>
    <row r="98" spans="1:27" x14ac:dyDescent="0.25">
      <c r="A98" s="2">
        <v>2033</v>
      </c>
      <c r="B98" s="2">
        <f>B10/'Output-Calculation-sheet'!B9*'Output-Calculation-sheet'!B81</f>
        <v>20211663392.664005</v>
      </c>
      <c r="C98" s="2">
        <f>C10/'Output-Calculation-sheet'!C9*'Output-Calculation-sheet'!C81</f>
        <v>6929560481.1988306</v>
      </c>
      <c r="D98" s="2">
        <f>D10/'Output-Calculation-sheet'!D9*'Output-Calculation-sheet'!D81</f>
        <v>6594831003.8937397</v>
      </c>
      <c r="E98" s="2">
        <f>E10/'Output-Calculation-sheet'!E9*'Output-Calculation-sheet'!E81</f>
        <v>12405292063.284777</v>
      </c>
      <c r="F98" s="2">
        <f>F10/'Output-Calculation-sheet'!F9*'Output-Calculation-sheet'!F81</f>
        <v>5116242296.2392035</v>
      </c>
      <c r="G98" s="2">
        <f>G10/'Output-Calculation-sheet'!G9*'Output-Calculation-sheet'!G81</f>
        <v>3756501631.0482745</v>
      </c>
      <c r="H98" s="2">
        <f>H10/'Output-Calculation-sheet'!H9*'Output-Calculation-sheet'!H81</f>
        <v>3403421169.2719846</v>
      </c>
      <c r="I98" s="2">
        <f>I10/'Output-Calculation-sheet'!I9*'Output-Calculation-sheet'!I81</f>
        <v>2829247770.2067966</v>
      </c>
      <c r="J98" s="2">
        <f>J10/'Output-Calculation-sheet'!J9*'Output-Calculation-sheet'!J81</f>
        <v>1809092334.4977603</v>
      </c>
      <c r="K98" s="2">
        <f>K10/'Output-Calculation-sheet'!K9*'Output-Calculation-sheet'!K81</f>
        <v>2627778358.7570477</v>
      </c>
      <c r="L98" s="2">
        <f>L10/'Output-Calculation-sheet'!L9*'Output-Calculation-sheet'!L81</f>
        <v>1970873103.9137509</v>
      </c>
      <c r="M98" s="2">
        <f>M10/'Output-Calculation-sheet'!M9*'Output-Calculation-sheet'!M81</f>
        <v>2555826401.2533917</v>
      </c>
      <c r="N98" s="2">
        <f>N10/'Output-Calculation-sheet'!N9*'Output-Calculation-sheet'!N81</f>
        <v>1833606024.0712636</v>
      </c>
      <c r="O98" s="2">
        <f>O10/'Output-Calculation-sheet'!O9*'Output-Calculation-sheet'!O81</f>
        <v>970997980.34054208</v>
      </c>
      <c r="P98" s="2">
        <f>P10/'Output-Calculation-sheet'!P9*'Output-Calculation-sheet'!P81</f>
        <v>3103027814.5869765</v>
      </c>
      <c r="Q98" s="2">
        <f>Q10/'Output-Calculation-sheet'!Q9*'Output-Calculation-sheet'!Q81</f>
        <v>1458965014.8361304</v>
      </c>
      <c r="R98" s="2">
        <f>R10/'Output-Calculation-sheet'!R9*'Output-Calculation-sheet'!R81</f>
        <v>1866236978.1939414</v>
      </c>
      <c r="S98" s="2">
        <f>S10/'Output-Calculation-sheet'!S9*'Output-Calculation-sheet'!S81</f>
        <v>1079017235.9812472</v>
      </c>
      <c r="T98" s="2">
        <f>T10/'Output-Calculation-sheet'!T9*'Output-Calculation-sheet'!T81</f>
        <v>800675179.43263888</v>
      </c>
      <c r="U98" s="2">
        <f>U10/'Output-Calculation-sheet'!U9*'Output-Calculation-sheet'!U81</f>
        <v>520971200.65656036</v>
      </c>
      <c r="V98" s="2">
        <f>V10/'Output-Calculation-sheet'!V9*'Output-Calculation-sheet'!V81</f>
        <v>275915120.90101856</v>
      </c>
      <c r="W98" s="2">
        <f>W10/'Output-Calculation-sheet'!W9*'Output-Calculation-sheet'!W81</f>
        <v>782314558.55634272</v>
      </c>
      <c r="X98" s="2">
        <f>X10/'Output-Calculation-sheet'!X9*'Output-Calculation-sheet'!X81</f>
        <v>287476931.13493359</v>
      </c>
      <c r="Y98" s="2">
        <f>Y10/'Output-Calculation-sheet'!Y9*'Output-Calculation-sheet'!Y81</f>
        <v>430164992.07473463</v>
      </c>
      <c r="AA98" s="2">
        <f t="shared" si="8"/>
        <v>83.619699036995868</v>
      </c>
    </row>
    <row r="99" spans="1:27" x14ac:dyDescent="0.25">
      <c r="A99" s="2">
        <v>2034</v>
      </c>
      <c r="B99" s="2">
        <f>B11/'Output-Calculation-sheet'!B10*'Output-Calculation-sheet'!B82</f>
        <v>24520923485.465092</v>
      </c>
      <c r="C99" s="2">
        <f>C11/'Output-Calculation-sheet'!C10*'Output-Calculation-sheet'!C82</f>
        <v>8460724641.5795927</v>
      </c>
      <c r="D99" s="2">
        <f>D11/'Output-Calculation-sheet'!D10*'Output-Calculation-sheet'!D82</f>
        <v>7696879556.5267878</v>
      </c>
      <c r="E99" s="2">
        <f>E11/'Output-Calculation-sheet'!E10*'Output-Calculation-sheet'!E82</f>
        <v>14888938570.889977</v>
      </c>
      <c r="F99" s="2">
        <f>F11/'Output-Calculation-sheet'!F10*'Output-Calculation-sheet'!F82</f>
        <v>6131990873.0910082</v>
      </c>
      <c r="G99" s="2">
        <f>G11/'Output-Calculation-sheet'!G10*'Output-Calculation-sheet'!G82</f>
        <v>4359409156.4885168</v>
      </c>
      <c r="H99" s="2">
        <f>H11/'Output-Calculation-sheet'!H10*'Output-Calculation-sheet'!H82</f>
        <v>4074659347.8244171</v>
      </c>
      <c r="I99" s="2">
        <f>I11/'Output-Calculation-sheet'!I10*'Output-Calculation-sheet'!I82</f>
        <v>3422430186.9617786</v>
      </c>
      <c r="J99" s="2">
        <f>J11/'Output-Calculation-sheet'!J10*'Output-Calculation-sheet'!J82</f>
        <v>2129776996.4071553</v>
      </c>
      <c r="K99" s="2">
        <f>K11/'Output-Calculation-sheet'!K10*'Output-Calculation-sheet'!K82</f>
        <v>3116143229.6207824</v>
      </c>
      <c r="L99" s="2">
        <f>L11/'Output-Calculation-sheet'!L10*'Output-Calculation-sheet'!L82</f>
        <v>2405890454.9100399</v>
      </c>
      <c r="M99" s="2">
        <f>M11/'Output-Calculation-sheet'!M10*'Output-Calculation-sheet'!M82</f>
        <v>3069365361.4681478</v>
      </c>
      <c r="N99" s="2">
        <f>N11/'Output-Calculation-sheet'!N10*'Output-Calculation-sheet'!N82</f>
        <v>2162370765.0916314</v>
      </c>
      <c r="O99" s="2">
        <f>O11/'Output-Calculation-sheet'!O10*'Output-Calculation-sheet'!O82</f>
        <v>1172329712.373112</v>
      </c>
      <c r="P99" s="2">
        <f>P11/'Output-Calculation-sheet'!P10*'Output-Calculation-sheet'!P82</f>
        <v>3654417294.1900702</v>
      </c>
      <c r="Q99" s="2">
        <f>Q11/'Output-Calculation-sheet'!Q10*'Output-Calculation-sheet'!Q82</f>
        <v>1729499909.16818</v>
      </c>
      <c r="R99" s="2">
        <f>R11/'Output-Calculation-sheet'!R10*'Output-Calculation-sheet'!R82</f>
        <v>2238829634.1629229</v>
      </c>
      <c r="S99" s="2">
        <f>S11/'Output-Calculation-sheet'!S10*'Output-Calculation-sheet'!S82</f>
        <v>1289628459.121701</v>
      </c>
      <c r="T99" s="2">
        <f>T11/'Output-Calculation-sheet'!T10*'Output-Calculation-sheet'!T82</f>
        <v>942567628.32508421</v>
      </c>
      <c r="U99" s="2">
        <f>U11/'Output-Calculation-sheet'!U10*'Output-Calculation-sheet'!U82</f>
        <v>624187284.1883347</v>
      </c>
      <c r="V99" s="2">
        <f>V11/'Output-Calculation-sheet'!V10*'Output-Calculation-sheet'!V82</f>
        <v>333745158.85263723</v>
      </c>
      <c r="W99" s="2">
        <f>W11/'Output-Calculation-sheet'!W10*'Output-Calculation-sheet'!W82</f>
        <v>925487010.52144742</v>
      </c>
      <c r="X99" s="2">
        <f>X11/'Output-Calculation-sheet'!X10*'Output-Calculation-sheet'!X82</f>
        <v>348563887.83902925</v>
      </c>
      <c r="Y99" s="2">
        <f>Y11/'Output-Calculation-sheet'!Y10*'Output-Calculation-sheet'!Y82</f>
        <v>509311386.2391991</v>
      </c>
      <c r="AA99" s="2">
        <f t="shared" si="8"/>
        <v>100.20806999130664</v>
      </c>
    </row>
    <row r="100" spans="1:27" x14ac:dyDescent="0.25">
      <c r="A100" s="2">
        <v>2035</v>
      </c>
      <c r="B100" s="2">
        <f>B12/'Output-Calculation-sheet'!B11*'Output-Calculation-sheet'!B83</f>
        <v>28727875347.230354</v>
      </c>
      <c r="C100" s="2">
        <f>C12/'Output-Calculation-sheet'!C11*'Output-Calculation-sheet'!C83</f>
        <v>9973851711.7701321</v>
      </c>
      <c r="D100" s="2">
        <f>D12/'Output-Calculation-sheet'!D11*'Output-Calculation-sheet'!D83</f>
        <v>8680959046.5506287</v>
      </c>
      <c r="E100" s="2">
        <f>E12/'Output-Calculation-sheet'!E11*'Output-Calculation-sheet'!E83</f>
        <v>17264187605.709129</v>
      </c>
      <c r="F100" s="2">
        <f>F12/'Output-Calculation-sheet'!F11*'Output-Calculation-sheet'!F83</f>
        <v>7101798408.0583286</v>
      </c>
      <c r="G100" s="2">
        <f>G12/'Output-Calculation-sheet'!G11*'Output-Calculation-sheet'!G83</f>
        <v>4880318360.1016521</v>
      </c>
      <c r="H100" s="2">
        <f>H12/'Output-Calculation-sheet'!H11*'Output-Calculation-sheet'!H83</f>
        <v>4714022819.6633768</v>
      </c>
      <c r="I100" s="2">
        <f>I12/'Output-Calculation-sheet'!I11*'Output-Calculation-sheet'!I83</f>
        <v>3999755252.8121824</v>
      </c>
      <c r="J100" s="2">
        <f>J12/'Output-Calculation-sheet'!J11*'Output-Calculation-sheet'!J83</f>
        <v>2424023834.6765761</v>
      </c>
      <c r="K100" s="2">
        <f>K12/'Output-Calculation-sheet'!K11*'Output-Calculation-sheet'!K83</f>
        <v>3571619641.5694618</v>
      </c>
      <c r="L100" s="2">
        <f>L12/'Output-Calculation-sheet'!L11*'Output-Calculation-sheet'!L83</f>
        <v>2835662343.7724028</v>
      </c>
      <c r="M100" s="2">
        <f>M12/'Output-Calculation-sheet'!M11*'Output-Calculation-sheet'!M83</f>
        <v>3562220262.9527354</v>
      </c>
      <c r="N100" s="2">
        <f>N12/'Output-Calculation-sheet'!N11*'Output-Calculation-sheet'!N83</f>
        <v>2464775069.0165634</v>
      </c>
      <c r="O100" s="2">
        <f>O12/'Output-Calculation-sheet'!O11*'Output-Calculation-sheet'!O83</f>
        <v>1368106665.1996291</v>
      </c>
      <c r="P100" s="2">
        <f>P12/'Output-Calculation-sheet'!P11*'Output-Calculation-sheet'!P83</f>
        <v>4155037153.5964732</v>
      </c>
      <c r="Q100" s="2">
        <f>Q12/'Output-Calculation-sheet'!Q11*'Output-Calculation-sheet'!Q83</f>
        <v>1981971769.5787044</v>
      </c>
      <c r="R100" s="2">
        <f>R12/'Output-Calculation-sheet'!R11*'Output-Calculation-sheet'!R83</f>
        <v>2595281564.9179811</v>
      </c>
      <c r="S100" s="2">
        <f>S12/'Output-Calculation-sheet'!S11*'Output-Calculation-sheet'!S83</f>
        <v>1489558274.9446588</v>
      </c>
      <c r="T100" s="2">
        <f>T12/'Output-Calculation-sheet'!T11*'Output-Calculation-sheet'!T83</f>
        <v>1071965862.4249518</v>
      </c>
      <c r="U100" s="2">
        <f>U12/'Output-Calculation-sheet'!U11*'Output-Calculation-sheet'!U83</f>
        <v>722383618.80990934</v>
      </c>
      <c r="V100" s="2">
        <f>V12/'Output-Calculation-sheet'!V11*'Output-Calculation-sheet'!V83</f>
        <v>389767933.89487672</v>
      </c>
      <c r="W100" s="2">
        <f>W12/'Output-Calculation-sheet'!W11*'Output-Calculation-sheet'!W83</f>
        <v>1055977088.2104073</v>
      </c>
      <c r="X100" s="2">
        <f>X12/'Output-Calculation-sheet'!X11*'Output-Calculation-sheet'!X83</f>
        <v>408250772.59521663</v>
      </c>
      <c r="Y100" s="2">
        <f>Y12/'Output-Calculation-sheet'!Y11*'Output-Calculation-sheet'!Y83</f>
        <v>581906406.54925466</v>
      </c>
      <c r="AA100" s="2">
        <f t="shared" si="8"/>
        <v>116.02127681460557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1366815209.3803406</v>
      </c>
      <c r="C107" s="2">
        <f>C8/'Output-Calculation-sheet'!C7*'Output-Calculation-sheet'!C88</f>
        <v>22509971929.580624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7023201537.0214024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4845442395.5895233</v>
      </c>
      <c r="N107" s="2">
        <f>N8/'Output-Calculation-sheet'!N7*'Output-Calculation-sheet'!N88</f>
        <v>1472221722.0598593</v>
      </c>
      <c r="O107" s="2">
        <f>O8/'Output-Calculation-sheet'!O7*'Output-Calculation-sheet'!O88</f>
        <v>4373708096.9118624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485974396.16054428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524762962.27448088</v>
      </c>
      <c r="Y107" s="2">
        <f>Y8/'Output-Calculation-sheet'!Y7*'Output-Calculation-sheet'!Y88</f>
        <v>0</v>
      </c>
      <c r="AA107" s="2">
        <f t="shared" si="9"/>
        <v>42602.098248978647</v>
      </c>
    </row>
    <row r="108" spans="1:27" x14ac:dyDescent="0.25">
      <c r="A108" s="2">
        <v>2032</v>
      </c>
      <c r="B108" s="2">
        <f>B9/'Output-Calculation-sheet'!B8*'Output-Calculation-sheet'!B89</f>
        <v>6115369145.769845</v>
      </c>
      <c r="C108" s="2">
        <f>C9/'Output-Calculation-sheet'!C8*'Output-Calculation-sheet'!C89</f>
        <v>30655871928.821499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9564420287.5560303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6598618342.4413891</v>
      </c>
      <c r="N108" s="2">
        <f>N9/'Output-Calculation-sheet'!N8*'Output-Calculation-sheet'!N89</f>
        <v>3109547558.554419</v>
      </c>
      <c r="O108" s="2">
        <f>O9/'Output-Calculation-sheet'!O8*'Output-Calculation-sheet'!O89</f>
        <v>5956461990.6625633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934531475.52279627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714650090.40769207</v>
      </c>
      <c r="Y108" s="2">
        <f>Y9/'Output-Calculation-sheet'!Y8*'Output-Calculation-sheet'!Y89</f>
        <v>0</v>
      </c>
      <c r="AA108" s="2">
        <f t="shared" si="9"/>
        <v>63649.470819736242</v>
      </c>
    </row>
    <row r="109" spans="1:27" x14ac:dyDescent="0.25">
      <c r="A109" s="2">
        <v>2033</v>
      </c>
      <c r="B109" s="2">
        <f>B10/'Output-Calculation-sheet'!B9*'Output-Calculation-sheet'!B90</f>
        <v>16556139998.68161</v>
      </c>
      <c r="C109" s="2">
        <f>C10/'Output-Calculation-sheet'!C9*'Output-Calculation-sheet'!C90</f>
        <v>36538287375.839485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12164237879.97353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8392267055.6440277</v>
      </c>
      <c r="N109" s="2">
        <f>N10/'Output-Calculation-sheet'!N9*'Output-Calculation-sheet'!N90</f>
        <v>4942576479.593771</v>
      </c>
      <c r="O109" s="2">
        <f>O10/'Output-Calculation-sheet'!O9*'Output-Calculation-sheet'!O90</f>
        <v>6703608797.4839678</v>
      </c>
      <c r="P109" s="2">
        <f>P10/'Output-Calculation-sheet'!P9*'Output-Calculation-sheet'!P90</f>
        <v>0</v>
      </c>
      <c r="Q109" s="2">
        <f>Q10/'Output-Calculation-sheet'!Q9*'Output-Calculation-sheet'!Q90</f>
        <v>160943840.4048132</v>
      </c>
      <c r="R109" s="2">
        <f>R10/'Output-Calculation-sheet'!R9*'Output-Calculation-sheet'!R90</f>
        <v>0</v>
      </c>
      <c r="S109" s="2">
        <f>S10/'Output-Calculation-sheet'!S9*'Output-Calculation-sheet'!S90</f>
        <v>1994818459.1146388</v>
      </c>
      <c r="T109" s="2">
        <f>T10/'Output-Calculation-sheet'!T9*'Output-Calculation-sheet'!T90</f>
        <v>1.5207048813242344E-7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908907913.28472269</v>
      </c>
      <c r="Y109" s="2">
        <f>Y10/'Output-Calculation-sheet'!Y9*'Output-Calculation-sheet'!Y90</f>
        <v>0</v>
      </c>
      <c r="AA109" s="2">
        <f t="shared" si="9"/>
        <v>88361.787800020567</v>
      </c>
    </row>
    <row r="110" spans="1:27" x14ac:dyDescent="0.25">
      <c r="A110" s="2">
        <v>2034</v>
      </c>
      <c r="B110" s="2">
        <f>B11/'Output-Calculation-sheet'!B10*'Output-Calculation-sheet'!B91</f>
        <v>39526302178.293571</v>
      </c>
      <c r="C110" s="2">
        <f>C11/'Output-Calculation-sheet'!C10*'Output-Calculation-sheet'!C91</f>
        <v>39969175263.693329</v>
      </c>
      <c r="D110" s="2">
        <f>D11/'Output-Calculation-sheet'!D10*'Output-Calculation-sheet'!D91</f>
        <v>0</v>
      </c>
      <c r="E110" s="2">
        <f>E11/'Output-Calculation-sheet'!E10*'Output-Calculation-sheet'!E91</f>
        <v>806314691.61156142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14763058766.376547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670981288.83076179</v>
      </c>
      <c r="M110" s="2">
        <f>M11/'Output-Calculation-sheet'!M10*'Output-Calculation-sheet'!M91</f>
        <v>10185225927.011515</v>
      </c>
      <c r="N110" s="2">
        <f>N11/'Output-Calculation-sheet'!N10*'Output-Calculation-sheet'!N91</f>
        <v>7044612108.2994356</v>
      </c>
      <c r="O110" s="2">
        <f>O11/'Output-Calculation-sheet'!O10*'Output-Calculation-sheet'!O91</f>
        <v>7314464490.7129107</v>
      </c>
      <c r="P110" s="2">
        <f>P11/'Output-Calculation-sheet'!P10*'Output-Calculation-sheet'!P91</f>
        <v>0</v>
      </c>
      <c r="Q110" s="2">
        <f>Q11/'Output-Calculation-sheet'!Q10*'Output-Calculation-sheet'!Q91</f>
        <v>1792631540.5120757</v>
      </c>
      <c r="R110" s="2">
        <f>R11/'Output-Calculation-sheet'!R10*'Output-Calculation-sheet'!R91</f>
        <v>0</v>
      </c>
      <c r="S110" s="2">
        <f>S11/'Output-Calculation-sheet'!S10*'Output-Calculation-sheet'!S91</f>
        <v>3464290582.2986727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1009084291.8493665</v>
      </c>
      <c r="Y110" s="2">
        <f>Y11/'Output-Calculation-sheet'!Y10*'Output-Calculation-sheet'!Y91</f>
        <v>44158407.339010537</v>
      </c>
      <c r="AA110" s="2">
        <f t="shared" si="9"/>
        <v>126590.29953682875</v>
      </c>
    </row>
    <row r="111" spans="1:27" x14ac:dyDescent="0.25">
      <c r="A111" s="2">
        <v>2035</v>
      </c>
      <c r="B111" s="2">
        <f>B12/'Output-Calculation-sheet'!B11*'Output-Calculation-sheet'!B92</f>
        <v>51495019140.947395</v>
      </c>
      <c r="C111" s="2">
        <f>C12/'Output-Calculation-sheet'!C11*'Output-Calculation-sheet'!C92</f>
        <v>43066719766.539742</v>
      </c>
      <c r="D111" s="2">
        <f>D12/'Output-Calculation-sheet'!D11*'Output-Calculation-sheet'!D92</f>
        <v>0</v>
      </c>
      <c r="E111" s="2">
        <f>E12/'Output-Calculation-sheet'!E11*'Output-Calculation-sheet'!E92</f>
        <v>5732121727.4153395</v>
      </c>
      <c r="F111" s="2">
        <f>F12/'Output-Calculation-sheet'!F11*'Output-Calculation-sheet'!F92</f>
        <v>0</v>
      </c>
      <c r="G111" s="2">
        <f>G12/'Output-Calculation-sheet'!G11*'Output-Calculation-sheet'!G92</f>
        <v>-6.2323523188896248E-7</v>
      </c>
      <c r="H111" s="2">
        <f>H12/'Output-Calculation-sheet'!H11*'Output-Calculation-sheet'!H92</f>
        <v>15940766432.122862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1891573338.8435469</v>
      </c>
      <c r="M111" s="2">
        <f>M12/'Output-Calculation-sheet'!M11*'Output-Calculation-sheet'!M92</f>
        <v>11248209613.611355</v>
      </c>
      <c r="N111" s="2">
        <f>N12/'Output-Calculation-sheet'!N11*'Output-Calculation-sheet'!N92</f>
        <v>8112435594.2557831</v>
      </c>
      <c r="O111" s="2">
        <f>O12/'Output-Calculation-sheet'!O11*'Output-Calculation-sheet'!O92</f>
        <v>7824726891.5003405</v>
      </c>
      <c r="P111" s="2">
        <f>P12/'Output-Calculation-sheet'!P11*'Output-Calculation-sheet'!P92</f>
        <v>393515150.82167834</v>
      </c>
      <c r="Q111" s="2">
        <f>Q12/'Output-Calculation-sheet'!Q11*'Output-Calculation-sheet'!Q92</f>
        <v>2706480385.5358047</v>
      </c>
      <c r="R111" s="2">
        <f>R12/'Output-Calculation-sheet'!R11*'Output-Calculation-sheet'!R92</f>
        <v>0</v>
      </c>
      <c r="S111" s="2">
        <f>S12/'Output-Calculation-sheet'!S11*'Output-Calculation-sheet'!S92</f>
        <v>4152382432.9090099</v>
      </c>
      <c r="T111" s="2">
        <f>T12/'Output-Calculation-sheet'!T11*'Output-Calculation-sheet'!T92</f>
        <v>0</v>
      </c>
      <c r="U111" s="2">
        <f>U12/'Output-Calculation-sheet'!U11*'Output-Calculation-sheet'!U92</f>
        <v>78516995.247046188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1109958924.0881035</v>
      </c>
      <c r="Y111" s="2">
        <f>Y12/'Output-Calculation-sheet'!Y11*'Output-Calculation-sheet'!Y92</f>
        <v>267408373.24502727</v>
      </c>
      <c r="AA111" s="2">
        <f t="shared" si="9"/>
        <v>154019.834767083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46410576887.42189</v>
      </c>
      <c r="C118" s="2">
        <f>C8/'Output-Calculation-sheet'!C7*'Output-Calculation-sheet'!C97</f>
        <v>0</v>
      </c>
      <c r="D118" s="2">
        <f>D8/'Output-Calculation-sheet'!D7*'Output-Calculation-sheet'!D97</f>
        <v>20067055215.860836</v>
      </c>
      <c r="E118" s="2">
        <f>E8/'Output-Calculation-sheet'!E7*'Output-Calculation-sheet'!E97</f>
        <v>15921171973.267603</v>
      </c>
      <c r="F118" s="2">
        <f>F8/'Output-Calculation-sheet'!F7*'Output-Calculation-sheet'!F97</f>
        <v>10249029724.917791</v>
      </c>
      <c r="G118" s="2">
        <f>G8/'Output-Calculation-sheet'!G7*'Output-Calculation-sheet'!G97</f>
        <v>7201249561.7560415</v>
      </c>
      <c r="H118" s="2">
        <f>H8/'Output-Calculation-sheet'!H7*'Output-Calculation-sheet'!H97</f>
        <v>0</v>
      </c>
      <c r="I118" s="2">
        <f>I8/'Output-Calculation-sheet'!I7*'Output-Calculation-sheet'!I97</f>
        <v>6560905212.9701405</v>
      </c>
      <c r="J118" s="2">
        <f>J8/'Output-Calculation-sheet'!J7*'Output-Calculation-sheet'!J97</f>
        <v>6385933246.6868792</v>
      </c>
      <c r="K118" s="2">
        <f>K8/'Output-Calculation-sheet'!K7*'Output-Calculation-sheet'!K97</f>
        <v>6324711381.7089853</v>
      </c>
      <c r="L118" s="2">
        <f>L8/'Output-Calculation-sheet'!L7*'Output-Calculation-sheet'!L97</f>
        <v>5073765709.1837015</v>
      </c>
      <c r="M118" s="2">
        <f>M8/'Output-Calculation-sheet'!M7*'Output-Calculation-sheet'!M97</f>
        <v>0</v>
      </c>
      <c r="N118" s="2">
        <f>N8/'Output-Calculation-sheet'!N7*'Output-Calculation-sheet'!N97</f>
        <v>3284392443.1930051</v>
      </c>
      <c r="O118" s="2">
        <f>O8/'Output-Calculation-sheet'!O7*'Output-Calculation-sheet'!O97</f>
        <v>0</v>
      </c>
      <c r="P118" s="2">
        <f>P8/'Output-Calculation-sheet'!P7*'Output-Calculation-sheet'!P97</f>
        <v>4330197440.5602961</v>
      </c>
      <c r="Q118" s="2">
        <f>Q8/'Output-Calculation-sheet'!Q7*'Output-Calculation-sheet'!Q97</f>
        <v>4260213644.1304622</v>
      </c>
      <c r="R118" s="2">
        <f>R8/'Output-Calculation-sheet'!R7*'Output-Calculation-sheet'!R97</f>
        <v>4098521454.0509667</v>
      </c>
      <c r="S118" s="2">
        <f>S8/'Output-Calculation-sheet'!S7*'Output-Calculation-sheet'!S97</f>
        <v>2238113236.9398751</v>
      </c>
      <c r="T118" s="2">
        <f>T8/'Output-Calculation-sheet'!T7*'Output-Calculation-sheet'!T97</f>
        <v>1506581538.8416986</v>
      </c>
      <c r="U118" s="2">
        <f>U8/'Output-Calculation-sheet'!U7*'Output-Calculation-sheet'!U97</f>
        <v>1312180784.9549074</v>
      </c>
      <c r="V118" s="2">
        <f>V8/'Output-Calculation-sheet'!V7*'Output-Calculation-sheet'!V97</f>
        <v>1010405845.0813856</v>
      </c>
      <c r="W118" s="2">
        <f>W8/'Output-Calculation-sheet'!W7*'Output-Calculation-sheet'!W97</f>
        <v>874787189.70202184</v>
      </c>
      <c r="X118" s="2">
        <f>X8/'Output-Calculation-sheet'!X7*'Output-Calculation-sheet'!X97</f>
        <v>0</v>
      </c>
      <c r="Y118" s="2">
        <f>Y8/'Output-Calculation-sheet'!Y7*'Output-Calculation-sheet'!Y97</f>
        <v>510433276.11734676</v>
      </c>
      <c r="AA118" s="2">
        <f t="shared" si="10"/>
        <v>147620.22576734587</v>
      </c>
    </row>
    <row r="119" spans="1:27" x14ac:dyDescent="0.25">
      <c r="A119" s="2">
        <v>2032</v>
      </c>
      <c r="B119" s="2">
        <f>B9/'Output-Calculation-sheet'!B8*'Output-Calculation-sheet'!B98</f>
        <v>58948703359.66362</v>
      </c>
      <c r="C119" s="2">
        <f>C9/'Output-Calculation-sheet'!C8*'Output-Calculation-sheet'!C98</f>
        <v>0</v>
      </c>
      <c r="D119" s="2">
        <f>D9/'Output-Calculation-sheet'!D8*'Output-Calculation-sheet'!D98</f>
        <v>27327662245.92955</v>
      </c>
      <c r="E119" s="2">
        <f>E9/'Output-Calculation-sheet'!E8*'Output-Calculation-sheet'!E98</f>
        <v>21681721778.172344</v>
      </c>
      <c r="F119" s="2">
        <f>F9/'Output-Calculation-sheet'!F8*'Output-Calculation-sheet'!F98</f>
        <v>13957306670.920362</v>
      </c>
      <c r="G119" s="2">
        <f>G9/'Output-Calculation-sheet'!G8*'Output-Calculation-sheet'!G98</f>
        <v>9806786747.0825176</v>
      </c>
      <c r="H119" s="2">
        <f>H9/'Output-Calculation-sheet'!H8*'Output-Calculation-sheet'!H98</f>
        <v>1.3118588465154307E-6</v>
      </c>
      <c r="I119" s="2">
        <f>I9/'Output-Calculation-sheet'!I8*'Output-Calculation-sheet'!I98</f>
        <v>8934755360.8050232</v>
      </c>
      <c r="J119" s="2">
        <f>J9/'Output-Calculation-sheet'!J8*'Output-Calculation-sheet'!J98</f>
        <v>8696472102.9104328</v>
      </c>
      <c r="K119" s="2">
        <f>K9/'Output-Calculation-sheet'!K8*'Output-Calculation-sheet'!K98</f>
        <v>8613100480.9719906</v>
      </c>
      <c r="L119" s="2">
        <f>L9/'Output-Calculation-sheet'!L8*'Output-Calculation-sheet'!L98</f>
        <v>6909542815.9668283</v>
      </c>
      <c r="M119" s="2">
        <f>M9/'Output-Calculation-sheet'!M8*'Output-Calculation-sheet'!M98</f>
        <v>0</v>
      </c>
      <c r="N119" s="2">
        <f>N9/'Output-Calculation-sheet'!N8*'Output-Calculation-sheet'!N98</f>
        <v>3367549777.3311729</v>
      </c>
      <c r="O119" s="2">
        <f>O9/'Output-Calculation-sheet'!O8*'Output-Calculation-sheet'!O98</f>
        <v>0</v>
      </c>
      <c r="P119" s="2">
        <f>P9/'Output-Calculation-sheet'!P8*'Output-Calculation-sheet'!P98</f>
        <v>5896898678.5059109</v>
      </c>
      <c r="Q119" s="2">
        <f>Q9/'Output-Calculation-sheet'!Q8*'Output-Calculation-sheet'!Q98</f>
        <v>5801632478.5069847</v>
      </c>
      <c r="R119" s="2">
        <f>R9/'Output-Calculation-sheet'!R8*'Output-Calculation-sheet'!R98</f>
        <v>5581437712.2406321</v>
      </c>
      <c r="S119" s="2">
        <f>S9/'Output-Calculation-sheet'!S8*'Output-Calculation-sheet'!S98</f>
        <v>2774979433.2866755</v>
      </c>
      <c r="T119" s="2">
        <f>T9/'Output-Calculation-sheet'!T8*'Output-Calculation-sheet'!T98</f>
        <v>2051688428.6075139</v>
      </c>
      <c r="U119" s="2">
        <f>U9/'Output-Calculation-sheet'!U8*'Output-Calculation-sheet'!U98</f>
        <v>1786950869.1285269</v>
      </c>
      <c r="V119" s="2">
        <f>V9/'Output-Calculation-sheet'!V8*'Output-Calculation-sheet'!V98</f>
        <v>1375987908.4717457</v>
      </c>
      <c r="W119" s="2">
        <f>W9/'Output-Calculation-sheet'!W8*'Output-Calculation-sheet'!W98</f>
        <v>1191300392.2221115</v>
      </c>
      <c r="X119" s="2">
        <f>X9/'Output-Calculation-sheet'!X8*'Output-Calculation-sheet'!X98</f>
        <v>0</v>
      </c>
      <c r="Y119" s="2">
        <f>Y9/'Output-Calculation-sheet'!Y8*'Output-Calculation-sheet'!Y98</f>
        <v>695116631.36006677</v>
      </c>
      <c r="AA119" s="2">
        <f t="shared" si="10"/>
        <v>195399.59387208405</v>
      </c>
    </row>
    <row r="120" spans="1:27" x14ac:dyDescent="0.25">
      <c r="A120" s="2">
        <v>2033</v>
      </c>
      <c r="B120" s="2">
        <f>B10/'Output-Calculation-sheet'!B9*'Output-Calculation-sheet'!B99</f>
        <v>66186258377.640694</v>
      </c>
      <c r="C120" s="2">
        <f>C10/'Output-Calculation-sheet'!C9*'Output-Calculation-sheet'!C99</f>
        <v>0</v>
      </c>
      <c r="D120" s="2">
        <f>D10/'Output-Calculation-sheet'!D9*'Output-Calculation-sheet'!D99</f>
        <v>34754874374.379143</v>
      </c>
      <c r="E120" s="2">
        <f>E10/'Output-Calculation-sheet'!E9*'Output-Calculation-sheet'!E99</f>
        <v>27574462410.184101</v>
      </c>
      <c r="F120" s="2">
        <f>F10/'Output-Calculation-sheet'!F9*'Output-Calculation-sheet'!F99</f>
        <v>17750670953.440056</v>
      </c>
      <c r="G120" s="2">
        <f>G10/'Output-Calculation-sheet'!G9*'Output-Calculation-sheet'!G99</f>
        <v>12472108565.902437</v>
      </c>
      <c r="H120" s="2">
        <f>H10/'Output-Calculation-sheet'!H9*'Output-Calculation-sheet'!H99</f>
        <v>0</v>
      </c>
      <c r="I120" s="2">
        <f>I10/'Output-Calculation-sheet'!I9*'Output-Calculation-sheet'!I99</f>
        <v>11363074133.966524</v>
      </c>
      <c r="J120" s="2">
        <f>J10/'Output-Calculation-sheet'!J9*'Output-Calculation-sheet'!J99</f>
        <v>11060029407.430555</v>
      </c>
      <c r="K120" s="2">
        <f>K10/'Output-Calculation-sheet'!K9*'Output-Calculation-sheet'!K99</f>
        <v>10954258362.144888</v>
      </c>
      <c r="L120" s="2">
        <f>L10/'Output-Calculation-sheet'!L9*'Output-Calculation-sheet'!L99</f>
        <v>8787442296.2592049</v>
      </c>
      <c r="M120" s="2">
        <f>M10/'Output-Calculation-sheet'!M9*'Output-Calculation-sheet'!M99</f>
        <v>0</v>
      </c>
      <c r="N120" s="2">
        <f>N10/'Output-Calculation-sheet'!N9*'Output-Calculation-sheet'!N99</f>
        <v>3294406115.6806912</v>
      </c>
      <c r="O120" s="2">
        <f>O10/'Output-Calculation-sheet'!O9*'Output-Calculation-sheet'!O99</f>
        <v>0</v>
      </c>
      <c r="P120" s="2">
        <f>P10/'Output-Calculation-sheet'!P9*'Output-Calculation-sheet'!P99</f>
        <v>7499184596.699317</v>
      </c>
      <c r="Q120" s="2">
        <f>Q10/'Output-Calculation-sheet'!Q9*'Output-Calculation-sheet'!Q99</f>
        <v>7217404641.5358791</v>
      </c>
      <c r="R120" s="2">
        <f>R10/'Output-Calculation-sheet'!R9*'Output-Calculation-sheet'!R99</f>
        <v>7098046959.9753828</v>
      </c>
      <c r="S120" s="2">
        <f>S10/'Output-Calculation-sheet'!S9*'Output-Calculation-sheet'!S99</f>
        <v>2722561707.9520216</v>
      </c>
      <c r="T120" s="2">
        <f>T10/'Output-Calculation-sheet'!T9*'Output-Calculation-sheet'!T99</f>
        <v>2609280974.3653579</v>
      </c>
      <c r="U120" s="2">
        <f>U10/'Output-Calculation-sheet'!U9*'Output-Calculation-sheet'!U99</f>
        <v>2273102544.7005415</v>
      </c>
      <c r="V120" s="2">
        <f>V10/'Output-Calculation-sheet'!V9*'Output-Calculation-sheet'!V99</f>
        <v>1749958758.6258235</v>
      </c>
      <c r="W120" s="2">
        <f>W10/'Output-Calculation-sheet'!W9*'Output-Calculation-sheet'!W99</f>
        <v>1515076455.7156243</v>
      </c>
      <c r="X120" s="2">
        <f>X10/'Output-Calculation-sheet'!X9*'Output-Calculation-sheet'!X99</f>
        <v>0</v>
      </c>
      <c r="Y120" s="2">
        <f>Y10/'Output-Calculation-sheet'!Y9*'Output-Calculation-sheet'!Y99</f>
        <v>884039167.03760505</v>
      </c>
      <c r="AA120" s="2">
        <f t="shared" si="10"/>
        <v>237766.24080363582</v>
      </c>
    </row>
    <row r="121" spans="1:27" x14ac:dyDescent="0.25">
      <c r="A121" s="2">
        <v>2034</v>
      </c>
      <c r="B121" s="2">
        <f>B11/'Output-Calculation-sheet'!B10*'Output-Calculation-sheet'!B100</f>
        <v>60884788082.443954</v>
      </c>
      <c r="C121" s="2">
        <f>C11/'Output-Calculation-sheet'!C10*'Output-Calculation-sheet'!C100</f>
        <v>0</v>
      </c>
      <c r="D121" s="2">
        <f>D11/'Output-Calculation-sheet'!D10*'Output-Calculation-sheet'!D100</f>
        <v>42179145466.386909</v>
      </c>
      <c r="E121" s="2">
        <f>E11/'Output-Calculation-sheet'!E10*'Output-Calculation-sheet'!E100</f>
        <v>32657140912.130474</v>
      </c>
      <c r="F121" s="2">
        <f>F11/'Output-Calculation-sheet'!F10*'Output-Calculation-sheet'!F100</f>
        <v>21542419935.790665</v>
      </c>
      <c r="G121" s="2">
        <f>G11/'Output-Calculation-sheet'!G10*'Output-Calculation-sheet'!G100</f>
        <v>15135556964.545786</v>
      </c>
      <c r="H121" s="2">
        <f>H11/'Output-Calculation-sheet'!H10*'Output-Calculation-sheet'!H100</f>
        <v>0</v>
      </c>
      <c r="I121" s="2">
        <f>I11/'Output-Calculation-sheet'!I10*'Output-Calculation-sheet'!I100</f>
        <v>13789941878.582693</v>
      </c>
      <c r="J121" s="2">
        <f>J11/'Output-Calculation-sheet'!J10*'Output-Calculation-sheet'!J100</f>
        <v>13422322754.575647</v>
      </c>
      <c r="K121" s="2">
        <f>K11/'Output-Calculation-sheet'!K10*'Output-Calculation-sheet'!K100</f>
        <v>13293978283.056114</v>
      </c>
      <c r="L121" s="2">
        <f>L11/'Output-Calculation-sheet'!L10*'Output-Calculation-sheet'!L100</f>
        <v>9993307969.6144218</v>
      </c>
      <c r="M121" s="2">
        <f>M11/'Output-Calculation-sheet'!M10*'Output-Calculation-sheet'!M100</f>
        <v>6.8214241191254343E-7</v>
      </c>
      <c r="N121" s="2">
        <f>N11/'Output-Calculation-sheet'!N10*'Output-Calculation-sheet'!N100</f>
        <v>2952155137.6245885</v>
      </c>
      <c r="O121" s="2">
        <f>O11/'Output-Calculation-sheet'!O10*'Output-Calculation-sheet'!O100</f>
        <v>0</v>
      </c>
      <c r="P121" s="2">
        <f>P11/'Output-Calculation-sheet'!P10*'Output-Calculation-sheet'!P100</f>
        <v>9100771369.4928646</v>
      </c>
      <c r="Q121" s="2">
        <f>Q11/'Output-Calculation-sheet'!Q10*'Output-Calculation-sheet'!Q100</f>
        <v>7161133153.5552073</v>
      </c>
      <c r="R121" s="2">
        <f>R11/'Output-Calculation-sheet'!R10*'Output-Calculation-sheet'!R100</f>
        <v>8613942054.1074467</v>
      </c>
      <c r="S121" s="2">
        <f>S11/'Output-Calculation-sheet'!S10*'Output-Calculation-sheet'!S100</f>
        <v>2260760541.2862072</v>
      </c>
      <c r="T121" s="2">
        <f>T11/'Output-Calculation-sheet'!T10*'Output-Calculation-sheet'!T100</f>
        <v>3166483628.8325691</v>
      </c>
      <c r="U121" s="2">
        <f>U11/'Output-Calculation-sheet'!U10*'Output-Calculation-sheet'!U100</f>
        <v>2759572131.8210602</v>
      </c>
      <c r="V121" s="2">
        <f>V11/'Output-Calculation-sheet'!V10*'Output-Calculation-sheet'!V100</f>
        <v>2124378514.3960512</v>
      </c>
      <c r="W121" s="2">
        <f>W11/'Output-Calculation-sheet'!W10*'Output-Calculation-sheet'!W100</f>
        <v>1838778861.6950085</v>
      </c>
      <c r="X121" s="2">
        <f>X11/'Output-Calculation-sheet'!X10*'Output-Calculation-sheet'!X100</f>
        <v>81629849.893132254</v>
      </c>
      <c r="Y121" s="2">
        <f>Y11/'Output-Calculation-sheet'!Y10*'Output-Calculation-sheet'!Y100</f>
        <v>1028708170.074281</v>
      </c>
      <c r="AA121" s="2">
        <f t="shared" si="10"/>
        <v>263986.91565990506</v>
      </c>
    </row>
    <row r="122" spans="1:27" x14ac:dyDescent="0.25">
      <c r="A122" s="2">
        <v>2035</v>
      </c>
      <c r="B122" s="2">
        <f>B12/'Output-Calculation-sheet'!B11*'Output-Calculation-sheet'!B101</f>
        <v>59255981501.906975</v>
      </c>
      <c r="C122" s="2">
        <f>C12/'Output-Calculation-sheet'!C11*'Output-Calculation-sheet'!C101</f>
        <v>0</v>
      </c>
      <c r="D122" s="2">
        <f>D12/'Output-Calculation-sheet'!D11*'Output-Calculation-sheet'!D101</f>
        <v>46040798795.396606</v>
      </c>
      <c r="E122" s="2">
        <f>E12/'Output-Calculation-sheet'!E11*'Output-Calculation-sheet'!E101</f>
        <v>32538181513.449837</v>
      </c>
      <c r="F122" s="2">
        <f>F12/'Output-Calculation-sheet'!F11*'Output-Calculation-sheet'!F101</f>
        <v>24214045555.16246</v>
      </c>
      <c r="G122" s="2">
        <f>G12/'Output-Calculation-sheet'!G11*'Output-Calculation-sheet'!G101</f>
        <v>16762620204.042107</v>
      </c>
      <c r="H122" s="2">
        <f>H12/'Output-Calculation-sheet'!H11*'Output-Calculation-sheet'!H101</f>
        <v>0</v>
      </c>
      <c r="I122" s="2">
        <f>I12/'Output-Calculation-sheet'!I11*'Output-Calculation-sheet'!I101</f>
        <v>15313531227.528629</v>
      </c>
      <c r="J122" s="2">
        <f>J12/'Output-Calculation-sheet'!J11*'Output-Calculation-sheet'!J101</f>
        <v>14766232423.276587</v>
      </c>
      <c r="K122" s="2">
        <f>K12/'Output-Calculation-sheet'!K11*'Output-Calculation-sheet'!K101</f>
        <v>14848466313.02425</v>
      </c>
      <c r="L122" s="2">
        <f>L12/'Output-Calculation-sheet'!L11*'Output-Calculation-sheet'!L101</f>
        <v>10218340009.816448</v>
      </c>
      <c r="M122" s="2">
        <f>M12/'Output-Calculation-sheet'!M11*'Output-Calculation-sheet'!M101</f>
        <v>0</v>
      </c>
      <c r="N122" s="2">
        <f>N12/'Output-Calculation-sheet'!N11*'Output-Calculation-sheet'!N101</f>
        <v>2875499404.9673538</v>
      </c>
      <c r="O122" s="2">
        <f>O12/'Output-Calculation-sheet'!O11*'Output-Calculation-sheet'!O101</f>
        <v>0</v>
      </c>
      <c r="P122" s="2">
        <f>P12/'Output-Calculation-sheet'!P11*'Output-Calculation-sheet'!P101</f>
        <v>9896470971.6658764</v>
      </c>
      <c r="Q122" s="2">
        <f>Q12/'Output-Calculation-sheet'!Q11*'Output-Calculation-sheet'!Q101</f>
        <v>7019950717.0012569</v>
      </c>
      <c r="R122" s="2">
        <f>R12/'Output-Calculation-sheet'!R11*'Output-Calculation-sheet'!R101</f>
        <v>9677136884.230257</v>
      </c>
      <c r="S122" s="2">
        <f>S12/'Output-Calculation-sheet'!S11*'Output-Calculation-sheet'!S101</f>
        <v>2121458569.9785831</v>
      </c>
      <c r="T122" s="2">
        <f>T12/'Output-Calculation-sheet'!T11*'Output-Calculation-sheet'!T101</f>
        <v>3608811944.6289392</v>
      </c>
      <c r="U122" s="2">
        <f>U12/'Output-Calculation-sheet'!U11*'Output-Calculation-sheet'!U101</f>
        <v>2929810812.3238144</v>
      </c>
      <c r="V122" s="2">
        <f>V12/'Output-Calculation-sheet'!V11*'Output-Calculation-sheet'!V101</f>
        <v>2433748482.7587557</v>
      </c>
      <c r="W122" s="2">
        <f>W12/'Output-Calculation-sheet'!W11*'Output-Calculation-sheet'!W101</f>
        <v>2122213489.9255865</v>
      </c>
      <c r="X122" s="2">
        <f>X12/'Output-Calculation-sheet'!X11*'Output-Calculation-sheet'!X101</f>
        <v>78153042.7530801</v>
      </c>
      <c r="Y122" s="2">
        <f>Y12/'Output-Calculation-sheet'!Y11*'Output-Calculation-sheet'!Y101</f>
        <v>958090627.90432131</v>
      </c>
      <c r="AA122" s="2">
        <f t="shared" si="10"/>
        <v>277679.54249174165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47777392966.872406</v>
      </c>
      <c r="C129" s="2">
        <f>C8/'Output-Calculation-sheet'!C7*'Output-Calculation-sheet'!C106</f>
        <v>22515116155.315369</v>
      </c>
      <c r="D129" s="2">
        <f>D8/'Output-Calculation-sheet'!D7*'Output-Calculation-sheet'!D106</f>
        <v>20067055215.860836</v>
      </c>
      <c r="E129" s="2">
        <f>E8/'Output-Calculation-sheet'!E7*'Output-Calculation-sheet'!E106</f>
        <v>15921171973.267603</v>
      </c>
      <c r="F129" s="2">
        <f>F8/'Output-Calculation-sheet'!F7*'Output-Calculation-sheet'!F106</f>
        <v>10249029724.917791</v>
      </c>
      <c r="G129" s="2">
        <f>G8/'Output-Calculation-sheet'!G7*'Output-Calculation-sheet'!G106</f>
        <v>7201249561.7560415</v>
      </c>
      <c r="H129" s="2">
        <f>H8/'Output-Calculation-sheet'!H7*'Output-Calculation-sheet'!H106</f>
        <v>7024542514.6867027</v>
      </c>
      <c r="I129" s="2">
        <f>I8/'Output-Calculation-sheet'!I7*'Output-Calculation-sheet'!I106</f>
        <v>6560905212.9701405</v>
      </c>
      <c r="J129" s="2">
        <f>J8/'Output-Calculation-sheet'!J7*'Output-Calculation-sheet'!J106</f>
        <v>6385933246.6868792</v>
      </c>
      <c r="K129" s="2">
        <f>K8/'Output-Calculation-sheet'!K7*'Output-Calculation-sheet'!K106</f>
        <v>6324711381.7089853</v>
      </c>
      <c r="L129" s="2">
        <f>L8/'Output-Calculation-sheet'!L7*'Output-Calculation-sheet'!L106</f>
        <v>5073765709.1837015</v>
      </c>
      <c r="M129" s="2">
        <f>M8/'Output-Calculation-sheet'!M7*'Output-Calculation-sheet'!M106</f>
        <v>4846321983.9806194</v>
      </c>
      <c r="N129" s="2">
        <f>N8/'Output-Calculation-sheet'!N7*'Output-Calculation-sheet'!N106</f>
        <v>4756651952.3148508</v>
      </c>
      <c r="O129" s="2">
        <f>O8/'Output-Calculation-sheet'!O7*'Output-Calculation-sheet'!O106</f>
        <v>4374705761.4694271</v>
      </c>
      <c r="P129" s="2">
        <f>P8/'Output-Calculation-sheet'!P7*'Output-Calculation-sheet'!P106</f>
        <v>4330197440.5602961</v>
      </c>
      <c r="Q129" s="2">
        <f>Q8/'Output-Calculation-sheet'!Q7*'Output-Calculation-sheet'!Q106</f>
        <v>4260213644.1304622</v>
      </c>
      <c r="R129" s="2">
        <f>R8/'Output-Calculation-sheet'!R7*'Output-Calculation-sheet'!R106</f>
        <v>4098521454.0509667</v>
      </c>
      <c r="S129" s="2">
        <f>S8/'Output-Calculation-sheet'!S7*'Output-Calculation-sheet'!S106</f>
        <v>2724087316.1132545</v>
      </c>
      <c r="T129" s="2">
        <f>T8/'Output-Calculation-sheet'!T7*'Output-Calculation-sheet'!T106</f>
        <v>1506581538.8416986</v>
      </c>
      <c r="U129" s="2">
        <f>U8/'Output-Calculation-sheet'!U7*'Output-Calculation-sheet'!U106</f>
        <v>1312180784.9549074</v>
      </c>
      <c r="V129" s="2">
        <f>V8/'Output-Calculation-sheet'!V7*'Output-Calculation-sheet'!V106</f>
        <v>1010405845.0813856</v>
      </c>
      <c r="W129" s="2">
        <f>W8/'Output-Calculation-sheet'!W7*'Output-Calculation-sheet'!W106</f>
        <v>874787189.70202184</v>
      </c>
      <c r="X129" s="2">
        <f>X8/'Output-Calculation-sheet'!X7*'Output-Calculation-sheet'!X106</f>
        <v>524872417.0376119</v>
      </c>
      <c r="Y129" s="2">
        <f>Y8/'Output-Calculation-sheet'!Y7*'Output-Calculation-sheet'!Y106</f>
        <v>510433276.11734676</v>
      </c>
      <c r="AA129" s="2">
        <f t="shared" si="11"/>
        <v>190230.83426758129</v>
      </c>
    </row>
    <row r="130" spans="1:27" x14ac:dyDescent="0.25">
      <c r="A130" s="2">
        <v>2032</v>
      </c>
      <c r="B130" s="2">
        <f>B9/'Output-Calculation-sheet'!B8*'Output-Calculation-sheet'!B107</f>
        <v>39038449193.919083</v>
      </c>
      <c r="C130" s="2">
        <f>C9/'Output-Calculation-sheet'!C8*'Output-Calculation-sheet'!C107</f>
        <v>18396878077.93512</v>
      </c>
      <c r="D130" s="2">
        <f>D9/'Output-Calculation-sheet'!D8*'Output-Calculation-sheet'!D107</f>
        <v>16396593929.622889</v>
      </c>
      <c r="E130" s="2">
        <f>E9/'Output-Calculation-sheet'!E8*'Output-Calculation-sheet'!E107</f>
        <v>13009031708.730145</v>
      </c>
      <c r="F130" s="2">
        <f>F9/'Output-Calculation-sheet'!F8*'Output-Calculation-sheet'!F107</f>
        <v>8374384856.7500639</v>
      </c>
      <c r="G130" s="2">
        <f>G9/'Output-Calculation-sheet'!G8*'Output-Calculation-sheet'!G107</f>
        <v>5884072661.2928429</v>
      </c>
      <c r="H130" s="2">
        <f>H9/'Output-Calculation-sheet'!H8*'Output-Calculation-sheet'!H107</f>
        <v>5739685515.4684868</v>
      </c>
      <c r="I130" s="2">
        <f>I9/'Output-Calculation-sheet'!I8*'Output-Calculation-sheet'!I107</f>
        <v>5360852665.0871382</v>
      </c>
      <c r="J130" s="2">
        <f>J9/'Output-Calculation-sheet'!J8*'Output-Calculation-sheet'!J107</f>
        <v>5217882716.0453749</v>
      </c>
      <c r="K130" s="2">
        <f>K9/'Output-Calculation-sheet'!K8*'Output-Calculation-sheet'!K107</f>
        <v>5167860288.5831947</v>
      </c>
      <c r="L130" s="2">
        <f>L9/'Output-Calculation-sheet'!L8*'Output-Calculation-sheet'!L107</f>
        <v>4145725258.6590738</v>
      </c>
      <c r="M130" s="2">
        <f>M9/'Output-Calculation-sheet'!M8*'Output-Calculation-sheet'!M107</f>
        <v>3959883681.0995626</v>
      </c>
      <c r="N130" s="2">
        <f>N9/'Output-Calculation-sheet'!N8*'Output-Calculation-sheet'!N107</f>
        <v>3886612640.7445388</v>
      </c>
      <c r="O130" s="2">
        <f>O9/'Output-Calculation-sheet'!O8*'Output-Calculation-sheet'!O107</f>
        <v>3574530089.6123171</v>
      </c>
      <c r="P130" s="2">
        <f>P9/'Output-Calculation-sheet'!P8*'Output-Calculation-sheet'!P107</f>
        <v>3538161840.261692</v>
      </c>
      <c r="Q130" s="2">
        <f>Q9/'Output-Calculation-sheet'!Q8*'Output-Calculation-sheet'!Q107</f>
        <v>3480980542.7737207</v>
      </c>
      <c r="R130" s="2">
        <f>R9/'Output-Calculation-sheet'!R8*'Output-Calculation-sheet'!R107</f>
        <v>3348862976.3087726</v>
      </c>
      <c r="S130" s="2">
        <f>S9/'Output-Calculation-sheet'!S8*'Output-Calculation-sheet'!S107</f>
        <v>2225825596.4768615</v>
      </c>
      <c r="T130" s="2">
        <f>T9/'Output-Calculation-sheet'!T8*'Output-Calculation-sheet'!T107</f>
        <v>1231013315.3736377</v>
      </c>
      <c r="U130" s="2">
        <f>U9/'Output-Calculation-sheet'!U8*'Output-Calculation-sheet'!U107</f>
        <v>1072170184.6540334</v>
      </c>
      <c r="V130" s="2">
        <f>V9/'Output-Calculation-sheet'!V8*'Output-Calculation-sheet'!V107</f>
        <v>825592485.36190248</v>
      </c>
      <c r="W130" s="2">
        <f>W9/'Output-Calculation-sheet'!W8*'Output-Calculation-sheet'!W107</f>
        <v>714780310.29959357</v>
      </c>
      <c r="X130" s="2">
        <f>X9/'Output-Calculation-sheet'!X8*'Output-Calculation-sheet'!X107</f>
        <v>428868102.0307771</v>
      </c>
      <c r="Y130" s="2">
        <f>Y9/'Output-Calculation-sheet'!Y8*'Output-Calculation-sheet'!Y107</f>
        <v>417070022.07713211</v>
      </c>
      <c r="AA130" s="2">
        <f t="shared" si="11"/>
        <v>155435.76865916795</v>
      </c>
    </row>
    <row r="131" spans="1:27" x14ac:dyDescent="0.25">
      <c r="A131" s="2">
        <v>2033</v>
      </c>
      <c r="B131" s="2">
        <f>B10/'Output-Calculation-sheet'!B9*'Output-Calculation-sheet'!B108</f>
        <v>27582484569.097279</v>
      </c>
      <c r="C131" s="2">
        <f>C10/'Output-Calculation-sheet'!C9*'Output-Calculation-sheet'!C108</f>
        <v>16141113651.725754</v>
      </c>
      <c r="D131" s="2">
        <f>D10/'Output-Calculation-sheet'!D9*'Output-Calculation-sheet'!D108</f>
        <v>11584961143.455177</v>
      </c>
      <c r="E131" s="2">
        <f>E10/'Output-Calculation-sheet'!E9*'Output-Calculation-sheet'!E108</f>
        <v>9191487470.061367</v>
      </c>
      <c r="F131" s="2">
        <f>F10/'Output-Calculation-sheet'!F9*'Output-Calculation-sheet'!F108</f>
        <v>5916890317.8133516</v>
      </c>
      <c r="G131" s="2">
        <f>G10/'Output-Calculation-sheet'!G9*'Output-Calculation-sheet'!G108</f>
        <v>4157369521.9674792</v>
      </c>
      <c r="H131" s="2">
        <f>H10/'Output-Calculation-sheet'!H9*'Output-Calculation-sheet'!H108</f>
        <v>4055354380.6363964</v>
      </c>
      <c r="I131" s="2">
        <f>I10/'Output-Calculation-sheet'!I9*'Output-Calculation-sheet'!I108</f>
        <v>3787692351.9558272</v>
      </c>
      <c r="J131" s="2">
        <f>J10/'Output-Calculation-sheet'!J9*'Output-Calculation-sheet'!J108</f>
        <v>3686677433.0510645</v>
      </c>
      <c r="K131" s="2">
        <f>K10/'Output-Calculation-sheet'!K9*'Output-Calculation-sheet'!K108</f>
        <v>3651333300.9869838</v>
      </c>
      <c r="L131" s="2">
        <f>L10/'Output-Calculation-sheet'!L9*'Output-Calculation-sheet'!L108</f>
        <v>2929148193.2506914</v>
      </c>
      <c r="M131" s="2">
        <f>M10/'Output-Calculation-sheet'!M9*'Output-Calculation-sheet'!M108</f>
        <v>2797841004.8226228</v>
      </c>
      <c r="N131" s="2">
        <f>N10/'Output-Calculation-sheet'!N9*'Output-Calculation-sheet'!N108</f>
        <v>2746072333.7546234</v>
      </c>
      <c r="O131" s="2">
        <f>O10/'Output-Calculation-sheet'!O9*'Output-Calculation-sheet'!O108</f>
        <v>3562184173.0225744</v>
      </c>
      <c r="P131" s="2">
        <f>P10/'Output-Calculation-sheet'!P9*'Output-Calculation-sheet'!P108</f>
        <v>2499876971.1400094</v>
      </c>
      <c r="Q131" s="2">
        <f>Q10/'Output-Calculation-sheet'!Q9*'Output-Calculation-sheet'!Q108</f>
        <v>2459474418.0675268</v>
      </c>
      <c r="R131" s="2">
        <f>R10/'Output-Calculation-sheet'!R9*'Output-Calculation-sheet'!R108</f>
        <v>2366126605.1230021</v>
      </c>
      <c r="S131" s="2">
        <f>S10/'Output-Calculation-sheet'!S9*'Output-Calculation-sheet'!S108</f>
        <v>1572649562.9463677</v>
      </c>
      <c r="T131" s="2">
        <f>T10/'Output-Calculation-sheet'!T9*'Output-Calculation-sheet'!T108</f>
        <v>869767622.25812161</v>
      </c>
      <c r="U131" s="2">
        <f>U10/'Output-Calculation-sheet'!U9*'Output-Calculation-sheet'!U108</f>
        <v>757538029.46285141</v>
      </c>
      <c r="V131" s="2">
        <f>V10/'Output-Calculation-sheet'!V9*'Output-Calculation-sheet'!V108</f>
        <v>583319433.28773201</v>
      </c>
      <c r="W131" s="2">
        <f>W10/'Output-Calculation-sheet'!W9*'Output-Calculation-sheet'!W108</f>
        <v>505025352.82056296</v>
      </c>
      <c r="X131" s="2">
        <f>X10/'Output-Calculation-sheet'!X9*'Output-Calculation-sheet'!X108</f>
        <v>303015152.50303245</v>
      </c>
      <c r="Y131" s="2">
        <f>Y10/'Output-Calculation-sheet'!Y9*'Output-Calculation-sheet'!Y108</f>
        <v>294679263.85630822</v>
      </c>
      <c r="AA131" s="2">
        <f t="shared" si="11"/>
        <v>114002.08225706668</v>
      </c>
    </row>
    <row r="132" spans="1:27" x14ac:dyDescent="0.25">
      <c r="A132" s="2">
        <v>2034</v>
      </c>
      <c r="B132" s="2">
        <f>B11/'Output-Calculation-sheet'!B10*'Output-Calculation-sheet'!B109</f>
        <v>14346256703.326847</v>
      </c>
      <c r="C132" s="2">
        <f>C11/'Output-Calculation-sheet'!C10*'Output-Calculation-sheet'!C109</f>
        <v>16202545874.749737</v>
      </c>
      <c r="D132" s="2">
        <f>D11/'Output-Calculation-sheet'!D10*'Output-Calculation-sheet'!D109</f>
        <v>6025593016.9499779</v>
      </c>
      <c r="E132" s="2">
        <f>E11/'Output-Calculation-sheet'!E10*'Output-Calculation-sheet'!E109</f>
        <v>4780696227.3534918</v>
      </c>
      <c r="F132" s="2">
        <f>F11/'Output-Calculation-sheet'!F10*'Output-Calculation-sheet'!F109</f>
        <v>3077505715.1708045</v>
      </c>
      <c r="G132" s="2">
        <f>G11/'Output-Calculation-sheet'!G10*'Output-Calculation-sheet'!G109</f>
        <v>2162340313.2750478</v>
      </c>
      <c r="H132" s="2">
        <f>H11/'Output-Calculation-sheet'!H10*'Output-Calculation-sheet'!H109</f>
        <v>2109279640.6717441</v>
      </c>
      <c r="I132" s="2">
        <f>I11/'Output-Calculation-sheet'!I10*'Output-Calculation-sheet'!I109</f>
        <v>1970062082.8634655</v>
      </c>
      <c r="J132" s="2">
        <f>J11/'Output-Calculation-sheet'!J10*'Output-Calculation-sheet'!J109</f>
        <v>1917522293.1190376</v>
      </c>
      <c r="K132" s="2">
        <f>K11/'Output-Calculation-sheet'!K10*'Output-Calculation-sheet'!K109</f>
        <v>1899139626.6934006</v>
      </c>
      <c r="L132" s="2">
        <f>L11/'Output-Calculation-sheet'!L10*'Output-Calculation-sheet'!L109</f>
        <v>1523514619.2721989</v>
      </c>
      <c r="M132" s="2">
        <f>M11/'Output-Calculation-sheet'!M10*'Output-Calculation-sheet'!M109</f>
        <v>1455219079.616622</v>
      </c>
      <c r="N132" s="2">
        <f>N11/'Output-Calculation-sheet'!N10*'Output-Calculation-sheet'!N109</f>
        <v>1428293489.8902476</v>
      </c>
      <c r="O132" s="2">
        <f>O11/'Output-Calculation-sheet'!O10*'Output-Calculation-sheet'!O109</f>
        <v>3545952753.7768006</v>
      </c>
      <c r="P132" s="2">
        <f>P11/'Output-Calculation-sheet'!P10*'Output-Calculation-sheet'!P109</f>
        <v>1300240976.6506615</v>
      </c>
      <c r="Q132" s="2">
        <f>Q11/'Output-Calculation-sheet'!Q10*'Output-Calculation-sheet'!Q109</f>
        <v>1279226928.9507692</v>
      </c>
      <c r="R132" s="2">
        <f>R11/'Output-Calculation-sheet'!R10*'Output-Calculation-sheet'!R109</f>
        <v>1230675050.0924315</v>
      </c>
      <c r="S132" s="2">
        <f>S11/'Output-Calculation-sheet'!S10*'Output-Calculation-sheet'!S109</f>
        <v>817969745.43262982</v>
      </c>
      <c r="T132" s="2">
        <f>T11/'Output-Calculation-sheet'!T10*'Output-Calculation-sheet'!T109</f>
        <v>452385548.2814275</v>
      </c>
      <c r="U132" s="2">
        <f>U11/'Output-Calculation-sheet'!U10*'Output-Calculation-sheet'!U109</f>
        <v>394012370.70537704</v>
      </c>
      <c r="V132" s="2">
        <f>V11/'Output-Calculation-sheet'!V10*'Output-Calculation-sheet'!V109</f>
        <v>303397405.6739884</v>
      </c>
      <c r="W132" s="2">
        <f>W11/'Output-Calculation-sheet'!W10*'Output-Calculation-sheet'!W109</f>
        <v>262674913.78749496</v>
      </c>
      <c r="X132" s="2">
        <f>X11/'Output-Calculation-sheet'!X10*'Output-Calculation-sheet'!X109</f>
        <v>177957680.967886</v>
      </c>
      <c r="Y132" s="2">
        <f>Y11/'Output-Calculation-sheet'!Y10*'Output-Calculation-sheet'!Y109</f>
        <v>153269260.05890682</v>
      </c>
      <c r="AA132" s="2">
        <f t="shared" si="11"/>
        <v>68815.73131733101</v>
      </c>
    </row>
    <row r="133" spans="1:27" x14ac:dyDescent="0.25">
      <c r="A133" s="2">
        <v>2035</v>
      </c>
      <c r="B133" s="2">
        <f>B12/'Output-Calculation-sheet'!B11*'Output-Calculation-sheet'!B110</f>
        <v>9921517327.6587677</v>
      </c>
      <c r="C133" s="2">
        <f>C12/'Output-Calculation-sheet'!C11*'Output-Calculation-sheet'!C110</f>
        <v>15938140845.839817</v>
      </c>
      <c r="D133" s="2">
        <f>D12/'Output-Calculation-sheet'!D11*'Output-Calculation-sheet'!D110</f>
        <v>4330649037.8609295</v>
      </c>
      <c r="E133" s="2">
        <f>E12/'Output-Calculation-sheet'!E11*'Output-Calculation-sheet'!E110</f>
        <v>2074835081.4040656</v>
      </c>
      <c r="F133" s="2">
        <f>F12/'Output-Calculation-sheet'!F11*'Output-Calculation-sheet'!F110</f>
        <v>1583233130.6123042</v>
      </c>
      <c r="G133" s="2">
        <f>G12/'Output-Calculation-sheet'!G11*'Output-Calculation-sheet'!G110</f>
        <v>1478060797.8364694</v>
      </c>
      <c r="H133" s="2">
        <f>H12/'Output-Calculation-sheet'!H11*'Output-Calculation-sheet'!H110</f>
        <v>2053483308.7411506</v>
      </c>
      <c r="I133" s="2">
        <f>I12/'Output-Calculation-sheet'!I11*'Output-Calculation-sheet'!I110</f>
        <v>1221522935.4378736</v>
      </c>
      <c r="J133" s="2">
        <f>J12/'Output-Calculation-sheet'!J11*'Output-Calculation-sheet'!J110</f>
        <v>1189618742.3273563</v>
      </c>
      <c r="K133" s="2">
        <f>K12/'Output-Calculation-sheet'!K11*'Output-Calculation-sheet'!K110</f>
        <v>1029279300.7411579</v>
      </c>
      <c r="L133" s="2">
        <f>L12/'Output-Calculation-sheet'!L11*'Output-Calculation-sheet'!L110</f>
        <v>537976968.73564863</v>
      </c>
      <c r="M133" s="2">
        <f>M12/'Output-Calculation-sheet'!M11*'Output-Calculation-sheet'!M110</f>
        <v>1091587212.1423209</v>
      </c>
      <c r="N133" s="2">
        <f>N12/'Output-Calculation-sheet'!N11*'Output-Calculation-sheet'!N110</f>
        <v>983647395.67068386</v>
      </c>
      <c r="O133" s="2">
        <f>O12/'Output-Calculation-sheet'!O11*'Output-Calculation-sheet'!O110</f>
        <v>3500461903.6119223</v>
      </c>
      <c r="P133" s="2">
        <f>P12/'Output-Calculation-sheet'!P11*'Output-Calculation-sheet'!P110</f>
        <v>724866594.5862639</v>
      </c>
      <c r="Q133" s="2">
        <f>Q12/'Output-Calculation-sheet'!Q11*'Output-Calculation-sheet'!Q110</f>
        <v>1000343091.5384289</v>
      </c>
      <c r="R133" s="2">
        <f>R12/'Output-Calculation-sheet'!R11*'Output-Calculation-sheet'!R110</f>
        <v>612253828.32235801</v>
      </c>
      <c r="S133" s="2">
        <f>S12/'Output-Calculation-sheet'!S11*'Output-Calculation-sheet'!S110</f>
        <v>600534961.4153564</v>
      </c>
      <c r="T133" s="2">
        <f>T12/'Output-Calculation-sheet'!T11*'Output-Calculation-sheet'!T110</f>
        <v>158520197.29503968</v>
      </c>
      <c r="U133" s="2">
        <f>U12/'Output-Calculation-sheet'!U11*'Output-Calculation-sheet'!U110</f>
        <v>312300548.6782735</v>
      </c>
      <c r="V133" s="2">
        <f>V12/'Output-Calculation-sheet'!V11*'Output-Calculation-sheet'!V110</f>
        <v>68294077.869956776</v>
      </c>
      <c r="W133" s="2">
        <f>W12/'Output-Calculation-sheet'!W11*'Output-Calculation-sheet'!W110</f>
        <v>84697938.06056565</v>
      </c>
      <c r="X133" s="2">
        <f>X12/'Output-Calculation-sheet'!X11*'Output-Calculation-sheet'!X110</f>
        <v>171877563.81718594</v>
      </c>
      <c r="Y133" s="2">
        <f>Y12/'Output-Calculation-sheet'!Y11*'Output-Calculation-sheet'!Y110</f>
        <v>74238703.297684833</v>
      </c>
      <c r="AA133" s="2">
        <f t="shared" si="11"/>
        <v>50741.941493501574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1028.8328216835048</v>
      </c>
      <c r="C19" s="2">
        <f>C8/'Output-Calculation-sheet'!C7*'Output-Calculation-sheet'!C25</f>
        <v>15507.841602519869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4626.4894807199807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3207.3967518200257</v>
      </c>
      <c r="N19" s="2">
        <f>N8/'Output-Calculation-sheet'!N7*'Output-Calculation-sheet'!N25</f>
        <v>1098.0945920444008</v>
      </c>
      <c r="O19" s="2">
        <f>O8/'Output-Calculation-sheet'!O7*'Output-Calculation-sheet'!O25</f>
        <v>2999.5303091203473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391.81748515613634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358.36255170163281</v>
      </c>
      <c r="Y19" s="2">
        <f>Y8/'Output-Calculation-sheet'!Y7*'Output-Calculation-sheet'!Y25</f>
        <v>0</v>
      </c>
      <c r="AA19" s="2">
        <f t="shared" si="0"/>
        <v>29.218365594765899</v>
      </c>
    </row>
    <row r="20" spans="1:27" x14ac:dyDescent="0.25">
      <c r="A20" s="2">
        <v>2032</v>
      </c>
      <c r="B20" s="2">
        <f>B9/'Output-Calculation-sheet'!B8*'Output-Calculation-sheet'!B26</f>
        <v>5305.0038161207949</v>
      </c>
      <c r="C20" s="2">
        <f>C9/'Output-Calculation-sheet'!C8*'Output-Calculation-sheet'!C26</f>
        <v>19427.67629352702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5764.5437970223775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4010.7304443971088</v>
      </c>
      <c r="N20" s="2">
        <f>N9/'Output-Calculation-sheet'!N8*'Output-Calculation-sheet'!N26</f>
        <v>1809.8234551467838</v>
      </c>
      <c r="O20" s="2">
        <f>O9/'Output-Calculation-sheet'!O8*'Output-Calculation-sheet'!O26</f>
        <v>3785.3980605108122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657.73897925605729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448.71544239322986</v>
      </c>
      <c r="Y20" s="2">
        <f>Y9/'Output-Calculation-sheet'!Y8*'Output-Calculation-sheet'!Y26</f>
        <v>0</v>
      </c>
      <c r="AA20" s="2">
        <f t="shared" si="0"/>
        <v>41.209630288374186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20677.246105761111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6362.5172335183479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4419.280573893735</v>
      </c>
      <c r="N21" s="2">
        <f>N10/'Output-Calculation-sheet'!N9*'Output-Calculation-sheet'!N27</f>
        <v>2417.2128775257606</v>
      </c>
      <c r="O21" s="2">
        <f>O10/'Output-Calculation-sheet'!O9*'Output-Calculation-sheet'!O27</f>
        <v>3647.5265302041003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1052.2938196291987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519.68137403961316</v>
      </c>
      <c r="Y21" s="2">
        <f>Y10/'Output-Calculation-sheet'!Y9*'Output-Calculation-sheet'!Y27</f>
        <v>0</v>
      </c>
      <c r="AA21" s="2">
        <f t="shared" si="0"/>
        <v>50.265955375314476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17947.586907722278</v>
      </c>
      <c r="D22" s="2">
        <f>D11/'Output-Calculation-sheet'!D10*'Output-Calculation-sheet'!D28</f>
        <v>0</v>
      </c>
      <c r="E22" s="2">
        <f>E11/'Output-Calculation-sheet'!E10*'Output-Calculation-sheet'!E28</f>
        <v>884.41917145971195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7070.027033458713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536.13405663007302</v>
      </c>
      <c r="M22" s="2">
        <f>M11/'Output-Calculation-sheet'!M10*'Output-Calculation-sheet'!M28</f>
        <v>4871.951786349302</v>
      </c>
      <c r="N22" s="2">
        <f>N11/'Output-Calculation-sheet'!N10*'Output-Calculation-sheet'!N28</f>
        <v>2803.8353913918486</v>
      </c>
      <c r="O22" s="2">
        <f>O11/'Output-Calculation-sheet'!O10*'Output-Calculation-sheet'!O28</f>
        <v>3211.9277410635882</v>
      </c>
      <c r="P22" s="2">
        <f>P11/'Output-Calculation-sheet'!P10*'Output-Calculation-sheet'!P28</f>
        <v>0</v>
      </c>
      <c r="Q22" s="2">
        <f>Q11/'Output-Calculation-sheet'!Q10*'Output-Calculation-sheet'!Q28</f>
        <v>1051.5492280354033</v>
      </c>
      <c r="R22" s="2">
        <f>R11/'Output-Calculation-sheet'!R10*'Output-Calculation-sheet'!R28</f>
        <v>0</v>
      </c>
      <c r="S22" s="2">
        <f>S11/'Output-Calculation-sheet'!S10*'Output-Calculation-sheet'!S28</f>
        <v>1421.9429161330595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491.93345598747862</v>
      </c>
      <c r="Y22" s="2">
        <f>Y11/'Output-Calculation-sheet'!Y10*'Output-Calculation-sheet'!Y28</f>
        <v>48.935300811086037</v>
      </c>
      <c r="AA22" s="2">
        <f t="shared" si="0"/>
        <v>57.941737547619297</v>
      </c>
    </row>
    <row r="23" spans="1:27" x14ac:dyDescent="0.25">
      <c r="A23" s="2">
        <v>2035</v>
      </c>
      <c r="B23" s="2">
        <f>B12/'Output-Calculation-sheet'!B11*'Output-Calculation-sheet'!B29</f>
        <v>16559.919236622678</v>
      </c>
      <c r="C23" s="2">
        <f>C12/'Output-Calculation-sheet'!C11*'Output-Calculation-sheet'!C29</f>
        <v>14162.762067525869</v>
      </c>
      <c r="D23" s="2">
        <f>D12/'Output-Calculation-sheet'!D11*'Output-Calculation-sheet'!D29</f>
        <v>0</v>
      </c>
      <c r="E23" s="2">
        <f>E12/'Output-Calculation-sheet'!E11*'Output-Calculation-sheet'!E29</f>
        <v>3162.0587659349358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5494.955065491632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924.81955459714641</v>
      </c>
      <c r="M23" s="2">
        <f>M12/'Output-Calculation-sheet'!M11*'Output-Calculation-sheet'!M29</f>
        <v>4157.5754522140251</v>
      </c>
      <c r="N23" s="2">
        <f>N12/'Output-Calculation-sheet'!N11*'Output-Calculation-sheet'!N29</f>
        <v>2430.0753275345633</v>
      </c>
      <c r="O23" s="2">
        <f>O12/'Output-Calculation-sheet'!O11*'Output-Calculation-sheet'!O29</f>
        <v>2533.3596128811864</v>
      </c>
      <c r="P23" s="2">
        <f>P12/'Output-Calculation-sheet'!P11*'Output-Calculation-sheet'!P29</f>
        <v>333.81575530619222</v>
      </c>
      <c r="Q23" s="2">
        <f>Q12/'Output-Calculation-sheet'!Q11*'Output-Calculation-sheet'!Q29</f>
        <v>1063.484578524909</v>
      </c>
      <c r="R23" s="2">
        <f>R12/'Output-Calculation-sheet'!R11*'Output-Calculation-sheet'!R29</f>
        <v>0</v>
      </c>
      <c r="S23" s="2">
        <f>S12/'Output-Calculation-sheet'!S11*'Output-Calculation-sheet'!S29</f>
        <v>1262.5635939001415</v>
      </c>
      <c r="T23" s="2">
        <f>T12/'Output-Calculation-sheet'!T11*'Output-Calculation-sheet'!T29</f>
        <v>0</v>
      </c>
      <c r="U23" s="2">
        <f>U12/'Output-Calculation-sheet'!U11*'Output-Calculation-sheet'!U29</f>
        <v>73.269264681113341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393.79396940720045</v>
      </c>
      <c r="Y23" s="2">
        <f>Y12/'Output-Calculation-sheet'!Y11*'Output-Calculation-sheet'!Y29</f>
        <v>126.19895876838221</v>
      </c>
      <c r="AA23" s="2">
        <f t="shared" si="0"/>
        <v>52.678651203389968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17932.221869349964</v>
      </c>
      <c r="C30" s="2">
        <f>C8/'Output-Calculation-sheet'!C7*'Output-Calculation-sheet'!C16</f>
        <v>0</v>
      </c>
      <c r="D30" s="2">
        <f>D8/'Output-Calculation-sheet'!D7*'Output-Calculation-sheet'!D16</f>
        <v>3019.5491050109345</v>
      </c>
      <c r="E30" s="2">
        <f>E8/'Output-Calculation-sheet'!E7*'Output-Calculation-sheet'!E16</f>
        <v>3248.8642389352494</v>
      </c>
      <c r="F30" s="2">
        <f>F8/'Output-Calculation-sheet'!F7*'Output-Calculation-sheet'!F16</f>
        <v>1639.0692966337356</v>
      </c>
      <c r="G30" s="2">
        <f>G8/'Output-Calculation-sheet'!G7*'Output-Calculation-sheet'!G16</f>
        <v>1073.3957143868743</v>
      </c>
      <c r="H30" s="2">
        <f>H8/'Output-Calculation-sheet'!H7*'Output-Calculation-sheet'!H16</f>
        <v>0</v>
      </c>
      <c r="I30" s="2">
        <f>I8/'Output-Calculation-sheet'!I7*'Output-Calculation-sheet'!I16</f>
        <v>1046.4001005822333</v>
      </c>
      <c r="J30" s="2">
        <f>J8/'Output-Calculation-sheet'!J7*'Output-Calculation-sheet'!J16</f>
        <v>931.4972953161722</v>
      </c>
      <c r="K30" s="2">
        <f>K8/'Output-Calculation-sheet'!K7*'Output-Calculation-sheet'!K16</f>
        <v>1243.7269354615728</v>
      </c>
      <c r="L30" s="2">
        <f>L8/'Output-Calculation-sheet'!L7*'Output-Calculation-sheet'!L16</f>
        <v>1050.5449086143713</v>
      </c>
      <c r="M30" s="2">
        <f>M8/'Output-Calculation-sheet'!M7*'Output-Calculation-sheet'!M16</f>
        <v>0</v>
      </c>
      <c r="N30" s="2">
        <f>N8/'Output-Calculation-sheet'!N7*'Output-Calculation-sheet'!N16</f>
        <v>1492.2105355681149</v>
      </c>
      <c r="O30" s="2">
        <f>O8/'Output-Calculation-sheet'!O7*'Output-Calculation-sheet'!O16</f>
        <v>0</v>
      </c>
      <c r="P30" s="2">
        <f>P8/'Output-Calculation-sheet'!P7*'Output-Calculation-sheet'!P16</f>
        <v>1341.1498660308457</v>
      </c>
      <c r="Q30" s="2">
        <f>Q8/'Output-Calculation-sheet'!Q7*'Output-Calculation-sheet'!Q16</f>
        <v>1474.8219247006186</v>
      </c>
      <c r="R30" s="2">
        <f>R8/'Output-Calculation-sheet'!R7*'Output-Calculation-sheet'!R16</f>
        <v>935.78092136516455</v>
      </c>
      <c r="S30" s="2">
        <f>S8/'Output-Calculation-sheet'!S7*'Output-Calculation-sheet'!S16</f>
        <v>941.1212054015366</v>
      </c>
      <c r="T30" s="2">
        <f>T8/'Output-Calculation-sheet'!T7*'Output-Calculation-sheet'!T16</f>
        <v>280.90798145362169</v>
      </c>
      <c r="U30" s="2">
        <f>U8/'Output-Calculation-sheet'!U7*'Output-Calculation-sheet'!U16</f>
        <v>280.40586555995532</v>
      </c>
      <c r="V30" s="2">
        <f>V8/'Output-Calculation-sheet'!V7*'Output-Calculation-sheet'!V16</f>
        <v>218.23455507826759</v>
      </c>
      <c r="W30" s="2">
        <f>W8/'Output-Calculation-sheet'!W7*'Output-Calculation-sheet'!W16</f>
        <v>132.37025941231224</v>
      </c>
      <c r="X30" s="2">
        <f>X8/'Output-Calculation-sheet'!X7*'Output-Calculation-sheet'!X16</f>
        <v>0</v>
      </c>
      <c r="Y30" s="2">
        <f>Y8/'Output-Calculation-sheet'!Y7*'Output-Calculation-sheet'!Y16</f>
        <v>112.03637576889959</v>
      </c>
      <c r="AA30" s="2">
        <f t="shared" si="1"/>
        <v>38.394308954630446</v>
      </c>
    </row>
    <row r="31" spans="1:27" x14ac:dyDescent="0.25">
      <c r="A31" s="2">
        <v>2032</v>
      </c>
      <c r="B31" s="2">
        <f>B9/'Output-Calculation-sheet'!B8*'Output-Calculation-sheet'!B17</f>
        <v>22463.138864358662</v>
      </c>
      <c r="C31" s="2">
        <f>C9/'Output-Calculation-sheet'!C8*'Output-Calculation-sheet'!C17</f>
        <v>0</v>
      </c>
      <c r="D31" s="2">
        <f>D9/'Output-Calculation-sheet'!D8*'Output-Calculation-sheet'!D17</f>
        <v>3767.3633204686225</v>
      </c>
      <c r="E31" s="2">
        <f>E9/'Output-Calculation-sheet'!E8*'Output-Calculation-sheet'!E17</f>
        <v>4428.020855092499</v>
      </c>
      <c r="F31" s="2">
        <f>F9/'Output-Calculation-sheet'!F8*'Output-Calculation-sheet'!F17</f>
        <v>2045.047038747422</v>
      </c>
      <c r="G31" s="2">
        <f>G9/'Output-Calculation-sheet'!G8*'Output-Calculation-sheet'!G17</f>
        <v>1339.2505089036499</v>
      </c>
      <c r="H31" s="2">
        <f>H9/'Output-Calculation-sheet'!H8*'Output-Calculation-sheet'!H17</f>
        <v>0</v>
      </c>
      <c r="I31" s="2">
        <f>I9/'Output-Calculation-sheet'!I8*'Output-Calculation-sheet'!I17</f>
        <v>1305.5748336689855</v>
      </c>
      <c r="J31" s="2">
        <f>J9/'Output-Calculation-sheet'!J8*'Output-Calculation-sheet'!J17</f>
        <v>1162.2132512068101</v>
      </c>
      <c r="K31" s="2">
        <f>K9/'Output-Calculation-sheet'!K8*'Output-Calculation-sheet'!K17</f>
        <v>1654.6830853086519</v>
      </c>
      <c r="L31" s="2">
        <f>L9/'Output-Calculation-sheet'!L8*'Output-Calculation-sheet'!L17</f>
        <v>1411.1537858364495</v>
      </c>
      <c r="M31" s="2">
        <f>M9/'Output-Calculation-sheet'!M8*'Output-Calculation-sheet'!M17</f>
        <v>0</v>
      </c>
      <c r="N31" s="2">
        <f>N9/'Output-Calculation-sheet'!N8*'Output-Calculation-sheet'!N17</f>
        <v>1534.0684923073227</v>
      </c>
      <c r="O31" s="2">
        <f>O9/'Output-Calculation-sheet'!O8*'Output-Calculation-sheet'!O17</f>
        <v>0</v>
      </c>
      <c r="P31" s="2">
        <f>P9/'Output-Calculation-sheet'!P8*'Output-Calculation-sheet'!P17</f>
        <v>1904.0171033598226</v>
      </c>
      <c r="Q31" s="2">
        <f>Q9/'Output-Calculation-sheet'!Q8*'Output-Calculation-sheet'!Q17</f>
        <v>2029.8571674649334</v>
      </c>
      <c r="R31" s="2">
        <f>R9/'Output-Calculation-sheet'!R8*'Output-Calculation-sheet'!R17</f>
        <v>1328.0398356631104</v>
      </c>
      <c r="S31" s="2">
        <f>S9/'Output-Calculation-sheet'!S8*'Output-Calculation-sheet'!S17</f>
        <v>1142.7193430755276</v>
      </c>
      <c r="T31" s="2">
        <f>T9/'Output-Calculation-sheet'!T8*'Output-Calculation-sheet'!T17</f>
        <v>360.37331216322974</v>
      </c>
      <c r="U31" s="2">
        <f>U9/'Output-Calculation-sheet'!U8*'Output-Calculation-sheet'!U17</f>
        <v>414.18382325026244</v>
      </c>
      <c r="V31" s="2">
        <f>V9/'Output-Calculation-sheet'!V8*'Output-Calculation-sheet'!V17</f>
        <v>296.66022002101334</v>
      </c>
      <c r="W31" s="2">
        <f>W9/'Output-Calculation-sheet'!W8*'Output-Calculation-sheet'!W17</f>
        <v>165.15774396921938</v>
      </c>
      <c r="X31" s="2">
        <f>X9/'Output-Calculation-sheet'!X8*'Output-Calculation-sheet'!X17</f>
        <v>0</v>
      </c>
      <c r="Y31" s="2">
        <f>Y9/'Output-Calculation-sheet'!Y8*'Output-Calculation-sheet'!Y17</f>
        <v>159.57816252151929</v>
      </c>
      <c r="AA31" s="2">
        <f t="shared" si="1"/>
        <v>48.911100747387721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1360.0495863011695</v>
      </c>
      <c r="O32" s="2">
        <f>O10/'Output-Calculation-sheet'!O9*'Output-Calculation-sheet'!O18</f>
        <v>0</v>
      </c>
      <c r="P32" s="2">
        <f>P10/'Output-Calculation-sheet'!P9*'Output-Calculation-sheet'!P18</f>
        <v>2189.4050334635372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1574.4105079394114</v>
      </c>
      <c r="S32" s="2">
        <f>S10/'Output-Calculation-sheet'!S9*'Output-Calculation-sheet'!S18</f>
        <v>1028.9716965356461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508.25580942859881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53.626780994718679</v>
      </c>
    </row>
    <row r="33" spans="1:27" x14ac:dyDescent="0.25">
      <c r="A33" s="2">
        <v>2034</v>
      </c>
      <c r="B33" s="2">
        <f>B11/'Output-Calculation-sheet'!B10*'Output-Calculation-sheet'!B19</f>
        <v>17753.901080884694</v>
      </c>
      <c r="C33" s="2">
        <f>C11/'Output-Calculation-sheet'!C10*'Output-Calculation-sheet'!C19</f>
        <v>0</v>
      </c>
      <c r="D33" s="2">
        <f>D11/'Output-Calculation-sheet'!D10*'Output-Calculation-sheet'!D19</f>
        <v>5295.2679926533892</v>
      </c>
      <c r="E33" s="2">
        <f>E11/'Output-Calculation-sheet'!E10*'Output-Calculation-sheet'!E19</f>
        <v>6578.2273530359744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1802.7428534972466</v>
      </c>
      <c r="H33" s="2">
        <f>H11/'Output-Calculation-sheet'!H10*'Output-Calculation-sheet'!H19</f>
        <v>0</v>
      </c>
      <c r="I33" s="2">
        <f>I11/'Output-Calculation-sheet'!I10*'Output-Calculation-sheet'!I19</f>
        <v>1966.9309410034434</v>
      </c>
      <c r="J33" s="2">
        <f>J11/'Output-Calculation-sheet'!J10*'Output-Calculation-sheet'!J19</f>
        <v>1666.4682012564324</v>
      </c>
      <c r="K33" s="2">
        <f>K11/'Output-Calculation-sheet'!K10*'Output-Calculation-sheet'!K19</f>
        <v>2307.5691337077938</v>
      </c>
      <c r="L33" s="2">
        <f>L11/'Output-Calculation-sheet'!L10*'Output-Calculation-sheet'!L19</f>
        <v>1878.3176316028837</v>
      </c>
      <c r="M33" s="2">
        <f>M11/'Output-Calculation-sheet'!M10*'Output-Calculation-sheet'!M19</f>
        <v>0</v>
      </c>
      <c r="N33" s="2">
        <f>N11/'Output-Calculation-sheet'!N10*'Output-Calculation-sheet'!N19</f>
        <v>1061.2705709106674</v>
      </c>
      <c r="O33" s="2">
        <f>O11/'Output-Calculation-sheet'!O10*'Output-Calculation-sheet'!O19</f>
        <v>0</v>
      </c>
      <c r="P33" s="2">
        <f>P11/'Output-Calculation-sheet'!P10*'Output-Calculation-sheet'!P19</f>
        <v>2335.1715178799145</v>
      </c>
      <c r="Q33" s="2">
        <f>Q11/'Output-Calculation-sheet'!Q10*'Output-Calculation-sheet'!Q19</f>
        <v>1869.7442513087922</v>
      </c>
      <c r="R33" s="2">
        <f>R11/'Output-Calculation-sheet'!R10*'Output-Calculation-sheet'!R19</f>
        <v>1667.2032611613956</v>
      </c>
      <c r="S33" s="2">
        <f>S11/'Output-Calculation-sheet'!S10*'Output-Calculation-sheet'!S19</f>
        <v>779.26289861008377</v>
      </c>
      <c r="T33" s="2">
        <f>T11/'Output-Calculation-sheet'!T10*'Output-Calculation-sheet'!T19</f>
        <v>489.22676588917909</v>
      </c>
      <c r="U33" s="2">
        <f>U11/'Output-Calculation-sheet'!U10*'Output-Calculation-sheet'!U19</f>
        <v>563.06170128123495</v>
      </c>
      <c r="V33" s="2">
        <f>V11/'Output-Calculation-sheet'!V10*'Output-Calculation-sheet'!V19</f>
        <v>384.16117795564548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75.549708974962726</v>
      </c>
      <c r="Y33" s="2">
        <f>Y11/'Output-Calculation-sheet'!Y10*'Output-Calculation-sheet'!Y19</f>
        <v>215.31532356877855</v>
      </c>
      <c r="AA33" s="2">
        <f t="shared" si="1"/>
        <v>51.938468884597768</v>
      </c>
    </row>
    <row r="34" spans="1:27" x14ac:dyDescent="0.25">
      <c r="A34" s="2">
        <v>2035</v>
      </c>
      <c r="B34" s="2">
        <f>B12/'Output-Calculation-sheet'!B11*'Output-Calculation-sheet'!B20</f>
        <v>12838.820788256195</v>
      </c>
      <c r="C34" s="2">
        <f>C12/'Output-Calculation-sheet'!C11*'Output-Calculation-sheet'!C20</f>
        <v>0</v>
      </c>
      <c r="D34" s="2">
        <f>D12/'Output-Calculation-sheet'!D11*'Output-Calculation-sheet'!D20</f>
        <v>4435.8173511313489</v>
      </c>
      <c r="E34" s="2">
        <f>E12/'Output-Calculation-sheet'!E11*'Output-Calculation-sheet'!E20</f>
        <v>4308.9685277550152</v>
      </c>
      <c r="F34" s="2">
        <f>F12/'Output-Calculation-sheet'!F11*'Output-Calculation-sheet'!F20</f>
        <v>2822.7253776187727</v>
      </c>
      <c r="G34" s="2">
        <f>G12/'Output-Calculation-sheet'!G11*'Output-Calculation-sheet'!G20</f>
        <v>1497.753931319472</v>
      </c>
      <c r="H34" s="2">
        <f>H12/'Output-Calculation-sheet'!H11*'Output-Calculation-sheet'!H20</f>
        <v>0</v>
      </c>
      <c r="I34" s="2">
        <f>I12/'Output-Calculation-sheet'!I11*'Output-Calculation-sheet'!I20</f>
        <v>1723.0586601462564</v>
      </c>
      <c r="J34" s="2">
        <f>J12/'Output-Calculation-sheet'!J11*'Output-Calculation-sheet'!J20</f>
        <v>1462.06114642904</v>
      </c>
      <c r="K34" s="2">
        <f>K12/'Output-Calculation-sheet'!K11*'Output-Calculation-sheet'!K20</f>
        <v>2059.3685135392311</v>
      </c>
      <c r="L34" s="2">
        <f>L12/'Output-Calculation-sheet'!L11*'Output-Calculation-sheet'!L20</f>
        <v>1503.1036632581506</v>
      </c>
      <c r="M34" s="2">
        <f>M12/'Output-Calculation-sheet'!M11*'Output-Calculation-sheet'!M20</f>
        <v>0</v>
      </c>
      <c r="N34" s="2">
        <f>N12/'Output-Calculation-sheet'!N11*'Output-Calculation-sheet'!N20</f>
        <v>794.65348350605416</v>
      </c>
      <c r="O34" s="2">
        <f>O12/'Output-Calculation-sheet'!O11*'Output-Calculation-sheet'!O20</f>
        <v>0</v>
      </c>
      <c r="P34" s="2">
        <f>P12/'Output-Calculation-sheet'!P11*'Output-Calculation-sheet'!P20</f>
        <v>1793.5634106925431</v>
      </c>
      <c r="Q34" s="2">
        <f>Q12/'Output-Calculation-sheet'!Q11*'Output-Calculation-sheet'!Q20</f>
        <v>1329.5273902605497</v>
      </c>
      <c r="R34" s="2">
        <f>R12/'Output-Calculation-sheet'!R11*'Output-Calculation-sheet'!R20</f>
        <v>1509.5788645900991</v>
      </c>
      <c r="S34" s="2">
        <f>S12/'Output-Calculation-sheet'!S11*'Output-Calculation-sheet'!S20</f>
        <v>552.53218344545576</v>
      </c>
      <c r="T34" s="2">
        <f>T12/'Output-Calculation-sheet'!T11*'Output-Calculation-sheet'!T20</f>
        <v>450.95683101960833</v>
      </c>
      <c r="U34" s="2">
        <f>U12/'Output-Calculation-sheet'!U11*'Output-Calculation-sheet'!U20</f>
        <v>412.70559421687631</v>
      </c>
      <c r="V34" s="2">
        <f>V12/'Output-Calculation-sheet'!V11*'Output-Calculation-sheet'!V20</f>
        <v>398.8662476559843</v>
      </c>
      <c r="W34" s="2">
        <f>W12/'Output-Calculation-sheet'!W11*'Output-Calculation-sheet'!W20</f>
        <v>242.17176939574958</v>
      </c>
      <c r="X34" s="2">
        <f>X12/'Output-Calculation-sheet'!X11*'Output-Calculation-sheet'!X20</f>
        <v>51.239171482904794</v>
      </c>
      <c r="Y34" s="2">
        <f>Y12/'Output-Calculation-sheet'!Y11*'Output-Calculation-sheet'!Y20</f>
        <v>131.45204290730641</v>
      </c>
      <c r="AA34" s="2">
        <f t="shared" si="1"/>
        <v>40.318924948626609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0.89402231487040906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0.17368448454252849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1.0677067994129374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0.75170929392369834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0.14603689311702545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0.91521361929810252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1.1444493969236298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0.22233572952650621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5.479671595998723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30010.088026815476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6493.022211264728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4467.8346599531505</v>
      </c>
      <c r="N52" s="2">
        <f>N8/'Output-Calculation-sheet'!N7*'Output-Calculation-sheet'!N43</f>
        <v>142.80209919786734</v>
      </c>
      <c r="O52" s="2">
        <f>O8/'Output-Calculation-sheet'!O7*'Output-Calculation-sheet'!O43</f>
        <v>6080.0164537620185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577.79844767976647</v>
      </c>
      <c r="Y52" s="2">
        <f>Y8/'Output-Calculation-sheet'!Y7*'Output-Calculation-sheet'!Y43</f>
        <v>0</v>
      </c>
      <c r="AA52" s="2">
        <f t="shared" si="3"/>
        <v>47.771561898673006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49381.808183915076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11565.602228872129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7903.8815861163494</v>
      </c>
      <c r="N53" s="2">
        <f>N9/'Output-Calculation-sheet'!N8*'Output-Calculation-sheet'!N44</f>
        <v>2815.0988000668631</v>
      </c>
      <c r="O53" s="2">
        <f>O9/'Output-Calculation-sheet'!O8*'Output-Calculation-sheet'!O44</f>
        <v>9793.0762268399067</v>
      </c>
      <c r="P53" s="2">
        <f>P9/'Output-Calculation-sheet'!P8*'Output-Calculation-sheet'!P44</f>
        <v>131.67817999151586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878.34708409970381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988.38628771377842</v>
      </c>
      <c r="Y53" s="2">
        <f>Y9/'Output-Calculation-sheet'!Y8*'Output-Calculation-sheet'!Y44</f>
        <v>0</v>
      </c>
      <c r="AA53" s="2">
        <f t="shared" si="3"/>
        <v>83.457878577615318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50896.533539552234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9400.2918388368489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1035.5350765810451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374.24437535936624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120.82551221486374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43388.132929981883</v>
      </c>
      <c r="D55" s="2">
        <f>D11/'Output-Calculation-sheet'!D10*'Output-Calculation-sheet'!D46</f>
        <v>4672.8965794746136</v>
      </c>
      <c r="E55" s="2">
        <f>E11/'Output-Calculation-sheet'!E10*'Output-Calculation-sheet'!E46</f>
        <v>5709.823540286824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15568.722896582429</v>
      </c>
      <c r="I55" s="2">
        <f>I11/'Output-Calculation-sheet'!I10*'Output-Calculation-sheet'!I46</f>
        <v>1130.7775107093871</v>
      </c>
      <c r="J55" s="2">
        <f>J11/'Output-Calculation-sheet'!J10*'Output-Calculation-sheet'!J46</f>
        <v>802.02057879980975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10670.903386525426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7967.9778525254233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3199.2690684824115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3997.4709680388833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920.98855233831569</v>
      </c>
      <c r="V55" s="2">
        <f>V11/'Output-Calculation-sheet'!V10*'Output-Calculation-sheet'!V46</f>
        <v>369.87797025623087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1101.6740169346785</v>
      </c>
      <c r="Y55" s="2">
        <f>Y11/'Output-Calculation-sheet'!Y10*'Output-Calculation-sheet'!Y46</f>
        <v>282.41856639726342</v>
      </c>
      <c r="AA55" s="2">
        <f t="shared" si="3"/>
        <v>169.74192609441414</v>
      </c>
    </row>
    <row r="56" spans="1:27" x14ac:dyDescent="0.25">
      <c r="A56" s="2">
        <v>2035</v>
      </c>
      <c r="B56" s="2">
        <f>B12/'Output-Calculation-sheet'!B11*'Output-Calculation-sheet'!B47</f>
        <v>49706.30299082696</v>
      </c>
      <c r="C56" s="2">
        <f>C12/'Output-Calculation-sheet'!C11*'Output-Calculation-sheet'!C47</f>
        <v>33530.359523902836</v>
      </c>
      <c r="D56" s="2">
        <f>D12/'Output-Calculation-sheet'!D11*'Output-Calculation-sheet'!D47</f>
        <v>7247.7042956106079</v>
      </c>
      <c r="E56" s="2">
        <f>E12/'Output-Calculation-sheet'!E11*'Output-Calculation-sheet'!E47</f>
        <v>13110.165197043665</v>
      </c>
      <c r="F56" s="2">
        <f>F12/'Output-Calculation-sheet'!F11*'Output-Calculation-sheet'!F47</f>
        <v>1466.8357498963765</v>
      </c>
      <c r="G56" s="2">
        <f>G12/'Output-Calculation-sheet'!G11*'Output-Calculation-sheet'!G47</f>
        <v>3333.6234081188663</v>
      </c>
      <c r="H56" s="2">
        <f>H12/'Output-Calculation-sheet'!H11*'Output-Calculation-sheet'!H47</f>
        <v>11959.56172882666</v>
      </c>
      <c r="I56" s="2">
        <f>I12/'Output-Calculation-sheet'!I11*'Output-Calculation-sheet'!I47</f>
        <v>2151.9582946607811</v>
      </c>
      <c r="J56" s="2">
        <f>J12/'Output-Calculation-sheet'!J11*'Output-Calculation-sheet'!J47</f>
        <v>2115.5339724974701</v>
      </c>
      <c r="K56" s="2">
        <f>K12/'Output-Calculation-sheet'!K11*'Output-Calculation-sheet'!K47</f>
        <v>2932.850291787583</v>
      </c>
      <c r="L56" s="2">
        <f>L12/'Output-Calculation-sheet'!L11*'Output-Calculation-sheet'!L47</f>
        <v>2735.6881327947008</v>
      </c>
      <c r="M56" s="2">
        <f>M12/'Output-Calculation-sheet'!M11*'Output-Calculation-sheet'!M47</f>
        <v>8505.7868522541958</v>
      </c>
      <c r="N56" s="2">
        <f>N12/'Output-Calculation-sheet'!N11*'Output-Calculation-sheet'!N47</f>
        <v>7053.601175180308</v>
      </c>
      <c r="O56" s="2">
        <f>O12/'Output-Calculation-sheet'!O11*'Output-Calculation-sheet'!O47</f>
        <v>6162.9903974013996</v>
      </c>
      <c r="P56" s="2">
        <f>P12/'Output-Calculation-sheet'!P11*'Output-Calculation-sheet'!P47</f>
        <v>3456.0293935514856</v>
      </c>
      <c r="Q56" s="2">
        <f>Q12/'Output-Calculation-sheet'!Q11*'Output-Calculation-sheet'!Q47</f>
        <v>3259.3860891282284</v>
      </c>
      <c r="R56" s="2">
        <f>R12/'Output-Calculation-sheet'!R11*'Output-Calculation-sheet'!R47</f>
        <v>2651.2033853611983</v>
      </c>
      <c r="S56" s="2">
        <f>S12/'Output-Calculation-sheet'!S11*'Output-Calculation-sheet'!S47</f>
        <v>3528.2031228249507</v>
      </c>
      <c r="T56" s="2">
        <f>T12/'Output-Calculation-sheet'!T11*'Output-Calculation-sheet'!T47</f>
        <v>950.6203588718746</v>
      </c>
      <c r="U56" s="2">
        <f>U12/'Output-Calculation-sheet'!U11*'Output-Calculation-sheet'!U47</f>
        <v>902.64742789506499</v>
      </c>
      <c r="V56" s="2">
        <f>V12/'Output-Calculation-sheet'!V11*'Output-Calculation-sheet'!V47</f>
        <v>554.11542393067498</v>
      </c>
      <c r="W56" s="2">
        <f>W12/'Output-Calculation-sheet'!W11*'Output-Calculation-sheet'!W47</f>
        <v>321.83202144265562</v>
      </c>
      <c r="X56" s="2">
        <f>X12/'Output-Calculation-sheet'!X11*'Output-Calculation-sheet'!X47</f>
        <v>857.29094104108867</v>
      </c>
      <c r="Y56" s="2">
        <f>Y12/'Output-Calculation-sheet'!Y11*'Output-Calculation-sheet'!Y47</f>
        <v>481.74844899497486</v>
      </c>
      <c r="AA56" s="2">
        <f t="shared" si="3"/>
        <v>168.97603862384463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6.983776939554506</v>
      </c>
      <c r="C63" s="2">
        <f>C8*'Output-Calculation-sheet'!C52/10^9</f>
        <v>4.4040451615844152</v>
      </c>
      <c r="D63" s="2">
        <f>D8*'Output-Calculation-sheet'!D52/10^9</f>
        <v>2.3948705663268446</v>
      </c>
      <c r="E63" s="2">
        <f>E8*'Output-Calculation-sheet'!E52/10^9</f>
        <v>2.381155706760091</v>
      </c>
      <c r="F63" s="2">
        <f>F8*'Output-Calculation-sheet'!F52/10^9</f>
        <v>1.0084200478652308</v>
      </c>
      <c r="G63" s="2">
        <f>G8*'Output-Calculation-sheet'!G52/10^9</f>
        <v>0.72500757816340378</v>
      </c>
      <c r="H63" s="2">
        <f>H8*'Output-Calculation-sheet'!H52/10^9</f>
        <v>1.2664431406390695</v>
      </c>
      <c r="I63" s="2">
        <f>I8*'Output-Calculation-sheet'!I52/10^9</f>
        <v>0.67442545924040509</v>
      </c>
      <c r="J63" s="2">
        <f>J8*'Output-Calculation-sheet'!J52/10^9</f>
        <v>0.92805605219698195</v>
      </c>
      <c r="K63" s="2">
        <f>K8*'Output-Calculation-sheet'!K52/10^9</f>
        <v>0.81537767404503558</v>
      </c>
      <c r="L63" s="2">
        <f>L8*'Output-Calculation-sheet'!L52/10^9</f>
        <v>1.0967206577861401</v>
      </c>
      <c r="M63" s="2">
        <f>M8*'Output-Calculation-sheet'!M52/10^9</f>
        <v>1.027925576933616</v>
      </c>
      <c r="N63" s="2">
        <f>N8*'Output-Calculation-sheet'!N52/10^9</f>
        <v>0.8579050350736912</v>
      </c>
      <c r="O63" s="2">
        <f>O8*'Output-Calculation-sheet'!O52/10^9</f>
        <v>0.91483308451325407</v>
      </c>
      <c r="P63" s="2">
        <f>P8*'Output-Calculation-sheet'!P52/10^9</f>
        <v>0.56340501313449864</v>
      </c>
      <c r="Q63" s="2">
        <f>Q8*'Output-Calculation-sheet'!Q52/10^9</f>
        <v>0.63760589394663569</v>
      </c>
      <c r="R63" s="2">
        <f>R8*'Output-Calculation-sheet'!R52/10^9</f>
        <v>0.57244416841114854</v>
      </c>
      <c r="S63" s="2">
        <f>S8*'Output-Calculation-sheet'!S52/10^9</f>
        <v>0.4242039367610857</v>
      </c>
      <c r="T63" s="2">
        <f>T8*'Output-Calculation-sheet'!T52/10^9</f>
        <v>0.2176359838127632</v>
      </c>
      <c r="U63" s="2">
        <f>U8*'Output-Calculation-sheet'!U52/10^9</f>
        <v>0.14946997379761598</v>
      </c>
      <c r="V63" s="2">
        <f>V8*'Output-Calculation-sheet'!V52/10^9</f>
        <v>0.26527408399515107</v>
      </c>
      <c r="W63" s="2">
        <f>W8*'Output-Calculation-sheet'!W52/10^9</f>
        <v>9.6016975714998856E-2</v>
      </c>
      <c r="X63" s="2">
        <f>X8*'Output-Calculation-sheet'!X52/10^9</f>
        <v>0.11051332390483853</v>
      </c>
      <c r="Y63" s="2">
        <f>Y8*'Output-Calculation-sheet'!Y52/10^9</f>
        <v>6.264834518230572E-2</v>
      </c>
      <c r="AA63" s="2">
        <f t="shared" si="4"/>
        <v>28.578180379343728</v>
      </c>
    </row>
    <row r="64" spans="1:27" x14ac:dyDescent="0.25">
      <c r="A64" s="2">
        <v>2032</v>
      </c>
      <c r="B64" s="2">
        <f>B9*'Output-Calculation-sheet'!B53/10^9</f>
        <v>6.6514792060530334</v>
      </c>
      <c r="C64" s="2">
        <f>C9*'Output-Calculation-sheet'!C53/10^9</f>
        <v>4.4906443039000346</v>
      </c>
      <c r="D64" s="2">
        <f>D9*'Output-Calculation-sheet'!D53/10^9</f>
        <v>1.9684372569050952</v>
      </c>
      <c r="E64" s="2">
        <f>E9*'Output-Calculation-sheet'!E53/10^9</f>
        <v>2.0157757221189958</v>
      </c>
      <c r="F64" s="2">
        <f>F9*'Output-Calculation-sheet'!F53/10^9</f>
        <v>0.85024227344933168</v>
      </c>
      <c r="G64" s="2">
        <f>G9*'Output-Calculation-sheet'!G53/10^9</f>
        <v>0.60517579752781792</v>
      </c>
      <c r="H64" s="2">
        <f>H9*'Output-Calculation-sheet'!H53/10^9</f>
        <v>1.2435075570951115</v>
      </c>
      <c r="I64" s="2">
        <f>I9*'Output-Calculation-sheet'!I53/10^9</f>
        <v>0.5657405570389854</v>
      </c>
      <c r="J64" s="2">
        <f>J9*'Output-Calculation-sheet'!J53/10^9</f>
        <v>0.7489262789739588</v>
      </c>
      <c r="K64" s="2">
        <f>K9*'Output-Calculation-sheet'!K53/10^9</f>
        <v>0.69489990800642254</v>
      </c>
      <c r="L64" s="2">
        <f>L9*'Output-Calculation-sheet'!L53/10^9</f>
        <v>0.89398297530076909</v>
      </c>
      <c r="M64" s="2">
        <f>M9*'Output-Calculation-sheet'!M53/10^9</f>
        <v>0.97459518230091147</v>
      </c>
      <c r="N64" s="2">
        <f>N9*'Output-Calculation-sheet'!N53/10^9</f>
        <v>0.82042796979109089</v>
      </c>
      <c r="O64" s="2">
        <f>O9*'Output-Calculation-sheet'!O53/10^9</f>
        <v>0.92877928255986897</v>
      </c>
      <c r="P64" s="2">
        <f>P9*'Output-Calculation-sheet'!P53/10^9</f>
        <v>0.52980504994725408</v>
      </c>
      <c r="Q64" s="2">
        <f>Q9*'Output-Calculation-sheet'!Q53/10^9</f>
        <v>0.58552349008272975</v>
      </c>
      <c r="R64" s="2">
        <f>R9*'Output-Calculation-sheet'!R53/10^9</f>
        <v>0.50193121944107122</v>
      </c>
      <c r="S64" s="2">
        <f>S9*'Output-Calculation-sheet'!S53/10^9</f>
        <v>0.414706701817245</v>
      </c>
      <c r="T64" s="2">
        <f>T9*'Output-Calculation-sheet'!T53/10^9</f>
        <v>0.18043120880979069</v>
      </c>
      <c r="U64" s="2">
        <f>U9*'Output-Calculation-sheet'!U53/10^9</f>
        <v>0.13580674375282095</v>
      </c>
      <c r="V64" s="2">
        <f>V9*'Output-Calculation-sheet'!V53/10^9</f>
        <v>0.21415971810882675</v>
      </c>
      <c r="W64" s="2">
        <f>W9*'Output-Calculation-sheet'!W53/10^9</f>
        <v>7.9577891179349797E-2</v>
      </c>
      <c r="X64" s="2">
        <f>X9*'Output-Calculation-sheet'!X53/10^9</f>
        <v>0.10801629424584006</v>
      </c>
      <c r="Y64" s="2">
        <f>Y9*'Output-Calculation-sheet'!Y53/10^9</f>
        <v>5.5754858372678996E-2</v>
      </c>
      <c r="AA64" s="2">
        <f t="shared" si="4"/>
        <v>26.258327446779035</v>
      </c>
    </row>
    <row r="65" spans="1:27" x14ac:dyDescent="0.25">
      <c r="A65" s="2">
        <v>2033</v>
      </c>
      <c r="B65" s="2">
        <f>B10*'Output-Calculation-sheet'!B54/10^9</f>
        <v>6.0631403004805167</v>
      </c>
      <c r="C65" s="2">
        <f>C10*'Output-Calculation-sheet'!C54/10^9</f>
        <v>4.2419504373363326</v>
      </c>
      <c r="D65" s="2">
        <f>D10*'Output-Calculation-sheet'!D54/10^9</f>
        <v>1.4324153642267747</v>
      </c>
      <c r="E65" s="2">
        <f>E10*'Output-Calculation-sheet'!E54/10^9</f>
        <v>1.6128833197149333</v>
      </c>
      <c r="F65" s="2">
        <f>F10*'Output-Calculation-sheet'!F54/10^9</f>
        <v>0.65480302650402522</v>
      </c>
      <c r="G65" s="2">
        <f>G10*'Output-Calculation-sheet'!G54/10^9</f>
        <v>0.4495815077124134</v>
      </c>
      <c r="H65" s="2">
        <f>H10*'Output-Calculation-sheet'!H54/10^9</f>
        <v>1.1110396162795055</v>
      </c>
      <c r="I65" s="2">
        <f>I10*'Output-Calculation-sheet'!I54/10^9</f>
        <v>0.43776960620414146</v>
      </c>
      <c r="J65" s="2">
        <f>J10*'Output-Calculation-sheet'!J54/10^9</f>
        <v>0.52323231847975704</v>
      </c>
      <c r="K65" s="2">
        <f>K10*'Output-Calculation-sheet'!K54/10^9</f>
        <v>0.55821957351964269</v>
      </c>
      <c r="L65" s="2">
        <f>L10*'Output-Calculation-sheet'!L54/10^9</f>
        <v>0.65937471680702786</v>
      </c>
      <c r="M65" s="2">
        <f>M10*'Output-Calculation-sheet'!M54/10^9</f>
        <v>0.83891562781568274</v>
      </c>
      <c r="N65" s="2">
        <f>N10*'Output-Calculation-sheet'!N54/10^9</f>
        <v>0.72441547696144171</v>
      </c>
      <c r="O65" s="2">
        <f>O10*'Output-Calculation-sheet'!O54/10^9</f>
        <v>0.8677169187287298</v>
      </c>
      <c r="P65" s="2">
        <f>P10*'Output-Calculation-sheet'!P54/10^9</f>
        <v>0.47233730707180915</v>
      </c>
      <c r="Q65" s="2">
        <f>Q10*'Output-Calculation-sheet'!Q54/10^9</f>
        <v>0.51539969349693104</v>
      </c>
      <c r="R65" s="2">
        <f>R10*'Output-Calculation-sheet'!R54/10^9</f>
        <v>0.41582484227107197</v>
      </c>
      <c r="S65" s="2">
        <f>S10*'Output-Calculation-sheet'!S54/10^9</f>
        <v>0.37771659687335529</v>
      </c>
      <c r="T65" s="2">
        <f>T10*'Output-Calculation-sheet'!T54/10^9</f>
        <v>0.13902830681540387</v>
      </c>
      <c r="U65" s="2">
        <f>U10*'Output-Calculation-sheet'!U54/10^9</f>
        <v>0.12004694722805263</v>
      </c>
      <c r="V65" s="2">
        <f>V10*'Output-Calculation-sheet'!V54/10^9</f>
        <v>0.15385580716178604</v>
      </c>
      <c r="W65" s="2">
        <f>W10*'Output-Calculation-sheet'!W54/10^9</f>
        <v>5.8578692562215387E-2</v>
      </c>
      <c r="X65" s="2">
        <f>X10*'Output-Calculation-sheet'!X54/10^9</f>
        <v>9.6485747646686396E-2</v>
      </c>
      <c r="Y65" s="2">
        <f>Y10*'Output-Calculation-sheet'!Y54/10^9</f>
        <v>4.821340384996535E-2</v>
      </c>
      <c r="AA65" s="2">
        <f t="shared" si="4"/>
        <v>22.572945155748201</v>
      </c>
    </row>
    <row r="66" spans="1:27" x14ac:dyDescent="0.25">
      <c r="A66" s="2">
        <v>2034</v>
      </c>
      <c r="B66" s="2">
        <f>B11*'Output-Calculation-sheet'!B55/10^9</f>
        <v>5.2295655776858627</v>
      </c>
      <c r="C66" s="2">
        <f>C11*'Output-Calculation-sheet'!C55/10^9</f>
        <v>3.7022232756492151</v>
      </c>
      <c r="D66" s="2">
        <f>D11*'Output-Calculation-sheet'!D55/10^9</f>
        <v>1.0939327070610159</v>
      </c>
      <c r="E66" s="2">
        <f>E11*'Output-Calculation-sheet'!E55/10^9</f>
        <v>1.3245755625207845</v>
      </c>
      <c r="F66" s="2">
        <f>F11*'Output-Calculation-sheet'!F55/10^9</f>
        <v>0.50905773247745134</v>
      </c>
      <c r="G66" s="2">
        <f>G11*'Output-Calculation-sheet'!G55/10^9</f>
        <v>0.3638673953330801</v>
      </c>
      <c r="H66" s="2">
        <f>H11*'Output-Calculation-sheet'!H55/10^9</f>
        <v>0.93443275589548747</v>
      </c>
      <c r="I66" s="2">
        <f>I11*'Output-Calculation-sheet'!I55/10^9</f>
        <v>0.35585126905662956</v>
      </c>
      <c r="J66" s="2">
        <f>J11*'Output-Calculation-sheet'!J55/10^9</f>
        <v>0.36589749324978504</v>
      </c>
      <c r="K66" s="2">
        <f>K11*'Output-Calculation-sheet'!K55/10^9</f>
        <v>0.43765862982472398</v>
      </c>
      <c r="L66" s="2">
        <f>L11*'Output-Calculation-sheet'!L55/10^9</f>
        <v>0.46347500449410683</v>
      </c>
      <c r="M66" s="2">
        <f>M11*'Output-Calculation-sheet'!M55/10^9</f>
        <v>0.67393937738315146</v>
      </c>
      <c r="N66" s="2">
        <f>N11*'Output-Calculation-sheet'!N55/10^9</f>
        <v>0.58884329493932153</v>
      </c>
      <c r="O66" s="2">
        <f>O11*'Output-Calculation-sheet'!O55/10^9</f>
        <v>0.74317476344119004</v>
      </c>
      <c r="P66" s="2">
        <f>P11*'Output-Calculation-sheet'!P55/10^9</f>
        <v>0.40477148029035942</v>
      </c>
      <c r="Q66" s="2">
        <f>Q11*'Output-Calculation-sheet'!Q55/10^9</f>
        <v>0.44188359780125935</v>
      </c>
      <c r="R66" s="2">
        <f>R11*'Output-Calculation-sheet'!R55/10^9</f>
        <v>0.32784026452054382</v>
      </c>
      <c r="S66" s="2">
        <f>S11*'Output-Calculation-sheet'!S55/10^9</f>
        <v>0.32258152548495139</v>
      </c>
      <c r="T66" s="2">
        <f>T11*'Output-Calculation-sheet'!T55/10^9</f>
        <v>0.10275987023833047</v>
      </c>
      <c r="U66" s="2">
        <f>U11*'Output-Calculation-sheet'!U55/10^9</f>
        <v>0.10491831465675437</v>
      </c>
      <c r="V66" s="2">
        <f>V11*'Output-Calculation-sheet'!V55/10^9</f>
        <v>9.7482954817039072E-2</v>
      </c>
      <c r="W66" s="2">
        <f>W11*'Output-Calculation-sheet'!W55/10^9</f>
        <v>4.4140231278537105E-2</v>
      </c>
      <c r="X66" s="2">
        <f>X11*'Output-Calculation-sheet'!X55/10^9</f>
        <v>8.3728272529970948E-2</v>
      </c>
      <c r="Y66" s="2">
        <f>Y11*'Output-Calculation-sheet'!Y55/10^9</f>
        <v>4.3313843779311023E-2</v>
      </c>
      <c r="AA66" s="2">
        <f t="shared" si="4"/>
        <v>18.759915194408862</v>
      </c>
    </row>
    <row r="67" spans="1:27" x14ac:dyDescent="0.25">
      <c r="A67" s="2">
        <v>2035</v>
      </c>
      <c r="B67" s="2">
        <f>B12*'Output-Calculation-sheet'!B56/10^9</f>
        <v>4.3529632491029933</v>
      </c>
      <c r="C67" s="2">
        <f>C12*'Output-Calculation-sheet'!C56/10^9</f>
        <v>2.9213797594920359</v>
      </c>
      <c r="D67" s="2">
        <f>D12*'Output-Calculation-sheet'!D56/10^9</f>
        <v>0.95523346156052125</v>
      </c>
      <c r="E67" s="2">
        <f>E12*'Output-Calculation-sheet'!E56/10^9</f>
        <v>1.2157771648140601</v>
      </c>
      <c r="F67" s="2">
        <f>F12*'Output-Calculation-sheet'!F56/10^9</f>
        <v>0.47269920688953732</v>
      </c>
      <c r="G67" s="2">
        <f>G12*'Output-Calculation-sheet'!G56/10^9</f>
        <v>0.34750481317272097</v>
      </c>
      <c r="H67" s="2">
        <f>H12*'Output-Calculation-sheet'!H56/10^9</f>
        <v>0.76786194647319772</v>
      </c>
      <c r="I67" s="2">
        <f>I12*'Output-Calculation-sheet'!I56/10^9</f>
        <v>0.32784719453080596</v>
      </c>
      <c r="J67" s="2">
        <f>J12*'Output-Calculation-sheet'!J56/10^9</f>
        <v>0.30466224559149035</v>
      </c>
      <c r="K67" s="2">
        <f>K12*'Output-Calculation-sheet'!K56/10^9</f>
        <v>0.37413147424061366</v>
      </c>
      <c r="L67" s="2">
        <f>L12*'Output-Calculation-sheet'!L56/10^9</f>
        <v>0.35857884162082415</v>
      </c>
      <c r="M67" s="2">
        <f>M12*'Output-Calculation-sheet'!M56/10^9</f>
        <v>0.55197654179163935</v>
      </c>
      <c r="N67" s="2">
        <f>N12*'Output-Calculation-sheet'!N56/10^9</f>
        <v>0.4716449305209896</v>
      </c>
      <c r="O67" s="2">
        <f>O12*'Output-Calculation-sheet'!O56/10^9</f>
        <v>0.57546473480183791</v>
      </c>
      <c r="P67" s="2">
        <f>P12*'Output-Calculation-sheet'!P56/10^9</f>
        <v>0.36126292602955351</v>
      </c>
      <c r="Q67" s="2">
        <f>Q12*'Output-Calculation-sheet'!Q56/10^9</f>
        <v>0.36306112932434531</v>
      </c>
      <c r="R67" s="2">
        <f>R12*'Output-Calculation-sheet'!R56/10^9</f>
        <v>0.27583085351047321</v>
      </c>
      <c r="S67" s="2">
        <f>S12*'Output-Calculation-sheet'!S56/10^9</f>
        <v>0.26289296886648916</v>
      </c>
      <c r="T67" s="2">
        <f>T12*'Output-Calculation-sheet'!T56/10^9</f>
        <v>8.457225484829986E-2</v>
      </c>
      <c r="U67" s="2">
        <f>U12*'Output-Calculation-sheet'!U56/10^9</f>
        <v>9.0849275013333008E-2</v>
      </c>
      <c r="V67" s="2">
        <f>V12*'Output-Calculation-sheet'!V56/10^9</f>
        <v>6.4963023756813856E-2</v>
      </c>
      <c r="W67" s="2">
        <f>W12*'Output-Calculation-sheet'!W56/10^9</f>
        <v>4.3082757941079644E-2</v>
      </c>
      <c r="X67" s="2">
        <f>X12*'Output-Calculation-sheet'!X56/10^9</f>
        <v>6.8795649244243876E-2</v>
      </c>
      <c r="Y67" s="2">
        <f>Y12*'Output-Calculation-sheet'!Y56/10^9</f>
        <v>4.0768471959056522E-2</v>
      </c>
      <c r="AA67" s="2">
        <f t="shared" si="4"/>
        <v>15.653804875096954</v>
      </c>
    </row>
    <row r="68" spans="1:27" x14ac:dyDescent="0.25">
      <c r="B68" s="2">
        <f>SUM(B60:B67)</f>
        <v>46.914982472106637</v>
      </c>
      <c r="C68" s="2">
        <f t="shared" ref="C68:Y68" si="5">SUM(C60:C67)</f>
        <v>29.075646287930628</v>
      </c>
      <c r="D68" s="2">
        <f t="shared" si="5"/>
        <v>14.771950736599953</v>
      </c>
      <c r="E68" s="2">
        <f t="shared" si="5"/>
        <v>15.379018443010658</v>
      </c>
      <c r="F68" s="2">
        <f t="shared" si="5"/>
        <v>6.3247634888602144</v>
      </c>
      <c r="G68" s="2">
        <f t="shared" si="5"/>
        <v>4.5503810752004101</v>
      </c>
      <c r="H68" s="2">
        <f t="shared" si="5"/>
        <v>8.227936746058651</v>
      </c>
      <c r="I68" s="2">
        <f t="shared" si="5"/>
        <v>4.2658370314993368</v>
      </c>
      <c r="J68" s="2">
        <f t="shared" si="5"/>
        <v>5.6117826697369129</v>
      </c>
      <c r="K68" s="2">
        <f t="shared" si="5"/>
        <v>5.1875357448137525</v>
      </c>
      <c r="L68" s="2">
        <f t="shared" si="5"/>
        <v>6.7232175780782919</v>
      </c>
      <c r="M68" s="2">
        <f t="shared" si="5"/>
        <v>6.5590541026573312</v>
      </c>
      <c r="N68" s="2">
        <f t="shared" si="5"/>
        <v>5.6262036308502168</v>
      </c>
      <c r="O68" s="2">
        <f t="shared" si="5"/>
        <v>5.9767930387520671</v>
      </c>
      <c r="P68" s="2">
        <f t="shared" si="5"/>
        <v>3.7957937670163098</v>
      </c>
      <c r="Q68" s="2">
        <f t="shared" si="5"/>
        <v>4.2149453640395</v>
      </c>
      <c r="R68" s="2">
        <f t="shared" si="5"/>
        <v>3.6975451369046883</v>
      </c>
      <c r="S68" s="2">
        <f t="shared" si="5"/>
        <v>2.8498786424937639</v>
      </c>
      <c r="T68" s="2">
        <f t="shared" si="5"/>
        <v>1.352386041426328</v>
      </c>
      <c r="U68" s="2">
        <f t="shared" si="5"/>
        <v>1.011599411236656</v>
      </c>
      <c r="V68" s="2">
        <f t="shared" si="5"/>
        <v>1.5906206422824911</v>
      </c>
      <c r="W68" s="2">
        <f t="shared" si="5"/>
        <v>0.59643675649209749</v>
      </c>
      <c r="X68" s="2">
        <f t="shared" si="5"/>
        <v>0.72110603433331555</v>
      </c>
      <c r="Y68" s="2">
        <f t="shared" si="5"/>
        <v>0.42404477680727742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5788.945980372705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1425.6934745587978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936.55621914554513</v>
      </c>
      <c r="N74" s="2">
        <f>N8/'Output-Calculation-sheet'!N7*'Output-Calculation-sheet'!N61</f>
        <v>39.252727017013783</v>
      </c>
      <c r="O74" s="2">
        <f>O8/'Output-Calculation-sheet'!O7*'Output-Calculation-sheet'!O61</f>
        <v>1157.4352418443839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116.38056181334662</v>
      </c>
      <c r="Y74" s="2">
        <f>Y8/'Output-Calculation-sheet'!Y7*'Output-Calculation-sheet'!Y61</f>
        <v>0</v>
      </c>
      <c r="AA74" s="2">
        <f t="shared" si="6"/>
        <v>9.4642642047517906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8869.9826377628124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2200.9946984257244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1493.4529282317044</v>
      </c>
      <c r="N75" s="2">
        <f>N9/'Output-Calculation-sheet'!N8*'Output-Calculation-sheet'!N62</f>
        <v>577.27342482383779</v>
      </c>
      <c r="O75" s="2">
        <f>O9/'Output-Calculation-sheet'!O8*'Output-Calculation-sheet'!O62</f>
        <v>1753.3098035190524</v>
      </c>
      <c r="P75" s="2">
        <f>P9/'Output-Calculation-sheet'!P8*'Output-Calculation-sheet'!P62</f>
        <v>38.647545827509902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193.43041192749175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179.92011234557998</v>
      </c>
      <c r="Y75" s="2">
        <f>Y9/'Output-Calculation-sheet'!Y8*'Output-Calculation-sheet'!Y62</f>
        <v>0</v>
      </c>
      <c r="AA75" s="2">
        <f t="shared" si="6"/>
        <v>15.30701156286371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9416.6429349179271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2771.1505457495605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1886.7561753878122</v>
      </c>
      <c r="N76" s="2">
        <f>N10/'Output-Calculation-sheet'!N9*'Output-Calculation-sheet'!N63</f>
        <v>1079.7262957413996</v>
      </c>
      <c r="O76" s="2">
        <f>O10/'Output-Calculation-sheet'!O9*'Output-Calculation-sheet'!O63</f>
        <v>1667.12728391067</v>
      </c>
      <c r="P76" s="2">
        <f>P10/'Output-Calculation-sheet'!P9*'Output-Calculation-sheet'!P63</f>
        <v>374.51599524619627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281.75065330209202</v>
      </c>
      <c r="S76" s="2">
        <f>S10/'Output-Calculation-sheet'!S9*'Output-Calculation-sheet'!S63</f>
        <v>478.77735682984155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99.790893502835885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222.20903995638616</v>
      </c>
      <c r="Y76" s="2">
        <f>Y10/'Output-Calculation-sheet'!Y9*'Output-Calculation-sheet'!Y63</f>
        <v>4.2152792446929306</v>
      </c>
      <c r="AA76" s="2">
        <f t="shared" si="6"/>
        <v>22.791752032933616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7917.8726838394596</v>
      </c>
      <c r="D77" s="2">
        <f>D11/'Output-Calculation-sheet'!D10*'Output-Calculation-sheet'!D64</f>
        <v>1081.2498572831821</v>
      </c>
      <c r="E77" s="2">
        <f>E11/'Output-Calculation-sheet'!E10*'Output-Calculation-sheet'!E64</f>
        <v>1314.2806835170777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561.57086820144718</v>
      </c>
      <c r="H77" s="2">
        <f>H11/'Output-Calculation-sheet'!H10*'Output-Calculation-sheet'!H64</f>
        <v>2984.0999467995734</v>
      </c>
      <c r="I77" s="2">
        <f>I11/'Output-Calculation-sheet'!I10*'Output-Calculation-sheet'!I64</f>
        <v>334.87975979658495</v>
      </c>
      <c r="J77" s="2">
        <f>J11/'Output-Calculation-sheet'!J10*'Output-Calculation-sheet'!J64</f>
        <v>226.52418440752763</v>
      </c>
      <c r="K77" s="2">
        <f>K11/'Output-Calculation-sheet'!K10*'Output-Calculation-sheet'!K64</f>
        <v>509.45489571676745</v>
      </c>
      <c r="L77" s="2">
        <f>L11/'Output-Calculation-sheet'!L10*'Output-Calculation-sheet'!L64</f>
        <v>213.41673252300092</v>
      </c>
      <c r="M77" s="2">
        <f>M11/'Output-Calculation-sheet'!M10*'Output-Calculation-sheet'!M64</f>
        <v>2006.9958000306081</v>
      </c>
      <c r="N77" s="2">
        <f>N11/'Output-Calculation-sheet'!N10*'Output-Calculation-sheet'!N64</f>
        <v>1413.0506724519528</v>
      </c>
      <c r="O77" s="2">
        <f>O11/'Output-Calculation-sheet'!O10*'Output-Calculation-sheet'!O64</f>
        <v>1465.4161711604395</v>
      </c>
      <c r="P77" s="2">
        <f>P11/'Output-Calculation-sheet'!P10*'Output-Calculation-sheet'!P64</f>
        <v>623.68635988060089</v>
      </c>
      <c r="Q77" s="2">
        <f>Q11/'Output-Calculation-sheet'!Q10*'Output-Calculation-sheet'!Q64</f>
        <v>560.77413653380609</v>
      </c>
      <c r="R77" s="2">
        <f>R11/'Output-Calculation-sheet'!R10*'Output-Calculation-sheet'!R64</f>
        <v>533.87956197485505</v>
      </c>
      <c r="S77" s="2">
        <f>S11/'Output-Calculation-sheet'!S10*'Output-Calculation-sheet'!S64</f>
        <v>710.57407168092755</v>
      </c>
      <c r="T77" s="2">
        <f>T11/'Output-Calculation-sheet'!T10*'Output-Calculation-sheet'!T64</f>
        <v>146.83245512647864</v>
      </c>
      <c r="U77" s="2">
        <f>U11/'Output-Calculation-sheet'!U10*'Output-Calculation-sheet'!U64</f>
        <v>195.15363678818767</v>
      </c>
      <c r="V77" s="2">
        <f>V11/'Output-Calculation-sheet'!V10*'Output-Calculation-sheet'!V64</f>
        <v>75.91967266291293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208.82162040606343</v>
      </c>
      <c r="Y77" s="2">
        <f>Y11/'Output-Calculation-sheet'!Y10*'Output-Calculation-sheet'!Y64</f>
        <v>48.864326511677298</v>
      </c>
      <c r="AA77" s="2">
        <f t="shared" si="6"/>
        <v>31.892519166321367</v>
      </c>
    </row>
    <row r="78" spans="1:27" x14ac:dyDescent="0.25">
      <c r="A78" s="2">
        <v>2035</v>
      </c>
      <c r="B78" s="2">
        <f>B12/'Output-Calculation-sheet'!B11*'Output-Calculation-sheet'!B65</f>
        <v>8484.4428881682834</v>
      </c>
      <c r="C78" s="2">
        <f>C12/'Output-Calculation-sheet'!C11*'Output-Calculation-sheet'!C65</f>
        <v>6200.0044126847761</v>
      </c>
      <c r="D78" s="2">
        <f>D12/'Output-Calculation-sheet'!D11*'Output-Calculation-sheet'!D65</f>
        <v>1592.8942250672051</v>
      </c>
      <c r="E78" s="2">
        <f>E12/'Output-Calculation-sheet'!E11*'Output-Calculation-sheet'!E65</f>
        <v>1993.7698937531015</v>
      </c>
      <c r="F78" s="2">
        <f>F12/'Output-Calculation-sheet'!F11*'Output-Calculation-sheet'!F65</f>
        <v>398.57927785820635</v>
      </c>
      <c r="G78" s="2">
        <f>G12/'Output-Calculation-sheet'!G11*'Output-Calculation-sheet'!G65</f>
        <v>732.66343362933969</v>
      </c>
      <c r="H78" s="2">
        <f>H12/'Output-Calculation-sheet'!H11*'Output-Calculation-sheet'!H65</f>
        <v>2316.4774874189084</v>
      </c>
      <c r="I78" s="2">
        <f>I12/'Output-Calculation-sheet'!I11*'Output-Calculation-sheet'!I65</f>
        <v>532.05016877193157</v>
      </c>
      <c r="J78" s="2">
        <f>J12/'Output-Calculation-sheet'!J11*'Output-Calculation-sheet'!J65</f>
        <v>514.50070175430085</v>
      </c>
      <c r="K78" s="2">
        <f>K12/'Output-Calculation-sheet'!K11*'Output-Calculation-sheet'!K65</f>
        <v>644.57845307104606</v>
      </c>
      <c r="L78" s="2">
        <f>L12/'Output-Calculation-sheet'!L11*'Output-Calculation-sheet'!L65</f>
        <v>475.24733021681055</v>
      </c>
      <c r="M78" s="2">
        <f>M12/'Output-Calculation-sheet'!M11*'Output-Calculation-sheet'!M65</f>
        <v>1691.3650833371817</v>
      </c>
      <c r="N78" s="2">
        <f>N12/'Output-Calculation-sheet'!N11*'Output-Calculation-sheet'!N65</f>
        <v>1206.0090542630508</v>
      </c>
      <c r="O78" s="2">
        <f>O12/'Output-Calculation-sheet'!O11*'Output-Calculation-sheet'!O65</f>
        <v>1138.4369477123876</v>
      </c>
      <c r="P78" s="2">
        <f>P12/'Output-Calculation-sheet'!P11*'Output-Calculation-sheet'!P65</f>
        <v>657.00277217020516</v>
      </c>
      <c r="Q78" s="2">
        <f>Q12/'Output-Calculation-sheet'!Q11*'Output-Calculation-sheet'!Q65</f>
        <v>557.85857808053947</v>
      </c>
      <c r="R78" s="2">
        <f>R12/'Output-Calculation-sheet'!R11*'Output-Calculation-sheet'!R65</f>
        <v>551.34135059134724</v>
      </c>
      <c r="S78" s="2">
        <f>S12/'Output-Calculation-sheet'!S11*'Output-Calculation-sheet'!S65</f>
        <v>637.89193641702707</v>
      </c>
      <c r="T78" s="2">
        <f>T12/'Output-Calculation-sheet'!T11*'Output-Calculation-sheet'!T65</f>
        <v>199.01892234078031</v>
      </c>
      <c r="U78" s="2">
        <f>U12/'Output-Calculation-sheet'!U11*'Output-Calculation-sheet'!U65</f>
        <v>166.51946271757373</v>
      </c>
      <c r="V78" s="2">
        <f>V12/'Output-Calculation-sheet'!V11*'Output-Calculation-sheet'!V65</f>
        <v>101.29950750004194</v>
      </c>
      <c r="W78" s="2">
        <f>W12/'Output-Calculation-sheet'!W11*'Output-Calculation-sheet'!W65</f>
        <v>70.732826821796749</v>
      </c>
      <c r="X78" s="2">
        <f>X12/'Output-Calculation-sheet'!X11*'Output-Calculation-sheet'!X65</f>
        <v>163.47313544309216</v>
      </c>
      <c r="Y78" s="2">
        <f>Y12/'Output-Calculation-sheet'!Y11*'Output-Calculation-sheet'!Y65</f>
        <v>76.694803312195333</v>
      </c>
      <c r="AA78" s="2">
        <f t="shared" si="6"/>
        <v>31.102852653101134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156.84602015270335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45.706443300665391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0.20255246345336875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395.63647048615701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76.861522693171281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1.5322308997700675</v>
      </c>
      <c r="Y88" s="2">
        <f>Y11/'Output-Calculation-sheet'!Y10*'Output-Calculation-sheet'!Y73</f>
        <v>0</v>
      </c>
      <c r="AA88" s="2">
        <f t="shared" si="7"/>
        <v>0.47403022407909839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501.95148987878497</v>
      </c>
      <c r="D89" s="2">
        <f>D12/'Output-Calculation-sheet'!D11*'Output-Calculation-sheet'!D74</f>
        <v>44.464443531353425</v>
      </c>
      <c r="E89" s="2">
        <f>E12/'Output-Calculation-sheet'!E11*'Output-Calculation-sheet'!E74</f>
        <v>70.674744997539975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46.354890421808761</v>
      </c>
      <c r="I89" s="2">
        <f>I12/'Output-Calculation-sheet'!I11*'Output-Calculation-sheet'!I74</f>
        <v>14.346388631071875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14.100241787440304</v>
      </c>
      <c r="L89" s="2">
        <f>L12/'Output-Calculation-sheet'!L11*'Output-Calculation-sheet'!L74</f>
        <v>11.211836609814348</v>
      </c>
      <c r="M89" s="2">
        <f>M12/'Output-Calculation-sheet'!M11*'Output-Calculation-sheet'!M74</f>
        <v>21.264467130635492</v>
      </c>
      <c r="N89" s="2">
        <f>N12/'Output-Calculation-sheet'!N11*'Output-Calculation-sheet'!N74</f>
        <v>20.899559037571283</v>
      </c>
      <c r="O89" s="2">
        <f>O12/'Output-Calculation-sheet'!O11*'Output-Calculation-sheet'!O74</f>
        <v>87.764103760462973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18.31115780409117</v>
      </c>
      <c r="R89" s="2">
        <f>R12/'Output-Calculation-sheet'!R11*'Output-Calculation-sheet'!R74</f>
        <v>9.0794636484972546</v>
      </c>
      <c r="S89" s="2">
        <f>S12/'Output-Calculation-sheet'!S11*'Output-Calculation-sheet'!S74</f>
        <v>11.980316206536335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5.8423781740780907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4.6655289308358565</v>
      </c>
      <c r="Y89" s="2">
        <f>Y12/'Output-Calculation-sheet'!Y11*'Output-Calculation-sheet'!Y74</f>
        <v>2.2511609766120322</v>
      </c>
      <c r="AA89" s="2">
        <f t="shared" si="7"/>
        <v>1.1918715637494677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11312565163.718967</v>
      </c>
      <c r="C96" s="2">
        <f>C8/'Output-Calculation-sheet'!C7*'Output-Calculation-sheet'!C79</f>
        <v>3827092208.6402645</v>
      </c>
      <c r="D96" s="2">
        <f>D8/'Output-Calculation-sheet'!D7*'Output-Calculation-sheet'!D79</f>
        <v>3995232222.3350706</v>
      </c>
      <c r="E96" s="2">
        <f>E8/'Output-Calculation-sheet'!E7*'Output-Calculation-sheet'!E79</f>
        <v>7103182717.5748634</v>
      </c>
      <c r="F96" s="2">
        <f>F8/'Output-Calculation-sheet'!F7*'Output-Calculation-sheet'!F79</f>
        <v>2939937330.6366072</v>
      </c>
      <c r="G96" s="2">
        <f>G8/'Output-Calculation-sheet'!G7*'Output-Calculation-sheet'!G79</f>
        <v>2289969436.9298382</v>
      </c>
      <c r="H96" s="2">
        <f>H8/'Output-Calculation-sheet'!H7*'Output-Calculation-sheet'!H79</f>
        <v>1960084511.2974398</v>
      </c>
      <c r="I96" s="2">
        <f>I8/'Output-Calculation-sheet'!I7*'Output-Calculation-sheet'!I79</f>
        <v>1595207165.7706401</v>
      </c>
      <c r="J96" s="2">
        <f>J8/'Output-Calculation-sheet'!J7*'Output-Calculation-sheet'!J79</f>
        <v>1078720288.8323057</v>
      </c>
      <c r="K96" s="2">
        <f>K8/'Output-Calculation-sheet'!K7*'Output-Calculation-sheet'!K79</f>
        <v>1543326945.730967</v>
      </c>
      <c r="L96" s="2">
        <f>L8/'Output-Calculation-sheet'!L7*'Output-Calculation-sheet'!L79</f>
        <v>1088970150.0141172</v>
      </c>
      <c r="M96" s="2">
        <f>M8/'Output-Calculation-sheet'!M7*'Output-Calculation-sheet'!M79</f>
        <v>1463165179.3513181</v>
      </c>
      <c r="N96" s="2">
        <f>N8/'Output-Calculation-sheet'!N7*'Output-Calculation-sheet'!N79</f>
        <v>1088711423.1113567</v>
      </c>
      <c r="O96" s="2">
        <f>O8/'Output-Calculation-sheet'!O7*'Output-Calculation-sheet'!O79</f>
        <v>550380913.00441611</v>
      </c>
      <c r="P96" s="2">
        <f>P8/'Output-Calculation-sheet'!P7*'Output-Calculation-sheet'!P79</f>
        <v>1840908720.0673006</v>
      </c>
      <c r="Q96" s="2">
        <f>Q8/'Output-Calculation-sheet'!Q7*'Output-Calculation-sheet'!Q79</f>
        <v>857942203.82346141</v>
      </c>
      <c r="R96" s="2">
        <f>R8/'Output-Calculation-sheet'!R7*'Output-Calculation-sheet'!R79</f>
        <v>1070384886.1316922</v>
      </c>
      <c r="S96" s="2">
        <f>S8/'Output-Calculation-sheet'!S7*'Output-Calculation-sheet'!S79</f>
        <v>623695936.48262489</v>
      </c>
      <c r="T96" s="2">
        <f>T8/'Output-Calculation-sheet'!T7*'Output-Calculation-sheet'!T79</f>
        <v>476360112.4867053</v>
      </c>
      <c r="U96" s="2">
        <f>U8/'Output-Calculation-sheet'!U7*'Output-Calculation-sheet'!U79</f>
        <v>299237179.78718209</v>
      </c>
      <c r="V96" s="2">
        <f>V8/'Output-Calculation-sheet'!V7*'Output-Calculation-sheet'!V79</f>
        <v>155259853.33086041</v>
      </c>
      <c r="W96" s="2">
        <f>W8/'Output-Calculation-sheet'!W7*'Output-Calculation-sheet'!W79</f>
        <v>458780279.24411958</v>
      </c>
      <c r="X96" s="2">
        <f>X8/'Output-Calculation-sheet'!X7*'Output-Calculation-sheet'!X79</f>
        <v>161248284.8987703</v>
      </c>
      <c r="Y96" s="2">
        <f>Y8/'Output-Calculation-sheet'!Y7*'Output-Calculation-sheet'!Y79</f>
        <v>252190094.1149269</v>
      </c>
      <c r="AA96" s="2">
        <f t="shared" si="8"/>
        <v>48.032553207315821</v>
      </c>
    </row>
    <row r="97" spans="1:27" x14ac:dyDescent="0.25">
      <c r="A97" s="2">
        <v>2032</v>
      </c>
      <c r="B97" s="2">
        <f>B9/'Output-Calculation-sheet'!B8*'Output-Calculation-sheet'!B80</f>
        <v>14106504632.468683</v>
      </c>
      <c r="C97" s="2">
        <f>C9/'Output-Calculation-sheet'!C8*'Output-Calculation-sheet'!C80</f>
        <v>4804751515.0134611</v>
      </c>
      <c r="D97" s="2">
        <f>D9/'Output-Calculation-sheet'!D8*'Output-Calculation-sheet'!D80</f>
        <v>4787467175.6192074</v>
      </c>
      <c r="E97" s="2">
        <f>E9/'Output-Calculation-sheet'!E8*'Output-Calculation-sheet'!E80</f>
        <v>8755561251.0931435</v>
      </c>
      <c r="F97" s="2">
        <f>F9/'Output-Calculation-sheet'!F8*'Output-Calculation-sheet'!F80</f>
        <v>3616923062.01472</v>
      </c>
      <c r="G97" s="2">
        <f>G9/'Output-Calculation-sheet'!G8*'Output-Calculation-sheet'!G80</f>
        <v>2737812042.9848404</v>
      </c>
      <c r="H97" s="2">
        <f>H9/'Output-Calculation-sheet'!H8*'Output-Calculation-sheet'!H80</f>
        <v>2408721608.4169412</v>
      </c>
      <c r="I97" s="2">
        <f>I9/'Output-Calculation-sheet'!I8*'Output-Calculation-sheet'!I80</f>
        <v>1981397058.1039221</v>
      </c>
      <c r="J97" s="2">
        <f>J9/'Output-Calculation-sheet'!J8*'Output-Calculation-sheet'!J80</f>
        <v>1302585681.910485</v>
      </c>
      <c r="K97" s="2">
        <f>K9/'Output-Calculation-sheet'!K8*'Output-Calculation-sheet'!K80</f>
        <v>1877951707.1956241</v>
      </c>
      <c r="L97" s="2">
        <f>L9/'Output-Calculation-sheet'!L8*'Output-Calculation-sheet'!L80</f>
        <v>1366837757.0443799</v>
      </c>
      <c r="M97" s="2">
        <f>M9/'Output-Calculation-sheet'!M8*'Output-Calculation-sheet'!M80</f>
        <v>1803389504.6596124</v>
      </c>
      <c r="N97" s="2">
        <f>N9/'Output-Calculation-sheet'!N8*'Output-Calculation-sheet'!N80</f>
        <v>1317617149.1074729</v>
      </c>
      <c r="O97" s="2">
        <f>O9/'Output-Calculation-sheet'!O8*'Output-Calculation-sheet'!O80</f>
        <v>681648816.56376529</v>
      </c>
      <c r="P97" s="2">
        <f>P9/'Output-Calculation-sheet'!P8*'Output-Calculation-sheet'!P80</f>
        <v>2230226750.6073046</v>
      </c>
      <c r="Q97" s="2">
        <f>Q9/'Output-Calculation-sheet'!Q8*'Output-Calculation-sheet'!Q80</f>
        <v>1043214550.947266</v>
      </c>
      <c r="R97" s="2">
        <f>R9/'Output-Calculation-sheet'!R8*'Output-Calculation-sheet'!R80</f>
        <v>1318098926.4289482</v>
      </c>
      <c r="S97" s="2">
        <f>S9/'Output-Calculation-sheet'!S8*'Output-Calculation-sheet'!S80</f>
        <v>765020802.77490449</v>
      </c>
      <c r="T97" s="2">
        <f>T9/'Output-Calculation-sheet'!T8*'Output-Calculation-sheet'!T80</f>
        <v>576087569.56093359</v>
      </c>
      <c r="U97" s="2">
        <f>U9/'Output-Calculation-sheet'!U8*'Output-Calculation-sheet'!U80</f>
        <v>368288651.61029315</v>
      </c>
      <c r="V97" s="2">
        <f>V9/'Output-Calculation-sheet'!V8*'Output-Calculation-sheet'!V80</f>
        <v>193108620.56804386</v>
      </c>
      <c r="W97" s="2">
        <f>W9/'Output-Calculation-sheet'!W8*'Output-Calculation-sheet'!W80</f>
        <v>559246296.42182481</v>
      </c>
      <c r="X97" s="2">
        <f>X9/'Output-Calculation-sheet'!X8*'Output-Calculation-sheet'!X80</f>
        <v>200823388.54308406</v>
      </c>
      <c r="Y97" s="2">
        <f>Y9/'Output-Calculation-sheet'!Y8*'Output-Calculation-sheet'!Y80</f>
        <v>307397964.42256385</v>
      </c>
      <c r="AA97" s="2">
        <f t="shared" si="8"/>
        <v>59.110682484081423</v>
      </c>
    </row>
    <row r="98" spans="1:27" x14ac:dyDescent="0.25">
      <c r="A98" s="2">
        <v>2033</v>
      </c>
      <c r="B98" s="2">
        <f>B10/'Output-Calculation-sheet'!B9*'Output-Calculation-sheet'!B81</f>
        <v>15504612530.000425</v>
      </c>
      <c r="C98" s="2">
        <f>C10/'Output-Calculation-sheet'!C9*'Output-Calculation-sheet'!C81</f>
        <v>5315750028.9257488</v>
      </c>
      <c r="D98" s="2">
        <f>D10/'Output-Calculation-sheet'!D9*'Output-Calculation-sheet'!D81</f>
        <v>5058974980.4223833</v>
      </c>
      <c r="E98" s="2">
        <f>E10/'Output-Calculation-sheet'!E9*'Output-Calculation-sheet'!E81</f>
        <v>9516250247.4947796</v>
      </c>
      <c r="F98" s="2">
        <f>F10/'Output-Calculation-sheet'!F9*'Output-Calculation-sheet'!F81</f>
        <v>3924731620.1387124</v>
      </c>
      <c r="G98" s="2">
        <f>G10/'Output-Calculation-sheet'!G9*'Output-Calculation-sheet'!G81</f>
        <v>2881658037.0548797</v>
      </c>
      <c r="H98" s="2">
        <f>H10/'Output-Calculation-sheet'!H9*'Output-Calculation-sheet'!H81</f>
        <v>2610805725.4266353</v>
      </c>
      <c r="I98" s="2">
        <f>I10/'Output-Calculation-sheet'!I9*'Output-Calculation-sheet'!I81</f>
        <v>2170350335.6554885</v>
      </c>
      <c r="J98" s="2">
        <f>J10/'Output-Calculation-sheet'!J9*'Output-Calculation-sheet'!J81</f>
        <v>1387776707.5599735</v>
      </c>
      <c r="K98" s="2">
        <f>K10/'Output-Calculation-sheet'!K9*'Output-Calculation-sheet'!K81</f>
        <v>2015800702.5802925</v>
      </c>
      <c r="L98" s="2">
        <f>L10/'Output-Calculation-sheet'!L9*'Output-Calculation-sheet'!L81</f>
        <v>1511880701.173419</v>
      </c>
      <c r="M98" s="2">
        <f>M10/'Output-Calculation-sheet'!M9*'Output-Calculation-sheet'!M81</f>
        <v>1960605481.8705437</v>
      </c>
      <c r="N98" s="2">
        <f>N10/'Output-Calculation-sheet'!N9*'Output-Calculation-sheet'!N81</f>
        <v>1406581456.6364815</v>
      </c>
      <c r="O98" s="2">
        <f>O10/'Output-Calculation-sheet'!O9*'Output-Calculation-sheet'!O81</f>
        <v>744864346.89276469</v>
      </c>
      <c r="P98" s="2">
        <f>P10/'Output-Calculation-sheet'!P9*'Output-Calculation-sheet'!P81</f>
        <v>2380370333.7176819</v>
      </c>
      <c r="Q98" s="2">
        <f>Q10/'Output-Calculation-sheet'!Q9*'Output-Calculation-sheet'!Q81</f>
        <v>1119189787.1241465</v>
      </c>
      <c r="R98" s="2">
        <f>R10/'Output-Calculation-sheet'!R9*'Output-Calculation-sheet'!R81</f>
        <v>1431613057.961287</v>
      </c>
      <c r="S98" s="2">
        <f>S10/'Output-Calculation-sheet'!S9*'Output-Calculation-sheet'!S81</f>
        <v>827727230.16718531</v>
      </c>
      <c r="T98" s="2">
        <f>T10/'Output-Calculation-sheet'!T9*'Output-Calculation-sheet'!T81</f>
        <v>614207657.14896369</v>
      </c>
      <c r="U98" s="2">
        <f>U10/'Output-Calculation-sheet'!U9*'Output-Calculation-sheet'!U81</f>
        <v>399643337.04473108</v>
      </c>
      <c r="V98" s="2">
        <f>V10/'Output-Calculation-sheet'!V9*'Output-Calculation-sheet'!V81</f>
        <v>211657841.19931644</v>
      </c>
      <c r="W98" s="2">
        <f>W10/'Output-Calculation-sheet'!W9*'Output-Calculation-sheet'!W81</f>
        <v>600123001.82066774</v>
      </c>
      <c r="X98" s="2">
        <f>X10/'Output-Calculation-sheet'!X9*'Output-Calculation-sheet'!X81</f>
        <v>220527046.28845868</v>
      </c>
      <c r="Y98" s="2">
        <f>Y10/'Output-Calculation-sheet'!Y9*'Output-Calculation-sheet'!Y81</f>
        <v>329984791.28196001</v>
      </c>
      <c r="AA98" s="2">
        <f t="shared" si="8"/>
        <v>64.14568698558692</v>
      </c>
    </row>
    <row r="99" spans="1:27" x14ac:dyDescent="0.25">
      <c r="A99" s="2">
        <v>2034</v>
      </c>
      <c r="B99" s="2">
        <f>B11/'Output-Calculation-sheet'!B10*'Output-Calculation-sheet'!B82</f>
        <v>15204141351.975853</v>
      </c>
      <c r="C99" s="2">
        <f>C11/'Output-Calculation-sheet'!C10*'Output-Calculation-sheet'!C82</f>
        <v>5246052558.6229343</v>
      </c>
      <c r="D99" s="2">
        <f>D11/'Output-Calculation-sheet'!D10*'Output-Calculation-sheet'!D82</f>
        <v>4772432197.1777849</v>
      </c>
      <c r="E99" s="2">
        <f>E11/'Output-Calculation-sheet'!E10*'Output-Calculation-sheet'!E82</f>
        <v>9231851595.9189186</v>
      </c>
      <c r="F99" s="2">
        <f>F11/'Output-Calculation-sheet'!F10*'Output-Calculation-sheet'!F82</f>
        <v>3802126622.9538646</v>
      </c>
      <c r="G99" s="2">
        <f>G11/'Output-Calculation-sheet'!G10*'Output-Calculation-sheet'!G82</f>
        <v>2703041468.4682531</v>
      </c>
      <c r="H99" s="2">
        <f>H11/'Output-Calculation-sheet'!H10*'Output-Calculation-sheet'!H82</f>
        <v>2526483014.4832997</v>
      </c>
      <c r="I99" s="2">
        <f>I11/'Output-Calculation-sheet'!I10*'Output-Calculation-sheet'!I82</f>
        <v>2122069846.2144022</v>
      </c>
      <c r="J99" s="2">
        <f>J11/'Output-Calculation-sheet'!J10*'Output-Calculation-sheet'!J82</f>
        <v>1320563253.6945531</v>
      </c>
      <c r="K99" s="2">
        <f>K11/'Output-Calculation-sheet'!K10*'Output-Calculation-sheet'!K82</f>
        <v>1932157333.4805539</v>
      </c>
      <c r="L99" s="2">
        <f>L11/'Output-Calculation-sheet'!L10*'Output-Calculation-sheet'!L82</f>
        <v>1491766758.9275105</v>
      </c>
      <c r="M99" s="2">
        <f>M11/'Output-Calculation-sheet'!M10*'Output-Calculation-sheet'!M82</f>
        <v>1903152825.5566039</v>
      </c>
      <c r="N99" s="2">
        <f>N11/'Output-Calculation-sheet'!N10*'Output-Calculation-sheet'!N82</f>
        <v>1340772943.8624671</v>
      </c>
      <c r="O99" s="2">
        <f>O11/'Output-Calculation-sheet'!O10*'Output-Calculation-sheet'!O82</f>
        <v>726900300.82298589</v>
      </c>
      <c r="P99" s="2">
        <f>P11/'Output-Calculation-sheet'!P10*'Output-Calculation-sheet'!P82</f>
        <v>2265912910.3724742</v>
      </c>
      <c r="Q99" s="2">
        <f>Q11/'Output-Calculation-sheet'!Q10*'Output-Calculation-sheet'!Q82</f>
        <v>1072372380.3799331</v>
      </c>
      <c r="R99" s="2">
        <f>R11/'Output-Calculation-sheet'!R10*'Output-Calculation-sheet'!R82</f>
        <v>1388181087.102309</v>
      </c>
      <c r="S99" s="2">
        <f>S11/'Output-Calculation-sheet'!S10*'Output-Calculation-sheet'!S82</f>
        <v>799631114.85746932</v>
      </c>
      <c r="T99" s="2">
        <f>T11/'Output-Calculation-sheet'!T10*'Output-Calculation-sheet'!T82</f>
        <v>584436857.09251356</v>
      </c>
      <c r="U99" s="2">
        <f>U11/'Output-Calculation-sheet'!U10*'Output-Calculation-sheet'!U82</f>
        <v>387025868.11343998</v>
      </c>
      <c r="V99" s="2">
        <f>V11/'Output-Calculation-sheet'!V10*'Output-Calculation-sheet'!V82</f>
        <v>206937906.46755028</v>
      </c>
      <c r="W99" s="2">
        <f>W11/'Output-Calculation-sheet'!W10*'Output-Calculation-sheet'!W82</f>
        <v>573846059.90579641</v>
      </c>
      <c r="X99" s="2">
        <f>X11/'Output-Calculation-sheet'!X10*'Output-Calculation-sheet'!X82</f>
        <v>216126224.77453727</v>
      </c>
      <c r="Y99" s="2">
        <f>Y11/'Output-Calculation-sheet'!Y10*'Output-Calculation-sheet'!Y82</f>
        <v>315797335.81982082</v>
      </c>
      <c r="AA99" s="2">
        <f t="shared" si="8"/>
        <v>62.133779817045827</v>
      </c>
    </row>
    <row r="100" spans="1:27" x14ac:dyDescent="0.25">
      <c r="A100" s="2">
        <v>2035</v>
      </c>
      <c r="B100" s="2">
        <f>B12/'Output-Calculation-sheet'!B11*'Output-Calculation-sheet'!B83</f>
        <v>13223949454.152781</v>
      </c>
      <c r="C100" s="2">
        <f>C12/'Output-Calculation-sheet'!C11*'Output-Calculation-sheet'!C83</f>
        <v>4591140462.1984768</v>
      </c>
      <c r="D100" s="2">
        <f>D12/'Output-Calculation-sheet'!D11*'Output-Calculation-sheet'!D83</f>
        <v>3995999086.5187078</v>
      </c>
      <c r="E100" s="2">
        <f>E12/'Output-Calculation-sheet'!E11*'Output-Calculation-sheet'!E83</f>
        <v>7947011100.0366325</v>
      </c>
      <c r="F100" s="2">
        <f>F12/'Output-Calculation-sheet'!F11*'Output-Calculation-sheet'!F83</f>
        <v>3269083496.3122401</v>
      </c>
      <c r="G100" s="2">
        <f>G12/'Output-Calculation-sheet'!G11*'Output-Calculation-sheet'!G83</f>
        <v>2246496914.0288339</v>
      </c>
      <c r="H100" s="2">
        <f>H12/'Output-Calculation-sheet'!H11*'Output-Calculation-sheet'!H83</f>
        <v>2169948133.6325569</v>
      </c>
      <c r="I100" s="2">
        <f>I12/'Output-Calculation-sheet'!I11*'Output-Calculation-sheet'!I83</f>
        <v>1841158131.3572402</v>
      </c>
      <c r="J100" s="2">
        <f>J12/'Output-Calculation-sheet'!J11*'Output-Calculation-sheet'!J83</f>
        <v>1115821071.9720023</v>
      </c>
      <c r="K100" s="2">
        <f>K12/'Output-Calculation-sheet'!K11*'Output-Calculation-sheet'!K83</f>
        <v>1644079732.270467</v>
      </c>
      <c r="L100" s="2">
        <f>L12/'Output-Calculation-sheet'!L11*'Output-Calculation-sheet'!L83</f>
        <v>1305305562.971467</v>
      </c>
      <c r="M100" s="2">
        <f>M12/'Output-Calculation-sheet'!M11*'Output-Calculation-sheet'!M83</f>
        <v>1639753031.9410598</v>
      </c>
      <c r="N100" s="2">
        <f>N12/'Output-Calculation-sheet'!N11*'Output-Calculation-sheet'!N83</f>
        <v>1134579586.3623917</v>
      </c>
      <c r="O100" s="2">
        <f>O12/'Output-Calculation-sheet'!O11*'Output-Calculation-sheet'!O83</f>
        <v>629763711.02339935</v>
      </c>
      <c r="P100" s="2">
        <f>P12/'Output-Calculation-sheet'!P11*'Output-Calculation-sheet'!P83</f>
        <v>1912637138.4991376</v>
      </c>
      <c r="Q100" s="2">
        <f>Q12/'Output-Calculation-sheet'!Q11*'Output-Calculation-sheet'!Q83</f>
        <v>912336682.87945187</v>
      </c>
      <c r="R100" s="2">
        <f>R12/'Output-Calculation-sheet'!R11*'Output-Calculation-sheet'!R83</f>
        <v>1194654036.1565123</v>
      </c>
      <c r="S100" s="2">
        <f>S12/'Output-Calculation-sheet'!S11*'Output-Calculation-sheet'!S83</f>
        <v>685670036.46450436</v>
      </c>
      <c r="T100" s="2">
        <f>T12/'Output-Calculation-sheet'!T11*'Output-Calculation-sheet'!T83</f>
        <v>493444858.34562486</v>
      </c>
      <c r="U100" s="2">
        <f>U12/'Output-Calculation-sheet'!U11*'Output-Calculation-sheet'!U83</f>
        <v>332525964.63146341</v>
      </c>
      <c r="V100" s="2">
        <f>V12/'Output-Calculation-sheet'!V11*'Output-Calculation-sheet'!V83</f>
        <v>179417078.16454771</v>
      </c>
      <c r="W100" s="2">
        <f>W12/'Output-Calculation-sheet'!W11*'Output-Calculation-sheet'!W83</f>
        <v>486084942.60206884</v>
      </c>
      <c r="X100" s="2">
        <f>X12/'Output-Calculation-sheet'!X11*'Output-Calculation-sheet'!X83</f>
        <v>187925055.93137962</v>
      </c>
      <c r="Y100" s="2">
        <f>Y12/'Output-Calculation-sheet'!Y11*'Output-Calculation-sheet'!Y83</f>
        <v>267861817.63340548</v>
      </c>
      <c r="AA100" s="2">
        <f t="shared" si="8"/>
        <v>53.406647086086366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1323625552.1394947</v>
      </c>
      <c r="C107" s="2">
        <f>C8/'Output-Calculation-sheet'!C7*'Output-Calculation-sheet'!C88</f>
        <v>21798684869.363899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6801277121.024559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4692332454.4580889</v>
      </c>
      <c r="N107" s="2">
        <f>N8/'Output-Calculation-sheet'!N7*'Output-Calculation-sheet'!N88</f>
        <v>1425701350.379828</v>
      </c>
      <c r="O107" s="2">
        <f>O8/'Output-Calculation-sheet'!O7*'Output-Calculation-sheet'!O88</f>
        <v>4235504371.7259436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470618210.88110441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508181106.64558363</v>
      </c>
      <c r="Y107" s="2">
        <f>Y8/'Output-Calculation-sheet'!Y7*'Output-Calculation-sheet'!Y88</f>
        <v>0</v>
      </c>
      <c r="AA107" s="2">
        <f t="shared" si="9"/>
        <v>41255.925036618508</v>
      </c>
    </row>
    <row r="108" spans="1:27" x14ac:dyDescent="0.25">
      <c r="A108" s="2">
        <v>2032</v>
      </c>
      <c r="B108" s="2">
        <f>B9/'Output-Calculation-sheet'!B8*'Output-Calculation-sheet'!B89</f>
        <v>5425767485.5882463</v>
      </c>
      <c r="C108" s="2">
        <f>C9/'Output-Calculation-sheet'!C8*'Output-Calculation-sheet'!C89</f>
        <v>27198952211.873081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8485885214.4058552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5854522923.9334202</v>
      </c>
      <c r="N108" s="2">
        <f>N9/'Output-Calculation-sheet'!N8*'Output-Calculation-sheet'!N89</f>
        <v>2758898381.4273005</v>
      </c>
      <c r="O108" s="2">
        <f>O9/'Output-Calculation-sheet'!O8*'Output-Calculation-sheet'!O89</f>
        <v>5284779549.3154507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829148719.11826003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634062332.40865564</v>
      </c>
      <c r="Y108" s="2">
        <f>Y9/'Output-Calculation-sheet'!Y8*'Output-Calculation-sheet'!Y89</f>
        <v>0</v>
      </c>
      <c r="AA108" s="2">
        <f t="shared" si="9"/>
        <v>56472.016818070268</v>
      </c>
    </row>
    <row r="109" spans="1:27" x14ac:dyDescent="0.25">
      <c r="A109" s="2">
        <v>2033</v>
      </c>
      <c r="B109" s="2">
        <f>B10/'Output-Calculation-sheet'!B9*'Output-Calculation-sheet'!B90</f>
        <v>12700416125.33337</v>
      </c>
      <c r="C109" s="2">
        <f>C10/'Output-Calculation-sheet'!C9*'Output-Calculation-sheet'!C90</f>
        <v>28028964131.562653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9331334655.028841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6437810011.8803644</v>
      </c>
      <c r="N109" s="2">
        <f>N10/'Output-Calculation-sheet'!N9*'Output-Calculation-sheet'!N90</f>
        <v>3791510462.4100118</v>
      </c>
      <c r="O109" s="2">
        <f>O10/'Output-Calculation-sheet'!O9*'Output-Calculation-sheet'!O90</f>
        <v>5142419747.372983</v>
      </c>
      <c r="P109" s="2">
        <f>P10/'Output-Calculation-sheet'!P9*'Output-Calculation-sheet'!P90</f>
        <v>0</v>
      </c>
      <c r="Q109" s="2">
        <f>Q10/'Output-Calculation-sheet'!Q9*'Output-Calculation-sheet'!Q90</f>
        <v>123461975.201535</v>
      </c>
      <c r="R109" s="2">
        <f>R10/'Output-Calculation-sheet'!R9*'Output-Calculation-sheet'!R90</f>
        <v>0</v>
      </c>
      <c r="S109" s="2">
        <f>S10/'Output-Calculation-sheet'!S9*'Output-Calculation-sheet'!S90</f>
        <v>1530249474.0482802</v>
      </c>
      <c r="T109" s="2">
        <f>T10/'Output-Calculation-sheet'!T9*'Output-Calculation-sheet'!T90</f>
        <v>1.1665511887542294E-7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697234302.15277374</v>
      </c>
      <c r="Y109" s="2">
        <f>Y10/'Output-Calculation-sheet'!Y9*'Output-Calculation-sheet'!Y90</f>
        <v>0</v>
      </c>
      <c r="AA109" s="2">
        <f t="shared" si="9"/>
        <v>67783.400884990813</v>
      </c>
    </row>
    <row r="110" spans="1:27" x14ac:dyDescent="0.25">
      <c r="A110" s="2">
        <v>2034</v>
      </c>
      <c r="B110" s="2">
        <f>B11/'Output-Calculation-sheet'!B10*'Output-Calculation-sheet'!B91</f>
        <v>24508191373.620609</v>
      </c>
      <c r="C110" s="2">
        <f>C11/'Output-Calculation-sheet'!C10*'Output-Calculation-sheet'!C91</f>
        <v>24782793796.135193</v>
      </c>
      <c r="D110" s="2">
        <f>D11/'Output-Calculation-sheet'!D10*'Output-Calculation-sheet'!D91</f>
        <v>0</v>
      </c>
      <c r="E110" s="2">
        <f>E11/'Output-Calculation-sheet'!E10*'Output-Calculation-sheet'!E91</f>
        <v>499953541.82740217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9153800117.0537052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416040381.43020785</v>
      </c>
      <c r="M110" s="2">
        <f>M11/'Output-Calculation-sheet'!M10*'Output-Calculation-sheet'!M91</f>
        <v>6315325554.0267487</v>
      </c>
      <c r="N110" s="2">
        <f>N11/'Output-Calculation-sheet'!N10*'Output-Calculation-sheet'!N91</f>
        <v>4367995288.9177952</v>
      </c>
      <c r="O110" s="2">
        <f>O11/'Output-Calculation-sheet'!O10*'Output-Calculation-sheet'!O91</f>
        <v>4535316628.5408297</v>
      </c>
      <c r="P110" s="2">
        <f>P11/'Output-Calculation-sheet'!P10*'Output-Calculation-sheet'!P91</f>
        <v>0</v>
      </c>
      <c r="Q110" s="2">
        <f>Q11/'Output-Calculation-sheet'!Q10*'Output-Calculation-sheet'!Q91</f>
        <v>1111517000.9853675</v>
      </c>
      <c r="R110" s="2">
        <f>R11/'Output-Calculation-sheet'!R10*'Output-Calculation-sheet'!R91</f>
        <v>0</v>
      </c>
      <c r="S110" s="2">
        <f>S11/'Output-Calculation-sheet'!S10*'Output-Calculation-sheet'!S91</f>
        <v>2148025286.6010165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625680358.99750805</v>
      </c>
      <c r="Y110" s="2">
        <f>Y11/'Output-Calculation-sheet'!Y10*'Output-Calculation-sheet'!Y91</f>
        <v>27380317.362778544</v>
      </c>
      <c r="AA110" s="2">
        <f t="shared" si="9"/>
        <v>78492.019645499167</v>
      </c>
    </row>
    <row r="111" spans="1:27" x14ac:dyDescent="0.25">
      <c r="A111" s="2">
        <v>2035</v>
      </c>
      <c r="B111" s="2">
        <f>B12/'Output-Calculation-sheet'!B11*'Output-Calculation-sheet'!B92</f>
        <v>23704068679.975327</v>
      </c>
      <c r="C111" s="2">
        <f>C12/'Output-Calculation-sheet'!C11*'Output-Calculation-sheet'!C92</f>
        <v>19824373312.16666</v>
      </c>
      <c r="D111" s="2">
        <f>D12/'Output-Calculation-sheet'!D11*'Output-Calculation-sheet'!D92</f>
        <v>0</v>
      </c>
      <c r="E111" s="2">
        <f>E12/'Output-Calculation-sheet'!E11*'Output-Calculation-sheet'!E92</f>
        <v>2638597079.3938065</v>
      </c>
      <c r="F111" s="2">
        <f>F12/'Output-Calculation-sheet'!F11*'Output-Calculation-sheet'!F92</f>
        <v>0</v>
      </c>
      <c r="G111" s="2">
        <f>G12/'Output-Calculation-sheet'!G11*'Output-Calculation-sheet'!G92</f>
        <v>-2.8688620738328972E-7</v>
      </c>
      <c r="H111" s="2">
        <f>H12/'Output-Calculation-sheet'!H11*'Output-Calculation-sheet'!H92</f>
        <v>7337816911.6558504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870724685.32211411</v>
      </c>
      <c r="M111" s="2">
        <f>M12/'Output-Calculation-sheet'!M11*'Output-Calculation-sheet'!M92</f>
        <v>5177749958.2631845</v>
      </c>
      <c r="N111" s="2">
        <f>N12/'Output-Calculation-sheet'!N11*'Output-Calculation-sheet'!N92</f>
        <v>3734297679.5828729</v>
      </c>
      <c r="O111" s="2">
        <f>O12/'Output-Calculation-sheet'!O11*'Output-Calculation-sheet'!O92</f>
        <v>3601860271.7769861</v>
      </c>
      <c r="P111" s="2">
        <f>P12/'Output-Calculation-sheet'!P11*'Output-Calculation-sheet'!P92</f>
        <v>181141988.43496722</v>
      </c>
      <c r="Q111" s="2">
        <f>Q12/'Output-Calculation-sheet'!Q11*'Output-Calculation-sheet'!Q92</f>
        <v>1245840821.306402</v>
      </c>
      <c r="R111" s="2">
        <f>R12/'Output-Calculation-sheet'!R11*'Output-Calculation-sheet'!R92</f>
        <v>0</v>
      </c>
      <c r="S111" s="2">
        <f>S12/'Output-Calculation-sheet'!S11*'Output-Calculation-sheet'!S92</f>
        <v>1911415123.5829082</v>
      </c>
      <c r="T111" s="2">
        <f>T12/'Output-Calculation-sheet'!T11*'Output-Calculation-sheet'!T92</f>
        <v>0</v>
      </c>
      <c r="U111" s="2">
        <f>U12/'Output-Calculation-sheet'!U11*'Output-Calculation-sheet'!U92</f>
        <v>36142762.522081032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510933737.03816175</v>
      </c>
      <c r="Y111" s="2">
        <f>Y12/'Output-Calculation-sheet'!Y11*'Output-Calculation-sheet'!Y92</f>
        <v>123092806.85285294</v>
      </c>
      <c r="AA111" s="2">
        <f t="shared" si="9"/>
        <v>70898.055817874178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44944060496.353615</v>
      </c>
      <c r="C118" s="2">
        <f>C8/'Output-Calculation-sheet'!C7*'Output-Calculation-sheet'!C97</f>
        <v>0</v>
      </c>
      <c r="D118" s="2">
        <f>D8/'Output-Calculation-sheet'!D7*'Output-Calculation-sheet'!D97</f>
        <v>19432961279.344662</v>
      </c>
      <c r="E118" s="2">
        <f>E8/'Output-Calculation-sheet'!E7*'Output-Calculation-sheet'!E97</f>
        <v>15418082780.464624</v>
      </c>
      <c r="F118" s="2">
        <f>F8/'Output-Calculation-sheet'!F7*'Output-Calculation-sheet'!F97</f>
        <v>9925173158.3295975</v>
      </c>
      <c r="G118" s="2">
        <f>G8/'Output-Calculation-sheet'!G7*'Output-Calculation-sheet'!G97</f>
        <v>6973699050.0676041</v>
      </c>
      <c r="H118" s="2">
        <f>H8/'Output-Calculation-sheet'!H7*'Output-Calculation-sheet'!H97</f>
        <v>0</v>
      </c>
      <c r="I118" s="2">
        <f>I8/'Output-Calculation-sheet'!I7*'Output-Calculation-sheet'!I97</f>
        <v>6353588784.6825705</v>
      </c>
      <c r="J118" s="2">
        <f>J8/'Output-Calculation-sheet'!J7*'Output-Calculation-sheet'!J97</f>
        <v>6184145714.4773359</v>
      </c>
      <c r="K118" s="2">
        <f>K8/'Output-Calculation-sheet'!K7*'Output-Calculation-sheet'!K97</f>
        <v>6124858384.1357956</v>
      </c>
      <c r="L118" s="2">
        <f>L8/'Output-Calculation-sheet'!L7*'Output-Calculation-sheet'!L97</f>
        <v>4913441035.8876333</v>
      </c>
      <c r="M118" s="2">
        <f>M8/'Output-Calculation-sheet'!M7*'Output-Calculation-sheet'!M97</f>
        <v>0</v>
      </c>
      <c r="N118" s="2">
        <f>N8/'Output-Calculation-sheet'!N7*'Output-Calculation-sheet'!N97</f>
        <v>3180609735.1192193</v>
      </c>
      <c r="O118" s="2">
        <f>O8/'Output-Calculation-sheet'!O7*'Output-Calculation-sheet'!O97</f>
        <v>0</v>
      </c>
      <c r="P118" s="2">
        <f>P8/'Output-Calculation-sheet'!P7*'Output-Calculation-sheet'!P97</f>
        <v>4193368597.8904996</v>
      </c>
      <c r="Q118" s="2">
        <f>Q8/'Output-Calculation-sheet'!Q7*'Output-Calculation-sheet'!Q97</f>
        <v>4125596202.2114587</v>
      </c>
      <c r="R118" s="2">
        <f>R8/'Output-Calculation-sheet'!R7*'Output-Calculation-sheet'!R97</f>
        <v>3969013283.8316984</v>
      </c>
      <c r="S118" s="2">
        <f>S8/'Output-Calculation-sheet'!S7*'Output-Calculation-sheet'!S97</f>
        <v>2167391647.8719158</v>
      </c>
      <c r="T118" s="2">
        <f>T8/'Output-Calculation-sheet'!T7*'Output-Calculation-sheet'!T97</f>
        <v>1458975439.7718334</v>
      </c>
      <c r="U118" s="2">
        <f>U8/'Output-Calculation-sheet'!U7*'Output-Calculation-sheet'!U97</f>
        <v>1270717507.4384687</v>
      </c>
      <c r="V118" s="2">
        <f>V8/'Output-Calculation-sheet'!V7*'Output-Calculation-sheet'!V97</f>
        <v>978478279.58187962</v>
      </c>
      <c r="W118" s="2">
        <f>W8/'Output-Calculation-sheet'!W7*'Output-Calculation-sheet'!W97</f>
        <v>847145004.69952846</v>
      </c>
      <c r="X118" s="2">
        <f>X8/'Output-Calculation-sheet'!X7*'Output-Calculation-sheet'!X97</f>
        <v>0</v>
      </c>
      <c r="Y118" s="2">
        <f>Y8/'Output-Calculation-sheet'!Y7*'Output-Calculation-sheet'!Y97</f>
        <v>494304220.71283102</v>
      </c>
      <c r="AA118" s="2">
        <f t="shared" si="10"/>
        <v>142955.61060287274</v>
      </c>
    </row>
    <row r="119" spans="1:27" x14ac:dyDescent="0.25">
      <c r="A119" s="2">
        <v>2032</v>
      </c>
      <c r="B119" s="2">
        <f>B9/'Output-Calculation-sheet'!B8*'Output-Calculation-sheet'!B98</f>
        <v>52301332982.930748</v>
      </c>
      <c r="C119" s="2">
        <f>C9/'Output-Calculation-sheet'!C8*'Output-Calculation-sheet'!C98</f>
        <v>0</v>
      </c>
      <c r="D119" s="2">
        <f>D9/'Output-Calculation-sheet'!D8*'Output-Calculation-sheet'!D98</f>
        <v>24246049214.161762</v>
      </c>
      <c r="E119" s="2">
        <f>E9/'Output-Calculation-sheet'!E8*'Output-Calculation-sheet'!E98</f>
        <v>19236775123.698402</v>
      </c>
      <c r="F119" s="2">
        <f>F9/'Output-Calculation-sheet'!F8*'Output-Calculation-sheet'!F98</f>
        <v>12383406286.086159</v>
      </c>
      <c r="G119" s="2">
        <f>G9/'Output-Calculation-sheet'!G8*'Output-Calculation-sheet'!G98</f>
        <v>8700921138.5422726</v>
      </c>
      <c r="H119" s="2">
        <f>H9/'Output-Calculation-sheet'!H8*'Output-Calculation-sheet'!H98</f>
        <v>1.163926642110937E-6</v>
      </c>
      <c r="I119" s="2">
        <f>I9/'Output-Calculation-sheet'!I8*'Output-Calculation-sheet'!I98</f>
        <v>7927224665.0677748</v>
      </c>
      <c r="J119" s="2">
        <f>J9/'Output-Calculation-sheet'!J8*'Output-Calculation-sheet'!J98</f>
        <v>7715811498.9568119</v>
      </c>
      <c r="K119" s="2">
        <f>K9/'Output-Calculation-sheet'!K8*'Output-Calculation-sheet'!K98</f>
        <v>7641841306.0294943</v>
      </c>
      <c r="L119" s="2">
        <f>L9/'Output-Calculation-sheet'!L8*'Output-Calculation-sheet'!L98</f>
        <v>6130385894.5432835</v>
      </c>
      <c r="M119" s="2">
        <f>M9/'Output-Calculation-sheet'!M8*'Output-Calculation-sheet'!M98</f>
        <v>0</v>
      </c>
      <c r="N119" s="2">
        <f>N9/'Output-Calculation-sheet'!N8*'Output-Calculation-sheet'!N98</f>
        <v>2987806893.1590667</v>
      </c>
      <c r="O119" s="2">
        <f>O9/'Output-Calculation-sheet'!O8*'Output-Calculation-sheet'!O98</f>
        <v>0</v>
      </c>
      <c r="P119" s="2">
        <f>P9/'Output-Calculation-sheet'!P8*'Output-Calculation-sheet'!P98</f>
        <v>5231932914.1034021</v>
      </c>
      <c r="Q119" s="2">
        <f>Q9/'Output-Calculation-sheet'!Q8*'Output-Calculation-sheet'!Q98</f>
        <v>5147409439.2143593</v>
      </c>
      <c r="R119" s="2">
        <f>R9/'Output-Calculation-sheet'!R8*'Output-Calculation-sheet'!R98</f>
        <v>4952045009.884511</v>
      </c>
      <c r="S119" s="2">
        <f>S9/'Output-Calculation-sheet'!S8*'Output-Calculation-sheet'!S98</f>
        <v>2462057943.4224057</v>
      </c>
      <c r="T119" s="2">
        <f>T9/'Output-Calculation-sheet'!T8*'Output-Calculation-sheet'!T98</f>
        <v>1820329092.3486714</v>
      </c>
      <c r="U119" s="2">
        <f>U9/'Output-Calculation-sheet'!U8*'Output-Calculation-sheet'!U98</f>
        <v>1585444752.8761032</v>
      </c>
      <c r="V119" s="2">
        <f>V9/'Output-Calculation-sheet'!V8*'Output-Calculation-sheet'!V98</f>
        <v>1220824168.8096375</v>
      </c>
      <c r="W119" s="2">
        <f>W9/'Output-Calculation-sheet'!W8*'Output-Calculation-sheet'!W98</f>
        <v>1056963002.4964846</v>
      </c>
      <c r="X119" s="2">
        <f>X9/'Output-Calculation-sheet'!X8*'Output-Calculation-sheet'!X98</f>
        <v>0</v>
      </c>
      <c r="Y119" s="2">
        <f>Y9/'Output-Calculation-sheet'!Y8*'Output-Calculation-sheet'!Y98</f>
        <v>616731570.44557989</v>
      </c>
      <c r="AA119" s="2">
        <f t="shared" si="10"/>
        <v>173365.2928967769</v>
      </c>
    </row>
    <row r="120" spans="1:27" x14ac:dyDescent="0.25">
      <c r="A120" s="2">
        <v>2033</v>
      </c>
      <c r="B120" s="2">
        <f>B10/'Output-Calculation-sheet'!B9*'Output-Calculation-sheet'!B99</f>
        <v>50772282865.559631</v>
      </c>
      <c r="C120" s="2">
        <f>C10/'Output-Calculation-sheet'!C9*'Output-Calculation-sheet'!C99</f>
        <v>0</v>
      </c>
      <c r="D120" s="2">
        <f>D10/'Output-Calculation-sheet'!D9*'Output-Calculation-sheet'!D99</f>
        <v>26660886352.341187</v>
      </c>
      <c r="E120" s="2">
        <f>E10/'Output-Calculation-sheet'!E9*'Output-Calculation-sheet'!E99</f>
        <v>21152705103.338615</v>
      </c>
      <c r="F120" s="2">
        <f>F10/'Output-Calculation-sheet'!F9*'Output-Calculation-sheet'!F99</f>
        <v>13616755332.493502</v>
      </c>
      <c r="G120" s="2">
        <f>G10/'Output-Calculation-sheet'!G9*'Output-Calculation-sheet'!G99</f>
        <v>9567505998.3733845</v>
      </c>
      <c r="H120" s="2">
        <f>H10/'Output-Calculation-sheet'!H9*'Output-Calculation-sheet'!H99</f>
        <v>0</v>
      </c>
      <c r="I120" s="2">
        <f>I10/'Output-Calculation-sheet'!I9*'Output-Calculation-sheet'!I99</f>
        <v>8716752212.5253258</v>
      </c>
      <c r="J120" s="2">
        <f>J10/'Output-Calculation-sheet'!J9*'Output-Calculation-sheet'!J99</f>
        <v>8484282921.2592983</v>
      </c>
      <c r="K120" s="2">
        <f>K10/'Output-Calculation-sheet'!K9*'Output-Calculation-sheet'!K99</f>
        <v>8403144667.4606218</v>
      </c>
      <c r="L120" s="2">
        <f>L10/'Output-Calculation-sheet'!L9*'Output-Calculation-sheet'!L99</f>
        <v>6740953739.7445393</v>
      </c>
      <c r="M120" s="2">
        <f>M10/'Output-Calculation-sheet'!M9*'Output-Calculation-sheet'!M99</f>
        <v>0</v>
      </c>
      <c r="N120" s="2">
        <f>N10/'Output-Calculation-sheet'!N9*'Output-Calculation-sheet'!N99</f>
        <v>2527178953.4468632</v>
      </c>
      <c r="O120" s="2">
        <f>O10/'Output-Calculation-sheet'!O9*'Output-Calculation-sheet'!O99</f>
        <v>0</v>
      </c>
      <c r="P120" s="2">
        <f>P10/'Output-Calculation-sheet'!P9*'Output-Calculation-sheet'!P99</f>
        <v>5752715608.0074186</v>
      </c>
      <c r="Q120" s="2">
        <f>Q10/'Output-Calculation-sheet'!Q9*'Output-Calculation-sheet'!Q99</f>
        <v>5536558781.1964369</v>
      </c>
      <c r="R120" s="2">
        <f>R10/'Output-Calculation-sheet'!R9*'Output-Calculation-sheet'!R99</f>
        <v>5444998053.6540222</v>
      </c>
      <c r="S120" s="2">
        <f>S10/'Output-Calculation-sheet'!S9*'Output-Calculation-sheet'!S99</f>
        <v>2088510161.223721</v>
      </c>
      <c r="T120" s="2">
        <f>T10/'Output-Calculation-sheet'!T9*'Output-Calculation-sheet'!T99</f>
        <v>2001611134.2978659</v>
      </c>
      <c r="U120" s="2">
        <f>U10/'Output-Calculation-sheet'!U9*'Output-Calculation-sheet'!U99</f>
        <v>1743724576.8367503</v>
      </c>
      <c r="V120" s="2">
        <f>V10/'Output-Calculation-sheet'!V9*'Output-Calculation-sheet'!V99</f>
        <v>1342414623.1240861</v>
      </c>
      <c r="W120" s="2">
        <f>W10/'Output-Calculation-sheet'!W9*'Output-Calculation-sheet'!W99</f>
        <v>1162233555.0929096</v>
      </c>
      <c r="X120" s="2">
        <f>X10/'Output-Calculation-sheet'!X9*'Output-Calculation-sheet'!X99</f>
        <v>0</v>
      </c>
      <c r="Y120" s="2">
        <f>Y10/'Output-Calculation-sheet'!Y9*'Output-Calculation-sheet'!Y99</f>
        <v>678157184.78852904</v>
      </c>
      <c r="AA120" s="2">
        <f t="shared" si="10"/>
        <v>182393.37182476473</v>
      </c>
    </row>
    <row r="121" spans="1:27" x14ac:dyDescent="0.25">
      <c r="A121" s="2">
        <v>2034</v>
      </c>
      <c r="B121" s="2">
        <f>B11/'Output-Calculation-sheet'!B10*'Output-Calculation-sheet'!B100</f>
        <v>37751470687.443192</v>
      </c>
      <c r="C121" s="2">
        <f>C11/'Output-Calculation-sheet'!C10*'Output-Calculation-sheet'!C100</f>
        <v>0</v>
      </c>
      <c r="D121" s="2">
        <f>D11/'Output-Calculation-sheet'!D10*'Output-Calculation-sheet'!D100</f>
        <v>26153080660.140339</v>
      </c>
      <c r="E121" s="2">
        <f>E11/'Output-Calculation-sheet'!E10*'Output-Calculation-sheet'!E100</f>
        <v>20248983969.7001</v>
      </c>
      <c r="F121" s="2">
        <f>F11/'Output-Calculation-sheet'!F10*'Output-Calculation-sheet'!F100</f>
        <v>13357327180.663946</v>
      </c>
      <c r="G121" s="2">
        <f>G11/'Output-Calculation-sheet'!G10*'Output-Calculation-sheet'!G100</f>
        <v>9384766755.063015</v>
      </c>
      <c r="H121" s="2">
        <f>H11/'Output-Calculation-sheet'!H10*'Output-Calculation-sheet'!H100</f>
        <v>0</v>
      </c>
      <c r="I121" s="2">
        <f>I11/'Output-Calculation-sheet'!I10*'Output-Calculation-sheet'!I100</f>
        <v>8550421262.958643</v>
      </c>
      <c r="J121" s="2">
        <f>J11/'Output-Calculation-sheet'!J10*'Output-Calculation-sheet'!J100</f>
        <v>8322479883.4911985</v>
      </c>
      <c r="K121" s="2">
        <f>K11/'Output-Calculation-sheet'!K10*'Output-Calculation-sheet'!K100</f>
        <v>8242900193.6037283</v>
      </c>
      <c r="L121" s="2">
        <f>L11/'Output-Calculation-sheet'!L10*'Output-Calculation-sheet'!L100</f>
        <v>6196327272.6619587</v>
      </c>
      <c r="M121" s="2">
        <f>M11/'Output-Calculation-sheet'!M10*'Output-Calculation-sheet'!M100</f>
        <v>4.2296080973637656E-7</v>
      </c>
      <c r="N121" s="2">
        <f>N11/'Output-Calculation-sheet'!N10*'Output-Calculation-sheet'!N100</f>
        <v>1830476899.942687</v>
      </c>
      <c r="O121" s="2">
        <f>O11/'Output-Calculation-sheet'!O10*'Output-Calculation-sheet'!O100</f>
        <v>0</v>
      </c>
      <c r="P121" s="2">
        <f>P11/'Output-Calculation-sheet'!P10*'Output-Calculation-sheet'!P100</f>
        <v>5642912037.7869778</v>
      </c>
      <c r="Q121" s="2">
        <f>Q11/'Output-Calculation-sheet'!Q10*'Output-Calculation-sheet'!Q100</f>
        <v>4440243890.9575539</v>
      </c>
      <c r="R121" s="2">
        <f>R11/'Output-Calculation-sheet'!R10*'Output-Calculation-sheet'!R100</f>
        <v>5341054657.5054817</v>
      </c>
      <c r="S121" s="2">
        <f>S11/'Output-Calculation-sheet'!S10*'Output-Calculation-sheet'!S100</f>
        <v>1401779294.8564792</v>
      </c>
      <c r="T121" s="2">
        <f>T11/'Output-Calculation-sheet'!T10*'Output-Calculation-sheet'!T100</f>
        <v>1963370780.4693916</v>
      </c>
      <c r="U121" s="2">
        <f>U11/'Output-Calculation-sheet'!U10*'Output-Calculation-sheet'!U100</f>
        <v>1711066256.8663425</v>
      </c>
      <c r="V121" s="2">
        <f>V11/'Output-Calculation-sheet'!V10*'Output-Calculation-sheet'!V100</f>
        <v>1317215937.5287659</v>
      </c>
      <c r="W121" s="2">
        <f>W11/'Output-Calculation-sheet'!W10*'Output-Calculation-sheet'!W100</f>
        <v>1140130539.7330513</v>
      </c>
      <c r="X121" s="2">
        <f>X11/'Output-Calculation-sheet'!X10*'Output-Calculation-sheet'!X100</f>
        <v>50614397.824430607</v>
      </c>
      <c r="Y121" s="2">
        <f>Y11/'Output-Calculation-sheet'!Y10*'Output-Calculation-sheet'!Y100</f>
        <v>637848098.87004638</v>
      </c>
      <c r="AA121" s="2">
        <f t="shared" si="10"/>
        <v>163684.47065806738</v>
      </c>
    </row>
    <row r="122" spans="1:27" x14ac:dyDescent="0.25">
      <c r="A122" s="2">
        <v>2035</v>
      </c>
      <c r="B122" s="2">
        <f>B12/'Output-Calculation-sheet'!B11*'Output-Calculation-sheet'!B101</f>
        <v>27276577009.826675</v>
      </c>
      <c r="C122" s="2">
        <f>C12/'Output-Calculation-sheet'!C11*'Output-Calculation-sheet'!C101</f>
        <v>0</v>
      </c>
      <c r="D122" s="2">
        <f>D12/'Output-Calculation-sheet'!D11*'Output-Calculation-sheet'!D101</f>
        <v>21193394525.00935</v>
      </c>
      <c r="E122" s="2">
        <f>E12/'Output-Calculation-sheet'!E11*'Output-Calculation-sheet'!E101</f>
        <v>14977900818.042654</v>
      </c>
      <c r="F122" s="2">
        <f>F12/'Output-Calculation-sheet'!F11*'Output-Calculation-sheet'!F101</f>
        <v>11146153714.179634</v>
      </c>
      <c r="G122" s="2">
        <f>G12/'Output-Calculation-sheet'!G11*'Output-Calculation-sheet'!G101</f>
        <v>7716130748.2066841</v>
      </c>
      <c r="H122" s="2">
        <f>H12/'Output-Calculation-sheet'!H11*'Output-Calculation-sheet'!H101</f>
        <v>0</v>
      </c>
      <c r="I122" s="2">
        <f>I12/'Output-Calculation-sheet'!I11*'Output-Calculation-sheet'!I101</f>
        <v>7049089446.0439873</v>
      </c>
      <c r="J122" s="2">
        <f>J12/'Output-Calculation-sheet'!J11*'Output-Calculation-sheet'!J101</f>
        <v>6797158120.2404232</v>
      </c>
      <c r="K122" s="2">
        <f>K12/'Output-Calculation-sheet'!K11*'Output-Calculation-sheet'!K101</f>
        <v>6835011835.083499</v>
      </c>
      <c r="L122" s="2">
        <f>L12/'Output-Calculation-sheet'!L11*'Output-Calculation-sheet'!L101</f>
        <v>4703682752.7931767</v>
      </c>
      <c r="M122" s="2">
        <f>M12/'Output-Calculation-sheet'!M11*'Output-Calculation-sheet'!M101</f>
        <v>0</v>
      </c>
      <c r="N122" s="2">
        <f>N12/'Output-Calculation-sheet'!N11*'Output-Calculation-sheet'!N101</f>
        <v>1323643267.2839727</v>
      </c>
      <c r="O122" s="2">
        <f>O12/'Output-Calculation-sheet'!O11*'Output-Calculation-sheet'!O101</f>
        <v>0</v>
      </c>
      <c r="P122" s="2">
        <f>P12/'Output-Calculation-sheet'!P11*'Output-Calculation-sheet'!P101</f>
        <v>4555520738.0282974</v>
      </c>
      <c r="Q122" s="2">
        <f>Q12/'Output-Calculation-sheet'!Q11*'Output-Calculation-sheet'!Q101</f>
        <v>3231407555.5614672</v>
      </c>
      <c r="R122" s="2">
        <f>R12/'Output-Calculation-sheet'!R11*'Output-Calculation-sheet'!R101</f>
        <v>4454557375.7620745</v>
      </c>
      <c r="S122" s="2">
        <f>S12/'Output-Calculation-sheet'!S11*'Output-Calculation-sheet'!S101</f>
        <v>976544925.76948261</v>
      </c>
      <c r="T122" s="2">
        <f>T12/'Output-Calculation-sheet'!T11*'Output-Calculation-sheet'!T101</f>
        <v>1661200007.6057425</v>
      </c>
      <c r="U122" s="2">
        <f>U12/'Output-Calculation-sheet'!U11*'Output-Calculation-sheet'!U101</f>
        <v>1348643769.3045645</v>
      </c>
      <c r="V122" s="2">
        <f>V12/'Output-Calculation-sheet'!V11*'Output-Calculation-sheet'!V101</f>
        <v>1120297499.5930436</v>
      </c>
      <c r="W122" s="2">
        <f>W12/'Output-Calculation-sheet'!W11*'Output-Calculation-sheet'!W101</f>
        <v>976892428.78181624</v>
      </c>
      <c r="X122" s="2">
        <f>X12/'Output-Calculation-sheet'!X11*'Output-Calculation-sheet'!X101</f>
        <v>35975228.747802645</v>
      </c>
      <c r="Y122" s="2">
        <f>Y12/'Output-Calculation-sheet'!Y11*'Output-Calculation-sheet'!Y101</f>
        <v>441026072.50855154</v>
      </c>
      <c r="AA122" s="2">
        <f t="shared" si="10"/>
        <v>127820.80783837289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46267686891.07016</v>
      </c>
      <c r="C129" s="2">
        <f>C8/'Output-Calculation-sheet'!C7*'Output-Calculation-sheet'!C106</f>
        <v>21803666543.976353</v>
      </c>
      <c r="D129" s="2">
        <f>D8/'Output-Calculation-sheet'!D7*'Output-Calculation-sheet'!D106</f>
        <v>19432961279.344662</v>
      </c>
      <c r="E129" s="2">
        <f>E8/'Output-Calculation-sheet'!E7*'Output-Calculation-sheet'!E106</f>
        <v>15418082780.464624</v>
      </c>
      <c r="F129" s="2">
        <f>F8/'Output-Calculation-sheet'!F7*'Output-Calculation-sheet'!F106</f>
        <v>9925173158.3295975</v>
      </c>
      <c r="G129" s="2">
        <f>G8/'Output-Calculation-sheet'!G7*'Output-Calculation-sheet'!G106</f>
        <v>6973699050.0676041</v>
      </c>
      <c r="H129" s="2">
        <f>H8/'Output-Calculation-sheet'!H7*'Output-Calculation-sheet'!H106</f>
        <v>6802575725.4668121</v>
      </c>
      <c r="I129" s="2">
        <f>I8/'Output-Calculation-sheet'!I7*'Output-Calculation-sheet'!I106</f>
        <v>6353588784.6825705</v>
      </c>
      <c r="J129" s="2">
        <f>J8/'Output-Calculation-sheet'!J7*'Output-Calculation-sheet'!J106</f>
        <v>6184145714.4773359</v>
      </c>
      <c r="K129" s="2">
        <f>K8/'Output-Calculation-sheet'!K7*'Output-Calculation-sheet'!K106</f>
        <v>6124858384.1357956</v>
      </c>
      <c r="L129" s="2">
        <f>L8/'Output-Calculation-sheet'!L7*'Output-Calculation-sheet'!L106</f>
        <v>4913441035.8876333</v>
      </c>
      <c r="M129" s="2">
        <f>M8/'Output-Calculation-sheet'!M7*'Output-Calculation-sheet'!M106</f>
        <v>4693184248.9522018</v>
      </c>
      <c r="N129" s="2">
        <f>N8/'Output-Calculation-sheet'!N7*'Output-Calculation-sheet'!N106</f>
        <v>4606347678.5369673</v>
      </c>
      <c r="O129" s="2">
        <f>O8/'Output-Calculation-sheet'!O7*'Output-Calculation-sheet'!O106</f>
        <v>4236470511.3268156</v>
      </c>
      <c r="P129" s="2">
        <f>P8/'Output-Calculation-sheet'!P7*'Output-Calculation-sheet'!P106</f>
        <v>4193368597.8904996</v>
      </c>
      <c r="Q129" s="2">
        <f>Q8/'Output-Calculation-sheet'!Q7*'Output-Calculation-sheet'!Q106</f>
        <v>4125596202.2114587</v>
      </c>
      <c r="R129" s="2">
        <f>R8/'Output-Calculation-sheet'!R7*'Output-Calculation-sheet'!R106</f>
        <v>3969013283.8316984</v>
      </c>
      <c r="S129" s="2">
        <f>S8/'Output-Calculation-sheet'!S7*'Output-Calculation-sheet'!S106</f>
        <v>2638009551.7822547</v>
      </c>
      <c r="T129" s="2">
        <f>T8/'Output-Calculation-sheet'!T7*'Output-Calculation-sheet'!T106</f>
        <v>1458975439.7718334</v>
      </c>
      <c r="U129" s="2">
        <f>U8/'Output-Calculation-sheet'!U7*'Output-Calculation-sheet'!U106</f>
        <v>1270717507.4384687</v>
      </c>
      <c r="V129" s="2">
        <f>V8/'Output-Calculation-sheet'!V7*'Output-Calculation-sheet'!V106</f>
        <v>978478279.58187962</v>
      </c>
      <c r="W129" s="2">
        <f>W8/'Output-Calculation-sheet'!W7*'Output-Calculation-sheet'!W106</f>
        <v>847145004.69952846</v>
      </c>
      <c r="X129" s="2">
        <f>X8/'Output-Calculation-sheet'!X7*'Output-Calculation-sheet'!X106</f>
        <v>508287102.77460629</v>
      </c>
      <c r="Y129" s="2">
        <f>Y8/'Output-Calculation-sheet'!Y7*'Output-Calculation-sheet'!Y106</f>
        <v>494304220.71283102</v>
      </c>
      <c r="AA129" s="2">
        <f t="shared" si="11"/>
        <v>184219.77697741415</v>
      </c>
    </row>
    <row r="130" spans="1:27" x14ac:dyDescent="0.25">
      <c r="A130" s="2">
        <v>2032</v>
      </c>
      <c r="B130" s="2">
        <f>B9/'Output-Calculation-sheet'!B8*'Output-Calculation-sheet'!B107</f>
        <v>34636265330.061325</v>
      </c>
      <c r="C130" s="2">
        <f>C9/'Output-Calculation-sheet'!C8*'Output-Calculation-sheet'!C107</f>
        <v>16322347929.010569</v>
      </c>
      <c r="D130" s="2">
        <f>D9/'Output-Calculation-sheet'!D8*'Output-Calculation-sheet'!D107</f>
        <v>14547626495.986788</v>
      </c>
      <c r="E130" s="2">
        <f>E9/'Output-Calculation-sheet'!E8*'Output-Calculation-sheet'!E107</f>
        <v>11542063869.200644</v>
      </c>
      <c r="F130" s="2">
        <f>F9/'Output-Calculation-sheet'!F8*'Output-Calculation-sheet'!F107</f>
        <v>7430044529.5256348</v>
      </c>
      <c r="G130" s="2">
        <f>G9/'Output-Calculation-sheet'!G8*'Output-Calculation-sheet'!G107</f>
        <v>5220553227.0386581</v>
      </c>
      <c r="H130" s="2">
        <f>H9/'Output-Calculation-sheet'!H8*'Output-Calculation-sheet'!H107</f>
        <v>5092447946.3145037</v>
      </c>
      <c r="I130" s="2">
        <f>I9/'Output-Calculation-sheet'!I8*'Output-Calculation-sheet'!I107</f>
        <v>4756334309.8231306</v>
      </c>
      <c r="J130" s="2">
        <f>J9/'Output-Calculation-sheet'!J8*'Output-Calculation-sheet'!J107</f>
        <v>4629486415.2093468</v>
      </c>
      <c r="K130" s="2">
        <f>K9/'Output-Calculation-sheet'!K8*'Output-Calculation-sheet'!K107</f>
        <v>4585104783.6176968</v>
      </c>
      <c r="L130" s="2">
        <f>L9/'Output-Calculation-sheet'!L8*'Output-Calculation-sheet'!L107</f>
        <v>3678231154.3979011</v>
      </c>
      <c r="M130" s="2">
        <f>M9/'Output-Calculation-sheet'!M8*'Output-Calculation-sheet'!M107</f>
        <v>3513346064.8869414</v>
      </c>
      <c r="N130" s="2">
        <f>N9/'Output-Calculation-sheet'!N8*'Output-Calculation-sheet'!N107</f>
        <v>3448337458.0608912</v>
      </c>
      <c r="O130" s="2">
        <f>O9/'Output-Calculation-sheet'!O8*'Output-Calculation-sheet'!O107</f>
        <v>3171447000.8553882</v>
      </c>
      <c r="P130" s="2">
        <f>P9/'Output-Calculation-sheet'!P8*'Output-Calculation-sheet'!P107</f>
        <v>3139179829.38449</v>
      </c>
      <c r="Q130" s="2">
        <f>Q9/'Output-Calculation-sheet'!Q8*'Output-Calculation-sheet'!Q107</f>
        <v>3088446600.1552153</v>
      </c>
      <c r="R130" s="2">
        <f>R9/'Output-Calculation-sheet'!R8*'Output-Calculation-sheet'!R107</f>
        <v>2971227315.544013</v>
      </c>
      <c r="S130" s="2">
        <f>S9/'Output-Calculation-sheet'!S8*'Output-Calculation-sheet'!S107</f>
        <v>1974829623.8679316</v>
      </c>
      <c r="T130" s="2">
        <f>T9/'Output-Calculation-sheet'!T8*'Output-Calculation-sheet'!T107</f>
        <v>1092197684.5012929</v>
      </c>
      <c r="U130" s="2">
        <f>U9/'Output-Calculation-sheet'!U8*'Output-Calculation-sheet'!U107</f>
        <v>951266552.88454735</v>
      </c>
      <c r="V130" s="2">
        <f>V9/'Output-Calculation-sheet'!V8*'Output-Calculation-sheet'!V107</f>
        <v>732494270.85218</v>
      </c>
      <c r="W130" s="2">
        <f>W9/'Output-Calculation-sheet'!W8*'Output-Calculation-sheet'!W107</f>
        <v>634177868.0106144</v>
      </c>
      <c r="X130" s="2">
        <f>X9/'Output-Calculation-sheet'!X8*'Output-Calculation-sheet'!X107</f>
        <v>380506646.14647746</v>
      </c>
      <c r="Y130" s="2">
        <f>Y9/'Output-Calculation-sheet'!Y8*'Output-Calculation-sheet'!Y107</f>
        <v>370038980.65008837</v>
      </c>
      <c r="AA130" s="2">
        <f t="shared" si="11"/>
        <v>137908.00188598628</v>
      </c>
    </row>
    <row r="131" spans="1:27" x14ac:dyDescent="0.25">
      <c r="A131" s="2">
        <v>2033</v>
      </c>
      <c r="B131" s="2">
        <f>B10/'Output-Calculation-sheet'!B9*'Output-Calculation-sheet'!B108</f>
        <v>21158858998.898148</v>
      </c>
      <c r="C131" s="2">
        <f>C10/'Output-Calculation-sheet'!C9*'Output-Calculation-sheet'!C108</f>
        <v>12382044372.634005</v>
      </c>
      <c r="D131" s="2">
        <f>D10/'Output-Calculation-sheet'!D9*'Output-Calculation-sheet'!D108</f>
        <v>8886964433.099453</v>
      </c>
      <c r="E131" s="2">
        <f>E10/'Output-Calculation-sheet'!E9*'Output-Calculation-sheet'!E108</f>
        <v>7050901701.1128721</v>
      </c>
      <c r="F131" s="2">
        <f>F10/'Output-Calculation-sheet'!F9*'Output-Calculation-sheet'!F108</f>
        <v>4538918444.1645002</v>
      </c>
      <c r="G131" s="2">
        <f>G10/'Output-Calculation-sheet'!G9*'Output-Calculation-sheet'!G108</f>
        <v>3189168666.1244612</v>
      </c>
      <c r="H131" s="2">
        <f>H10/'Output-Calculation-sheet'!H9*'Output-Calculation-sheet'!H108</f>
        <v>3110911611.8779631</v>
      </c>
      <c r="I131" s="2">
        <f>I10/'Output-Calculation-sheet'!I9*'Output-Calculation-sheet'!I108</f>
        <v>2905584817.9836826</v>
      </c>
      <c r="J131" s="2">
        <f>J10/'Output-Calculation-sheet'!J9*'Output-Calculation-sheet'!J108</f>
        <v>2828095046.511621</v>
      </c>
      <c r="K131" s="2">
        <f>K10/'Output-Calculation-sheet'!K9*'Output-Calculation-sheet'!K108</f>
        <v>2800982133.4269104</v>
      </c>
      <c r="L131" s="2">
        <f>L10/'Output-Calculation-sheet'!L9*'Output-Calculation-sheet'!L108</f>
        <v>2246985163.8132195</v>
      </c>
      <c r="M131" s="2">
        <f>M10/'Output-Calculation-sheet'!M9*'Output-Calculation-sheet'!M108</f>
        <v>2146257824.3840518</v>
      </c>
      <c r="N131" s="2">
        <f>N10/'Output-Calculation-sheet'!N9*'Output-Calculation-sheet'!N108</f>
        <v>2106545447.8958457</v>
      </c>
      <c r="O131" s="2">
        <f>O10/'Output-Calculation-sheet'!O9*'Output-Calculation-sheet'!O108</f>
        <v>2732594754.3368111</v>
      </c>
      <c r="P131" s="2">
        <f>P10/'Output-Calculation-sheet'!P9*'Output-Calculation-sheet'!P108</f>
        <v>1917685994.3286526</v>
      </c>
      <c r="Q131" s="2">
        <f>Q10/'Output-Calculation-sheet'!Q9*'Output-Calculation-sheet'!Q108</f>
        <v>1886692705.0361457</v>
      </c>
      <c r="R131" s="2">
        <f>R10/'Output-Calculation-sheet'!R9*'Output-Calculation-sheet'!R108</f>
        <v>1815084463.6900551</v>
      </c>
      <c r="S131" s="2">
        <f>S10/'Output-Calculation-sheet'!S9*'Output-Calculation-sheet'!S108</f>
        <v>1206398585.0767772</v>
      </c>
      <c r="T131" s="2">
        <f>T10/'Output-Calculation-sheet'!T9*'Output-Calculation-sheet'!T108</f>
        <v>667209309.41025829</v>
      </c>
      <c r="U131" s="2">
        <f>U10/'Output-Calculation-sheet'!U9*'Output-Calculation-sheet'!U108</f>
        <v>581116625.35527039</v>
      </c>
      <c r="V131" s="2">
        <f>V10/'Output-Calculation-sheet'!V9*'Output-Calculation-sheet'!V108</f>
        <v>447471423.73390043</v>
      </c>
      <c r="W131" s="2">
        <f>W10/'Output-Calculation-sheet'!W9*'Output-Calculation-sheet'!W108</f>
        <v>387411083.45152992</v>
      </c>
      <c r="X131" s="2">
        <f>X10/'Output-Calculation-sheet'!X9*'Output-Calculation-sheet'!X108</f>
        <v>232446604.66608274</v>
      </c>
      <c r="Y131" s="2">
        <f>Y10/'Output-Calculation-sheet'!Y9*'Output-Calculation-sheet'!Y108</f>
        <v>226052043.21659812</v>
      </c>
      <c r="AA131" s="2">
        <f t="shared" si="11"/>
        <v>87452.382254228796</v>
      </c>
    </row>
    <row r="132" spans="1:27" x14ac:dyDescent="0.25">
      <c r="A132" s="2">
        <v>2034</v>
      </c>
      <c r="B132" s="2">
        <f>B11/'Output-Calculation-sheet'!B10*'Output-Calculation-sheet'!B109</f>
        <v>8895362971.0726738</v>
      </c>
      <c r="C132" s="2">
        <f>C11/'Output-Calculation-sheet'!C10*'Output-Calculation-sheet'!C109</f>
        <v>10046350737.466761</v>
      </c>
      <c r="D132" s="2">
        <f>D11/'Output-Calculation-sheet'!D10*'Output-Calculation-sheet'!D109</f>
        <v>3736154880.6875391</v>
      </c>
      <c r="E132" s="2">
        <f>E11/'Output-Calculation-sheet'!E10*'Output-Calculation-sheet'!E109</f>
        <v>2964259533.0728641</v>
      </c>
      <c r="F132" s="2">
        <f>F11/'Output-Calculation-sheet'!F10*'Output-Calculation-sheet'!F109</f>
        <v>1908200232.8625984</v>
      </c>
      <c r="G132" s="2">
        <f>G11/'Output-Calculation-sheet'!G10*'Output-Calculation-sheet'!G109</f>
        <v>1340754062.284698</v>
      </c>
      <c r="H132" s="2">
        <f>H11/'Output-Calculation-sheet'!H10*'Output-Calculation-sheet'!H109</f>
        <v>1307853916.1311591</v>
      </c>
      <c r="I132" s="2">
        <f>I11/'Output-Calculation-sheet'!I10*'Output-Calculation-sheet'!I109</f>
        <v>1221532394.4784932</v>
      </c>
      <c r="J132" s="2">
        <f>J11/'Output-Calculation-sheet'!J10*'Output-Calculation-sheet'!J109</f>
        <v>1188955220.5253642</v>
      </c>
      <c r="K132" s="2">
        <f>K11/'Output-Calculation-sheet'!K10*'Output-Calculation-sheet'!K109</f>
        <v>1177557091.1307969</v>
      </c>
      <c r="L132" s="2">
        <f>L11/'Output-Calculation-sheet'!L10*'Output-Calculation-sheet'!L109</f>
        <v>944651682.34575713</v>
      </c>
      <c r="M132" s="2">
        <f>M11/'Output-Calculation-sheet'!M10*'Output-Calculation-sheet'!M109</f>
        <v>902305192.44914436</v>
      </c>
      <c r="N132" s="2">
        <f>N11/'Output-Calculation-sheet'!N10*'Output-Calculation-sheet'!N109</f>
        <v>885610043.40927362</v>
      </c>
      <c r="O132" s="2">
        <f>O11/'Output-Calculation-sheet'!O10*'Output-Calculation-sheet'!O109</f>
        <v>2198659725.3487549</v>
      </c>
      <c r="P132" s="2">
        <f>P11/'Output-Calculation-sheet'!P10*'Output-Calculation-sheet'!P109</f>
        <v>806211381.57157922</v>
      </c>
      <c r="Q132" s="2">
        <f>Q11/'Output-Calculation-sheet'!Q10*'Output-Calculation-sheet'!Q109</f>
        <v>793181670.36205983</v>
      </c>
      <c r="R132" s="2">
        <f>R11/'Output-Calculation-sheet'!R10*'Output-Calculation-sheet'!R109</f>
        <v>763077191.24226916</v>
      </c>
      <c r="S132" s="2">
        <f>S11/'Output-Calculation-sheet'!S10*'Output-Calculation-sheet'!S109</f>
        <v>507180230.73516077</v>
      </c>
      <c r="T132" s="2">
        <f>T11/'Output-Calculation-sheet'!T10*'Output-Calculation-sheet'!T109</f>
        <v>280500602.91322112</v>
      </c>
      <c r="U132" s="2">
        <f>U11/'Output-Calculation-sheet'!U10*'Output-Calculation-sheet'!U109</f>
        <v>244306450.45577645</v>
      </c>
      <c r="V132" s="2">
        <f>V11/'Output-Calculation-sheet'!V10*'Output-Calculation-sheet'!V109</f>
        <v>188120852.96968526</v>
      </c>
      <c r="W132" s="2">
        <f>W11/'Output-Calculation-sheet'!W10*'Output-Calculation-sheet'!W109</f>
        <v>162870966.96054122</v>
      </c>
      <c r="X132" s="2">
        <f>X11/'Output-Calculation-sheet'!X10*'Output-Calculation-sheet'!X109</f>
        <v>110342244.56144062</v>
      </c>
      <c r="Y132" s="2">
        <f>Y11/'Output-Calculation-sheet'!Y10*'Output-Calculation-sheet'!Y109</f>
        <v>95034246.823113322</v>
      </c>
      <c r="AA132" s="2">
        <f t="shared" si="11"/>
        <v>42669.033521860736</v>
      </c>
    </row>
    <row r="133" spans="1:27" x14ac:dyDescent="0.25">
      <c r="A133" s="2">
        <v>2035</v>
      </c>
      <c r="B133" s="2">
        <f>B12/'Output-Calculation-sheet'!B11*'Output-Calculation-sheet'!B110</f>
        <v>4567050018.9673662</v>
      </c>
      <c r="C133" s="2">
        <f>C12/'Output-Calculation-sheet'!C11*'Output-Calculation-sheet'!C110</f>
        <v>7336608307.8216009</v>
      </c>
      <c r="D133" s="2">
        <f>D12/'Output-Calculation-sheet'!D11*'Output-Calculation-sheet'!D110</f>
        <v>1993474396.8411682</v>
      </c>
      <c r="E133" s="2">
        <f>E12/'Output-Calculation-sheet'!E11*'Output-Calculation-sheet'!E110</f>
        <v>955083308.82658076</v>
      </c>
      <c r="F133" s="2">
        <f>F12/'Output-Calculation-sheet'!F11*'Output-Calculation-sheet'!F110</f>
        <v>728790230.40510607</v>
      </c>
      <c r="G133" s="2">
        <f>G12/'Output-Calculation-sheet'!G11*'Output-Calculation-sheet'!G110</f>
        <v>680377544.2668997</v>
      </c>
      <c r="H133" s="2">
        <f>H12/'Output-Calculation-sheet'!H11*'Output-Calculation-sheet'!H110</f>
        <v>945254709.98179483</v>
      </c>
      <c r="I133" s="2">
        <f>I12/'Output-Calculation-sheet'!I11*'Output-Calculation-sheet'!I110</f>
        <v>562288625.94518697</v>
      </c>
      <c r="J133" s="2">
        <f>J12/'Output-Calculation-sheet'!J11*'Output-Calculation-sheet'!J110</f>
        <v>547602561.20947075</v>
      </c>
      <c r="K133" s="2">
        <f>K12/'Output-Calculation-sheet'!K11*'Output-Calculation-sheet'!K110</f>
        <v>473795478.52706182</v>
      </c>
      <c r="L133" s="2">
        <f>L12/'Output-Calculation-sheet'!L11*'Output-Calculation-sheet'!L110</f>
        <v>247640319.93561342</v>
      </c>
      <c r="M133" s="2">
        <f>M12/'Output-Calculation-sheet'!M11*'Output-Calculation-sheet'!M110</f>
        <v>502476912.88319665</v>
      </c>
      <c r="N133" s="2">
        <f>N12/'Output-Calculation-sheet'!N11*'Output-Calculation-sheet'!N110</f>
        <v>452790305.02031928</v>
      </c>
      <c r="O133" s="2">
        <f>O12/'Output-Calculation-sheet'!O11*'Output-Calculation-sheet'!O110</f>
        <v>1611324566.1243889</v>
      </c>
      <c r="P133" s="2">
        <f>P12/'Output-Calculation-sheet'!P11*'Output-Calculation-sheet'!P110</f>
        <v>333668922.32553327</v>
      </c>
      <c r="Q133" s="2">
        <f>Q12/'Output-Calculation-sheet'!Q11*'Output-Calculation-sheet'!Q110</f>
        <v>460475629.31208777</v>
      </c>
      <c r="R133" s="2">
        <f>R12/'Output-Calculation-sheet'!R11*'Output-Calculation-sheet'!R110</f>
        <v>281831272.97045201</v>
      </c>
      <c r="S133" s="2">
        <f>S12/'Output-Calculation-sheet'!S11*'Output-Calculation-sheet'!S110</f>
        <v>276436871.13025206</v>
      </c>
      <c r="T133" s="2">
        <f>T12/'Output-Calculation-sheet'!T11*'Output-Calculation-sheet'!T110</f>
        <v>72969652.337830499</v>
      </c>
      <c r="U133" s="2">
        <f>U12/'Output-Calculation-sheet'!U11*'Output-Calculation-sheet'!U110</f>
        <v>143757469.71569288</v>
      </c>
      <c r="V133" s="2">
        <f>V12/'Output-Calculation-sheet'!V11*'Output-Calculation-sheet'!V110</f>
        <v>31436972.726120923</v>
      </c>
      <c r="W133" s="2">
        <f>W12/'Output-Calculation-sheet'!W11*'Output-Calculation-sheet'!W110</f>
        <v>38987959.890736081</v>
      </c>
      <c r="X133" s="2">
        <f>X12/'Output-Calculation-sheet'!X11*'Output-Calculation-sheet'!X110</f>
        <v>79118284.549383327</v>
      </c>
      <c r="Y133" s="2">
        <f>Y12/'Output-Calculation-sheet'!Y11*'Output-Calculation-sheet'!Y110</f>
        <v>34173389.019702695</v>
      </c>
      <c r="AA133" s="2">
        <f t="shared" si="11"/>
        <v>23357.413710733552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1047.2129563981619</v>
      </c>
      <c r="C19" s="2">
        <f>C8/'Output-Calculation-sheet'!C7*'Output-Calculation-sheet'!C25</f>
        <v>15784.889740740678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4709.1418787766734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3264.6970081292479</v>
      </c>
      <c r="N19" s="2">
        <f>N8/'Output-Calculation-sheet'!N7*'Output-Calculation-sheet'!N25</f>
        <v>1117.7120907340188</v>
      </c>
      <c r="O19" s="2">
        <f>O8/'Output-Calculation-sheet'!O7*'Output-Calculation-sheet'!O25</f>
        <v>3053.1170240854813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398.8173183738827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364.76471135103651</v>
      </c>
      <c r="Y19" s="2">
        <f>Y8/'Output-Calculation-sheet'!Y7*'Output-Calculation-sheet'!Y25</f>
        <v>0</v>
      </c>
      <c r="AA19" s="2">
        <f t="shared" si="0"/>
        <v>29.740352728589183</v>
      </c>
    </row>
    <row r="20" spans="1:27" x14ac:dyDescent="0.25">
      <c r="A20" s="2">
        <v>2032</v>
      </c>
      <c r="B20" s="2">
        <f>B9/'Output-Calculation-sheet'!B8*'Output-Calculation-sheet'!B26</f>
        <v>5625.6617218925157</v>
      </c>
      <c r="C20" s="2">
        <f>C9/'Output-Calculation-sheet'!C8*'Output-Calculation-sheet'!C26</f>
        <v>20601.971017946016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6112.9783327460873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4253.1567403042209</v>
      </c>
      <c r="N20" s="2">
        <f>N9/'Output-Calculation-sheet'!N8*'Output-Calculation-sheet'!N26</f>
        <v>1919.21719340959</v>
      </c>
      <c r="O20" s="2">
        <f>O9/'Output-Calculation-sheet'!O8*'Output-Calculation-sheet'!O26</f>
        <v>4014.2042700195016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697.4956337172224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475.83778933820469</v>
      </c>
      <c r="Y20" s="2">
        <f>Y9/'Output-Calculation-sheet'!Y8*'Output-Calculation-sheet'!Y26</f>
        <v>0</v>
      </c>
      <c r="AA20" s="2">
        <f t="shared" si="0"/>
        <v>43.700522699373352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23283.755954645512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7164.5565257934277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4976.3614482964476</v>
      </c>
      <c r="N21" s="2">
        <f>N10/'Output-Calculation-sheet'!N9*'Output-Calculation-sheet'!N27</f>
        <v>2721.9192750747866</v>
      </c>
      <c r="O21" s="2">
        <f>O10/'Output-Calculation-sheet'!O9*'Output-Calculation-sheet'!O27</f>
        <v>4107.3224709408696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1184.9427319047788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585.19080468563232</v>
      </c>
      <c r="Y21" s="2">
        <f>Y10/'Output-Calculation-sheet'!Y9*'Output-Calculation-sheet'!Y27</f>
        <v>0</v>
      </c>
      <c r="AA21" s="2">
        <f t="shared" si="0"/>
        <v>56.602326625102734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21950.820283504821</v>
      </c>
      <c r="D22" s="2">
        <f>D11/'Output-Calculation-sheet'!D10*'Output-Calculation-sheet'!D28</f>
        <v>0</v>
      </c>
      <c r="E22" s="2">
        <f>E11/'Output-Calculation-sheet'!E10*'Output-Calculation-sheet'!E28</f>
        <v>1081.6900560400829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8647.0060632049826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655.7194783600396</v>
      </c>
      <c r="M22" s="2">
        <f>M11/'Output-Calculation-sheet'!M10*'Output-Calculation-sheet'!M28</f>
        <v>5958.6471786933917</v>
      </c>
      <c r="N22" s="2">
        <f>N11/'Output-Calculation-sheet'!N10*'Output-Calculation-sheet'!N28</f>
        <v>3429.2346429308195</v>
      </c>
      <c r="O22" s="2">
        <f>O11/'Output-Calculation-sheet'!O10*'Output-Calculation-sheet'!O28</f>
        <v>3928.352539546951</v>
      </c>
      <c r="P22" s="2">
        <f>P11/'Output-Calculation-sheet'!P10*'Output-Calculation-sheet'!P28</f>
        <v>0</v>
      </c>
      <c r="Q22" s="2">
        <f>Q11/'Output-Calculation-sheet'!Q10*'Output-Calculation-sheet'!Q28</f>
        <v>1286.098696306173</v>
      </c>
      <c r="R22" s="2">
        <f>R11/'Output-Calculation-sheet'!R10*'Output-Calculation-sheet'!R28</f>
        <v>0</v>
      </c>
      <c r="S22" s="2">
        <f>S11/'Output-Calculation-sheet'!S10*'Output-Calculation-sheet'!S28</f>
        <v>1739.1091942287612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601.65987435215504</v>
      </c>
      <c r="Y22" s="2">
        <f>Y11/'Output-Calculation-sheet'!Y10*'Output-Calculation-sheet'!Y28</f>
        <v>59.8503854109332</v>
      </c>
      <c r="AA22" s="2">
        <f t="shared" si="0"/>
        <v>70.865719963420261</v>
      </c>
    </row>
    <row r="23" spans="1:27" x14ac:dyDescent="0.25">
      <c r="A23" s="2">
        <v>2035</v>
      </c>
      <c r="B23" s="2">
        <f>B12/'Output-Calculation-sheet'!B11*'Output-Calculation-sheet'!B29</f>
        <v>22770.08010251505</v>
      </c>
      <c r="C23" s="2">
        <f>C12/'Output-Calculation-sheet'!C11*'Output-Calculation-sheet'!C29</f>
        <v>19473.961324475375</v>
      </c>
      <c r="D23" s="2">
        <f>D12/'Output-Calculation-sheet'!D11*'Output-Calculation-sheet'!D29</f>
        <v>0</v>
      </c>
      <c r="E23" s="2">
        <f>E12/'Output-Calculation-sheet'!E11*'Output-Calculation-sheet'!E29</f>
        <v>4347.8673029979427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7555.6266436528267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1271.6375628196629</v>
      </c>
      <c r="M23" s="2">
        <f>M12/'Output-Calculation-sheet'!M11*'Output-Calculation-sheet'!M29</f>
        <v>5716.7142379415845</v>
      </c>
      <c r="N23" s="2">
        <f>N12/'Output-Calculation-sheet'!N11*'Output-Calculation-sheet'!N29</f>
        <v>3341.3816258679062</v>
      </c>
      <c r="O23" s="2">
        <f>O12/'Output-Calculation-sheet'!O11*'Output-Calculation-sheet'!O29</f>
        <v>3483.3987104363255</v>
      </c>
      <c r="P23" s="2">
        <f>P12/'Output-Calculation-sheet'!P11*'Output-Calculation-sheet'!P29</f>
        <v>459.00051680166007</v>
      </c>
      <c r="Q23" s="2">
        <f>Q12/'Output-Calculation-sheet'!Q11*'Output-Calculation-sheet'!Q29</f>
        <v>1462.3035713391741</v>
      </c>
      <c r="R23" s="2">
        <f>R12/'Output-Calculation-sheet'!R11*'Output-Calculation-sheet'!R29</f>
        <v>0</v>
      </c>
      <c r="S23" s="2">
        <f>S12/'Output-Calculation-sheet'!S11*'Output-Calculation-sheet'!S29</f>
        <v>1736.0395154613491</v>
      </c>
      <c r="T23" s="2">
        <f>T12/'Output-Calculation-sheet'!T11*'Output-Calculation-sheet'!T29</f>
        <v>0</v>
      </c>
      <c r="U23" s="2">
        <f>U12/'Output-Calculation-sheet'!U11*'Output-Calculation-sheet'!U29</f>
        <v>100.74608468812676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541.47125352273395</v>
      </c>
      <c r="Y23" s="2">
        <f>Y12/'Output-Calculation-sheet'!Y11*'Output-Calculation-sheet'!Y29</f>
        <v>173.52502502881208</v>
      </c>
      <c r="AA23" s="2">
        <f t="shared" si="0"/>
        <v>72.433753477548521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18252.581646706643</v>
      </c>
      <c r="C30" s="2">
        <f>C8/'Output-Calculation-sheet'!C7*'Output-Calculation-sheet'!C16</f>
        <v>0</v>
      </c>
      <c r="D30" s="2">
        <f>D8/'Output-Calculation-sheet'!D7*'Output-Calculation-sheet'!D16</f>
        <v>3073.493456472047</v>
      </c>
      <c r="E30" s="2">
        <f>E8/'Output-Calculation-sheet'!E7*'Output-Calculation-sheet'!E16</f>
        <v>3306.9053133670977</v>
      </c>
      <c r="F30" s="2">
        <f>F8/'Output-Calculation-sheet'!F7*'Output-Calculation-sheet'!F16</f>
        <v>1668.3513275369583</v>
      </c>
      <c r="G30" s="2">
        <f>G8/'Output-Calculation-sheet'!G7*'Output-Calculation-sheet'!G16</f>
        <v>1092.5719667543706</v>
      </c>
      <c r="H30" s="2">
        <f>H8/'Output-Calculation-sheet'!H7*'Output-Calculation-sheet'!H16</f>
        <v>0</v>
      </c>
      <c r="I30" s="2">
        <f>I8/'Output-Calculation-sheet'!I7*'Output-Calculation-sheet'!I16</f>
        <v>1065.0940753551811</v>
      </c>
      <c r="J30" s="2">
        <f>J8/'Output-Calculation-sheet'!J7*'Output-Calculation-sheet'!J16</f>
        <v>948.13852741278652</v>
      </c>
      <c r="K30" s="2">
        <f>K8/'Output-Calculation-sheet'!K7*'Output-Calculation-sheet'!K16</f>
        <v>1265.9461611124664</v>
      </c>
      <c r="L30" s="2">
        <f>L8/'Output-Calculation-sheet'!L7*'Output-Calculation-sheet'!L16</f>
        <v>1069.3129305292755</v>
      </c>
      <c r="M30" s="2">
        <f>M8/'Output-Calculation-sheet'!M7*'Output-Calculation-sheet'!M16</f>
        <v>0</v>
      </c>
      <c r="N30" s="2">
        <f>N8/'Output-Calculation-sheet'!N7*'Output-Calculation-sheet'!N16</f>
        <v>1518.8689295154354</v>
      </c>
      <c r="O30" s="2">
        <f>O8/'Output-Calculation-sheet'!O7*'Output-Calculation-sheet'!O16</f>
        <v>0</v>
      </c>
      <c r="P30" s="2">
        <f>P8/'Output-Calculation-sheet'!P7*'Output-Calculation-sheet'!P16</f>
        <v>1365.1095557789381</v>
      </c>
      <c r="Q30" s="2">
        <f>Q8/'Output-Calculation-sheet'!Q7*'Output-Calculation-sheet'!Q16</f>
        <v>1501.1696705003399</v>
      </c>
      <c r="R30" s="2">
        <f>R8/'Output-Calculation-sheet'!R7*'Output-Calculation-sheet'!R16</f>
        <v>952.49868059251207</v>
      </c>
      <c r="S30" s="2">
        <f>S8/'Output-Calculation-sheet'!S7*'Output-Calculation-sheet'!S16</f>
        <v>957.93436899190056</v>
      </c>
      <c r="T30" s="2">
        <f>T8/'Output-Calculation-sheet'!T7*'Output-Calculation-sheet'!T16</f>
        <v>285.92641246857642</v>
      </c>
      <c r="U30" s="2">
        <f>U8/'Output-Calculation-sheet'!U7*'Output-Calculation-sheet'!U16</f>
        <v>285.4153262567267</v>
      </c>
      <c r="V30" s="2">
        <f>V8/'Output-Calculation-sheet'!V7*'Output-Calculation-sheet'!V16</f>
        <v>222.13332311637134</v>
      </c>
      <c r="W30" s="2">
        <f>W8/'Output-Calculation-sheet'!W7*'Output-Calculation-sheet'!W16</f>
        <v>134.73505877420587</v>
      </c>
      <c r="X30" s="2">
        <f>X8/'Output-Calculation-sheet'!X7*'Output-Calculation-sheet'!X16</f>
        <v>0</v>
      </c>
      <c r="Y30" s="2">
        <f>Y8/'Output-Calculation-sheet'!Y7*'Output-Calculation-sheet'!Y16</f>
        <v>114.03790958097676</v>
      </c>
      <c r="AA30" s="2">
        <f t="shared" si="1"/>
        <v>39.080224640822806</v>
      </c>
    </row>
    <row r="31" spans="1:27" x14ac:dyDescent="0.25">
      <c r="A31" s="2">
        <v>2032</v>
      </c>
      <c r="B31" s="2">
        <f>B9/'Output-Calculation-sheet'!B8*'Output-Calculation-sheet'!B17</f>
        <v>23820.910378757246</v>
      </c>
      <c r="C31" s="2">
        <f>C9/'Output-Calculation-sheet'!C8*'Output-Calculation-sheet'!C17</f>
        <v>0</v>
      </c>
      <c r="D31" s="2">
        <f>D9/'Output-Calculation-sheet'!D8*'Output-Calculation-sheet'!D17</f>
        <v>3995.0794304837932</v>
      </c>
      <c r="E31" s="2">
        <f>E9/'Output-Calculation-sheet'!E8*'Output-Calculation-sheet'!E17</f>
        <v>4695.6700299701397</v>
      </c>
      <c r="F31" s="2">
        <f>F9/'Output-Calculation-sheet'!F8*'Output-Calculation-sheet'!F17</f>
        <v>2168.658731288846</v>
      </c>
      <c r="G31" s="2">
        <f>G9/'Output-Calculation-sheet'!G8*'Output-Calculation-sheet'!G17</f>
        <v>1420.2007359673466</v>
      </c>
      <c r="H31" s="2">
        <f>H9/'Output-Calculation-sheet'!H8*'Output-Calculation-sheet'!H17</f>
        <v>0</v>
      </c>
      <c r="I31" s="2">
        <f>I9/'Output-Calculation-sheet'!I8*'Output-Calculation-sheet'!I17</f>
        <v>1384.4895539035672</v>
      </c>
      <c r="J31" s="2">
        <f>J9/'Output-Calculation-sheet'!J8*'Output-Calculation-sheet'!J17</f>
        <v>1232.4625630093094</v>
      </c>
      <c r="K31" s="2">
        <f>K9/'Output-Calculation-sheet'!K8*'Output-Calculation-sheet'!K17</f>
        <v>1754.6994531081657</v>
      </c>
      <c r="L31" s="2">
        <f>L9/'Output-Calculation-sheet'!L8*'Output-Calculation-sheet'!L17</f>
        <v>1496.4501651365181</v>
      </c>
      <c r="M31" s="2">
        <f>M9/'Output-Calculation-sheet'!M8*'Output-Calculation-sheet'!M17</f>
        <v>0</v>
      </c>
      <c r="N31" s="2">
        <f>N9/'Output-Calculation-sheet'!N8*'Output-Calculation-sheet'!N17</f>
        <v>1626.7943803752692</v>
      </c>
      <c r="O31" s="2">
        <f>O9/'Output-Calculation-sheet'!O8*'Output-Calculation-sheet'!O17</f>
        <v>0</v>
      </c>
      <c r="P31" s="2">
        <f>P9/'Output-Calculation-sheet'!P8*'Output-Calculation-sheet'!P17</f>
        <v>2019.1043225361034</v>
      </c>
      <c r="Q31" s="2">
        <f>Q9/'Output-Calculation-sheet'!Q8*'Output-Calculation-sheet'!Q17</f>
        <v>2152.5507169694793</v>
      </c>
      <c r="R31" s="2">
        <f>R9/'Output-Calculation-sheet'!R8*'Output-Calculation-sheet'!R17</f>
        <v>1408.312440027898</v>
      </c>
      <c r="S31" s="2">
        <f>S9/'Output-Calculation-sheet'!S8*'Output-Calculation-sheet'!S17</f>
        <v>1211.7903568082518</v>
      </c>
      <c r="T31" s="2">
        <f>T9/'Output-Calculation-sheet'!T8*'Output-Calculation-sheet'!T17</f>
        <v>382.15586983512566</v>
      </c>
      <c r="U31" s="2">
        <f>U9/'Output-Calculation-sheet'!U8*'Output-Calculation-sheet'!U17</f>
        <v>439.21892632867451</v>
      </c>
      <c r="V31" s="2">
        <f>V9/'Output-Calculation-sheet'!V8*'Output-Calculation-sheet'!V17</f>
        <v>314.59167646759425</v>
      </c>
      <c r="W31" s="2">
        <f>W9/'Output-Calculation-sheet'!W8*'Output-Calculation-sheet'!W17</f>
        <v>175.1406088527884</v>
      </c>
      <c r="X31" s="2">
        <f>X9/'Output-Calculation-sheet'!X8*'Output-Calculation-sheet'!X17</f>
        <v>0</v>
      </c>
      <c r="Y31" s="2">
        <f>Y9/'Output-Calculation-sheet'!Y8*'Output-Calculation-sheet'!Y17</f>
        <v>169.22377281223285</v>
      </c>
      <c r="AA31" s="2">
        <f t="shared" si="1"/>
        <v>51.867504112638358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1531.4932410090103</v>
      </c>
      <c r="O32" s="2">
        <f>O10/'Output-Calculation-sheet'!O9*'Output-Calculation-sheet'!O18</f>
        <v>0</v>
      </c>
      <c r="P32" s="2">
        <f>P10/'Output-Calculation-sheet'!P9*'Output-Calculation-sheet'!P18</f>
        <v>2465.3946770423204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1772.8758390643229</v>
      </c>
      <c r="S32" s="2">
        <f>S10/'Output-Calculation-sheet'!S9*'Output-Calculation-sheet'!S18</f>
        <v>1158.6806939294615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572.32496865088251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60.386807552982418</v>
      </c>
    </row>
    <row r="33" spans="1:27" x14ac:dyDescent="0.25">
      <c r="A33" s="2">
        <v>2034</v>
      </c>
      <c r="B33" s="2">
        <f>B11/'Output-Calculation-sheet'!B10*'Output-Calculation-sheet'!B19</f>
        <v>21713.932572737165</v>
      </c>
      <c r="C33" s="2">
        <f>C11/'Output-Calculation-sheet'!C10*'Output-Calculation-sheet'!C19</f>
        <v>0</v>
      </c>
      <c r="D33" s="2">
        <f>D11/'Output-Calculation-sheet'!D10*'Output-Calculation-sheet'!D19</f>
        <v>6476.3846336198758</v>
      </c>
      <c r="E33" s="2">
        <f>E11/'Output-Calculation-sheet'!E10*'Output-Calculation-sheet'!E19</f>
        <v>8045.5098032370361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2204.8470692995652</v>
      </c>
      <c r="H33" s="2">
        <f>H11/'Output-Calculation-sheet'!H10*'Output-Calculation-sheet'!H19</f>
        <v>0</v>
      </c>
      <c r="I33" s="2">
        <f>I11/'Output-Calculation-sheet'!I10*'Output-Calculation-sheet'!I19</f>
        <v>2405.6575303421123</v>
      </c>
      <c r="J33" s="2">
        <f>J11/'Output-Calculation-sheet'!J10*'Output-Calculation-sheet'!J19</f>
        <v>2038.1761727653827</v>
      </c>
      <c r="K33" s="2">
        <f>K11/'Output-Calculation-sheet'!K10*'Output-Calculation-sheet'!K19</f>
        <v>2822.2755296417204</v>
      </c>
      <c r="L33" s="2">
        <f>L11/'Output-Calculation-sheet'!L10*'Output-Calculation-sheet'!L19</f>
        <v>2297.2789032108317</v>
      </c>
      <c r="M33" s="2">
        <f>M11/'Output-Calculation-sheet'!M10*'Output-Calculation-sheet'!M19</f>
        <v>0</v>
      </c>
      <c r="N33" s="2">
        <f>N11/'Output-Calculation-sheet'!N10*'Output-Calculation-sheet'!N19</f>
        <v>1297.9883977722479</v>
      </c>
      <c r="O33" s="2">
        <f>O11/'Output-Calculation-sheet'!O10*'Output-Calculation-sheet'!O19</f>
        <v>0</v>
      </c>
      <c r="P33" s="2">
        <f>P11/'Output-Calculation-sheet'!P10*'Output-Calculation-sheet'!P19</f>
        <v>2856.0346626925129</v>
      </c>
      <c r="Q33" s="2">
        <f>Q11/'Output-Calculation-sheet'!Q10*'Output-Calculation-sheet'!Q19</f>
        <v>2286.7932189221665</v>
      </c>
      <c r="R33" s="2">
        <f>R11/'Output-Calculation-sheet'!R10*'Output-Calculation-sheet'!R19</f>
        <v>2039.0751887698416</v>
      </c>
      <c r="S33" s="2">
        <f>S11/'Output-Calculation-sheet'!S10*'Output-Calculation-sheet'!S19</f>
        <v>953.0785352337839</v>
      </c>
      <c r="T33" s="2">
        <f>T11/'Output-Calculation-sheet'!T10*'Output-Calculation-sheet'!T19</f>
        <v>598.34945339047408</v>
      </c>
      <c r="U33" s="2">
        <f>U11/'Output-Calculation-sheet'!U10*'Output-Calculation-sheet'!U19</f>
        <v>688.65337033308299</v>
      </c>
      <c r="V33" s="2">
        <f>V11/'Output-Calculation-sheet'!V10*'Output-Calculation-sheet'!V19</f>
        <v>469.84884489265704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92.401173077309352</v>
      </c>
      <c r="Y33" s="2">
        <f>Y11/'Output-Calculation-sheet'!Y10*'Output-Calculation-sheet'!Y19</f>
        <v>263.34169580810607</v>
      </c>
      <c r="AA33" s="2">
        <f t="shared" si="1"/>
        <v>63.523414158572336</v>
      </c>
    </row>
    <row r="34" spans="1:27" x14ac:dyDescent="0.25">
      <c r="A34" s="2">
        <v>2035</v>
      </c>
      <c r="B34" s="2">
        <f>B12/'Output-Calculation-sheet'!B11*'Output-Calculation-sheet'!B20</f>
        <v>17653.526783144542</v>
      </c>
      <c r="C34" s="2">
        <f>C12/'Output-Calculation-sheet'!C11*'Output-Calculation-sheet'!C20</f>
        <v>0</v>
      </c>
      <c r="D34" s="2">
        <f>D12/'Output-Calculation-sheet'!D11*'Output-Calculation-sheet'!D20</f>
        <v>6099.3000607161321</v>
      </c>
      <c r="E34" s="2">
        <f>E12/'Output-Calculation-sheet'!E11*'Output-Calculation-sheet'!E20</f>
        <v>5924.8814643499609</v>
      </c>
      <c r="F34" s="2">
        <f>F12/'Output-Calculation-sheet'!F11*'Output-Calculation-sheet'!F20</f>
        <v>3881.2799771171963</v>
      </c>
      <c r="G34" s="2">
        <f>G12/'Output-Calculation-sheet'!G11*'Output-Calculation-sheet'!G20</f>
        <v>2059.4289442293534</v>
      </c>
      <c r="H34" s="2">
        <f>H12/'Output-Calculation-sheet'!H11*'Output-Calculation-sheet'!H20</f>
        <v>0</v>
      </c>
      <c r="I34" s="2">
        <f>I12/'Output-Calculation-sheet'!I11*'Output-Calculation-sheet'!I20</f>
        <v>2369.225547072424</v>
      </c>
      <c r="J34" s="2">
        <f>J12/'Output-Calculation-sheet'!J11*'Output-Calculation-sheet'!J20</f>
        <v>2010.3509530010142</v>
      </c>
      <c r="K34" s="2">
        <f>K12/'Output-Calculation-sheet'!K11*'Output-Calculation-sheet'!K20</f>
        <v>2831.6554775329364</v>
      </c>
      <c r="L34" s="2">
        <f>L12/'Output-Calculation-sheet'!L11*'Output-Calculation-sheet'!L20</f>
        <v>2066.7848873973194</v>
      </c>
      <c r="M34" s="2">
        <f>M12/'Output-Calculation-sheet'!M11*'Output-Calculation-sheet'!M20</f>
        <v>0</v>
      </c>
      <c r="N34" s="2">
        <f>N12/'Output-Calculation-sheet'!N11*'Output-Calculation-sheet'!N20</f>
        <v>1092.6577125545045</v>
      </c>
      <c r="O34" s="2">
        <f>O12/'Output-Calculation-sheet'!O11*'Output-Calculation-sheet'!O20</f>
        <v>0</v>
      </c>
      <c r="P34" s="2">
        <f>P12/'Output-Calculation-sheet'!P11*'Output-Calculation-sheet'!P20</f>
        <v>2466.1703929142086</v>
      </c>
      <c r="Q34" s="2">
        <f>Q12/'Output-Calculation-sheet'!Q11*'Output-Calculation-sheet'!Q20</f>
        <v>1828.1155084241002</v>
      </c>
      <c r="R34" s="2">
        <f>R12/'Output-Calculation-sheet'!R11*'Output-Calculation-sheet'!R20</f>
        <v>2075.6883639723924</v>
      </c>
      <c r="S34" s="2">
        <f>S12/'Output-Calculation-sheet'!S11*'Output-Calculation-sheet'!S20</f>
        <v>759.73813015023188</v>
      </c>
      <c r="T34" s="2">
        <f>T12/'Output-Calculation-sheet'!T11*'Output-Calculation-sheet'!T20</f>
        <v>620.07084807419665</v>
      </c>
      <c r="U34" s="2">
        <f>U12/'Output-Calculation-sheet'!U11*'Output-Calculation-sheet'!U20</f>
        <v>567.47495593407814</v>
      </c>
      <c r="V34" s="2">
        <f>V12/'Output-Calculation-sheet'!V11*'Output-Calculation-sheet'!V20</f>
        <v>548.4456946644292</v>
      </c>
      <c r="W34" s="2">
        <f>W12/'Output-Calculation-sheet'!W11*'Output-Calculation-sheet'!W20</f>
        <v>332.98897832267642</v>
      </c>
      <c r="X34" s="2">
        <f>X12/'Output-Calculation-sheet'!X11*'Output-Calculation-sheet'!X20</f>
        <v>70.454452245879096</v>
      </c>
      <c r="Y34" s="2">
        <f>Y12/'Output-Calculation-sheet'!Y11*'Output-Calculation-sheet'!Y20</f>
        <v>180.74807635650379</v>
      </c>
      <c r="AA34" s="2">
        <f t="shared" si="1"/>
        <v>55.438987208174083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1.0067200095688771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0.19557861479773575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1.2022986243666129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0.91937906199856334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0.17861061835527017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1.1193532468470562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1.5736311312192581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0.30571419453384741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7.5346116966820578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30546.219309863973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6609.0202825092101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4547.6526840305487</v>
      </c>
      <c r="N52" s="2">
        <f>N8/'Output-Calculation-sheet'!N7*'Output-Calculation-sheet'!N43</f>
        <v>145.35326374615391</v>
      </c>
      <c r="O52" s="2">
        <f>O8/'Output-Calculation-sheet'!O7*'Output-Calculation-sheet'!O43</f>
        <v>6188.636162554566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588.12083736490115</v>
      </c>
      <c r="Y52" s="2">
        <f>Y8/'Output-Calculation-sheet'!Y7*'Output-Calculation-sheet'!Y43</f>
        <v>0</v>
      </c>
      <c r="AA52" s="2">
        <f t="shared" si="3"/>
        <v>48.625002540069346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52366.663189552739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12264.678406429102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8381.6271645775923</v>
      </c>
      <c r="N53" s="2">
        <f>N9/'Output-Calculation-sheet'!N8*'Output-Calculation-sheet'!N44</f>
        <v>2985.25582861166</v>
      </c>
      <c r="O53" s="2">
        <f>O9/'Output-Calculation-sheet'!O8*'Output-Calculation-sheet'!O44</f>
        <v>10385.013089244947</v>
      </c>
      <c r="P53" s="2">
        <f>P9/'Output-Calculation-sheet'!P8*'Output-Calculation-sheet'!P44</f>
        <v>139.63739187815059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931.43826862858884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1048.1287286426027</v>
      </c>
      <c r="Y53" s="2">
        <f>Y9/'Output-Calculation-sheet'!Y8*'Output-Calculation-sheet'!Y44</f>
        <v>0</v>
      </c>
      <c r="AA53" s="2">
        <f t="shared" si="3"/>
        <v>88.502442067565369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57312.393527210625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10585.263625456399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1166.0714334134823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421.42046666641852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136.0564035034671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53065.914280267949</v>
      </c>
      <c r="D55" s="2">
        <f>D11/'Output-Calculation-sheet'!D10*'Output-Calculation-sheet'!D46</f>
        <v>5715.1924404565671</v>
      </c>
      <c r="E55" s="2">
        <f>E11/'Output-Calculation-sheet'!E10*'Output-Calculation-sheet'!E46</f>
        <v>6983.407353187602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19041.347458221524</v>
      </c>
      <c r="I55" s="2">
        <f>I11/'Output-Calculation-sheet'!I10*'Output-Calculation-sheet'!I46</f>
        <v>1382.9989538889374</v>
      </c>
      <c r="J55" s="2">
        <f>J11/'Output-Calculation-sheet'!J10*'Output-Calculation-sheet'!J46</f>
        <v>980.91234656912332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13051.062725289197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9745.2460190331622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3912.8703330371955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4889.1122388266294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1126.4162864616155</v>
      </c>
      <c r="V55" s="2">
        <f>V11/'Output-Calculation-sheet'!V10*'Output-Calculation-sheet'!V46</f>
        <v>452.37974852366716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1347.4038867216709</v>
      </c>
      <c r="Y55" s="2">
        <f>Y11/'Output-Calculation-sheet'!Y10*'Output-Calculation-sheet'!Y46</f>
        <v>345.41240711552325</v>
      </c>
      <c r="AA55" s="2">
        <f t="shared" si="3"/>
        <v>207.60309079051021</v>
      </c>
    </row>
    <row r="56" spans="1:27" x14ac:dyDescent="0.25">
      <c r="A56" s="2">
        <v>2035</v>
      </c>
      <c r="B56" s="2">
        <f>B12/'Output-Calculation-sheet'!B11*'Output-Calculation-sheet'!B47</f>
        <v>68346.74037527747</v>
      </c>
      <c r="C56" s="2">
        <f>C12/'Output-Calculation-sheet'!C11*'Output-Calculation-sheet'!C47</f>
        <v>46104.6313883537</v>
      </c>
      <c r="D56" s="2">
        <f>D12/'Output-Calculation-sheet'!D11*'Output-Calculation-sheet'!D47</f>
        <v>9965.6770671578033</v>
      </c>
      <c r="E56" s="2">
        <f>E12/'Output-Calculation-sheet'!E11*'Output-Calculation-sheet'!E47</f>
        <v>18026.628477372396</v>
      </c>
      <c r="F56" s="2">
        <f>F12/'Output-Calculation-sheet'!F11*'Output-Calculation-sheet'!F47</f>
        <v>2016.916087882141</v>
      </c>
      <c r="G56" s="2">
        <f>G12/'Output-Calculation-sheet'!G11*'Output-Calculation-sheet'!G47</f>
        <v>4583.7706663819863</v>
      </c>
      <c r="H56" s="2">
        <f>H12/'Output-Calculation-sheet'!H11*'Output-Calculation-sheet'!H47</f>
        <v>16444.535427087922</v>
      </c>
      <c r="I56" s="2">
        <f>I12/'Output-Calculation-sheet'!I11*'Output-Calculation-sheet'!I47</f>
        <v>2958.9674953445647</v>
      </c>
      <c r="J56" s="2">
        <f>J12/'Output-Calculation-sheet'!J11*'Output-Calculation-sheet'!J47</f>
        <v>2908.8836319218367</v>
      </c>
      <c r="K56" s="2">
        <f>K12/'Output-Calculation-sheet'!K11*'Output-Calculation-sheet'!K47</f>
        <v>4032.7030052779205</v>
      </c>
      <c r="L56" s="2">
        <f>L12/'Output-Calculation-sheet'!L11*'Output-Calculation-sheet'!L47</f>
        <v>3761.6027608078675</v>
      </c>
      <c r="M56" s="2">
        <f>M12/'Output-Calculation-sheet'!M11*'Output-Calculation-sheet'!M47</f>
        <v>11695.555104666506</v>
      </c>
      <c r="N56" s="2">
        <f>N12/'Output-Calculation-sheet'!N11*'Output-Calculation-sheet'!N47</f>
        <v>9698.7830360219687</v>
      </c>
      <c r="O56" s="2">
        <f>O12/'Output-Calculation-sheet'!O11*'Output-Calculation-sheet'!O47</f>
        <v>8474.1829362013832</v>
      </c>
      <c r="P56" s="2">
        <f>P12/'Output-Calculation-sheet'!P11*'Output-Calculation-sheet'!P47</f>
        <v>4752.0803092916021</v>
      </c>
      <c r="Q56" s="2">
        <f>Q12/'Output-Calculation-sheet'!Q11*'Output-Calculation-sheet'!Q47</f>
        <v>4481.6934958439533</v>
      </c>
      <c r="R56" s="2">
        <f>R12/'Output-Calculation-sheet'!R11*'Output-Calculation-sheet'!R47</f>
        <v>3645.4352578742028</v>
      </c>
      <c r="S56" s="2">
        <f>S12/'Output-Calculation-sheet'!S11*'Output-Calculation-sheet'!S47</f>
        <v>4851.3200201483805</v>
      </c>
      <c r="T56" s="2">
        <f>T12/'Output-Calculation-sheet'!T11*'Output-Calculation-sheet'!T47</f>
        <v>1307.1139665176734</v>
      </c>
      <c r="U56" s="2">
        <f>U12/'Output-Calculation-sheet'!U11*'Output-Calculation-sheet'!U47</f>
        <v>1241.1506326700887</v>
      </c>
      <c r="V56" s="2">
        <f>V12/'Output-Calculation-sheet'!V11*'Output-Calculation-sheet'!V47</f>
        <v>761.91510409285002</v>
      </c>
      <c r="W56" s="2">
        <f>W12/'Output-Calculation-sheet'!W11*'Output-Calculation-sheet'!W47</f>
        <v>442.52274441032552</v>
      </c>
      <c r="X56" s="2">
        <f>X12/'Output-Calculation-sheet'!X11*'Output-Calculation-sheet'!X47</f>
        <v>1178.7849396931742</v>
      </c>
      <c r="Y56" s="2">
        <f>Y12/'Output-Calculation-sheet'!Y11*'Output-Calculation-sheet'!Y47</f>
        <v>662.40967821985191</v>
      </c>
      <c r="AA56" s="2">
        <f t="shared" si="3"/>
        <v>232.34400360851757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7.1085423613614083</v>
      </c>
      <c r="C63" s="2">
        <f>C8*'Output-Calculation-sheet'!C52/10^9</f>
        <v>4.4827235840193635</v>
      </c>
      <c r="D63" s="2">
        <f>D8*'Output-Calculation-sheet'!D52/10^9</f>
        <v>2.4376550136204553</v>
      </c>
      <c r="E63" s="2">
        <f>E8*'Output-Calculation-sheet'!E52/10^9</f>
        <v>2.4236951376029068</v>
      </c>
      <c r="F63" s="2">
        <f>F8*'Output-Calculation-sheet'!F52/10^9</f>
        <v>1.0264355076543097</v>
      </c>
      <c r="G63" s="2">
        <f>G8*'Output-Calculation-sheet'!G52/10^9</f>
        <v>0.73795986416647408</v>
      </c>
      <c r="H63" s="2">
        <f>H8*'Output-Calculation-sheet'!H52/10^9</f>
        <v>1.2890681920981684</v>
      </c>
      <c r="I63" s="2">
        <f>I8*'Output-Calculation-sheet'!I52/10^9</f>
        <v>0.68647409390152425</v>
      </c>
      <c r="J63" s="2">
        <f>J8*'Output-Calculation-sheet'!J52/10^9</f>
        <v>0.94463580636367073</v>
      </c>
      <c r="K63" s="2">
        <f>K8*'Output-Calculation-sheet'!K52/10^9</f>
        <v>0.82994442500438814</v>
      </c>
      <c r="L63" s="2">
        <f>L8*'Output-Calculation-sheet'!L52/10^9</f>
        <v>1.1163136110916843</v>
      </c>
      <c r="M63" s="2">
        <f>M8*'Output-Calculation-sheet'!M52/10^9</f>
        <v>1.0462895036887572</v>
      </c>
      <c r="N63" s="2">
        <f>N8*'Output-Calculation-sheet'!N52/10^9</f>
        <v>0.8732315388405858</v>
      </c>
      <c r="O63" s="2">
        <f>O8*'Output-Calculation-sheet'!O52/10^9</f>
        <v>0.93117660989502049</v>
      </c>
      <c r="P63" s="2">
        <f>P8*'Output-Calculation-sheet'!P52/10^9</f>
        <v>0.57347026360286946</v>
      </c>
      <c r="Q63" s="2">
        <f>Q8*'Output-Calculation-sheet'!Q52/10^9</f>
        <v>0.6489967457727096</v>
      </c>
      <c r="R63" s="2">
        <f>R8*'Output-Calculation-sheet'!R52/10^9</f>
        <v>0.58267090370794805</v>
      </c>
      <c r="S63" s="2">
        <f>S8*'Output-Calculation-sheet'!S52/10^9</f>
        <v>0.43178235508117602</v>
      </c>
      <c r="T63" s="2">
        <f>T8*'Output-Calculation-sheet'!T52/10^9</f>
        <v>0.22152405835405733</v>
      </c>
      <c r="U63" s="2">
        <f>U8*'Output-Calculation-sheet'!U52/10^9</f>
        <v>0.15214026016124593</v>
      </c>
      <c r="V63" s="2">
        <f>V8*'Output-Calculation-sheet'!V52/10^9</f>
        <v>0.27001321487956403</v>
      </c>
      <c r="W63" s="2">
        <f>W8*'Output-Calculation-sheet'!W52/10^9</f>
        <v>9.7732322379044639E-2</v>
      </c>
      <c r="X63" s="2">
        <f>X8*'Output-Calculation-sheet'!X52/10^9</f>
        <v>0.11248764834154505</v>
      </c>
      <c r="Y63" s="2">
        <f>Y8*'Output-Calculation-sheet'!Y52/10^9</f>
        <v>6.3767560082756608E-2</v>
      </c>
      <c r="AA63" s="2">
        <f t="shared" si="4"/>
        <v>29.08873058167163</v>
      </c>
    </row>
    <row r="64" spans="1:27" x14ac:dyDescent="0.25">
      <c r="A64" s="2">
        <v>2032</v>
      </c>
      <c r="B64" s="2">
        <f>B9*'Output-Calculation-sheet'!B53/10^9</f>
        <v>7.0535240426685757</v>
      </c>
      <c r="C64" s="2">
        <f>C9*'Output-Calculation-sheet'!C53/10^9</f>
        <v>4.7620787171380714</v>
      </c>
      <c r="D64" s="2">
        <f>D9*'Output-Calculation-sheet'!D53/10^9</f>
        <v>2.0874183152267025</v>
      </c>
      <c r="E64" s="2">
        <f>E9*'Output-Calculation-sheet'!E53/10^9</f>
        <v>2.1376181267551542</v>
      </c>
      <c r="F64" s="2">
        <f>F9*'Output-Calculation-sheet'!F53/10^9</f>
        <v>0.90163467885615944</v>
      </c>
      <c r="G64" s="2">
        <f>G9*'Output-Calculation-sheet'!G53/10^9</f>
        <v>0.64175530068845854</v>
      </c>
      <c r="H64" s="2">
        <f>H9*'Output-Calculation-sheet'!H53/10^9</f>
        <v>1.3186706564802126</v>
      </c>
      <c r="I64" s="2">
        <f>I9*'Output-Calculation-sheet'!I53/10^9</f>
        <v>0.5999364197599476</v>
      </c>
      <c r="J64" s="2">
        <f>J9*'Output-Calculation-sheet'!J53/10^9</f>
        <v>0.79419469734218584</v>
      </c>
      <c r="K64" s="2">
        <f>K9*'Output-Calculation-sheet'!K53/10^9</f>
        <v>0.73690273344175616</v>
      </c>
      <c r="L64" s="2">
        <f>L9*'Output-Calculation-sheet'!L53/10^9</f>
        <v>0.94801926228409006</v>
      </c>
      <c r="M64" s="2">
        <f>M9*'Output-Calculation-sheet'!M53/10^9</f>
        <v>1.0335040277916838</v>
      </c>
      <c r="N64" s="2">
        <f>N9*'Output-Calculation-sheet'!N53/10^9</f>
        <v>0.87001826675380378</v>
      </c>
      <c r="O64" s="2">
        <f>O9*'Output-Calculation-sheet'!O53/10^9</f>
        <v>0.98491881233076095</v>
      </c>
      <c r="P64" s="2">
        <f>P9*'Output-Calculation-sheet'!P53/10^9</f>
        <v>0.56182881160169817</v>
      </c>
      <c r="Q64" s="2">
        <f>Q9*'Output-Calculation-sheet'!Q53/10^9</f>
        <v>0.6209151208181376</v>
      </c>
      <c r="R64" s="2">
        <f>R9*'Output-Calculation-sheet'!R53/10^9</f>
        <v>0.53227016343548128</v>
      </c>
      <c r="S64" s="2">
        <f>S9*'Output-Calculation-sheet'!S53/10^9</f>
        <v>0.43977340999003078</v>
      </c>
      <c r="T64" s="2">
        <f>T9*'Output-Calculation-sheet'!T53/10^9</f>
        <v>0.19133726949479773</v>
      </c>
      <c r="U64" s="2">
        <f>U9*'Output-Calculation-sheet'!U53/10^9</f>
        <v>0.14401550430245982</v>
      </c>
      <c r="V64" s="2">
        <f>V9*'Output-Calculation-sheet'!V53/10^9</f>
        <v>0.22710447914759518</v>
      </c>
      <c r="W64" s="2">
        <f>W9*'Output-Calculation-sheet'!W53/10^9</f>
        <v>8.4387931061650809E-2</v>
      </c>
      <c r="X64" s="2">
        <f>X9*'Output-Calculation-sheet'!X53/10^9</f>
        <v>0.11454527705200514</v>
      </c>
      <c r="Y64" s="2">
        <f>Y9*'Output-Calculation-sheet'!Y53/10^9</f>
        <v>5.9124928733053451E-2</v>
      </c>
      <c r="AA64" s="2">
        <f t="shared" si="4"/>
        <v>27.845496953154473</v>
      </c>
    </row>
    <row r="65" spans="1:27" x14ac:dyDescent="0.25">
      <c r="A65" s="2">
        <v>2033</v>
      </c>
      <c r="B65" s="2">
        <f>B10*'Output-Calculation-sheet'!B54/10^9</f>
        <v>6.8274410602401607</v>
      </c>
      <c r="C65" s="2">
        <f>C10*'Output-Calculation-sheet'!C54/10^9</f>
        <v>4.7766776218387221</v>
      </c>
      <c r="D65" s="2">
        <f>D10*'Output-Calculation-sheet'!D54/10^9</f>
        <v>1.6129812256308307</v>
      </c>
      <c r="E65" s="2">
        <f>E10*'Output-Calculation-sheet'!E54/10^9</f>
        <v>1.8161984147926578</v>
      </c>
      <c r="F65" s="2">
        <f>F10*'Output-Calculation-sheet'!F54/10^9</f>
        <v>0.73734547577083165</v>
      </c>
      <c r="G65" s="2">
        <f>G10*'Output-Calculation-sheet'!G54/10^9</f>
        <v>0.50625436548732783</v>
      </c>
      <c r="H65" s="2">
        <f>H10*'Output-Calculation-sheet'!H54/10^9</f>
        <v>1.251093842433268</v>
      </c>
      <c r="I65" s="2">
        <f>I10*'Output-Calculation-sheet'!I54/10^9</f>
        <v>0.49295349211801159</v>
      </c>
      <c r="J65" s="2">
        <f>J10*'Output-Calculation-sheet'!J54/10^9</f>
        <v>0.5891893702262232</v>
      </c>
      <c r="K65" s="2">
        <f>K10*'Output-Calculation-sheet'!K54/10^9</f>
        <v>0.62858701069076584</v>
      </c>
      <c r="L65" s="2">
        <f>L10*'Output-Calculation-sheet'!L54/10^9</f>
        <v>0.74249345924846066</v>
      </c>
      <c r="M65" s="2">
        <f>M10*'Output-Calculation-sheet'!M54/10^9</f>
        <v>0.94466674356389491</v>
      </c>
      <c r="N65" s="2">
        <f>N10*'Output-Calculation-sheet'!N54/10^9</f>
        <v>0.81573305695862497</v>
      </c>
      <c r="O65" s="2">
        <f>O10*'Output-Calculation-sheet'!O54/10^9</f>
        <v>0.97709863634923533</v>
      </c>
      <c r="P65" s="2">
        <f>P10*'Output-Calculation-sheet'!P54/10^9</f>
        <v>0.53187869070583094</v>
      </c>
      <c r="Q65" s="2">
        <f>Q10*'Output-Calculation-sheet'!Q54/10^9</f>
        <v>0.58036938870394661</v>
      </c>
      <c r="R65" s="2">
        <f>R10*'Output-Calculation-sheet'!R54/10^9</f>
        <v>0.46824243894940165</v>
      </c>
      <c r="S65" s="2">
        <f>S10*'Output-Calculation-sheet'!S54/10^9</f>
        <v>0.42533038571166626</v>
      </c>
      <c r="T65" s="2">
        <f>T10*'Output-Calculation-sheet'!T54/10^9</f>
        <v>0.15655378623053284</v>
      </c>
      <c r="U65" s="2">
        <f>U10*'Output-Calculation-sheet'!U54/10^9</f>
        <v>0.13517969501651383</v>
      </c>
      <c r="V65" s="2">
        <f>V10*'Output-Calculation-sheet'!V54/10^9</f>
        <v>0.17325039552350796</v>
      </c>
      <c r="W65" s="2">
        <f>W10*'Output-Calculation-sheet'!W54/10^9</f>
        <v>6.5962941814616746E-2</v>
      </c>
      <c r="X65" s="2">
        <f>X10*'Output-Calculation-sheet'!X54/10^9</f>
        <v>0.10864844330894831</v>
      </c>
      <c r="Y65" s="2">
        <f>Y10*'Output-Calculation-sheet'!Y54/10^9</f>
        <v>5.4291036787175569E-2</v>
      </c>
      <c r="AA65" s="2">
        <f t="shared" si="4"/>
        <v>25.41842097810116</v>
      </c>
    </row>
    <row r="66" spans="1:27" x14ac:dyDescent="0.25">
      <c r="A66" s="2">
        <v>2034</v>
      </c>
      <c r="B66" s="2">
        <f>B11*'Output-Calculation-sheet'!B55/10^9</f>
        <v>6.3960272067100856</v>
      </c>
      <c r="C66" s="2">
        <f>C11*'Output-Calculation-sheet'!C55/10^9</f>
        <v>4.5280091519277113</v>
      </c>
      <c r="D66" s="2">
        <f>D11*'Output-Calculation-sheet'!D55/10^9</f>
        <v>1.3379358672787576</v>
      </c>
      <c r="E66" s="2">
        <f>E11*'Output-Calculation-sheet'!E55/10^9</f>
        <v>1.6200239215616092</v>
      </c>
      <c r="F66" s="2">
        <f>F11*'Output-Calculation-sheet'!F55/10^9</f>
        <v>0.62260374372295646</v>
      </c>
      <c r="G66" s="2">
        <f>G11*'Output-Calculation-sheet'!G55/10^9</f>
        <v>0.44502850678755068</v>
      </c>
      <c r="H66" s="2">
        <f>H11*'Output-Calculation-sheet'!H55/10^9</f>
        <v>1.142859237687073</v>
      </c>
      <c r="I66" s="2">
        <f>I11*'Output-Calculation-sheet'!I55/10^9</f>
        <v>0.43522437277393944</v>
      </c>
      <c r="J66" s="2">
        <f>J11*'Output-Calculation-sheet'!J55/10^9</f>
        <v>0.44751142077240152</v>
      </c>
      <c r="K66" s="2">
        <f>K11*'Output-Calculation-sheet'!K55/10^9</f>
        <v>0.53527897528519042</v>
      </c>
      <c r="L66" s="2">
        <f>L11*'Output-Calculation-sheet'!L55/10^9</f>
        <v>0.56685372701381531</v>
      </c>
      <c r="M66" s="2">
        <f>M11*'Output-Calculation-sheet'!M55/10^9</f>
        <v>0.82426246107489287</v>
      </c>
      <c r="N66" s="2">
        <f>N11*'Output-Calculation-sheet'!N55/10^9</f>
        <v>0.72018558309910707</v>
      </c>
      <c r="O66" s="2">
        <f>O11*'Output-Calculation-sheet'!O55/10^9</f>
        <v>0.90894089302415748</v>
      </c>
      <c r="P66" s="2">
        <f>P11*'Output-Calculation-sheet'!P55/10^9</f>
        <v>0.49505630285701141</v>
      </c>
      <c r="Q66" s="2">
        <f>Q11*'Output-Calculation-sheet'!Q55/10^9</f>
        <v>0.54044632804594417</v>
      </c>
      <c r="R66" s="2">
        <f>R11*'Output-Calculation-sheet'!R55/10^9</f>
        <v>0.40096547603793858</v>
      </c>
      <c r="S66" s="2">
        <f>S11*'Output-Calculation-sheet'!S55/10^9</f>
        <v>0.39453376819433583</v>
      </c>
      <c r="T66" s="2">
        <f>T11*'Output-Calculation-sheet'!T55/10^9</f>
        <v>0.12568059737252626</v>
      </c>
      <c r="U66" s="2">
        <f>U11*'Output-Calculation-sheet'!U55/10^9</f>
        <v>0.12832048571876245</v>
      </c>
      <c r="V66" s="2">
        <f>V11*'Output-Calculation-sheet'!V55/10^9</f>
        <v>0.11922665887597086</v>
      </c>
      <c r="W66" s="2">
        <f>W11*'Output-Calculation-sheet'!W55/10^9</f>
        <v>5.3985769176056353E-2</v>
      </c>
      <c r="X66" s="2">
        <f>X11*'Output-Calculation-sheet'!X55/10^9</f>
        <v>0.10240397622272626</v>
      </c>
      <c r="Y66" s="2">
        <f>Y11*'Output-Calculation-sheet'!Y55/10^9</f>
        <v>5.2975054834718267E-2</v>
      </c>
      <c r="AA66" s="2">
        <f t="shared" si="4"/>
        <v>22.944339486055231</v>
      </c>
    </row>
    <row r="67" spans="1:27" x14ac:dyDescent="0.25">
      <c r="A67" s="2">
        <v>2035</v>
      </c>
      <c r="B67" s="2">
        <f>B12*'Output-Calculation-sheet'!B56/10^9</f>
        <v>5.9853747140371834</v>
      </c>
      <c r="C67" s="2">
        <f>C12*'Output-Calculation-sheet'!C56/10^9</f>
        <v>4.0169308909664876</v>
      </c>
      <c r="D67" s="2">
        <f>D12*'Output-Calculation-sheet'!D56/10^9</f>
        <v>1.3134570359638884</v>
      </c>
      <c r="E67" s="2">
        <f>E12*'Output-Calculation-sheet'!E56/10^9</f>
        <v>1.6717076354093796</v>
      </c>
      <c r="F67" s="2">
        <f>F12*'Output-Calculation-sheet'!F56/10^9</f>
        <v>0.64996686586892116</v>
      </c>
      <c r="G67" s="2">
        <f>G12*'Output-Calculation-sheet'!G56/10^9</f>
        <v>0.47782312938176785</v>
      </c>
      <c r="H67" s="2">
        <f>H12*'Output-Calculation-sheet'!H56/10^9</f>
        <v>1.0558190398779792</v>
      </c>
      <c r="I67" s="2">
        <f>I12*'Output-Calculation-sheet'!I56/10^9</f>
        <v>0.4507936768400424</v>
      </c>
      <c r="J67" s="2">
        <f>J12*'Output-Calculation-sheet'!J56/10^9</f>
        <v>0.41891410442320226</v>
      </c>
      <c r="K67" s="2">
        <f>K12*'Output-Calculation-sheet'!K56/10^9</f>
        <v>0.51443509570329482</v>
      </c>
      <c r="L67" s="2">
        <f>L12*'Output-Calculation-sheet'!L56/10^9</f>
        <v>0.49305004632609623</v>
      </c>
      <c r="M67" s="2">
        <f>M12*'Output-Calculation-sheet'!M56/10^9</f>
        <v>0.75897411646242896</v>
      </c>
      <c r="N67" s="2">
        <f>N12*'Output-Calculation-sheet'!N56/10^9</f>
        <v>0.64851722369259157</v>
      </c>
      <c r="O67" s="2">
        <f>O12*'Output-Calculation-sheet'!O56/10^9</f>
        <v>0.79127065297709787</v>
      </c>
      <c r="P67" s="2">
        <f>P12*'Output-Calculation-sheet'!P56/10^9</f>
        <v>0.49674069337064947</v>
      </c>
      <c r="Q67" s="2">
        <f>Q12*'Output-Calculation-sheet'!Q56/10^9</f>
        <v>0.49921324365775849</v>
      </c>
      <c r="R67" s="2">
        <f>R12*'Output-Calculation-sheet'!R56/10^9</f>
        <v>0.37927060750928454</v>
      </c>
      <c r="S67" s="2">
        <f>S12*'Output-Calculation-sheet'!S56/10^9</f>
        <v>0.3614808667810141</v>
      </c>
      <c r="T67" s="2">
        <f>T12*'Output-Calculation-sheet'!T56/10^9</f>
        <v>0.11628782663911386</v>
      </c>
      <c r="U67" s="2">
        <f>U12*'Output-Calculation-sheet'!U56/10^9</f>
        <v>0.12491880182206147</v>
      </c>
      <c r="V67" s="2">
        <f>V12*'Output-Calculation-sheet'!V56/10^9</f>
        <v>8.9324907537768811E-2</v>
      </c>
      <c r="W67" s="2">
        <f>W12*'Output-Calculation-sheet'!W56/10^9</f>
        <v>5.9239289475889995E-2</v>
      </c>
      <c r="X67" s="2">
        <f>X12*'Output-Calculation-sheet'!X56/10^9</f>
        <v>9.4594811823215094E-2</v>
      </c>
      <c r="Y67" s="2">
        <f>Y12*'Output-Calculation-sheet'!Y56/10^9</f>
        <v>5.6057119536663785E-2</v>
      </c>
      <c r="AA67" s="2">
        <f t="shared" si="4"/>
        <v>21.524162396083785</v>
      </c>
    </row>
    <row r="68" spans="1:27" x14ac:dyDescent="0.25">
      <c r="B68" s="2">
        <f>SUM(B60:B67)</f>
        <v>51.00496658424715</v>
      </c>
      <c r="C68" s="2">
        <f t="shared" ref="C68:Y68" si="5">SUM(C60:C67)</f>
        <v>31.881823315858952</v>
      </c>
      <c r="D68" s="2">
        <f t="shared" si="5"/>
        <v>15.716508838240337</v>
      </c>
      <c r="E68" s="2">
        <f t="shared" si="5"/>
        <v>16.498094203203497</v>
      </c>
      <c r="F68" s="2">
        <f t="shared" si="5"/>
        <v>6.7675274735478181</v>
      </c>
      <c r="G68" s="2">
        <f t="shared" si="5"/>
        <v>4.8680651498025522</v>
      </c>
      <c r="H68" s="2">
        <f t="shared" si="5"/>
        <v>8.9621626982529818</v>
      </c>
      <c r="I68" s="2">
        <f t="shared" si="5"/>
        <v>4.5695850008218351</v>
      </c>
      <c r="J68" s="2">
        <f t="shared" si="5"/>
        <v>5.9354536803726221</v>
      </c>
      <c r="K68" s="2">
        <f t="shared" si="5"/>
        <v>5.5523967253027102</v>
      </c>
      <c r="L68" s="2">
        <f t="shared" si="5"/>
        <v>7.1178154880335693</v>
      </c>
      <c r="M68" s="2">
        <f t="shared" si="5"/>
        <v>7.0993986490139882</v>
      </c>
      <c r="N68" s="2">
        <f t="shared" si="5"/>
        <v>6.0906525929083948</v>
      </c>
      <c r="O68" s="2">
        <f t="shared" si="5"/>
        <v>6.5402298592834578</v>
      </c>
      <c r="P68" s="2">
        <f t="shared" si="5"/>
        <v>4.123186752680895</v>
      </c>
      <c r="Q68" s="2">
        <f t="shared" si="5"/>
        <v>4.5614123863860954</v>
      </c>
      <c r="R68" s="2">
        <f t="shared" si="5"/>
        <v>3.9670933783904334</v>
      </c>
      <c r="S68" s="2">
        <f t="shared" si="5"/>
        <v>3.1006776984488598</v>
      </c>
      <c r="T68" s="2">
        <f t="shared" si="5"/>
        <v>1.439341954992768</v>
      </c>
      <c r="U68" s="2">
        <f t="shared" si="5"/>
        <v>1.0950829038091223</v>
      </c>
      <c r="V68" s="2">
        <f t="shared" si="5"/>
        <v>1.6738047104072811</v>
      </c>
      <c r="W68" s="2">
        <f t="shared" si="5"/>
        <v>0.63634846172317527</v>
      </c>
      <c r="X68" s="2">
        <f t="shared" si="5"/>
        <v>0.78624690351017557</v>
      </c>
      <c r="Y68" s="2">
        <f t="shared" si="5"/>
        <v>0.45956155363832751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5892.36570487276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1451.1635388607112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953.28782909513552</v>
      </c>
      <c r="N74" s="2">
        <f>N8/'Output-Calculation-sheet'!N7*'Output-Calculation-sheet'!N61</f>
        <v>39.953978372224057</v>
      </c>
      <c r="O74" s="2">
        <f>O8/'Output-Calculation-sheet'!O7*'Output-Calculation-sheet'!O61</f>
        <v>1178.1128633395656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118.45970466261588</v>
      </c>
      <c r="Y74" s="2">
        <f>Y8/'Output-Calculation-sheet'!Y7*'Output-Calculation-sheet'!Y61</f>
        <v>0</v>
      </c>
      <c r="AA74" s="2">
        <f t="shared" si="6"/>
        <v>9.6333436192030124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9406.123638870773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2334.0325576007126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1583.7238318793482</v>
      </c>
      <c r="N75" s="2">
        <f>N9/'Output-Calculation-sheet'!N8*'Output-Calculation-sheet'!N62</f>
        <v>612.16638510770747</v>
      </c>
      <c r="O75" s="2">
        <f>O9/'Output-Calculation-sheet'!O8*'Output-Calculation-sheet'!O62</f>
        <v>1859.2876065994196</v>
      </c>
      <c r="P75" s="2">
        <f>P9/'Output-Calculation-sheet'!P8*'Output-Calculation-sheet'!P62</f>
        <v>40.983574516237198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205.12220197159121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190.79528009864165</v>
      </c>
      <c r="Y75" s="2">
        <f>Y9/'Output-Calculation-sheet'!Y8*'Output-Calculation-sheet'!Y62</f>
        <v>0</v>
      </c>
      <c r="AA75" s="2">
        <f t="shared" si="6"/>
        <v>16.232235076644432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10603.675890261658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3120.473233756119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2124.594837675706</v>
      </c>
      <c r="N76" s="2">
        <f>N10/'Output-Calculation-sheet'!N9*'Output-Calculation-sheet'!N63</f>
        <v>1215.8332613186626</v>
      </c>
      <c r="O76" s="2">
        <f>O10/'Output-Calculation-sheet'!O9*'Output-Calculation-sheet'!O63</f>
        <v>1877.2802057567926</v>
      </c>
      <c r="P76" s="2">
        <f>P10/'Output-Calculation-sheet'!P9*'Output-Calculation-sheet'!P63</f>
        <v>421.72632611815743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317.26727137614495</v>
      </c>
      <c r="S76" s="2">
        <f>S10/'Output-Calculation-sheet'!S9*'Output-Calculation-sheet'!S63</f>
        <v>539.1305532669686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112.37022565440537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250.22002595495653</v>
      </c>
      <c r="Y76" s="2">
        <f>Y10/'Output-Calculation-sheet'!Y9*'Output-Calculation-sheet'!Y63</f>
        <v>4.7466443409389356</v>
      </c>
      <c r="AA76" s="2">
        <f t="shared" si="6"/>
        <v>25.66480997514287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9683.9648251459203</v>
      </c>
      <c r="D77" s="2">
        <f>D11/'Output-Calculation-sheet'!D10*'Output-Calculation-sheet'!D64</f>
        <v>1322.4240908161439</v>
      </c>
      <c r="E77" s="2">
        <f>E11/'Output-Calculation-sheet'!E10*'Output-Calculation-sheet'!E64</f>
        <v>1607.4327559629869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686.83000493162922</v>
      </c>
      <c r="H77" s="2">
        <f>H11/'Output-Calculation-sheet'!H10*'Output-Calculation-sheet'!H64</f>
        <v>3649.7074496421392</v>
      </c>
      <c r="I77" s="2">
        <f>I11/'Output-Calculation-sheet'!I10*'Output-Calculation-sheet'!I64</f>
        <v>409.57514019420881</v>
      </c>
      <c r="J77" s="2">
        <f>J11/'Output-Calculation-sheet'!J10*'Output-Calculation-sheet'!J64</f>
        <v>277.05070811818609</v>
      </c>
      <c r="K77" s="2">
        <f>K11/'Output-Calculation-sheet'!K10*'Output-Calculation-sheet'!K64</f>
        <v>623.08949475646682</v>
      </c>
      <c r="L77" s="2">
        <f>L11/'Output-Calculation-sheet'!L10*'Output-Calculation-sheet'!L64</f>
        <v>261.01962147844768</v>
      </c>
      <c r="M77" s="2">
        <f>M11/'Output-Calculation-sheet'!M10*'Output-Calculation-sheet'!M64</f>
        <v>2454.6589100100859</v>
      </c>
      <c r="N77" s="2">
        <f>N11/'Output-Calculation-sheet'!N10*'Output-Calculation-sheet'!N64</f>
        <v>1728.2335236461533</v>
      </c>
      <c r="O77" s="2">
        <f>O11/'Output-Calculation-sheet'!O10*'Output-Calculation-sheet'!O64</f>
        <v>1792.2792172046295</v>
      </c>
      <c r="P77" s="2">
        <f>P11/'Output-Calculation-sheet'!P10*'Output-Calculation-sheet'!P64</f>
        <v>762.80044049385947</v>
      </c>
      <c r="Q77" s="2">
        <f>Q11/'Output-Calculation-sheet'!Q10*'Output-Calculation-sheet'!Q64</f>
        <v>685.85556119495948</v>
      </c>
      <c r="R77" s="2">
        <f>R11/'Output-Calculation-sheet'!R10*'Output-Calculation-sheet'!R64</f>
        <v>652.96211564263047</v>
      </c>
      <c r="S77" s="2">
        <f>S11/'Output-Calculation-sheet'!S10*'Output-Calculation-sheet'!S64</f>
        <v>869.06857316150513</v>
      </c>
      <c r="T77" s="2">
        <f>T11/'Output-Calculation-sheet'!T10*'Output-Calculation-sheet'!T64</f>
        <v>179.58363153992158</v>
      </c>
      <c r="U77" s="2">
        <f>U11/'Output-Calculation-sheet'!U10*'Output-Calculation-sheet'!U64</f>
        <v>238.68291770002273</v>
      </c>
      <c r="V77" s="2">
        <f>V11/'Output-Calculation-sheet'!V10*'Output-Calculation-sheet'!V64</f>
        <v>92.853657662973816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255.39956342941534</v>
      </c>
      <c r="Y77" s="2">
        <f>Y11/'Output-Calculation-sheet'!Y10*'Output-Calculation-sheet'!Y64</f>
        <v>59.7635801986738</v>
      </c>
      <c r="AA77" s="2">
        <f t="shared" si="6"/>
        <v>39.006188420067581</v>
      </c>
    </row>
    <row r="78" spans="1:27" x14ac:dyDescent="0.25">
      <c r="A78" s="2">
        <v>2035</v>
      </c>
      <c r="B78" s="2">
        <f>B12/'Output-Calculation-sheet'!B11*'Output-Calculation-sheet'!B65</f>
        <v>11666.206907673692</v>
      </c>
      <c r="C78" s="2">
        <f>C12/'Output-Calculation-sheet'!C11*'Output-Calculation-sheet'!C65</f>
        <v>8525.0776344710666</v>
      </c>
      <c r="D78" s="2">
        <f>D12/'Output-Calculation-sheet'!D11*'Output-Calculation-sheet'!D65</f>
        <v>2190.2479463427062</v>
      </c>
      <c r="E78" s="2">
        <f>E12/'Output-Calculation-sheet'!E11*'Output-Calculation-sheet'!E65</f>
        <v>2741.4566181181349</v>
      </c>
      <c r="F78" s="2">
        <f>F12/'Output-Calculation-sheet'!F11*'Output-Calculation-sheet'!F65</f>
        <v>548.05110787997455</v>
      </c>
      <c r="G78" s="2">
        <f>G12/'Output-Calculation-sheet'!G11*'Output-Calculation-sheet'!G65</f>
        <v>1007.4206784190916</v>
      </c>
      <c r="H78" s="2">
        <f>H12/'Output-Calculation-sheet'!H11*'Output-Calculation-sheet'!H65</f>
        <v>3185.1832844420765</v>
      </c>
      <c r="I78" s="2">
        <f>I12/'Output-Calculation-sheet'!I11*'Output-Calculation-sheet'!I65</f>
        <v>731.57512354899006</v>
      </c>
      <c r="J78" s="2">
        <f>J12/'Output-Calculation-sheet'!J11*'Output-Calculation-sheet'!J65</f>
        <v>707.44440382517848</v>
      </c>
      <c r="K78" s="2">
        <f>K12/'Output-Calculation-sheet'!K11*'Output-Calculation-sheet'!K65</f>
        <v>886.30281338112911</v>
      </c>
      <c r="L78" s="2">
        <f>L12/'Output-Calculation-sheet'!L11*'Output-Calculation-sheet'!L65</f>
        <v>653.47056485706503</v>
      </c>
      <c r="M78" s="2">
        <f>M12/'Output-Calculation-sheet'!M11*'Output-Calculation-sheet'!M65</f>
        <v>2325.6465131190539</v>
      </c>
      <c r="N78" s="2">
        <f>N12/'Output-Calculation-sheet'!N11*'Output-Calculation-sheet'!N65</f>
        <v>1658.2763706478449</v>
      </c>
      <c r="O78" s="2">
        <f>O12/'Output-Calculation-sheet'!O11*'Output-Calculation-sheet'!O65</f>
        <v>1565.3639441517316</v>
      </c>
      <c r="P78" s="2">
        <f>P12/'Output-Calculation-sheet'!P11*'Output-Calculation-sheet'!P65</f>
        <v>903.3863955571469</v>
      </c>
      <c r="Q78" s="2">
        <f>Q12/'Output-Calculation-sheet'!Q11*'Output-Calculation-sheet'!Q65</f>
        <v>767.06198425637047</v>
      </c>
      <c r="R78" s="2">
        <f>R12/'Output-Calculation-sheet'!R11*'Output-Calculation-sheet'!R65</f>
        <v>758.10072122997633</v>
      </c>
      <c r="S78" s="2">
        <f>S12/'Output-Calculation-sheet'!S11*'Output-Calculation-sheet'!S65</f>
        <v>877.10877579898306</v>
      </c>
      <c r="T78" s="2">
        <f>T12/'Output-Calculation-sheet'!T11*'Output-Calculation-sheet'!T65</f>
        <v>273.65331550614525</v>
      </c>
      <c r="U78" s="2">
        <f>U12/'Output-Calculation-sheet'!U11*'Output-Calculation-sheet'!U65</f>
        <v>228.96618338098943</v>
      </c>
      <c r="V78" s="2">
        <f>V12/'Output-Calculation-sheet'!V11*'Output-Calculation-sheet'!V65</f>
        <v>139.28799211895793</v>
      </c>
      <c r="W78" s="2">
        <f>W12/'Output-Calculation-sheet'!W11*'Output-Calculation-sheet'!W65</f>
        <v>97.258453353309363</v>
      </c>
      <c r="X78" s="2">
        <f>X12/'Output-Calculation-sheet'!X11*'Output-Calculation-sheet'!X65</f>
        <v>224.77744821463554</v>
      </c>
      <c r="Y78" s="2">
        <f>Y12/'Output-Calculation-sheet'!Y11*'Output-Calculation-sheet'!Y65</f>
        <v>105.45623984706606</v>
      </c>
      <c r="AA78" s="2">
        <f t="shared" si="6"/>
        <v>42.766781420141314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176.61754553839947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51.468056525719931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0.2280856020641194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483.8837168413491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94.005588608036931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1.8739970608089997</v>
      </c>
      <c r="Y88" s="2">
        <f>Y11/'Output-Calculation-sheet'!Y10*'Output-Calculation-sheet'!Y73</f>
        <v>0</v>
      </c>
      <c r="AA88" s="2">
        <f t="shared" si="7"/>
        <v>0.57976330251019503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690.18909264002548</v>
      </c>
      <c r="D89" s="2">
        <f>D12/'Output-Calculation-sheet'!D11*'Output-Calculation-sheet'!D74</f>
        <v>61.139123111397566</v>
      </c>
      <c r="E89" s="2">
        <f>E12/'Output-Calculation-sheet'!E11*'Output-Calculation-sheet'!E74</f>
        <v>97.17859017451427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63.73850940731753</v>
      </c>
      <c r="I89" s="2">
        <f>I12/'Output-Calculation-sheet'!I11*'Output-Calculation-sheet'!I74</f>
        <v>19.726449968963763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19.38799521768231</v>
      </c>
      <c r="L89" s="2">
        <f>L12/'Output-Calculation-sheet'!L11*'Output-Calculation-sheet'!L74</f>
        <v>15.416404757409293</v>
      </c>
      <c r="M89" s="2">
        <f>M12/'Output-Calculation-sheet'!M11*'Output-Calculation-sheet'!M74</f>
        <v>29.238887761666266</v>
      </c>
      <c r="N89" s="2">
        <f>N12/'Output-Calculation-sheet'!N11*'Output-Calculation-sheet'!N74</f>
        <v>28.737134921546573</v>
      </c>
      <c r="O89" s="2">
        <f>O12/'Output-Calculation-sheet'!O11*'Output-Calculation-sheet'!O74</f>
        <v>120.67665573704502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25.178053347437938</v>
      </c>
      <c r="R89" s="2">
        <f>R12/'Output-Calculation-sheet'!R11*'Output-Calculation-sheet'!R74</f>
        <v>12.484367321486996</v>
      </c>
      <c r="S89" s="2">
        <f>S12/'Output-Calculation-sheet'!S11*'Output-Calculation-sheet'!S74</f>
        <v>16.473073073508932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8.033337428285364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6.4151561343846213</v>
      </c>
      <c r="Y89" s="2">
        <f>Y12/'Output-Calculation-sheet'!Y11*'Output-Calculation-sheet'!Y74</f>
        <v>3.0953723281301491</v>
      </c>
      <c r="AA89" s="2">
        <f t="shared" si="7"/>
        <v>1.6388371580017527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11514664540.114498</v>
      </c>
      <c r="C96" s="2">
        <f>C8/'Output-Calculation-sheet'!C7*'Output-Calculation-sheet'!C79</f>
        <v>3895463346.1834068</v>
      </c>
      <c r="D96" s="2">
        <f>D8/'Output-Calculation-sheet'!D7*'Output-Calculation-sheet'!D79</f>
        <v>4066607187.1643395</v>
      </c>
      <c r="E96" s="2">
        <f>E8/'Output-Calculation-sheet'!E7*'Output-Calculation-sheet'!E79</f>
        <v>7230081327.8254719</v>
      </c>
      <c r="F96" s="2">
        <f>F8/'Output-Calculation-sheet'!F7*'Output-Calculation-sheet'!F79</f>
        <v>2992459414.9353256</v>
      </c>
      <c r="G96" s="2">
        <f>G8/'Output-Calculation-sheet'!G7*'Output-Calculation-sheet'!G79</f>
        <v>2330879821.8399391</v>
      </c>
      <c r="H96" s="2">
        <f>H8/'Output-Calculation-sheet'!H7*'Output-Calculation-sheet'!H79</f>
        <v>1995101490.3541617</v>
      </c>
      <c r="I96" s="2">
        <f>I8/'Output-Calculation-sheet'!I7*'Output-Calculation-sheet'!I79</f>
        <v>1623705598.1560624</v>
      </c>
      <c r="J96" s="2">
        <f>J8/'Output-Calculation-sheet'!J7*'Output-Calculation-sheet'!J79</f>
        <v>1097991664.9104211</v>
      </c>
      <c r="K96" s="2">
        <f>K8/'Output-Calculation-sheet'!K7*'Output-Calculation-sheet'!K79</f>
        <v>1570898536.1521184</v>
      </c>
      <c r="L96" s="2">
        <f>L8/'Output-Calculation-sheet'!L7*'Output-Calculation-sheet'!L79</f>
        <v>1108424640.2244389</v>
      </c>
      <c r="M96" s="2">
        <f>M8/'Output-Calculation-sheet'!M7*'Output-Calculation-sheet'!M79</f>
        <v>1489304676.9834664</v>
      </c>
      <c r="N96" s="2">
        <f>N8/'Output-Calculation-sheet'!N7*'Output-Calculation-sheet'!N79</f>
        <v>1108161291.1564183</v>
      </c>
      <c r="O96" s="2">
        <f>O8/'Output-Calculation-sheet'!O7*'Output-Calculation-sheet'!O79</f>
        <v>560213487.46373773</v>
      </c>
      <c r="P96" s="2">
        <f>P8/'Output-Calculation-sheet'!P7*'Output-Calculation-sheet'!P79</f>
        <v>1873796619.4024489</v>
      </c>
      <c r="Q96" s="2">
        <f>Q8/'Output-Calculation-sheet'!Q7*'Output-Calculation-sheet'!Q79</f>
        <v>873269371.61138391</v>
      </c>
      <c r="R96" s="2">
        <f>R8/'Output-Calculation-sheet'!R7*'Output-Calculation-sheet'!R79</f>
        <v>1089507349.9460175</v>
      </c>
      <c r="S96" s="2">
        <f>S8/'Output-Calculation-sheet'!S7*'Output-Calculation-sheet'!S79</f>
        <v>634838286.4270761</v>
      </c>
      <c r="T96" s="2">
        <f>T8/'Output-Calculation-sheet'!T7*'Output-Calculation-sheet'!T79</f>
        <v>484870302.72914702</v>
      </c>
      <c r="U96" s="2">
        <f>U8/'Output-Calculation-sheet'!U7*'Output-Calculation-sheet'!U79</f>
        <v>304583062.57805431</v>
      </c>
      <c r="V96" s="2">
        <f>V8/'Output-Calculation-sheet'!V7*'Output-Calculation-sheet'!V79</f>
        <v>158033576.09694549</v>
      </c>
      <c r="W96" s="2">
        <f>W8/'Output-Calculation-sheet'!W7*'Output-Calculation-sheet'!W79</f>
        <v>466976405.14447391</v>
      </c>
      <c r="X96" s="2">
        <f>X8/'Output-Calculation-sheet'!X7*'Output-Calculation-sheet'!X79</f>
        <v>164128991.20642594</v>
      </c>
      <c r="Y96" s="2">
        <f>Y8/'Output-Calculation-sheet'!Y7*'Output-Calculation-sheet'!Y79</f>
        <v>256695479.05778819</v>
      </c>
      <c r="AA96" s="2">
        <f t="shared" si="8"/>
        <v>48.890656467663568</v>
      </c>
    </row>
    <row r="97" spans="1:27" x14ac:dyDescent="0.25">
      <c r="A97" s="2">
        <v>2032</v>
      </c>
      <c r="B97" s="2">
        <f>B9/'Output-Calculation-sheet'!B8*'Output-Calculation-sheet'!B80</f>
        <v>14959164195.023743</v>
      </c>
      <c r="C97" s="2">
        <f>C9/'Output-Calculation-sheet'!C8*'Output-Calculation-sheet'!C80</f>
        <v>5095171958.0442305</v>
      </c>
      <c r="D97" s="2">
        <f>D9/'Output-Calculation-sheet'!D8*'Output-Calculation-sheet'!D80</f>
        <v>5076842876.6922092</v>
      </c>
      <c r="E97" s="2">
        <f>E9/'Output-Calculation-sheet'!E8*'Output-Calculation-sheet'!E80</f>
        <v>9284786117.2657223</v>
      </c>
      <c r="F97" s="2">
        <f>F9/'Output-Calculation-sheet'!F8*'Output-Calculation-sheet'!F80</f>
        <v>3835545897.0970817</v>
      </c>
      <c r="G97" s="2">
        <f>G9/'Output-Calculation-sheet'!G8*'Output-Calculation-sheet'!G80</f>
        <v>2903297517.9306564</v>
      </c>
      <c r="H97" s="2">
        <f>H9/'Output-Calculation-sheet'!H8*'Output-Calculation-sheet'!H80</f>
        <v>2554315401.2423072</v>
      </c>
      <c r="I97" s="2">
        <f>I9/'Output-Calculation-sheet'!I8*'Output-Calculation-sheet'!I80</f>
        <v>2101161464.1582882</v>
      </c>
      <c r="J97" s="2">
        <f>J9/'Output-Calculation-sheet'!J8*'Output-Calculation-sheet'!J80</f>
        <v>1381319724.5855138</v>
      </c>
      <c r="K97" s="2">
        <f>K9/'Output-Calculation-sheet'!K8*'Output-Calculation-sheet'!K80</f>
        <v>1991463418.4859867</v>
      </c>
      <c r="L97" s="2">
        <f>L9/'Output-Calculation-sheet'!L8*'Output-Calculation-sheet'!L80</f>
        <v>1449455479.4617896</v>
      </c>
      <c r="M97" s="2">
        <f>M9/'Output-Calculation-sheet'!M8*'Output-Calculation-sheet'!M80</f>
        <v>1912394346.4841568</v>
      </c>
      <c r="N97" s="2">
        <f>N9/'Output-Calculation-sheet'!N8*'Output-Calculation-sheet'!N80</f>
        <v>1397259760.1754994</v>
      </c>
      <c r="O97" s="2">
        <f>O9/'Output-Calculation-sheet'!O8*'Output-Calculation-sheet'!O80</f>
        <v>722850687.3950175</v>
      </c>
      <c r="P97" s="2">
        <f>P9/'Output-Calculation-sheet'!P8*'Output-Calculation-sheet'!P80</f>
        <v>2365031524.3706427</v>
      </c>
      <c r="Q97" s="2">
        <f>Q9/'Output-Calculation-sheet'!Q8*'Output-Calculation-sheet'!Q80</f>
        <v>1106271054.7259841</v>
      </c>
      <c r="R97" s="2">
        <f>R9/'Output-Calculation-sheet'!R8*'Output-Calculation-sheet'!R80</f>
        <v>1397770658.2501936</v>
      </c>
      <c r="S97" s="2">
        <f>S9/'Output-Calculation-sheet'!S8*'Output-Calculation-sheet'!S80</f>
        <v>811262045.38139522</v>
      </c>
      <c r="T97" s="2">
        <f>T9/'Output-Calculation-sheet'!T8*'Output-Calculation-sheet'!T80</f>
        <v>610908851.50519562</v>
      </c>
      <c r="U97" s="2">
        <f>U9/'Output-Calculation-sheet'!U8*'Output-Calculation-sheet'!U80</f>
        <v>390549647.42446816</v>
      </c>
      <c r="V97" s="2">
        <f>V9/'Output-Calculation-sheet'!V8*'Output-Calculation-sheet'!V80</f>
        <v>204780960.11842215</v>
      </c>
      <c r="W97" s="2">
        <f>W9/'Output-Calculation-sheet'!W8*'Output-Calculation-sheet'!W80</f>
        <v>593049617.29339075</v>
      </c>
      <c r="X97" s="2">
        <f>X9/'Output-Calculation-sheet'!X8*'Output-Calculation-sheet'!X80</f>
        <v>212962042.80842516</v>
      </c>
      <c r="Y97" s="2">
        <f>Y9/'Output-Calculation-sheet'!Y8*'Output-Calculation-sheet'!Y80</f>
        <v>325978457.65627211</v>
      </c>
      <c r="AA97" s="2">
        <f t="shared" si="8"/>
        <v>62.683593703576591</v>
      </c>
    </row>
    <row r="98" spans="1:27" x14ac:dyDescent="0.25">
      <c r="A98" s="2">
        <v>2033</v>
      </c>
      <c r="B98" s="2">
        <f>B10/'Output-Calculation-sheet'!B9*'Output-Calculation-sheet'!B81</f>
        <v>17459076149.375866</v>
      </c>
      <c r="C98" s="2">
        <f>C10/'Output-Calculation-sheet'!C9*'Output-Calculation-sheet'!C81</f>
        <v>5985837076.9655762</v>
      </c>
      <c r="D98" s="2">
        <f>D10/'Output-Calculation-sheet'!D9*'Output-Calculation-sheet'!D81</f>
        <v>5696693758.0722141</v>
      </c>
      <c r="E98" s="2">
        <f>E10/'Output-Calculation-sheet'!E9*'Output-Calculation-sheet'!E81</f>
        <v>10715839393.34495</v>
      </c>
      <c r="F98" s="2">
        <f>F10/'Output-Calculation-sheet'!F9*'Output-Calculation-sheet'!F81</f>
        <v>4419471179.2557917</v>
      </c>
      <c r="G98" s="2">
        <f>G10/'Output-Calculation-sheet'!G9*'Output-Calculation-sheet'!G81</f>
        <v>3244910958.468224</v>
      </c>
      <c r="H98" s="2">
        <f>H10/'Output-Calculation-sheet'!H9*'Output-Calculation-sheet'!H81</f>
        <v>2939915840.0928369</v>
      </c>
      <c r="I98" s="2">
        <f>I10/'Output-Calculation-sheet'!I9*'Output-Calculation-sheet'!I81</f>
        <v>2443938002.8177714</v>
      </c>
      <c r="J98" s="2">
        <f>J10/'Output-Calculation-sheet'!J9*'Output-Calculation-sheet'!J81</f>
        <v>1562715557.6276133</v>
      </c>
      <c r="K98" s="2">
        <f>K10/'Output-Calculation-sheet'!K9*'Output-Calculation-sheet'!K81</f>
        <v>2269906319.8268604</v>
      </c>
      <c r="L98" s="2">
        <f>L10/'Output-Calculation-sheet'!L9*'Output-Calculation-sheet'!L81</f>
        <v>1702463717.779716</v>
      </c>
      <c r="M98" s="2">
        <f>M10/'Output-Calculation-sheet'!M9*'Output-Calculation-sheet'!M81</f>
        <v>2207753359.887455</v>
      </c>
      <c r="N98" s="2">
        <f>N10/'Output-Calculation-sheet'!N9*'Output-Calculation-sheet'!N81</f>
        <v>1583890775.354686</v>
      </c>
      <c r="O98" s="2">
        <f>O10/'Output-Calculation-sheet'!O9*'Output-Calculation-sheet'!O81</f>
        <v>838759648.34288836</v>
      </c>
      <c r="P98" s="2">
        <f>P10/'Output-Calculation-sheet'!P9*'Output-Calculation-sheet'!P81</f>
        <v>2680432473.864028</v>
      </c>
      <c r="Q98" s="2">
        <f>Q10/'Output-Calculation-sheet'!Q9*'Output-Calculation-sheet'!Q81</f>
        <v>1260271398.6689804</v>
      </c>
      <c r="R98" s="2">
        <f>R10/'Output-Calculation-sheet'!R9*'Output-Calculation-sheet'!R81</f>
        <v>1612077783.1128595</v>
      </c>
      <c r="S98" s="2">
        <f>S10/'Output-Calculation-sheet'!S9*'Output-Calculation-sheet'!S81</f>
        <v>932067971.02722907</v>
      </c>
      <c r="T98" s="2">
        <f>T10/'Output-Calculation-sheet'!T9*'Output-Calculation-sheet'!T81</f>
        <v>691632779.40317583</v>
      </c>
      <c r="U98" s="2">
        <f>U10/'Output-Calculation-sheet'!U9*'Output-Calculation-sheet'!U81</f>
        <v>450021143.09879196</v>
      </c>
      <c r="V98" s="2">
        <f>V10/'Output-Calculation-sheet'!V9*'Output-Calculation-sheet'!V81</f>
        <v>238338775.63603121</v>
      </c>
      <c r="W98" s="2">
        <f>W10/'Output-Calculation-sheet'!W9*'Output-Calculation-sheet'!W81</f>
        <v>675772655.87937784</v>
      </c>
      <c r="X98" s="2">
        <f>X10/'Output-Calculation-sheet'!X9*'Output-Calculation-sheet'!X81</f>
        <v>248326005.35468075</v>
      </c>
      <c r="Y98" s="2">
        <f>Y10/'Output-Calculation-sheet'!Y9*'Output-Calculation-sheet'!Y81</f>
        <v>371581655.97366798</v>
      </c>
      <c r="AA98" s="2">
        <f t="shared" si="8"/>
        <v>72.231694379231257</v>
      </c>
    </row>
    <row r="99" spans="1:27" x14ac:dyDescent="0.25">
      <c r="A99" s="2">
        <v>2034</v>
      </c>
      <c r="B99" s="2">
        <f>B11/'Output-Calculation-sheet'!B10*'Output-Calculation-sheet'!B82</f>
        <v>18595445510.205429</v>
      </c>
      <c r="C99" s="2">
        <f>C11/'Output-Calculation-sheet'!C10*'Output-Calculation-sheet'!C82</f>
        <v>6416191630.8985844</v>
      </c>
      <c r="D99" s="2">
        <f>D11/'Output-Calculation-sheet'!D10*'Output-Calculation-sheet'!D82</f>
        <v>5836929611.433567</v>
      </c>
      <c r="E99" s="2">
        <f>E11/'Output-Calculation-sheet'!E10*'Output-Calculation-sheet'!E82</f>
        <v>11291028499.146637</v>
      </c>
      <c r="F99" s="2">
        <f>F11/'Output-Calculation-sheet'!F10*'Output-Calculation-sheet'!F82</f>
        <v>4650196075.0879145</v>
      </c>
      <c r="G99" s="2">
        <f>G11/'Output-Calculation-sheet'!G10*'Output-Calculation-sheet'!G82</f>
        <v>3305958500.0632057</v>
      </c>
      <c r="H99" s="2">
        <f>H11/'Output-Calculation-sheet'!H10*'Output-Calculation-sheet'!H82</f>
        <v>3090018445.6768632</v>
      </c>
      <c r="I99" s="2">
        <f>I11/'Output-Calculation-sheet'!I10*'Output-Calculation-sheet'!I82</f>
        <v>2595400376.8191614</v>
      </c>
      <c r="J99" s="2">
        <f>J11/'Output-Calculation-sheet'!J10*'Output-Calculation-sheet'!J82</f>
        <v>1615116661.8603826</v>
      </c>
      <c r="K99" s="2">
        <f>K11/'Output-Calculation-sheet'!K10*'Output-Calculation-sheet'!K82</f>
        <v>2363127622.9362516</v>
      </c>
      <c r="L99" s="2">
        <f>L11/'Output-Calculation-sheet'!L10*'Output-Calculation-sheet'!L82</f>
        <v>1824507338.9801996</v>
      </c>
      <c r="M99" s="2">
        <f>M11/'Output-Calculation-sheet'!M10*'Output-Calculation-sheet'!M82</f>
        <v>2327653620.5467615</v>
      </c>
      <c r="N99" s="2">
        <f>N11/'Output-Calculation-sheet'!N10*'Output-Calculation-sheet'!N82</f>
        <v>1639834150.5758331</v>
      </c>
      <c r="O99" s="2">
        <f>O11/'Output-Calculation-sheet'!O10*'Output-Calculation-sheet'!O82</f>
        <v>889036389.65111041</v>
      </c>
      <c r="P99" s="2">
        <f>P11/'Output-Calculation-sheet'!P10*'Output-Calculation-sheet'!P82</f>
        <v>2771327829.7183547</v>
      </c>
      <c r="Q99" s="2">
        <f>Q11/'Output-Calculation-sheet'!Q10*'Output-Calculation-sheet'!Q82</f>
        <v>1311566480.7610373</v>
      </c>
      <c r="R99" s="2">
        <f>R11/'Output-Calculation-sheet'!R10*'Output-Calculation-sheet'!R82</f>
        <v>1697816743.8672283</v>
      </c>
      <c r="S99" s="2">
        <f>S11/'Output-Calculation-sheet'!S10*'Output-Calculation-sheet'!S82</f>
        <v>977989909.48374236</v>
      </c>
      <c r="T99" s="2">
        <f>T11/'Output-Calculation-sheet'!T10*'Output-Calculation-sheet'!T82</f>
        <v>714796283.36967659</v>
      </c>
      <c r="U99" s="2">
        <f>U11/'Output-Calculation-sheet'!U10*'Output-Calculation-sheet'!U82</f>
        <v>473352508.0394066</v>
      </c>
      <c r="V99" s="2">
        <f>V11/'Output-Calculation-sheet'!V10*'Output-Calculation-sheet'!V82</f>
        <v>253095684.56578696</v>
      </c>
      <c r="W99" s="2">
        <f>W11/'Output-Calculation-sheet'!W10*'Output-Calculation-sheet'!W82</f>
        <v>701843194.63970089</v>
      </c>
      <c r="X99" s="2">
        <f>X11/'Output-Calculation-sheet'!X10*'Output-Calculation-sheet'!X82</f>
        <v>264333469.61741009</v>
      </c>
      <c r="Y99" s="2">
        <f>Y11/'Output-Calculation-sheet'!Y10*'Output-Calculation-sheet'!Y82</f>
        <v>386236355.90854174</v>
      </c>
      <c r="AA99" s="2">
        <f t="shared" si="8"/>
        <v>75.992802893852797</v>
      </c>
    </row>
    <row r="100" spans="1:27" x14ac:dyDescent="0.25">
      <c r="A100" s="2">
        <v>2035</v>
      </c>
      <c r="B100" s="2">
        <f>B12/'Output-Calculation-sheet'!B11*'Output-Calculation-sheet'!B83</f>
        <v>18183083144.316055</v>
      </c>
      <c r="C100" s="2">
        <f>C12/'Output-Calculation-sheet'!C11*'Output-Calculation-sheet'!C83</f>
        <v>6312871131.3375893</v>
      </c>
      <c r="D100" s="2">
        <f>D12/'Output-Calculation-sheet'!D11*'Output-Calculation-sheet'!D83</f>
        <v>5494544870.0246677</v>
      </c>
      <c r="E100" s="2">
        <f>E12/'Output-Calculation-sheet'!E11*'Output-Calculation-sheet'!E83</f>
        <v>10927231995.384731</v>
      </c>
      <c r="F100" s="2">
        <f>F12/'Output-Calculation-sheet'!F11*'Output-Calculation-sheet'!F83</f>
        <v>4495027542.6597319</v>
      </c>
      <c r="G100" s="2">
        <f>G12/'Output-Calculation-sheet'!G11*'Output-Calculation-sheet'!G83</f>
        <v>3088959188.2406926</v>
      </c>
      <c r="H100" s="2">
        <f>H12/'Output-Calculation-sheet'!H11*'Output-Calculation-sheet'!H83</f>
        <v>2983703731.5885653</v>
      </c>
      <c r="I100" s="2">
        <f>I12/'Output-Calculation-sheet'!I11*'Output-Calculation-sheet'!I83</f>
        <v>2531613683.2169337</v>
      </c>
      <c r="J100" s="2">
        <f>J12/'Output-Calculation-sheet'!J11*'Output-Calculation-sheet'!J83</f>
        <v>1534266853.9522669</v>
      </c>
      <c r="K100" s="2">
        <f>K12/'Output-Calculation-sheet'!K11*'Output-Calculation-sheet'!K83</f>
        <v>2260628609.5846267</v>
      </c>
      <c r="L100" s="2">
        <f>L12/'Output-Calculation-sheet'!L11*'Output-Calculation-sheet'!L83</f>
        <v>1794810216.3075805</v>
      </c>
      <c r="M100" s="2">
        <f>M12/'Output-Calculation-sheet'!M11*'Output-Calculation-sheet'!M83</f>
        <v>2254679346.6883259</v>
      </c>
      <c r="N100" s="2">
        <f>N12/'Output-Calculation-sheet'!N11*'Output-Calculation-sheet'!N83</f>
        <v>1560060027.7697291</v>
      </c>
      <c r="O100" s="2">
        <f>O12/'Output-Calculation-sheet'!O11*'Output-Calculation-sheet'!O83</f>
        <v>865932372.05814278</v>
      </c>
      <c r="P100" s="2">
        <f>P12/'Output-Calculation-sheet'!P11*'Output-Calculation-sheet'!P83</f>
        <v>2629898143.1235867</v>
      </c>
      <c r="Q100" s="2">
        <f>Q12/'Output-Calculation-sheet'!Q11*'Output-Calculation-sheet'!Q83</f>
        <v>1254473470.1172824</v>
      </c>
      <c r="R100" s="2">
        <f>R12/'Output-Calculation-sheet'!R11*'Output-Calculation-sheet'!R83</f>
        <v>1642663089.6796873</v>
      </c>
      <c r="S100" s="2">
        <f>S12/'Output-Calculation-sheet'!S11*'Output-Calculation-sheet'!S83</f>
        <v>942804214.86979032</v>
      </c>
      <c r="T100" s="2">
        <f>T12/'Output-Calculation-sheet'!T11*'Output-Calculation-sheet'!T83</f>
        <v>678492376.0893631</v>
      </c>
      <c r="U100" s="2">
        <f>U12/'Output-Calculation-sheet'!U11*'Output-Calculation-sheet'!U83</f>
        <v>457227039.73577541</v>
      </c>
      <c r="V100" s="2">
        <f>V12/'Output-Calculation-sheet'!V11*'Output-Calculation-sheet'!V83</f>
        <v>246700553.4985413</v>
      </c>
      <c r="W100" s="2">
        <f>W12/'Output-Calculation-sheet'!W11*'Output-Calculation-sheet'!W83</f>
        <v>668372406.98601663</v>
      </c>
      <c r="X100" s="2">
        <f>X12/'Output-Calculation-sheet'!X11*'Output-Calculation-sheet'!X83</f>
        <v>258399121.136042</v>
      </c>
      <c r="Y100" s="2">
        <f>Y12/'Output-Calculation-sheet'!Y11*'Output-Calculation-sheet'!Y83</f>
        <v>368313091.1912486</v>
      </c>
      <c r="AA100" s="2">
        <f t="shared" si="8"/>
        <v>73.434756219556974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1347272169.4006712</v>
      </c>
      <c r="C107" s="2">
        <f>C8/'Output-Calculation-sheet'!C7*'Output-Calculation-sheet'!C88</f>
        <v>22188119144.842834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6922782177.1245289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4776161139.5672693</v>
      </c>
      <c r="N107" s="2">
        <f>N8/'Output-Calculation-sheet'!N7*'Output-Calculation-sheet'!N88</f>
        <v>1451171555.3835626</v>
      </c>
      <c r="O107" s="2">
        <f>O8/'Output-Calculation-sheet'!O7*'Output-Calculation-sheet'!O88</f>
        <v>4311171806.9944401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479025821.84846377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517259780.07311416</v>
      </c>
      <c r="Y107" s="2">
        <f>Y8/'Output-Calculation-sheet'!Y7*'Output-Calculation-sheet'!Y88</f>
        <v>0</v>
      </c>
      <c r="AA107" s="2">
        <f t="shared" si="9"/>
        <v>41992.963595234876</v>
      </c>
    </row>
    <row r="108" spans="1:27" x14ac:dyDescent="0.25">
      <c r="A108" s="2">
        <v>2032</v>
      </c>
      <c r="B108" s="2">
        <f>B9/'Output-Calculation-sheet'!B8*'Output-Calculation-sheet'!B89</f>
        <v>5753724881.9328232</v>
      </c>
      <c r="C108" s="2">
        <f>C9/'Output-Calculation-sheet'!C8*'Output-Calculation-sheet'!C89</f>
        <v>28842977241.401119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8998809667.5800152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6208396196.2534714</v>
      </c>
      <c r="N108" s="2">
        <f>N9/'Output-Calculation-sheet'!N8*'Output-Calculation-sheet'!N89</f>
        <v>2925658407.9775476</v>
      </c>
      <c r="O108" s="2">
        <f>O9/'Output-Calculation-sheet'!O8*'Output-Calculation-sheet'!O89</f>
        <v>5604215010.9072332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879266136.7604177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672387865.56304336</v>
      </c>
      <c r="Y108" s="2">
        <f>Y9/'Output-Calculation-sheet'!Y8*'Output-Calculation-sheet'!Y89</f>
        <v>0</v>
      </c>
      <c r="AA108" s="2">
        <f t="shared" si="9"/>
        <v>59885.435408375663</v>
      </c>
    </row>
    <row r="109" spans="1:27" x14ac:dyDescent="0.25">
      <c r="A109" s="2">
        <v>2033</v>
      </c>
      <c r="B109" s="2">
        <f>B10/'Output-Calculation-sheet'!B9*'Output-Calculation-sheet'!B90</f>
        <v>14301391397.683022</v>
      </c>
      <c r="C109" s="2">
        <f>C10/'Output-Calculation-sheet'!C9*'Output-Calculation-sheet'!C90</f>
        <v>31562208872.630478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10507613911.810154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7249340479.4960403</v>
      </c>
      <c r="N109" s="2">
        <f>N10/'Output-Calculation-sheet'!N9*'Output-Calculation-sheet'!N90</f>
        <v>4269456573.4091177</v>
      </c>
      <c r="O109" s="2">
        <f>O10/'Output-Calculation-sheet'!O9*'Output-Calculation-sheet'!O90</f>
        <v>5790657314.8936758</v>
      </c>
      <c r="P109" s="2">
        <f>P10/'Output-Calculation-sheet'!P9*'Output-Calculation-sheet'!P90</f>
        <v>0</v>
      </c>
      <c r="Q109" s="2">
        <f>Q10/'Output-Calculation-sheet'!Q9*'Output-Calculation-sheet'!Q90</f>
        <v>139025210.87999707</v>
      </c>
      <c r="R109" s="2">
        <f>R10/'Output-Calculation-sheet'!R9*'Output-Calculation-sheet'!R90</f>
        <v>0</v>
      </c>
      <c r="S109" s="2">
        <f>S10/'Output-Calculation-sheet'!S9*'Output-Calculation-sheet'!S90</f>
        <v>1723148001.4902735</v>
      </c>
      <c r="T109" s="2">
        <f>T10/'Output-Calculation-sheet'!T9*'Output-Calculation-sheet'!T90</f>
        <v>1.3136030324651054E-7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785125507.1152612</v>
      </c>
      <c r="Y109" s="2">
        <f>Y10/'Output-Calculation-sheet'!Y9*'Output-Calculation-sheet'!Y90</f>
        <v>0</v>
      </c>
      <c r="AA109" s="2">
        <f t="shared" si="9"/>
        <v>76327.967269408022</v>
      </c>
    </row>
    <row r="110" spans="1:27" x14ac:dyDescent="0.25">
      <c r="A110" s="2">
        <v>2034</v>
      </c>
      <c r="B110" s="2">
        <f>B11/'Output-Calculation-sheet'!B10*'Output-Calculation-sheet'!B91</f>
        <v>29974776390.948441</v>
      </c>
      <c r="C110" s="2">
        <f>C11/'Output-Calculation-sheet'!C10*'Output-Calculation-sheet'!C91</f>
        <v>30310629252.785774</v>
      </c>
      <c r="D110" s="2">
        <f>D11/'Output-Calculation-sheet'!D10*'Output-Calculation-sheet'!D91</f>
        <v>0</v>
      </c>
      <c r="E110" s="2">
        <f>E11/'Output-Calculation-sheet'!E10*'Output-Calculation-sheet'!E91</f>
        <v>611468851.11519253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11195567533.043451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508838747.53802669</v>
      </c>
      <c r="M110" s="2">
        <f>M11/'Output-Calculation-sheet'!M10*'Output-Calculation-sheet'!M91</f>
        <v>7723967404.6999636</v>
      </c>
      <c r="N110" s="2">
        <f>N11/'Output-Calculation-sheet'!N10*'Output-Calculation-sheet'!N91</f>
        <v>5342282507.3478603</v>
      </c>
      <c r="O110" s="2">
        <f>O11/'Output-Calculation-sheet'!O10*'Output-Calculation-sheet'!O91</f>
        <v>5546925096.6020298</v>
      </c>
      <c r="P110" s="2">
        <f>P11/'Output-Calculation-sheet'!P10*'Output-Calculation-sheet'!P91</f>
        <v>0</v>
      </c>
      <c r="Q110" s="2">
        <f>Q11/'Output-Calculation-sheet'!Q10*'Output-Calculation-sheet'!Q91</f>
        <v>1359442361.5907974</v>
      </c>
      <c r="R110" s="2">
        <f>R11/'Output-Calculation-sheet'!R10*'Output-Calculation-sheet'!R91</f>
        <v>0</v>
      </c>
      <c r="S110" s="2">
        <f>S11/'Output-Calculation-sheet'!S10*'Output-Calculation-sheet'!S91</f>
        <v>2627145213.0601082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765239203.7931118</v>
      </c>
      <c r="Y110" s="2">
        <f>Y11/'Output-Calculation-sheet'!Y10*'Output-Calculation-sheet'!Y91</f>
        <v>33487533.941238552</v>
      </c>
      <c r="AA110" s="2">
        <f t="shared" si="9"/>
        <v>95999.770096465989</v>
      </c>
    </row>
    <row r="111" spans="1:27" x14ac:dyDescent="0.25">
      <c r="A111" s="2">
        <v>2035</v>
      </c>
      <c r="B111" s="2">
        <f>B12/'Output-Calculation-sheet'!B11*'Output-Calculation-sheet'!B92</f>
        <v>32593368052.478176</v>
      </c>
      <c r="C111" s="2">
        <f>C12/'Output-Calculation-sheet'!C11*'Output-Calculation-sheet'!C92</f>
        <v>27258742138.180748</v>
      </c>
      <c r="D111" s="2">
        <f>D12/'Output-Calculation-sheet'!D11*'Output-Calculation-sheet'!D92</f>
        <v>0</v>
      </c>
      <c r="E111" s="2">
        <f>E12/'Output-Calculation-sheet'!E11*'Output-Calculation-sheet'!E92</f>
        <v>3628101441.6536803</v>
      </c>
      <c r="F111" s="2">
        <f>F12/'Output-Calculation-sheet'!F11*'Output-Calculation-sheet'!F92</f>
        <v>0</v>
      </c>
      <c r="G111" s="2">
        <f>G12/'Output-Calculation-sheet'!G11*'Output-Calculation-sheet'!G92</f>
        <v>-3.9447184669703197E-7</v>
      </c>
      <c r="H111" s="2">
        <f>H12/'Output-Calculation-sheet'!H11*'Output-Calculation-sheet'!H92</f>
        <v>10089582954.395439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1197256493.1461146</v>
      </c>
      <c r="M111" s="2">
        <f>M12/'Output-Calculation-sheet'!M11*'Output-Calculation-sheet'!M92</f>
        <v>7119465959.6957922</v>
      </c>
      <c r="N111" s="2">
        <f>N12/'Output-Calculation-sheet'!N11*'Output-Calculation-sheet'!N92</f>
        <v>5134702414.6525755</v>
      </c>
      <c r="O111" s="2">
        <f>O12/'Output-Calculation-sheet'!O11*'Output-Calculation-sheet'!O92</f>
        <v>4952599450.1863966</v>
      </c>
      <c r="P111" s="2">
        <f>P12/'Output-Calculation-sheet'!P11*'Output-Calculation-sheet'!P92</f>
        <v>249072325.0311127</v>
      </c>
      <c r="Q111" s="2">
        <f>Q12/'Output-Calculation-sheet'!Q11*'Output-Calculation-sheet'!Q92</f>
        <v>1713045510.1129718</v>
      </c>
      <c r="R111" s="2">
        <f>R12/'Output-Calculation-sheet'!R11*'Output-Calculation-sheet'!R92</f>
        <v>0</v>
      </c>
      <c r="S111" s="2">
        <f>S12/'Output-Calculation-sheet'!S11*'Output-Calculation-sheet'!S92</f>
        <v>2628217858.507978</v>
      </c>
      <c r="T111" s="2">
        <f>T12/'Output-Calculation-sheet'!T11*'Output-Calculation-sheet'!T92</f>
        <v>0</v>
      </c>
      <c r="U111" s="2">
        <f>U12/'Output-Calculation-sheet'!U11*'Output-Calculation-sheet'!U92</f>
        <v>49696715.665976033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702539786.16679585</v>
      </c>
      <c r="Y111" s="2">
        <f>Y12/'Output-Calculation-sheet'!Y11*'Output-Calculation-sheet'!Y92</f>
        <v>169254030.29045811</v>
      </c>
      <c r="AA111" s="2">
        <f t="shared" si="9"/>
        <v>97485.645130164194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45746987725.283722</v>
      </c>
      <c r="C118" s="2">
        <f>C8/'Output-Calculation-sheet'!C7*'Output-Calculation-sheet'!C97</f>
        <v>0</v>
      </c>
      <c r="D118" s="2">
        <f>D8/'Output-Calculation-sheet'!D7*'Output-Calculation-sheet'!D97</f>
        <v>19780131819.291672</v>
      </c>
      <c r="E118" s="2">
        <f>E8/'Output-Calculation-sheet'!E7*'Output-Calculation-sheet'!E97</f>
        <v>15693527374.15766</v>
      </c>
      <c r="F118" s="2">
        <f>F8/'Output-Calculation-sheet'!F7*'Output-Calculation-sheet'!F97</f>
        <v>10102486727.523363</v>
      </c>
      <c r="G118" s="2">
        <f>G8/'Output-Calculation-sheet'!G7*'Output-Calculation-sheet'!G97</f>
        <v>7098284430.0227051</v>
      </c>
      <c r="H118" s="2">
        <f>H8/'Output-Calculation-sheet'!H7*'Output-Calculation-sheet'!H97</f>
        <v>0</v>
      </c>
      <c r="I118" s="2">
        <f>I8/'Output-Calculation-sheet'!I7*'Output-Calculation-sheet'!I97</f>
        <v>6467095872.8340826</v>
      </c>
      <c r="J118" s="2">
        <f>J8/'Output-Calculation-sheet'!J7*'Output-Calculation-sheet'!J97</f>
        <v>6294625696.1921186</v>
      </c>
      <c r="K118" s="2">
        <f>K8/'Output-Calculation-sheet'!K7*'Output-Calculation-sheet'!K97</f>
        <v>6234279195.5990248</v>
      </c>
      <c r="L118" s="2">
        <f>L8/'Output-Calculation-sheet'!L7*'Output-Calculation-sheet'!L97</f>
        <v>5001219833.61724</v>
      </c>
      <c r="M118" s="2">
        <f>M8/'Output-Calculation-sheet'!M7*'Output-Calculation-sheet'!M97</f>
        <v>0</v>
      </c>
      <c r="N118" s="2">
        <f>N8/'Output-Calculation-sheet'!N7*'Output-Calculation-sheet'!N97</f>
        <v>3237431440.428524</v>
      </c>
      <c r="O118" s="2">
        <f>O8/'Output-Calculation-sheet'!O7*'Output-Calculation-sheet'!O97</f>
        <v>0</v>
      </c>
      <c r="P118" s="2">
        <f>P8/'Output-Calculation-sheet'!P7*'Output-Calculation-sheet'!P97</f>
        <v>4268283276.070498</v>
      </c>
      <c r="Q118" s="2">
        <f>Q8/'Output-Calculation-sheet'!Q7*'Output-Calculation-sheet'!Q97</f>
        <v>4199300124.1478157</v>
      </c>
      <c r="R118" s="2">
        <f>R8/'Output-Calculation-sheet'!R7*'Output-Calculation-sheet'!R97</f>
        <v>4039919846.3981199</v>
      </c>
      <c r="S118" s="2">
        <f>S8/'Output-Calculation-sheet'!S7*'Output-Calculation-sheet'!S97</f>
        <v>2206112176.2490354</v>
      </c>
      <c r="T118" s="2">
        <f>T8/'Output-Calculation-sheet'!T7*'Output-Calculation-sheet'!T97</f>
        <v>1485040087.5583436</v>
      </c>
      <c r="U118" s="2">
        <f>U8/'Output-Calculation-sheet'!U7*'Output-Calculation-sheet'!U97</f>
        <v>1293418920.6114795</v>
      </c>
      <c r="V118" s="2">
        <f>V8/'Output-Calculation-sheet'!V7*'Output-Calculation-sheet'!V97</f>
        <v>995958828.62254107</v>
      </c>
      <c r="W118" s="2">
        <f>W8/'Output-Calculation-sheet'!W7*'Output-Calculation-sheet'!W97</f>
        <v>862279280.14356732</v>
      </c>
      <c r="X118" s="2">
        <f>X8/'Output-Calculation-sheet'!X7*'Output-Calculation-sheet'!X97</f>
        <v>0</v>
      </c>
      <c r="Y118" s="2">
        <f>Y8/'Output-Calculation-sheet'!Y7*'Output-Calculation-sheet'!Y97</f>
        <v>503134983.08281326</v>
      </c>
      <c r="AA118" s="2">
        <f t="shared" si="10"/>
        <v>145509.5176378343</v>
      </c>
    </row>
    <row r="119" spans="1:27" x14ac:dyDescent="0.25">
      <c r="A119" s="2">
        <v>2032</v>
      </c>
      <c r="B119" s="2">
        <f>B9/'Output-Calculation-sheet'!B8*'Output-Calculation-sheet'!B98</f>
        <v>55462656986.584229</v>
      </c>
      <c r="C119" s="2">
        <f>C9/'Output-Calculation-sheet'!C8*'Output-Calculation-sheet'!C98</f>
        <v>0</v>
      </c>
      <c r="D119" s="2">
        <f>D9/'Output-Calculation-sheet'!D8*'Output-Calculation-sheet'!D98</f>
        <v>25711587719.643238</v>
      </c>
      <c r="E119" s="2">
        <f>E9/'Output-Calculation-sheet'!E8*'Output-Calculation-sheet'!E98</f>
        <v>20399530936.657875</v>
      </c>
      <c r="F119" s="2">
        <f>F9/'Output-Calculation-sheet'!F8*'Output-Calculation-sheet'!F98</f>
        <v>13131914159.718634</v>
      </c>
      <c r="G119" s="2">
        <f>G9/'Output-Calculation-sheet'!G8*'Output-Calculation-sheet'!G98</f>
        <v>9226843314.5248013</v>
      </c>
      <c r="H119" s="2">
        <f>H9/'Output-Calculation-sheet'!H8*'Output-Calculation-sheet'!H98</f>
        <v>1.2342795188415927E-6</v>
      </c>
      <c r="I119" s="2">
        <f>I9/'Output-Calculation-sheet'!I8*'Output-Calculation-sheet'!I98</f>
        <v>8406381202.5160942</v>
      </c>
      <c r="J119" s="2">
        <f>J9/'Output-Calculation-sheet'!J8*'Output-Calculation-sheet'!J98</f>
        <v>8182189289.1228571</v>
      </c>
      <c r="K119" s="2">
        <f>K9/'Output-Calculation-sheet'!K8*'Output-Calculation-sheet'!K98</f>
        <v>8103748010.4101667</v>
      </c>
      <c r="L119" s="2">
        <f>L9/'Output-Calculation-sheet'!L8*'Output-Calculation-sheet'!L98</f>
        <v>6500933545.5257797</v>
      </c>
      <c r="M119" s="2">
        <f>M9/'Output-Calculation-sheet'!M8*'Output-Calculation-sheet'!M98</f>
        <v>0</v>
      </c>
      <c r="N119" s="2">
        <f>N9/'Output-Calculation-sheet'!N8*'Output-Calculation-sheet'!N98</f>
        <v>3168403163.0994086</v>
      </c>
      <c r="O119" s="2">
        <f>O9/'Output-Calculation-sheet'!O8*'Output-Calculation-sheet'!O98</f>
        <v>0</v>
      </c>
      <c r="P119" s="2">
        <f>P9/'Output-Calculation-sheet'!P8*'Output-Calculation-sheet'!P98</f>
        <v>5548174091.211791</v>
      </c>
      <c r="Q119" s="2">
        <f>Q9/'Output-Calculation-sheet'!Q8*'Output-Calculation-sheet'!Q98</f>
        <v>5458541643.4763737</v>
      </c>
      <c r="R119" s="2">
        <f>R9/'Output-Calculation-sheet'!R8*'Output-Calculation-sheet'!R98</f>
        <v>5251368523.5324249</v>
      </c>
      <c r="S119" s="2">
        <f>S9/'Output-Calculation-sheet'!S8*'Output-Calculation-sheet'!S98</f>
        <v>2610875620.3536453</v>
      </c>
      <c r="T119" s="2">
        <f>T9/'Output-Calculation-sheet'!T8*'Output-Calculation-sheet'!T98</f>
        <v>1930357837.8123615</v>
      </c>
      <c r="U119" s="2">
        <f>U9/'Output-Calculation-sheet'!U8*'Output-Calculation-sheet'!U98</f>
        <v>1681276049.4774623</v>
      </c>
      <c r="V119" s="2">
        <f>V9/'Output-Calculation-sheet'!V8*'Output-Calculation-sheet'!V98</f>
        <v>1294616183.8307037</v>
      </c>
      <c r="W119" s="2">
        <f>W9/'Output-Calculation-sheet'!W8*'Output-Calculation-sheet'!W98</f>
        <v>1120850523.5249889</v>
      </c>
      <c r="X119" s="2">
        <f>X9/'Output-Calculation-sheet'!X8*'Output-Calculation-sheet'!X98</f>
        <v>0</v>
      </c>
      <c r="Y119" s="2">
        <f>Y9/'Output-Calculation-sheet'!Y8*'Output-Calculation-sheet'!Y98</f>
        <v>654009555.65671825</v>
      </c>
      <c r="AA119" s="2">
        <f t="shared" si="10"/>
        <v>183844.25835667949</v>
      </c>
    </row>
    <row r="120" spans="1:27" x14ac:dyDescent="0.25">
      <c r="A120" s="2">
        <v>2033</v>
      </c>
      <c r="B120" s="2">
        <f>B10/'Output-Calculation-sheet'!B9*'Output-Calculation-sheet'!B99</f>
        <v>57172480196.603317</v>
      </c>
      <c r="C120" s="2">
        <f>C10/'Output-Calculation-sheet'!C9*'Output-Calculation-sheet'!C99</f>
        <v>0</v>
      </c>
      <c r="D120" s="2">
        <f>D10/'Output-Calculation-sheet'!D9*'Output-Calculation-sheet'!D99</f>
        <v>30021675429.470901</v>
      </c>
      <c r="E120" s="2">
        <f>E10/'Output-Calculation-sheet'!E9*'Output-Calculation-sheet'!E99</f>
        <v>23819149846.530876</v>
      </c>
      <c r="F120" s="2">
        <f>F10/'Output-Calculation-sheet'!F9*'Output-Calculation-sheet'!F99</f>
        <v>15333241498.129679</v>
      </c>
      <c r="G120" s="2">
        <f>G10/'Output-Calculation-sheet'!G9*'Output-Calculation-sheet'!G99</f>
        <v>10773556286.040686</v>
      </c>
      <c r="H120" s="2">
        <f>H10/'Output-Calculation-sheet'!H9*'Output-Calculation-sheet'!H99</f>
        <v>0</v>
      </c>
      <c r="I120" s="2">
        <f>I10/'Output-Calculation-sheet'!I9*'Output-Calculation-sheet'!I99</f>
        <v>9815559102.7669506</v>
      </c>
      <c r="J120" s="2">
        <f>J10/'Output-Calculation-sheet'!J9*'Output-Calculation-sheet'!J99</f>
        <v>9553785449.8780632</v>
      </c>
      <c r="K120" s="2">
        <f>K10/'Output-Calculation-sheet'!K9*'Output-Calculation-sheet'!K99</f>
        <v>9462419158.1402054</v>
      </c>
      <c r="L120" s="2">
        <f>L10/'Output-Calculation-sheet'!L9*'Output-Calculation-sheet'!L99</f>
        <v>7590697570.4098215</v>
      </c>
      <c r="M120" s="2">
        <f>M10/'Output-Calculation-sheet'!M9*'Output-Calculation-sheet'!M99</f>
        <v>0</v>
      </c>
      <c r="N120" s="2">
        <f>N10/'Output-Calculation-sheet'!N9*'Output-Calculation-sheet'!N99</f>
        <v>2845747335.2497621</v>
      </c>
      <c r="O120" s="2">
        <f>O10/'Output-Calculation-sheet'!O9*'Output-Calculation-sheet'!O99</f>
        <v>0</v>
      </c>
      <c r="P120" s="2">
        <f>P10/'Output-Calculation-sheet'!P9*'Output-Calculation-sheet'!P99</f>
        <v>6477885188.782712</v>
      </c>
      <c r="Q120" s="2">
        <f>Q10/'Output-Calculation-sheet'!Q9*'Output-Calculation-sheet'!Q99</f>
        <v>6234480299.289463</v>
      </c>
      <c r="R120" s="2">
        <f>R10/'Output-Calculation-sheet'!R9*'Output-Calculation-sheet'!R99</f>
        <v>6131377708.9240379</v>
      </c>
      <c r="S120" s="2">
        <f>S10/'Output-Calculation-sheet'!S9*'Output-Calculation-sheet'!S99</f>
        <v>2351781308.4974399</v>
      </c>
      <c r="T120" s="2">
        <f>T10/'Output-Calculation-sheet'!T9*'Output-Calculation-sheet'!T99</f>
        <v>2253928058.3456206</v>
      </c>
      <c r="U120" s="2">
        <f>U10/'Output-Calculation-sheet'!U9*'Output-Calculation-sheet'!U99</f>
        <v>1963533117.1046162</v>
      </c>
      <c r="V120" s="2">
        <f>V10/'Output-Calculation-sheet'!V9*'Output-Calculation-sheet'!V99</f>
        <v>1511635268.7827199</v>
      </c>
      <c r="W120" s="2">
        <f>W10/'Output-Calculation-sheet'!W9*'Output-Calculation-sheet'!W99</f>
        <v>1308741131.2255721</v>
      </c>
      <c r="X120" s="2">
        <f>X10/'Output-Calculation-sheet'!X9*'Output-Calculation-sheet'!X99</f>
        <v>0</v>
      </c>
      <c r="Y120" s="2">
        <f>Y10/'Output-Calculation-sheet'!Y9*'Output-Calculation-sheet'!Y99</f>
        <v>763643587.19443345</v>
      </c>
      <c r="AA120" s="2">
        <f t="shared" si="10"/>
        <v>205385.31754136685</v>
      </c>
    </row>
    <row r="121" spans="1:27" x14ac:dyDescent="0.25">
      <c r="A121" s="2">
        <v>2034</v>
      </c>
      <c r="B121" s="2">
        <f>B11/'Output-Calculation-sheet'!B10*'Output-Calculation-sheet'!B100</f>
        <v>46171986950.597389</v>
      </c>
      <c r="C121" s="2">
        <f>C11/'Output-Calculation-sheet'!C10*'Output-Calculation-sheet'!C100</f>
        <v>0</v>
      </c>
      <c r="D121" s="2">
        <f>D11/'Output-Calculation-sheet'!D10*'Output-Calculation-sheet'!D100</f>
        <v>31986560443.049698</v>
      </c>
      <c r="E121" s="2">
        <f>E11/'Output-Calculation-sheet'!E10*'Output-Calculation-sheet'!E100</f>
        <v>24765547052.523838</v>
      </c>
      <c r="F121" s="2">
        <f>F11/'Output-Calculation-sheet'!F10*'Output-Calculation-sheet'!F100</f>
        <v>16336696956.434401</v>
      </c>
      <c r="G121" s="2">
        <f>G11/'Output-Calculation-sheet'!G10*'Output-Calculation-sheet'!G100</f>
        <v>11478051590.008583</v>
      </c>
      <c r="H121" s="2">
        <f>H11/'Output-Calculation-sheet'!H10*'Output-Calculation-sheet'!H100</f>
        <v>0</v>
      </c>
      <c r="I121" s="2">
        <f>I11/'Output-Calculation-sheet'!I10*'Output-Calculation-sheet'!I100</f>
        <v>10457604214.787613</v>
      </c>
      <c r="J121" s="2">
        <f>J11/'Output-Calculation-sheet'!J10*'Output-Calculation-sheet'!J100</f>
        <v>10178820204.34712</v>
      </c>
      <c r="K121" s="2">
        <f>K11/'Output-Calculation-sheet'!K10*'Output-Calculation-sheet'!K100</f>
        <v>10081490157.699724</v>
      </c>
      <c r="L121" s="2">
        <f>L11/'Output-Calculation-sheet'!L10*'Output-Calculation-sheet'!L100</f>
        <v>7578426396.77981</v>
      </c>
      <c r="M121" s="2">
        <f>M11/'Output-Calculation-sheet'!M10*'Output-Calculation-sheet'!M100</f>
        <v>5.1730278667680511E-7</v>
      </c>
      <c r="N121" s="2">
        <f>N11/'Output-Calculation-sheet'!N10*'Output-Calculation-sheet'!N100</f>
        <v>2238767232.0706558</v>
      </c>
      <c r="O121" s="2">
        <f>O11/'Output-Calculation-sheet'!O10*'Output-Calculation-sheet'!O100</f>
        <v>0</v>
      </c>
      <c r="P121" s="2">
        <f>P11/'Output-Calculation-sheet'!P10*'Output-Calculation-sheet'!P100</f>
        <v>6901571150.1467676</v>
      </c>
      <c r="Q121" s="2">
        <f>Q11/'Output-Calculation-sheet'!Q10*'Output-Calculation-sheet'!Q100</f>
        <v>5430646257.152401</v>
      </c>
      <c r="R121" s="2">
        <f>R11/'Output-Calculation-sheet'!R10*'Output-Calculation-sheet'!R100</f>
        <v>6532384075.5903692</v>
      </c>
      <c r="S121" s="2">
        <f>S11/'Output-Calculation-sheet'!S10*'Output-Calculation-sheet'!S100</f>
        <v>1714448050.1327586</v>
      </c>
      <c r="T121" s="2">
        <f>T11/'Output-Calculation-sheet'!T10*'Output-Calculation-sheet'!T100</f>
        <v>2401303271.2171836</v>
      </c>
      <c r="U121" s="2">
        <f>U11/'Output-Calculation-sheet'!U10*'Output-Calculation-sheet'!U100</f>
        <v>2092721884.6050994</v>
      </c>
      <c r="V121" s="2">
        <f>V11/'Output-Calculation-sheet'!V10*'Output-Calculation-sheet'!V100</f>
        <v>1611022722.3260574</v>
      </c>
      <c r="W121" s="2">
        <f>W11/'Output-Calculation-sheet'!W10*'Output-Calculation-sheet'!W100</f>
        <v>1394438188.6039128</v>
      </c>
      <c r="X121" s="2">
        <f>X11/'Output-Calculation-sheet'!X10*'Output-Calculation-sheet'!X100</f>
        <v>61904007.269292206</v>
      </c>
      <c r="Y121" s="2">
        <f>Y11/'Output-Calculation-sheet'!Y10*'Output-Calculation-sheet'!Y100</f>
        <v>780120974.39390528</v>
      </c>
      <c r="AA121" s="2">
        <f t="shared" si="10"/>
        <v>200194.51177973658</v>
      </c>
    </row>
    <row r="122" spans="1:27" x14ac:dyDescent="0.25">
      <c r="A122" s="2">
        <v>2035</v>
      </c>
      <c r="B122" s="2">
        <f>B12/'Output-Calculation-sheet'!B11*'Output-Calculation-sheet'!B101</f>
        <v>37505608243.705566</v>
      </c>
      <c r="C122" s="2">
        <f>C12/'Output-Calculation-sheet'!C11*'Output-Calculation-sheet'!C101</f>
        <v>0</v>
      </c>
      <c r="D122" s="2">
        <f>D12/'Output-Calculation-sheet'!D11*'Output-Calculation-sheet'!D101</f>
        <v>29141162108.534889</v>
      </c>
      <c r="E122" s="2">
        <f>E12/'Output-Calculation-sheet'!E11*'Output-Calculation-sheet'!E101</f>
        <v>20594786515.63232</v>
      </c>
      <c r="F122" s="2">
        <f>F12/'Output-Calculation-sheet'!F11*'Output-Calculation-sheet'!F101</f>
        <v>15326090017.729883</v>
      </c>
      <c r="G122" s="2">
        <f>G12/'Output-Calculation-sheet'!G11*'Output-Calculation-sheet'!G101</f>
        <v>10609768846.552551</v>
      </c>
      <c r="H122" s="2">
        <f>H12/'Output-Calculation-sheet'!H11*'Output-Calculation-sheet'!H101</f>
        <v>0</v>
      </c>
      <c r="I122" s="2">
        <f>I12/'Output-Calculation-sheet'!I11*'Output-Calculation-sheet'!I101</f>
        <v>9692579356.3803635</v>
      </c>
      <c r="J122" s="2">
        <f>J12/'Output-Calculation-sheet'!J11*'Output-Calculation-sheet'!J101</f>
        <v>9346170875.3417854</v>
      </c>
      <c r="K122" s="2">
        <f>K12/'Output-Calculation-sheet'!K11*'Output-Calculation-sheet'!K101</f>
        <v>9398220170.1987591</v>
      </c>
      <c r="L122" s="2">
        <f>L12/'Output-Calculation-sheet'!L11*'Output-Calculation-sheet'!L101</f>
        <v>6467618079.987833</v>
      </c>
      <c r="M122" s="2">
        <f>M12/'Output-Calculation-sheet'!M11*'Output-Calculation-sheet'!M101</f>
        <v>0</v>
      </c>
      <c r="N122" s="2">
        <f>N12/'Output-Calculation-sheet'!N11*'Output-Calculation-sheet'!N101</f>
        <v>1820024771.410516</v>
      </c>
      <c r="O122" s="2">
        <f>O12/'Output-Calculation-sheet'!O11*'Output-Calculation-sheet'!O101</f>
        <v>0</v>
      </c>
      <c r="P122" s="2">
        <f>P12/'Output-Calculation-sheet'!P11*'Output-Calculation-sheet'!P101</f>
        <v>6263893599.4429417</v>
      </c>
      <c r="Q122" s="2">
        <f>Q12/'Output-Calculation-sheet'!Q11*'Output-Calculation-sheet'!Q101</f>
        <v>4443222689.2317352</v>
      </c>
      <c r="R122" s="2">
        <f>R12/'Output-Calculation-sheet'!R11*'Output-Calculation-sheet'!R101</f>
        <v>6125067810.9006281</v>
      </c>
      <c r="S122" s="2">
        <f>S12/'Output-Calculation-sheet'!S11*'Output-Calculation-sheet'!S101</f>
        <v>1342760545.2507432</v>
      </c>
      <c r="T122" s="2">
        <f>T12/'Output-Calculation-sheet'!T11*'Output-Calculation-sheet'!T101</f>
        <v>2284169185.7910137</v>
      </c>
      <c r="U122" s="2">
        <f>U12/'Output-Calculation-sheet'!U11*'Output-Calculation-sheet'!U101</f>
        <v>1854400750.2711511</v>
      </c>
      <c r="V122" s="2">
        <f>V12/'Output-Calculation-sheet'!V11*'Output-Calculation-sheet'!V101</f>
        <v>1540421993.6028764</v>
      </c>
      <c r="W122" s="2">
        <f>W12/'Output-Calculation-sheet'!W11*'Output-Calculation-sheet'!W101</f>
        <v>1343238365.9039502</v>
      </c>
      <c r="X122" s="2">
        <f>X12/'Output-Calculation-sheet'!X11*'Output-Calculation-sheet'!X101</f>
        <v>49466354.792490669</v>
      </c>
      <c r="Y122" s="2">
        <f>Y12/'Output-Calculation-sheet'!Y11*'Output-Calculation-sheet'!Y101</f>
        <v>606415940.49014151</v>
      </c>
      <c r="AA122" s="2">
        <f t="shared" si="10"/>
        <v>175755.0862211521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47094260752.31411</v>
      </c>
      <c r="C129" s="2">
        <f>C8/'Output-Calculation-sheet'!C7*'Output-Calculation-sheet'!C106</f>
        <v>22193189817.248272</v>
      </c>
      <c r="D129" s="2">
        <f>D8/'Output-Calculation-sheet'!D7*'Output-Calculation-sheet'!D106</f>
        <v>19780131819.291672</v>
      </c>
      <c r="E129" s="2">
        <f>E8/'Output-Calculation-sheet'!E7*'Output-Calculation-sheet'!E106</f>
        <v>15693527374.15766</v>
      </c>
      <c r="F129" s="2">
        <f>F8/'Output-Calculation-sheet'!F7*'Output-Calculation-sheet'!F106</f>
        <v>10102486727.523363</v>
      </c>
      <c r="G129" s="2">
        <f>G8/'Output-Calculation-sheet'!G7*'Output-Calculation-sheet'!G106</f>
        <v>7098284430.0227051</v>
      </c>
      <c r="H129" s="2">
        <f>H8/'Output-Calculation-sheet'!H7*'Output-Calculation-sheet'!H106</f>
        <v>6924103981.1810312</v>
      </c>
      <c r="I129" s="2">
        <f>I8/'Output-Calculation-sheet'!I7*'Output-Calculation-sheet'!I106</f>
        <v>6467095872.8340826</v>
      </c>
      <c r="J129" s="2">
        <f>J8/'Output-Calculation-sheet'!J7*'Output-Calculation-sheet'!J106</f>
        <v>6294625696.1921186</v>
      </c>
      <c r="K129" s="2">
        <f>K8/'Output-Calculation-sheet'!K7*'Output-Calculation-sheet'!K106</f>
        <v>6234279195.5990248</v>
      </c>
      <c r="L129" s="2">
        <f>L8/'Output-Calculation-sheet'!L7*'Output-Calculation-sheet'!L106</f>
        <v>5001219833.61724</v>
      </c>
      <c r="M129" s="2">
        <f>M8/'Output-Calculation-sheet'!M7*'Output-Calculation-sheet'!M106</f>
        <v>4777028151.4001188</v>
      </c>
      <c r="N129" s="2">
        <f>N8/'Output-Calculation-sheet'!N7*'Output-Calculation-sheet'!N106</f>
        <v>4688640242.5859213</v>
      </c>
      <c r="O129" s="2">
        <f>O8/'Output-Calculation-sheet'!O7*'Output-Calculation-sheet'!O106</f>
        <v>4312155206.7134218</v>
      </c>
      <c r="P129" s="2">
        <f>P8/'Output-Calculation-sheet'!P7*'Output-Calculation-sheet'!P106</f>
        <v>4268283276.070498</v>
      </c>
      <c r="Q129" s="2">
        <f>Q8/'Output-Calculation-sheet'!Q7*'Output-Calculation-sheet'!Q106</f>
        <v>4199300124.1478157</v>
      </c>
      <c r="R129" s="2">
        <f>R8/'Output-Calculation-sheet'!R7*'Output-Calculation-sheet'!R106</f>
        <v>4039919846.3981199</v>
      </c>
      <c r="S129" s="2">
        <f>S8/'Output-Calculation-sheet'!S7*'Output-Calculation-sheet'!S106</f>
        <v>2685137685.6426897</v>
      </c>
      <c r="T129" s="2">
        <f>T8/'Output-Calculation-sheet'!T7*'Output-Calculation-sheet'!T106</f>
        <v>1485040087.5583436</v>
      </c>
      <c r="U129" s="2">
        <f>U8/'Output-Calculation-sheet'!U7*'Output-Calculation-sheet'!U106</f>
        <v>1293418920.6114795</v>
      </c>
      <c r="V129" s="2">
        <f>V8/'Output-Calculation-sheet'!V7*'Output-Calculation-sheet'!V106</f>
        <v>995958828.62254107</v>
      </c>
      <c r="W129" s="2">
        <f>W8/'Output-Calculation-sheet'!W7*'Output-Calculation-sheet'!W106</f>
        <v>862279280.14356732</v>
      </c>
      <c r="X129" s="2">
        <f>X8/'Output-Calculation-sheet'!X7*'Output-Calculation-sheet'!X106</f>
        <v>517367669.82672733</v>
      </c>
      <c r="Y129" s="2">
        <f>Y8/'Output-Calculation-sheet'!Y7*'Output-Calculation-sheet'!Y106</f>
        <v>503134983.08281326</v>
      </c>
      <c r="AA129" s="2">
        <f t="shared" si="11"/>
        <v>187510.86980278531</v>
      </c>
    </row>
    <row r="130" spans="1:27" x14ac:dyDescent="0.25">
      <c r="A130" s="2">
        <v>2032</v>
      </c>
      <c r="B130" s="2">
        <f>B9/'Output-Calculation-sheet'!B8*'Output-Calculation-sheet'!B107</f>
        <v>36729834475.241035</v>
      </c>
      <c r="C130" s="2">
        <f>C9/'Output-Calculation-sheet'!C8*'Output-Calculation-sheet'!C107</f>
        <v>17308942865.717159</v>
      </c>
      <c r="D130" s="2">
        <f>D9/'Output-Calculation-sheet'!D8*'Output-Calculation-sheet'!D107</f>
        <v>15426949415.977333</v>
      </c>
      <c r="E130" s="2">
        <f>E9/'Output-Calculation-sheet'!E8*'Output-Calculation-sheet'!E107</f>
        <v>12239717284.139683</v>
      </c>
      <c r="F130" s="2">
        <f>F9/'Output-Calculation-sheet'!F8*'Output-Calculation-sheet'!F107</f>
        <v>7879149299.5143738</v>
      </c>
      <c r="G130" s="2">
        <f>G9/'Output-Calculation-sheet'!G8*'Output-Calculation-sheet'!G107</f>
        <v>5536106565.5047007</v>
      </c>
      <c r="H130" s="2">
        <f>H9/'Output-Calculation-sheet'!H8*'Output-Calculation-sheet'!H107</f>
        <v>5400258034.7360353</v>
      </c>
      <c r="I130" s="2">
        <f>I9/'Output-Calculation-sheet'!I8*'Output-Calculation-sheet'!I107</f>
        <v>5043828202.7216501</v>
      </c>
      <c r="J130" s="2">
        <f>J9/'Output-Calculation-sheet'!J8*'Output-Calculation-sheet'!J107</f>
        <v>4909313060.0439138</v>
      </c>
      <c r="K130" s="2">
        <f>K9/'Output-Calculation-sheet'!K8*'Output-Calculation-sheet'!K107</f>
        <v>4862248806.2461004</v>
      </c>
      <c r="L130" s="2">
        <f>L9/'Output-Calculation-sheet'!L8*'Output-Calculation-sheet'!L107</f>
        <v>3900559721.877799</v>
      </c>
      <c r="M130" s="2">
        <f>M9/'Output-Calculation-sheet'!M8*'Output-Calculation-sheet'!M107</f>
        <v>3725708247.9252491</v>
      </c>
      <c r="N130" s="2">
        <f>N9/'Output-Calculation-sheet'!N8*'Output-Calculation-sheet'!N107</f>
        <v>3656770233.2336211</v>
      </c>
      <c r="O130" s="2">
        <f>O9/'Output-Calculation-sheet'!O8*'Output-Calculation-sheet'!O107</f>
        <v>3363143291.5291095</v>
      </c>
      <c r="P130" s="2">
        <f>P9/'Output-Calculation-sheet'!P8*'Output-Calculation-sheet'!P107</f>
        <v>3328925749.4293361</v>
      </c>
      <c r="Q130" s="2">
        <f>Q9/'Output-Calculation-sheet'!Q8*'Output-Calculation-sheet'!Q107</f>
        <v>3275125979.3262801</v>
      </c>
      <c r="R130" s="2">
        <f>R9/'Output-Calculation-sheet'!R8*'Output-Calculation-sheet'!R107</f>
        <v>3150821442.4471598</v>
      </c>
      <c r="S130" s="2">
        <f>S9/'Output-Calculation-sheet'!S8*'Output-Calculation-sheet'!S107</f>
        <v>2094197065.1355791</v>
      </c>
      <c r="T130" s="2">
        <f>T9/'Output-Calculation-sheet'!T8*'Output-Calculation-sheet'!T107</f>
        <v>1158214945.6268466</v>
      </c>
      <c r="U130" s="2">
        <f>U9/'Output-Calculation-sheet'!U8*'Output-Calculation-sheet'!U107</f>
        <v>1008765312.7820836</v>
      </c>
      <c r="V130" s="2">
        <f>V9/'Output-Calculation-sheet'!V8*'Output-Calculation-sheet'!V107</f>
        <v>776769465.93639302</v>
      </c>
      <c r="W130" s="2">
        <f>W9/'Output-Calculation-sheet'!W8*'Output-Calculation-sheet'!W107</f>
        <v>672510384.64804029</v>
      </c>
      <c r="X130" s="2">
        <f>X9/'Output-Calculation-sheet'!X8*'Output-Calculation-sheet'!X107</f>
        <v>403506151.61615866</v>
      </c>
      <c r="Y130" s="2">
        <f>Y9/'Output-Calculation-sheet'!Y8*'Output-Calculation-sheet'!Y107</f>
        <v>392405774.09679407</v>
      </c>
      <c r="AA130" s="2">
        <f t="shared" si="11"/>
        <v>146243.77177545245</v>
      </c>
    </row>
    <row r="131" spans="1:27" x14ac:dyDescent="0.25">
      <c r="A131" s="2">
        <v>2033</v>
      </c>
      <c r="B131" s="2">
        <f>B10/'Output-Calculation-sheet'!B9*'Output-Calculation-sheet'!B108</f>
        <v>23826079483.17812</v>
      </c>
      <c r="C131" s="2">
        <f>C10/'Output-Calculation-sheet'!C9*'Output-Calculation-sheet'!C108</f>
        <v>13942886684.106131</v>
      </c>
      <c r="D131" s="2">
        <f>D10/'Output-Calculation-sheet'!D9*'Output-Calculation-sheet'!D108</f>
        <v>10007227750.713354</v>
      </c>
      <c r="E131" s="2">
        <f>E10/'Output-Calculation-sheet'!E9*'Output-Calculation-sheet'!E108</f>
        <v>7939716615.5102921</v>
      </c>
      <c r="F131" s="2">
        <f>F10/'Output-Calculation-sheet'!F9*'Output-Calculation-sheet'!F108</f>
        <v>5111080499.3765602</v>
      </c>
      <c r="G131" s="2">
        <f>G10/'Output-Calculation-sheet'!G9*'Output-Calculation-sheet'!G108</f>
        <v>3591185428.6802282</v>
      </c>
      <c r="H131" s="2">
        <f>H10/'Output-Calculation-sheet'!H9*'Output-Calculation-sheet'!H108</f>
        <v>3503063531.6207724</v>
      </c>
      <c r="I131" s="2">
        <f>I10/'Output-Calculation-sheet'!I9*'Output-Calculation-sheet'!I108</f>
        <v>3271853875.5799613</v>
      </c>
      <c r="J131" s="2">
        <f>J10/'Output-Calculation-sheet'!J9*'Output-Calculation-sheet'!J108</f>
        <v>3184595982.5942011</v>
      </c>
      <c r="K131" s="2">
        <f>K10/'Output-Calculation-sheet'!K9*'Output-Calculation-sheet'!K108</f>
        <v>3154065299.33711</v>
      </c>
      <c r="L131" s="2">
        <f>L10/'Output-Calculation-sheet'!L9*'Output-Calculation-sheet'!L108</f>
        <v>2530233180.9727416</v>
      </c>
      <c r="M131" s="2">
        <f>M10/'Output-Calculation-sheet'!M9*'Output-Calculation-sheet'!M108</f>
        <v>2416808463.907733</v>
      </c>
      <c r="N131" s="2">
        <f>N10/'Output-Calculation-sheet'!N9*'Output-Calculation-sheet'!N108</f>
        <v>2372090067.7634444</v>
      </c>
      <c r="O131" s="2">
        <f>O10/'Output-Calculation-sheet'!O9*'Output-Calculation-sheet'!O108</f>
        <v>3077057218.2335024</v>
      </c>
      <c r="P131" s="2">
        <f>P10/'Output-Calculation-sheet'!P9*'Output-Calculation-sheet'!P108</f>
        <v>2159423574.164907</v>
      </c>
      <c r="Q131" s="2">
        <f>Q10/'Output-Calculation-sheet'!Q9*'Output-Calculation-sheet'!Q108</f>
        <v>2124523366.4473329</v>
      </c>
      <c r="R131" s="2">
        <f>R10/'Output-Calculation-sheet'!R9*'Output-Calculation-sheet'!R108</f>
        <v>2043888411.1290238</v>
      </c>
      <c r="S131" s="2">
        <f>S10/'Output-Calculation-sheet'!S9*'Output-Calculation-sheet'!S108</f>
        <v>1358473468.6274788</v>
      </c>
      <c r="T131" s="2">
        <f>T10/'Output-Calculation-sheet'!T9*'Output-Calculation-sheet'!T108</f>
        <v>751315656.42329943</v>
      </c>
      <c r="U131" s="2">
        <f>U10/'Output-Calculation-sheet'!U9*'Output-Calculation-sheet'!U108</f>
        <v>654370394.2368505</v>
      </c>
      <c r="V131" s="2">
        <f>V10/'Output-Calculation-sheet'!V9*'Output-Calculation-sheet'!V108</f>
        <v>503878290.83269501</v>
      </c>
      <c r="W131" s="2">
        <f>W10/'Output-Calculation-sheet'!W9*'Output-Calculation-sheet'!W108</f>
        <v>436246929.35762656</v>
      </c>
      <c r="X131" s="2">
        <f>X10/'Output-Calculation-sheet'!X9*'Output-Calculation-sheet'!X108</f>
        <v>261748106.48614737</v>
      </c>
      <c r="Y131" s="2">
        <f>Y10/'Output-Calculation-sheet'!Y9*'Output-Calculation-sheet'!Y108</f>
        <v>254547466.34938845</v>
      </c>
      <c r="AA131" s="2">
        <f t="shared" si="11"/>
        <v>98476.359745628884</v>
      </c>
    </row>
    <row r="132" spans="1:27" x14ac:dyDescent="0.25">
      <c r="A132" s="2">
        <v>2034</v>
      </c>
      <c r="B132" s="2">
        <f>B11/'Output-Calculation-sheet'!B10*'Output-Calculation-sheet'!B109</f>
        <v>10879485634.391626</v>
      </c>
      <c r="C132" s="2">
        <f>C11/'Output-Calculation-sheet'!C10*'Output-Calculation-sheet'!C109</f>
        <v>12287202768.652079</v>
      </c>
      <c r="D132" s="2">
        <f>D11/'Output-Calculation-sheet'!D10*'Output-Calculation-sheet'!D109</f>
        <v>4569509247.0634327</v>
      </c>
      <c r="E132" s="2">
        <f>E11/'Output-Calculation-sheet'!E10*'Output-Calculation-sheet'!E109</f>
        <v>3625441604.9742975</v>
      </c>
      <c r="F132" s="2">
        <f>F11/'Output-Calculation-sheet'!F10*'Output-Calculation-sheet'!F109</f>
        <v>2333826858.8345146</v>
      </c>
      <c r="G132" s="2">
        <f>G11/'Output-Calculation-sheet'!G10*'Output-Calculation-sheet'!G109</f>
        <v>1639811057.4367719</v>
      </c>
      <c r="H132" s="2">
        <f>H11/'Output-Calculation-sheet'!H10*'Output-Calculation-sheet'!H109</f>
        <v>1599572489.4760485</v>
      </c>
      <c r="I132" s="2">
        <f>I11/'Output-Calculation-sheet'!I10*'Output-Calculation-sheet'!I109</f>
        <v>1493996836.4292841</v>
      </c>
      <c r="J132" s="2">
        <f>J11/'Output-Calculation-sheet'!J10*'Output-Calculation-sheet'!J109</f>
        <v>1454153280.0522466</v>
      </c>
      <c r="K132" s="2">
        <f>K11/'Output-Calculation-sheet'!K10*'Output-Calculation-sheet'!K109</f>
        <v>1440212782.5806551</v>
      </c>
      <c r="L132" s="2">
        <f>L11/'Output-Calculation-sheet'!L10*'Output-Calculation-sheet'!L109</f>
        <v>1155357509.4131572</v>
      </c>
      <c r="M132" s="2">
        <f>M11/'Output-Calculation-sheet'!M10*'Output-Calculation-sheet'!M109</f>
        <v>1103565578.044498</v>
      </c>
      <c r="N132" s="2">
        <f>N11/'Output-Calculation-sheet'!N10*'Output-Calculation-sheet'!N109</f>
        <v>1083146553.5781584</v>
      </c>
      <c r="O132" s="2">
        <f>O11/'Output-Calculation-sheet'!O10*'Output-Calculation-sheet'!O109</f>
        <v>2689073731.4075799</v>
      </c>
      <c r="P132" s="2">
        <f>P11/'Output-Calculation-sheet'!P10*'Output-Calculation-sheet'!P109</f>
        <v>986037913.53028095</v>
      </c>
      <c r="Q132" s="2">
        <f>Q11/'Output-Calculation-sheet'!Q10*'Output-Calculation-sheet'!Q109</f>
        <v>970101907.7275697</v>
      </c>
      <c r="R132" s="2">
        <f>R11/'Output-Calculation-sheet'!R10*'Output-Calculation-sheet'!R109</f>
        <v>933282584.0889852</v>
      </c>
      <c r="S132" s="2">
        <f>S11/'Output-Calculation-sheet'!S10*'Output-Calculation-sheet'!S109</f>
        <v>620307462.69426525</v>
      </c>
      <c r="T132" s="2">
        <f>T11/'Output-Calculation-sheet'!T10*'Output-Calculation-sheet'!T109</f>
        <v>343066639.29921454</v>
      </c>
      <c r="U132" s="2">
        <f>U11/'Output-Calculation-sheet'!U10*'Output-Calculation-sheet'!U109</f>
        <v>298799332.50237173</v>
      </c>
      <c r="V132" s="2">
        <f>V11/'Output-Calculation-sheet'!V10*'Output-Calculation-sheet'!V109</f>
        <v>230081462.00091344</v>
      </c>
      <c r="W132" s="2">
        <f>W11/'Output-Calculation-sheet'!W10*'Output-Calculation-sheet'!W109</f>
        <v>199199554.9893795</v>
      </c>
      <c r="X132" s="2">
        <f>X11/'Output-Calculation-sheet'!X10*'Output-Calculation-sheet'!X109</f>
        <v>134954230.476776</v>
      </c>
      <c r="Y132" s="2">
        <f>Y11/'Output-Calculation-sheet'!Y10*'Output-Calculation-sheet'!Y109</f>
        <v>116231763.27369253</v>
      </c>
      <c r="AA132" s="2">
        <f t="shared" si="11"/>
        <v>52186.41878291779</v>
      </c>
    </row>
    <row r="133" spans="1:27" x14ac:dyDescent="0.25">
      <c r="A133" s="2">
        <v>2035</v>
      </c>
      <c r="B133" s="2">
        <f>B12/'Output-Calculation-sheet'!B11*'Output-Calculation-sheet'!B110</f>
        <v>6279746493.8173532</v>
      </c>
      <c r="C133" s="2">
        <f>C12/'Output-Calculation-sheet'!C11*'Output-Calculation-sheet'!C110</f>
        <v>10087921110.172361</v>
      </c>
      <c r="D133" s="2">
        <f>D12/'Output-Calculation-sheet'!D11*'Output-Calculation-sheet'!D110</f>
        <v>2741050306.4532871</v>
      </c>
      <c r="E133" s="2">
        <f>E12/'Output-Calculation-sheet'!E11*'Output-Calculation-sheet'!E110</f>
        <v>1313250574.2214983</v>
      </c>
      <c r="F133" s="2">
        <f>F12/'Output-Calculation-sheet'!F11*'Output-Calculation-sheet'!F110</f>
        <v>1002094979.2771491</v>
      </c>
      <c r="G133" s="2">
        <f>G12/'Output-Calculation-sheet'!G11*'Output-Calculation-sheet'!G110</f>
        <v>935526977.00652325</v>
      </c>
      <c r="H133" s="2">
        <f>H12/'Output-Calculation-sheet'!H11*'Output-Calculation-sheet'!H110</f>
        <v>1299736137.3578007</v>
      </c>
      <c r="I133" s="2">
        <f>I12/'Output-Calculation-sheet'!I11*'Output-Calculation-sheet'!I110</f>
        <v>773153351.20657384</v>
      </c>
      <c r="J133" s="2">
        <f>J12/'Output-Calculation-sheet'!J11*'Output-Calculation-sheet'!J110</f>
        <v>752959842.672822</v>
      </c>
      <c r="K133" s="2">
        <f>K12/'Output-Calculation-sheet'!K11*'Output-Calculation-sheet'!K110</f>
        <v>651474252.02484787</v>
      </c>
      <c r="L133" s="2">
        <f>L12/'Output-Calculation-sheet'!L11*'Output-Calculation-sheet'!L110</f>
        <v>340508298.438802</v>
      </c>
      <c r="M133" s="2">
        <f>M12/'Output-Calculation-sheet'!M11*'Output-Calculation-sheet'!M110</f>
        <v>690911555.33608127</v>
      </c>
      <c r="N133" s="2">
        <f>N12/'Output-Calculation-sheet'!N11*'Output-Calculation-sheet'!N110</f>
        <v>622591895.98907638</v>
      </c>
      <c r="O133" s="2">
        <f>O12/'Output-Calculation-sheet'!O11*'Output-Calculation-sheet'!O110</f>
        <v>2215589878.0388861</v>
      </c>
      <c r="P133" s="2">
        <f>P12/'Output-Calculation-sheet'!P11*'Output-Calculation-sheet'!P110</f>
        <v>458798619.75835192</v>
      </c>
      <c r="Q133" s="2">
        <f>Q12/'Output-Calculation-sheet'!Q11*'Output-Calculation-sheet'!Q110</f>
        <v>633159305.60242569</v>
      </c>
      <c r="R133" s="2">
        <f>R12/'Output-Calculation-sheet'!R11*'Output-Calculation-sheet'!R110</f>
        <v>387521253.52996355</v>
      </c>
      <c r="S133" s="2">
        <f>S12/'Output-Calculation-sheet'!S11*'Output-Calculation-sheet'!S110</f>
        <v>380103888.73177886</v>
      </c>
      <c r="T133" s="2">
        <f>T12/'Output-Calculation-sheet'!T11*'Output-Calculation-sheet'!T110</f>
        <v>100334114.25766928</v>
      </c>
      <c r="U133" s="2">
        <f>U12/'Output-Calculation-sheet'!U11*'Output-Calculation-sheet'!U110</f>
        <v>197668180.26032823</v>
      </c>
      <c r="V133" s="2">
        <f>V12/'Output-Calculation-sheet'!V11*'Output-Calculation-sheet'!V110</f>
        <v>43226200.377311945</v>
      </c>
      <c r="W133" s="2">
        <f>W12/'Output-Calculation-sheet'!W11*'Output-Calculation-sheet'!W110</f>
        <v>53608894.890163668</v>
      </c>
      <c r="X133" s="2">
        <f>X12/'Output-Calculation-sheet'!X11*'Output-Calculation-sheet'!X110</f>
        <v>108788554.52259146</v>
      </c>
      <c r="Y133" s="2">
        <f>Y12/'Output-Calculation-sheet'!Y11*'Output-Calculation-sheet'!Y110</f>
        <v>46988804.367607228</v>
      </c>
      <c r="AA133" s="2">
        <f t="shared" si="11"/>
        <v>32116.713468311242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10393.906650943491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2011.4091263703235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18.709394042064599</v>
      </c>
    </row>
    <row r="19" spans="1:27" x14ac:dyDescent="0.25">
      <c r="A19" s="2">
        <v>2031</v>
      </c>
      <c r="B19" s="2">
        <f>B8/'Output-Calculation-sheet'!B7*'Output-Calculation-sheet'!B25</f>
        <v>1050.6577135188106</v>
      </c>
      <c r="C19" s="2">
        <f>C8/'Output-Calculation-sheet'!C7*'Output-Calculation-sheet'!C25</f>
        <v>15836.813383396986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4724.6323765975339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3275.4360733755325</v>
      </c>
      <c r="N19" s="2">
        <f>N8/'Output-Calculation-sheet'!N7*'Output-Calculation-sheet'!N25</f>
        <v>1121.3887513978002</v>
      </c>
      <c r="O19" s="2">
        <f>O8/'Output-Calculation-sheet'!O7*'Output-Calculation-sheet'!O25</f>
        <v>3063.1601070559841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400.12920893913287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365.96458748808294</v>
      </c>
      <c r="Y19" s="2">
        <f>Y8/'Output-Calculation-sheet'!Y7*'Output-Calculation-sheet'!Y25</f>
        <v>0</v>
      </c>
      <c r="AA19" s="2">
        <f t="shared" si="0"/>
        <v>29.838182201769861</v>
      </c>
    </row>
    <row r="20" spans="1:27" x14ac:dyDescent="0.25">
      <c r="A20" s="2">
        <v>2032</v>
      </c>
      <c r="B20" s="2">
        <f>B9/'Output-Calculation-sheet'!B8*'Output-Calculation-sheet'!B26</f>
        <v>5749.1035202101784</v>
      </c>
      <c r="C20" s="2">
        <f>C9/'Output-Calculation-sheet'!C8*'Output-Calculation-sheet'!C26</f>
        <v>21054.032389046031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6247.1131378188002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4346.4821733829485</v>
      </c>
      <c r="N20" s="2">
        <f>N9/'Output-Calculation-sheet'!N8*'Output-Calculation-sheet'!N26</f>
        <v>1961.3298609371632</v>
      </c>
      <c r="O20" s="2">
        <f>O9/'Output-Calculation-sheet'!O8*'Output-Calculation-sheet'!O26</f>
        <v>4102.2864581072245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712.80052043120804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486.27892059123172</v>
      </c>
      <c r="Y20" s="2">
        <f>Y9/'Output-Calculation-sheet'!Y8*'Output-Calculation-sheet'!Y26</f>
        <v>0</v>
      </c>
      <c r="AA20" s="2">
        <f t="shared" si="0"/>
        <v>44.659426980524785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24812.789007417527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7635.0495062958234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5303.1567107020201</v>
      </c>
      <c r="N21" s="2">
        <f>N10/'Output-Calculation-sheet'!N9*'Output-Calculation-sheet'!N27</f>
        <v>2900.6664044757981</v>
      </c>
      <c r="O21" s="2">
        <f>O10/'Output-Calculation-sheet'!O9*'Output-Calculation-sheet'!O27</f>
        <v>4377.0483617591335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1262.757351086221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623.62000332031653</v>
      </c>
      <c r="Y21" s="2">
        <f>Y10/'Output-Calculation-sheet'!Y9*'Output-Calculation-sheet'!Y27</f>
        <v>0</v>
      </c>
      <c r="AA21" s="2">
        <f t="shared" si="0"/>
        <v>60.319374185735313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25092.478416498154</v>
      </c>
      <c r="D22" s="2">
        <f>D11/'Output-Calculation-sheet'!D10*'Output-Calculation-sheet'!D28</f>
        <v>0</v>
      </c>
      <c r="E22" s="2">
        <f>E11/'Output-Calculation-sheet'!E10*'Output-Calculation-sheet'!E28</f>
        <v>1236.5043325931117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9884.5879199943975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749.56774487334212</v>
      </c>
      <c r="M22" s="2">
        <f>M11/'Output-Calculation-sheet'!M10*'Output-Calculation-sheet'!M28</f>
        <v>6811.4641636079486</v>
      </c>
      <c r="N22" s="2">
        <f>N11/'Output-Calculation-sheet'!N10*'Output-Calculation-sheet'!N28</f>
        <v>3920.0355682156924</v>
      </c>
      <c r="O22" s="2">
        <f>O11/'Output-Calculation-sheet'!O10*'Output-Calculation-sheet'!O28</f>
        <v>4490.588508214003</v>
      </c>
      <c r="P22" s="2">
        <f>P11/'Output-Calculation-sheet'!P10*'Output-Calculation-sheet'!P28</f>
        <v>0</v>
      </c>
      <c r="Q22" s="2">
        <f>Q11/'Output-Calculation-sheet'!Q10*'Output-Calculation-sheet'!Q28</f>
        <v>1470.1684657679859</v>
      </c>
      <c r="R22" s="2">
        <f>R11/'Output-Calculation-sheet'!R10*'Output-Calculation-sheet'!R28</f>
        <v>0</v>
      </c>
      <c r="S22" s="2">
        <f>S11/'Output-Calculation-sheet'!S10*'Output-Calculation-sheet'!S28</f>
        <v>1988.0149970027026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687.77099061757394</v>
      </c>
      <c r="Y22" s="2">
        <f>Y11/'Output-Calculation-sheet'!Y10*'Output-Calculation-sheet'!Y28</f>
        <v>68.416327260055837</v>
      </c>
      <c r="AA22" s="2">
        <f t="shared" si="0"/>
        <v>81.008204963892396</v>
      </c>
    </row>
    <row r="23" spans="1:27" x14ac:dyDescent="0.25">
      <c r="A23" s="2">
        <v>2035</v>
      </c>
      <c r="B23" s="2">
        <f>B12/'Output-Calculation-sheet'!B11*'Output-Calculation-sheet'!B29</f>
        <v>28864.363635161448</v>
      </c>
      <c r="C23" s="2">
        <f>C12/'Output-Calculation-sheet'!C11*'Output-Calculation-sheet'!C29</f>
        <v>24686.05725390666</v>
      </c>
      <c r="D23" s="2">
        <f>D12/'Output-Calculation-sheet'!D11*'Output-Calculation-sheet'!D29</f>
        <v>0</v>
      </c>
      <c r="E23" s="2">
        <f>E12/'Output-Calculation-sheet'!E11*'Output-Calculation-sheet'!E29</f>
        <v>5511.549467816737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9577.8475065540442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1611.9841853917319</v>
      </c>
      <c r="M23" s="2">
        <f>M12/'Output-Calculation-sheet'!M11*'Output-Calculation-sheet'!M29</f>
        <v>7246.7605655908419</v>
      </c>
      <c r="N23" s="2">
        <f>N12/'Output-Calculation-sheet'!N11*'Output-Calculation-sheet'!N29</f>
        <v>4235.6835750544969</v>
      </c>
      <c r="O23" s="2">
        <f>O12/'Output-Calculation-sheet'!O11*'Output-Calculation-sheet'!O29</f>
        <v>4415.7107314339582</v>
      </c>
      <c r="P23" s="2">
        <f>P12/'Output-Calculation-sheet'!P11*'Output-Calculation-sheet'!P29</f>
        <v>581.84941669251157</v>
      </c>
      <c r="Q23" s="2">
        <f>Q12/'Output-Calculation-sheet'!Q11*'Output-Calculation-sheet'!Q29</f>
        <v>1853.6808758730313</v>
      </c>
      <c r="R23" s="2">
        <f>R12/'Output-Calculation-sheet'!R11*'Output-Calculation-sheet'!R29</f>
        <v>0</v>
      </c>
      <c r="S23" s="2">
        <f>S12/'Output-Calculation-sheet'!S11*'Output-Calculation-sheet'!S29</f>
        <v>2200.6807017666592</v>
      </c>
      <c r="T23" s="2">
        <f>T12/'Output-Calculation-sheet'!T11*'Output-Calculation-sheet'!T29</f>
        <v>0</v>
      </c>
      <c r="U23" s="2">
        <f>U12/'Output-Calculation-sheet'!U11*'Output-Calculation-sheet'!U29</f>
        <v>127.71020611981349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686.3929810216423</v>
      </c>
      <c r="Y23" s="2">
        <f>Y12/'Output-Calculation-sheet'!Y11*'Output-Calculation-sheet'!Y29</f>
        <v>219.96801942207017</v>
      </c>
      <c r="AA23" s="2">
        <f t="shared" si="0"/>
        <v>91.820239121805628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18312.622644302752</v>
      </c>
      <c r="C30" s="2">
        <f>C8/'Output-Calculation-sheet'!C7*'Output-Calculation-sheet'!C16</f>
        <v>0</v>
      </c>
      <c r="D30" s="2">
        <f>D8/'Output-Calculation-sheet'!D7*'Output-Calculation-sheet'!D16</f>
        <v>3083.6035667459537</v>
      </c>
      <c r="E30" s="2">
        <f>E8/'Output-Calculation-sheet'!E7*'Output-Calculation-sheet'!E16</f>
        <v>3317.7832208222476</v>
      </c>
      <c r="F30" s="2">
        <f>F8/'Output-Calculation-sheet'!F7*'Output-Calculation-sheet'!F16</f>
        <v>1673.8392897323874</v>
      </c>
      <c r="G30" s="2">
        <f>G8/'Output-Calculation-sheet'!G7*'Output-Calculation-sheet'!G16</f>
        <v>1096.1659301782413</v>
      </c>
      <c r="H30" s="2">
        <f>H8/'Output-Calculation-sheet'!H7*'Output-Calculation-sheet'!H16</f>
        <v>0</v>
      </c>
      <c r="I30" s="2">
        <f>I8/'Output-Calculation-sheet'!I7*'Output-Calculation-sheet'!I16</f>
        <v>1068.5976515646084</v>
      </c>
      <c r="J30" s="2">
        <f>J8/'Output-Calculation-sheet'!J7*'Output-Calculation-sheet'!J16</f>
        <v>951.25738392015865</v>
      </c>
      <c r="K30" s="2">
        <f>K8/'Output-Calculation-sheet'!K7*'Output-Calculation-sheet'!K16</f>
        <v>1270.1104306874427</v>
      </c>
      <c r="L30" s="2">
        <f>L8/'Output-Calculation-sheet'!L7*'Output-Calculation-sheet'!L16</f>
        <v>1072.8303844617708</v>
      </c>
      <c r="M30" s="2">
        <f>M8/'Output-Calculation-sheet'!M7*'Output-Calculation-sheet'!M16</f>
        <v>0</v>
      </c>
      <c r="N30" s="2">
        <f>N8/'Output-Calculation-sheet'!N7*'Output-Calculation-sheet'!N16</f>
        <v>1523.8651764853698</v>
      </c>
      <c r="O30" s="2">
        <f>O8/'Output-Calculation-sheet'!O7*'Output-Calculation-sheet'!O16</f>
        <v>0</v>
      </c>
      <c r="P30" s="2">
        <f>P8/'Output-Calculation-sheet'!P7*'Output-Calculation-sheet'!P16</f>
        <v>1369.6000186155604</v>
      </c>
      <c r="Q30" s="2">
        <f>Q8/'Output-Calculation-sheet'!Q7*'Output-Calculation-sheet'!Q16</f>
        <v>1506.1076966011094</v>
      </c>
      <c r="R30" s="2">
        <f>R8/'Output-Calculation-sheet'!R7*'Output-Calculation-sheet'!R16</f>
        <v>955.63187961600863</v>
      </c>
      <c r="S30" s="2">
        <f>S8/'Output-Calculation-sheet'!S7*'Output-Calculation-sheet'!S16</f>
        <v>961.08544845337781</v>
      </c>
      <c r="T30" s="2">
        <f>T8/'Output-Calculation-sheet'!T7*'Output-Calculation-sheet'!T16</f>
        <v>286.8669537780732</v>
      </c>
      <c r="U30" s="2">
        <f>U8/'Output-Calculation-sheet'!U7*'Output-Calculation-sheet'!U16</f>
        <v>286.35418637248279</v>
      </c>
      <c r="V30" s="2">
        <f>V8/'Output-Calculation-sheet'!V7*'Output-Calculation-sheet'!V16</f>
        <v>222.86402009816803</v>
      </c>
      <c r="W30" s="2">
        <f>W8/'Output-Calculation-sheet'!W7*'Output-Calculation-sheet'!W16</f>
        <v>135.17826332995335</v>
      </c>
      <c r="X30" s="2">
        <f>X8/'Output-Calculation-sheet'!X7*'Output-Calculation-sheet'!X16</f>
        <v>0</v>
      </c>
      <c r="Y30" s="2">
        <f>Y8/'Output-Calculation-sheet'!Y7*'Output-Calculation-sheet'!Y16</f>
        <v>114.41303185066688</v>
      </c>
      <c r="AA30" s="2">
        <f t="shared" si="1"/>
        <v>39.208777177616327</v>
      </c>
    </row>
    <row r="31" spans="1:27" x14ac:dyDescent="0.25">
      <c r="A31" s="2">
        <v>2032</v>
      </c>
      <c r="B31" s="2">
        <f>B9/'Output-Calculation-sheet'!B8*'Output-Calculation-sheet'!B17</f>
        <v>24343.603736460325</v>
      </c>
      <c r="C31" s="2">
        <f>C9/'Output-Calculation-sheet'!C8*'Output-Calculation-sheet'!C17</f>
        <v>0</v>
      </c>
      <c r="D31" s="2">
        <f>D9/'Output-Calculation-sheet'!D8*'Output-Calculation-sheet'!D17</f>
        <v>4082.7419693459619</v>
      </c>
      <c r="E31" s="2">
        <f>E9/'Output-Calculation-sheet'!E8*'Output-Calculation-sheet'!E17</f>
        <v>4798.7053672265829</v>
      </c>
      <c r="F31" s="2">
        <f>F9/'Output-Calculation-sheet'!F8*'Output-Calculation-sheet'!F17</f>
        <v>2216.2448015080727</v>
      </c>
      <c r="G31" s="2">
        <f>G9/'Output-Calculation-sheet'!G8*'Output-Calculation-sheet'!G17</f>
        <v>1451.3636713670423</v>
      </c>
      <c r="H31" s="2">
        <f>H9/'Output-Calculation-sheet'!H8*'Output-Calculation-sheet'!H17</f>
        <v>0</v>
      </c>
      <c r="I31" s="2">
        <f>I9/'Output-Calculation-sheet'!I8*'Output-Calculation-sheet'!I17</f>
        <v>1414.8688921458213</v>
      </c>
      <c r="J31" s="2">
        <f>J9/'Output-Calculation-sheet'!J8*'Output-Calculation-sheet'!J17</f>
        <v>1259.5060296551999</v>
      </c>
      <c r="K31" s="2">
        <f>K9/'Output-Calculation-sheet'!K8*'Output-Calculation-sheet'!K17</f>
        <v>1793.2021691807956</v>
      </c>
      <c r="L31" s="2">
        <f>L9/'Output-Calculation-sheet'!L8*'Output-Calculation-sheet'!L17</f>
        <v>1529.2862133401188</v>
      </c>
      <c r="M31" s="2">
        <f>M9/'Output-Calculation-sheet'!M8*'Output-Calculation-sheet'!M17</f>
        <v>0</v>
      </c>
      <c r="N31" s="2">
        <f>N9/'Output-Calculation-sheet'!N8*'Output-Calculation-sheet'!N17</f>
        <v>1662.4905231108182</v>
      </c>
      <c r="O31" s="2">
        <f>O9/'Output-Calculation-sheet'!O8*'Output-Calculation-sheet'!O17</f>
        <v>0</v>
      </c>
      <c r="P31" s="2">
        <f>P9/'Output-Calculation-sheet'!P8*'Output-Calculation-sheet'!P17</f>
        <v>2063.4087761072956</v>
      </c>
      <c r="Q31" s="2">
        <f>Q9/'Output-Calculation-sheet'!Q8*'Output-Calculation-sheet'!Q17</f>
        <v>2199.7833350344163</v>
      </c>
      <c r="R31" s="2">
        <f>R9/'Output-Calculation-sheet'!R8*'Output-Calculation-sheet'!R17</f>
        <v>1439.2145149809037</v>
      </c>
      <c r="S31" s="2">
        <f>S9/'Output-Calculation-sheet'!S8*'Output-Calculation-sheet'!S17</f>
        <v>1238.3802209385981</v>
      </c>
      <c r="T31" s="2">
        <f>T9/'Output-Calculation-sheet'!T8*'Output-Calculation-sheet'!T17</f>
        <v>390.54137364644072</v>
      </c>
      <c r="U31" s="2">
        <f>U9/'Output-Calculation-sheet'!U8*'Output-Calculation-sheet'!U17</f>
        <v>448.85654351958607</v>
      </c>
      <c r="V31" s="2">
        <f>V9/'Output-Calculation-sheet'!V8*'Output-Calculation-sheet'!V17</f>
        <v>321.4946443669624</v>
      </c>
      <c r="W31" s="2">
        <f>W9/'Output-Calculation-sheet'!W8*'Output-Calculation-sheet'!W17</f>
        <v>178.98365395290605</v>
      </c>
      <c r="X31" s="2">
        <f>X9/'Output-Calculation-sheet'!X8*'Output-Calculation-sheet'!X17</f>
        <v>0</v>
      </c>
      <c r="Y31" s="2">
        <f>Y9/'Output-Calculation-sheet'!Y8*'Output-Calculation-sheet'!Y17</f>
        <v>172.93698698448748</v>
      </c>
      <c r="AA31" s="2">
        <f t="shared" si="1"/>
        <v>53.005613422872329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1632.0656654134373</v>
      </c>
      <c r="O32" s="2">
        <f>O10/'Output-Calculation-sheet'!O9*'Output-Calculation-sheet'!O18</f>
        <v>0</v>
      </c>
      <c r="P32" s="2">
        <f>P10/'Output-Calculation-sheet'!P9*'Output-Calculation-sheet'!P18</f>
        <v>2627.2959594930057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1889.2997425647125</v>
      </c>
      <c r="S32" s="2">
        <f>S10/'Output-Calculation-sheet'!S9*'Output-Calculation-sheet'!S18</f>
        <v>1234.770697710552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609.9092740223407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64.352380155605033</v>
      </c>
    </row>
    <row r="33" spans="1:27" x14ac:dyDescent="0.25">
      <c r="A33" s="2">
        <v>2034</v>
      </c>
      <c r="B33" s="2">
        <f>B11/'Output-Calculation-sheet'!B10*'Output-Calculation-sheet'!B19</f>
        <v>24821.686724306237</v>
      </c>
      <c r="C33" s="2">
        <f>C11/'Output-Calculation-sheet'!C10*'Output-Calculation-sheet'!C19</f>
        <v>0</v>
      </c>
      <c r="D33" s="2">
        <f>D11/'Output-Calculation-sheet'!D10*'Output-Calculation-sheet'!D19</f>
        <v>7403.3015412260402</v>
      </c>
      <c r="E33" s="2">
        <f>E11/'Output-Calculation-sheet'!E10*'Output-Calculation-sheet'!E19</f>
        <v>9197.0039606745777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2520.4104804982248</v>
      </c>
      <c r="H33" s="2">
        <f>H11/'Output-Calculation-sheet'!H10*'Output-Calculation-sheet'!H19</f>
        <v>0</v>
      </c>
      <c r="I33" s="2">
        <f>I11/'Output-Calculation-sheet'!I10*'Output-Calculation-sheet'!I19</f>
        <v>2749.9614537392408</v>
      </c>
      <c r="J33" s="2">
        <f>J11/'Output-Calculation-sheet'!J10*'Output-Calculation-sheet'!J19</f>
        <v>2329.8852144750167</v>
      </c>
      <c r="K33" s="2">
        <f>K11/'Output-Calculation-sheet'!K10*'Output-Calculation-sheet'!K19</f>
        <v>3226.2068978881225</v>
      </c>
      <c r="L33" s="2">
        <f>L11/'Output-Calculation-sheet'!L10*'Output-Calculation-sheet'!L19</f>
        <v>2626.0713973778861</v>
      </c>
      <c r="M33" s="2">
        <f>M11/'Output-Calculation-sheet'!M10*'Output-Calculation-sheet'!M19</f>
        <v>0</v>
      </c>
      <c r="N33" s="2">
        <f>N11/'Output-Calculation-sheet'!N10*'Output-Calculation-sheet'!N19</f>
        <v>1483.759852037969</v>
      </c>
      <c r="O33" s="2">
        <f>O11/'Output-Calculation-sheet'!O10*'Output-Calculation-sheet'!O19</f>
        <v>0</v>
      </c>
      <c r="P33" s="2">
        <f>P11/'Output-Calculation-sheet'!P10*'Output-Calculation-sheet'!P19</f>
        <v>3264.7977253148902</v>
      </c>
      <c r="Q33" s="2">
        <f>Q11/'Output-Calculation-sheet'!Q10*'Output-Calculation-sheet'!Q19</f>
        <v>2614.0849748525625</v>
      </c>
      <c r="R33" s="2">
        <f>R11/'Output-Calculation-sheet'!R10*'Output-Calculation-sheet'!R19</f>
        <v>2330.9128999736281</v>
      </c>
      <c r="S33" s="2">
        <f>S11/'Output-Calculation-sheet'!S10*'Output-Calculation-sheet'!S19</f>
        <v>1089.4855985201002</v>
      </c>
      <c r="T33" s="2">
        <f>T11/'Output-Calculation-sheet'!T10*'Output-Calculation-sheet'!T19</f>
        <v>683.98677365175411</v>
      </c>
      <c r="U33" s="2">
        <f>U11/'Output-Calculation-sheet'!U10*'Output-Calculation-sheet'!U19</f>
        <v>787.21522058639687</v>
      </c>
      <c r="V33" s="2">
        <f>V11/'Output-Calculation-sheet'!V10*'Output-Calculation-sheet'!V19</f>
        <v>537.09482594347799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105.62586778790282</v>
      </c>
      <c r="Y33" s="2">
        <f>Y11/'Output-Calculation-sheet'!Y10*'Output-Calculation-sheet'!Y19</f>
        <v>301.03183994424569</v>
      </c>
      <c r="AA33" s="2">
        <f t="shared" si="1"/>
        <v>72.615049375355142</v>
      </c>
    </row>
    <row r="34" spans="1:27" x14ac:dyDescent="0.25">
      <c r="A34" s="2">
        <v>2035</v>
      </c>
      <c r="B34" s="2">
        <f>B12/'Output-Calculation-sheet'!B11*'Output-Calculation-sheet'!B20</f>
        <v>22378.393673523493</v>
      </c>
      <c r="C34" s="2">
        <f>C12/'Output-Calculation-sheet'!C11*'Output-Calculation-sheet'!C20</f>
        <v>0</v>
      </c>
      <c r="D34" s="2">
        <f>D12/'Output-Calculation-sheet'!D11*'Output-Calculation-sheet'!D20</f>
        <v>7731.7433263235198</v>
      </c>
      <c r="E34" s="2">
        <f>E12/'Output-Calculation-sheet'!E11*'Output-Calculation-sheet'!E20</f>
        <v>7510.6425762347435</v>
      </c>
      <c r="F34" s="2">
        <f>F12/'Output-Calculation-sheet'!F11*'Output-Calculation-sheet'!F20</f>
        <v>4920.0826753792398</v>
      </c>
      <c r="G34" s="2">
        <f>G12/'Output-Calculation-sheet'!G11*'Output-Calculation-sheet'!G20</f>
        <v>2610.6234874618135</v>
      </c>
      <c r="H34" s="2">
        <f>H12/'Output-Calculation-sheet'!H11*'Output-Calculation-sheet'!H20</f>
        <v>0</v>
      </c>
      <c r="I34" s="2">
        <f>I12/'Output-Calculation-sheet'!I11*'Output-Calculation-sheet'!I20</f>
        <v>3003.3354040269369</v>
      </c>
      <c r="J34" s="2">
        <f>J12/'Output-Calculation-sheet'!J11*'Output-Calculation-sheet'!J20</f>
        <v>2548.4100486456018</v>
      </c>
      <c r="K34" s="2">
        <f>K12/'Output-Calculation-sheet'!K11*'Output-Calculation-sheet'!K20</f>
        <v>3589.5320976046787</v>
      </c>
      <c r="L34" s="2">
        <f>L12/'Output-Calculation-sheet'!L11*'Output-Calculation-sheet'!L20</f>
        <v>2619.9482073364829</v>
      </c>
      <c r="M34" s="2">
        <f>M12/'Output-Calculation-sheet'!M11*'Output-Calculation-sheet'!M20</f>
        <v>0</v>
      </c>
      <c r="N34" s="2">
        <f>N12/'Output-Calculation-sheet'!N11*'Output-Calculation-sheet'!N20</f>
        <v>1385.1013875200786</v>
      </c>
      <c r="O34" s="2">
        <f>O12/'Output-Calculation-sheet'!O11*'Output-Calculation-sheet'!O20</f>
        <v>0</v>
      </c>
      <c r="P34" s="2">
        <f>P12/'Output-Calculation-sheet'!P11*'Output-Calculation-sheet'!P20</f>
        <v>3126.226991159424</v>
      </c>
      <c r="Q34" s="2">
        <f>Q12/'Output-Calculation-sheet'!Q11*'Output-Calculation-sheet'!Q20</f>
        <v>2317.4003150038502</v>
      </c>
      <c r="R34" s="2">
        <f>R12/'Output-Calculation-sheet'!R11*'Output-Calculation-sheet'!R20</f>
        <v>2631.2346492077031</v>
      </c>
      <c r="S34" s="2">
        <f>S12/'Output-Calculation-sheet'!S11*'Output-Calculation-sheet'!S20</f>
        <v>963.07775631108643</v>
      </c>
      <c r="T34" s="2">
        <f>T12/'Output-Calculation-sheet'!T11*'Output-Calculation-sheet'!T20</f>
        <v>786.02931380990879</v>
      </c>
      <c r="U34" s="2">
        <f>U12/'Output-Calculation-sheet'!U11*'Output-Calculation-sheet'!U20</f>
        <v>719.3564277412986</v>
      </c>
      <c r="V34" s="2">
        <f>V12/'Output-Calculation-sheet'!V11*'Output-Calculation-sheet'!V20</f>
        <v>695.23409200410572</v>
      </c>
      <c r="W34" s="2">
        <f>W12/'Output-Calculation-sheet'!W11*'Output-Calculation-sheet'!W20</f>
        <v>422.11160055361393</v>
      </c>
      <c r="X34" s="2">
        <f>X12/'Output-Calculation-sheet'!X11*'Output-Calculation-sheet'!X20</f>
        <v>89.311189077308043</v>
      </c>
      <c r="Y34" s="2">
        <f>Y12/'Output-Calculation-sheet'!Y11*'Output-Calculation-sheet'!Y20</f>
        <v>229.12427970483049</v>
      </c>
      <c r="AA34" s="2">
        <f t="shared" si="1"/>
        <v>70.276919498629724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1.0728308283094701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0.20842216834741292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1.2812529966568831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1.0509629695759066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0.20417383169069495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1.279557976612538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1.9948046293480577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0.38753687469376896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9.5512080275356546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10540.70715645085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2182.3012510501626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15.889443769583226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30646.699642764426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6630.7603398104402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4562.6119708402093</v>
      </c>
      <c r="N52" s="2">
        <f>N8/'Output-Calculation-sheet'!N7*'Output-Calculation-sheet'!N43</f>
        <v>145.83139638120196</v>
      </c>
      <c r="O52" s="2">
        <f>O8/'Output-Calculation-sheet'!O7*'Output-Calculation-sheet'!O43</f>
        <v>6208.9933863243978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590.05543283560939</v>
      </c>
      <c r="Y52" s="2">
        <f>Y8/'Output-Calculation-sheet'!Y7*'Output-Calculation-sheet'!Y43</f>
        <v>0</v>
      </c>
      <c r="AA52" s="2">
        <f t="shared" si="3"/>
        <v>48.784952168956288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53515.725361360513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12533.797673303201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8565.5420853765554</v>
      </c>
      <c r="N53" s="2">
        <f>N9/'Output-Calculation-sheet'!N8*'Output-Calculation-sheet'!N44</f>
        <v>3050.7601845682311</v>
      </c>
      <c r="O53" s="2">
        <f>O9/'Output-Calculation-sheet'!O8*'Output-Calculation-sheet'!O44</f>
        <v>10612.887560669367</v>
      </c>
      <c r="P53" s="2">
        <f>P9/'Output-Calculation-sheet'!P8*'Output-Calculation-sheet'!P44</f>
        <v>142.70140312126321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951.87647138329021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1071.1274266675034</v>
      </c>
      <c r="Y53" s="2">
        <f>Y9/'Output-Calculation-sheet'!Y8*'Output-Calculation-sheet'!Y44</f>
        <v>0</v>
      </c>
      <c r="AA53" s="2">
        <f t="shared" si="3"/>
        <v>90.444418166449921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61076.070839723332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11280.392795645066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1242.6467835011354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449.09494598593733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144.99116207091291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60660.845086047942</v>
      </c>
      <c r="D55" s="2">
        <f>D11/'Output-Calculation-sheet'!D10*'Output-Calculation-sheet'!D46</f>
        <v>6533.1655540023521</v>
      </c>
      <c r="E55" s="2">
        <f>E11/'Output-Calculation-sheet'!E10*'Output-Calculation-sheet'!E46</f>
        <v>7982.8906628675595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21766.594320646389</v>
      </c>
      <c r="I55" s="2">
        <f>I11/'Output-Calculation-sheet'!I10*'Output-Calculation-sheet'!I46</f>
        <v>1580.9373386640839</v>
      </c>
      <c r="J55" s="2">
        <f>J11/'Output-Calculation-sheet'!J10*'Output-Calculation-sheet'!J46</f>
        <v>1121.3030568729307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14918.964554266509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11140.010816808091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4472.8904482933112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5588.8546188309583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1287.6318967118425</v>
      </c>
      <c r="V55" s="2">
        <f>V11/'Output-Calculation-sheet'!V10*'Output-Calculation-sheet'!V46</f>
        <v>517.12550735158902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1540.2478134849439</v>
      </c>
      <c r="Y55" s="2">
        <f>Y11/'Output-Calculation-sheet'!Y10*'Output-Calculation-sheet'!Y46</f>
        <v>394.84872357367175</v>
      </c>
      <c r="AA55" s="2">
        <f t="shared" si="3"/>
        <v>237.31578171471577</v>
      </c>
    </row>
    <row r="56" spans="1:27" x14ac:dyDescent="0.25">
      <c r="A56" s="2">
        <v>2035</v>
      </c>
      <c r="B56" s="2">
        <f>B12/'Output-Calculation-sheet'!B11*'Output-Calculation-sheet'!B47</f>
        <v>86639.360010511227</v>
      </c>
      <c r="C56" s="2">
        <f>C12/'Output-Calculation-sheet'!C11*'Output-Calculation-sheet'!C47</f>
        <v>58444.275982653613</v>
      </c>
      <c r="D56" s="2">
        <f>D12/'Output-Calculation-sheet'!D11*'Output-Calculation-sheet'!D47</f>
        <v>12632.934334967911</v>
      </c>
      <c r="E56" s="2">
        <f>E12/'Output-Calculation-sheet'!E11*'Output-Calculation-sheet'!E47</f>
        <v>22851.353932187583</v>
      </c>
      <c r="F56" s="2">
        <f>F12/'Output-Calculation-sheet'!F11*'Output-Calculation-sheet'!F47</f>
        <v>2556.7323048550475</v>
      </c>
      <c r="G56" s="2">
        <f>G12/'Output-Calculation-sheet'!G11*'Output-Calculation-sheet'!G47</f>
        <v>5810.5910360860798</v>
      </c>
      <c r="H56" s="2">
        <f>H12/'Output-Calculation-sheet'!H11*'Output-Calculation-sheet'!H47</f>
        <v>20845.822598855615</v>
      </c>
      <c r="I56" s="2">
        <f>I12/'Output-Calculation-sheet'!I11*'Output-Calculation-sheet'!I47</f>
        <v>3750.91845903584</v>
      </c>
      <c r="J56" s="2">
        <f>J12/'Output-Calculation-sheet'!J11*'Output-Calculation-sheet'!J47</f>
        <v>3687.429932004804</v>
      </c>
      <c r="K56" s="2">
        <f>K12/'Output-Calculation-sheet'!K11*'Output-Calculation-sheet'!K47</f>
        <v>5112.0332231107632</v>
      </c>
      <c r="L56" s="2">
        <f>L12/'Output-Calculation-sheet'!L11*'Output-Calculation-sheet'!L47</f>
        <v>4768.3745270177069</v>
      </c>
      <c r="M56" s="2">
        <f>M12/'Output-Calculation-sheet'!M11*'Output-Calculation-sheet'!M47</f>
        <v>14825.804473954182</v>
      </c>
      <c r="N56" s="2">
        <f>N12/'Output-Calculation-sheet'!N11*'Output-Calculation-sheet'!N47</f>
        <v>12294.607621487974</v>
      </c>
      <c r="O56" s="2">
        <f>O12/'Output-Calculation-sheet'!O11*'Output-Calculation-sheet'!O47</f>
        <v>10742.250210809736</v>
      </c>
      <c r="P56" s="2">
        <f>P12/'Output-Calculation-sheet'!P11*'Output-Calculation-sheet'!P47</f>
        <v>6023.9478057757351</v>
      </c>
      <c r="Q56" s="2">
        <f>Q12/'Output-Calculation-sheet'!Q11*'Output-Calculation-sheet'!Q47</f>
        <v>5681.1934864949953</v>
      </c>
      <c r="R56" s="2">
        <f>R12/'Output-Calculation-sheet'!R11*'Output-Calculation-sheet'!R47</f>
        <v>4621.1154470245892</v>
      </c>
      <c r="S56" s="2">
        <f>S12/'Output-Calculation-sheet'!S11*'Output-Calculation-sheet'!S47</f>
        <v>6149.7484656031002</v>
      </c>
      <c r="T56" s="2">
        <f>T12/'Output-Calculation-sheet'!T11*'Output-Calculation-sheet'!T47</f>
        <v>1656.9556484782433</v>
      </c>
      <c r="U56" s="2">
        <f>U12/'Output-Calculation-sheet'!U11*'Output-Calculation-sheet'!U47</f>
        <v>1573.3376003118717</v>
      </c>
      <c r="V56" s="2">
        <f>V12/'Output-Calculation-sheet'!V11*'Output-Calculation-sheet'!V47</f>
        <v>965.8373850528867</v>
      </c>
      <c r="W56" s="2">
        <f>W12/'Output-Calculation-sheet'!W11*'Output-Calculation-sheet'!W47</f>
        <v>560.96146144336126</v>
      </c>
      <c r="X56" s="2">
        <f>X12/'Output-Calculation-sheet'!X11*'Output-Calculation-sheet'!X47</f>
        <v>1494.2800813071117</v>
      </c>
      <c r="Y56" s="2">
        <f>Y12/'Output-Calculation-sheet'!Y11*'Output-Calculation-sheet'!Y47</f>
        <v>839.69989308365246</v>
      </c>
      <c r="AA56" s="2">
        <f t="shared" si="3"/>
        <v>294.52956592211359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3.8366731690193259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1.1490565860287649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0.80056910568387873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0.10061780448046047</v>
      </c>
      <c r="Y62" s="2">
        <f>Y7*'Output-Calculation-sheet'!Y51/10^9</f>
        <v>6.4346635955916262E-2</v>
      </c>
      <c r="AA62" s="2">
        <f t="shared" si="4"/>
        <v>27.964836665708631</v>
      </c>
    </row>
    <row r="63" spans="1:27" x14ac:dyDescent="0.25">
      <c r="A63" s="2">
        <v>2031</v>
      </c>
      <c r="B63" s="2">
        <f>B8*'Output-Calculation-sheet'!B52/10^9</f>
        <v>7.1319255727389264</v>
      </c>
      <c r="C63" s="2">
        <f>C8*'Output-Calculation-sheet'!C52/10^9</f>
        <v>4.4974692896483921</v>
      </c>
      <c r="D63" s="2">
        <f>D8*'Output-Calculation-sheet'!D52/10^9</f>
        <v>2.4456735636341373</v>
      </c>
      <c r="E63" s="2">
        <f>E8*'Output-Calculation-sheet'!E52/10^9</f>
        <v>2.4316677672696132</v>
      </c>
      <c r="F63" s="2">
        <f>F8*'Output-Calculation-sheet'!F52/10^9</f>
        <v>1.0298119183473555</v>
      </c>
      <c r="G63" s="2">
        <f>G8*'Output-Calculation-sheet'!G52/10^9</f>
        <v>0.74038734797605565</v>
      </c>
      <c r="H63" s="2">
        <f>H8*'Output-Calculation-sheet'!H52/10^9</f>
        <v>1.2933085204923138</v>
      </c>
      <c r="I63" s="2">
        <f>I8*'Output-Calculation-sheet'!I52/10^9</f>
        <v>0.68873221772310267</v>
      </c>
      <c r="J63" s="2">
        <f>J8*'Output-Calculation-sheet'!J52/10^9</f>
        <v>0.94774314083705546</v>
      </c>
      <c r="K63" s="2">
        <f>K8*'Output-Calculation-sheet'!K52/10^9</f>
        <v>0.83267448764380558</v>
      </c>
      <c r="L63" s="2">
        <f>L8*'Output-Calculation-sheet'!L52/10^9</f>
        <v>1.1199856715233194</v>
      </c>
      <c r="M63" s="2">
        <f>M8*'Output-Calculation-sheet'!M52/10^9</f>
        <v>1.0497312231557208</v>
      </c>
      <c r="N63" s="2">
        <f>N8*'Output-Calculation-sheet'!N52/10^9</f>
        <v>0.87610399237834791</v>
      </c>
      <c r="O63" s="2">
        <f>O8*'Output-Calculation-sheet'!O52/10^9</f>
        <v>0.9342396709829488</v>
      </c>
      <c r="P63" s="2">
        <f>P8*'Output-Calculation-sheet'!P52/10^9</f>
        <v>0.57535666670928332</v>
      </c>
      <c r="Q63" s="2">
        <f>Q8*'Output-Calculation-sheet'!Q52/10^9</f>
        <v>0.65113158964340412</v>
      </c>
      <c r="R63" s="2">
        <f>R8*'Output-Calculation-sheet'!R52/10^9</f>
        <v>0.5845875718815795</v>
      </c>
      <c r="S63" s="2">
        <f>S8*'Output-Calculation-sheet'!S52/10^9</f>
        <v>0.4332026825638996</v>
      </c>
      <c r="T63" s="2">
        <f>T8*'Output-Calculation-sheet'!T52/10^9</f>
        <v>0.22225275118844967</v>
      </c>
      <c r="U63" s="2">
        <f>U8*'Output-Calculation-sheet'!U52/10^9</f>
        <v>0.15264071829760287</v>
      </c>
      <c r="V63" s="2">
        <f>V8*'Output-Calculation-sheet'!V52/10^9</f>
        <v>0.27090141048385141</v>
      </c>
      <c r="W63" s="2">
        <f>W8*'Output-Calculation-sheet'!W52/10^9</f>
        <v>9.8053808196590958E-2</v>
      </c>
      <c r="X63" s="2">
        <f>X8*'Output-Calculation-sheet'!X52/10^9</f>
        <v>0.11285767110075762</v>
      </c>
      <c r="Y63" s="2">
        <f>Y8*'Output-Calculation-sheet'!Y52/10^9</f>
        <v>6.3977320433141319E-2</v>
      </c>
      <c r="AA63" s="2">
        <f t="shared" si="4"/>
        <v>29.184416574849664</v>
      </c>
    </row>
    <row r="64" spans="1:27" x14ac:dyDescent="0.25">
      <c r="A64" s="2">
        <v>2032</v>
      </c>
      <c r="B64" s="2">
        <f>B9*'Output-Calculation-sheet'!B53/10^9</f>
        <v>7.2082968916856993</v>
      </c>
      <c r="C64" s="2">
        <f>C9*'Output-Calculation-sheet'!C53/10^9</f>
        <v>4.8665712354646145</v>
      </c>
      <c r="D64" s="2">
        <f>D9*'Output-Calculation-sheet'!D53/10^9</f>
        <v>2.1332217572769161</v>
      </c>
      <c r="E64" s="2">
        <f>E9*'Output-Calculation-sheet'!E53/10^9</f>
        <v>2.1845230845588235</v>
      </c>
      <c r="F64" s="2">
        <f>F9*'Output-Calculation-sheet'!F53/10^9</f>
        <v>0.9214189125491391</v>
      </c>
      <c r="G64" s="2">
        <f>G9*'Output-Calculation-sheet'!G53/10^9</f>
        <v>0.65583709805081847</v>
      </c>
      <c r="H64" s="2">
        <f>H9*'Output-Calculation-sheet'!H53/10^9</f>
        <v>1.3476057551889007</v>
      </c>
      <c r="I64" s="2">
        <f>I9*'Output-Calculation-sheet'!I53/10^9</f>
        <v>0.61310060100519226</v>
      </c>
      <c r="J64" s="2">
        <f>J9*'Output-Calculation-sheet'!J53/10^9</f>
        <v>0.81162141556677381</v>
      </c>
      <c r="K64" s="2">
        <f>K9*'Output-Calculation-sheet'!K53/10^9</f>
        <v>0.75307231545683861</v>
      </c>
      <c r="L64" s="2">
        <f>L9*'Output-Calculation-sheet'!L53/10^9</f>
        <v>0.9688212956023613</v>
      </c>
      <c r="M64" s="2">
        <f>M9*'Output-Calculation-sheet'!M53/10^9</f>
        <v>1.056181821456859</v>
      </c>
      <c r="N64" s="2">
        <f>N9*'Output-Calculation-sheet'!N53/10^9</f>
        <v>0.88910875330036698</v>
      </c>
      <c r="O64" s="2">
        <f>O9*'Output-Calculation-sheet'!O53/10^9</f>
        <v>1.0065305187221831</v>
      </c>
      <c r="P64" s="2">
        <f>P9*'Output-Calculation-sheet'!P53/10^9</f>
        <v>0.57415681180492706</v>
      </c>
      <c r="Q64" s="2">
        <f>Q9*'Output-Calculation-sheet'!Q53/10^9</f>
        <v>0.63453962988133716</v>
      </c>
      <c r="R64" s="2">
        <f>R9*'Output-Calculation-sheet'!R53/10^9</f>
        <v>0.54394956923935667</v>
      </c>
      <c r="S64" s="2">
        <f>S9*'Output-Calculation-sheet'!S53/10^9</f>
        <v>0.44942319400925146</v>
      </c>
      <c r="T64" s="2">
        <f>T9*'Output-Calculation-sheet'!T53/10^9</f>
        <v>0.19553571188242205</v>
      </c>
      <c r="U64" s="2">
        <f>U9*'Output-Calculation-sheet'!U53/10^9</f>
        <v>0.14717558283465074</v>
      </c>
      <c r="V64" s="2">
        <f>V9*'Output-Calculation-sheet'!V53/10^9</f>
        <v>0.23208774808516372</v>
      </c>
      <c r="W64" s="2">
        <f>W9*'Output-Calculation-sheet'!W53/10^9</f>
        <v>8.6239623979129112E-2</v>
      </c>
      <c r="X64" s="2">
        <f>X9*'Output-Calculation-sheet'!X53/10^9</f>
        <v>0.11705870137204012</v>
      </c>
      <c r="Y64" s="2">
        <f>Y9*'Output-Calculation-sheet'!Y53/10^9</f>
        <v>6.0422285006682452E-2</v>
      </c>
      <c r="AA64" s="2">
        <f t="shared" si="4"/>
        <v>28.456500313980449</v>
      </c>
    </row>
    <row r="65" spans="1:27" x14ac:dyDescent="0.25">
      <c r="A65" s="2">
        <v>2033</v>
      </c>
      <c r="B65" s="2">
        <f>B10*'Output-Calculation-sheet'!B54/10^9</f>
        <v>7.2757958302907895</v>
      </c>
      <c r="C65" s="2">
        <f>C10*'Output-Calculation-sheet'!C54/10^9</f>
        <v>5.0903597434197385</v>
      </c>
      <c r="D65" s="2">
        <f>D10*'Output-Calculation-sheet'!D54/10^9</f>
        <v>1.7189049267851624</v>
      </c>
      <c r="E65" s="2">
        <f>E10*'Output-Calculation-sheet'!E54/10^9</f>
        <v>1.9354672910005812</v>
      </c>
      <c r="F65" s="2">
        <f>F10*'Output-Calculation-sheet'!F54/10^9</f>
        <v>0.78576659846090036</v>
      </c>
      <c r="G65" s="2">
        <f>G10*'Output-Calculation-sheet'!G54/10^9</f>
        <v>0.53949984613263602</v>
      </c>
      <c r="H65" s="2">
        <f>H10*'Output-Calculation-sheet'!H54/10^9</f>
        <v>1.3332525732207869</v>
      </c>
      <c r="I65" s="2">
        <f>I10*'Output-Calculation-sheet'!I54/10^9</f>
        <v>0.52532551080760992</v>
      </c>
      <c r="J65" s="2">
        <f>J10*'Output-Calculation-sheet'!J54/10^9</f>
        <v>0.62788115273642775</v>
      </c>
      <c r="K65" s="2">
        <f>K10*'Output-Calculation-sheet'!K54/10^9</f>
        <v>0.66986601729784112</v>
      </c>
      <c r="L65" s="2">
        <f>L10*'Output-Calculation-sheet'!L54/10^9</f>
        <v>0.79125264753704161</v>
      </c>
      <c r="M65" s="2">
        <f>M10*'Output-Calculation-sheet'!M54/10^9</f>
        <v>1.006702554176981</v>
      </c>
      <c r="N65" s="2">
        <f>N10*'Output-Calculation-sheet'!N54/10^9</f>
        <v>0.86930185439655039</v>
      </c>
      <c r="O65" s="2">
        <f>O10*'Output-Calculation-sheet'!O54/10^9</f>
        <v>1.0412642337600071</v>
      </c>
      <c r="P65" s="2">
        <f>P10*'Output-Calculation-sheet'!P54/10^9</f>
        <v>0.56680690846152604</v>
      </c>
      <c r="Q65" s="2">
        <f>Q10*'Output-Calculation-sheet'!Q54/10^9</f>
        <v>0.61848196727048044</v>
      </c>
      <c r="R65" s="2">
        <f>R10*'Output-Calculation-sheet'!R54/10^9</f>
        <v>0.49899169466479554</v>
      </c>
      <c r="S65" s="2">
        <f>S10*'Output-Calculation-sheet'!S54/10^9</f>
        <v>0.45326162753400007</v>
      </c>
      <c r="T65" s="2">
        <f>T10*'Output-Calculation-sheet'!T54/10^9</f>
        <v>0.16683459806129458</v>
      </c>
      <c r="U65" s="2">
        <f>U10*'Output-Calculation-sheet'!U54/10^9</f>
        <v>0.14405688055936652</v>
      </c>
      <c r="V65" s="2">
        <f>V10*'Output-Calculation-sheet'!V54/10^9</f>
        <v>0.18462766565455035</v>
      </c>
      <c r="W65" s="2">
        <f>W10*'Output-Calculation-sheet'!W54/10^9</f>
        <v>7.0294696471773055E-2</v>
      </c>
      <c r="X65" s="2">
        <f>X10*'Output-Calculation-sheet'!X54/10^9</f>
        <v>0.11578333431515915</v>
      </c>
      <c r="Y65" s="2">
        <f>Y10*'Output-Calculation-sheet'!Y54/10^9</f>
        <v>5.7856303056009264E-2</v>
      </c>
      <c r="AA65" s="2">
        <f t="shared" si="4"/>
        <v>27.087636456072012</v>
      </c>
    </row>
    <row r="66" spans="1:27" x14ac:dyDescent="0.25">
      <c r="A66" s="2">
        <v>2034</v>
      </c>
      <c r="B66" s="2">
        <f>B11*'Output-Calculation-sheet'!B55/10^9</f>
        <v>7.3114431516853777</v>
      </c>
      <c r="C66" s="2">
        <f>C11*'Output-Calculation-sheet'!C55/10^9</f>
        <v>5.1760695248292121</v>
      </c>
      <c r="D66" s="2">
        <f>D11*'Output-Calculation-sheet'!D55/10^9</f>
        <v>1.5294247066283488</v>
      </c>
      <c r="E66" s="2">
        <f>E11*'Output-Calculation-sheet'!E55/10^9</f>
        <v>1.8518859323240222</v>
      </c>
      <c r="F66" s="2">
        <f>F11*'Output-Calculation-sheet'!F55/10^9</f>
        <v>0.71171240070418051</v>
      </c>
      <c r="G66" s="2">
        <f>G11*'Output-Calculation-sheet'!G55/10^9</f>
        <v>0.50872213689820434</v>
      </c>
      <c r="H66" s="2">
        <f>H11*'Output-Calculation-sheet'!H55/10^9</f>
        <v>1.3064282056150851</v>
      </c>
      <c r="I66" s="2">
        <f>I11*'Output-Calculation-sheet'!I55/10^9</f>
        <v>0.49751480988483238</v>
      </c>
      <c r="J66" s="2">
        <f>J11*'Output-Calculation-sheet'!J55/10^9</f>
        <v>0.51156041194989832</v>
      </c>
      <c r="K66" s="2">
        <f>K11*'Output-Calculation-sheet'!K55/10^9</f>
        <v>0.61188948570829116</v>
      </c>
      <c r="L66" s="2">
        <f>L11*'Output-Calculation-sheet'!L55/10^9</f>
        <v>0.64798329751231643</v>
      </c>
      <c r="M66" s="2">
        <f>M11*'Output-Calculation-sheet'!M55/10^9</f>
        <v>0.94223303488998544</v>
      </c>
      <c r="N66" s="2">
        <f>N11*'Output-Calculation-sheet'!N55/10^9</f>
        <v>0.82326040514154797</v>
      </c>
      <c r="O66" s="2">
        <f>O11*'Output-Calculation-sheet'!O55/10^9</f>
        <v>1.0390308628794267</v>
      </c>
      <c r="P66" s="2">
        <f>P11*'Output-Calculation-sheet'!P55/10^9</f>
        <v>0.56591004044280402</v>
      </c>
      <c r="Q66" s="2">
        <f>Q11*'Output-Calculation-sheet'!Q55/10^9</f>
        <v>0.61779640335168717</v>
      </c>
      <c r="R66" s="2">
        <f>R11*'Output-Calculation-sheet'!R55/10^9</f>
        <v>0.45835269130254302</v>
      </c>
      <c r="S66" s="2">
        <f>S11*'Output-Calculation-sheet'!S55/10^9</f>
        <v>0.45100046080899281</v>
      </c>
      <c r="T66" s="2">
        <f>T11*'Output-Calculation-sheet'!T55/10^9</f>
        <v>0.1436683293021421</v>
      </c>
      <c r="U66" s="2">
        <f>U11*'Output-Calculation-sheet'!U55/10^9</f>
        <v>0.14668604529153836</v>
      </c>
      <c r="V66" s="2">
        <f>V11*'Output-Calculation-sheet'!V55/10^9</f>
        <v>0.13629068644713144</v>
      </c>
      <c r="W66" s="2">
        <f>W11*'Output-Calculation-sheet'!W55/10^9</f>
        <v>6.1712351991975535E-2</v>
      </c>
      <c r="X66" s="2">
        <f>X11*'Output-Calculation-sheet'!X55/10^9</f>
        <v>0.11706029797270401</v>
      </c>
      <c r="Y66" s="2">
        <f>Y11*'Output-Calculation-sheet'!Y55/10^9</f>
        <v>6.0556981601816169E-2</v>
      </c>
      <c r="AA66" s="2">
        <f t="shared" si="4"/>
        <v>26.228192655164058</v>
      </c>
    </row>
    <row r="67" spans="1:27" x14ac:dyDescent="0.25">
      <c r="A67" s="2">
        <v>2035</v>
      </c>
      <c r="B67" s="2">
        <f>B12*'Output-Calculation-sheet'!B56/10^9</f>
        <v>7.5873265030625534</v>
      </c>
      <c r="C67" s="2">
        <f>C12*'Output-Calculation-sheet'!C56/10^9</f>
        <v>5.0920397913471982</v>
      </c>
      <c r="D67" s="2">
        <f>D12*'Output-Calculation-sheet'!D56/10^9</f>
        <v>1.6649964046914112</v>
      </c>
      <c r="E67" s="2">
        <f>E12*'Output-Calculation-sheet'!E56/10^9</f>
        <v>2.1191307568040791</v>
      </c>
      <c r="F67" s="2">
        <f>F12*'Output-Calculation-sheet'!F56/10^9</f>
        <v>0.82392683217546203</v>
      </c>
      <c r="G67" s="2">
        <f>G12*'Output-Calculation-sheet'!G56/10^9</f>
        <v>0.60570979538375691</v>
      </c>
      <c r="H67" s="2">
        <f>H12*'Output-Calculation-sheet'!H56/10^9</f>
        <v>1.3384030518451655</v>
      </c>
      <c r="I67" s="2">
        <f>I12*'Output-Calculation-sheet'!I56/10^9</f>
        <v>0.57144606229581185</v>
      </c>
      <c r="J67" s="2">
        <f>J12*'Output-Calculation-sheet'!J56/10^9</f>
        <v>0.53103410209934776</v>
      </c>
      <c r="K67" s="2">
        <f>K12*'Output-Calculation-sheet'!K56/10^9</f>
        <v>0.65212074802621633</v>
      </c>
      <c r="L67" s="2">
        <f>L12*'Output-Calculation-sheet'!L56/10^9</f>
        <v>0.62501211077943031</v>
      </c>
      <c r="M67" s="2">
        <f>M12*'Output-Calculation-sheet'!M56/10^9</f>
        <v>0.96210925866822783</v>
      </c>
      <c r="N67" s="2">
        <f>N12*'Output-Calculation-sheet'!N56/10^9</f>
        <v>0.82208920144557163</v>
      </c>
      <c r="O67" s="2">
        <f>O12*'Output-Calculation-sheet'!O56/10^9</f>
        <v>1.0030497810519285</v>
      </c>
      <c r="P67" s="2">
        <f>P12*'Output-Calculation-sheet'!P56/10^9</f>
        <v>0.62969053869287672</v>
      </c>
      <c r="Q67" s="2">
        <f>Q12*'Output-Calculation-sheet'!Q56/10^9</f>
        <v>0.63282485312093439</v>
      </c>
      <c r="R67" s="2">
        <f>R12*'Output-Calculation-sheet'!R56/10^9</f>
        <v>0.48078024679708509</v>
      </c>
      <c r="S67" s="2">
        <f>S12*'Output-Calculation-sheet'!S56/10^9</f>
        <v>0.45822918228417092</v>
      </c>
      <c r="T67" s="2">
        <f>T12*'Output-Calculation-sheet'!T56/10^9</f>
        <v>0.14741160765979253</v>
      </c>
      <c r="U67" s="2">
        <f>U12*'Output-Calculation-sheet'!U56/10^9</f>
        <v>0.15835261467799513</v>
      </c>
      <c r="V67" s="2">
        <f>V12*'Output-Calculation-sheet'!V56/10^9</f>
        <v>0.11323221531234523</v>
      </c>
      <c r="W67" s="2">
        <f>W12*'Output-Calculation-sheet'!W56/10^9</f>
        <v>7.5094351237342163E-2</v>
      </c>
      <c r="X67" s="2">
        <f>X12*'Output-Calculation-sheet'!X56/10^9</f>
        <v>0.11991257976134058</v>
      </c>
      <c r="Y67" s="2">
        <f>Y12*'Output-Calculation-sheet'!Y56/10^9</f>
        <v>7.1060491459020214E-2</v>
      </c>
      <c r="AA67" s="2">
        <f t="shared" si="4"/>
        <v>27.284983080679062</v>
      </c>
    </row>
    <row r="68" spans="1:27" x14ac:dyDescent="0.25">
      <c r="B68" s="2">
        <f>SUM(B60:B67)</f>
        <v>54.148845148693084</v>
      </c>
      <c r="C68" s="2">
        <f t="shared" ref="C68:Y68" si="5">SUM(C60:C67)</f>
        <v>34.037912934677756</v>
      </c>
      <c r="D68" s="2">
        <f t="shared" si="5"/>
        <v>16.419282739535674</v>
      </c>
      <c r="E68" s="2">
        <f t="shared" si="5"/>
        <v>17.35152579903891</v>
      </c>
      <c r="F68" s="2">
        <f t="shared" si="5"/>
        <v>7.1021778639116757</v>
      </c>
      <c r="G68" s="2">
        <f t="shared" si="5"/>
        <v>5.1094002077324454</v>
      </c>
      <c r="H68" s="2">
        <f t="shared" si="5"/>
        <v>9.5236498360385315</v>
      </c>
      <c r="I68" s="2">
        <f t="shared" si="5"/>
        <v>4.8003221471449189</v>
      </c>
      <c r="J68" s="2">
        <f t="shared" si="5"/>
        <v>6.1708485044344412</v>
      </c>
      <c r="K68" s="2">
        <f t="shared" si="5"/>
        <v>5.8268715393103072</v>
      </c>
      <c r="L68" s="2">
        <f t="shared" si="5"/>
        <v>7.4041404050238926</v>
      </c>
      <c r="M68" s="2">
        <f t="shared" si="5"/>
        <v>7.5086596887801047</v>
      </c>
      <c r="N68" s="2">
        <f t="shared" si="5"/>
        <v>6.4428311302260663</v>
      </c>
      <c r="O68" s="2">
        <f t="shared" si="5"/>
        <v>6.9709393221036811</v>
      </c>
      <c r="P68" s="2">
        <f t="shared" si="5"/>
        <v>4.3761329566542528</v>
      </c>
      <c r="Q68" s="2">
        <f t="shared" si="5"/>
        <v>4.8262460026554423</v>
      </c>
      <c r="R68" s="2">
        <f t="shared" si="5"/>
        <v>4.1703355626357386</v>
      </c>
      <c r="S68" s="2">
        <f t="shared" si="5"/>
        <v>3.2928940598909522</v>
      </c>
      <c r="T68" s="2">
        <f t="shared" si="5"/>
        <v>1.5036614149958407</v>
      </c>
      <c r="U68" s="2">
        <f t="shared" si="5"/>
        <v>1.1594199984492326</v>
      </c>
      <c r="V68" s="2">
        <f t="shared" si="5"/>
        <v>1.7320247804259163</v>
      </c>
      <c r="W68" s="2">
        <f t="shared" si="5"/>
        <v>0.66643503969272755</v>
      </c>
      <c r="X68" s="2">
        <f t="shared" si="5"/>
        <v>0.83623933128373729</v>
      </c>
      <c r="Y68" s="2">
        <f t="shared" si="5"/>
        <v>0.48721923522062921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2394.2793138802481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487.95359137351073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3.6943052774533154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5911.7483610892577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1455.9370721742314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956.42362398502883</v>
      </c>
      <c r="N74" s="2">
        <f>N8/'Output-Calculation-sheet'!N7*'Output-Calculation-sheet'!N61</f>
        <v>40.085405080282882</v>
      </c>
      <c r="O74" s="2">
        <f>O8/'Output-Calculation-sheet'!O7*'Output-Calculation-sheet'!O61</f>
        <v>1181.9882094667519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118.8493722165297</v>
      </c>
      <c r="Y74" s="2">
        <f>Y8/'Output-Calculation-sheet'!Y7*'Output-Calculation-sheet'!Y61</f>
        <v>0</v>
      </c>
      <c r="AA74" s="2">
        <f t="shared" si="6"/>
        <v>9.6650320440120829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9612.5187039458669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2385.2473640511221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1618.4748936228825</v>
      </c>
      <c r="N75" s="2">
        <f>N9/'Output-Calculation-sheet'!N8*'Output-Calculation-sheet'!N62</f>
        <v>625.59892392411825</v>
      </c>
      <c r="O75" s="2">
        <f>O9/'Output-Calculation-sheet'!O8*'Output-Calculation-sheet'!O62</f>
        <v>1900.085261541097</v>
      </c>
      <c r="P75" s="2">
        <f>P9/'Output-Calculation-sheet'!P8*'Output-Calculation-sheet'!P62</f>
        <v>41.882861816090752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209.62312199451318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194.9818298149612</v>
      </c>
      <c r="Y75" s="2">
        <f>Y9/'Output-Calculation-sheet'!Y8*'Output-Calculation-sheet'!Y62</f>
        <v>0</v>
      </c>
      <c r="AA75" s="2">
        <f t="shared" si="6"/>
        <v>16.588412960710656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11300.014185022774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3325.3932098973187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2264.1159586186868</v>
      </c>
      <c r="N76" s="2">
        <f>N10/'Output-Calculation-sheet'!N9*'Output-Calculation-sheet'!N63</f>
        <v>1295.6764467066678</v>
      </c>
      <c r="O76" s="2">
        <f>O10/'Output-Calculation-sheet'!O9*'Output-Calculation-sheet'!O63</f>
        <v>2000.5602937936237</v>
      </c>
      <c r="P76" s="2">
        <f>P10/'Output-Calculation-sheet'!P9*'Output-Calculation-sheet'!P63</f>
        <v>449.42089108073674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338.10206046437736</v>
      </c>
      <c r="S76" s="2">
        <f>S10/'Output-Calculation-sheet'!S9*'Output-Calculation-sheet'!S63</f>
        <v>574.534997348508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119.74952431685999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266.65185468979882</v>
      </c>
      <c r="Y76" s="2">
        <f>Y10/'Output-Calculation-sheet'!Y9*'Output-Calculation-sheet'!Y63</f>
        <v>5.0583541914109285</v>
      </c>
      <c r="AA76" s="2">
        <f t="shared" si="6"/>
        <v>27.350205700022773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11069.958900064536</v>
      </c>
      <c r="D77" s="2">
        <f>D11/'Output-Calculation-sheet'!D10*'Output-Calculation-sheet'!D64</f>
        <v>1511.6928446267191</v>
      </c>
      <c r="E77" s="2">
        <f>E11/'Output-Calculation-sheet'!E10*'Output-Calculation-sheet'!E64</f>
        <v>1837.4926865618402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785.13089041602268</v>
      </c>
      <c r="H77" s="2">
        <f>H11/'Output-Calculation-sheet'!H10*'Output-Calculation-sheet'!H64</f>
        <v>4172.0630128568291</v>
      </c>
      <c r="I77" s="2">
        <f>I11/'Output-Calculation-sheet'!I10*'Output-Calculation-sheet'!I64</f>
        <v>468.19459284536839</v>
      </c>
      <c r="J77" s="2">
        <f>J11/'Output-Calculation-sheet'!J10*'Output-Calculation-sheet'!J64</f>
        <v>316.70292152841262</v>
      </c>
      <c r="K77" s="2">
        <f>K11/'Output-Calculation-sheet'!K10*'Output-Calculation-sheet'!K64</f>
        <v>712.26767368107733</v>
      </c>
      <c r="L77" s="2">
        <f>L11/'Output-Calculation-sheet'!L10*'Output-Calculation-sheet'!L64</f>
        <v>298.37742433490087</v>
      </c>
      <c r="M77" s="2">
        <f>M11/'Output-Calculation-sheet'!M10*'Output-Calculation-sheet'!M64</f>
        <v>2805.9760375140991</v>
      </c>
      <c r="N77" s="2">
        <f>N11/'Output-Calculation-sheet'!N10*'Output-Calculation-sheet'!N64</f>
        <v>1975.5827723370896</v>
      </c>
      <c r="O77" s="2">
        <f>O11/'Output-Calculation-sheet'!O10*'Output-Calculation-sheet'!O64</f>
        <v>2048.7948510899437</v>
      </c>
      <c r="P77" s="2">
        <f>P11/'Output-Calculation-sheet'!P10*'Output-Calculation-sheet'!P64</f>
        <v>871.97441106885799</v>
      </c>
      <c r="Q77" s="2">
        <f>Q11/'Output-Calculation-sheet'!Q10*'Output-Calculation-sheet'!Q64</f>
        <v>784.01698177321668</v>
      </c>
      <c r="R77" s="2">
        <f>R11/'Output-Calculation-sheet'!R10*'Output-Calculation-sheet'!R64</f>
        <v>746.41574127714671</v>
      </c>
      <c r="S77" s="2">
        <f>S11/'Output-Calculation-sheet'!S10*'Output-Calculation-sheet'!S64</f>
        <v>993.45191354416431</v>
      </c>
      <c r="T77" s="2">
        <f>T11/'Output-Calculation-sheet'!T10*'Output-Calculation-sheet'!T64</f>
        <v>205.28610503718042</v>
      </c>
      <c r="U77" s="2">
        <f>U11/'Output-Calculation-sheet'!U10*'Output-Calculation-sheet'!U64</f>
        <v>272.84383378033647</v>
      </c>
      <c r="V77" s="2">
        <f>V11/'Output-Calculation-sheet'!V10*'Output-Calculation-sheet'!V64</f>
        <v>106.14311313695775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291.95300905230744</v>
      </c>
      <c r="Y77" s="2">
        <f>Y11/'Output-Calculation-sheet'!Y10*'Output-Calculation-sheet'!Y64</f>
        <v>68.31709826146141</v>
      </c>
      <c r="AA77" s="2">
        <f t="shared" si="6"/>
        <v>44.588854922014335</v>
      </c>
    </row>
    <row r="78" spans="1:27" x14ac:dyDescent="0.25">
      <c r="A78" s="2">
        <v>2035</v>
      </c>
      <c r="B78" s="2">
        <f>B12/'Output-Calculation-sheet'!B11*'Output-Calculation-sheet'!B65</f>
        <v>14788.601397538858</v>
      </c>
      <c r="C78" s="2">
        <f>C12/'Output-Calculation-sheet'!C11*'Output-Calculation-sheet'!C65</f>
        <v>10806.76658806199</v>
      </c>
      <c r="D78" s="2">
        <f>D12/'Output-Calculation-sheet'!D11*'Output-Calculation-sheet'!D65</f>
        <v>2776.4554577661988</v>
      </c>
      <c r="E78" s="2">
        <f>E12/'Output-Calculation-sheet'!E11*'Output-Calculation-sheet'!E65</f>
        <v>3475.1920221238697</v>
      </c>
      <c r="F78" s="2">
        <f>F12/'Output-Calculation-sheet'!F11*'Output-Calculation-sheet'!F65</f>
        <v>694.73389629197607</v>
      </c>
      <c r="G78" s="2">
        <f>G12/'Output-Calculation-sheet'!G11*'Output-Calculation-sheet'!G65</f>
        <v>1277.0511418735789</v>
      </c>
      <c r="H78" s="2">
        <f>H12/'Output-Calculation-sheet'!H11*'Output-Calculation-sheet'!H65</f>
        <v>4037.6796283917779</v>
      </c>
      <c r="I78" s="2">
        <f>I12/'Output-Calculation-sheet'!I11*'Output-Calculation-sheet'!I65</f>
        <v>927.37707981202107</v>
      </c>
      <c r="J78" s="2">
        <f>J12/'Output-Calculation-sheet'!J11*'Output-Calculation-sheet'!J65</f>
        <v>896.7879090339469</v>
      </c>
      <c r="K78" s="2">
        <f>K12/'Output-Calculation-sheet'!K11*'Output-Calculation-sheet'!K65</f>
        <v>1123.5167632754108</v>
      </c>
      <c r="L78" s="2">
        <f>L12/'Output-Calculation-sheet'!L11*'Output-Calculation-sheet'!L65</f>
        <v>828.3682764394531</v>
      </c>
      <c r="M78" s="2">
        <f>M12/'Output-Calculation-sheet'!M11*'Output-Calculation-sheet'!M65</f>
        <v>2948.0926873901967</v>
      </c>
      <c r="N78" s="2">
        <f>N12/'Output-Calculation-sheet'!N11*'Output-Calculation-sheet'!N65</f>
        <v>2102.1046897717438</v>
      </c>
      <c r="O78" s="2">
        <f>O12/'Output-Calculation-sheet'!O11*'Output-Calculation-sheet'!O65</f>
        <v>1984.3247762828669</v>
      </c>
      <c r="P78" s="2">
        <f>P12/'Output-Calculation-sheet'!P11*'Output-Calculation-sheet'!P65</f>
        <v>1145.1726698817856</v>
      </c>
      <c r="Q78" s="2">
        <f>Q12/'Output-Calculation-sheet'!Q11*'Output-Calculation-sheet'!Q65</f>
        <v>972.36179866749023</v>
      </c>
      <c r="R78" s="2">
        <f>R12/'Output-Calculation-sheet'!R11*'Output-Calculation-sheet'!R65</f>
        <v>961.00210412712715</v>
      </c>
      <c r="S78" s="2">
        <f>S12/'Output-Calculation-sheet'!S11*'Output-Calculation-sheet'!S65</f>
        <v>1111.8619933821292</v>
      </c>
      <c r="T78" s="2">
        <f>T12/'Output-Calculation-sheet'!T11*'Output-Calculation-sheet'!T65</f>
        <v>346.89508219448396</v>
      </c>
      <c r="U78" s="2">
        <f>U12/'Output-Calculation-sheet'!U11*'Output-Calculation-sheet'!U65</f>
        <v>290.24769115915188</v>
      </c>
      <c r="V78" s="2">
        <f>V12/'Output-Calculation-sheet'!V11*'Output-Calculation-sheet'!V65</f>
        <v>176.56763772600985</v>
      </c>
      <c r="W78" s="2">
        <f>W12/'Output-Calculation-sheet'!W11*'Output-Calculation-sheet'!W65</f>
        <v>123.28912992595184</v>
      </c>
      <c r="X78" s="2">
        <f>X12/'Output-Calculation-sheet'!X11*'Output-Calculation-sheet'!X65</f>
        <v>284.93786464696183</v>
      </c>
      <c r="Y78" s="2">
        <f>Y12/'Output-Calculation-sheet'!Y11*'Output-Calculation-sheet'!Y65</f>
        <v>133.68100774517271</v>
      </c>
      <c r="AA78" s="2">
        <f t="shared" si="6"/>
        <v>54.213069293510152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188.21593479113508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54.847939038792873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0.24306387382992795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553.13840503995084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107.45991141615522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2.1422083636786424</v>
      </c>
      <c r="Y88" s="2">
        <f>Y11/'Output-Calculation-sheet'!Y10*'Output-Calculation-sheet'!Y73</f>
        <v>0</v>
      </c>
      <c r="AA88" s="2">
        <f t="shared" si="7"/>
        <v>0.66274052481978474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874.91431111756913</v>
      </c>
      <c r="D89" s="2">
        <f>D12/'Output-Calculation-sheet'!D11*'Output-Calculation-sheet'!D74</f>
        <v>77.502664631704974</v>
      </c>
      <c r="E89" s="2">
        <f>E12/'Output-Calculation-sheet'!E11*'Output-Calculation-sheet'!E74</f>
        <v>123.18789181772283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80.797762011068272</v>
      </c>
      <c r="I89" s="2">
        <f>I12/'Output-Calculation-sheet'!I11*'Output-Calculation-sheet'!I74</f>
        <v>25.006123060238934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24.577082803417131</v>
      </c>
      <c r="L89" s="2">
        <f>L12/'Output-Calculation-sheet'!L11*'Output-Calculation-sheet'!L74</f>
        <v>19.542518553351258</v>
      </c>
      <c r="M89" s="2">
        <f>M12/'Output-Calculation-sheet'!M11*'Output-Calculation-sheet'!M74</f>
        <v>37.064511184885454</v>
      </c>
      <c r="N89" s="2">
        <f>N12/'Output-Calculation-sheet'!N11*'Output-Calculation-sheet'!N74</f>
        <v>36.428467026631033</v>
      </c>
      <c r="O89" s="2">
        <f>O12/'Output-Calculation-sheet'!O11*'Output-Calculation-sheet'!O74</f>
        <v>152.97508211596144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31.916817339859524</v>
      </c>
      <c r="R89" s="2">
        <f>R12/'Output-Calculation-sheet'!R11*'Output-Calculation-sheet'!R74</f>
        <v>15.825737832275991</v>
      </c>
      <c r="S89" s="2">
        <f>S12/'Output-Calculation-sheet'!S11*'Output-Calculation-sheet'!S74</f>
        <v>20.881998185409508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10.183414888749979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8.1321364969094514</v>
      </c>
      <c r="Y89" s="2">
        <f>Y12/'Output-Calculation-sheet'!Y11*'Output-Calculation-sheet'!Y74</f>
        <v>3.9238312760918341</v>
      </c>
      <c r="AA89" s="2">
        <f t="shared" si="7"/>
        <v>2.077462681484032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ref="AA94:AA100" si="8">SUM(B94:Y94)/10^9</f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11552541480.448458</v>
      </c>
      <c r="C96" s="2">
        <f>C8/'Output-Calculation-sheet'!C7*'Output-Calculation-sheet'!C79</f>
        <v>3908277287.2428699</v>
      </c>
      <c r="D96" s="2">
        <f>D8/'Output-Calculation-sheet'!D7*'Output-Calculation-sheet'!D79</f>
        <v>4079984097.7337494</v>
      </c>
      <c r="E96" s="2">
        <f>E8/'Output-Calculation-sheet'!E7*'Output-Calculation-sheet'!E79</f>
        <v>7253864335.8418741</v>
      </c>
      <c r="F96" s="2">
        <f>F8/'Output-Calculation-sheet'!F7*'Output-Calculation-sheet'!F79</f>
        <v>3002302967.5908489</v>
      </c>
      <c r="G96" s="2">
        <f>G8/'Output-Calculation-sheet'!G7*'Output-Calculation-sheet'!G79</f>
        <v>2338547139.9480691</v>
      </c>
      <c r="H96" s="2">
        <f>H8/'Output-Calculation-sheet'!H7*'Output-Calculation-sheet'!H79</f>
        <v>2001664281.6406188</v>
      </c>
      <c r="I96" s="2">
        <f>I8/'Output-Calculation-sheet'!I7*'Output-Calculation-sheet'!I79</f>
        <v>1629046700.3520503</v>
      </c>
      <c r="J96" s="2">
        <f>J8/'Output-Calculation-sheet'!J7*'Output-Calculation-sheet'!J79</f>
        <v>1101603456.1731288</v>
      </c>
      <c r="K96" s="2">
        <f>K8/'Output-Calculation-sheet'!K7*'Output-Calculation-sheet'!K79</f>
        <v>1576065932.0338871</v>
      </c>
      <c r="L96" s="2">
        <f>L8/'Output-Calculation-sheet'!L7*'Output-Calculation-sheet'!L79</f>
        <v>1112070750.2623138</v>
      </c>
      <c r="M96" s="2">
        <f>M8/'Output-Calculation-sheet'!M7*'Output-Calculation-sheet'!M79</f>
        <v>1494203673.7534261</v>
      </c>
      <c r="N96" s="2">
        <f>N8/'Output-Calculation-sheet'!N7*'Output-Calculation-sheet'!N79</f>
        <v>1111806534.9200823</v>
      </c>
      <c r="O96" s="2">
        <f>O8/'Output-Calculation-sheet'!O7*'Output-Calculation-sheet'!O79</f>
        <v>562056283.03672385</v>
      </c>
      <c r="P96" s="2">
        <f>P8/'Output-Calculation-sheet'!P7*'Output-Calculation-sheet'!P79</f>
        <v>1879960384.0960555</v>
      </c>
      <c r="Q96" s="2">
        <f>Q8/'Output-Calculation-sheet'!Q7*'Output-Calculation-sheet'!Q79</f>
        <v>876141949.59824288</v>
      </c>
      <c r="R96" s="2">
        <f>R8/'Output-Calculation-sheet'!R7*'Output-Calculation-sheet'!R79</f>
        <v>1093091232.4589252</v>
      </c>
      <c r="S96" s="2">
        <f>S8/'Output-Calculation-sheet'!S7*'Output-Calculation-sheet'!S79</f>
        <v>636926556.72039998</v>
      </c>
      <c r="T96" s="2">
        <f>T8/'Output-Calculation-sheet'!T7*'Output-Calculation-sheet'!T79</f>
        <v>486465260.48603171</v>
      </c>
      <c r="U96" s="2">
        <f>U8/'Output-Calculation-sheet'!U7*'Output-Calculation-sheet'!U79</f>
        <v>305584974.04910177</v>
      </c>
      <c r="V96" s="2">
        <f>V8/'Output-Calculation-sheet'!V7*'Output-Calculation-sheet'!V79</f>
        <v>158553420.01525792</v>
      </c>
      <c r="W96" s="2">
        <f>W8/'Output-Calculation-sheet'!W7*'Output-Calculation-sheet'!W79</f>
        <v>468512501.77789336</v>
      </c>
      <c r="X96" s="2">
        <f>X8/'Output-Calculation-sheet'!X7*'Output-Calculation-sheet'!X79</f>
        <v>164668885.70229608</v>
      </c>
      <c r="Y96" s="2">
        <f>Y8/'Output-Calculation-sheet'!Y7*'Output-Calculation-sheet'!Y79</f>
        <v>257539866.60467649</v>
      </c>
      <c r="AA96" s="2">
        <f t="shared" si="8"/>
        <v>49.051479952486972</v>
      </c>
    </row>
    <row r="97" spans="1:27" x14ac:dyDescent="0.25">
      <c r="A97" s="2">
        <v>2032</v>
      </c>
      <c r="B97" s="2">
        <f>B9/'Output-Calculation-sheet'!B8*'Output-Calculation-sheet'!B80</f>
        <v>15287407559.244677</v>
      </c>
      <c r="C97" s="2">
        <f>C9/'Output-Calculation-sheet'!C8*'Output-Calculation-sheet'!C80</f>
        <v>5206973417.2025518</v>
      </c>
      <c r="D97" s="2">
        <f>D9/'Output-Calculation-sheet'!D8*'Output-Calculation-sheet'!D80</f>
        <v>5188242147.6501989</v>
      </c>
      <c r="E97" s="2">
        <f>E9/'Output-Calculation-sheet'!E8*'Output-Calculation-sheet'!E80</f>
        <v>9488518718.3302193</v>
      </c>
      <c r="F97" s="2">
        <f>F9/'Output-Calculation-sheet'!F8*'Output-Calculation-sheet'!F80</f>
        <v>3919707851.0988793</v>
      </c>
      <c r="G97" s="2">
        <f>G9/'Output-Calculation-sheet'!G8*'Output-Calculation-sheet'!G80</f>
        <v>2967003493.2241726</v>
      </c>
      <c r="H97" s="2">
        <f>H9/'Output-Calculation-sheet'!H8*'Output-Calculation-sheet'!H80</f>
        <v>2610363792.0249968</v>
      </c>
      <c r="I97" s="2">
        <f>I9/'Output-Calculation-sheet'!I8*'Output-Calculation-sheet'!I80</f>
        <v>2147266467.003041</v>
      </c>
      <c r="J97" s="2">
        <f>J9/'Output-Calculation-sheet'!J8*'Output-Calculation-sheet'!J80</f>
        <v>1411629508.4445283</v>
      </c>
      <c r="K97" s="2">
        <f>K9/'Output-Calculation-sheet'!K8*'Output-Calculation-sheet'!K80</f>
        <v>2035161358.0021667</v>
      </c>
      <c r="L97" s="2">
        <f>L9/'Output-Calculation-sheet'!L8*'Output-Calculation-sheet'!L80</f>
        <v>1481260340.7939</v>
      </c>
      <c r="M97" s="2">
        <f>M9/'Output-Calculation-sheet'!M8*'Output-Calculation-sheet'!M80</f>
        <v>1954357302.8247166</v>
      </c>
      <c r="N97" s="2">
        <f>N9/'Output-Calculation-sheet'!N8*'Output-Calculation-sheet'!N80</f>
        <v>1427919310.2941556</v>
      </c>
      <c r="O97" s="2">
        <f>O9/'Output-Calculation-sheet'!O8*'Output-Calculation-sheet'!O80</f>
        <v>738711930.60129774</v>
      </c>
      <c r="P97" s="2">
        <f>P9/'Output-Calculation-sheet'!P8*'Output-Calculation-sheet'!P80</f>
        <v>2416926529.5946789</v>
      </c>
      <c r="Q97" s="2">
        <f>Q9/'Output-Calculation-sheet'!Q8*'Output-Calculation-sheet'!Q80</f>
        <v>1130545548.1408162</v>
      </c>
      <c r="R97" s="2">
        <f>R9/'Output-Calculation-sheet'!R8*'Output-Calculation-sheet'!R80</f>
        <v>1428441418.8148761</v>
      </c>
      <c r="S97" s="2">
        <f>S9/'Output-Calculation-sheet'!S8*'Output-Calculation-sheet'!S80</f>
        <v>829063266.06251621</v>
      </c>
      <c r="T97" s="2">
        <f>T9/'Output-Calculation-sheet'!T8*'Output-Calculation-sheet'!T80</f>
        <v>624313796.73048556</v>
      </c>
      <c r="U97" s="2">
        <f>U9/'Output-Calculation-sheet'!U8*'Output-Calculation-sheet'!U80</f>
        <v>399119332.76882386</v>
      </c>
      <c r="V97" s="2">
        <f>V9/'Output-Calculation-sheet'!V8*'Output-Calculation-sheet'!V80</f>
        <v>209274392.39855075</v>
      </c>
      <c r="W97" s="2">
        <f>W9/'Output-Calculation-sheet'!W8*'Output-Calculation-sheet'!W80</f>
        <v>606062683.99902105</v>
      </c>
      <c r="X97" s="2">
        <f>X9/'Output-Calculation-sheet'!X8*'Output-Calculation-sheet'!X80</f>
        <v>217634989.53669587</v>
      </c>
      <c r="Y97" s="2">
        <f>Y9/'Output-Calculation-sheet'!Y8*'Output-Calculation-sheet'!Y80</f>
        <v>333131281.45108277</v>
      </c>
      <c r="AA97" s="2">
        <f t="shared" si="8"/>
        <v>64.059036436237037</v>
      </c>
    </row>
    <row r="98" spans="1:27" x14ac:dyDescent="0.25">
      <c r="A98" s="2">
        <v>2033</v>
      </c>
      <c r="B98" s="2">
        <f>B10/'Output-Calculation-sheet'!B9*'Output-Calculation-sheet'!B81</f>
        <v>18605605281.327751</v>
      </c>
      <c r="C98" s="2">
        <f>C10/'Output-Calculation-sheet'!C9*'Output-Calculation-sheet'!C81</f>
        <v>6378924118.2924509</v>
      </c>
      <c r="D98" s="2">
        <f>D10/'Output-Calculation-sheet'!D9*'Output-Calculation-sheet'!D81</f>
        <v>6070792896.74123</v>
      </c>
      <c r="E98" s="2">
        <f>E10/'Output-Calculation-sheet'!E9*'Output-Calculation-sheet'!E81</f>
        <v>11419543411.396717</v>
      </c>
      <c r="F98" s="2">
        <f>F10/'Output-Calculation-sheet'!F9*'Output-Calculation-sheet'!F81</f>
        <v>4709695725.5883675</v>
      </c>
      <c r="G98" s="2">
        <f>G10/'Output-Calculation-sheet'!G9*'Output-Calculation-sheet'!G81</f>
        <v>3458002700.1298661</v>
      </c>
      <c r="H98" s="2">
        <f>H10/'Output-Calculation-sheet'!H9*'Output-Calculation-sheet'!H81</f>
        <v>3132978699.0502238</v>
      </c>
      <c r="I98" s="2">
        <f>I10/'Output-Calculation-sheet'!I9*'Output-Calculation-sheet'!I81</f>
        <v>2604430235.7939734</v>
      </c>
      <c r="J98" s="2">
        <f>J10/'Output-Calculation-sheet'!J9*'Output-Calculation-sheet'!J81</f>
        <v>1665338336.5447295</v>
      </c>
      <c r="K98" s="2">
        <f>K10/'Output-Calculation-sheet'!K9*'Output-Calculation-sheet'!K81</f>
        <v>2418969975.8998785</v>
      </c>
      <c r="L98" s="2">
        <f>L10/'Output-Calculation-sheet'!L9*'Output-Calculation-sheet'!L81</f>
        <v>1814263691.1474559</v>
      </c>
      <c r="M98" s="2">
        <f>M10/'Output-Calculation-sheet'!M9*'Output-Calculation-sheet'!M81</f>
        <v>2352735460.9802504</v>
      </c>
      <c r="N98" s="2">
        <f>N10/'Output-Calculation-sheet'!N9*'Output-Calculation-sheet'!N81</f>
        <v>1687904120.6334925</v>
      </c>
      <c r="O98" s="2">
        <f>O10/'Output-Calculation-sheet'!O9*'Output-Calculation-sheet'!O81</f>
        <v>893840590.95995927</v>
      </c>
      <c r="P98" s="2">
        <f>P10/'Output-Calculation-sheet'!P9*'Output-Calculation-sheet'!P81</f>
        <v>2856455184.9869661</v>
      </c>
      <c r="Q98" s="2">
        <f>Q10/'Output-Calculation-sheet'!Q9*'Output-Calculation-sheet'!Q81</f>
        <v>1343032815.1595883</v>
      </c>
      <c r="R98" s="2">
        <f>R10/'Output-Calculation-sheet'!R9*'Output-Calculation-sheet'!R81</f>
        <v>1717942155.6316416</v>
      </c>
      <c r="S98" s="2">
        <f>S10/'Output-Calculation-sheet'!S9*'Output-Calculation-sheet'!S81</f>
        <v>993276426.30853593</v>
      </c>
      <c r="T98" s="2">
        <f>T10/'Output-Calculation-sheet'!T9*'Output-Calculation-sheet'!T81</f>
        <v>737051971.3131063</v>
      </c>
      <c r="U98" s="2">
        <f>U10/'Output-Calculation-sheet'!U9*'Output-Calculation-sheet'!U81</f>
        <v>479573815.08112341</v>
      </c>
      <c r="V98" s="2">
        <f>V10/'Output-Calculation-sheet'!V9*'Output-Calculation-sheet'!V81</f>
        <v>253990368.37796581</v>
      </c>
      <c r="W98" s="2">
        <f>W10/'Output-Calculation-sheet'!W9*'Output-Calculation-sheet'!W81</f>
        <v>720150321.10709405</v>
      </c>
      <c r="X98" s="2">
        <f>X10/'Output-Calculation-sheet'!X9*'Output-Calculation-sheet'!X81</f>
        <v>264633454.66783121</v>
      </c>
      <c r="Y98" s="2">
        <f>Y10/'Output-Calculation-sheet'!Y9*'Output-Calculation-sheet'!Y81</f>
        <v>395983244.57020813</v>
      </c>
      <c r="AA98" s="2">
        <f t="shared" si="8"/>
        <v>76.975115001690412</v>
      </c>
    </row>
    <row r="99" spans="1:27" x14ac:dyDescent="0.25">
      <c r="A99" s="2">
        <v>2034</v>
      </c>
      <c r="B99" s="2">
        <f>B11/'Output-Calculation-sheet'!B10*'Output-Calculation-sheet'!B82</f>
        <v>21256873733.353519</v>
      </c>
      <c r="C99" s="2">
        <f>C11/'Output-Calculation-sheet'!C10*'Output-Calculation-sheet'!C82</f>
        <v>7334493560.3806391</v>
      </c>
      <c r="D99" s="2">
        <f>D11/'Output-Calculation-sheet'!D10*'Output-Calculation-sheet'!D82</f>
        <v>6672326063.5310736</v>
      </c>
      <c r="E99" s="2">
        <f>E11/'Output-Calculation-sheet'!E10*'Output-Calculation-sheet'!E82</f>
        <v>12907029680.699739</v>
      </c>
      <c r="F99" s="2">
        <f>F11/'Output-Calculation-sheet'!F10*'Output-Calculation-sheet'!F82</f>
        <v>5315744156.2360239</v>
      </c>
      <c r="G99" s="2">
        <f>G11/'Output-Calculation-sheet'!G10*'Output-Calculation-sheet'!G82</f>
        <v>3779115825.1617513</v>
      </c>
      <c r="H99" s="2">
        <f>H11/'Output-Calculation-sheet'!H10*'Output-Calculation-sheet'!H82</f>
        <v>3532269872.073678</v>
      </c>
      <c r="I99" s="2">
        <f>I11/'Output-Calculation-sheet'!I10*'Output-Calculation-sheet'!I82</f>
        <v>2966860786.8128238</v>
      </c>
      <c r="J99" s="2">
        <f>J11/'Output-Calculation-sheet'!J10*'Output-Calculation-sheet'!J82</f>
        <v>1846276332.9310687</v>
      </c>
      <c r="K99" s="2">
        <f>K11/'Output-Calculation-sheet'!K10*'Output-Calculation-sheet'!K82</f>
        <v>2701344556.0627933</v>
      </c>
      <c r="L99" s="2">
        <f>L11/'Output-Calculation-sheet'!L10*'Output-Calculation-sheet'!L82</f>
        <v>2085635544.9507313</v>
      </c>
      <c r="M99" s="2">
        <f>M11/'Output-Calculation-sheet'!M10*'Output-Calculation-sheet'!M82</f>
        <v>2660793422.7653289</v>
      </c>
      <c r="N99" s="2">
        <f>N11/'Output-Calculation-sheet'!N10*'Output-Calculation-sheet'!N82</f>
        <v>1874531452.5162151</v>
      </c>
      <c r="O99" s="2">
        <f>O11/'Output-Calculation-sheet'!O10*'Output-Calculation-sheet'!O82</f>
        <v>1016277575.5385147</v>
      </c>
      <c r="P99" s="2">
        <f>P11/'Output-Calculation-sheet'!P10*'Output-Calculation-sheet'!P82</f>
        <v>3167967431.4724674</v>
      </c>
      <c r="Q99" s="2">
        <f>Q11/'Output-Calculation-sheet'!Q10*'Output-Calculation-sheet'!Q82</f>
        <v>1499281265.3579826</v>
      </c>
      <c r="R99" s="2">
        <f>R11/'Output-Calculation-sheet'!R10*'Output-Calculation-sheet'!R82</f>
        <v>1940812664.4210949</v>
      </c>
      <c r="S99" s="2">
        <f>S11/'Output-Calculation-sheet'!S10*'Output-Calculation-sheet'!S82</f>
        <v>1117962353.038569</v>
      </c>
      <c r="T99" s="2">
        <f>T11/'Output-Calculation-sheet'!T10*'Output-Calculation-sheet'!T82</f>
        <v>817099774.90567505</v>
      </c>
      <c r="U99" s="2">
        <f>U11/'Output-Calculation-sheet'!U10*'Output-Calculation-sheet'!U82</f>
        <v>541099942.41534674</v>
      </c>
      <c r="V99" s="2">
        <f>V11/'Output-Calculation-sheet'!V10*'Output-Calculation-sheet'!V82</f>
        <v>289319393.09111881</v>
      </c>
      <c r="W99" s="2">
        <f>W11/'Output-Calculation-sheet'!W10*'Output-Calculation-sheet'!W82</f>
        <v>802292806.63815451</v>
      </c>
      <c r="X99" s="2">
        <f>X11/'Output-Calculation-sheet'!X10*'Output-Calculation-sheet'!X82</f>
        <v>302165558.98447263</v>
      </c>
      <c r="Y99" s="2">
        <f>Y11/'Output-Calculation-sheet'!Y10*'Output-Calculation-sheet'!Y82</f>
        <v>441515501.43139124</v>
      </c>
      <c r="AA99" s="2">
        <f t="shared" si="8"/>
        <v>86.869089254770188</v>
      </c>
    </row>
    <row r="100" spans="1:27" x14ac:dyDescent="0.25">
      <c r="A100" s="2">
        <v>2035</v>
      </c>
      <c r="B100" s="2">
        <f>B12/'Output-Calculation-sheet'!B11*'Output-Calculation-sheet'!B83</f>
        <v>23049682808.447491</v>
      </c>
      <c r="C100" s="2">
        <f>C12/'Output-Calculation-sheet'!C11*'Output-Calculation-sheet'!C83</f>
        <v>8002475489.6103573</v>
      </c>
      <c r="D100" s="2">
        <f>D12/'Output-Calculation-sheet'!D11*'Output-Calculation-sheet'!D83</f>
        <v>6965128819.2255955</v>
      </c>
      <c r="E100" s="2">
        <f>E12/'Output-Calculation-sheet'!E11*'Output-Calculation-sheet'!E83</f>
        <v>13851844017.260071</v>
      </c>
      <c r="F100" s="2">
        <f>F12/'Output-Calculation-sheet'!F11*'Output-Calculation-sheet'!F83</f>
        <v>5698096315.7466307</v>
      </c>
      <c r="G100" s="2">
        <f>G12/'Output-Calculation-sheet'!G11*'Output-Calculation-sheet'!G83</f>
        <v>3915701695.4764371</v>
      </c>
      <c r="H100" s="2">
        <f>H12/'Output-Calculation-sheet'!H11*'Output-Calculation-sheet'!H83</f>
        <v>3782275209.4160571</v>
      </c>
      <c r="I100" s="2">
        <f>I12/'Output-Calculation-sheet'!I11*'Output-Calculation-sheet'!I83</f>
        <v>3209185809.0588241</v>
      </c>
      <c r="J100" s="2">
        <f>J12/'Output-Calculation-sheet'!J11*'Output-Calculation-sheet'!J83</f>
        <v>1944904725.2566249</v>
      </c>
      <c r="K100" s="2">
        <f>K12/'Output-Calculation-sheet'!K11*'Output-Calculation-sheet'!K83</f>
        <v>2865673108.6287556</v>
      </c>
      <c r="L100" s="2">
        <f>L12/'Output-Calculation-sheet'!L11*'Output-Calculation-sheet'!L83</f>
        <v>2275181049.2701154</v>
      </c>
      <c r="M100" s="2">
        <f>M12/'Output-Calculation-sheet'!M11*'Output-Calculation-sheet'!M83</f>
        <v>2858131559.067802</v>
      </c>
      <c r="N100" s="2">
        <f>N12/'Output-Calculation-sheet'!N11*'Output-Calculation-sheet'!N83</f>
        <v>1977601296.5914755</v>
      </c>
      <c r="O100" s="2">
        <f>O12/'Output-Calculation-sheet'!O11*'Output-Calculation-sheet'!O83</f>
        <v>1097694288.2068911</v>
      </c>
      <c r="P100" s="2">
        <f>P12/'Output-Calculation-sheet'!P11*'Output-Calculation-sheet'!P83</f>
        <v>3333775550.4061861</v>
      </c>
      <c r="Q100" s="2">
        <f>Q12/'Output-Calculation-sheet'!Q11*'Output-Calculation-sheet'!Q83</f>
        <v>1590226220.0706348</v>
      </c>
      <c r="R100" s="2">
        <f>R12/'Output-Calculation-sheet'!R11*'Output-Calculation-sheet'!R83</f>
        <v>2082312602.2000773</v>
      </c>
      <c r="S100" s="2">
        <f>S12/'Output-Calculation-sheet'!S11*'Output-Calculation-sheet'!S83</f>
        <v>1195140446.2454517</v>
      </c>
      <c r="T100" s="2">
        <f>T12/'Output-Calculation-sheet'!T11*'Output-Calculation-sheet'!T83</f>
        <v>860087034.34314823</v>
      </c>
      <c r="U100" s="2">
        <f>U12/'Output-Calculation-sheet'!U11*'Output-Calculation-sheet'!U83</f>
        <v>579601278.49107158</v>
      </c>
      <c r="V100" s="2">
        <f>V12/'Output-Calculation-sheet'!V11*'Output-Calculation-sheet'!V83</f>
        <v>312728565.4296388</v>
      </c>
      <c r="W100" s="2">
        <f>W12/'Output-Calculation-sheet'!W11*'Output-Calculation-sheet'!W83</f>
        <v>847258512.57860136</v>
      </c>
      <c r="X100" s="2">
        <f>X12/'Output-Calculation-sheet'!X11*'Output-Calculation-sheet'!X83</f>
        <v>327558188.7238518</v>
      </c>
      <c r="Y100" s="2">
        <f>Y12/'Output-Calculation-sheet'!Y11*'Output-Calculation-sheet'!Y83</f>
        <v>466890013.02899796</v>
      </c>
      <c r="AA100" s="2">
        <f t="shared" si="8"/>
        <v>93.089154602780766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14671556433.436131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1019287944.2633425</v>
      </c>
      <c r="O106" s="2">
        <f>O7/'Output-Calculation-sheet'!O6*'Output-Calculation-sheet'!O87</f>
        <v>2850675850.9908032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26834.708920798446</v>
      </c>
    </row>
    <row r="107" spans="1:27" x14ac:dyDescent="0.25">
      <c r="A107" s="2">
        <v>2031</v>
      </c>
      <c r="B107" s="2">
        <f>B8/'Output-Calculation-sheet'!B7*'Output-Calculation-sheet'!B88</f>
        <v>1351703957.0047491</v>
      </c>
      <c r="C107" s="2">
        <f>C8/'Output-Calculation-sheet'!C7*'Output-Calculation-sheet'!C88</f>
        <v>22261105905.511734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6945554339.2274246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4791872094.05305</v>
      </c>
      <c r="N107" s="2">
        <f>N8/'Output-Calculation-sheet'!N7*'Output-Calculation-sheet'!N88</f>
        <v>1455945115.0670524</v>
      </c>
      <c r="O107" s="2">
        <f>O8/'Output-Calculation-sheet'!O7*'Output-Calculation-sheet'!O88</f>
        <v>4325353201.2273417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480601554.46397942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518961281.47237188</v>
      </c>
      <c r="Y107" s="2">
        <f>Y8/'Output-Calculation-sheet'!Y7*'Output-Calculation-sheet'!Y88</f>
        <v>0</v>
      </c>
      <c r="AA107" s="2">
        <f t="shared" si="9"/>
        <v>42131.097448027707</v>
      </c>
    </row>
    <row r="108" spans="1:27" x14ac:dyDescent="0.25">
      <c r="A108" s="2">
        <v>2032</v>
      </c>
      <c r="B108" s="2">
        <f>B9/'Output-Calculation-sheet'!B8*'Output-Calculation-sheet'!B89</f>
        <v>5879976722.4384298</v>
      </c>
      <c r="C108" s="2">
        <f>C9/'Output-Calculation-sheet'!C8*'Output-Calculation-sheet'!C89</f>
        <v>29475867940.402512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9196267194.0007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6344624719.9401464</v>
      </c>
      <c r="N108" s="2">
        <f>N9/'Output-Calculation-sheet'!N8*'Output-Calculation-sheet'!N89</f>
        <v>2989855039.946816</v>
      </c>
      <c r="O108" s="2">
        <f>O9/'Output-Calculation-sheet'!O8*'Output-Calculation-sheet'!O89</f>
        <v>5727186212.0395498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898559545.87158895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687141821.87880909</v>
      </c>
      <c r="Y108" s="2">
        <f>Y9/'Output-Calculation-sheet'!Y8*'Output-Calculation-sheet'!Y89</f>
        <v>0</v>
      </c>
      <c r="AA108" s="2">
        <f t="shared" si="9"/>
        <v>61199.479196518558</v>
      </c>
    </row>
    <row r="109" spans="1:27" x14ac:dyDescent="0.25">
      <c r="A109" s="2">
        <v>2033</v>
      </c>
      <c r="B109" s="2">
        <f>B10/'Output-Calculation-sheet'!B9*'Output-Calculation-sheet'!B90</f>
        <v>15240556891.011595</v>
      </c>
      <c r="C109" s="2">
        <f>C10/'Output-Calculation-sheet'!C9*'Output-Calculation-sheet'!C90</f>
        <v>33634883946.134567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11197643862.657461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7725401181.4523344</v>
      </c>
      <c r="N109" s="2">
        <f>N10/'Output-Calculation-sheet'!N9*'Output-Calculation-sheet'!N90</f>
        <v>4549829732.7410345</v>
      </c>
      <c r="O109" s="2">
        <f>O10/'Output-Calculation-sheet'!O9*'Output-Calculation-sheet'!O90</f>
        <v>6170926995.1375084</v>
      </c>
      <c r="P109" s="2">
        <f>P10/'Output-Calculation-sheet'!P9*'Output-Calculation-sheet'!P90</f>
        <v>0</v>
      </c>
      <c r="Q109" s="2">
        <f>Q10/'Output-Calculation-sheet'!Q9*'Output-Calculation-sheet'!Q90</f>
        <v>148154929.59969971</v>
      </c>
      <c r="R109" s="2">
        <f>R10/'Output-Calculation-sheet'!R9*'Output-Calculation-sheet'!R90</f>
        <v>0</v>
      </c>
      <c r="S109" s="2">
        <f>S10/'Output-Calculation-sheet'!S9*'Output-Calculation-sheet'!S90</f>
        <v>1836306301.8190053</v>
      </c>
      <c r="T109" s="2">
        <f>T10/'Output-Calculation-sheet'!T9*'Output-Calculation-sheet'!T90</f>
        <v>1.3998667116916502E-7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836684321.47889078</v>
      </c>
      <c r="Y109" s="2">
        <f>Y10/'Output-Calculation-sheet'!Y9*'Output-Calculation-sheet'!Y90</f>
        <v>0</v>
      </c>
      <c r="AA109" s="2">
        <f t="shared" si="9"/>
        <v>81340.388162032104</v>
      </c>
    </row>
    <row r="110" spans="1:27" x14ac:dyDescent="0.25">
      <c r="A110" s="2">
        <v>2034</v>
      </c>
      <c r="B110" s="2">
        <f>B11/'Output-Calculation-sheet'!B10*'Output-Calculation-sheet'!B91</f>
        <v>34264843860.729755</v>
      </c>
      <c r="C110" s="2">
        <f>C11/'Output-Calculation-sheet'!C10*'Output-Calculation-sheet'!C91</f>
        <v>34648764852.197449</v>
      </c>
      <c r="D110" s="2">
        <f>D11/'Output-Calculation-sheet'!D10*'Output-Calculation-sheet'!D91</f>
        <v>0</v>
      </c>
      <c r="E110" s="2">
        <f>E11/'Output-Calculation-sheet'!E10*'Output-Calculation-sheet'!E91</f>
        <v>698983853.48718667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12797906094.399765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581665064.22862744</v>
      </c>
      <c r="M110" s="2">
        <f>M11/'Output-Calculation-sheet'!M10*'Output-Calculation-sheet'!M91</f>
        <v>8829441583.0014477</v>
      </c>
      <c r="N110" s="2">
        <f>N11/'Output-Calculation-sheet'!N10*'Output-Calculation-sheet'!N91</f>
        <v>6106883787.4453382</v>
      </c>
      <c r="O110" s="2">
        <f>O11/'Output-Calculation-sheet'!O10*'Output-Calculation-sheet'!O91</f>
        <v>6340815352.9921274</v>
      </c>
      <c r="P110" s="2">
        <f>P11/'Output-Calculation-sheet'!P10*'Output-Calculation-sheet'!P91</f>
        <v>0</v>
      </c>
      <c r="Q110" s="2">
        <f>Q11/'Output-Calculation-sheet'!Q10*'Output-Calculation-sheet'!Q91</f>
        <v>1554009265.9919426</v>
      </c>
      <c r="R110" s="2">
        <f>R11/'Output-Calculation-sheet'!R10*'Output-Calculation-sheet'!R91</f>
        <v>0</v>
      </c>
      <c r="S110" s="2">
        <f>S11/'Output-Calculation-sheet'!S10*'Output-Calculation-sheet'!S91</f>
        <v>3003149026.0641742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874762216.47471893</v>
      </c>
      <c r="Y110" s="2">
        <f>Y11/'Output-Calculation-sheet'!Y10*'Output-Calculation-sheet'!Y91</f>
        <v>38280356.350679033</v>
      </c>
      <c r="AA110" s="2">
        <f t="shared" si="9"/>
        <v>109739.5053133632</v>
      </c>
    </row>
    <row r="111" spans="1:27" x14ac:dyDescent="0.25">
      <c r="A111" s="2">
        <v>2035</v>
      </c>
      <c r="B111" s="2">
        <f>B12/'Output-Calculation-sheet'!B11*'Output-Calculation-sheet'!B92</f>
        <v>41316799208.689217</v>
      </c>
      <c r="C111" s="2">
        <f>C12/'Output-Calculation-sheet'!C11*'Output-Calculation-sheet'!C92</f>
        <v>34554390751.863945</v>
      </c>
      <c r="D111" s="2">
        <f>D12/'Output-Calculation-sheet'!D11*'Output-Calculation-sheet'!D92</f>
        <v>0</v>
      </c>
      <c r="E111" s="2">
        <f>E12/'Output-Calculation-sheet'!E11*'Output-Calculation-sheet'!E92</f>
        <v>4599142332.6428366</v>
      </c>
      <c r="F111" s="2">
        <f>F12/'Output-Calculation-sheet'!F11*'Output-Calculation-sheet'!F92</f>
        <v>0</v>
      </c>
      <c r="G111" s="2">
        <f>G12/'Output-Calculation-sheet'!G11*'Output-Calculation-sheet'!G92</f>
        <v>-5.0005001192943286E-7</v>
      </c>
      <c r="H111" s="2">
        <f>H12/'Output-Calculation-sheet'!H11*'Output-Calculation-sheet'!H92</f>
        <v>12790002934.185068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1517695441.8755226</v>
      </c>
      <c r="M111" s="2">
        <f>M12/'Output-Calculation-sheet'!M11*'Output-Calculation-sheet'!M92</f>
        <v>9024950875.1668739</v>
      </c>
      <c r="N111" s="2">
        <f>N12/'Output-Calculation-sheet'!N11*'Output-Calculation-sheet'!N92</f>
        <v>6508976559.9244881</v>
      </c>
      <c r="O111" s="2">
        <f>O12/'Output-Calculation-sheet'!O11*'Output-Calculation-sheet'!O92</f>
        <v>6278134763.948019</v>
      </c>
      <c r="P111" s="2">
        <f>P12/'Output-Calculation-sheet'!P11*'Output-Calculation-sheet'!P92</f>
        <v>315735128.23782605</v>
      </c>
      <c r="Q111" s="2">
        <f>Q12/'Output-Calculation-sheet'!Q11*'Output-Calculation-sheet'!Q92</f>
        <v>2171532480.5563574</v>
      </c>
      <c r="R111" s="2">
        <f>R12/'Output-Calculation-sheet'!R11*'Output-Calculation-sheet'!R92</f>
        <v>0</v>
      </c>
      <c r="S111" s="2">
        <f>S12/'Output-Calculation-sheet'!S11*'Output-Calculation-sheet'!S92</f>
        <v>3331645547.0888009</v>
      </c>
      <c r="T111" s="2">
        <f>T12/'Output-Calculation-sheet'!T11*'Output-Calculation-sheet'!T92</f>
        <v>0</v>
      </c>
      <c r="U111" s="2">
        <f>U12/'Output-Calculation-sheet'!U11*'Output-Calculation-sheet'!U92</f>
        <v>62997761.360422887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890570598.1177963</v>
      </c>
      <c r="Y111" s="2">
        <f>Y12/'Output-Calculation-sheet'!Y11*'Output-Calculation-sheet'!Y92</f>
        <v>214553917.02731866</v>
      </c>
      <c r="AA111" s="2">
        <f t="shared" si="9"/>
        <v>123577.12830068448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2080755715.5945628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97140.742779802837</v>
      </c>
    </row>
    <row r="118" spans="1:27" x14ac:dyDescent="0.25">
      <c r="A118" s="2">
        <v>2031</v>
      </c>
      <c r="B118" s="2">
        <f>B8/'Output-Calculation-sheet'!B7*'Output-Calculation-sheet'!B97</f>
        <v>45897470261.574066</v>
      </c>
      <c r="C118" s="2">
        <f>C8/'Output-Calculation-sheet'!C7*'Output-Calculation-sheet'!C97</f>
        <v>0</v>
      </c>
      <c r="D118" s="2">
        <f>D8/'Output-Calculation-sheet'!D7*'Output-Calculation-sheet'!D97</f>
        <v>19845197620.393135</v>
      </c>
      <c r="E118" s="2">
        <f>E8/'Output-Calculation-sheet'!E7*'Output-Calculation-sheet'!E97</f>
        <v>15745150484.662485</v>
      </c>
      <c r="F118" s="2">
        <f>F8/'Output-Calculation-sheet'!F7*'Output-Calculation-sheet'!F97</f>
        <v>10135718376.232706</v>
      </c>
      <c r="G118" s="2">
        <f>G8/'Output-Calculation-sheet'!G7*'Output-Calculation-sheet'!G97</f>
        <v>7121633898.423872</v>
      </c>
      <c r="H118" s="2">
        <f>H8/'Output-Calculation-sheet'!H7*'Output-Calculation-sheet'!H97</f>
        <v>0</v>
      </c>
      <c r="I118" s="2">
        <f>I8/'Output-Calculation-sheet'!I7*'Output-Calculation-sheet'!I97</f>
        <v>6488369076.5523472</v>
      </c>
      <c r="J118" s="2">
        <f>J8/'Output-Calculation-sheet'!J7*'Output-Calculation-sheet'!J97</f>
        <v>6315331567.4824781</v>
      </c>
      <c r="K118" s="2">
        <f>K8/'Output-Calculation-sheet'!K7*'Output-Calculation-sheet'!K97</f>
        <v>6254786559.9511766</v>
      </c>
      <c r="L118" s="2">
        <f>L8/'Output-Calculation-sheet'!L7*'Output-Calculation-sheet'!L97</f>
        <v>5017671107.9531097</v>
      </c>
      <c r="M118" s="2">
        <f>M8/'Output-Calculation-sheet'!M7*'Output-Calculation-sheet'!M97</f>
        <v>0</v>
      </c>
      <c r="N118" s="2">
        <f>N8/'Output-Calculation-sheet'!N7*'Output-Calculation-sheet'!N97</f>
        <v>3248080816.8890538</v>
      </c>
      <c r="O118" s="2">
        <f>O8/'Output-Calculation-sheet'!O7*'Output-Calculation-sheet'!O97</f>
        <v>0</v>
      </c>
      <c r="P118" s="2">
        <f>P8/'Output-Calculation-sheet'!P7*'Output-Calculation-sheet'!P97</f>
        <v>4282323590.5245528</v>
      </c>
      <c r="Q118" s="2">
        <f>Q8/'Output-Calculation-sheet'!Q7*'Output-Calculation-sheet'!Q97</f>
        <v>4213113521.8106499</v>
      </c>
      <c r="R118" s="2">
        <f>R8/'Output-Calculation-sheet'!R7*'Output-Calculation-sheet'!R97</f>
        <v>4053208970.2317243</v>
      </c>
      <c r="S118" s="2">
        <f>S8/'Output-Calculation-sheet'!S7*'Output-Calculation-sheet'!S97</f>
        <v>2213369077.1321392</v>
      </c>
      <c r="T118" s="2">
        <f>T8/'Output-Calculation-sheet'!T7*'Output-Calculation-sheet'!T97</f>
        <v>1489925056.1645958</v>
      </c>
      <c r="U118" s="2">
        <f>U8/'Output-Calculation-sheet'!U7*'Output-Calculation-sheet'!U97</f>
        <v>1297673560.5197587</v>
      </c>
      <c r="V118" s="2">
        <f>V8/'Output-Calculation-sheet'!V7*'Output-Calculation-sheet'!V97</f>
        <v>999234987.73211777</v>
      </c>
      <c r="W118" s="2">
        <f>W8/'Output-Calculation-sheet'!W7*'Output-Calculation-sheet'!W97</f>
        <v>865115706.74821794</v>
      </c>
      <c r="X118" s="2">
        <f>X8/'Output-Calculation-sheet'!X7*'Output-Calculation-sheet'!X97</f>
        <v>0</v>
      </c>
      <c r="Y118" s="2">
        <f>Y8/'Output-Calculation-sheet'!Y7*'Output-Calculation-sheet'!Y97</f>
        <v>504790021.63541412</v>
      </c>
      <c r="AA118" s="2">
        <f t="shared" si="10"/>
        <v>145988.16426261357</v>
      </c>
    </row>
    <row r="119" spans="1:27" x14ac:dyDescent="0.25">
      <c r="A119" s="2">
        <v>2032</v>
      </c>
      <c r="B119" s="2">
        <f>B9/'Output-Calculation-sheet'!B8*'Output-Calculation-sheet'!B98</f>
        <v>56679653396.314407</v>
      </c>
      <c r="C119" s="2">
        <f>C9/'Output-Calculation-sheet'!C8*'Output-Calculation-sheet'!C98</f>
        <v>0</v>
      </c>
      <c r="D119" s="2">
        <f>D9/'Output-Calculation-sheet'!D8*'Output-Calculation-sheet'!D98</f>
        <v>26275767505.52758</v>
      </c>
      <c r="E119" s="2">
        <f>E9/'Output-Calculation-sheet'!E8*'Output-Calculation-sheet'!E98</f>
        <v>20847150240.509422</v>
      </c>
      <c r="F119" s="2">
        <f>F9/'Output-Calculation-sheet'!F8*'Output-Calculation-sheet'!F98</f>
        <v>13420062857.483471</v>
      </c>
      <c r="G119" s="2">
        <f>G9/'Output-Calculation-sheet'!G8*'Output-Calculation-sheet'!G98</f>
        <v>9429304498.2657032</v>
      </c>
      <c r="H119" s="2">
        <f>H9/'Output-Calculation-sheet'!H8*'Output-Calculation-sheet'!H98</f>
        <v>1.2613628542720793E-6</v>
      </c>
      <c r="I119" s="2">
        <f>I9/'Output-Calculation-sheet'!I8*'Output-Calculation-sheet'!I98</f>
        <v>8590839291.9430027</v>
      </c>
      <c r="J119" s="2">
        <f>J9/'Output-Calculation-sheet'!J8*'Output-Calculation-sheet'!J98</f>
        <v>8361728018.9569454</v>
      </c>
      <c r="K119" s="2">
        <f>K9/'Output-Calculation-sheet'!K8*'Output-Calculation-sheet'!K98</f>
        <v>8281565532.5027828</v>
      </c>
      <c r="L119" s="2">
        <f>L9/'Output-Calculation-sheet'!L8*'Output-Calculation-sheet'!L98</f>
        <v>6643581107.2304602</v>
      </c>
      <c r="M119" s="2">
        <f>M9/'Output-Calculation-sheet'!M8*'Output-Calculation-sheet'!M98</f>
        <v>0</v>
      </c>
      <c r="N119" s="2">
        <f>N9/'Output-Calculation-sheet'!N8*'Output-Calculation-sheet'!N98</f>
        <v>3237926252.7523685</v>
      </c>
      <c r="O119" s="2">
        <f>O9/'Output-Calculation-sheet'!O8*'Output-Calculation-sheet'!O98</f>
        <v>0</v>
      </c>
      <c r="P119" s="2">
        <f>P9/'Output-Calculation-sheet'!P8*'Output-Calculation-sheet'!P98</f>
        <v>5669915607.3312931</v>
      </c>
      <c r="Q119" s="2">
        <f>Q9/'Output-Calculation-sheet'!Q8*'Output-Calculation-sheet'!Q98</f>
        <v>5578316388.2038069</v>
      </c>
      <c r="R119" s="2">
        <f>R9/'Output-Calculation-sheet'!R8*'Output-Calculation-sheet'!R98</f>
        <v>5366597345.7083044</v>
      </c>
      <c r="S119" s="2">
        <f>S9/'Output-Calculation-sheet'!S8*'Output-Calculation-sheet'!S98</f>
        <v>2668165090.9426756</v>
      </c>
      <c r="T119" s="2">
        <f>T9/'Output-Calculation-sheet'!T8*'Output-Calculation-sheet'!T98</f>
        <v>1972714960.3476269</v>
      </c>
      <c r="U119" s="2">
        <f>U9/'Output-Calculation-sheet'!U8*'Output-Calculation-sheet'!U98</f>
        <v>1718167663.1712368</v>
      </c>
      <c r="V119" s="2">
        <f>V9/'Output-Calculation-sheet'!V8*'Output-Calculation-sheet'!V98</f>
        <v>1323023464.2118375</v>
      </c>
      <c r="W119" s="2">
        <f>W9/'Output-Calculation-sheet'!W8*'Output-Calculation-sheet'!W98</f>
        <v>1145444928.7894905</v>
      </c>
      <c r="X119" s="2">
        <f>X9/'Output-Calculation-sheet'!X8*'Output-Calculation-sheet'!X98</f>
        <v>0</v>
      </c>
      <c r="Y119" s="2">
        <f>Y9/'Output-Calculation-sheet'!Y8*'Output-Calculation-sheet'!Y98</f>
        <v>668360243.56833375</v>
      </c>
      <c r="AA119" s="2">
        <f t="shared" si="10"/>
        <v>187878.28439376078</v>
      </c>
    </row>
    <row r="120" spans="1:27" x14ac:dyDescent="0.25">
      <c r="A120" s="2">
        <v>2033</v>
      </c>
      <c r="B120" s="2">
        <f>B10/'Output-Calculation-sheet'!B9*'Output-Calculation-sheet'!B99</f>
        <v>60926969468.001076</v>
      </c>
      <c r="C120" s="2">
        <f>C10/'Output-Calculation-sheet'!C9*'Output-Calculation-sheet'!C99</f>
        <v>0</v>
      </c>
      <c r="D120" s="2">
        <f>D10/'Output-Calculation-sheet'!D9*'Output-Calculation-sheet'!D99</f>
        <v>31993184412.844173</v>
      </c>
      <c r="E120" s="2">
        <f>E10/'Output-Calculation-sheet'!E9*'Output-Calculation-sheet'!E99</f>
        <v>25383341958.62904</v>
      </c>
      <c r="F120" s="2">
        <f>F10/'Output-Calculation-sheet'!F9*'Output-Calculation-sheet'!F99</f>
        <v>16340168091.177828</v>
      </c>
      <c r="G120" s="2">
        <f>G10/'Output-Calculation-sheet'!G9*'Output-Calculation-sheet'!G99</f>
        <v>11481050544.670778</v>
      </c>
      <c r="H120" s="2">
        <f>H10/'Output-Calculation-sheet'!H9*'Output-Calculation-sheet'!H99</f>
        <v>0</v>
      </c>
      <c r="I120" s="2">
        <f>I10/'Output-Calculation-sheet'!I9*'Output-Calculation-sheet'!I99</f>
        <v>10460142147.22089</v>
      </c>
      <c r="J120" s="2">
        <f>J10/'Output-Calculation-sheet'!J9*'Output-Calculation-sheet'!J99</f>
        <v>10181177944.474339</v>
      </c>
      <c r="K120" s="2">
        <f>K10/'Output-Calculation-sheet'!K9*'Output-Calculation-sheet'!K99</f>
        <v>10083811672.310278</v>
      </c>
      <c r="L120" s="2">
        <f>L10/'Output-Calculation-sheet'!L9*'Output-Calculation-sheet'!L99</f>
        <v>8089175028.3148556</v>
      </c>
      <c r="M120" s="2">
        <f>M10/'Output-Calculation-sheet'!M9*'Output-Calculation-sheet'!M99</f>
        <v>0</v>
      </c>
      <c r="N120" s="2">
        <f>N10/'Output-Calculation-sheet'!N9*'Output-Calculation-sheet'!N99</f>
        <v>3032626193.7943444</v>
      </c>
      <c r="O120" s="2">
        <f>O10/'Output-Calculation-sheet'!O9*'Output-Calculation-sheet'!O99</f>
        <v>0</v>
      </c>
      <c r="P120" s="2">
        <f>P10/'Output-Calculation-sheet'!P9*'Output-Calculation-sheet'!P99</f>
        <v>6903284792.9103632</v>
      </c>
      <c r="Q120" s="2">
        <f>Q10/'Output-Calculation-sheet'!Q9*'Output-Calculation-sheet'!Q99</f>
        <v>6643895621.4152555</v>
      </c>
      <c r="R120" s="2">
        <f>R10/'Output-Calculation-sheet'!R9*'Output-Calculation-sheet'!R99</f>
        <v>6534022333.5385609</v>
      </c>
      <c r="S120" s="2">
        <f>S10/'Output-Calculation-sheet'!S9*'Output-Calculation-sheet'!S99</f>
        <v>2506221655.6900735</v>
      </c>
      <c r="T120" s="2">
        <f>T10/'Output-Calculation-sheet'!T9*'Output-Calculation-sheet'!T99</f>
        <v>2401942429.6735892</v>
      </c>
      <c r="U120" s="2">
        <f>U10/'Output-Calculation-sheet'!U9*'Output-Calculation-sheet'!U99</f>
        <v>2092477392.3372557</v>
      </c>
      <c r="V120" s="2">
        <f>V10/'Output-Calculation-sheet'!V9*'Output-Calculation-sheet'!V99</f>
        <v>1610903629.7038255</v>
      </c>
      <c r="W120" s="2">
        <f>W10/'Output-Calculation-sheet'!W9*'Output-Calculation-sheet'!W99</f>
        <v>1394685531.7365596</v>
      </c>
      <c r="X120" s="2">
        <f>X10/'Output-Calculation-sheet'!X9*'Output-Calculation-sheet'!X99</f>
        <v>0</v>
      </c>
      <c r="Y120" s="2">
        <f>Y10/'Output-Calculation-sheet'!Y9*'Output-Calculation-sheet'!Y99</f>
        <v>813791694.21084988</v>
      </c>
      <c r="AA120" s="2">
        <f t="shared" si="10"/>
        <v>218872.87254265393</v>
      </c>
    </row>
    <row r="121" spans="1:27" x14ac:dyDescent="0.25">
      <c r="A121" s="2">
        <v>2034</v>
      </c>
      <c r="B121" s="2">
        <f>B11/'Output-Calculation-sheet'!B10*'Output-Calculation-sheet'!B100</f>
        <v>52780241058.932968</v>
      </c>
      <c r="C121" s="2">
        <f>C11/'Output-Calculation-sheet'!C10*'Output-Calculation-sheet'!C100</f>
        <v>0</v>
      </c>
      <c r="D121" s="2">
        <f>D11/'Output-Calculation-sheet'!D10*'Output-Calculation-sheet'!D100</f>
        <v>36564559646.018204</v>
      </c>
      <c r="E121" s="2">
        <f>E11/'Output-Calculation-sheet'!E10*'Output-Calculation-sheet'!E100</f>
        <v>28310056155.632759</v>
      </c>
      <c r="F121" s="2">
        <f>F11/'Output-Calculation-sheet'!F10*'Output-Calculation-sheet'!F100</f>
        <v>18674847248.612675</v>
      </c>
      <c r="G121" s="2">
        <f>G11/'Output-Calculation-sheet'!G10*'Output-Calculation-sheet'!G100</f>
        <v>13120819999.705114</v>
      </c>
      <c r="H121" s="2">
        <f>H11/'Output-Calculation-sheet'!H10*'Output-Calculation-sheet'!H100</f>
        <v>0</v>
      </c>
      <c r="I121" s="2">
        <f>I11/'Output-Calculation-sheet'!I10*'Output-Calculation-sheet'!I100</f>
        <v>11954323558.69758</v>
      </c>
      <c r="J121" s="2">
        <f>J11/'Output-Calculation-sheet'!J10*'Output-Calculation-sheet'!J100</f>
        <v>11635639260.138603</v>
      </c>
      <c r="K121" s="2">
        <f>K11/'Output-Calculation-sheet'!K10*'Output-Calculation-sheet'!K100</f>
        <v>11524379085.656111</v>
      </c>
      <c r="L121" s="2">
        <f>L11/'Output-Calculation-sheet'!L10*'Output-Calculation-sheet'!L100</f>
        <v>8663070369.8629513</v>
      </c>
      <c r="M121" s="2">
        <f>M11/'Output-Calculation-sheet'!M10*'Output-Calculation-sheet'!M100</f>
        <v>5.9134049852507562E-7</v>
      </c>
      <c r="N121" s="2">
        <f>N11/'Output-Calculation-sheet'!N10*'Output-Calculation-sheet'!N100</f>
        <v>2559185384.6350555</v>
      </c>
      <c r="O121" s="2">
        <f>O11/'Output-Calculation-sheet'!O10*'Output-Calculation-sheet'!O100</f>
        <v>0</v>
      </c>
      <c r="P121" s="2">
        <f>P11/'Output-Calculation-sheet'!P10*'Output-Calculation-sheet'!P100</f>
        <v>7889341850.933938</v>
      </c>
      <c r="Q121" s="2">
        <f>Q11/'Output-Calculation-sheet'!Q10*'Output-Calculation-sheet'!Q100</f>
        <v>6207894385.5065613</v>
      </c>
      <c r="R121" s="2">
        <f>R11/'Output-Calculation-sheet'!R10*'Output-Calculation-sheet'!R100</f>
        <v>7467315768.0673246</v>
      </c>
      <c r="S121" s="2">
        <f>S11/'Output-Calculation-sheet'!S10*'Output-Calculation-sheet'!S100</f>
        <v>1959824286.2245679</v>
      </c>
      <c r="T121" s="2">
        <f>T11/'Output-Calculation-sheet'!T10*'Output-Calculation-sheet'!T100</f>
        <v>2744984001.7943482</v>
      </c>
      <c r="U121" s="2">
        <f>U11/'Output-Calculation-sheet'!U10*'Output-Calculation-sheet'!U100</f>
        <v>2392237649.5719028</v>
      </c>
      <c r="V121" s="2">
        <f>V11/'Output-Calculation-sheet'!V10*'Output-Calculation-sheet'!V100</f>
        <v>1841596458.1894083</v>
      </c>
      <c r="W121" s="2">
        <f>W11/'Output-Calculation-sheet'!W10*'Output-Calculation-sheet'!W100</f>
        <v>1594013786.2172749</v>
      </c>
      <c r="X121" s="2">
        <f>X11/'Output-Calculation-sheet'!X10*'Output-Calculation-sheet'!X100</f>
        <v>70763868.786567509</v>
      </c>
      <c r="Y121" s="2">
        <f>Y11/'Output-Calculation-sheet'!Y10*'Output-Calculation-sheet'!Y100</f>
        <v>891773904.5472734</v>
      </c>
      <c r="AA121" s="2">
        <f t="shared" si="10"/>
        <v>228846.86772773115</v>
      </c>
    </row>
    <row r="122" spans="1:27" x14ac:dyDescent="0.25">
      <c r="A122" s="2">
        <v>2035</v>
      </c>
      <c r="B122" s="2">
        <f>B12/'Output-Calculation-sheet'!B11*'Output-Calculation-sheet'!B101</f>
        <v>47543772785.614899</v>
      </c>
      <c r="C122" s="2">
        <f>C12/'Output-Calculation-sheet'!C11*'Output-Calculation-sheet'!C101</f>
        <v>0</v>
      </c>
      <c r="D122" s="2">
        <f>D12/'Output-Calculation-sheet'!D11*'Output-Calculation-sheet'!D101</f>
        <v>36940629811.795502</v>
      </c>
      <c r="E122" s="2">
        <f>E12/'Output-Calculation-sheet'!E11*'Output-Calculation-sheet'!E101</f>
        <v>26106864986.832909</v>
      </c>
      <c r="F122" s="2">
        <f>F12/'Output-Calculation-sheet'!F11*'Output-Calculation-sheet'!F101</f>
        <v>19428031582.906498</v>
      </c>
      <c r="G122" s="2">
        <f>G12/'Output-Calculation-sheet'!G11*'Output-Calculation-sheet'!G101</f>
        <v>13449413646.90563</v>
      </c>
      <c r="H122" s="2">
        <f>H12/'Output-Calculation-sheet'!H11*'Output-Calculation-sheet'!H101</f>
        <v>0</v>
      </c>
      <c r="I122" s="2">
        <f>I12/'Output-Calculation-sheet'!I11*'Output-Calculation-sheet'!I101</f>
        <v>12286743561.974564</v>
      </c>
      <c r="J122" s="2">
        <f>J12/'Output-Calculation-sheet'!J11*'Output-Calculation-sheet'!J101</f>
        <v>11847620804.479433</v>
      </c>
      <c r="K122" s="2">
        <f>K12/'Output-Calculation-sheet'!K11*'Output-Calculation-sheet'!K101</f>
        <v>11913600799.584475</v>
      </c>
      <c r="L122" s="2">
        <f>L12/'Output-Calculation-sheet'!L11*'Output-Calculation-sheet'!L101</f>
        <v>8198639586.4059124</v>
      </c>
      <c r="M122" s="2">
        <f>M12/'Output-Calculation-sheet'!M11*'Output-Calculation-sheet'!M101</f>
        <v>0</v>
      </c>
      <c r="N122" s="2">
        <f>N12/'Output-Calculation-sheet'!N11*'Output-Calculation-sheet'!N101</f>
        <v>2307144137.8544879</v>
      </c>
      <c r="O122" s="2">
        <f>O12/'Output-Calculation-sheet'!O11*'Output-Calculation-sheet'!O101</f>
        <v>0</v>
      </c>
      <c r="P122" s="2">
        <f>P12/'Output-Calculation-sheet'!P11*'Output-Calculation-sheet'!P101</f>
        <v>7940389397.5019817</v>
      </c>
      <c r="Q122" s="2">
        <f>Q12/'Output-Calculation-sheet'!Q11*'Output-Calculation-sheet'!Q101</f>
        <v>5632426185.4405565</v>
      </c>
      <c r="R122" s="2">
        <f>R12/'Output-Calculation-sheet'!R11*'Output-Calculation-sheet'!R101</f>
        <v>7764407669.5334139</v>
      </c>
      <c r="S122" s="2">
        <f>S12/'Output-Calculation-sheet'!S11*'Output-Calculation-sheet'!S101</f>
        <v>1702142832.9882832</v>
      </c>
      <c r="T122" s="2">
        <f>T12/'Output-Calculation-sheet'!T11*'Output-Calculation-sheet'!T101</f>
        <v>2895514187.3049498</v>
      </c>
      <c r="U122" s="2">
        <f>U12/'Output-Calculation-sheet'!U11*'Output-Calculation-sheet'!U101</f>
        <v>2350720653.601501</v>
      </c>
      <c r="V122" s="2">
        <f>V12/'Output-Calculation-sheet'!V11*'Output-Calculation-sheet'!V101</f>
        <v>1952707253.3241811</v>
      </c>
      <c r="W122" s="2">
        <f>W12/'Output-Calculation-sheet'!W11*'Output-Calculation-sheet'!W101</f>
        <v>1702748539.6447582</v>
      </c>
      <c r="X122" s="2">
        <f>X12/'Output-Calculation-sheet'!X11*'Output-Calculation-sheet'!X101</f>
        <v>62705745.698217973</v>
      </c>
      <c r="Y122" s="2">
        <f>Y12/'Output-Calculation-sheet'!Y11*'Output-Calculation-sheet'!Y101</f>
        <v>768719747.21478927</v>
      </c>
      <c r="AA122" s="2">
        <f t="shared" si="10"/>
        <v>222794.94391660695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47249175079.029663</v>
      </c>
      <c r="C129" s="2">
        <f>C8/'Output-Calculation-sheet'!C7*'Output-Calculation-sheet'!C106</f>
        <v>22266193257.652431</v>
      </c>
      <c r="D129" s="2">
        <f>D8/'Output-Calculation-sheet'!D7*'Output-Calculation-sheet'!D106</f>
        <v>19845197620.393135</v>
      </c>
      <c r="E129" s="2">
        <f>E8/'Output-Calculation-sheet'!E7*'Output-Calculation-sheet'!E106</f>
        <v>15745150484.662485</v>
      </c>
      <c r="F129" s="2">
        <f>F8/'Output-Calculation-sheet'!F7*'Output-Calculation-sheet'!F106</f>
        <v>10135718376.232706</v>
      </c>
      <c r="G129" s="2">
        <f>G8/'Output-Calculation-sheet'!G7*'Output-Calculation-sheet'!G106</f>
        <v>7121633898.423872</v>
      </c>
      <c r="H129" s="2">
        <f>H8/'Output-Calculation-sheet'!H7*'Output-Calculation-sheet'!H106</f>
        <v>6946880491.2953863</v>
      </c>
      <c r="I129" s="2">
        <f>I8/'Output-Calculation-sheet'!I7*'Output-Calculation-sheet'!I106</f>
        <v>6488369076.5523472</v>
      </c>
      <c r="J129" s="2">
        <f>J8/'Output-Calculation-sheet'!J7*'Output-Calculation-sheet'!J106</f>
        <v>6315331567.4824781</v>
      </c>
      <c r="K129" s="2">
        <f>K8/'Output-Calculation-sheet'!K7*'Output-Calculation-sheet'!K106</f>
        <v>6254786559.9511766</v>
      </c>
      <c r="L129" s="2">
        <f>L8/'Output-Calculation-sheet'!L7*'Output-Calculation-sheet'!L106</f>
        <v>5017671107.9531097</v>
      </c>
      <c r="M129" s="2">
        <f>M8/'Output-Calculation-sheet'!M7*'Output-Calculation-sheet'!M106</f>
        <v>4792741957.8800106</v>
      </c>
      <c r="N129" s="2">
        <f>N8/'Output-Calculation-sheet'!N7*'Output-Calculation-sheet'!N106</f>
        <v>4704063301.2514286</v>
      </c>
      <c r="O129" s="2">
        <f>O8/'Output-Calculation-sheet'!O7*'Output-Calculation-sheet'!O106</f>
        <v>4326339835.79284</v>
      </c>
      <c r="P129" s="2">
        <f>P8/'Output-Calculation-sheet'!P7*'Output-Calculation-sheet'!P106</f>
        <v>4282323590.5245528</v>
      </c>
      <c r="Q129" s="2">
        <f>Q8/'Output-Calculation-sheet'!Q7*'Output-Calculation-sheet'!Q106</f>
        <v>4213113521.8106499</v>
      </c>
      <c r="R129" s="2">
        <f>R8/'Output-Calculation-sheet'!R7*'Output-Calculation-sheet'!R106</f>
        <v>4053208970.2317243</v>
      </c>
      <c r="S129" s="2">
        <f>S8/'Output-Calculation-sheet'!S7*'Output-Calculation-sheet'!S106</f>
        <v>2693970318.1135044</v>
      </c>
      <c r="T129" s="2">
        <f>T8/'Output-Calculation-sheet'!T7*'Output-Calculation-sheet'!T106</f>
        <v>1489925056.1645958</v>
      </c>
      <c r="U129" s="2">
        <f>U8/'Output-Calculation-sheet'!U7*'Output-Calculation-sheet'!U106</f>
        <v>1297673560.5197587</v>
      </c>
      <c r="V129" s="2">
        <f>V8/'Output-Calculation-sheet'!V7*'Output-Calculation-sheet'!V106</f>
        <v>999234987.73211777</v>
      </c>
      <c r="W129" s="2">
        <f>W8/'Output-Calculation-sheet'!W7*'Output-Calculation-sheet'!W106</f>
        <v>865115706.74821794</v>
      </c>
      <c r="X129" s="2">
        <f>X8/'Output-Calculation-sheet'!X7*'Output-Calculation-sheet'!X106</f>
        <v>519069526.1241886</v>
      </c>
      <c r="Y129" s="2">
        <f>Y8/'Output-Calculation-sheet'!Y7*'Output-Calculation-sheet'!Y106</f>
        <v>504790021.63541412</v>
      </c>
      <c r="AA129" s="2">
        <f t="shared" si="11"/>
        <v>188127.67787415776</v>
      </c>
    </row>
    <row r="130" spans="1:27" x14ac:dyDescent="0.25">
      <c r="A130" s="2">
        <v>2032</v>
      </c>
      <c r="B130" s="2">
        <f>B9/'Output-Calculation-sheet'!B8*'Output-Calculation-sheet'!B107</f>
        <v>37535783542.866203</v>
      </c>
      <c r="C130" s="2">
        <f>C9/'Output-Calculation-sheet'!C8*'Output-Calculation-sheet'!C107</f>
        <v>17688746547.479061</v>
      </c>
      <c r="D130" s="2">
        <f>D9/'Output-Calculation-sheet'!D8*'Output-Calculation-sheet'!D107</f>
        <v>15765457216.944649</v>
      </c>
      <c r="E130" s="2">
        <f>E9/'Output-Calculation-sheet'!E8*'Output-Calculation-sheet'!E107</f>
        <v>12508288838.411114</v>
      </c>
      <c r="F130" s="2">
        <f>F9/'Output-Calculation-sheet'!F8*'Output-Calculation-sheet'!F107</f>
        <v>8052038535.808198</v>
      </c>
      <c r="G130" s="2">
        <f>G9/'Output-Calculation-sheet'!G8*'Output-Calculation-sheet'!G107</f>
        <v>5657583288.4055262</v>
      </c>
      <c r="H130" s="2">
        <f>H9/'Output-Calculation-sheet'!H8*'Output-Calculation-sheet'!H107</f>
        <v>5518753883.9608555</v>
      </c>
      <c r="I130" s="2">
        <f>I9/'Output-Calculation-sheet'!I8*'Output-Calculation-sheet'!I107</f>
        <v>5154503044.9942226</v>
      </c>
      <c r="J130" s="2">
        <f>J9/'Output-Calculation-sheet'!J8*'Output-Calculation-sheet'!J107</f>
        <v>5017036286.6783686</v>
      </c>
      <c r="K130" s="2">
        <f>K9/'Output-Calculation-sheet'!K8*'Output-Calculation-sheet'!K107</f>
        <v>4968939319.5016699</v>
      </c>
      <c r="L130" s="2">
        <f>L9/'Output-Calculation-sheet'!L8*'Output-Calculation-sheet'!L107</f>
        <v>3986148250.0042396</v>
      </c>
      <c r="M130" s="2">
        <f>M9/'Output-Calculation-sheet'!M8*'Output-Calculation-sheet'!M107</f>
        <v>3807460075.3309183</v>
      </c>
      <c r="N130" s="2">
        <f>N9/'Output-Calculation-sheet'!N8*'Output-Calculation-sheet'!N107</f>
        <v>3737009379.4780917</v>
      </c>
      <c r="O130" s="2">
        <f>O9/'Output-Calculation-sheet'!O8*'Output-Calculation-sheet'!O107</f>
        <v>3436939491.2349586</v>
      </c>
      <c r="P130" s="2">
        <f>P9/'Output-Calculation-sheet'!P8*'Output-Calculation-sheet'!P107</f>
        <v>3401971126.3627515</v>
      </c>
      <c r="Q130" s="2">
        <f>Q9/'Output-Calculation-sheet'!Q8*'Output-Calculation-sheet'!Q107</f>
        <v>3346990847.9570456</v>
      </c>
      <c r="R130" s="2">
        <f>R9/'Output-Calculation-sheet'!R8*'Output-Calculation-sheet'!R107</f>
        <v>3219958742.9570599</v>
      </c>
      <c r="S130" s="2">
        <f>S9/'Output-Calculation-sheet'!S8*'Output-Calculation-sheet'!S107</f>
        <v>2140149250.7684081</v>
      </c>
      <c r="T130" s="2">
        <f>T9/'Output-Calculation-sheet'!T8*'Output-Calculation-sheet'!T107</f>
        <v>1183629224.4787352</v>
      </c>
      <c r="U130" s="2">
        <f>U9/'Output-Calculation-sheet'!U8*'Output-Calculation-sheet'!U107</f>
        <v>1030900274.0446333</v>
      </c>
      <c r="V130" s="2">
        <f>V9/'Output-Calculation-sheet'!V8*'Output-Calculation-sheet'!V107</f>
        <v>793813828.80312824</v>
      </c>
      <c r="W130" s="2">
        <f>W9/'Output-Calculation-sheet'!W8*'Output-Calculation-sheet'!W107</f>
        <v>687267029.35442162</v>
      </c>
      <c r="X130" s="2">
        <f>X9/'Output-Calculation-sheet'!X8*'Output-Calculation-sheet'!X107</f>
        <v>412360136.70273131</v>
      </c>
      <c r="Y130" s="2">
        <f>Y9/'Output-Calculation-sheet'!Y8*'Output-Calculation-sheet'!Y107</f>
        <v>401016187.73688895</v>
      </c>
      <c r="AA130" s="2">
        <f t="shared" si="11"/>
        <v>149452.74435026388</v>
      </c>
    </row>
    <row r="131" spans="1:27" x14ac:dyDescent="0.25">
      <c r="A131" s="2">
        <v>2033</v>
      </c>
      <c r="B131" s="2">
        <f>B10/'Output-Calculation-sheet'!B9*'Output-Calculation-sheet'!B108</f>
        <v>25390726661.181374</v>
      </c>
      <c r="C131" s="2">
        <f>C10/'Output-Calculation-sheet'!C9*'Output-Calculation-sheet'!C108</f>
        <v>14858509345.354628</v>
      </c>
      <c r="D131" s="2">
        <f>D10/'Output-Calculation-sheet'!D9*'Output-Calculation-sheet'!D108</f>
        <v>10664397583.074753</v>
      </c>
      <c r="E131" s="2">
        <f>E10/'Output-Calculation-sheet'!E9*'Output-Calculation-sheet'!E108</f>
        <v>8461113986.2096806</v>
      </c>
      <c r="F131" s="2">
        <f>F10/'Output-Calculation-sheet'!F9*'Output-Calculation-sheet'!F108</f>
        <v>5446722697.0592766</v>
      </c>
      <c r="G131" s="2">
        <f>G10/'Output-Calculation-sheet'!G9*'Output-Calculation-sheet'!G108</f>
        <v>3827016848.2235928</v>
      </c>
      <c r="H131" s="2">
        <f>H10/'Output-Calculation-sheet'!H9*'Output-Calculation-sheet'!H108</f>
        <v>3733108028.5757298</v>
      </c>
      <c r="I131" s="2">
        <f>I10/'Output-Calculation-sheet'!I9*'Output-Calculation-sheet'!I108</f>
        <v>3486714945.6473031</v>
      </c>
      <c r="J131" s="2">
        <f>J10/'Output-Calculation-sheet'!J9*'Output-Calculation-sheet'!J108</f>
        <v>3393726868.8050227</v>
      </c>
      <c r="K131" s="2">
        <f>K10/'Output-Calculation-sheet'!K9*'Output-Calculation-sheet'!K108</f>
        <v>3361191250.2653794</v>
      </c>
      <c r="L131" s="2">
        <f>L10/'Output-Calculation-sheet'!L9*'Output-Calculation-sheet'!L108</f>
        <v>2696392376.7856455</v>
      </c>
      <c r="M131" s="2">
        <f>M10/'Output-Calculation-sheet'!M9*'Output-Calculation-sheet'!M108</f>
        <v>2575519113.1145163</v>
      </c>
      <c r="N131" s="2">
        <f>N10/'Output-Calculation-sheet'!N9*'Output-Calculation-sheet'!N108</f>
        <v>2527864081.407444</v>
      </c>
      <c r="O131" s="2">
        <f>O10/'Output-Calculation-sheet'!O9*'Output-Calculation-sheet'!O108</f>
        <v>3279126085.5208282</v>
      </c>
      <c r="P131" s="2">
        <f>P10/'Output-Calculation-sheet'!P9*'Output-Calculation-sheet'!P108</f>
        <v>2301231881.4785919</v>
      </c>
      <c r="Q131" s="2">
        <f>Q10/'Output-Calculation-sheet'!Q9*'Output-Calculation-sheet'!Q108</f>
        <v>2264039793.9091282</v>
      </c>
      <c r="R131" s="2">
        <f>R10/'Output-Calculation-sheet'!R9*'Output-Calculation-sheet'!R108</f>
        <v>2178109579.8649225</v>
      </c>
      <c r="S131" s="2">
        <f>S10/'Output-Calculation-sheet'!S9*'Output-Calculation-sheet'!S108</f>
        <v>1447683767.8116548</v>
      </c>
      <c r="T131" s="2">
        <f>T10/'Output-Calculation-sheet'!T9*'Output-Calculation-sheet'!T108</f>
        <v>800654194.156389</v>
      </c>
      <c r="U131" s="2">
        <f>U10/'Output-Calculation-sheet'!U9*'Output-Calculation-sheet'!U108</f>
        <v>697342583.23816872</v>
      </c>
      <c r="V131" s="2">
        <f>V10/'Output-Calculation-sheet'!V9*'Output-Calculation-sheet'!V108</f>
        <v>536967735.79845643</v>
      </c>
      <c r="W131" s="2">
        <f>W10/'Output-Calculation-sheet'!W9*'Output-Calculation-sheet'!W108</f>
        <v>464895055.34973168</v>
      </c>
      <c r="X131" s="2">
        <f>X10/'Output-Calculation-sheet'!X9*'Output-Calculation-sheet'!X108</f>
        <v>278936978.723831</v>
      </c>
      <c r="Y131" s="2">
        <f>Y10/'Output-Calculation-sheet'!Y9*'Output-Calculation-sheet'!Y108</f>
        <v>271263476.01319599</v>
      </c>
      <c r="AA131" s="2">
        <f t="shared" si="11"/>
        <v>104943.25491756928</v>
      </c>
    </row>
    <row r="132" spans="1:27" x14ac:dyDescent="0.25">
      <c r="A132" s="2">
        <v>2034</v>
      </c>
      <c r="B132" s="2">
        <f>B11/'Output-Calculation-sheet'!B10*'Output-Calculation-sheet'!B109</f>
        <v>12436585737.468653</v>
      </c>
      <c r="C132" s="2">
        <f>C11/'Output-Calculation-sheet'!C10*'Output-Calculation-sheet'!C109</f>
        <v>14045778986.365549</v>
      </c>
      <c r="D132" s="2">
        <f>D11/'Output-Calculation-sheet'!D10*'Output-Calculation-sheet'!D109</f>
        <v>5223509220.8417673</v>
      </c>
      <c r="E132" s="2">
        <f>E11/'Output-Calculation-sheet'!E10*'Output-Calculation-sheet'!E109</f>
        <v>4144324177.7827039</v>
      </c>
      <c r="F132" s="2">
        <f>F11/'Output-Calculation-sheet'!F10*'Output-Calculation-sheet'!F109</f>
        <v>2667850190.8721571</v>
      </c>
      <c r="G132" s="2">
        <f>G11/'Output-Calculation-sheet'!G10*'Output-Calculation-sheet'!G109</f>
        <v>1874505054.2274048</v>
      </c>
      <c r="H132" s="2">
        <f>H11/'Output-Calculation-sheet'!H10*'Output-Calculation-sheet'!H109</f>
        <v>1828507438.4196718</v>
      </c>
      <c r="I132" s="2">
        <f>I11/'Output-Calculation-sheet'!I10*'Output-Calculation-sheet'!I109</f>
        <v>1707821525.038368</v>
      </c>
      <c r="J132" s="2">
        <f>J11/'Output-Calculation-sheet'!J10*'Output-Calculation-sheet'!J109</f>
        <v>1662275455.8931231</v>
      </c>
      <c r="K132" s="2">
        <f>K11/'Output-Calculation-sheet'!K10*'Output-Calculation-sheet'!K109</f>
        <v>1646339758.3928337</v>
      </c>
      <c r="L132" s="2">
        <f>L11/'Output-Calculation-sheet'!L10*'Output-Calculation-sheet'!L109</f>
        <v>1320715262.2935984</v>
      </c>
      <c r="M132" s="2">
        <f>M11/'Output-Calculation-sheet'!M10*'Output-Calculation-sheet'!M109</f>
        <v>1261510735.8462007</v>
      </c>
      <c r="N132" s="2">
        <f>N11/'Output-Calculation-sheet'!N10*'Output-Calculation-sheet'!N109</f>
        <v>1238169287.8232954</v>
      </c>
      <c r="O132" s="2">
        <f>O11/'Output-Calculation-sheet'!O10*'Output-Calculation-sheet'!O109</f>
        <v>3073940914.0177813</v>
      </c>
      <c r="P132" s="2">
        <f>P11/'Output-Calculation-sheet'!P10*'Output-Calculation-sheet'!P109</f>
        <v>1127162208.2250929</v>
      </c>
      <c r="Q132" s="2">
        <f>Q11/'Output-Calculation-sheet'!Q10*'Output-Calculation-sheet'!Q109</f>
        <v>1108945400.0837493</v>
      </c>
      <c r="R132" s="2">
        <f>R11/'Output-Calculation-sheet'!R10*'Output-Calculation-sheet'!R109</f>
        <v>1066856399.6829075</v>
      </c>
      <c r="S132" s="2">
        <f>S11/'Output-Calculation-sheet'!S10*'Output-Calculation-sheet'!S109</f>
        <v>709087469.99970269</v>
      </c>
      <c r="T132" s="2">
        <f>T11/'Output-Calculation-sheet'!T10*'Output-Calculation-sheet'!T109</f>
        <v>392167223.40462923</v>
      </c>
      <c r="U132" s="2">
        <f>U11/'Output-Calculation-sheet'!U10*'Output-Calculation-sheet'!U109</f>
        <v>341564265.24588621</v>
      </c>
      <c r="V132" s="2">
        <f>V11/'Output-Calculation-sheet'!V10*'Output-Calculation-sheet'!V109</f>
        <v>263011315.51027641</v>
      </c>
      <c r="W132" s="2">
        <f>W11/'Output-Calculation-sheet'!W10*'Output-Calculation-sheet'!W109</f>
        <v>227709510.14997613</v>
      </c>
      <c r="X132" s="2">
        <f>X11/'Output-Calculation-sheet'!X10*'Output-Calculation-sheet'!X109</f>
        <v>154269228.74487376</v>
      </c>
      <c r="Y132" s="2">
        <f>Y11/'Output-Calculation-sheet'!Y10*'Output-Calculation-sheet'!Y109</f>
        <v>132867153.64565763</v>
      </c>
      <c r="AA132" s="2">
        <f t="shared" si="11"/>
        <v>59655.473919975855</v>
      </c>
    </row>
    <row r="133" spans="1:27" x14ac:dyDescent="0.25">
      <c r="A133" s="2">
        <v>2035</v>
      </c>
      <c r="B133" s="2">
        <f>B12/'Output-Calculation-sheet'!B11*'Output-Calculation-sheet'!B110</f>
        <v>7960485229.6568432</v>
      </c>
      <c r="C133" s="2">
        <f>C12/'Output-Calculation-sheet'!C11*'Output-Calculation-sheet'!C110</f>
        <v>12787896306.72728</v>
      </c>
      <c r="D133" s="2">
        <f>D12/'Output-Calculation-sheet'!D11*'Output-Calculation-sheet'!D110</f>
        <v>3474676963.433229</v>
      </c>
      <c r="E133" s="2">
        <f>E12/'Output-Calculation-sheet'!E11*'Output-Calculation-sheet'!E110</f>
        <v>1664734684.6279655</v>
      </c>
      <c r="F133" s="2">
        <f>F12/'Output-Calculation-sheet'!F11*'Output-Calculation-sheet'!F110</f>
        <v>1270300049.3893886</v>
      </c>
      <c r="G133" s="2">
        <f>G12/'Output-Calculation-sheet'!G11*'Output-Calculation-sheet'!G110</f>
        <v>1185915496.7064421</v>
      </c>
      <c r="H133" s="2">
        <f>H12/'Output-Calculation-sheet'!H11*'Output-Calculation-sheet'!H110</f>
        <v>1647603184.9493542</v>
      </c>
      <c r="I133" s="2">
        <f>I12/'Output-Calculation-sheet'!I11*'Output-Calculation-sheet'!I110</f>
        <v>980083485.6310091</v>
      </c>
      <c r="J133" s="2">
        <f>J12/'Output-Calculation-sheet'!J11*'Output-Calculation-sheet'!J110</f>
        <v>954485298.41498935</v>
      </c>
      <c r="K133" s="2">
        <f>K12/'Output-Calculation-sheet'!K11*'Output-Calculation-sheet'!K110</f>
        <v>825837661.7354542</v>
      </c>
      <c r="L133" s="2">
        <f>L12/'Output-Calculation-sheet'!L11*'Output-Calculation-sheet'!L110</f>
        <v>431643424.29529059</v>
      </c>
      <c r="M133" s="2">
        <f>M12/'Output-Calculation-sheet'!M11*'Output-Calculation-sheet'!M110</f>
        <v>875830136.88005698</v>
      </c>
      <c r="N133" s="2">
        <f>N12/'Output-Calculation-sheet'!N11*'Output-Calculation-sheet'!N110</f>
        <v>789225105.98231804</v>
      </c>
      <c r="O133" s="2">
        <f>O12/'Output-Calculation-sheet'!O11*'Output-Calculation-sheet'!O110</f>
        <v>2808580014.5706863</v>
      </c>
      <c r="P133" s="2">
        <f>P12/'Output-Calculation-sheet'!P11*'Output-Calculation-sheet'!P110</f>
        <v>581593483.0441153</v>
      </c>
      <c r="Q133" s="2">
        <f>Q12/'Output-Calculation-sheet'!Q11*'Output-Calculation-sheet'!Q110</f>
        <v>802620823.18612921</v>
      </c>
      <c r="R133" s="2">
        <f>R12/'Output-Calculation-sheet'!R11*'Output-Calculation-sheet'!R110</f>
        <v>491239131.69751954</v>
      </c>
      <c r="S133" s="2">
        <f>S12/'Output-Calculation-sheet'!S11*'Output-Calculation-sheet'!S110</f>
        <v>481836551.03967625</v>
      </c>
      <c r="T133" s="2">
        <f>T12/'Output-Calculation-sheet'!T11*'Output-Calculation-sheet'!T110</f>
        <v>127187974.12685952</v>
      </c>
      <c r="U133" s="2">
        <f>U12/'Output-Calculation-sheet'!U11*'Output-Calculation-sheet'!U110</f>
        <v>250572954.00135866</v>
      </c>
      <c r="V133" s="2">
        <f>V12/'Output-Calculation-sheet'!V11*'Output-Calculation-sheet'!V110</f>
        <v>54795449.14377667</v>
      </c>
      <c r="W133" s="2">
        <f>W12/'Output-Calculation-sheet'!W11*'Output-Calculation-sheet'!W110</f>
        <v>67957013.292101562</v>
      </c>
      <c r="X133" s="2">
        <f>X12/'Output-Calculation-sheet'!X11*'Output-Calculation-sheet'!X110</f>
        <v>137905197.65175655</v>
      </c>
      <c r="Y133" s="2">
        <f>Y12/'Output-Calculation-sheet'!Y11*'Output-Calculation-sheet'!Y110</f>
        <v>59565092.873707913</v>
      </c>
      <c r="AA133" s="2">
        <f t="shared" si="11"/>
        <v>40712.570713057299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1272.5976104580825</v>
      </c>
      <c r="C19" s="2">
        <f>C8/'Output-Calculation-sheet'!C7*'Output-Calculation-sheet'!C25</f>
        <v>19182.166189484466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5722.6590500287275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3967.3359520919544</v>
      </c>
      <c r="N19" s="2">
        <f>N8/'Output-Calculation-sheet'!N7*'Output-Calculation-sheet'!N25</f>
        <v>1358.2698028684515</v>
      </c>
      <c r="O19" s="2">
        <f>O8/'Output-Calculation-sheet'!O7*'Output-Calculation-sheet'!O25</f>
        <v>3710.2190204594908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484.65210754987396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443.27058523163254</v>
      </c>
      <c r="Y19" s="2">
        <f>Y8/'Output-Calculation-sheet'!Y7*'Output-Calculation-sheet'!Y25</f>
        <v>0</v>
      </c>
      <c r="AA19" s="2">
        <f t="shared" si="0"/>
        <v>36.141170318172684</v>
      </c>
    </row>
    <row r="20" spans="1:27" x14ac:dyDescent="0.25">
      <c r="A20" s="2">
        <v>2032</v>
      </c>
      <c r="B20" s="2">
        <f>B9/'Output-Calculation-sheet'!B8*'Output-Calculation-sheet'!B26</f>
        <v>7258.6890158256656</v>
      </c>
      <c r="C20" s="2">
        <f>C9/'Output-Calculation-sheet'!C8*'Output-Calculation-sheet'!C26</f>
        <v>26582.34855294782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7887.4647768471159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5487.7707973961606</v>
      </c>
      <c r="N20" s="2">
        <f>N9/'Output-Calculation-sheet'!N8*'Output-Calculation-sheet'!N26</f>
        <v>2476.3310432571584</v>
      </c>
      <c r="O20" s="2">
        <f>O9/'Output-Calculation-sheet'!O8*'Output-Calculation-sheet'!O26</f>
        <v>5179.4547703925646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899.96593206929697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613.96484636514128</v>
      </c>
      <c r="Y20" s="2">
        <f>Y9/'Output-Calculation-sheet'!Y8*'Output-Calculation-sheet'!Y26</f>
        <v>0</v>
      </c>
      <c r="AA20" s="2">
        <f t="shared" si="0"/>
        <v>56.385989735100921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32167.804337756366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9898.2334696106518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6875.1202209201829</v>
      </c>
      <c r="N21" s="2">
        <f>N10/'Output-Calculation-sheet'!N9*'Output-Calculation-sheet'!N27</f>
        <v>3760.4829235595907</v>
      </c>
      <c r="O21" s="2">
        <f>O10/'Output-Calculation-sheet'!O9*'Output-Calculation-sheet'!O27</f>
        <v>5674.4945211872055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1637.0643132322659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808.47365614248565</v>
      </c>
      <c r="Y21" s="2">
        <f>Y10/'Output-Calculation-sheet'!Y9*'Output-Calculation-sheet'!Y27</f>
        <v>0</v>
      </c>
      <c r="AA21" s="2">
        <f t="shared" si="0"/>
        <v>78.199263533115982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32802.19190362333</v>
      </c>
      <c r="D22" s="2">
        <f>D11/'Output-Calculation-sheet'!D10*'Output-Calculation-sheet'!D28</f>
        <v>0</v>
      </c>
      <c r="E22" s="2">
        <f>E11/'Output-Calculation-sheet'!E10*'Output-Calculation-sheet'!E28</f>
        <v>1616.4227277251714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12921.647055266962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979.87391297048691</v>
      </c>
      <c r="M22" s="2">
        <f>M11/'Output-Calculation-sheet'!M10*'Output-Calculation-sheet'!M28</f>
        <v>8904.2999631481835</v>
      </c>
      <c r="N22" s="2">
        <f>N11/'Output-Calculation-sheet'!N10*'Output-Calculation-sheet'!N28</f>
        <v>5124.4742286236606</v>
      </c>
      <c r="O22" s="2">
        <f>O11/'Output-Calculation-sheet'!O10*'Output-Calculation-sheet'!O28</f>
        <v>5870.3306848235334</v>
      </c>
      <c r="P22" s="2">
        <f>P11/'Output-Calculation-sheet'!P10*'Output-Calculation-sheet'!P28</f>
        <v>0</v>
      </c>
      <c r="Q22" s="2">
        <f>Q11/'Output-Calculation-sheet'!Q10*'Output-Calculation-sheet'!Q28</f>
        <v>1921.880626708818</v>
      </c>
      <c r="R22" s="2">
        <f>R11/'Output-Calculation-sheet'!R10*'Output-Calculation-sheet'!R28</f>
        <v>0</v>
      </c>
      <c r="S22" s="2">
        <f>S11/'Output-Calculation-sheet'!S10*'Output-Calculation-sheet'!S28</f>
        <v>2598.8365260917303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899.08998407863339</v>
      </c>
      <c r="Y22" s="2">
        <f>Y11/'Output-Calculation-sheet'!Y10*'Output-Calculation-sheet'!Y28</f>
        <v>89.437378758484698</v>
      </c>
      <c r="AA22" s="2">
        <f t="shared" si="0"/>
        <v>105.89813572367277</v>
      </c>
    </row>
    <row r="23" spans="1:27" x14ac:dyDescent="0.25">
      <c r="A23" s="2">
        <v>2035</v>
      </c>
      <c r="B23" s="2">
        <f>B12/'Output-Calculation-sheet'!B11*'Output-Calculation-sheet'!B29</f>
        <v>37232.13033137907</v>
      </c>
      <c r="C23" s="2">
        <f>C12/'Output-Calculation-sheet'!C11*'Output-Calculation-sheet'!C29</f>
        <v>31842.534713833385</v>
      </c>
      <c r="D23" s="2">
        <f>D12/'Output-Calculation-sheet'!D11*'Output-Calculation-sheet'!D29</f>
        <v>0</v>
      </c>
      <c r="E23" s="2">
        <f>E12/'Output-Calculation-sheet'!E11*'Output-Calculation-sheet'!E29</f>
        <v>7109.3453057673096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12354.461410113798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2079.2977126132023</v>
      </c>
      <c r="M23" s="2">
        <f>M12/'Output-Calculation-sheet'!M11*'Output-Calculation-sheet'!M29</f>
        <v>9347.593360059449</v>
      </c>
      <c r="N23" s="2">
        <f>N12/'Output-Calculation-sheet'!N11*'Output-Calculation-sheet'!N29</f>
        <v>5463.6064353347583</v>
      </c>
      <c r="O23" s="2">
        <f>O12/'Output-Calculation-sheet'!O11*'Output-Calculation-sheet'!O29</f>
        <v>5695.8233874986572</v>
      </c>
      <c r="P23" s="2">
        <f>P12/'Output-Calculation-sheet'!P11*'Output-Calculation-sheet'!P29</f>
        <v>750.52731421186991</v>
      </c>
      <c r="Q23" s="2">
        <f>Q12/'Output-Calculation-sheet'!Q11*'Output-Calculation-sheet'!Q29</f>
        <v>2391.0621704895789</v>
      </c>
      <c r="R23" s="2">
        <f>R12/'Output-Calculation-sheet'!R11*'Output-Calculation-sheet'!R29</f>
        <v>0</v>
      </c>
      <c r="S23" s="2">
        <f>S12/'Output-Calculation-sheet'!S11*'Output-Calculation-sheet'!S29</f>
        <v>2838.6570977825304</v>
      </c>
      <c r="T23" s="2">
        <f>T12/'Output-Calculation-sheet'!T11*'Output-Calculation-sheet'!T29</f>
        <v>0</v>
      </c>
      <c r="U23" s="2">
        <f>U12/'Output-Calculation-sheet'!U11*'Output-Calculation-sheet'!U29</f>
        <v>164.73334035703175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885.37801321247252</v>
      </c>
      <c r="Y23" s="2">
        <f>Y12/'Output-Calculation-sheet'!Y11*'Output-Calculation-sheet'!Y29</f>
        <v>283.73665435260966</v>
      </c>
      <c r="AA23" s="2">
        <f t="shared" si="0"/>
        <v>118.43888724700572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22180.962951587386</v>
      </c>
      <c r="C30" s="2">
        <f>C8/'Output-Calculation-sheet'!C7*'Output-Calculation-sheet'!C16</f>
        <v>0</v>
      </c>
      <c r="D30" s="2">
        <f>D8/'Output-Calculation-sheet'!D7*'Output-Calculation-sheet'!D16</f>
        <v>3734.9809363681638</v>
      </c>
      <c r="E30" s="2">
        <f>E8/'Output-Calculation-sheet'!E7*'Output-Calculation-sheet'!E16</f>
        <v>4018.6284691096216</v>
      </c>
      <c r="F30" s="2">
        <f>F8/'Output-Calculation-sheet'!F7*'Output-Calculation-sheet'!F16</f>
        <v>2027.419446881692</v>
      </c>
      <c r="G30" s="2">
        <f>G8/'Output-Calculation-sheet'!G7*'Output-Calculation-sheet'!G16</f>
        <v>1327.7189378245739</v>
      </c>
      <c r="H30" s="2">
        <f>H8/'Output-Calculation-sheet'!H7*'Output-Calculation-sheet'!H16</f>
        <v>0</v>
      </c>
      <c r="I30" s="2">
        <f>I8/'Output-Calculation-sheet'!I7*'Output-Calculation-sheet'!I16</f>
        <v>1294.3271632849362</v>
      </c>
      <c r="J30" s="2">
        <f>J8/'Output-Calculation-sheet'!J7*'Output-Calculation-sheet'!J16</f>
        <v>1152.200053481763</v>
      </c>
      <c r="K30" s="2">
        <f>K8/'Output-Calculation-sheet'!K7*'Output-Calculation-sheet'!K16</f>
        <v>1538.4073026955293</v>
      </c>
      <c r="L30" s="2">
        <f>L8/'Output-Calculation-sheet'!L7*'Output-Calculation-sheet'!L16</f>
        <v>1299.4540144956845</v>
      </c>
      <c r="M30" s="2">
        <f>M8/'Output-Calculation-sheet'!M7*'Output-Calculation-sheet'!M16</f>
        <v>0</v>
      </c>
      <c r="N30" s="2">
        <f>N8/'Output-Calculation-sheet'!N7*'Output-Calculation-sheet'!N16</f>
        <v>1845.7649501859823</v>
      </c>
      <c r="O30" s="2">
        <f>O8/'Output-Calculation-sheet'!O7*'Output-Calculation-sheet'!O16</f>
        <v>0</v>
      </c>
      <c r="P30" s="2">
        <f>P8/'Output-Calculation-sheet'!P7*'Output-Calculation-sheet'!P16</f>
        <v>1658.9129728426078</v>
      </c>
      <c r="Q30" s="2">
        <f>Q8/'Output-Calculation-sheet'!Q7*'Output-Calculation-sheet'!Q16</f>
        <v>1824.2563978023686</v>
      </c>
      <c r="R30" s="2">
        <f>R8/'Output-Calculation-sheet'!R7*'Output-Calculation-sheet'!R16</f>
        <v>1157.4986133246766</v>
      </c>
      <c r="S30" s="2">
        <f>S8/'Output-Calculation-sheet'!S7*'Output-Calculation-sheet'!S16</f>
        <v>1164.1041886529733</v>
      </c>
      <c r="T30" s="2">
        <f>T8/'Output-Calculation-sheet'!T7*'Output-Calculation-sheet'!T16</f>
        <v>347.46444555639681</v>
      </c>
      <c r="U30" s="2">
        <f>U8/'Output-Calculation-sheet'!U7*'Output-Calculation-sheet'!U16</f>
        <v>346.84336167086599</v>
      </c>
      <c r="V30" s="2">
        <f>V8/'Output-Calculation-sheet'!V7*'Output-Calculation-sheet'!V16</f>
        <v>269.94159542610441</v>
      </c>
      <c r="W30" s="2">
        <f>W8/'Output-Calculation-sheet'!W7*'Output-Calculation-sheet'!W16</f>
        <v>163.73318606630318</v>
      </c>
      <c r="X30" s="2">
        <f>X8/'Output-Calculation-sheet'!X7*'Output-Calculation-sheet'!X16</f>
        <v>0</v>
      </c>
      <c r="Y30" s="2">
        <f>Y8/'Output-Calculation-sheet'!Y7*'Output-Calculation-sheet'!Y16</f>
        <v>138.5815276135755</v>
      </c>
      <c r="AA30" s="2">
        <f t="shared" si="1"/>
        <v>47.491200514871203</v>
      </c>
    </row>
    <row r="31" spans="1:27" x14ac:dyDescent="0.25">
      <c r="A31" s="2">
        <v>2032</v>
      </c>
      <c r="B31" s="2">
        <f>B9/'Output-Calculation-sheet'!B8*'Output-Calculation-sheet'!B17</f>
        <v>30735.687473061404</v>
      </c>
      <c r="C31" s="2">
        <f>C9/'Output-Calculation-sheet'!C8*'Output-Calculation-sheet'!C17</f>
        <v>0</v>
      </c>
      <c r="D31" s="2">
        <f>D9/'Output-Calculation-sheet'!D8*'Output-Calculation-sheet'!D17</f>
        <v>5154.7783377291771</v>
      </c>
      <c r="E31" s="2">
        <f>E9/'Output-Calculation-sheet'!E8*'Output-Calculation-sheet'!E17</f>
        <v>6058.7376478477217</v>
      </c>
      <c r="F31" s="2">
        <f>F9/'Output-Calculation-sheet'!F8*'Output-Calculation-sheet'!F17</f>
        <v>2798.1809234319139</v>
      </c>
      <c r="G31" s="2">
        <f>G9/'Output-Calculation-sheet'!G8*'Output-Calculation-sheet'!G17</f>
        <v>1832.4591829467038</v>
      </c>
      <c r="H31" s="2">
        <f>H9/'Output-Calculation-sheet'!H8*'Output-Calculation-sheet'!H17</f>
        <v>0</v>
      </c>
      <c r="I31" s="2">
        <f>I9/'Output-Calculation-sheet'!I8*'Output-Calculation-sheet'!I17</f>
        <v>1786.3816941457412</v>
      </c>
      <c r="J31" s="2">
        <f>J9/'Output-Calculation-sheet'!J8*'Output-Calculation-sheet'!J17</f>
        <v>1590.2240324401334</v>
      </c>
      <c r="K31" s="2">
        <f>K9/'Output-Calculation-sheet'!K8*'Output-Calculation-sheet'!K17</f>
        <v>2264.0567947385898</v>
      </c>
      <c r="L31" s="2">
        <f>L9/'Output-Calculation-sheet'!L8*'Output-Calculation-sheet'!L17</f>
        <v>1930.8424347905511</v>
      </c>
      <c r="M31" s="2">
        <f>M9/'Output-Calculation-sheet'!M8*'Output-Calculation-sheet'!M17</f>
        <v>0</v>
      </c>
      <c r="N31" s="2">
        <f>N9/'Output-Calculation-sheet'!N8*'Output-Calculation-sheet'!N17</f>
        <v>2099.0232053740433</v>
      </c>
      <c r="O31" s="2">
        <f>O9/'Output-Calculation-sheet'!O8*'Output-Calculation-sheet'!O17</f>
        <v>0</v>
      </c>
      <c r="P31" s="2">
        <f>P9/'Output-Calculation-sheet'!P8*'Output-Calculation-sheet'!P17</f>
        <v>2605.2135894990374</v>
      </c>
      <c r="Q31" s="2">
        <f>Q9/'Output-Calculation-sheet'!Q8*'Output-Calculation-sheet'!Q17</f>
        <v>2777.397045483523</v>
      </c>
      <c r="R31" s="2">
        <f>R9/'Output-Calculation-sheet'!R8*'Output-Calculation-sheet'!R17</f>
        <v>1817.1199308873868</v>
      </c>
      <c r="S31" s="2">
        <f>S9/'Output-Calculation-sheet'!S8*'Output-Calculation-sheet'!S17</f>
        <v>1563.5510607076596</v>
      </c>
      <c r="T31" s="2">
        <f>T9/'Output-Calculation-sheet'!T8*'Output-Calculation-sheet'!T17</f>
        <v>493.08876925723712</v>
      </c>
      <c r="U31" s="2">
        <f>U9/'Output-Calculation-sheet'!U8*'Output-Calculation-sheet'!U17</f>
        <v>566.71619334625996</v>
      </c>
      <c r="V31" s="2">
        <f>V9/'Output-Calculation-sheet'!V8*'Output-Calculation-sheet'!V17</f>
        <v>405.91191922526656</v>
      </c>
      <c r="W31" s="2">
        <f>W9/'Output-Calculation-sheet'!W8*'Output-Calculation-sheet'!W17</f>
        <v>225.98074263112335</v>
      </c>
      <c r="X31" s="2">
        <f>X9/'Output-Calculation-sheet'!X8*'Output-Calculation-sheet'!X17</f>
        <v>0</v>
      </c>
      <c r="Y31" s="2">
        <f>Y9/'Output-Calculation-sheet'!Y8*'Output-Calculation-sheet'!Y17</f>
        <v>218.34635668699772</v>
      </c>
      <c r="AA31" s="2">
        <f t="shared" si="1"/>
        <v>66.92369733423044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2115.8431233061015</v>
      </c>
      <c r="O32" s="2">
        <f>O10/'Output-Calculation-sheet'!O9*'Output-Calculation-sheet'!O18</f>
        <v>0</v>
      </c>
      <c r="P32" s="2">
        <f>P10/'Output-Calculation-sheet'!P9*'Output-Calculation-sheet'!P18</f>
        <v>3406.0799185889273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2449.326612821606</v>
      </c>
      <c r="S32" s="2">
        <f>S10/'Output-Calculation-sheet'!S9*'Output-Calculation-sheet'!S18</f>
        <v>1600.7818465741241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790.69878781738987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83.427734499962568</v>
      </c>
    </row>
    <row r="33" spans="1:27" x14ac:dyDescent="0.25">
      <c r="A33" s="2">
        <v>2034</v>
      </c>
      <c r="B33" s="2">
        <f>B11/'Output-Calculation-sheet'!B10*'Output-Calculation-sheet'!B19</f>
        <v>32448.198929882401</v>
      </c>
      <c r="C33" s="2">
        <f>C11/'Output-Calculation-sheet'!C10*'Output-Calculation-sheet'!C19</f>
        <v>0</v>
      </c>
      <c r="D33" s="2">
        <f>D11/'Output-Calculation-sheet'!D10*'Output-Calculation-sheet'!D19</f>
        <v>9677.9805424089991</v>
      </c>
      <c r="E33" s="2">
        <f>E11/'Output-Calculation-sheet'!E10*'Output-Calculation-sheet'!E19</f>
        <v>12022.801568221228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3294.8115720146611</v>
      </c>
      <c r="H33" s="2">
        <f>H11/'Output-Calculation-sheet'!H10*'Output-Calculation-sheet'!H19</f>
        <v>0</v>
      </c>
      <c r="I33" s="2">
        <f>I11/'Output-Calculation-sheet'!I10*'Output-Calculation-sheet'!I19</f>
        <v>3594.8925345617695</v>
      </c>
      <c r="J33" s="2">
        <f>J11/'Output-Calculation-sheet'!J10*'Output-Calculation-sheet'!J19</f>
        <v>3045.7470422042843</v>
      </c>
      <c r="K33" s="2">
        <f>K11/'Output-Calculation-sheet'!K10*'Output-Calculation-sheet'!K19</f>
        <v>4217.4653307956669</v>
      </c>
      <c r="L33" s="2">
        <f>L11/'Output-Calculation-sheet'!L10*'Output-Calculation-sheet'!L19</f>
        <v>3432.9370140164615</v>
      </c>
      <c r="M33" s="2">
        <f>M11/'Output-Calculation-sheet'!M10*'Output-Calculation-sheet'!M19</f>
        <v>0</v>
      </c>
      <c r="N33" s="2">
        <f>N11/'Output-Calculation-sheet'!N10*'Output-Calculation-sheet'!N19</f>
        <v>1939.6479932185814</v>
      </c>
      <c r="O33" s="2">
        <f>O11/'Output-Calculation-sheet'!O10*'Output-Calculation-sheet'!O19</f>
        <v>0</v>
      </c>
      <c r="P33" s="2">
        <f>P11/'Output-Calculation-sheet'!P10*'Output-Calculation-sheet'!P19</f>
        <v>4267.9132660677806</v>
      </c>
      <c r="Q33" s="2">
        <f>Q11/'Output-Calculation-sheet'!Q10*'Output-Calculation-sheet'!Q19</f>
        <v>3417.267739527615</v>
      </c>
      <c r="R33" s="2">
        <f>R11/'Output-Calculation-sheet'!R10*'Output-Calculation-sheet'!R19</f>
        <v>3047.0904860994019</v>
      </c>
      <c r="S33" s="2">
        <f>S11/'Output-Calculation-sheet'!S10*'Output-Calculation-sheet'!S19</f>
        <v>1424.2321976211419</v>
      </c>
      <c r="T33" s="2">
        <f>T11/'Output-Calculation-sheet'!T10*'Output-Calculation-sheet'!T19</f>
        <v>894.14305898588702</v>
      </c>
      <c r="U33" s="2">
        <f>U11/'Output-Calculation-sheet'!U10*'Output-Calculation-sheet'!U19</f>
        <v>1029.0886498541367</v>
      </c>
      <c r="V33" s="2">
        <f>V11/'Output-Calculation-sheet'!V10*'Output-Calculation-sheet'!V19</f>
        <v>702.11827060723806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138.07962400746652</v>
      </c>
      <c r="Y33" s="2">
        <f>Y11/'Output-Calculation-sheet'!Y10*'Output-Calculation-sheet'!Y19</f>
        <v>393.52446653733267</v>
      </c>
      <c r="AA33" s="2">
        <f t="shared" si="1"/>
        <v>94.926166525478635</v>
      </c>
    </row>
    <row r="34" spans="1:27" x14ac:dyDescent="0.25">
      <c r="A34" s="2">
        <v>2035</v>
      </c>
      <c r="B34" s="2">
        <f>B12/'Output-Calculation-sheet'!B11*'Output-Calculation-sheet'!B20</f>
        <v>28865.880446592262</v>
      </c>
      <c r="C34" s="2">
        <f>C12/'Output-Calculation-sheet'!C11*'Output-Calculation-sheet'!C20</f>
        <v>0</v>
      </c>
      <c r="D34" s="2">
        <f>D12/'Output-Calculation-sheet'!D11*'Output-Calculation-sheet'!D20</f>
        <v>9973.1724160991544</v>
      </c>
      <c r="E34" s="2">
        <f>E12/'Output-Calculation-sheet'!E11*'Output-Calculation-sheet'!E20</f>
        <v>9687.9746529430977</v>
      </c>
      <c r="F34" s="2">
        <f>F12/'Output-Calculation-sheet'!F11*'Output-Calculation-sheet'!F20</f>
        <v>6346.4125426874489</v>
      </c>
      <c r="G34" s="2">
        <f>G12/'Output-Calculation-sheet'!G11*'Output-Calculation-sheet'!G20</f>
        <v>3367.4421220543891</v>
      </c>
      <c r="H34" s="2">
        <f>H12/'Output-Calculation-sheet'!H11*'Output-Calculation-sheet'!H20</f>
        <v>0</v>
      </c>
      <c r="I34" s="2">
        <f>I12/'Output-Calculation-sheet'!I11*'Output-Calculation-sheet'!I20</f>
        <v>3874.0010555909307</v>
      </c>
      <c r="J34" s="2">
        <f>J12/'Output-Calculation-sheet'!J11*'Output-Calculation-sheet'!J20</f>
        <v>3287.1930338830221</v>
      </c>
      <c r="K34" s="2">
        <f>K12/'Output-Calculation-sheet'!K11*'Output-Calculation-sheet'!K20</f>
        <v>4630.1359204012942</v>
      </c>
      <c r="L34" s="2">
        <f>L12/'Output-Calculation-sheet'!L11*'Output-Calculation-sheet'!L20</f>
        <v>3379.4700742401901</v>
      </c>
      <c r="M34" s="2">
        <f>M12/'Output-Calculation-sheet'!M11*'Output-Calculation-sheet'!M20</f>
        <v>0</v>
      </c>
      <c r="N34" s="2">
        <f>N12/'Output-Calculation-sheet'!N11*'Output-Calculation-sheet'!N20</f>
        <v>1786.6416884902546</v>
      </c>
      <c r="O34" s="2">
        <f>O12/'Output-Calculation-sheet'!O11*'Output-Calculation-sheet'!O20</f>
        <v>0</v>
      </c>
      <c r="P34" s="2">
        <f>P12/'Output-Calculation-sheet'!P11*'Output-Calculation-sheet'!P20</f>
        <v>4032.518861373183</v>
      </c>
      <c r="Q34" s="2">
        <f>Q12/'Output-Calculation-sheet'!Q11*'Output-Calculation-sheet'!Q20</f>
        <v>2989.2136770719308</v>
      </c>
      <c r="R34" s="2">
        <f>R12/'Output-Calculation-sheet'!R11*'Output-Calculation-sheet'!R20</f>
        <v>3394.0284507919218</v>
      </c>
      <c r="S34" s="2">
        <f>S12/'Output-Calculation-sheet'!S11*'Output-Calculation-sheet'!S20</f>
        <v>1242.2735867471667</v>
      </c>
      <c r="T34" s="2">
        <f>T12/'Output-Calculation-sheet'!T11*'Output-Calculation-sheet'!T20</f>
        <v>1013.898876343313</v>
      </c>
      <c r="U34" s="2">
        <f>U12/'Output-Calculation-sheet'!U11*'Output-Calculation-sheet'!U20</f>
        <v>927.89754906472547</v>
      </c>
      <c r="V34" s="2">
        <f>V12/'Output-Calculation-sheet'!V11*'Output-Calculation-sheet'!V20</f>
        <v>896.78215849465994</v>
      </c>
      <c r="W34" s="2">
        <f>W12/'Output-Calculation-sheet'!W11*'Output-Calculation-sheet'!W20</f>
        <v>544.48157336316308</v>
      </c>
      <c r="X34" s="2">
        <f>X12/'Output-Calculation-sheet'!X11*'Output-Calculation-sheet'!X20</f>
        <v>115.20246466567122</v>
      </c>
      <c r="Y34" s="2">
        <f>Y12/'Output-Calculation-sheet'!Y11*'Output-Calculation-sheet'!Y20</f>
        <v>295.54731058271898</v>
      </c>
      <c r="AA34" s="2">
        <f t="shared" si="1"/>
        <v>90.650168461480547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1.3908397061795648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0.27020273815435508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1.6610424443339198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1.3738734149498901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0.2669066442003114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1.6727046887907215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2.5730976398541263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0.49988364923580347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12.32009915749984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37120.478184268635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8031.4356001840861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5526.4136138993254</v>
      </c>
      <c r="N52" s="2">
        <f>N8/'Output-Calculation-sheet'!N7*'Output-Calculation-sheet'!N43</f>
        <v>176.636676413798</v>
      </c>
      <c r="O52" s="2">
        <f>O8/'Output-Calculation-sheet'!O7*'Output-Calculation-sheet'!O43</f>
        <v>7520.575012315845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714.69815926018225</v>
      </c>
      <c r="Y52" s="2">
        <f>Y8/'Output-Calculation-sheet'!Y7*'Output-Calculation-sheet'!Y43</f>
        <v>0</v>
      </c>
      <c r="AA52" s="2">
        <f t="shared" si="3"/>
        <v>59.090237246341871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67567.753213852266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15824.891511861522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10814.661108666605</v>
      </c>
      <c r="N53" s="2">
        <f>N9/'Output-Calculation-sheet'!N8*'Output-Calculation-sheet'!N44</f>
        <v>3851.8213081044223</v>
      </c>
      <c r="O53" s="2">
        <f>O9/'Output-Calculation-sheet'!O8*'Output-Calculation-sheet'!O44</f>
        <v>13399.593535238218</v>
      </c>
      <c r="P53" s="2">
        <f>P9/'Output-Calculation-sheet'!P8*'Output-Calculation-sheet'!P44</f>
        <v>180.17158740278794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1201.8178595956449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1352.3814381092895</v>
      </c>
      <c r="Y53" s="2">
        <f>Y9/'Output-Calculation-sheet'!Y8*'Output-Calculation-sheet'!Y44</f>
        <v>0</v>
      </c>
      <c r="AA53" s="2">
        <f t="shared" si="3"/>
        <v>114.19309156283077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79180.260465836618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14624.130652740094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1610.9925643851341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582.21582214044133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187.96949149113311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79299.009389212952</v>
      </c>
      <c r="D55" s="2">
        <f>D11/'Output-Calculation-sheet'!D10*'Output-Calculation-sheet'!D46</f>
        <v>8540.4935568112069</v>
      </c>
      <c r="E55" s="2">
        <f>E11/'Output-Calculation-sheet'!E10*'Output-Calculation-sheet'!E46</f>
        <v>10435.649564885371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28454.423359181412</v>
      </c>
      <c r="I55" s="2">
        <f>I11/'Output-Calculation-sheet'!I10*'Output-Calculation-sheet'!I46</f>
        <v>2066.6834542882921</v>
      </c>
      <c r="J55" s="2">
        <f>J11/'Output-Calculation-sheet'!J10*'Output-Calculation-sheet'!J46</f>
        <v>1465.8256328112218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19502.845840474783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14562.801113385412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5847.1948610836725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7306.0412242024067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1683.2593367659399</v>
      </c>
      <c r="V55" s="2">
        <f>V11/'Output-Calculation-sheet'!V10*'Output-Calculation-sheet'!V46</f>
        <v>676.01333948951117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2013.4919922398121</v>
      </c>
      <c r="Y55" s="2">
        <f>Y11/'Output-Calculation-sheet'!Y10*'Output-Calculation-sheet'!Y46</f>
        <v>516.16677271100093</v>
      </c>
      <c r="AA55" s="2">
        <f t="shared" si="3"/>
        <v>310.23152374004803</v>
      </c>
    </row>
    <row r="56" spans="1:27" x14ac:dyDescent="0.25">
      <c r="A56" s="2">
        <v>2035</v>
      </c>
      <c r="B56" s="2">
        <f>B12/'Output-Calculation-sheet'!B11*'Output-Calculation-sheet'!B47</f>
        <v>111756.07349296004</v>
      </c>
      <c r="C56" s="2">
        <f>C12/'Output-Calculation-sheet'!C11*'Output-Calculation-sheet'!C47</f>
        <v>75387.2466413402</v>
      </c>
      <c r="D56" s="2">
        <f>D12/'Output-Calculation-sheet'!D11*'Output-Calculation-sheet'!D47</f>
        <v>16295.216605929794</v>
      </c>
      <c r="E56" s="2">
        <f>E12/'Output-Calculation-sheet'!E11*'Output-Calculation-sheet'!E47</f>
        <v>29475.951682345858</v>
      </c>
      <c r="F56" s="2">
        <f>F12/'Output-Calculation-sheet'!F11*'Output-Calculation-sheet'!F47</f>
        <v>3297.9279086149822</v>
      </c>
      <c r="G56" s="2">
        <f>G12/'Output-Calculation-sheet'!G11*'Output-Calculation-sheet'!G47</f>
        <v>7495.0788970231133</v>
      </c>
      <c r="H56" s="2">
        <f>H12/'Output-Calculation-sheet'!H11*'Output-Calculation-sheet'!H47</f>
        <v>26889.017671601894</v>
      </c>
      <c r="I56" s="2">
        <f>I12/'Output-Calculation-sheet'!I11*'Output-Calculation-sheet'!I47</f>
        <v>4838.3081191187603</v>
      </c>
      <c r="J56" s="2">
        <f>J12/'Output-Calculation-sheet'!J11*'Output-Calculation-sheet'!J47</f>
        <v>4756.4142952034017</v>
      </c>
      <c r="K56" s="2">
        <f>K12/'Output-Calculation-sheet'!K11*'Output-Calculation-sheet'!K47</f>
        <v>6594.0094722665162</v>
      </c>
      <c r="L56" s="2">
        <f>L12/'Output-Calculation-sheet'!L11*'Output-Calculation-sheet'!L47</f>
        <v>6150.7242668770614</v>
      </c>
      <c r="M56" s="2">
        <f>M12/'Output-Calculation-sheet'!M11*'Output-Calculation-sheet'!M47</f>
        <v>19123.798862116073</v>
      </c>
      <c r="N56" s="2">
        <f>N12/'Output-Calculation-sheet'!N11*'Output-Calculation-sheet'!N47</f>
        <v>15858.809122636883</v>
      </c>
      <c r="O56" s="2">
        <f>O12/'Output-Calculation-sheet'!O11*'Output-Calculation-sheet'!O47</f>
        <v>13856.423961273149</v>
      </c>
      <c r="P56" s="2">
        <f>P12/'Output-Calculation-sheet'!P11*'Output-Calculation-sheet'!P47</f>
        <v>7770.287703168091</v>
      </c>
      <c r="Q56" s="2">
        <f>Q12/'Output-Calculation-sheet'!Q11*'Output-Calculation-sheet'!Q47</f>
        <v>7328.1690530427795</v>
      </c>
      <c r="R56" s="2">
        <f>R12/'Output-Calculation-sheet'!R11*'Output-Calculation-sheet'!R47</f>
        <v>5960.7748424558749</v>
      </c>
      <c r="S56" s="2">
        <f>S12/'Output-Calculation-sheet'!S11*'Output-Calculation-sheet'!S47</f>
        <v>7932.5579205776376</v>
      </c>
      <c r="T56" s="2">
        <f>T12/'Output-Calculation-sheet'!T11*'Output-Calculation-sheet'!T47</f>
        <v>2137.3063836510805</v>
      </c>
      <c r="U56" s="2">
        <f>U12/'Output-Calculation-sheet'!U11*'Output-Calculation-sheet'!U47</f>
        <v>2029.4474990161395</v>
      </c>
      <c r="V56" s="2">
        <f>V12/'Output-Calculation-sheet'!V11*'Output-Calculation-sheet'!V47</f>
        <v>1245.8332306831849</v>
      </c>
      <c r="W56" s="2">
        <f>W12/'Output-Calculation-sheet'!W11*'Output-Calculation-sheet'!W47</f>
        <v>723.58394965263813</v>
      </c>
      <c r="X56" s="2">
        <f>X12/'Output-Calculation-sheet'!X11*'Output-Calculation-sheet'!X47</f>
        <v>1927.4712389999625</v>
      </c>
      <c r="Y56" s="2">
        <f>Y12/'Output-Calculation-sheet'!Y11*'Output-Calculation-sheet'!Y47</f>
        <v>1083.1285336376254</v>
      </c>
      <c r="AA56" s="2">
        <f t="shared" si="3"/>
        <v>379.91356135419267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8.6384664815673595</v>
      </c>
      <c r="C63" s="2">
        <f>C8*'Output-Calculation-sheet'!C52/10^9</f>
        <v>5.4475102571192249</v>
      </c>
      <c r="D63" s="2">
        <f>D8*'Output-Calculation-sheet'!D52/10^9</f>
        <v>2.9622952299255956</v>
      </c>
      <c r="E63" s="2">
        <f>E8*'Output-Calculation-sheet'!E52/10^9</f>
        <v>2.9453308629802843</v>
      </c>
      <c r="F63" s="2">
        <f>F8*'Output-Calculation-sheet'!F52/10^9</f>
        <v>1.2473483701184811</v>
      </c>
      <c r="G63" s="2">
        <f>G8*'Output-Calculation-sheet'!G52/10^9</f>
        <v>0.8967860395676388</v>
      </c>
      <c r="H63" s="2">
        <f>H8*'Output-Calculation-sheet'!H52/10^9</f>
        <v>1.566505734061914</v>
      </c>
      <c r="I63" s="2">
        <f>I8*'Output-Calculation-sheet'!I52/10^9</f>
        <v>0.83421933065570564</v>
      </c>
      <c r="J63" s="2">
        <f>J8*'Output-Calculation-sheet'!J52/10^9</f>
        <v>1.1479434651632443</v>
      </c>
      <c r="K63" s="2">
        <f>K8*'Output-Calculation-sheet'!K52/10^9</f>
        <v>1.0085678234026911</v>
      </c>
      <c r="L63" s="2">
        <f>L8*'Output-Calculation-sheet'!L52/10^9</f>
        <v>1.3565703377880822</v>
      </c>
      <c r="M63" s="2">
        <f>M8*'Output-Calculation-sheet'!M52/10^9</f>
        <v>1.2714754091864315</v>
      </c>
      <c r="N63" s="2">
        <f>N8*'Output-Calculation-sheet'!N52/10^9</f>
        <v>1.0611713337918689</v>
      </c>
      <c r="O63" s="2">
        <f>O8*'Output-Calculation-sheet'!O52/10^9</f>
        <v>1.1315875356839129</v>
      </c>
      <c r="P63" s="2">
        <f>P8*'Output-Calculation-sheet'!P52/10^9</f>
        <v>0.69689444030551262</v>
      </c>
      <c r="Q63" s="2">
        <f>Q8*'Output-Calculation-sheet'!Q52/10^9</f>
        <v>0.78867598306471054</v>
      </c>
      <c r="R63" s="2">
        <f>R8*'Output-Calculation-sheet'!R52/10^9</f>
        <v>0.70807527276262783</v>
      </c>
      <c r="S63" s="2">
        <f>S8*'Output-Calculation-sheet'!S52/10^9</f>
        <v>0.52471198905349259</v>
      </c>
      <c r="T63" s="2">
        <f>T8*'Output-Calculation-sheet'!T52/10^9</f>
        <v>0.26920120267607206</v>
      </c>
      <c r="U63" s="2">
        <f>U8*'Output-Calculation-sheet'!U52/10^9</f>
        <v>0.18488439276152224</v>
      </c>
      <c r="V63" s="2">
        <f>V8*'Output-Calculation-sheet'!V52/10^9</f>
        <v>0.32812635667696094</v>
      </c>
      <c r="W63" s="2">
        <f>W8*'Output-Calculation-sheet'!W52/10^9</f>
        <v>0.1187665977241814</v>
      </c>
      <c r="X63" s="2">
        <f>X8*'Output-Calculation-sheet'!X52/10^9</f>
        <v>0.13669761399616559</v>
      </c>
      <c r="Y63" s="2">
        <f>Y8*'Output-Calculation-sheet'!Y52/10^9</f>
        <v>7.749182636659814E-2</v>
      </c>
      <c r="AA63" s="2">
        <f t="shared" si="4"/>
        <v>35.349303886400286</v>
      </c>
    </row>
    <row r="64" spans="1:27" x14ac:dyDescent="0.25">
      <c r="A64" s="2">
        <v>2032</v>
      </c>
      <c r="B64" s="2">
        <f>B9*'Output-Calculation-sheet'!B53/10^9</f>
        <v>9.1010338023233981</v>
      </c>
      <c r="C64" s="2">
        <f>C9*'Output-Calculation-sheet'!C53/10^9</f>
        <v>6.1444235692434912</v>
      </c>
      <c r="D64" s="2">
        <f>D9*'Output-Calculation-sheet'!D53/10^9</f>
        <v>2.6933578919622918</v>
      </c>
      <c r="E64" s="2">
        <f>E9*'Output-Calculation-sheet'!E53/10^9</f>
        <v>2.7581297958825135</v>
      </c>
      <c r="F64" s="2">
        <f>F9*'Output-Calculation-sheet'!F53/10^9</f>
        <v>1.163362829697308</v>
      </c>
      <c r="G64" s="2">
        <f>G9*'Output-Calculation-sheet'!G53/10^9</f>
        <v>0.82804519401286059</v>
      </c>
      <c r="H64" s="2">
        <f>H9*'Output-Calculation-sheet'!H53/10^9</f>
        <v>1.7014567677319399</v>
      </c>
      <c r="I64" s="2">
        <f>I9*'Output-Calculation-sheet'!I53/10^9</f>
        <v>0.7740870524366219</v>
      </c>
      <c r="J64" s="2">
        <f>J9*'Output-Calculation-sheet'!J53/10^9</f>
        <v>1.0247349753702195</v>
      </c>
      <c r="K64" s="2">
        <f>K9*'Output-Calculation-sheet'!K53/10^9</f>
        <v>0.95081219621683133</v>
      </c>
      <c r="L64" s="2">
        <f>L9*'Output-Calculation-sheet'!L53/10^9</f>
        <v>1.2232120141802143</v>
      </c>
      <c r="M64" s="2">
        <f>M9*'Output-Calculation-sheet'!M53/10^9</f>
        <v>1.3335114525548453</v>
      </c>
      <c r="N64" s="2">
        <f>N9*'Output-Calculation-sheet'!N53/10^9</f>
        <v>1.1225687481132514</v>
      </c>
      <c r="O64" s="2">
        <f>O9*'Output-Calculation-sheet'!O53/10^9</f>
        <v>1.2708228325787603</v>
      </c>
      <c r="P64" s="2">
        <f>P9*'Output-Calculation-sheet'!P53/10^9</f>
        <v>0.72491749862551569</v>
      </c>
      <c r="Q64" s="2">
        <f>Q9*'Output-Calculation-sheet'!Q53/10^9</f>
        <v>0.80115548890957522</v>
      </c>
      <c r="R64" s="2">
        <f>R9*'Output-Calculation-sheet'!R53/10^9</f>
        <v>0.68677851242735588</v>
      </c>
      <c r="S64" s="2">
        <f>S9*'Output-Calculation-sheet'!S53/10^9</f>
        <v>0.56743163353109694</v>
      </c>
      <c r="T64" s="2">
        <f>T9*'Output-Calculation-sheet'!T53/10^9</f>
        <v>0.24687899931756671</v>
      </c>
      <c r="U64" s="2">
        <f>U9*'Output-Calculation-sheet'!U53/10^9</f>
        <v>0.18582058624690836</v>
      </c>
      <c r="V64" s="2">
        <f>V9*'Output-Calculation-sheet'!V53/10^9</f>
        <v>0.29302877949776496</v>
      </c>
      <c r="W64" s="2">
        <f>W9*'Output-Calculation-sheet'!W53/10^9</f>
        <v>0.10888421283521352</v>
      </c>
      <c r="X64" s="2">
        <f>X9*'Output-Calculation-sheet'!X53/10^9</f>
        <v>0.14779568794840228</v>
      </c>
      <c r="Y64" s="2">
        <f>Y9*'Output-Calculation-sheet'!Y53/10^9</f>
        <v>7.6287820344042051E-2</v>
      </c>
      <c r="AA64" s="2">
        <f t="shared" si="4"/>
        <v>35.928538341987988</v>
      </c>
    </row>
    <row r="65" spans="1:27" x14ac:dyDescent="0.25">
      <c r="A65" s="2">
        <v>2033</v>
      </c>
      <c r="B65" s="2">
        <f>B10*'Output-Calculation-sheet'!B54/10^9</f>
        <v>9.4324896971594772</v>
      </c>
      <c r="C65" s="2">
        <f>C10*'Output-Calculation-sheet'!C54/10^9</f>
        <v>6.5992459044474119</v>
      </c>
      <c r="D65" s="2">
        <f>D10*'Output-Calculation-sheet'!D54/10^9</f>
        <v>2.2284233079764291</v>
      </c>
      <c r="E65" s="2">
        <f>E10*'Output-Calculation-sheet'!E54/10^9</f>
        <v>2.5091791616179129</v>
      </c>
      <c r="F65" s="2">
        <f>F10*'Output-Calculation-sheet'!F54/10^9</f>
        <v>1.01868379999034</v>
      </c>
      <c r="G65" s="2">
        <f>G10*'Output-Calculation-sheet'!G54/10^9</f>
        <v>0.69941857344034752</v>
      </c>
      <c r="H65" s="2">
        <f>H10*'Output-Calculation-sheet'!H54/10^9</f>
        <v>1.7284557530133196</v>
      </c>
      <c r="I65" s="2">
        <f>I10*'Output-Calculation-sheet'!I54/10^9</f>
        <v>0.68104267683247788</v>
      </c>
      <c r="J65" s="2">
        <f>J10*'Output-Calculation-sheet'!J54/10^9</f>
        <v>0.81399789691326041</v>
      </c>
      <c r="K65" s="2">
        <f>K10*'Output-Calculation-sheet'!K54/10^9</f>
        <v>0.86842792926290913</v>
      </c>
      <c r="L65" s="2">
        <f>L10*'Output-Calculation-sheet'!L54/10^9</f>
        <v>1.0257960255936724</v>
      </c>
      <c r="M65" s="2">
        <f>M10*'Output-Calculation-sheet'!M54/10^9</f>
        <v>1.3051096666079747</v>
      </c>
      <c r="N65" s="2">
        <f>N10*'Output-Calculation-sheet'!N54/10^9</f>
        <v>1.12698060481301</v>
      </c>
      <c r="O65" s="2">
        <f>O10*'Output-Calculation-sheet'!O54/10^9</f>
        <v>1.3499161309711165</v>
      </c>
      <c r="P65" s="2">
        <f>P10*'Output-Calculation-sheet'!P54/10^9</f>
        <v>0.73482000444320905</v>
      </c>
      <c r="Q65" s="2">
        <f>Q10*'Output-Calculation-sheet'!Q54/10^9</f>
        <v>0.80181260170470903</v>
      </c>
      <c r="R65" s="2">
        <f>R10*'Output-Calculation-sheet'!R54/10^9</f>
        <v>0.64690298198014717</v>
      </c>
      <c r="S65" s="2">
        <f>S10*'Output-Calculation-sheet'!S54/10^9</f>
        <v>0.58761759284569148</v>
      </c>
      <c r="T65" s="2">
        <f>T10*'Output-Calculation-sheet'!T54/10^9</f>
        <v>0.21628776618378659</v>
      </c>
      <c r="U65" s="2">
        <f>U10*'Output-Calculation-sheet'!U54/10^9</f>
        <v>0.18675826993716663</v>
      </c>
      <c r="V65" s="2">
        <f>V10*'Output-Calculation-sheet'!V54/10^9</f>
        <v>0.23935506090576336</v>
      </c>
      <c r="W65" s="2">
        <f>W10*'Output-Calculation-sheet'!W54/10^9</f>
        <v>9.1131474233307599E-2</v>
      </c>
      <c r="X65" s="2">
        <f>X10*'Output-Calculation-sheet'!X54/10^9</f>
        <v>0.15010386952912361</v>
      </c>
      <c r="Y65" s="2">
        <f>Y10*'Output-Calculation-sheet'!Y54/10^9</f>
        <v>7.5006088024013817E-2</v>
      </c>
      <c r="AA65" s="2">
        <f t="shared" si="4"/>
        <v>35.116962838426581</v>
      </c>
    </row>
    <row r="66" spans="1:27" x14ac:dyDescent="0.25">
      <c r="A66" s="2">
        <v>2034</v>
      </c>
      <c r="B66" s="2">
        <f>B11*'Output-Calculation-sheet'!B55/10^9</f>
        <v>9.5578984814958989</v>
      </c>
      <c r="C66" s="2">
        <f>C11*'Output-Calculation-sheet'!C55/10^9</f>
        <v>6.7664270958707151</v>
      </c>
      <c r="D66" s="2">
        <f>D11*'Output-Calculation-sheet'!D55/10^9</f>
        <v>1.9993434644534924</v>
      </c>
      <c r="E66" s="2">
        <f>E11*'Output-Calculation-sheet'!E55/10^9</f>
        <v>2.4208815377827686</v>
      </c>
      <c r="F66" s="2">
        <f>F11*'Output-Calculation-sheet'!F55/10^9</f>
        <v>0.9303874396375813</v>
      </c>
      <c r="G66" s="2">
        <f>G11*'Output-Calculation-sheet'!G55/10^9</f>
        <v>0.66502801688909696</v>
      </c>
      <c r="H66" s="2">
        <f>H11*'Output-Calculation-sheet'!H55/10^9</f>
        <v>1.7078308486544811</v>
      </c>
      <c r="I66" s="2">
        <f>I11*'Output-Calculation-sheet'!I55/10^9</f>
        <v>0.6503772165449756</v>
      </c>
      <c r="J66" s="2">
        <f>J11*'Output-Calculation-sheet'!J55/10^9</f>
        <v>0.66873835754877919</v>
      </c>
      <c r="K66" s="2">
        <f>K11*'Output-Calculation-sheet'!K55/10^9</f>
        <v>0.79989373711350809</v>
      </c>
      <c r="L66" s="2">
        <f>L11*'Output-Calculation-sheet'!L55/10^9</f>
        <v>0.84707744378755501</v>
      </c>
      <c r="M66" s="2">
        <f>M11*'Output-Calculation-sheet'!M55/10^9</f>
        <v>1.231735993367373</v>
      </c>
      <c r="N66" s="2">
        <f>N11*'Output-Calculation-sheet'!N55/10^9</f>
        <v>1.076208788461178</v>
      </c>
      <c r="O66" s="2">
        <f>O11*'Output-Calculation-sheet'!O55/10^9</f>
        <v>1.3582751449354344</v>
      </c>
      <c r="P66" s="2">
        <f>P11*'Output-Calculation-sheet'!P55/10^9</f>
        <v>0.73978701659804846</v>
      </c>
      <c r="Q66" s="2">
        <f>Q11*'Output-Calculation-sheet'!Q55/10^9</f>
        <v>0.80761556685393654</v>
      </c>
      <c r="R66" s="2">
        <f>R11*'Output-Calculation-sheet'!R55/10^9</f>
        <v>0.59918245978296159</v>
      </c>
      <c r="S66" s="2">
        <f>S11*'Output-Calculation-sheet'!S55/10^9</f>
        <v>0.58957124196836186</v>
      </c>
      <c r="T66" s="2">
        <f>T11*'Output-Calculation-sheet'!T55/10^9</f>
        <v>0.18781070685880455</v>
      </c>
      <c r="U66" s="2">
        <f>U11*'Output-Calculation-sheet'!U55/10^9</f>
        <v>0.19175562203823637</v>
      </c>
      <c r="V66" s="2">
        <f>V11*'Output-Calculation-sheet'!V55/10^9</f>
        <v>0.17816626868456104</v>
      </c>
      <c r="W66" s="2">
        <f>W11*'Output-Calculation-sheet'!W55/10^9</f>
        <v>8.0673593866031484E-2</v>
      </c>
      <c r="X66" s="2">
        <f>X11*'Output-Calculation-sheet'!X55/10^9</f>
        <v>0.15302730542038834</v>
      </c>
      <c r="Y66" s="2">
        <f>Y11*'Output-Calculation-sheet'!Y55/10^9</f>
        <v>7.916323364458544E-2</v>
      </c>
      <c r="AA66" s="2">
        <f t="shared" si="4"/>
        <v>34.28685658225875</v>
      </c>
    </row>
    <row r="67" spans="1:27" x14ac:dyDescent="0.25">
      <c r="A67" s="2">
        <v>2035</v>
      </c>
      <c r="B67" s="2">
        <f>B12*'Output-Calculation-sheet'!B56/10^9</f>
        <v>9.7868892174234663</v>
      </c>
      <c r="C67" s="2">
        <f>C12*'Output-Calculation-sheet'!C56/10^9</f>
        <v>6.5682199531694883</v>
      </c>
      <c r="D67" s="2">
        <f>D12*'Output-Calculation-sheet'!D56/10^9</f>
        <v>2.1476781516580092</v>
      </c>
      <c r="E67" s="2">
        <f>E12*'Output-Calculation-sheet'!E56/10^9</f>
        <v>2.7334658585873282</v>
      </c>
      <c r="F67" s="2">
        <f>F12*'Output-Calculation-sheet'!F56/10^9</f>
        <v>1.0627828691053529</v>
      </c>
      <c r="G67" s="2">
        <f>G12*'Output-Calculation-sheet'!G56/10^9</f>
        <v>0.78130480650019174</v>
      </c>
      <c r="H67" s="2">
        <f>H12*'Output-Calculation-sheet'!H56/10^9</f>
        <v>1.7264055252377632</v>
      </c>
      <c r="I67" s="2">
        <f>I12*'Output-Calculation-sheet'!I56/10^9</f>
        <v>0.73710803181654916</v>
      </c>
      <c r="J67" s="2">
        <f>J12*'Output-Calculation-sheet'!J56/10^9</f>
        <v>0.68498066161018245</v>
      </c>
      <c r="K67" s="2">
        <f>K12*'Output-Calculation-sheet'!K56/10^9</f>
        <v>0.84117027450179904</v>
      </c>
      <c r="L67" s="2">
        <f>L12*'Output-Calculation-sheet'!L56/10^9</f>
        <v>0.80620285488930121</v>
      </c>
      <c r="M67" s="2">
        <f>M12*'Output-Calculation-sheet'!M56/10^9</f>
        <v>1.2410243220510757</v>
      </c>
      <c r="N67" s="2">
        <f>N12*'Output-Calculation-sheet'!N56/10^9</f>
        <v>1.0604125100113146</v>
      </c>
      <c r="O67" s="2">
        <f>O12*'Output-Calculation-sheet'!O56/10^9</f>
        <v>1.2938334843971264</v>
      </c>
      <c r="P67" s="2">
        <f>P12*'Output-Calculation-sheet'!P56/10^9</f>
        <v>0.81223755705772904</v>
      </c>
      <c r="Q67" s="2">
        <f>Q12*'Output-Calculation-sheet'!Q56/10^9</f>
        <v>0.81628050790050455</v>
      </c>
      <c r="R67" s="2">
        <f>R12*'Output-Calculation-sheet'!R56/10^9</f>
        <v>0.62015823510815271</v>
      </c>
      <c r="S67" s="2">
        <f>S12*'Output-Calculation-sheet'!S56/10^9</f>
        <v>0.59106962661953999</v>
      </c>
      <c r="T67" s="2">
        <f>T12*'Output-Calculation-sheet'!T56/10^9</f>
        <v>0.19014616979331903</v>
      </c>
      <c r="U67" s="2">
        <f>U12*'Output-Calculation-sheet'!U56/10^9</f>
        <v>0.20425897007560301</v>
      </c>
      <c r="V67" s="2">
        <f>V12*'Output-Calculation-sheet'!V56/10^9</f>
        <v>0.14605818619484121</v>
      </c>
      <c r="W67" s="2">
        <f>W12*'Output-Calculation-sheet'!W56/10^9</f>
        <v>9.6864171604781044E-2</v>
      </c>
      <c r="X67" s="2">
        <f>X12*'Output-Calculation-sheet'!X56/10^9</f>
        <v>0.15467518544588724</v>
      </c>
      <c r="Y67" s="2">
        <f>Y12*'Output-Calculation-sheet'!Y56/10^9</f>
        <v>9.1660897598697083E-2</v>
      </c>
      <c r="AA67" s="2">
        <f t="shared" si="4"/>
        <v>35.194888028357994</v>
      </c>
    </row>
    <row r="68" spans="1:27" x14ac:dyDescent="0.25">
      <c r="B68" s="2">
        <f>SUM(B60:B67)</f>
        <v>66.361516119494496</v>
      </c>
      <c r="C68" s="2">
        <f t="shared" ref="C68:Y68" si="5">SUM(C60:C67)</f>
        <v>42.03019546607063</v>
      </c>
      <c r="D68" s="2">
        <f t="shared" si="5"/>
        <v>19.816368036666116</v>
      </c>
      <c r="E68" s="2">
        <f t="shared" si="5"/>
        <v>21.042608154338254</v>
      </c>
      <c r="F68" s="2">
        <f t="shared" si="5"/>
        <v>8.6037510886364501</v>
      </c>
      <c r="G68" s="2">
        <f t="shared" si="5"/>
        <v>6.1854215628922606</v>
      </c>
      <c r="H68" s="2">
        <f t="shared" si="5"/>
        <v>11.702260203956047</v>
      </c>
      <c r="I68" s="2">
        <f t="shared" si="5"/>
        <v>5.8175325884733748</v>
      </c>
      <c r="J68" s="2">
        <f t="shared" si="5"/>
        <v>7.4202877809210861</v>
      </c>
      <c r="K68" s="2">
        <f t="shared" si="5"/>
        <v>7.0626078849064848</v>
      </c>
      <c r="L68" s="2">
        <f t="shared" si="5"/>
        <v>8.9117460690754342</v>
      </c>
      <c r="M68" s="2">
        <f t="shared" si="5"/>
        <v>9.1876412862899937</v>
      </c>
      <c r="N68" s="2">
        <f t="shared" si="5"/>
        <v>7.8813202166666478</v>
      </c>
      <c r="O68" s="2">
        <f t="shared" si="5"/>
        <v>8.5996714696619758</v>
      </c>
      <c r="P68" s="2">
        <f t="shared" si="5"/>
        <v>5.3558627840364856</v>
      </c>
      <c r="Q68" s="2">
        <f t="shared" si="5"/>
        <v>5.895875261132276</v>
      </c>
      <c r="R68" s="2">
        <f t="shared" si="5"/>
        <v>5.0640638312560284</v>
      </c>
      <c r="S68" s="2">
        <f t="shared" si="5"/>
        <v>4.0397883654200344</v>
      </c>
      <c r="T68" s="2">
        <f t="shared" si="5"/>
        <v>1.8161016156599958</v>
      </c>
      <c r="U68" s="2">
        <f t="shared" si="5"/>
        <v>1.415116510577954</v>
      </c>
      <c r="V68" s="2">
        <f t="shared" si="5"/>
        <v>2.0777561983720161</v>
      </c>
      <c r="W68" s="2">
        <f t="shared" si="5"/>
        <v>0.80546901212065358</v>
      </c>
      <c r="X68" s="2">
        <f t="shared" si="5"/>
        <v>1.027922090879358</v>
      </c>
      <c r="Y68" s="2">
        <f t="shared" si="5"/>
        <v>0.59452928565742036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7160.5402417454197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1763.4877802599326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1158.4576049916525</v>
      </c>
      <c r="N74" s="2">
        <f>N8/'Output-Calculation-sheet'!N7*'Output-Calculation-sheet'!N61</f>
        <v>48.553006429242721</v>
      </c>
      <c r="O74" s="2">
        <f>O8/'Output-Calculation-sheet'!O7*'Output-Calculation-sheet'!O61</f>
        <v>1431.67023056371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143.95499613346817</v>
      </c>
      <c r="Y74" s="2">
        <f>Y8/'Output-Calculation-sheet'!Y7*'Output-Calculation-sheet'!Y61</f>
        <v>0</v>
      </c>
      <c r="AA74" s="2">
        <f t="shared" si="6"/>
        <v>11.706663860123426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12136.55027874673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3011.5597641616378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2043.4500598974334</v>
      </c>
      <c r="N75" s="2">
        <f>N9/'Output-Calculation-sheet'!N8*'Output-Calculation-sheet'!N62</f>
        <v>789.86715432014739</v>
      </c>
      <c r="O75" s="2">
        <f>O9/'Output-Calculation-sheet'!O8*'Output-Calculation-sheet'!O62</f>
        <v>2399.0049872291011</v>
      </c>
      <c r="P75" s="2">
        <f>P9/'Output-Calculation-sheet'!P8*'Output-Calculation-sheet'!P62</f>
        <v>52.880360902718259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264.66544701025487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246.1796802559065</v>
      </c>
      <c r="Y75" s="2">
        <f>Y9/'Output-Calculation-sheet'!Y8*'Output-Calculation-sheet'!Y62</f>
        <v>0</v>
      </c>
      <c r="AA75" s="2">
        <f t="shared" si="6"/>
        <v>20.944157732523934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14649.568221009758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4311.1073926475092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2935.2459787194966</v>
      </c>
      <c r="N76" s="2">
        <f>N10/'Output-Calculation-sheet'!N9*'Output-Calculation-sheet'!N63</f>
        <v>1679.7412983377233</v>
      </c>
      <c r="O76" s="2">
        <f>O10/'Output-Calculation-sheet'!O9*'Output-Calculation-sheet'!O63</f>
        <v>2593.5670543686097</v>
      </c>
      <c r="P76" s="2">
        <f>P10/'Output-Calculation-sheet'!P9*'Output-Calculation-sheet'!P63</f>
        <v>582.63838399075269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438.32238786051408</v>
      </c>
      <c r="S76" s="2">
        <f>S10/'Output-Calculation-sheet'!S9*'Output-Calculation-sheet'!S63</f>
        <v>744.8388560582739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155.2457189158628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345.69288786508872</v>
      </c>
      <c r="Y76" s="2">
        <f>Y10/'Output-Calculation-sheet'!Y9*'Output-Calculation-sheet'!Y63</f>
        <v>6.5577532558606864</v>
      </c>
      <c r="AA76" s="2">
        <f t="shared" si="6"/>
        <v>35.457362946693152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14471.2256070485</v>
      </c>
      <c r="D77" s="2">
        <f>D11/'Output-Calculation-sheet'!D10*'Output-Calculation-sheet'!D64</f>
        <v>1976.1634528766531</v>
      </c>
      <c r="E77" s="2">
        <f>E11/'Output-Calculation-sheet'!E10*'Output-Calculation-sheet'!E64</f>
        <v>2402.0659388702002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1026.3639051276782</v>
      </c>
      <c r="H77" s="2">
        <f>H11/'Output-Calculation-sheet'!H10*'Output-Calculation-sheet'!H64</f>
        <v>5453.9376027422904</v>
      </c>
      <c r="I77" s="2">
        <f>I11/'Output-Calculation-sheet'!I10*'Output-Calculation-sheet'!I64</f>
        <v>612.04830498747765</v>
      </c>
      <c r="J77" s="2">
        <f>J11/'Output-Calculation-sheet'!J10*'Output-Calculation-sheet'!J64</f>
        <v>414.01051884865785</v>
      </c>
      <c r="K77" s="2">
        <f>K11/'Output-Calculation-sheet'!K10*'Output-Calculation-sheet'!K64</f>
        <v>931.11332133187796</v>
      </c>
      <c r="L77" s="2">
        <f>L11/'Output-Calculation-sheet'!L10*'Output-Calculation-sheet'!L64</f>
        <v>390.05447649631481</v>
      </c>
      <c r="M77" s="2">
        <f>M11/'Output-Calculation-sheet'!M10*'Output-Calculation-sheet'!M64</f>
        <v>3668.117709687413</v>
      </c>
      <c r="N77" s="2">
        <f>N11/'Output-Calculation-sheet'!N10*'Output-Calculation-sheet'!N64</f>
        <v>2582.584475875668</v>
      </c>
      <c r="O77" s="2">
        <f>O11/'Output-Calculation-sheet'!O10*'Output-Calculation-sheet'!O64</f>
        <v>2678.2911102324933</v>
      </c>
      <c r="P77" s="2">
        <f>P11/'Output-Calculation-sheet'!P10*'Output-Calculation-sheet'!P64</f>
        <v>1139.8902687955895</v>
      </c>
      <c r="Q77" s="2">
        <f>Q11/'Output-Calculation-sheet'!Q10*'Output-Calculation-sheet'!Q64</f>
        <v>1024.9077458572415</v>
      </c>
      <c r="R77" s="2">
        <f>R11/'Output-Calculation-sheet'!R10*'Output-Calculation-sheet'!R64</f>
        <v>975.75345005219151</v>
      </c>
      <c r="S77" s="2">
        <f>S11/'Output-Calculation-sheet'!S10*'Output-Calculation-sheet'!S64</f>
        <v>1298.6919735147192</v>
      </c>
      <c r="T77" s="2">
        <f>T11/'Output-Calculation-sheet'!T10*'Output-Calculation-sheet'!T64</f>
        <v>268.36066572640789</v>
      </c>
      <c r="U77" s="2">
        <f>U11/'Output-Calculation-sheet'!U10*'Output-Calculation-sheet'!U64</f>
        <v>356.67563988013279</v>
      </c>
      <c r="V77" s="2">
        <f>V11/'Output-Calculation-sheet'!V10*'Output-Calculation-sheet'!V64</f>
        <v>138.75579401025911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381.65614694630744</v>
      </c>
      <c r="Y77" s="2">
        <f>Y11/'Output-Calculation-sheet'!Y10*'Output-Calculation-sheet'!Y64</f>
        <v>89.307661454347894</v>
      </c>
      <c r="AA77" s="2">
        <f t="shared" si="6"/>
        <v>58.288868546084892</v>
      </c>
    </row>
    <row r="78" spans="1:27" x14ac:dyDescent="0.25">
      <c r="A78" s="2">
        <v>2035</v>
      </c>
      <c r="B78" s="2">
        <f>B12/'Output-Calculation-sheet'!B11*'Output-Calculation-sheet'!B65</f>
        <v>19075.810629729189</v>
      </c>
      <c r="C78" s="2">
        <f>C12/'Output-Calculation-sheet'!C11*'Output-Calculation-sheet'!C65</f>
        <v>13939.643608750088</v>
      </c>
      <c r="D78" s="2">
        <f>D12/'Output-Calculation-sheet'!D11*'Output-Calculation-sheet'!D65</f>
        <v>3581.3487097596867</v>
      </c>
      <c r="E78" s="2">
        <f>E12/'Output-Calculation-sheet'!E11*'Output-Calculation-sheet'!E65</f>
        <v>4482.6487058480743</v>
      </c>
      <c r="F78" s="2">
        <f>F12/'Output-Calculation-sheet'!F11*'Output-Calculation-sheet'!F65</f>
        <v>896.13695625910748</v>
      </c>
      <c r="G78" s="2">
        <f>G12/'Output-Calculation-sheet'!G11*'Output-Calculation-sheet'!G65</f>
        <v>1647.2677227553093</v>
      </c>
      <c r="H78" s="2">
        <f>H12/'Output-Calculation-sheet'!H11*'Output-Calculation-sheet'!H65</f>
        <v>5208.2012290584144</v>
      </c>
      <c r="I78" s="2">
        <f>I12/'Output-Calculation-sheet'!I11*'Output-Calculation-sheet'!I65</f>
        <v>1196.2232993709224</v>
      </c>
      <c r="J78" s="2">
        <f>J12/'Output-Calculation-sheet'!J11*'Output-Calculation-sheet'!J65</f>
        <v>1156.7663410421858</v>
      </c>
      <c r="K78" s="2">
        <f>K12/'Output-Calculation-sheet'!K11*'Output-Calculation-sheet'!K65</f>
        <v>1449.2237933422668</v>
      </c>
      <c r="L78" s="2">
        <f>L12/'Output-Calculation-sheet'!L11*'Output-Calculation-sheet'!L65</f>
        <v>1068.5118861655119</v>
      </c>
      <c r="M78" s="2">
        <f>M12/'Output-Calculation-sheet'!M11*'Output-Calculation-sheet'!M65</f>
        <v>3802.7434989832036</v>
      </c>
      <c r="N78" s="2">
        <f>N12/'Output-Calculation-sheet'!N11*'Output-Calculation-sheet'!N65</f>
        <v>2711.5039419904042</v>
      </c>
      <c r="O78" s="2">
        <f>O12/'Output-Calculation-sheet'!O11*'Output-Calculation-sheet'!O65</f>
        <v>2559.5796818589756</v>
      </c>
      <c r="P78" s="2">
        <f>P12/'Output-Calculation-sheet'!P11*'Output-Calculation-sheet'!P65</f>
        <v>1477.1577380293597</v>
      </c>
      <c r="Q78" s="2">
        <f>Q12/'Output-Calculation-sheet'!Q11*'Output-Calculation-sheet'!Q65</f>
        <v>1254.2490690195214</v>
      </c>
      <c r="R78" s="2">
        <f>R12/'Output-Calculation-sheet'!R11*'Output-Calculation-sheet'!R65</f>
        <v>1239.5962038811319</v>
      </c>
      <c r="S78" s="2">
        <f>S12/'Output-Calculation-sheet'!S11*'Output-Calculation-sheet'!S65</f>
        <v>1434.1903106321097</v>
      </c>
      <c r="T78" s="2">
        <f>T12/'Output-Calculation-sheet'!T11*'Output-Calculation-sheet'!T65</f>
        <v>447.45981844013858</v>
      </c>
      <c r="U78" s="2">
        <f>U12/'Output-Calculation-sheet'!U11*'Output-Calculation-sheet'!U65</f>
        <v>374.39037292529451</v>
      </c>
      <c r="V78" s="2">
        <f>V12/'Output-Calculation-sheet'!V11*'Output-Calculation-sheet'!V65</f>
        <v>227.75452052961055</v>
      </c>
      <c r="W78" s="2">
        <f>W12/'Output-Calculation-sheet'!W11*'Output-Calculation-sheet'!W65</f>
        <v>159.030596061838</v>
      </c>
      <c r="X78" s="2">
        <f>X12/'Output-Calculation-sheet'!X11*'Output-Calculation-sheet'!X65</f>
        <v>367.54122997387856</v>
      </c>
      <c r="Y78" s="2">
        <f>Y12/'Output-Calculation-sheet'!Y11*'Output-Calculation-sheet'!Y65</f>
        <v>172.43507482476758</v>
      </c>
      <c r="AA78" s="2">
        <f t="shared" si="6"/>
        <v>69.929414939230995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244.00696599641486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71.105983724830281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0.31511294972124515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723.09127102625791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140.47718115805864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2.8004061088175414</v>
      </c>
      <c r="Y88" s="2">
        <f>Y11/'Output-Calculation-sheet'!Y10*'Output-Calculation-sheet'!Y73</f>
        <v>0</v>
      </c>
      <c r="AA88" s="2">
        <f t="shared" si="7"/>
        <v>0.86636885829313415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1128.5515964272483</v>
      </c>
      <c r="D89" s="2">
        <f>D12/'Output-Calculation-sheet'!D11*'Output-Calculation-sheet'!D74</f>
        <v>99.970654024109166</v>
      </c>
      <c r="E89" s="2">
        <f>E12/'Output-Calculation-sheet'!E11*'Output-Calculation-sheet'!E74</f>
        <v>158.9000090692499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104.22099872713912</v>
      </c>
      <c r="I89" s="2">
        <f>I12/'Output-Calculation-sheet'!I11*'Output-Calculation-sheet'!I74</f>
        <v>32.255387460791738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31.701968616665944</v>
      </c>
      <c r="L89" s="2">
        <f>L12/'Output-Calculation-sheet'!L11*'Output-Calculation-sheet'!L74</f>
        <v>25.207886339660089</v>
      </c>
      <c r="M89" s="2">
        <f>M12/'Output-Calculation-sheet'!M11*'Output-Calculation-sheet'!M74</f>
        <v>47.809497155290181</v>
      </c>
      <c r="N89" s="2">
        <f>N12/'Output-Calculation-sheet'!N11*'Output-Calculation-sheet'!N74</f>
        <v>46.989064067072249</v>
      </c>
      <c r="O89" s="2">
        <f>O12/'Output-Calculation-sheet'!O11*'Output-Calculation-sheet'!O74</f>
        <v>197.32249311939611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41.169489062038089</v>
      </c>
      <c r="R89" s="2">
        <f>R12/'Output-Calculation-sheet'!R11*'Output-Calculation-sheet'!R74</f>
        <v>20.413612474163955</v>
      </c>
      <c r="S89" s="2">
        <f>S12/'Output-Calculation-sheet'!S11*'Output-Calculation-sheet'!S74</f>
        <v>26.935680545255135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13.135582517903815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10.489639395918163</v>
      </c>
      <c r="Y89" s="2">
        <f>Y12/'Output-Calculation-sheet'!Y11*'Output-Calculation-sheet'!Y74</f>
        <v>5.061348288026287</v>
      </c>
      <c r="AA89" s="2">
        <f t="shared" si="7"/>
        <v>2.6797182260192609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13992888924.308432</v>
      </c>
      <c r="C96" s="2">
        <f>C8/'Output-Calculation-sheet'!C7*'Output-Calculation-sheet'!C79</f>
        <v>4733857918.4797716</v>
      </c>
      <c r="D96" s="2">
        <f>D8/'Output-Calculation-sheet'!D7*'Output-Calculation-sheet'!D79</f>
        <v>4941835905.9046555</v>
      </c>
      <c r="E96" s="2">
        <f>E8/'Output-Calculation-sheet'!E7*'Output-Calculation-sheet'!E79</f>
        <v>8786163468.4645576</v>
      </c>
      <c r="F96" s="2">
        <f>F8/'Output-Calculation-sheet'!F7*'Output-Calculation-sheet'!F79</f>
        <v>3636506479.0046096</v>
      </c>
      <c r="G96" s="2">
        <f>G8/'Output-Calculation-sheet'!G7*'Output-Calculation-sheet'!G79</f>
        <v>2832539526.3832641</v>
      </c>
      <c r="H96" s="2">
        <f>H8/'Output-Calculation-sheet'!H7*'Output-Calculation-sheet'!H79</f>
        <v>2424493866.0601563</v>
      </c>
      <c r="I96" s="2">
        <f>I8/'Output-Calculation-sheet'!I7*'Output-Calculation-sheet'!I79</f>
        <v>1973164915.1934073</v>
      </c>
      <c r="J96" s="2">
        <f>J8/'Output-Calculation-sheet'!J7*'Output-Calculation-sheet'!J79</f>
        <v>1334305081.4362004</v>
      </c>
      <c r="K96" s="2">
        <f>K8/'Output-Calculation-sheet'!K7*'Output-Calculation-sheet'!K79</f>
        <v>1908992541.741622</v>
      </c>
      <c r="L96" s="2">
        <f>L8/'Output-Calculation-sheet'!L7*'Output-Calculation-sheet'!L79</f>
        <v>1346983476.3829672</v>
      </c>
      <c r="M96" s="2">
        <f>M8/'Output-Calculation-sheet'!M7*'Output-Calculation-sheet'!M79</f>
        <v>1809837780.9342129</v>
      </c>
      <c r="N96" s="2">
        <f>N8/'Output-Calculation-sheet'!N7*'Output-Calculation-sheet'!N79</f>
        <v>1346663448.4529917</v>
      </c>
      <c r="O96" s="2">
        <f>O8/'Output-Calculation-sheet'!O7*'Output-Calculation-sheet'!O79</f>
        <v>680784496.73198962</v>
      </c>
      <c r="P96" s="2">
        <f>P8/'Output-Calculation-sheet'!P7*'Output-Calculation-sheet'!P79</f>
        <v>2277081357.489758</v>
      </c>
      <c r="Q96" s="2">
        <f>Q8/'Output-Calculation-sheet'!Q7*'Output-Calculation-sheet'!Q79</f>
        <v>1061217309.0573778</v>
      </c>
      <c r="R96" s="2">
        <f>R8/'Output-Calculation-sheet'!R7*'Output-Calculation-sheet'!R79</f>
        <v>1323994743.9980447</v>
      </c>
      <c r="S96" s="2">
        <f>S8/'Output-Calculation-sheet'!S7*'Output-Calculation-sheet'!S79</f>
        <v>771470293.02722907</v>
      </c>
      <c r="T96" s="2">
        <f>T8/'Output-Calculation-sheet'!T7*'Output-Calculation-sheet'!T79</f>
        <v>589225701.29145002</v>
      </c>
      <c r="U96" s="2">
        <f>U8/'Output-Calculation-sheet'!U7*'Output-Calculation-sheet'!U79</f>
        <v>370136441.92868674</v>
      </c>
      <c r="V96" s="2">
        <f>V8/'Output-Calculation-sheet'!V7*'Output-Calculation-sheet'!V79</f>
        <v>192046087.74593213</v>
      </c>
      <c r="W96" s="2">
        <f>W8/'Output-Calculation-sheet'!W7*'Output-Calculation-sheet'!W79</f>
        <v>567480619.57821476</v>
      </c>
      <c r="X96" s="2">
        <f>X8/'Output-Calculation-sheet'!X7*'Output-Calculation-sheet'!X79</f>
        <v>199453378.36020675</v>
      </c>
      <c r="Y96" s="2">
        <f>Y8/'Output-Calculation-sheet'!Y7*'Output-Calculation-sheet'!Y79</f>
        <v>311942333.4752273</v>
      </c>
      <c r="AA96" s="2">
        <f t="shared" si="8"/>
        <v>59.413066095430977</v>
      </c>
    </row>
    <row r="97" spans="1:27" x14ac:dyDescent="0.25">
      <c r="A97" s="2">
        <v>2032</v>
      </c>
      <c r="B97" s="2">
        <f>B9/'Output-Calculation-sheet'!B8*'Output-Calculation-sheet'!B80</f>
        <v>19301537525.051003</v>
      </c>
      <c r="C97" s="2">
        <f>C9/'Output-Calculation-sheet'!C8*'Output-Calculation-sheet'!C80</f>
        <v>6574207720.6086988</v>
      </c>
      <c r="D97" s="2">
        <f>D9/'Output-Calculation-sheet'!D8*'Output-Calculation-sheet'!D80</f>
        <v>6550558040.2586803</v>
      </c>
      <c r="E97" s="2">
        <f>E9/'Output-Calculation-sheet'!E8*'Output-Calculation-sheet'!E80</f>
        <v>11979990681.170038</v>
      </c>
      <c r="F97" s="2">
        <f>F9/'Output-Calculation-sheet'!F8*'Output-Calculation-sheet'!F80</f>
        <v>4948935120.7537327</v>
      </c>
      <c r="G97" s="2">
        <f>G9/'Output-Calculation-sheet'!G8*'Output-Calculation-sheet'!G80</f>
        <v>3746071990.2631602</v>
      </c>
      <c r="H97" s="2">
        <f>H9/'Output-Calculation-sheet'!H8*'Output-Calculation-sheet'!H80</f>
        <v>3295786711.4189963</v>
      </c>
      <c r="I97" s="2">
        <f>I9/'Output-Calculation-sheet'!I8*'Output-Calculation-sheet'!I80</f>
        <v>2711090427.106442</v>
      </c>
      <c r="J97" s="2">
        <f>J9/'Output-Calculation-sheet'!J8*'Output-Calculation-sheet'!J80</f>
        <v>1782291721.0207207</v>
      </c>
      <c r="K97" s="2">
        <f>K9/'Output-Calculation-sheet'!K8*'Output-Calculation-sheet'!K80</f>
        <v>2569549033.6592708</v>
      </c>
      <c r="L97" s="2">
        <f>L9/'Output-Calculation-sheet'!L8*'Output-Calculation-sheet'!L80</f>
        <v>1870206046.473449</v>
      </c>
      <c r="M97" s="2">
        <f>M9/'Output-Calculation-sheet'!M8*'Output-Calculation-sheet'!M80</f>
        <v>2467527647.9442883</v>
      </c>
      <c r="N97" s="2">
        <f>N9/'Output-Calculation-sheet'!N8*'Output-Calculation-sheet'!N80</f>
        <v>1802858859.0693231</v>
      </c>
      <c r="O97" s="2">
        <f>O9/'Output-Calculation-sheet'!O8*'Output-Calculation-sheet'!O80</f>
        <v>932681096.74236357</v>
      </c>
      <c r="P97" s="2">
        <f>P9/'Output-Calculation-sheet'!P8*'Output-Calculation-sheet'!P80</f>
        <v>3051557167.2616491</v>
      </c>
      <c r="Q97" s="2">
        <f>Q9/'Output-Calculation-sheet'!Q8*'Output-Calculation-sheet'!Q80</f>
        <v>1427401424.1233113</v>
      </c>
      <c r="R97" s="2">
        <f>R9/'Output-Calculation-sheet'!R8*'Output-Calculation-sheet'!R80</f>
        <v>1803518061.5643034</v>
      </c>
      <c r="S97" s="2">
        <f>S9/'Output-Calculation-sheet'!S8*'Output-Calculation-sheet'!S80</f>
        <v>1046756664.1716226</v>
      </c>
      <c r="T97" s="2">
        <f>T9/'Output-Calculation-sheet'!T8*'Output-Calculation-sheet'!T80</f>
        <v>788244581.58135962</v>
      </c>
      <c r="U97" s="2">
        <f>U9/'Output-Calculation-sheet'!U8*'Output-Calculation-sheet'!U80</f>
        <v>503919107.83801961</v>
      </c>
      <c r="V97" s="2">
        <f>V9/'Output-Calculation-sheet'!V8*'Output-Calculation-sheet'!V80</f>
        <v>264225148.8526713</v>
      </c>
      <c r="W97" s="2">
        <f>W9/'Output-Calculation-sheet'!W8*'Output-Calculation-sheet'!W80</f>
        <v>765201136.45208597</v>
      </c>
      <c r="X97" s="2">
        <f>X9/'Output-Calculation-sheet'!X8*'Output-Calculation-sheet'!X80</f>
        <v>274781051.07274097</v>
      </c>
      <c r="Y97" s="2">
        <f>Y9/'Output-Calculation-sheet'!Y8*'Output-Calculation-sheet'!Y80</f>
        <v>420604075.92182332</v>
      </c>
      <c r="AA97" s="2">
        <f t="shared" si="8"/>
        <v>80.879501040379751</v>
      </c>
    </row>
    <row r="98" spans="1:27" x14ac:dyDescent="0.25">
      <c r="A98" s="2">
        <v>2033</v>
      </c>
      <c r="B98" s="2">
        <f>B10/'Output-Calculation-sheet'!B9*'Output-Calculation-sheet'!B81</f>
        <v>24120685107.037418</v>
      </c>
      <c r="C98" s="2">
        <f>C10/'Output-Calculation-sheet'!C9*'Output-Calculation-sheet'!C81</f>
        <v>8269766968.2068138</v>
      </c>
      <c r="D98" s="2">
        <f>D10/'Output-Calculation-sheet'!D9*'Output-Calculation-sheet'!D81</f>
        <v>7870299385.4916878</v>
      </c>
      <c r="E98" s="2">
        <f>E10/'Output-Calculation-sheet'!E9*'Output-Calculation-sheet'!E81</f>
        <v>14804528341.191778</v>
      </c>
      <c r="F98" s="2">
        <f>F10/'Output-Calculation-sheet'!F9*'Output-Calculation-sheet'!F81</f>
        <v>6105745329.3865757</v>
      </c>
      <c r="G98" s="2">
        <f>G10/'Output-Calculation-sheet'!G9*'Output-Calculation-sheet'!G81</f>
        <v>4483025032.9359493</v>
      </c>
      <c r="H98" s="2">
        <f>H10/'Output-Calculation-sheet'!H9*'Output-Calculation-sheet'!H81</f>
        <v>4061657307.2571025</v>
      </c>
      <c r="I98" s="2">
        <f>I10/'Output-Calculation-sheet'!I9*'Output-Calculation-sheet'!I81</f>
        <v>3376436329.3184185</v>
      </c>
      <c r="J98" s="2">
        <f>J10/'Output-Calculation-sheet'!J9*'Output-Calculation-sheet'!J81</f>
        <v>2158978490.8952098</v>
      </c>
      <c r="K98" s="2">
        <f>K10/'Output-Calculation-sheet'!K9*'Output-Calculation-sheet'!K81</f>
        <v>3136001876.3063335</v>
      </c>
      <c r="L98" s="2">
        <f>L10/'Output-Calculation-sheet'!L9*'Output-Calculation-sheet'!L81</f>
        <v>2352048349.6023211</v>
      </c>
      <c r="M98" s="2">
        <f>M10/'Output-Calculation-sheet'!M9*'Output-Calculation-sheet'!M81</f>
        <v>3050134104.0174603</v>
      </c>
      <c r="N98" s="2">
        <f>N10/'Output-Calculation-sheet'!N9*'Output-Calculation-sheet'!N81</f>
        <v>2188233232.3544779</v>
      </c>
      <c r="O98" s="2">
        <f>O10/'Output-Calculation-sheet'!O9*'Output-Calculation-sheet'!O81</f>
        <v>1158793121.9883873</v>
      </c>
      <c r="P98" s="2">
        <f>P10/'Output-Calculation-sheet'!P9*'Output-Calculation-sheet'!P81</f>
        <v>3703166599.4000955</v>
      </c>
      <c r="Q98" s="2">
        <f>Q10/'Output-Calculation-sheet'!Q9*'Output-Calculation-sheet'!Q81</f>
        <v>1741135057.5836053</v>
      </c>
      <c r="R98" s="2">
        <f>R10/'Output-Calculation-sheet'!R9*'Output-Calculation-sheet'!R81</f>
        <v>2227175151.8711548</v>
      </c>
      <c r="S98" s="2">
        <f>S10/'Output-Calculation-sheet'!S9*'Output-Calculation-sheet'!S81</f>
        <v>1287703761.3646452</v>
      </c>
      <c r="T98" s="2">
        <f>T10/'Output-Calculation-sheet'!T9*'Output-Calculation-sheet'!T81</f>
        <v>955529166.5467335</v>
      </c>
      <c r="U98" s="2">
        <f>U10/'Output-Calculation-sheet'!U9*'Output-Calculation-sheet'!U81</f>
        <v>621729247.94666338</v>
      </c>
      <c r="V98" s="2">
        <f>V10/'Output-Calculation-sheet'!V9*'Output-Calculation-sheet'!V81</f>
        <v>329278279.48783332</v>
      </c>
      <c r="W98" s="2">
        <f>W10/'Output-Calculation-sheet'!W9*'Output-Calculation-sheet'!W81</f>
        <v>933617523.45616162</v>
      </c>
      <c r="X98" s="2">
        <f>X10/'Output-Calculation-sheet'!X9*'Output-Calculation-sheet'!X81</f>
        <v>343076193.02427226</v>
      </c>
      <c r="Y98" s="2">
        <f>Y10/'Output-Calculation-sheet'!Y9*'Output-Calculation-sheet'!Y81</f>
        <v>513360732.18357325</v>
      </c>
      <c r="AA98" s="2">
        <f t="shared" si="8"/>
        <v>99.792104688854693</v>
      </c>
    </row>
    <row r="99" spans="1:27" x14ac:dyDescent="0.25">
      <c r="A99" s="2">
        <v>2034</v>
      </c>
      <c r="B99" s="2">
        <f>B11/'Output-Calculation-sheet'!B10*'Output-Calculation-sheet'!B82</f>
        <v>27788090116.044495</v>
      </c>
      <c r="C99" s="2">
        <f>C11/'Output-Calculation-sheet'!C10*'Output-Calculation-sheet'!C82</f>
        <v>9588031173.7285538</v>
      </c>
      <c r="D99" s="2">
        <f>D11/'Output-Calculation-sheet'!D10*'Output-Calculation-sheet'!D82</f>
        <v>8722411407.3797588</v>
      </c>
      <c r="E99" s="2">
        <f>E11/'Output-Calculation-sheet'!E10*'Output-Calculation-sheet'!E82</f>
        <v>16872740008.563919</v>
      </c>
      <c r="F99" s="2">
        <f>F11/'Output-Calculation-sheet'!F10*'Output-Calculation-sheet'!F82</f>
        <v>6949017033.2784805</v>
      </c>
      <c r="G99" s="2">
        <f>G11/'Output-Calculation-sheet'!G10*'Output-Calculation-sheet'!G82</f>
        <v>4940256616.5592651</v>
      </c>
      <c r="H99" s="2">
        <f>H11/'Output-Calculation-sheet'!H10*'Output-Calculation-sheet'!H82</f>
        <v>4617566757.4936113</v>
      </c>
      <c r="I99" s="2">
        <f>I11/'Output-Calculation-sheet'!I10*'Output-Calculation-sheet'!I82</f>
        <v>3878434615.5452757</v>
      </c>
      <c r="J99" s="2">
        <f>J11/'Output-Calculation-sheet'!J10*'Output-Calculation-sheet'!J82</f>
        <v>2413548377.9116764</v>
      </c>
      <c r="K99" s="2">
        <f>K11/'Output-Calculation-sheet'!K10*'Output-Calculation-sheet'!K82</f>
        <v>3531337999.1798401</v>
      </c>
      <c r="L99" s="2">
        <f>L11/'Output-Calculation-sheet'!L10*'Output-Calculation-sheet'!L82</f>
        <v>2726451179.9484296</v>
      </c>
      <c r="M99" s="2">
        <f>M11/'Output-Calculation-sheet'!M10*'Output-Calculation-sheet'!M82</f>
        <v>3478327450.1916513</v>
      </c>
      <c r="N99" s="2">
        <f>N11/'Output-Calculation-sheet'!N10*'Output-Calculation-sheet'!N82</f>
        <v>2450484938.7211661</v>
      </c>
      <c r="O99" s="2">
        <f>O11/'Output-Calculation-sheet'!O10*'Output-Calculation-sheet'!O82</f>
        <v>1328530865.1793084</v>
      </c>
      <c r="P99" s="2">
        <f>P11/'Output-Calculation-sheet'!P10*'Output-Calculation-sheet'!P82</f>
        <v>4141331673.4493713</v>
      </c>
      <c r="Q99" s="2">
        <f>Q11/'Output-Calculation-sheet'!Q10*'Output-Calculation-sheet'!Q82</f>
        <v>1959938391.3963795</v>
      </c>
      <c r="R99" s="2">
        <f>R11/'Output-Calculation-sheet'!R10*'Output-Calculation-sheet'!R82</f>
        <v>2537131183.7201891</v>
      </c>
      <c r="S99" s="2">
        <f>S11/'Output-Calculation-sheet'!S10*'Output-Calculation-sheet'!S82</f>
        <v>1461458491.1343813</v>
      </c>
      <c r="T99" s="2">
        <f>T11/'Output-Calculation-sheet'!T10*'Output-Calculation-sheet'!T82</f>
        <v>1068155292.433799</v>
      </c>
      <c r="U99" s="2">
        <f>U11/'Output-Calculation-sheet'!U10*'Output-Calculation-sheet'!U82</f>
        <v>707353967.01497996</v>
      </c>
      <c r="V99" s="2">
        <f>V11/'Output-Calculation-sheet'!V10*'Output-Calculation-sheet'!V82</f>
        <v>378213347.28636807</v>
      </c>
      <c r="W99" s="2">
        <f>W11/'Output-Calculation-sheet'!W10*'Output-Calculation-sheet'!W82</f>
        <v>1048798853.9600798</v>
      </c>
      <c r="X99" s="2">
        <f>X11/'Output-Calculation-sheet'!X10*'Output-Calculation-sheet'!X82</f>
        <v>395006522.9888733</v>
      </c>
      <c r="Y99" s="2">
        <f>Y11/'Output-Calculation-sheet'!Y10*'Output-Calculation-sheet'!Y82</f>
        <v>577172010.11338532</v>
      </c>
      <c r="AA99" s="2">
        <f t="shared" si="8"/>
        <v>113.55978827322322</v>
      </c>
    </row>
    <row r="100" spans="1:27" x14ac:dyDescent="0.25">
      <c r="A100" s="2">
        <v>2035</v>
      </c>
      <c r="B100" s="2">
        <f>B12/'Output-Calculation-sheet'!B11*'Output-Calculation-sheet'!B83</f>
        <v>29731776015.170906</v>
      </c>
      <c r="C100" s="2">
        <f>C12/'Output-Calculation-sheet'!C11*'Output-Calculation-sheet'!C83</f>
        <v>10322389717.952734</v>
      </c>
      <c r="D100" s="2">
        <f>D12/'Output-Calculation-sheet'!D11*'Output-Calculation-sheet'!D83</f>
        <v>8984316690.6458397</v>
      </c>
      <c r="E100" s="2">
        <f>E12/'Output-Calculation-sheet'!E11*'Output-Calculation-sheet'!E83</f>
        <v>17867487684.790443</v>
      </c>
      <c r="F100" s="2">
        <f>F12/'Output-Calculation-sheet'!F11*'Output-Calculation-sheet'!F83</f>
        <v>7349972005.2789888</v>
      </c>
      <c r="G100" s="2">
        <f>G12/'Output-Calculation-sheet'!G11*'Output-Calculation-sheet'!G83</f>
        <v>5050861945.4608421</v>
      </c>
      <c r="H100" s="2">
        <f>H12/'Output-Calculation-sheet'!H11*'Output-Calculation-sheet'!H83</f>
        <v>4878755178.0486364</v>
      </c>
      <c r="I100" s="2">
        <f>I12/'Output-Calculation-sheet'!I11*'Output-Calculation-sheet'!I83</f>
        <v>4139527405.1681685</v>
      </c>
      <c r="J100" s="2">
        <f>J12/'Output-Calculation-sheet'!J11*'Output-Calculation-sheet'!J83</f>
        <v>2508731774.8678522</v>
      </c>
      <c r="K100" s="2">
        <f>K12/'Output-Calculation-sheet'!K11*'Output-Calculation-sheet'!K83</f>
        <v>3696430519.522079</v>
      </c>
      <c r="L100" s="2">
        <f>L12/'Output-Calculation-sheet'!L11*'Output-Calculation-sheet'!L83</f>
        <v>2934755064.2245407</v>
      </c>
      <c r="M100" s="2">
        <f>M12/'Output-Calculation-sheet'!M11*'Output-Calculation-sheet'!M83</f>
        <v>3686702677.9627409</v>
      </c>
      <c r="N100" s="2">
        <f>N12/'Output-Calculation-sheet'!N11*'Output-Calculation-sheet'!N83</f>
        <v>2550907068.2751679</v>
      </c>
      <c r="O100" s="2">
        <f>O12/'Output-Calculation-sheet'!O11*'Output-Calculation-sheet'!O83</f>
        <v>1415915393.774478</v>
      </c>
      <c r="P100" s="2">
        <f>P12/'Output-Calculation-sheet'!P11*'Output-Calculation-sheet'!P83</f>
        <v>4300235659.3472805</v>
      </c>
      <c r="Q100" s="2">
        <f>Q12/'Output-Calculation-sheet'!Q11*'Output-Calculation-sheet'!Q83</f>
        <v>2051232122.4335561</v>
      </c>
      <c r="R100" s="2">
        <f>R12/'Output-Calculation-sheet'!R11*'Output-Calculation-sheet'!R83</f>
        <v>2685974136.6805553</v>
      </c>
      <c r="S100" s="2">
        <f>S12/'Output-Calculation-sheet'!S11*'Output-Calculation-sheet'!S83</f>
        <v>1541611151.4306145</v>
      </c>
      <c r="T100" s="2">
        <f>T12/'Output-Calculation-sheet'!T11*'Output-Calculation-sheet'!T83</f>
        <v>1109425898.4453886</v>
      </c>
      <c r="U100" s="2">
        <f>U12/'Output-Calculation-sheet'!U11*'Output-Calculation-sheet'!U83</f>
        <v>747627441.70551717</v>
      </c>
      <c r="V100" s="2">
        <f>V12/'Output-Calculation-sheet'!V11*'Output-Calculation-sheet'!V83</f>
        <v>403388443.05016297</v>
      </c>
      <c r="W100" s="2">
        <f>W12/'Output-Calculation-sheet'!W11*'Output-Calculation-sheet'!W83</f>
        <v>1092878393.6975374</v>
      </c>
      <c r="X100" s="2">
        <f>X12/'Output-Calculation-sheet'!X11*'Output-Calculation-sheet'!X83</f>
        <v>422517167.80690074</v>
      </c>
      <c r="Y100" s="2">
        <f>Y12/'Output-Calculation-sheet'!Y11*'Output-Calculation-sheet'!Y83</f>
        <v>602241228.50015819</v>
      </c>
      <c r="AA100" s="2">
        <f t="shared" si="8"/>
        <v>120.07566078424109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1637236564.8655</v>
      </c>
      <c r="C107" s="2">
        <f>C8/'Output-Calculation-sheet'!C7*'Output-Calculation-sheet'!C88</f>
        <v>26963519914.234501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8412726372.8972158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5804102418.9401712</v>
      </c>
      <c r="N107" s="2">
        <f>N8/'Output-Calculation-sheet'!N7*'Output-Calculation-sheet'!N88</f>
        <v>1763497522.1254833</v>
      </c>
      <c r="O107" s="2">
        <f>O8/'Output-Calculation-sheet'!O7*'Output-Calculation-sheet'!O88</f>
        <v>5239036536.2987299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582123351.80495489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628586149.63205194</v>
      </c>
      <c r="Y107" s="2">
        <f>Y8/'Output-Calculation-sheet'!Y7*'Output-Calculation-sheet'!Y88</f>
        <v>0</v>
      </c>
      <c r="AA107" s="2">
        <f t="shared" si="9"/>
        <v>51030.8288307986</v>
      </c>
    </row>
    <row r="108" spans="1:27" x14ac:dyDescent="0.25">
      <c r="A108" s="2">
        <v>2032</v>
      </c>
      <c r="B108" s="2">
        <f>B9/'Output-Calculation-sheet'!B8*'Output-Calculation-sheet'!B89</f>
        <v>7423926582.3681116</v>
      </c>
      <c r="C108" s="2">
        <f>C9/'Output-Calculation-sheet'!C8*'Output-Calculation-sheet'!C89</f>
        <v>37215569018.507736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11611000468.687061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8010580710.9352417</v>
      </c>
      <c r="N108" s="2">
        <f>N9/'Output-Calculation-sheet'!N8*'Output-Calculation-sheet'!N89</f>
        <v>3774923840.0528164</v>
      </c>
      <c r="O108" s="2">
        <f>O9/'Output-Calculation-sheet'!O8*'Output-Calculation-sheet'!O89</f>
        <v>7231016714.6546507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1134501106.6081753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867569835.41040909</v>
      </c>
      <c r="Y108" s="2">
        <f>Y9/'Output-Calculation-sheet'!Y8*'Output-Calculation-sheet'!Y89</f>
        <v>0</v>
      </c>
      <c r="AA108" s="2">
        <f t="shared" si="9"/>
        <v>77269.088277224218</v>
      </c>
    </row>
    <row r="109" spans="1:27" x14ac:dyDescent="0.25">
      <c r="A109" s="2">
        <v>2033</v>
      </c>
      <c r="B109" s="2">
        <f>B10/'Output-Calculation-sheet'!B9*'Output-Calculation-sheet'!B90</f>
        <v>19758167931.946255</v>
      </c>
      <c r="C109" s="2">
        <f>C10/'Output-Calculation-sheet'!C9*'Output-Calculation-sheet'!C90</f>
        <v>43604947649.333519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14516853252.980331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10015367218.950735</v>
      </c>
      <c r="N109" s="2">
        <f>N10/'Output-Calculation-sheet'!N9*'Output-Calculation-sheet'!N90</f>
        <v>5898491804.7369738</v>
      </c>
      <c r="O109" s="2">
        <f>O10/'Output-Calculation-sheet'!O9*'Output-Calculation-sheet'!O90</f>
        <v>8000115267.2849951</v>
      </c>
      <c r="P109" s="2">
        <f>P10/'Output-Calculation-sheet'!P9*'Output-Calculation-sheet'!P90</f>
        <v>0</v>
      </c>
      <c r="Q109" s="2">
        <f>Q10/'Output-Calculation-sheet'!Q9*'Output-Calculation-sheet'!Q90</f>
        <v>192071064.06347626</v>
      </c>
      <c r="R109" s="2">
        <f>R10/'Output-Calculation-sheet'!R9*'Output-Calculation-sheet'!R90</f>
        <v>0</v>
      </c>
      <c r="S109" s="2">
        <f>S10/'Output-Calculation-sheet'!S9*'Output-Calculation-sheet'!S90</f>
        <v>2380624838.4026647</v>
      </c>
      <c r="T109" s="2">
        <f>T10/'Output-Calculation-sheet'!T9*'Output-Calculation-sheet'!T90</f>
        <v>1.8148156769951965E-7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1084694571.7289445</v>
      </c>
      <c r="Y109" s="2">
        <f>Y10/'Output-Calculation-sheet'!Y9*'Output-Calculation-sheet'!Y90</f>
        <v>0</v>
      </c>
      <c r="AA109" s="2">
        <f t="shared" si="9"/>
        <v>105451.33359942788</v>
      </c>
    </row>
    <row r="110" spans="1:27" x14ac:dyDescent="0.25">
      <c r="A110" s="2">
        <v>2034</v>
      </c>
      <c r="B110" s="2">
        <f>B11/'Output-Calculation-sheet'!B10*'Output-Calculation-sheet'!B91</f>
        <v>44792784722.626236</v>
      </c>
      <c r="C110" s="2">
        <f>C11/'Output-Calculation-sheet'!C10*'Output-Calculation-sheet'!C91</f>
        <v>45294666195.987289</v>
      </c>
      <c r="D110" s="2">
        <f>D11/'Output-Calculation-sheet'!D10*'Output-Calculation-sheet'!D91</f>
        <v>0</v>
      </c>
      <c r="E110" s="2">
        <f>E11/'Output-Calculation-sheet'!E10*'Output-Calculation-sheet'!E91</f>
        <v>913748021.18174469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16730087985.132471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760382802.51806092</v>
      </c>
      <c r="M110" s="2">
        <f>M11/'Output-Calculation-sheet'!M10*'Output-Calculation-sheet'!M91</f>
        <v>11542304925.009661</v>
      </c>
      <c r="N110" s="2">
        <f>N11/'Output-Calculation-sheet'!N10*'Output-Calculation-sheet'!N91</f>
        <v>7983235876.6601295</v>
      </c>
      <c r="O110" s="2">
        <f>O11/'Output-Calculation-sheet'!O10*'Output-Calculation-sheet'!O91</f>
        <v>8289043377.1394606</v>
      </c>
      <c r="P110" s="2">
        <f>P11/'Output-Calculation-sheet'!P10*'Output-Calculation-sheet'!P91</f>
        <v>0</v>
      </c>
      <c r="Q110" s="2">
        <f>Q11/'Output-Calculation-sheet'!Q10*'Output-Calculation-sheet'!Q91</f>
        <v>2031481678.173362</v>
      </c>
      <c r="R110" s="2">
        <f>R11/'Output-Calculation-sheet'!R10*'Output-Calculation-sheet'!R91</f>
        <v>0</v>
      </c>
      <c r="S110" s="2">
        <f>S11/'Output-Calculation-sheet'!S10*'Output-Calculation-sheet'!S91</f>
        <v>3925872487.8833356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1143534632.9112077</v>
      </c>
      <c r="Y110" s="2">
        <f>Y11/'Output-Calculation-sheet'!Y10*'Output-Calculation-sheet'!Y91</f>
        <v>50042071.345509566</v>
      </c>
      <c r="AA110" s="2">
        <f t="shared" si="9"/>
        <v>143457.18477656849</v>
      </c>
    </row>
    <row r="111" spans="1:27" x14ac:dyDescent="0.25">
      <c r="A111" s="2">
        <v>2035</v>
      </c>
      <c r="B111" s="2">
        <f>B12/'Output-Calculation-sheet'!B11*'Output-Calculation-sheet'!B92</f>
        <v>53294521661.978508</v>
      </c>
      <c r="C111" s="2">
        <f>C12/'Output-Calculation-sheet'!C11*'Output-Calculation-sheet'!C92</f>
        <v>44571693880.255608</v>
      </c>
      <c r="D111" s="2">
        <f>D12/'Output-Calculation-sheet'!D11*'Output-Calculation-sheet'!D92</f>
        <v>0</v>
      </c>
      <c r="E111" s="2">
        <f>E12/'Output-Calculation-sheet'!E11*'Output-Calculation-sheet'!E92</f>
        <v>5932431731.5947313</v>
      </c>
      <c r="F111" s="2">
        <f>F12/'Output-Calculation-sheet'!F11*'Output-Calculation-sheet'!F92</f>
        <v>0</v>
      </c>
      <c r="G111" s="2">
        <f>G12/'Output-Calculation-sheet'!G11*'Output-Calculation-sheet'!G92</f>
        <v>-6.4501429692649337E-7</v>
      </c>
      <c r="H111" s="2">
        <f>H12/'Output-Calculation-sheet'!H11*'Output-Calculation-sheet'!H92</f>
        <v>16497819325.010578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1957674702.6016102</v>
      </c>
      <c r="M111" s="2">
        <f>M12/'Output-Calculation-sheet'!M11*'Output-Calculation-sheet'!M92</f>
        <v>11641280281.30793</v>
      </c>
      <c r="N111" s="2">
        <f>N12/'Output-Calculation-sheet'!N11*'Output-Calculation-sheet'!N92</f>
        <v>8395926086.0955553</v>
      </c>
      <c r="O111" s="2">
        <f>O12/'Output-Calculation-sheet'!O11*'Output-Calculation-sheet'!O92</f>
        <v>8098163352.0072231</v>
      </c>
      <c r="P111" s="2">
        <f>P12/'Output-Calculation-sheet'!P11*'Output-Calculation-sheet'!P92</f>
        <v>407266607.1330027</v>
      </c>
      <c r="Q111" s="2">
        <f>Q12/'Output-Calculation-sheet'!Q11*'Output-Calculation-sheet'!Q92</f>
        <v>2801058819.686151</v>
      </c>
      <c r="R111" s="2">
        <f>R12/'Output-Calculation-sheet'!R11*'Output-Calculation-sheet'!R92</f>
        <v>0</v>
      </c>
      <c r="S111" s="2">
        <f>S12/'Output-Calculation-sheet'!S11*'Output-Calculation-sheet'!S92</f>
        <v>4297488168.9774389</v>
      </c>
      <c r="T111" s="2">
        <f>T12/'Output-Calculation-sheet'!T11*'Output-Calculation-sheet'!T92</f>
        <v>0</v>
      </c>
      <c r="U111" s="2">
        <f>U12/'Output-Calculation-sheet'!U11*'Output-Calculation-sheet'!U92</f>
        <v>81260785.486333549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1148746634.3454878</v>
      </c>
      <c r="Y111" s="2">
        <f>Y12/'Output-Calculation-sheet'!Y11*'Output-Calculation-sheet'!Y92</f>
        <v>276753005.98479098</v>
      </c>
      <c r="AA111" s="2">
        <f t="shared" si="9"/>
        <v>159402.08504246495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55592806514.815842</v>
      </c>
      <c r="C118" s="2">
        <f>C8/'Output-Calculation-sheet'!C7*'Output-Calculation-sheet'!C97</f>
        <v>0</v>
      </c>
      <c r="D118" s="2">
        <f>D8/'Output-Calculation-sheet'!D7*'Output-Calculation-sheet'!D97</f>
        <v>24037277550.838226</v>
      </c>
      <c r="E118" s="2">
        <f>E8/'Output-Calculation-sheet'!E7*'Output-Calculation-sheet'!E97</f>
        <v>19071140510.620407</v>
      </c>
      <c r="F118" s="2">
        <f>F8/'Output-Calculation-sheet'!F7*'Output-Calculation-sheet'!F97</f>
        <v>12276777507.938492</v>
      </c>
      <c r="G118" s="2">
        <f>G8/'Output-Calculation-sheet'!G7*'Output-Calculation-sheet'!G97</f>
        <v>8626000804.1422291</v>
      </c>
      <c r="H118" s="2">
        <f>H8/'Output-Calculation-sheet'!H7*'Output-Calculation-sheet'!H97</f>
        <v>0</v>
      </c>
      <c r="I118" s="2">
        <f>I8/'Output-Calculation-sheet'!I7*'Output-Calculation-sheet'!I97</f>
        <v>7858965747.2141142</v>
      </c>
      <c r="J118" s="2">
        <f>J8/'Output-Calculation-sheet'!J7*'Output-Calculation-sheet'!J97</f>
        <v>7649375965.7576704</v>
      </c>
      <c r="K118" s="2">
        <f>K8/'Output-Calculation-sheet'!K7*'Output-Calculation-sheet'!K97</f>
        <v>7576041490.6778173</v>
      </c>
      <c r="L118" s="2">
        <f>L8/'Output-Calculation-sheet'!L7*'Output-Calculation-sheet'!L97</f>
        <v>6077598993.3579473</v>
      </c>
      <c r="M118" s="2">
        <f>M8/'Output-Calculation-sheet'!M7*'Output-Calculation-sheet'!M97</f>
        <v>0</v>
      </c>
      <c r="N118" s="2">
        <f>N8/'Output-Calculation-sheet'!N7*'Output-Calculation-sheet'!N97</f>
        <v>3934202198.2630606</v>
      </c>
      <c r="O118" s="2">
        <f>O8/'Output-Calculation-sheet'!O7*'Output-Calculation-sheet'!O97</f>
        <v>0</v>
      </c>
      <c r="P118" s="2">
        <f>P8/'Output-Calculation-sheet'!P7*'Output-Calculation-sheet'!P97</f>
        <v>5186917393.1613188</v>
      </c>
      <c r="Q118" s="2">
        <f>Q8/'Output-Calculation-sheet'!Q7*'Output-Calculation-sheet'!Q97</f>
        <v>5103087457.9391527</v>
      </c>
      <c r="R118" s="2">
        <f>R8/'Output-Calculation-sheet'!R7*'Output-Calculation-sheet'!R97</f>
        <v>4909404826.9334955</v>
      </c>
      <c r="S118" s="2">
        <f>S8/'Output-Calculation-sheet'!S7*'Output-Calculation-sheet'!S97</f>
        <v>2680918973.3034229</v>
      </c>
      <c r="T118" s="2">
        <f>T8/'Output-Calculation-sheet'!T7*'Output-Calculation-sheet'!T97</f>
        <v>1804655352.3948808</v>
      </c>
      <c r="U118" s="2">
        <f>U8/'Output-Calculation-sheet'!U7*'Output-Calculation-sheet'!U97</f>
        <v>1571792840.830374</v>
      </c>
      <c r="V118" s="2">
        <f>V8/'Output-Calculation-sheet'!V7*'Output-Calculation-sheet'!V97</f>
        <v>1210312398.9021547</v>
      </c>
      <c r="W118" s="2">
        <f>W8/'Output-Calculation-sheet'!W7*'Output-Calculation-sheet'!W97</f>
        <v>1047861893.5659927</v>
      </c>
      <c r="X118" s="2">
        <f>X8/'Output-Calculation-sheet'!X7*'Output-Calculation-sheet'!X97</f>
        <v>0</v>
      </c>
      <c r="Y118" s="2">
        <f>Y8/'Output-Calculation-sheet'!Y7*'Output-Calculation-sheet'!Y97</f>
        <v>611421366.87393248</v>
      </c>
      <c r="AA118" s="2">
        <f t="shared" si="10"/>
        <v>176826.55978753051</v>
      </c>
    </row>
    <row r="119" spans="1:27" x14ac:dyDescent="0.25">
      <c r="A119" s="2">
        <v>2032</v>
      </c>
      <c r="B119" s="2">
        <f>B9/'Output-Calculation-sheet'!B8*'Output-Calculation-sheet'!B98</f>
        <v>71562457708.813766</v>
      </c>
      <c r="C119" s="2">
        <f>C9/'Output-Calculation-sheet'!C8*'Output-Calculation-sheet'!C98</f>
        <v>0</v>
      </c>
      <c r="D119" s="2">
        <f>D9/'Output-Calculation-sheet'!D8*'Output-Calculation-sheet'!D98</f>
        <v>33175194063.611034</v>
      </c>
      <c r="E119" s="2">
        <f>E9/'Output-Calculation-sheet'!E8*'Output-Calculation-sheet'!E98</f>
        <v>26321143797.48045</v>
      </c>
      <c r="F119" s="2">
        <f>F9/'Output-Calculation-sheet'!F8*'Output-Calculation-sheet'!F98</f>
        <v>16943870033.452461</v>
      </c>
      <c r="G119" s="2">
        <f>G9/'Output-Calculation-sheet'!G8*'Output-Calculation-sheet'!G98</f>
        <v>11905228136.496414</v>
      </c>
      <c r="H119" s="2">
        <f>H9/'Output-Calculation-sheet'!H8*'Output-Calculation-sheet'!H98</f>
        <v>1.5925684175087753E-6</v>
      </c>
      <c r="I119" s="2">
        <f>I9/'Output-Calculation-sheet'!I8*'Output-Calculation-sheet'!I98</f>
        <v>10846600793.66087</v>
      </c>
      <c r="J119" s="2">
        <f>J9/'Output-Calculation-sheet'!J8*'Output-Calculation-sheet'!J98</f>
        <v>10557330044.790283</v>
      </c>
      <c r="K119" s="2">
        <f>K9/'Output-Calculation-sheet'!K8*'Output-Calculation-sheet'!K98</f>
        <v>10456118689.339714</v>
      </c>
      <c r="L119" s="2">
        <f>L9/'Output-Calculation-sheet'!L8*'Output-Calculation-sheet'!L98</f>
        <v>8388036332.8433657</v>
      </c>
      <c r="M119" s="2">
        <f>M9/'Output-Calculation-sheet'!M8*'Output-Calculation-sheet'!M98</f>
        <v>0</v>
      </c>
      <c r="N119" s="2">
        <f>N9/'Output-Calculation-sheet'!N8*'Output-Calculation-sheet'!N98</f>
        <v>4088132983.2182159</v>
      </c>
      <c r="O119" s="2">
        <f>O9/'Output-Calculation-sheet'!O8*'Output-Calculation-sheet'!O98</f>
        <v>0</v>
      </c>
      <c r="P119" s="2">
        <f>P9/'Output-Calculation-sheet'!P8*'Output-Calculation-sheet'!P98</f>
        <v>7158708135.0884371</v>
      </c>
      <c r="Q119" s="2">
        <f>Q9/'Output-Calculation-sheet'!Q8*'Output-Calculation-sheet'!Q98</f>
        <v>7043057017.7617855</v>
      </c>
      <c r="R119" s="2">
        <f>R9/'Output-Calculation-sheet'!R8*'Output-Calculation-sheet'!R98</f>
        <v>6775745308.5882053</v>
      </c>
      <c r="S119" s="2">
        <f>S9/'Output-Calculation-sheet'!S8*'Output-Calculation-sheet'!S98</f>
        <v>3368765333.5779643</v>
      </c>
      <c r="T119" s="2">
        <f>T9/'Output-Calculation-sheet'!T8*'Output-Calculation-sheet'!T98</f>
        <v>2490705614.1349134</v>
      </c>
      <c r="U119" s="2">
        <f>U9/'Output-Calculation-sheet'!U8*'Output-Calculation-sheet'!U98</f>
        <v>2169319912.2551141</v>
      </c>
      <c r="V119" s="2">
        <f>V9/'Output-Calculation-sheet'!V8*'Output-Calculation-sheet'!V98</f>
        <v>1670419719.1083109</v>
      </c>
      <c r="W119" s="2">
        <f>W9/'Output-Calculation-sheet'!W8*'Output-Calculation-sheet'!W98</f>
        <v>1446213047.5837259</v>
      </c>
      <c r="X119" s="2">
        <f>X9/'Output-Calculation-sheet'!X8*'Output-Calculation-sheet'!X98</f>
        <v>0</v>
      </c>
      <c r="Y119" s="2">
        <f>Y9/'Output-Calculation-sheet'!Y8*'Output-Calculation-sheet'!Y98</f>
        <v>843856636.352005</v>
      </c>
      <c r="AA119" s="2">
        <f t="shared" si="10"/>
        <v>237210.90330815705</v>
      </c>
    </row>
    <row r="120" spans="1:27" x14ac:dyDescent="0.25">
      <c r="A120" s="2">
        <v>2033</v>
      </c>
      <c r="B120" s="2">
        <f>B10/'Output-Calculation-sheet'!B9*'Output-Calculation-sheet'!B99</f>
        <v>78986962414.955734</v>
      </c>
      <c r="C120" s="2">
        <f>C10/'Output-Calculation-sheet'!C9*'Output-Calculation-sheet'!C99</f>
        <v>0</v>
      </c>
      <c r="D120" s="2">
        <f>D10/'Output-Calculation-sheet'!D9*'Output-Calculation-sheet'!D99</f>
        <v>41476614983.768021</v>
      </c>
      <c r="E120" s="2">
        <f>E10/'Output-Calculation-sheet'!E9*'Output-Calculation-sheet'!E99</f>
        <v>32907480788.211617</v>
      </c>
      <c r="F120" s="2">
        <f>F10/'Output-Calculation-sheet'!F9*'Output-Calculation-sheet'!F99</f>
        <v>21183726256.888233</v>
      </c>
      <c r="G120" s="2">
        <f>G10/'Output-Calculation-sheet'!G9*'Output-Calculation-sheet'!G99</f>
        <v>14884267439.764883</v>
      </c>
      <c r="H120" s="2">
        <f>H10/'Output-Calculation-sheet'!H9*'Output-Calculation-sheet'!H99</f>
        <v>0</v>
      </c>
      <c r="I120" s="2">
        <f>I10/'Output-Calculation-sheet'!I9*'Output-Calculation-sheet'!I99</f>
        <v>13560741029.004568</v>
      </c>
      <c r="J120" s="2">
        <f>J10/'Output-Calculation-sheet'!J9*'Output-Calculation-sheet'!J99</f>
        <v>13199086162.697254</v>
      </c>
      <c r="K120" s="2">
        <f>K10/'Output-Calculation-sheet'!K9*'Output-Calculation-sheet'!K99</f>
        <v>13072858547.126347</v>
      </c>
      <c r="L120" s="2">
        <f>L10/'Output-Calculation-sheet'!L9*'Output-Calculation-sheet'!L99</f>
        <v>10486971032.83753</v>
      </c>
      <c r="M120" s="2">
        <f>M10/'Output-Calculation-sheet'!M9*'Output-Calculation-sheet'!M99</f>
        <v>0</v>
      </c>
      <c r="N120" s="2">
        <f>N10/'Output-Calculation-sheet'!N9*'Output-Calculation-sheet'!N99</f>
        <v>3931558278.3688226</v>
      </c>
      <c r="O120" s="2">
        <f>O10/'Output-Calculation-sheet'!O9*'Output-Calculation-sheet'!O99</f>
        <v>0</v>
      </c>
      <c r="P120" s="2">
        <f>P10/'Output-Calculation-sheet'!P9*'Output-Calculation-sheet'!P99</f>
        <v>8949558811.7791214</v>
      </c>
      <c r="Q120" s="2">
        <f>Q10/'Output-Calculation-sheet'!Q9*'Output-Calculation-sheet'!Q99</f>
        <v>8613281414.1237011</v>
      </c>
      <c r="R120" s="2">
        <f>R10/'Output-Calculation-sheet'!R9*'Output-Calculation-sheet'!R99</f>
        <v>8470839449.0021276</v>
      </c>
      <c r="S120" s="2">
        <f>S10/'Output-Calculation-sheet'!S9*'Output-Calculation-sheet'!S99</f>
        <v>3249116728.6025648</v>
      </c>
      <c r="T120" s="2">
        <f>T10/'Output-Calculation-sheet'!T9*'Output-Calculation-sheet'!T99</f>
        <v>3113927019.0544691</v>
      </c>
      <c r="U120" s="2">
        <f>U10/'Output-Calculation-sheet'!U9*'Output-Calculation-sheet'!U99</f>
        <v>2712730250.4269781</v>
      </c>
      <c r="V120" s="2">
        <f>V10/'Output-Calculation-sheet'!V9*'Output-Calculation-sheet'!V99</f>
        <v>2088408229.7964721</v>
      </c>
      <c r="W120" s="2">
        <f>W10/'Output-Calculation-sheet'!W9*'Output-Calculation-sheet'!W99</f>
        <v>1808098689.9211421</v>
      </c>
      <c r="X120" s="2">
        <f>X10/'Output-Calculation-sheet'!X9*'Output-Calculation-sheet'!X99</f>
        <v>0</v>
      </c>
      <c r="Y120" s="2">
        <f>Y10/'Output-Calculation-sheet'!Y9*'Output-Calculation-sheet'!Y99</f>
        <v>1055016104.1243796</v>
      </c>
      <c r="AA120" s="2">
        <f t="shared" si="10"/>
        <v>283751.243630454</v>
      </c>
    </row>
    <row r="121" spans="1:27" x14ac:dyDescent="0.25">
      <c r="A121" s="2">
        <v>2034</v>
      </c>
      <c r="B121" s="2">
        <f>B11/'Output-Calculation-sheet'!B10*'Output-Calculation-sheet'!B100</f>
        <v>68997074230.67041</v>
      </c>
      <c r="C121" s="2">
        <f>C11/'Output-Calculation-sheet'!C10*'Output-Calculation-sheet'!C100</f>
        <v>0</v>
      </c>
      <c r="D121" s="2">
        <f>D11/'Output-Calculation-sheet'!D10*'Output-Calculation-sheet'!D100</f>
        <v>47799092719.018692</v>
      </c>
      <c r="E121" s="2">
        <f>E11/'Output-Calculation-sheet'!E10*'Output-Calculation-sheet'!E100</f>
        <v>37008376749.617874</v>
      </c>
      <c r="F121" s="2">
        <f>F11/'Output-Calculation-sheet'!F10*'Output-Calculation-sheet'!F100</f>
        <v>24412730900.949188</v>
      </c>
      <c r="G121" s="2">
        <f>G11/'Output-Calculation-sheet'!G10*'Output-Calculation-sheet'!G100</f>
        <v>17152217824.77438</v>
      </c>
      <c r="H121" s="2">
        <f>H11/'Output-Calculation-sheet'!H10*'Output-Calculation-sheet'!H100</f>
        <v>0</v>
      </c>
      <c r="I121" s="2">
        <f>I11/'Output-Calculation-sheet'!I10*'Output-Calculation-sheet'!I100</f>
        <v>15627313051.411514</v>
      </c>
      <c r="J121" s="2">
        <f>J11/'Output-Calculation-sheet'!J10*'Output-Calculation-sheet'!J100</f>
        <v>15210712373.531485</v>
      </c>
      <c r="K121" s="2">
        <f>K11/'Output-Calculation-sheet'!K10*'Output-Calculation-sheet'!K100</f>
        <v>15065267290.984131</v>
      </c>
      <c r="L121" s="2">
        <f>L11/'Output-Calculation-sheet'!L10*'Output-Calculation-sheet'!L100</f>
        <v>11324815828.475477</v>
      </c>
      <c r="M121" s="2">
        <f>M11/'Output-Calculation-sheet'!M10*'Output-Calculation-sheet'!M100</f>
        <v>7.730310330864022E-7</v>
      </c>
      <c r="N121" s="2">
        <f>N11/'Output-Calculation-sheet'!N10*'Output-Calculation-sheet'!N100</f>
        <v>3345500141.9290886</v>
      </c>
      <c r="O121" s="2">
        <f>O11/'Output-Calculation-sheet'!O10*'Output-Calculation-sheet'!O100</f>
        <v>0</v>
      </c>
      <c r="P121" s="2">
        <f>P11/'Output-Calculation-sheet'!P10*'Output-Calculation-sheet'!P100</f>
        <v>10313357695.964798</v>
      </c>
      <c r="Q121" s="2">
        <f>Q11/'Output-Calculation-sheet'!Q10*'Output-Calculation-sheet'!Q100</f>
        <v>8115282180.2140074</v>
      </c>
      <c r="R121" s="2">
        <f>R11/'Output-Calculation-sheet'!R10*'Output-Calculation-sheet'!R100</f>
        <v>9761663266.712122</v>
      </c>
      <c r="S121" s="2">
        <f>S11/'Output-Calculation-sheet'!S10*'Output-Calculation-sheet'!S100</f>
        <v>2561984163.8222499</v>
      </c>
      <c r="T121" s="2">
        <f>T11/'Output-Calculation-sheet'!T10*'Output-Calculation-sheet'!T100</f>
        <v>3588385750.6890345</v>
      </c>
      <c r="U121" s="2">
        <f>U11/'Output-Calculation-sheet'!U10*'Output-Calculation-sheet'!U100</f>
        <v>3127257385.9717412</v>
      </c>
      <c r="V121" s="2">
        <f>V11/'Output-Calculation-sheet'!V10*'Output-Calculation-sheet'!V100</f>
        <v>2407430602.4248223</v>
      </c>
      <c r="W121" s="2">
        <f>W11/'Output-Calculation-sheet'!W10*'Output-Calculation-sheet'!W100</f>
        <v>2083777666.1448383</v>
      </c>
      <c r="X121" s="2">
        <f>X11/'Output-Calculation-sheet'!X10*'Output-Calculation-sheet'!X100</f>
        <v>92506207.04942508</v>
      </c>
      <c r="Y121" s="2">
        <f>Y11/'Output-Calculation-sheet'!Y10*'Output-Calculation-sheet'!Y100</f>
        <v>1165773195.6987569</v>
      </c>
      <c r="AA121" s="2">
        <f t="shared" si="10"/>
        <v>299160.51922605402</v>
      </c>
    </row>
    <row r="122" spans="1:27" x14ac:dyDescent="0.25">
      <c r="A122" s="2">
        <v>2035</v>
      </c>
      <c r="B122" s="2">
        <f>B12/'Output-Calculation-sheet'!B11*'Output-Calculation-sheet'!B101</f>
        <v>61326692220.685303</v>
      </c>
      <c r="C122" s="2">
        <f>C12/'Output-Calculation-sheet'!C11*'Output-Calculation-sheet'!C101</f>
        <v>0</v>
      </c>
      <c r="D122" s="2">
        <f>D12/'Output-Calculation-sheet'!D11*'Output-Calculation-sheet'!D101</f>
        <v>47649702625.023918</v>
      </c>
      <c r="E122" s="2">
        <f>E12/'Output-Calculation-sheet'!E11*'Output-Calculation-sheet'!E101</f>
        <v>33675234002.020737</v>
      </c>
      <c r="F122" s="2">
        <f>F12/'Output-Calculation-sheet'!F11*'Output-Calculation-sheet'!F101</f>
        <v>25060209645.355579</v>
      </c>
      <c r="G122" s="2">
        <f>G12/'Output-Calculation-sheet'!G11*'Output-Calculation-sheet'!G101</f>
        <v>17348392921.85968</v>
      </c>
      <c r="H122" s="2">
        <f>H12/'Output-Calculation-sheet'!H11*'Output-Calculation-sheet'!H101</f>
        <v>0</v>
      </c>
      <c r="I122" s="2">
        <f>I12/'Output-Calculation-sheet'!I11*'Output-Calculation-sheet'!I101</f>
        <v>15848665275.627544</v>
      </c>
      <c r="J122" s="2">
        <f>J12/'Output-Calculation-sheet'!J11*'Output-Calculation-sheet'!J101</f>
        <v>15282241018.187239</v>
      </c>
      <c r="K122" s="2">
        <f>K12/'Output-Calculation-sheet'!K11*'Output-Calculation-sheet'!K101</f>
        <v>15367348585.707701</v>
      </c>
      <c r="L122" s="2">
        <f>L12/'Output-Calculation-sheet'!L11*'Output-Calculation-sheet'!L101</f>
        <v>10575421702.67082</v>
      </c>
      <c r="M122" s="2">
        <f>M12/'Output-Calculation-sheet'!M11*'Output-Calculation-sheet'!M101</f>
        <v>0</v>
      </c>
      <c r="N122" s="2">
        <f>N12/'Output-Calculation-sheet'!N11*'Output-Calculation-sheet'!N101</f>
        <v>2975984238.5451236</v>
      </c>
      <c r="O122" s="2">
        <f>O12/'Output-Calculation-sheet'!O11*'Output-Calculation-sheet'!O101</f>
        <v>0</v>
      </c>
      <c r="P122" s="2">
        <f>P12/'Output-Calculation-sheet'!P11*'Output-Calculation-sheet'!P101</f>
        <v>10242304894.245447</v>
      </c>
      <c r="Q122" s="2">
        <f>Q12/'Output-Calculation-sheet'!Q11*'Output-Calculation-sheet'!Q101</f>
        <v>7265264132.2304392</v>
      </c>
      <c r="R122" s="2">
        <f>R12/'Output-Calculation-sheet'!R11*'Output-Calculation-sheet'!R101</f>
        <v>10015306138.461845</v>
      </c>
      <c r="S122" s="2">
        <f>S12/'Output-Calculation-sheet'!S11*'Output-Calculation-sheet'!S101</f>
        <v>2195593313.6610818</v>
      </c>
      <c r="T122" s="2">
        <f>T12/'Output-Calculation-sheet'!T11*'Output-Calculation-sheet'!T101</f>
        <v>3734922514.1679459</v>
      </c>
      <c r="U122" s="2">
        <f>U12/'Output-Calculation-sheet'!U11*'Output-Calculation-sheet'!U101</f>
        <v>3032193567.6052585</v>
      </c>
      <c r="V122" s="2">
        <f>V12/'Output-Calculation-sheet'!V11*'Output-Calculation-sheet'!V101</f>
        <v>2518796252.4914503</v>
      </c>
      <c r="W122" s="2">
        <f>W12/'Output-Calculation-sheet'!W11*'Output-Calculation-sheet'!W101</f>
        <v>2196374614.418705</v>
      </c>
      <c r="X122" s="2">
        <f>X12/'Output-Calculation-sheet'!X11*'Output-Calculation-sheet'!X101</f>
        <v>80884114.608311027</v>
      </c>
      <c r="Y122" s="2">
        <f>Y12/'Output-Calculation-sheet'!Y11*'Output-Calculation-sheet'!Y101</f>
        <v>991571273.78137386</v>
      </c>
      <c r="AA122" s="2">
        <f t="shared" si="10"/>
        <v>287383.10305135557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57230044121.892975</v>
      </c>
      <c r="C129" s="2">
        <f>C8/'Output-Calculation-sheet'!C7*'Output-Calculation-sheet'!C106</f>
        <v>26969681913.613091</v>
      </c>
      <c r="D129" s="2">
        <f>D8/'Output-Calculation-sheet'!D7*'Output-Calculation-sheet'!D106</f>
        <v>24037277550.838226</v>
      </c>
      <c r="E129" s="2">
        <f>E8/'Output-Calculation-sheet'!E7*'Output-Calculation-sheet'!E106</f>
        <v>19071140510.620407</v>
      </c>
      <c r="F129" s="2">
        <f>F8/'Output-Calculation-sheet'!F7*'Output-Calculation-sheet'!F106</f>
        <v>12276777507.938492</v>
      </c>
      <c r="G129" s="2">
        <f>G8/'Output-Calculation-sheet'!G7*'Output-Calculation-sheet'!G106</f>
        <v>8626000804.1422291</v>
      </c>
      <c r="H129" s="2">
        <f>H8/'Output-Calculation-sheet'!H7*'Output-Calculation-sheet'!H106</f>
        <v>8414332660.0172529</v>
      </c>
      <c r="I129" s="2">
        <f>I8/'Output-Calculation-sheet'!I7*'Output-Calculation-sheet'!I106</f>
        <v>7858965747.2141142</v>
      </c>
      <c r="J129" s="2">
        <f>J8/'Output-Calculation-sheet'!J7*'Output-Calculation-sheet'!J106</f>
        <v>7649375965.7576704</v>
      </c>
      <c r="K129" s="2">
        <f>K8/'Output-Calculation-sheet'!K7*'Output-Calculation-sheet'!K106</f>
        <v>7576041490.6778173</v>
      </c>
      <c r="L129" s="2">
        <f>L8/'Output-Calculation-sheet'!L7*'Output-Calculation-sheet'!L106</f>
        <v>6077598993.3579473</v>
      </c>
      <c r="M129" s="2">
        <f>M8/'Output-Calculation-sheet'!M7*'Output-Calculation-sheet'!M106</f>
        <v>5805156031.9421711</v>
      </c>
      <c r="N129" s="2">
        <f>N8/'Output-Calculation-sheet'!N7*'Output-Calculation-sheet'!N106</f>
        <v>5697744983.5368748</v>
      </c>
      <c r="O129" s="2">
        <f>O8/'Output-Calculation-sheet'!O7*'Output-Calculation-sheet'!O106</f>
        <v>5240231586.5746593</v>
      </c>
      <c r="P129" s="2">
        <f>P8/'Output-Calculation-sheet'!P7*'Output-Calculation-sheet'!P106</f>
        <v>5186917393.1613188</v>
      </c>
      <c r="Q129" s="2">
        <f>Q8/'Output-Calculation-sheet'!Q7*'Output-Calculation-sheet'!Q106</f>
        <v>5103087457.9391527</v>
      </c>
      <c r="R129" s="2">
        <f>R8/'Output-Calculation-sheet'!R7*'Output-Calculation-sheet'!R106</f>
        <v>4909404826.9334955</v>
      </c>
      <c r="S129" s="2">
        <f>S8/'Output-Calculation-sheet'!S7*'Output-Calculation-sheet'!S106</f>
        <v>3263041945.4060059</v>
      </c>
      <c r="T129" s="2">
        <f>T8/'Output-Calculation-sheet'!T7*'Output-Calculation-sheet'!T106</f>
        <v>1804655352.3948808</v>
      </c>
      <c r="U129" s="2">
        <f>U8/'Output-Calculation-sheet'!U7*'Output-Calculation-sheet'!U106</f>
        <v>1571792840.830374</v>
      </c>
      <c r="V129" s="2">
        <f>V8/'Output-Calculation-sheet'!V7*'Output-Calculation-sheet'!V106</f>
        <v>1210312398.9021547</v>
      </c>
      <c r="W129" s="2">
        <f>W8/'Output-Calculation-sheet'!W7*'Output-Calculation-sheet'!W106</f>
        <v>1047861893.5659927</v>
      </c>
      <c r="X129" s="2">
        <f>X8/'Output-Calculation-sheet'!X7*'Output-Calculation-sheet'!X106</f>
        <v>628717259.77713001</v>
      </c>
      <c r="Y129" s="2">
        <f>Y8/'Output-Calculation-sheet'!Y7*'Output-Calculation-sheet'!Y106</f>
        <v>611421366.87393248</v>
      </c>
      <c r="AA129" s="2">
        <f t="shared" si="11"/>
        <v>227867.58260390832</v>
      </c>
    </row>
    <row r="130" spans="1:27" x14ac:dyDescent="0.25">
      <c r="A130" s="2">
        <v>2032</v>
      </c>
      <c r="B130" s="2">
        <f>B9/'Output-Calculation-sheet'!B8*'Output-Calculation-sheet'!B107</f>
        <v>47391837483.046738</v>
      </c>
      <c r="C130" s="2">
        <f>C9/'Output-Calculation-sheet'!C8*'Output-Calculation-sheet'!C107</f>
        <v>22333414212.589523</v>
      </c>
      <c r="D130" s="2">
        <f>D9/'Output-Calculation-sheet'!D8*'Output-Calculation-sheet'!D107</f>
        <v>19905112288.867252</v>
      </c>
      <c r="E130" s="2">
        <f>E9/'Output-Calculation-sheet'!E8*'Output-Calculation-sheet'!E107</f>
        <v>15792684629.695148</v>
      </c>
      <c r="F130" s="2">
        <f>F9/'Output-Calculation-sheet'!F8*'Output-Calculation-sheet'!F107</f>
        <v>10166323057.049288</v>
      </c>
      <c r="G130" s="2">
        <f>G9/'Output-Calculation-sheet'!G8*'Output-Calculation-sheet'!G107</f>
        <v>7143137626.1192656</v>
      </c>
      <c r="H130" s="2">
        <f>H9/'Output-Calculation-sheet'!H8*'Output-Calculation-sheet'!H107</f>
        <v>6967854737.3047485</v>
      </c>
      <c r="I130" s="2">
        <f>I9/'Output-Calculation-sheet'!I8*'Output-Calculation-sheet'!I107</f>
        <v>6507959806.8137913</v>
      </c>
      <c r="J130" s="2">
        <f>J9/'Output-Calculation-sheet'!J8*'Output-Calculation-sheet'!J107</f>
        <v>6334397364.405036</v>
      </c>
      <c r="K130" s="2">
        <f>K9/'Output-Calculation-sheet'!K8*'Output-Calculation-sheet'!K107</f>
        <v>6273671213.6038284</v>
      </c>
      <c r="L130" s="2">
        <f>L9/'Output-Calculation-sheet'!L8*'Output-Calculation-sheet'!L107</f>
        <v>5032821276.5771675</v>
      </c>
      <c r="M130" s="2">
        <f>M9/'Output-Calculation-sheet'!M8*'Output-Calculation-sheet'!M107</f>
        <v>4807213599.4498377</v>
      </c>
      <c r="N130" s="2">
        <f>N9/'Output-Calculation-sheet'!N8*'Output-Calculation-sheet'!N107</f>
        <v>4718264132.7466383</v>
      </c>
      <c r="O130" s="2">
        <f>O9/'Output-Calculation-sheet'!O8*'Output-Calculation-sheet'!O107</f>
        <v>4339402629.5377264</v>
      </c>
      <c r="P130" s="2">
        <f>P9/'Output-Calculation-sheet'!P8*'Output-Calculation-sheet'!P107</f>
        <v>4295252357.2201414</v>
      </c>
      <c r="Q130" s="2">
        <f>Q9/'Output-Calculation-sheet'!Q8*'Output-Calculation-sheet'!Q107</f>
        <v>4225835492.2171698</v>
      </c>
      <c r="R130" s="2">
        <f>R9/'Output-Calculation-sheet'!R8*'Output-Calculation-sheet'!R107</f>
        <v>4065447608.7881899</v>
      </c>
      <c r="S130" s="2">
        <f>S9/'Output-Calculation-sheet'!S8*'Output-Calculation-sheet'!S107</f>
        <v>2702104389.6966133</v>
      </c>
      <c r="T130" s="2">
        <f>T9/'Output-Calculation-sheet'!T8*'Output-Calculation-sheet'!T107</f>
        <v>1494423681.9412761</v>
      </c>
      <c r="U130" s="2">
        <f>U9/'Output-Calculation-sheet'!U8*'Output-Calculation-sheet'!U107</f>
        <v>1301591538.457092</v>
      </c>
      <c r="V130" s="2">
        <f>V9/'Output-Calculation-sheet'!V8*'Output-Calculation-sheet'!V107</f>
        <v>1002251516.169104</v>
      </c>
      <c r="W130" s="2">
        <f>W9/'Output-Calculation-sheet'!W8*'Output-Calculation-sheet'!W107</f>
        <v>867727919.55774331</v>
      </c>
      <c r="X130" s="2">
        <f>X9/'Output-Calculation-sheet'!X8*'Output-Calculation-sheet'!X107</f>
        <v>520636649.57959551</v>
      </c>
      <c r="Y130" s="2">
        <f>Y9/'Output-Calculation-sheet'!Y8*'Output-Calculation-sheet'!Y107</f>
        <v>506314034.32923806</v>
      </c>
      <c r="AA130" s="2">
        <f t="shared" si="11"/>
        <v>188695.67924576212</v>
      </c>
    </row>
    <row r="131" spans="1:27" x14ac:dyDescent="0.25">
      <c r="A131" s="2">
        <v>2033</v>
      </c>
      <c r="B131" s="2">
        <f>B10/'Output-Calculation-sheet'!B9*'Output-Calculation-sheet'!B108</f>
        <v>32917054466.79829</v>
      </c>
      <c r="C131" s="2">
        <f>C10/'Output-Calculation-sheet'!C9*'Output-Calculation-sheet'!C108</f>
        <v>19262873723.272675</v>
      </c>
      <c r="D131" s="2">
        <f>D10/'Output-Calculation-sheet'!D9*'Output-Calculation-sheet'!D108</f>
        <v>13825541930.406904</v>
      </c>
      <c r="E131" s="2">
        <f>E10/'Output-Calculation-sheet'!E9*'Output-Calculation-sheet'!E108</f>
        <v>10969160262.737206</v>
      </c>
      <c r="F131" s="2">
        <f>F10/'Output-Calculation-sheet'!F9*'Output-Calculation-sheet'!F108</f>
        <v>7061242085.6294117</v>
      </c>
      <c r="G131" s="2">
        <f>G10/'Output-Calculation-sheet'!G9*'Output-Calculation-sheet'!G108</f>
        <v>4961422479.921628</v>
      </c>
      <c r="H131" s="2">
        <f>H10/'Output-Calculation-sheet'!H9*'Output-Calculation-sheet'!H108</f>
        <v>4839677176.1140223</v>
      </c>
      <c r="I131" s="2">
        <f>I10/'Output-Calculation-sheet'!I9*'Output-Calculation-sheet'!I108</f>
        <v>4520248172.0045347</v>
      </c>
      <c r="J131" s="2">
        <f>J10/'Output-Calculation-sheet'!J9*'Output-Calculation-sheet'!J108</f>
        <v>4399696537.8971186</v>
      </c>
      <c r="K131" s="2">
        <f>K10/'Output-Calculation-sheet'!K9*'Output-Calculation-sheet'!K108</f>
        <v>4357516700.2787733</v>
      </c>
      <c r="L131" s="2">
        <f>L10/'Output-Calculation-sheet'!L9*'Output-Calculation-sheet'!L108</f>
        <v>3495657919.322546</v>
      </c>
      <c r="M131" s="2">
        <f>M10/'Output-Calculation-sheet'!M9*'Output-Calculation-sheet'!M108</f>
        <v>3338955361.8520188</v>
      </c>
      <c r="N131" s="2">
        <f>N10/'Output-Calculation-sheet'!N9*'Output-Calculation-sheet'!N108</f>
        <v>3277174409.4889278</v>
      </c>
      <c r="O131" s="2">
        <f>O10/'Output-Calculation-sheet'!O9*'Output-Calculation-sheet'!O108</f>
        <v>4251125751.5765009</v>
      </c>
      <c r="P131" s="2">
        <f>P10/'Output-Calculation-sheet'!P9*'Output-Calculation-sheet'!P108</f>
        <v>2983363816.0176654</v>
      </c>
      <c r="Q131" s="2">
        <f>Q10/'Output-Calculation-sheet'!Q9*'Output-Calculation-sheet'!Q108</f>
        <v>2935147237.2409072</v>
      </c>
      <c r="R131" s="2">
        <f>R10/'Output-Calculation-sheet'!R9*'Output-Calculation-sheet'!R108</f>
        <v>2823745560.0151334</v>
      </c>
      <c r="S131" s="2">
        <f>S10/'Output-Calculation-sheet'!S9*'Output-Calculation-sheet'!S108</f>
        <v>1876806681.1026354</v>
      </c>
      <c r="T131" s="2">
        <f>T10/'Output-Calculation-sheet'!T9*'Output-Calculation-sheet'!T108</f>
        <v>1037984381.8495148</v>
      </c>
      <c r="U131" s="2">
        <f>U10/'Output-Calculation-sheet'!U9*'Output-Calculation-sheet'!U108</f>
        <v>904049108.19518077</v>
      </c>
      <c r="V131" s="2">
        <f>V10/'Output-Calculation-sheet'!V9*'Output-Calculation-sheet'!V108</f>
        <v>696135894.10240006</v>
      </c>
      <c r="W131" s="2">
        <f>W10/'Output-Calculation-sheet'!W9*'Output-Calculation-sheet'!W108</f>
        <v>602699405.27886832</v>
      </c>
      <c r="X131" s="2">
        <f>X10/'Output-Calculation-sheet'!X9*'Output-Calculation-sheet'!X108</f>
        <v>361619572.53055221</v>
      </c>
      <c r="Y131" s="2">
        <f>Y10/'Output-Calculation-sheet'!Y9*'Output-Calculation-sheet'!Y108</f>
        <v>351671487.5447343</v>
      </c>
      <c r="AA131" s="2">
        <f t="shared" si="11"/>
        <v>136050.57012117817</v>
      </c>
    </row>
    <row r="132" spans="1:27" x14ac:dyDescent="0.25">
      <c r="A132" s="2">
        <v>2034</v>
      </c>
      <c r="B132" s="2">
        <f>B11/'Output-Calculation-sheet'!B10*'Output-Calculation-sheet'!B109</f>
        <v>16257751235.847979</v>
      </c>
      <c r="C132" s="2">
        <f>C11/'Output-Calculation-sheet'!C10*'Output-Calculation-sheet'!C109</f>
        <v>18361372284.521481</v>
      </c>
      <c r="D132" s="2">
        <f>D11/'Output-Calculation-sheet'!D10*'Output-Calculation-sheet'!D109</f>
        <v>6828442732.0555515</v>
      </c>
      <c r="E132" s="2">
        <f>E11/'Output-Calculation-sheet'!E10*'Output-Calculation-sheet'!E109</f>
        <v>5417675955.8781786</v>
      </c>
      <c r="F132" s="2">
        <f>F11/'Output-Calculation-sheet'!F10*'Output-Calculation-sheet'!F109</f>
        <v>3487552424.2184238</v>
      </c>
      <c r="G132" s="2">
        <f>G11/'Output-Calculation-sheet'!G10*'Output-Calculation-sheet'!G109</f>
        <v>2450450429.5060492</v>
      </c>
      <c r="H132" s="2">
        <f>H11/'Output-Calculation-sheet'!H10*'Output-Calculation-sheet'!H109</f>
        <v>2390319955.5133986</v>
      </c>
      <c r="I132" s="2">
        <f>I11/'Output-Calculation-sheet'!I10*'Output-Calculation-sheet'!I109</f>
        <v>2232553057.1987739</v>
      </c>
      <c r="J132" s="2">
        <f>J11/'Output-Calculation-sheet'!J10*'Output-Calculation-sheet'!J109</f>
        <v>2173012868.4713135</v>
      </c>
      <c r="K132" s="2">
        <f>K11/'Output-Calculation-sheet'!K10*'Output-Calculation-sheet'!K109</f>
        <v>2152180896.4816957</v>
      </c>
      <c r="L132" s="2">
        <f>L11/'Output-Calculation-sheet'!L10*'Output-Calculation-sheet'!L109</f>
        <v>1726507631.6779711</v>
      </c>
      <c r="M132" s="2">
        <f>M11/'Output-Calculation-sheet'!M10*'Output-Calculation-sheet'!M109</f>
        <v>1649112397.7016492</v>
      </c>
      <c r="N132" s="2">
        <f>N11/'Output-Calculation-sheet'!N10*'Output-Calculation-sheet'!N109</f>
        <v>1618599243.7338696</v>
      </c>
      <c r="O132" s="2">
        <f>O11/'Output-Calculation-sheet'!O10*'Output-Calculation-sheet'!O109</f>
        <v>4018415323.0441408</v>
      </c>
      <c r="P132" s="2">
        <f>P11/'Output-Calculation-sheet'!P10*'Output-Calculation-sheet'!P109</f>
        <v>1473485019.9732182</v>
      </c>
      <c r="Q132" s="2">
        <f>Q11/'Output-Calculation-sheet'!Q10*'Output-Calculation-sheet'!Q109</f>
        <v>1449671061.598706</v>
      </c>
      <c r="R132" s="2">
        <f>R11/'Output-Calculation-sheet'!R10*'Output-Calculation-sheet'!R109</f>
        <v>1394650132.8062613</v>
      </c>
      <c r="S132" s="2">
        <f>S11/'Output-Calculation-sheet'!S10*'Output-Calculation-sheet'!S109</f>
        <v>926955993.79660833</v>
      </c>
      <c r="T132" s="2">
        <f>T11/'Output-Calculation-sheet'!T10*'Output-Calculation-sheet'!T109</f>
        <v>512661376.32589537</v>
      </c>
      <c r="U132" s="2">
        <f>U11/'Output-Calculation-sheet'!U10*'Output-Calculation-sheet'!U109</f>
        <v>446510559.46107972</v>
      </c>
      <c r="V132" s="2">
        <f>V11/'Output-Calculation-sheet'!V10*'Output-Calculation-sheet'!V109</f>
        <v>343822060.97744733</v>
      </c>
      <c r="W132" s="2">
        <f>W11/'Output-Calculation-sheet'!W10*'Output-Calculation-sheet'!W109</f>
        <v>297673706.28915292</v>
      </c>
      <c r="X132" s="2">
        <f>X11/'Output-Calculation-sheet'!X10*'Output-Calculation-sheet'!X109</f>
        <v>201668753.56505838</v>
      </c>
      <c r="Y132" s="2">
        <f>Y11/'Output-Calculation-sheet'!Y10*'Output-Calculation-sheet'!Y109</f>
        <v>173690848.6770876</v>
      </c>
      <c r="AA132" s="2">
        <f t="shared" si="11"/>
        <v>77984.73594932101</v>
      </c>
    </row>
    <row r="133" spans="1:27" x14ac:dyDescent="0.25">
      <c r="A133" s="2">
        <v>2035</v>
      </c>
      <c r="B133" s="2">
        <f>B12/'Output-Calculation-sheet'!B11*'Output-Calculation-sheet'!B110</f>
        <v>10268226499.563494</v>
      </c>
      <c r="C133" s="2">
        <f>C12/'Output-Calculation-sheet'!C11*'Output-Calculation-sheet'!C110</f>
        <v>16495101987.152056</v>
      </c>
      <c r="D133" s="2">
        <f>D12/'Output-Calculation-sheet'!D11*'Output-Calculation-sheet'!D110</f>
        <v>4481984331.8628864</v>
      </c>
      <c r="E133" s="2">
        <f>E12/'Output-Calculation-sheet'!E11*'Output-Calculation-sheet'!E110</f>
        <v>2147340559.0598934</v>
      </c>
      <c r="F133" s="2">
        <f>F12/'Output-Calculation-sheet'!F11*'Output-Calculation-sheet'!F110</f>
        <v>1638559491.4418576</v>
      </c>
      <c r="G133" s="2">
        <f>G12/'Output-Calculation-sheet'!G11*'Output-Calculation-sheet'!G110</f>
        <v>1529711892.9581914</v>
      </c>
      <c r="H133" s="2">
        <f>H12/'Output-Calculation-sheet'!H11*'Output-Calculation-sheet'!H110</f>
        <v>2125242644.9375446</v>
      </c>
      <c r="I133" s="2">
        <f>I12/'Output-Calculation-sheet'!I11*'Output-Calculation-sheet'!I110</f>
        <v>1264209269.7375317</v>
      </c>
      <c r="J133" s="2">
        <f>J12/'Output-Calculation-sheet'!J11*'Output-Calculation-sheet'!J110</f>
        <v>1231190178.9749384</v>
      </c>
      <c r="K133" s="2">
        <f>K12/'Output-Calculation-sheet'!K11*'Output-Calculation-sheet'!K110</f>
        <v>1065247647.339092</v>
      </c>
      <c r="L133" s="2">
        <f>L12/'Output-Calculation-sheet'!L11*'Output-Calculation-sheet'!L110</f>
        <v>556776668.73860824</v>
      </c>
      <c r="M133" s="2">
        <f>M12/'Output-Calculation-sheet'!M11*'Output-Calculation-sheet'!M110</f>
        <v>1129732919.6873341</v>
      </c>
      <c r="N133" s="2">
        <f>N12/'Output-Calculation-sheet'!N11*'Output-Calculation-sheet'!N110</f>
        <v>1018021127.3022846</v>
      </c>
      <c r="O133" s="2">
        <f>O12/'Output-Calculation-sheet'!O11*'Output-Calculation-sheet'!O110</f>
        <v>3622786161.8684683</v>
      </c>
      <c r="P133" s="2">
        <f>P12/'Output-Calculation-sheet'!P11*'Output-Calculation-sheet'!P110</f>
        <v>750197185.50805652</v>
      </c>
      <c r="Q133" s="2">
        <f>Q12/'Output-Calculation-sheet'!Q11*'Output-Calculation-sheet'!Q110</f>
        <v>1035300257.2051185</v>
      </c>
      <c r="R133" s="2">
        <f>R12/'Output-Calculation-sheet'!R11*'Output-Calculation-sheet'!R110</f>
        <v>633649146.27653575</v>
      </c>
      <c r="S133" s="2">
        <f>S12/'Output-Calculation-sheet'!S11*'Output-Calculation-sheet'!S110</f>
        <v>621520761.49975598</v>
      </c>
      <c r="T133" s="2">
        <f>T12/'Output-Calculation-sheet'!T11*'Output-Calculation-sheet'!T110</f>
        <v>164059713.5322507</v>
      </c>
      <c r="U133" s="2">
        <f>U12/'Output-Calculation-sheet'!U11*'Output-Calculation-sheet'!U110</f>
        <v>323213946.40180349</v>
      </c>
      <c r="V133" s="2">
        <f>V12/'Output-Calculation-sheet'!V11*'Output-Calculation-sheet'!V110</f>
        <v>70680626.459483534</v>
      </c>
      <c r="W133" s="2">
        <f>W12/'Output-Calculation-sheet'!W11*'Output-Calculation-sheet'!W110</f>
        <v>87657722.436001077</v>
      </c>
      <c r="X133" s="2">
        <f>X12/'Output-Calculation-sheet'!X11*'Output-Calculation-sheet'!X110</f>
        <v>177883855.58204848</v>
      </c>
      <c r="Y133" s="2">
        <f>Y12/'Output-Calculation-sheet'!Y11*'Output-Calculation-sheet'!Y110</f>
        <v>76832987.870656967</v>
      </c>
      <c r="AA133" s="2">
        <f t="shared" si="11"/>
        <v>52515.127583395886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topLeftCell="B100" workbookViewId="0">
      <selection activeCell="AA108" sqref="AA108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1293.1357145888223</v>
      </c>
      <c r="C19" s="2">
        <f>C8/'Output-Calculation-sheet'!C7*'Output-Calculation-sheet'!C25</f>
        <v>19491.741913511625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5815.0154763714618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4031.3636999331306</v>
      </c>
      <c r="N19" s="2">
        <f>N8/'Output-Calculation-sheet'!N7*'Output-Calculation-sheet'!N25</f>
        <v>1380.190547037467</v>
      </c>
      <c r="O19" s="2">
        <f>O8/'Output-Calculation-sheet'!O7*'Output-Calculation-sheet'!O25</f>
        <v>3770.0972285936546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492.47377511410815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450.42440774612265</v>
      </c>
      <c r="Y19" s="2">
        <f>Y8/'Output-Calculation-sheet'!Y7*'Output-Calculation-sheet'!Y25</f>
        <v>0</v>
      </c>
      <c r="AA19" s="2">
        <f t="shared" si="0"/>
        <v>36.724442762896388</v>
      </c>
    </row>
    <row r="20" spans="1:27" x14ac:dyDescent="0.25">
      <c r="A20" s="2">
        <v>2032</v>
      </c>
      <c r="B20" s="2">
        <f>B9/'Output-Calculation-sheet'!B8*'Output-Calculation-sheet'!B26</f>
        <v>7661.374719675051</v>
      </c>
      <c r="C20" s="2">
        <f>C9/'Output-Calculation-sheet'!C8*'Output-Calculation-sheet'!C26</f>
        <v>28057.040706541324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8325.032676274559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5792.2123902644544</v>
      </c>
      <c r="N20" s="2">
        <f>N9/'Output-Calculation-sheet'!N8*'Output-Calculation-sheet'!N26</f>
        <v>2613.7088957790102</v>
      </c>
      <c r="O20" s="2">
        <f>O9/'Output-Calculation-sheet'!O8*'Output-Calculation-sheet'!O26</f>
        <v>5466.7921098521101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949.89277340464912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648.0253861896598</v>
      </c>
      <c r="Y20" s="2">
        <f>Y9/'Output-Calculation-sheet'!Y8*'Output-Calculation-sheet'!Y26</f>
        <v>0</v>
      </c>
      <c r="AA20" s="2">
        <f t="shared" si="0"/>
        <v>59.514079657980815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36096.083257203849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11106.989325937557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7714.6985007721414</v>
      </c>
      <c r="N21" s="2">
        <f>N10/'Output-Calculation-sheet'!N9*'Output-Calculation-sheet'!N27</f>
        <v>4219.706861894193</v>
      </c>
      <c r="O21" s="2">
        <f>O10/'Output-Calculation-sheet'!O9*'Output-Calculation-sheet'!O27</f>
        <v>6367.4543816752985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1836.9798922978218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907.20311827818659</v>
      </c>
      <c r="Y21" s="2">
        <f>Y10/'Output-Calculation-sheet'!Y9*'Output-Calculation-sheet'!Y27</f>
        <v>0</v>
      </c>
      <c r="AA21" s="2">
        <f t="shared" si="0"/>
        <v>87.748827912084209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40374.031584314813</v>
      </c>
      <c r="D22" s="2">
        <f>D11/'Output-Calculation-sheet'!D10*'Output-Calculation-sheet'!D28</f>
        <v>0</v>
      </c>
      <c r="E22" s="2">
        <f>E11/'Output-Calculation-sheet'!E10*'Output-Calculation-sheet'!E28</f>
        <v>1989.5469929121284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15904.394068040616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1206.0614859870579</v>
      </c>
      <c r="M22" s="2">
        <f>M11/'Output-Calculation-sheet'!M10*'Output-Calculation-sheet'!M28</f>
        <v>10959.709308591888</v>
      </c>
      <c r="N22" s="2">
        <f>N11/'Output-Calculation-sheet'!N10*'Output-Calculation-sheet'!N28</f>
        <v>6307.3737562216174</v>
      </c>
      <c r="O22" s="2">
        <f>O11/'Output-Calculation-sheet'!O10*'Output-Calculation-sheet'!O28</f>
        <v>7225.3987531015491</v>
      </c>
      <c r="P22" s="2">
        <f>P11/'Output-Calculation-sheet'!P10*'Output-Calculation-sheet'!P28</f>
        <v>0</v>
      </c>
      <c r="Q22" s="2">
        <f>Q11/'Output-Calculation-sheet'!Q10*'Output-Calculation-sheet'!Q28</f>
        <v>2365.514760477135</v>
      </c>
      <c r="R22" s="2">
        <f>R11/'Output-Calculation-sheet'!R10*'Output-Calculation-sheet'!R28</f>
        <v>0</v>
      </c>
      <c r="S22" s="2">
        <f>S11/'Output-Calculation-sheet'!S10*'Output-Calculation-sheet'!S28</f>
        <v>3198.7346545371706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1106.6299325662492</v>
      </c>
      <c r="Y22" s="2">
        <f>Y11/'Output-Calculation-sheet'!Y10*'Output-Calculation-sheet'!Y28</f>
        <v>110.08250806600896</v>
      </c>
      <c r="AA22" s="2">
        <f t="shared" si="0"/>
        <v>130.34295662282693</v>
      </c>
    </row>
    <row r="23" spans="1:27" x14ac:dyDescent="0.25">
      <c r="A23" s="2">
        <v>2035</v>
      </c>
      <c r="B23" s="2">
        <f>B12/'Output-Calculation-sheet'!B11*'Output-Calculation-sheet'!B29</f>
        <v>52221.756828481819</v>
      </c>
      <c r="C23" s="2">
        <f>C12/'Output-Calculation-sheet'!C11*'Output-Calculation-sheet'!C29</f>
        <v>44662.314238485473</v>
      </c>
      <c r="D23" s="2">
        <f>D12/'Output-Calculation-sheet'!D11*'Output-Calculation-sheet'!D29</f>
        <v>0</v>
      </c>
      <c r="E23" s="2">
        <f>E12/'Output-Calculation-sheet'!E11*'Output-Calculation-sheet'!E29</f>
        <v>9971.5621551364984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17328.357893130757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2916.4213424175341</v>
      </c>
      <c r="M23" s="2">
        <f>M12/'Output-Calculation-sheet'!M11*'Output-Calculation-sheet'!M29</f>
        <v>13110.927122242776</v>
      </c>
      <c r="N23" s="2">
        <f>N12/'Output-Calculation-sheet'!N11*'Output-Calculation-sheet'!N29</f>
        <v>7663.2501050339988</v>
      </c>
      <c r="O23" s="2">
        <f>O12/'Output-Calculation-sheet'!O11*'Output-Calculation-sheet'!O29</f>
        <v>7988.9574201787864</v>
      </c>
      <c r="P23" s="2">
        <f>P12/'Output-Calculation-sheet'!P11*'Output-Calculation-sheet'!P29</f>
        <v>1052.689022816227</v>
      </c>
      <c r="Q23" s="2">
        <f>Q12/'Output-Calculation-sheet'!Q11*'Output-Calculation-sheet'!Q29</f>
        <v>3353.7019267428996</v>
      </c>
      <c r="R23" s="2">
        <f>R12/'Output-Calculation-sheet'!R11*'Output-Calculation-sheet'!R29</f>
        <v>0</v>
      </c>
      <c r="S23" s="2">
        <f>S12/'Output-Calculation-sheet'!S11*'Output-Calculation-sheet'!S29</f>
        <v>3981.4982210380681</v>
      </c>
      <c r="T23" s="2">
        <f>T12/'Output-Calculation-sheet'!T11*'Output-Calculation-sheet'!T29</f>
        <v>0</v>
      </c>
      <c r="U23" s="2">
        <f>U12/'Output-Calculation-sheet'!U11*'Output-Calculation-sheet'!U29</f>
        <v>231.0548541032087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1241.8305075683145</v>
      </c>
      <c r="Y23" s="2">
        <f>Y12/'Output-Calculation-sheet'!Y11*'Output-Calculation-sheet'!Y29</f>
        <v>397.96880906492447</v>
      </c>
      <c r="AA23" s="2">
        <f t="shared" si="0"/>
        <v>166.1222904464413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22538.935434857889</v>
      </c>
      <c r="C30" s="2">
        <f>C8/'Output-Calculation-sheet'!C7*'Output-Calculation-sheet'!C16</f>
        <v>0</v>
      </c>
      <c r="D30" s="2">
        <f>D8/'Output-Calculation-sheet'!D7*'Output-Calculation-sheet'!D16</f>
        <v>3795.2587702781661</v>
      </c>
      <c r="E30" s="2">
        <f>E8/'Output-Calculation-sheet'!E7*'Output-Calculation-sheet'!E16</f>
        <v>4083.4840128282835</v>
      </c>
      <c r="F30" s="2">
        <f>F8/'Output-Calculation-sheet'!F7*'Output-Calculation-sheet'!F16</f>
        <v>2060.1394138017581</v>
      </c>
      <c r="G30" s="2">
        <f>G8/'Output-Calculation-sheet'!G7*'Output-Calculation-sheet'!G16</f>
        <v>1349.1466299538881</v>
      </c>
      <c r="H30" s="2">
        <f>H8/'Output-Calculation-sheet'!H7*'Output-Calculation-sheet'!H16</f>
        <v>0</v>
      </c>
      <c r="I30" s="2">
        <f>I8/'Output-Calculation-sheet'!I7*'Output-Calculation-sheet'!I16</f>
        <v>1315.2159547146343</v>
      </c>
      <c r="J30" s="2">
        <f>J8/'Output-Calculation-sheet'!J7*'Output-Calculation-sheet'!J16</f>
        <v>1170.7950944305942</v>
      </c>
      <c r="K30" s="2">
        <f>K8/'Output-Calculation-sheet'!K7*'Output-Calculation-sheet'!K16</f>
        <v>1563.2352366147816</v>
      </c>
      <c r="L30" s="2">
        <f>L8/'Output-Calculation-sheet'!L7*'Output-Calculation-sheet'!L16</f>
        <v>1320.4255467722649</v>
      </c>
      <c r="M30" s="2">
        <f>M8/'Output-Calculation-sheet'!M7*'Output-Calculation-sheet'!M16</f>
        <v>0</v>
      </c>
      <c r="N30" s="2">
        <f>N8/'Output-Calculation-sheet'!N7*'Output-Calculation-sheet'!N16</f>
        <v>1875.553244959021</v>
      </c>
      <c r="O30" s="2">
        <f>O8/'Output-Calculation-sheet'!O7*'Output-Calculation-sheet'!O16</f>
        <v>0</v>
      </c>
      <c r="P30" s="2">
        <f>P8/'Output-Calculation-sheet'!P7*'Output-Calculation-sheet'!P16</f>
        <v>1685.685714752608</v>
      </c>
      <c r="Q30" s="2">
        <f>Q8/'Output-Calculation-sheet'!Q7*'Output-Calculation-sheet'!Q16</f>
        <v>1853.6975719420461</v>
      </c>
      <c r="R30" s="2">
        <f>R8/'Output-Calculation-sheet'!R7*'Output-Calculation-sheet'!R16</f>
        <v>1176.1791662789542</v>
      </c>
      <c r="S30" s="2">
        <f>S8/'Output-Calculation-sheet'!S7*'Output-Calculation-sheet'!S16</f>
        <v>1182.8913471774808</v>
      </c>
      <c r="T30" s="2">
        <f>T8/'Output-Calculation-sheet'!T7*'Output-Calculation-sheet'!T16</f>
        <v>353.07207903450649</v>
      </c>
      <c r="U30" s="2">
        <f>U8/'Output-Calculation-sheet'!U7*'Output-Calculation-sheet'!U16</f>
        <v>352.44097164633024</v>
      </c>
      <c r="V30" s="2">
        <f>V8/'Output-Calculation-sheet'!V7*'Output-Calculation-sheet'!V16</f>
        <v>274.29810886799572</v>
      </c>
      <c r="W30" s="2">
        <f>W8/'Output-Calculation-sheet'!W7*'Output-Calculation-sheet'!W16</f>
        <v>166.37563109170057</v>
      </c>
      <c r="X30" s="2">
        <f>X8/'Output-Calculation-sheet'!X7*'Output-Calculation-sheet'!X16</f>
        <v>0</v>
      </c>
      <c r="Y30" s="2">
        <f>Y8/'Output-Calculation-sheet'!Y7*'Output-Calculation-sheet'!Y16</f>
        <v>140.81805691500969</v>
      </c>
      <c r="AA30" s="2">
        <f t="shared" si="1"/>
        <v>48.25764798691791</v>
      </c>
    </row>
    <row r="31" spans="1:27" x14ac:dyDescent="0.25">
      <c r="A31" s="2">
        <v>2032</v>
      </c>
      <c r="B31" s="2">
        <f>B9/'Output-Calculation-sheet'!B8*'Output-Calculation-sheet'!B17</f>
        <v>32440.791785479254</v>
      </c>
      <c r="C31" s="2">
        <f>C9/'Output-Calculation-sheet'!C8*'Output-Calculation-sheet'!C17</f>
        <v>0</v>
      </c>
      <c r="D31" s="2">
        <f>D9/'Output-Calculation-sheet'!D8*'Output-Calculation-sheet'!D17</f>
        <v>5440.7467183266081</v>
      </c>
      <c r="E31" s="2">
        <f>E9/'Output-Calculation-sheet'!E8*'Output-Calculation-sheet'!E17</f>
        <v>6394.8544078911746</v>
      </c>
      <c r="F31" s="2">
        <f>F9/'Output-Calculation-sheet'!F8*'Output-Calculation-sheet'!F17</f>
        <v>2953.4138383830068</v>
      </c>
      <c r="G31" s="2">
        <f>G9/'Output-Calculation-sheet'!G8*'Output-Calculation-sheet'!G17</f>
        <v>1934.1173631292891</v>
      </c>
      <c r="H31" s="2">
        <f>H9/'Output-Calculation-sheet'!H8*'Output-Calculation-sheet'!H17</f>
        <v>0</v>
      </c>
      <c r="I31" s="2">
        <f>I9/'Output-Calculation-sheet'!I8*'Output-Calculation-sheet'!I17</f>
        <v>1885.4836625979472</v>
      </c>
      <c r="J31" s="2">
        <f>J9/'Output-Calculation-sheet'!J8*'Output-Calculation-sheet'!J17</f>
        <v>1678.4438862436537</v>
      </c>
      <c r="K31" s="2">
        <f>K9/'Output-Calculation-sheet'!K8*'Output-Calculation-sheet'!K17</f>
        <v>2389.658442909018</v>
      </c>
      <c r="L31" s="2">
        <f>L9/'Output-Calculation-sheet'!L8*'Output-Calculation-sheet'!L17</f>
        <v>2037.9585604684396</v>
      </c>
      <c r="M31" s="2">
        <f>M9/'Output-Calculation-sheet'!M8*'Output-Calculation-sheet'!M17</f>
        <v>0</v>
      </c>
      <c r="N31" s="2">
        <f>N9/'Output-Calculation-sheet'!N8*'Output-Calculation-sheet'!N17</f>
        <v>2215.4693893901094</v>
      </c>
      <c r="O31" s="2">
        <f>O9/'Output-Calculation-sheet'!O8*'Output-Calculation-sheet'!O17</f>
        <v>0</v>
      </c>
      <c r="P31" s="2">
        <f>P9/'Output-Calculation-sheet'!P8*'Output-Calculation-sheet'!P17</f>
        <v>2749.7413775993609</v>
      </c>
      <c r="Q31" s="2">
        <f>Q9/'Output-Calculation-sheet'!Q8*'Output-Calculation-sheet'!Q17</f>
        <v>2931.4769463707648</v>
      </c>
      <c r="R31" s="2">
        <f>R9/'Output-Calculation-sheet'!R8*'Output-Calculation-sheet'!R17</f>
        <v>1917.9271450761728</v>
      </c>
      <c r="S31" s="2">
        <f>S9/'Output-Calculation-sheet'!S8*'Output-Calculation-sheet'!S17</f>
        <v>1650.2911949127199</v>
      </c>
      <c r="T31" s="2">
        <f>T9/'Output-Calculation-sheet'!T8*'Output-Calculation-sheet'!T17</f>
        <v>520.44354333223453</v>
      </c>
      <c r="U31" s="2">
        <f>U9/'Output-Calculation-sheet'!U8*'Output-Calculation-sheet'!U17</f>
        <v>598.15554950312685</v>
      </c>
      <c r="V31" s="2">
        <f>V9/'Output-Calculation-sheet'!V8*'Output-Calculation-sheet'!V17</f>
        <v>428.43043827708283</v>
      </c>
      <c r="W31" s="2">
        <f>W9/'Output-Calculation-sheet'!W8*'Output-Calculation-sheet'!W17</f>
        <v>238.51733349545438</v>
      </c>
      <c r="X31" s="2">
        <f>X9/'Output-Calculation-sheet'!X8*'Output-Calculation-sheet'!X17</f>
        <v>0</v>
      </c>
      <c r="Y31" s="2">
        <f>Y9/'Output-Calculation-sheet'!Y8*'Output-Calculation-sheet'!Y17</f>
        <v>230.45941954638658</v>
      </c>
      <c r="AA31" s="2">
        <f t="shared" si="1"/>
        <v>70.636381002931799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2374.2263766631131</v>
      </c>
      <c r="O32" s="2">
        <f>O10/'Output-Calculation-sheet'!O9*'Output-Calculation-sheet'!O18</f>
        <v>0</v>
      </c>
      <c r="P32" s="2">
        <f>P10/'Output-Calculation-sheet'!P9*'Output-Calculation-sheet'!P18</f>
        <v>3822.0247496895595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2748.4343168776022</v>
      </c>
      <c r="S32" s="2">
        <f>S10/'Output-Calculation-sheet'!S9*'Output-Calculation-sheet'!S18</f>
        <v>1796.26667098132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887.25761251062568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93.615791082637017</v>
      </c>
    </row>
    <row r="33" spans="1:27" x14ac:dyDescent="0.25">
      <c r="A33" s="2">
        <v>2034</v>
      </c>
      <c r="B33" s="2">
        <f>B11/'Output-Calculation-sheet'!B10*'Output-Calculation-sheet'!B19</f>
        <v>39938.325228336114</v>
      </c>
      <c r="C33" s="2">
        <f>C11/'Output-Calculation-sheet'!C10*'Output-Calculation-sheet'!C19</f>
        <v>0</v>
      </c>
      <c r="D33" s="2">
        <f>D11/'Output-Calculation-sheet'!D10*'Output-Calculation-sheet'!D19</f>
        <v>11911.981163930821</v>
      </c>
      <c r="E33" s="2">
        <f>E11/'Output-Calculation-sheet'!E10*'Output-Calculation-sheet'!E19</f>
        <v>14798.065070575214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4055.3639483522434</v>
      </c>
      <c r="H33" s="2">
        <f>H11/'Output-Calculation-sheet'!H10*'Output-Calculation-sheet'!H19</f>
        <v>0</v>
      </c>
      <c r="I33" s="2">
        <f>I11/'Output-Calculation-sheet'!I10*'Output-Calculation-sheet'!I19</f>
        <v>4424.7136032571716</v>
      </c>
      <c r="J33" s="2">
        <f>J11/'Output-Calculation-sheet'!J10*'Output-Calculation-sheet'!J19</f>
        <v>3748.8070200030152</v>
      </c>
      <c r="K33" s="2">
        <f>K11/'Output-Calculation-sheet'!K10*'Output-Calculation-sheet'!K19</f>
        <v>5190.9969605564156</v>
      </c>
      <c r="L33" s="2">
        <f>L11/'Output-Calculation-sheet'!L10*'Output-Calculation-sheet'!L19</f>
        <v>4225.3733481619602</v>
      </c>
      <c r="M33" s="2">
        <f>M11/'Output-Calculation-sheet'!M10*'Output-Calculation-sheet'!M19</f>
        <v>0</v>
      </c>
      <c r="N33" s="2">
        <f>N11/'Output-Calculation-sheet'!N10*'Output-Calculation-sheet'!N19</f>
        <v>2387.3834276303219</v>
      </c>
      <c r="O33" s="2">
        <f>O11/'Output-Calculation-sheet'!O10*'Output-Calculation-sheet'!O19</f>
        <v>0</v>
      </c>
      <c r="P33" s="2">
        <f>P11/'Output-Calculation-sheet'!P10*'Output-Calculation-sheet'!P19</f>
        <v>5253.0899614761147</v>
      </c>
      <c r="Q33" s="2">
        <f>Q11/'Output-Calculation-sheet'!Q10*'Output-Calculation-sheet'!Q19</f>
        <v>4206.0870826290111</v>
      </c>
      <c r="R33" s="2">
        <f>R11/'Output-Calculation-sheet'!R10*'Output-Calculation-sheet'!R19</f>
        <v>3750.460575546273</v>
      </c>
      <c r="S33" s="2">
        <f>S11/'Output-Calculation-sheet'!S10*'Output-Calculation-sheet'!S19</f>
        <v>1752.992479865421</v>
      </c>
      <c r="T33" s="2">
        <f>T11/'Output-Calculation-sheet'!T10*'Output-Calculation-sheet'!T19</f>
        <v>1100.5410922068429</v>
      </c>
      <c r="U33" s="2">
        <f>U11/'Output-Calculation-sheet'!U10*'Output-Calculation-sheet'!U19</f>
        <v>1266.6366252092248</v>
      </c>
      <c r="V33" s="2">
        <f>V11/'Output-Calculation-sheet'!V10*'Output-Calculation-sheet'!V19</f>
        <v>864.19057960239184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169.95300549448868</v>
      </c>
      <c r="Y33" s="2">
        <f>Y11/'Output-Calculation-sheet'!Y10*'Output-Calculation-sheet'!Y19</f>
        <v>484.36303549043936</v>
      </c>
      <c r="AA33" s="2">
        <f t="shared" si="1"/>
        <v>116.83829107329436</v>
      </c>
    </row>
    <row r="34" spans="1:27" x14ac:dyDescent="0.25">
      <c r="A34" s="2">
        <v>2035</v>
      </c>
      <c r="B34" s="2">
        <f>B12/'Output-Calculation-sheet'!B11*'Output-Calculation-sheet'!B20</f>
        <v>40487.261295696444</v>
      </c>
      <c r="C34" s="2">
        <f>C12/'Output-Calculation-sheet'!C11*'Output-Calculation-sheet'!C20</f>
        <v>0</v>
      </c>
      <c r="D34" s="2">
        <f>D12/'Output-Calculation-sheet'!D11*'Output-Calculation-sheet'!D20</f>
        <v>13988.363816053543</v>
      </c>
      <c r="E34" s="2">
        <f>E12/'Output-Calculation-sheet'!E11*'Output-Calculation-sheet'!E20</f>
        <v>13588.345656925798</v>
      </c>
      <c r="F34" s="2">
        <f>F12/'Output-Calculation-sheet'!F11*'Output-Calculation-sheet'!F20</f>
        <v>8901.4732594586731</v>
      </c>
      <c r="G34" s="2">
        <f>G12/'Output-Calculation-sheet'!G11*'Output-Calculation-sheet'!G20</f>
        <v>4723.1716817370061</v>
      </c>
      <c r="H34" s="2">
        <f>H12/'Output-Calculation-sheet'!H11*'Output-Calculation-sheet'!H20</f>
        <v>0</v>
      </c>
      <c r="I34" s="2">
        <f>I12/'Output-Calculation-sheet'!I11*'Output-Calculation-sheet'!I20</f>
        <v>5433.6708449864855</v>
      </c>
      <c r="J34" s="2">
        <f>J12/'Output-Calculation-sheet'!J11*'Output-Calculation-sheet'!J20</f>
        <v>4610.614373549337</v>
      </c>
      <c r="K34" s="2">
        <f>K12/'Output-Calculation-sheet'!K11*'Output-Calculation-sheet'!K20</f>
        <v>6494.2250138782001</v>
      </c>
      <c r="L34" s="2">
        <f>L12/'Output-Calculation-sheet'!L11*'Output-Calculation-sheet'!L20</f>
        <v>4740.0420780479626</v>
      </c>
      <c r="M34" s="2">
        <f>M12/'Output-Calculation-sheet'!M11*'Output-Calculation-sheet'!M20</f>
        <v>0</v>
      </c>
      <c r="N34" s="2">
        <f>N12/'Output-Calculation-sheet'!N11*'Output-Calculation-sheet'!N20</f>
        <v>2505.9422323017634</v>
      </c>
      <c r="O34" s="2">
        <f>O12/'Output-Calculation-sheet'!O11*'Output-Calculation-sheet'!O20</f>
        <v>0</v>
      </c>
      <c r="P34" s="2">
        <f>P12/'Output-Calculation-sheet'!P11*'Output-Calculation-sheet'!P20</f>
        <v>5656.0077951654703</v>
      </c>
      <c r="Q34" s="2">
        <f>Q12/'Output-Calculation-sheet'!Q11*'Output-Calculation-sheet'!Q20</f>
        <v>4192.6687611764264</v>
      </c>
      <c r="R34" s="2">
        <f>R12/'Output-Calculation-sheet'!R11*'Output-Calculation-sheet'!R20</f>
        <v>4760.4616455917849</v>
      </c>
      <c r="S34" s="2">
        <f>S12/'Output-Calculation-sheet'!S11*'Output-Calculation-sheet'!S20</f>
        <v>1742.411959352248</v>
      </c>
      <c r="T34" s="2">
        <f>T12/'Output-Calculation-sheet'!T11*'Output-Calculation-sheet'!T20</f>
        <v>1422.0937694893992</v>
      </c>
      <c r="U34" s="2">
        <f>U12/'Output-Calculation-sheet'!U11*'Output-Calculation-sheet'!U20</f>
        <v>1301.4683752372748</v>
      </c>
      <c r="V34" s="2">
        <f>V12/'Output-Calculation-sheet'!V11*'Output-Calculation-sheet'!V20</f>
        <v>1257.8259528050635</v>
      </c>
      <c r="W34" s="2">
        <f>W12/'Output-Calculation-sheet'!W11*'Output-Calculation-sheet'!W20</f>
        <v>763.6894281549188</v>
      </c>
      <c r="X34" s="2">
        <f>X12/'Output-Calculation-sheet'!X11*'Output-Calculation-sheet'!X20</f>
        <v>161.58288666985385</v>
      </c>
      <c r="Y34" s="2">
        <f>Y12/'Output-Calculation-sheet'!Y11*'Output-Calculation-sheet'!Y20</f>
        <v>414.53442623869523</v>
      </c>
      <c r="AA34" s="2">
        <f t="shared" si="1"/>
        <v>127.14585525251634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1.5606867445645536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0.30319944844032587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1.8638861930048796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1.6910092109396579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0.32851759768579741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2.0588207073140223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3.6090247334344681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0.70113641471987498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17.280161424539948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37719.555410303146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8161.0527386419662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5615.602888921575</v>
      </c>
      <c r="N52" s="2">
        <f>N8/'Output-Calculation-sheet'!N7*'Output-Calculation-sheet'!N43</f>
        <v>179.48736733422851</v>
      </c>
      <c r="O52" s="2">
        <f>O8/'Output-Calculation-sheet'!O7*'Output-Calculation-sheet'!O43</f>
        <v>7641.9475117270176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726.23247701805565</v>
      </c>
      <c r="Y52" s="2">
        <f>Y8/'Output-Calculation-sheet'!Y7*'Output-Calculation-sheet'!Y43</f>
        <v>0</v>
      </c>
      <c r="AA52" s="2">
        <f t="shared" si="3"/>
        <v>60.043878393945988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71316.166763615925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16702.799018699272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11414.619229332915</v>
      </c>
      <c r="N53" s="2">
        <f>N9/'Output-Calculation-sheet'!N8*'Output-Calculation-sheet'!N44</f>
        <v>4065.5063648928272</v>
      </c>
      <c r="O53" s="2">
        <f>O9/'Output-Calculation-sheet'!O8*'Output-Calculation-sheet'!O44</f>
        <v>14142.954318744562</v>
      </c>
      <c r="P53" s="2">
        <f>P9/'Output-Calculation-sheet'!P8*'Output-Calculation-sheet'!P44</f>
        <v>190.16685270879159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1268.4903495776368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1427.4066485971002</v>
      </c>
      <c r="Y53" s="2">
        <f>Y9/'Output-Calculation-sheet'!Y8*'Output-Calculation-sheet'!Y44</f>
        <v>0</v>
      </c>
      <c r="AA53" s="2">
        <f t="shared" si="3"/>
        <v>120.52810954616903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88849.622563368015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16410.005235761495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1807.7243047182124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653.31505280812576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210.92401406814344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97603.864982306564</v>
      </c>
      <c r="D55" s="2">
        <f>D11/'Output-Calculation-sheet'!D10*'Output-Calculation-sheet'!D46</f>
        <v>10511.924252544986</v>
      </c>
      <c r="E55" s="2">
        <f>E11/'Output-Calculation-sheet'!E10*'Output-Calculation-sheet'!E46</f>
        <v>12844.545461273976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35022.653083440957</v>
      </c>
      <c r="I55" s="2">
        <f>I11/'Output-Calculation-sheet'!I10*'Output-Calculation-sheet'!I46</f>
        <v>2543.7429091133245</v>
      </c>
      <c r="J55" s="2">
        <f>J11/'Output-Calculation-sheet'!J10*'Output-Calculation-sheet'!J46</f>
        <v>1804.1870668307795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24004.752982997295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17924.381207067192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7196.9224097783126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8992.5191587477802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2071.811719986737</v>
      </c>
      <c r="V55" s="2">
        <f>V11/'Output-Calculation-sheet'!V10*'Output-Calculation-sheet'!V46</f>
        <v>832.05975991356945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2478.2730839543547</v>
      </c>
      <c r="Y55" s="2">
        <f>Y11/'Output-Calculation-sheet'!Y10*'Output-Calculation-sheet'!Y46</f>
        <v>635.31527543761024</v>
      </c>
      <c r="AA55" s="2">
        <f t="shared" si="3"/>
        <v>381.84330409173873</v>
      </c>
    </row>
    <row r="56" spans="1:27" x14ac:dyDescent="0.25">
      <c r="A56" s="2">
        <v>2035</v>
      </c>
      <c r="B56" s="2">
        <f>B12/'Output-Calculation-sheet'!B11*'Output-Calculation-sheet'!B47</f>
        <v>156748.98111152844</v>
      </c>
      <c r="C56" s="2">
        <f>C12/'Output-Calculation-sheet'!C11*'Output-Calculation-sheet'!C47</f>
        <v>105738.09306729055</v>
      </c>
      <c r="D56" s="2">
        <f>D12/'Output-Calculation-sheet'!D11*'Output-Calculation-sheet'!D47</f>
        <v>22855.658042889783</v>
      </c>
      <c r="E56" s="2">
        <f>E12/'Output-Calculation-sheet'!E11*'Output-Calculation-sheet'!E47</f>
        <v>41342.946732925513</v>
      </c>
      <c r="F56" s="2">
        <f>F12/'Output-Calculation-sheet'!F11*'Output-Calculation-sheet'!F47</f>
        <v>4625.6711004367635</v>
      </c>
      <c r="G56" s="2">
        <f>G12/'Output-Calculation-sheet'!G11*'Output-Calculation-sheet'!G47</f>
        <v>10512.591787979194</v>
      </c>
      <c r="H56" s="2">
        <f>H12/'Output-Calculation-sheet'!H11*'Output-Calculation-sheet'!H47</f>
        <v>37714.515116522845</v>
      </c>
      <c r="I56" s="2">
        <f>I12/'Output-Calculation-sheet'!I11*'Output-Calculation-sheet'!I47</f>
        <v>6786.2071766799845</v>
      </c>
      <c r="J56" s="2">
        <f>J12/'Output-Calculation-sheet'!J11*'Output-Calculation-sheet'!J47</f>
        <v>6671.3429634265722</v>
      </c>
      <c r="K56" s="2">
        <f>K12/'Output-Calculation-sheet'!K11*'Output-Calculation-sheet'!K47</f>
        <v>9248.7525188745494</v>
      </c>
      <c r="L56" s="2">
        <f>L12/'Output-Calculation-sheet'!L11*'Output-Calculation-sheet'!L47</f>
        <v>8627.0010371442222</v>
      </c>
      <c r="M56" s="2">
        <f>M12/'Output-Calculation-sheet'!M11*'Output-Calculation-sheet'!M47</f>
        <v>26823.025298999375</v>
      </c>
      <c r="N56" s="2">
        <f>N12/'Output-Calculation-sheet'!N11*'Output-Calculation-sheet'!N47</f>
        <v>22243.553248782828</v>
      </c>
      <c r="O56" s="2">
        <f>O12/'Output-Calculation-sheet'!O11*'Output-Calculation-sheet'!O47</f>
        <v>19435.009390480744</v>
      </c>
      <c r="P56" s="2">
        <f>P12/'Output-Calculation-sheet'!P11*'Output-Calculation-sheet'!P47</f>
        <v>10898.599443830339</v>
      </c>
      <c r="Q56" s="2">
        <f>Q12/'Output-Calculation-sheet'!Q11*'Output-Calculation-sheet'!Q47</f>
        <v>10278.484171599406</v>
      </c>
      <c r="R56" s="2">
        <f>R12/'Output-Calculation-sheet'!R11*'Output-Calculation-sheet'!R47</f>
        <v>8360.5781232914196</v>
      </c>
      <c r="S56" s="2">
        <f>S12/'Output-Calculation-sheet'!S11*'Output-Calculation-sheet'!S47</f>
        <v>11126.199523617457</v>
      </c>
      <c r="T56" s="2">
        <f>T12/'Output-Calculation-sheet'!T11*'Output-Calculation-sheet'!T47</f>
        <v>2997.7842589608936</v>
      </c>
      <c r="U56" s="2">
        <f>U12/'Output-Calculation-sheet'!U11*'Output-Calculation-sheet'!U47</f>
        <v>2846.5014718878674</v>
      </c>
      <c r="V56" s="2">
        <f>V12/'Output-Calculation-sheet'!V11*'Output-Calculation-sheet'!V47</f>
        <v>1747.4047131476455</v>
      </c>
      <c r="W56" s="2">
        <f>W12/'Output-Calculation-sheet'!W11*'Output-Calculation-sheet'!W47</f>
        <v>1014.8982807976996</v>
      </c>
      <c r="X56" s="2">
        <f>X12/'Output-Calculation-sheet'!X11*'Output-Calculation-sheet'!X47</f>
        <v>2703.4696494956197</v>
      </c>
      <c r="Y56" s="2">
        <f>Y12/'Output-Calculation-sheet'!Y11*'Output-Calculation-sheet'!Y47</f>
        <v>1519.1952325635054</v>
      </c>
      <c r="AA56" s="2">
        <f t="shared" si="3"/>
        <v>532.8664634631532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8.7778803250873683</v>
      </c>
      <c r="C63" s="2">
        <f>C8*'Output-Calculation-sheet'!C52/10^9</f>
        <v>5.5354261324867071</v>
      </c>
      <c r="D63" s="2">
        <f>D8*'Output-Calculation-sheet'!D52/10^9</f>
        <v>3.0101029009429148</v>
      </c>
      <c r="E63" s="2">
        <f>E8*'Output-Calculation-sheet'!E52/10^9</f>
        <v>2.9928647507278785</v>
      </c>
      <c r="F63" s="2">
        <f>F8*'Output-Calculation-sheet'!F52/10^9</f>
        <v>1.2674789836779241</v>
      </c>
      <c r="G63" s="2">
        <f>G8*'Output-Calculation-sheet'!G52/10^9</f>
        <v>0.91125902373189815</v>
      </c>
      <c r="H63" s="2">
        <f>H8*'Output-Calculation-sheet'!H52/10^9</f>
        <v>1.5917871408657376</v>
      </c>
      <c r="I63" s="2">
        <f>I8*'Output-Calculation-sheet'!I52/10^9</f>
        <v>0.84768256784873774</v>
      </c>
      <c r="J63" s="2">
        <f>J8*'Output-Calculation-sheet'!J52/10^9</f>
        <v>1.1664698101995503</v>
      </c>
      <c r="K63" s="2">
        <f>K8*'Output-Calculation-sheet'!K52/10^9</f>
        <v>1.0248448231469403</v>
      </c>
      <c r="L63" s="2">
        <f>L8*'Output-Calculation-sheet'!L52/10^9</f>
        <v>1.378463654755836</v>
      </c>
      <c r="M63" s="2">
        <f>M8*'Output-Calculation-sheet'!M52/10^9</f>
        <v>1.2919954024183429</v>
      </c>
      <c r="N63" s="2">
        <f>N8*'Output-Calculation-sheet'!N52/10^9</f>
        <v>1.0782972871764021</v>
      </c>
      <c r="O63" s="2">
        <f>O8*'Output-Calculation-sheet'!O52/10^9</f>
        <v>1.1498499168560403</v>
      </c>
      <c r="P63" s="2">
        <f>P8*'Output-Calculation-sheet'!P52/10^9</f>
        <v>0.70814142872157326</v>
      </c>
      <c r="Q63" s="2">
        <f>Q8*'Output-Calculation-sheet'!Q52/10^9</f>
        <v>0.80140420865030326</v>
      </c>
      <c r="R63" s="2">
        <f>R8*'Output-Calculation-sheet'!R52/10^9</f>
        <v>0.71950270557005402</v>
      </c>
      <c r="S63" s="2">
        <f>S8*'Output-Calculation-sheet'!S52/10^9</f>
        <v>0.53318017206850654</v>
      </c>
      <c r="T63" s="2">
        <f>T8*'Output-Calculation-sheet'!T52/10^9</f>
        <v>0.27354576712224565</v>
      </c>
      <c r="U63" s="2">
        <f>U8*'Output-Calculation-sheet'!U52/10^9</f>
        <v>0.18786819131613205</v>
      </c>
      <c r="V63" s="2">
        <f>V8*'Output-Calculation-sheet'!V52/10^9</f>
        <v>0.33342189803747463</v>
      </c>
      <c r="W63" s="2">
        <f>W8*'Output-Calculation-sheet'!W52/10^9</f>
        <v>0.12068333930161917</v>
      </c>
      <c r="X63" s="2">
        <f>X8*'Output-Calculation-sheet'!X52/10^9</f>
        <v>0.13890373933193956</v>
      </c>
      <c r="Y63" s="2">
        <f>Y8*'Output-Calculation-sheet'!Y52/10^9</f>
        <v>7.8742445718795046E-2</v>
      </c>
      <c r="AA63" s="2">
        <f t="shared" si="4"/>
        <v>35.919796615760916</v>
      </c>
    </row>
    <row r="64" spans="1:27" x14ac:dyDescent="0.25">
      <c r="A64" s="2">
        <v>2032</v>
      </c>
      <c r="B64" s="2">
        <f>B9*'Output-Calculation-sheet'!B53/10^9</f>
        <v>9.6059261037369712</v>
      </c>
      <c r="C64" s="2">
        <f>C9*'Output-Calculation-sheet'!C53/10^9</f>
        <v>6.4852938730042746</v>
      </c>
      <c r="D64" s="2">
        <f>D9*'Output-Calculation-sheet'!D53/10^9</f>
        <v>2.8427756058330043</v>
      </c>
      <c r="E64" s="2">
        <f>E9*'Output-Calculation-sheet'!E53/10^9</f>
        <v>2.9111408197383923</v>
      </c>
      <c r="F64" s="2">
        <f>F9*'Output-Calculation-sheet'!F53/10^9</f>
        <v>1.227901974284918</v>
      </c>
      <c r="G64" s="2">
        <f>G9*'Output-Calculation-sheet'!G53/10^9</f>
        <v>0.87398213400893776</v>
      </c>
      <c r="H64" s="2">
        <f>H9*'Output-Calculation-sheet'!H53/10^9</f>
        <v>1.7958474097045658</v>
      </c>
      <c r="I64" s="2">
        <f>I9*'Output-Calculation-sheet'!I53/10^9</f>
        <v>0.8170305907079991</v>
      </c>
      <c r="J64" s="2">
        <f>J9*'Output-Calculation-sheet'!J53/10^9</f>
        <v>1.0815835500806625</v>
      </c>
      <c r="K64" s="2">
        <f>K9*'Output-Calculation-sheet'!K53/10^9</f>
        <v>1.0035598036191307</v>
      </c>
      <c r="L64" s="2">
        <f>L9*'Output-Calculation-sheet'!L53/10^9</f>
        <v>1.2910713741573756</v>
      </c>
      <c r="M64" s="2">
        <f>M9*'Output-Calculation-sheet'!M53/10^9</f>
        <v>1.4074898247777774</v>
      </c>
      <c r="N64" s="2">
        <f>N9*'Output-Calculation-sheet'!N53/10^9</f>
        <v>1.1848447852141308</v>
      </c>
      <c r="O64" s="2">
        <f>O9*'Output-Calculation-sheet'!O53/10^9</f>
        <v>1.3413234678434929</v>
      </c>
      <c r="P64" s="2">
        <f>P9*'Output-Calculation-sheet'!P53/10^9</f>
        <v>0.76513328862978625</v>
      </c>
      <c r="Q64" s="2">
        <f>Q9*'Output-Calculation-sheet'!Q53/10^9</f>
        <v>0.84560068572693081</v>
      </c>
      <c r="R64" s="2">
        <f>R9*'Output-Calculation-sheet'!R53/10^9</f>
        <v>0.72487848999389493</v>
      </c>
      <c r="S64" s="2">
        <f>S9*'Output-Calculation-sheet'!S53/10^9</f>
        <v>0.59891067971101986</v>
      </c>
      <c r="T64" s="2">
        <f>T9*'Output-Calculation-sheet'!T53/10^9</f>
        <v>0.26057494956272509</v>
      </c>
      <c r="U64" s="2">
        <f>U9*'Output-Calculation-sheet'!U53/10^9</f>
        <v>0.19612923749225034</v>
      </c>
      <c r="V64" s="2">
        <f>V9*'Output-Calculation-sheet'!V53/10^9</f>
        <v>0.3092849519364681</v>
      </c>
      <c r="W64" s="2">
        <f>W9*'Output-Calculation-sheet'!W53/10^9</f>
        <v>0.11492471350799877</v>
      </c>
      <c r="X64" s="2">
        <f>X9*'Output-Calculation-sheet'!X53/10^9</f>
        <v>0.15599485593833115</v>
      </c>
      <c r="Y64" s="2">
        <f>Y9*'Output-Calculation-sheet'!Y53/10^9</f>
        <v>8.0519991547877742E-2</v>
      </c>
      <c r="AA64" s="2">
        <f t="shared" si="4"/>
        <v>37.921723160758916</v>
      </c>
    </row>
    <row r="65" spans="1:27" x14ac:dyDescent="0.25">
      <c r="A65" s="2">
        <v>2033</v>
      </c>
      <c r="B65" s="2">
        <f>B10*'Output-Calculation-sheet'!B54/10^9</f>
        <v>10.584369696372427</v>
      </c>
      <c r="C65" s="2">
        <f>C10*'Output-Calculation-sheet'!C54/10^9</f>
        <v>7.4051348702747584</v>
      </c>
      <c r="D65" s="2">
        <f>D10*'Output-Calculation-sheet'!D54/10^9</f>
        <v>2.5005546667852281</v>
      </c>
      <c r="E65" s="2">
        <f>E10*'Output-Calculation-sheet'!E54/10^9</f>
        <v>2.8155959596749494</v>
      </c>
      <c r="F65" s="2">
        <f>F10*'Output-Calculation-sheet'!F54/10^9</f>
        <v>1.1430837762855146</v>
      </c>
      <c r="G65" s="2">
        <f>G10*'Output-Calculation-sheet'!G54/10^9</f>
        <v>0.78483040973067542</v>
      </c>
      <c r="H65" s="2">
        <f>H10*'Output-Calculation-sheet'!H54/10^9</f>
        <v>1.9395319031436682</v>
      </c>
      <c r="I65" s="2">
        <f>I10*'Output-Calculation-sheet'!I54/10^9</f>
        <v>0.76421047910317863</v>
      </c>
      <c r="J65" s="2">
        <f>J10*'Output-Calculation-sheet'!J54/10^9</f>
        <v>0.91340197017062619</v>
      </c>
      <c r="K65" s="2">
        <f>K10*'Output-Calculation-sheet'!K54/10^9</f>
        <v>0.97447890780541457</v>
      </c>
      <c r="L65" s="2">
        <f>L10*'Output-Calculation-sheet'!L54/10^9</f>
        <v>1.1510645350847895</v>
      </c>
      <c r="M65" s="2">
        <f>M10*'Output-Calculation-sheet'!M54/10^9</f>
        <v>1.4644874947330266</v>
      </c>
      <c r="N65" s="2">
        <f>N10*'Output-Calculation-sheet'!N54/10^9</f>
        <v>1.264605607316426</v>
      </c>
      <c r="O65" s="2">
        <f>O10*'Output-Calculation-sheet'!O54/10^9</f>
        <v>1.5147656502182796</v>
      </c>
      <c r="P65" s="2">
        <f>P10*'Output-Calculation-sheet'!P54/10^9</f>
        <v>0.82455500477876176</v>
      </c>
      <c r="Q65" s="2">
        <f>Q10*'Output-Calculation-sheet'!Q54/10^9</f>
        <v>0.89972862691899436</v>
      </c>
      <c r="R65" s="2">
        <f>R10*'Output-Calculation-sheet'!R54/10^9</f>
        <v>0.72590170133189413</v>
      </c>
      <c r="S65" s="2">
        <f>S10*'Output-Calculation-sheet'!S54/10^9</f>
        <v>0.65937647879374006</v>
      </c>
      <c r="T65" s="2">
        <f>T10*'Output-Calculation-sheet'!T54/10^9</f>
        <v>0.24270046950394786</v>
      </c>
      <c r="U65" s="2">
        <f>U10*'Output-Calculation-sheet'!U54/10^9</f>
        <v>0.20956488014666602</v>
      </c>
      <c r="V65" s="2">
        <f>V10*'Output-Calculation-sheet'!V54/10^9</f>
        <v>0.26858470400314982</v>
      </c>
      <c r="W65" s="2">
        <f>W10*'Output-Calculation-sheet'!W54/10^9</f>
        <v>0.1022602987365296</v>
      </c>
      <c r="X65" s="2">
        <f>X10*'Output-Calculation-sheet'!X54/10^9</f>
        <v>0.16843430514753047</v>
      </c>
      <c r="Y65" s="2">
        <f>Y10*'Output-Calculation-sheet'!Y54/10^9</f>
        <v>8.41657071052926E-2</v>
      </c>
      <c r="AA65" s="2">
        <f t="shared" si="4"/>
        <v>39.405388103165464</v>
      </c>
    </row>
    <row r="66" spans="1:27" x14ac:dyDescent="0.25">
      <c r="A66" s="2">
        <v>2034</v>
      </c>
      <c r="B66" s="2">
        <f>B11*'Output-Calculation-sheet'!B55/10^9</f>
        <v>11.764180159221755</v>
      </c>
      <c r="C66" s="2">
        <f>C11*'Output-Calculation-sheet'!C55/10^9</f>
        <v>8.3283440961599755</v>
      </c>
      <c r="D66" s="2">
        <f>D11*'Output-Calculation-sheet'!D55/10^9</f>
        <v>2.4608586041721869</v>
      </c>
      <c r="E66" s="2">
        <f>E11*'Output-Calculation-sheet'!E55/10^9</f>
        <v>2.9797017210160783</v>
      </c>
      <c r="F66" s="2">
        <f>F11*'Output-Calculation-sheet'!F55/10^9</f>
        <v>1.1451518844820929</v>
      </c>
      <c r="G66" s="2">
        <f>G11*'Output-Calculation-sheet'!G55/10^9</f>
        <v>0.81853865855131513</v>
      </c>
      <c r="H66" s="2">
        <f>H11*'Output-Calculation-sheet'!H55/10^9</f>
        <v>2.102055156156402</v>
      </c>
      <c r="I66" s="2">
        <f>I11*'Output-Calculation-sheet'!I55/10^9</f>
        <v>0.80050596495672299</v>
      </c>
      <c r="J66" s="2">
        <f>J11*'Output-Calculation-sheet'!J55/10^9</f>
        <v>0.82310546955658914</v>
      </c>
      <c r="K66" s="2">
        <f>K11*'Output-Calculation-sheet'!K55/10^9</f>
        <v>0.98453588410197335</v>
      </c>
      <c r="L66" s="2">
        <f>L11*'Output-Calculation-sheet'!L55/10^9</f>
        <v>1.0426111636174438</v>
      </c>
      <c r="M66" s="2">
        <f>M11*'Output-Calculation-sheet'!M55/10^9</f>
        <v>1.5160617328825063</v>
      </c>
      <c r="N66" s="2">
        <f>N11*'Output-Calculation-sheet'!N55/10^9</f>
        <v>1.3246336630281468</v>
      </c>
      <c r="O66" s="2">
        <f>O11*'Output-Calculation-sheet'!O55/10^9</f>
        <v>1.671810340081435</v>
      </c>
      <c r="P66" s="2">
        <f>P11*'Output-Calculation-sheet'!P55/10^9</f>
        <v>0.91055452823249916</v>
      </c>
      <c r="Q66" s="2">
        <f>Q11*'Output-Calculation-sheet'!Q55/10^9</f>
        <v>0.99404016963096342</v>
      </c>
      <c r="R66" s="2">
        <f>R11*'Output-Calculation-sheet'!R55/10^9</f>
        <v>0.73749375124448779</v>
      </c>
      <c r="S66" s="2">
        <f>S11*'Output-Calculation-sheet'!S55/10^9</f>
        <v>0.72566394387214828</v>
      </c>
      <c r="T66" s="2">
        <f>T11*'Output-Calculation-sheet'!T55/10^9</f>
        <v>0.23116368055124648</v>
      </c>
      <c r="U66" s="2">
        <f>U11*'Output-Calculation-sheet'!U55/10^9</f>
        <v>0.23601921369731743</v>
      </c>
      <c r="V66" s="2">
        <f>V11*'Output-Calculation-sheet'!V55/10^9</f>
        <v>0.21929298445252426</v>
      </c>
      <c r="W66" s="2">
        <f>W11*'Output-Calculation-sheet'!W55/10^9</f>
        <v>9.9295749391904511E-2</v>
      </c>
      <c r="X66" s="2">
        <f>X11*'Output-Calculation-sheet'!X55/10^9</f>
        <v>0.18835111020806178</v>
      </c>
      <c r="Y66" s="2">
        <f>Y11*'Output-Calculation-sheet'!Y55/10^9</f>
        <v>9.7436747668375817E-2</v>
      </c>
      <c r="AA66" s="2">
        <f t="shared" si="4"/>
        <v>42.201406376934159</v>
      </c>
    </row>
    <row r="67" spans="1:27" x14ac:dyDescent="0.25">
      <c r="A67" s="2">
        <v>2035</v>
      </c>
      <c r="B67" s="2">
        <f>B12*'Output-Calculation-sheet'!B56/10^9</f>
        <v>13.727083147558602</v>
      </c>
      <c r="C67" s="2">
        <f>C12*'Output-Calculation-sheet'!C56/10^9</f>
        <v>9.2125801595971826</v>
      </c>
      <c r="D67" s="2">
        <f>D12*'Output-Calculation-sheet'!D56/10^9</f>
        <v>3.0123316926403136</v>
      </c>
      <c r="E67" s="2">
        <f>E12*'Output-Calculation-sheet'!E56/10^9</f>
        <v>3.8339570713685092</v>
      </c>
      <c r="F67" s="2">
        <f>F12*'Output-Calculation-sheet'!F56/10^9</f>
        <v>1.4906584194329724</v>
      </c>
      <c r="G67" s="2">
        <f>G12*'Output-Calculation-sheet'!G56/10^9</f>
        <v>1.0958575093832346</v>
      </c>
      <c r="H67" s="2">
        <f>H12*'Output-Calculation-sheet'!H56/10^9</f>
        <v>2.4214550369236032</v>
      </c>
      <c r="I67" s="2">
        <f>I12*'Output-Calculation-sheet'!I56/10^9</f>
        <v>1.0338671478436163</v>
      </c>
      <c r="J67" s="2">
        <f>J12*'Output-Calculation-sheet'!J56/10^9</f>
        <v>0.96075333923807171</v>
      </c>
      <c r="K67" s="2">
        <f>K12*'Output-Calculation-sheet'!K56/10^9</f>
        <v>1.1798247678929734</v>
      </c>
      <c r="L67" s="2">
        <f>L12*'Output-Calculation-sheet'!L56/10^9</f>
        <v>1.1307794925442152</v>
      </c>
      <c r="M67" s="2">
        <f>M12*'Output-Calculation-sheet'!M56/10^9</f>
        <v>1.7406597416684078</v>
      </c>
      <c r="N67" s="2">
        <f>N12*'Output-Calculation-sheet'!N56/10^9</f>
        <v>1.4873337556250381</v>
      </c>
      <c r="O67" s="2">
        <f>O12*'Output-Calculation-sheet'!O56/10^9</f>
        <v>1.8147298313948352</v>
      </c>
      <c r="P67" s="2">
        <f>P12*'Output-Calculation-sheet'!P56/10^9</f>
        <v>1.1392437610769868</v>
      </c>
      <c r="Q67" s="2">
        <f>Q12*'Output-Calculation-sheet'!Q56/10^9</f>
        <v>1.1449144007610932</v>
      </c>
      <c r="R67" s="2">
        <f>R12*'Output-Calculation-sheet'!R56/10^9</f>
        <v>0.86983345461980843</v>
      </c>
      <c r="S67" s="2">
        <f>S12*'Output-Calculation-sheet'!S56/10^9</f>
        <v>0.82903379514689923</v>
      </c>
      <c r="T67" s="2">
        <f>T12*'Output-Calculation-sheet'!T56/10^9</f>
        <v>0.26669886875758914</v>
      </c>
      <c r="U67" s="2">
        <f>U12*'Output-Calculation-sheet'!U56/10^9</f>
        <v>0.28649347137502862</v>
      </c>
      <c r="V67" s="2">
        <f>V12*'Output-Calculation-sheet'!V56/10^9</f>
        <v>0.2048610975087764</v>
      </c>
      <c r="W67" s="2">
        <f>W12*'Output-Calculation-sheet'!W56/10^9</f>
        <v>0.13586161119214821</v>
      </c>
      <c r="X67" s="2">
        <f>X12*'Output-Calculation-sheet'!X56/10^9</f>
        <v>0.21694729390619502</v>
      </c>
      <c r="Y67" s="2">
        <f>Y12*'Output-Calculation-sheet'!Y56/10^9</f>
        <v>0.12856350314839035</v>
      </c>
      <c r="AA67" s="2">
        <f t="shared" si="4"/>
        <v>49.364322370604491</v>
      </c>
    </row>
    <row r="68" spans="1:27" x14ac:dyDescent="0.25">
      <c r="B68" s="2">
        <f>SUM(B60:B67)</f>
        <v>74.30417787150202</v>
      </c>
      <c r="C68" s="2">
        <f t="shared" ref="C68:Y68" si="5">SUM(C60:C67)</f>
        <v>47.471147817743187</v>
      </c>
      <c r="D68" s="2">
        <f t="shared" si="5"/>
        <v>21.611893461063946</v>
      </c>
      <c r="E68" s="2">
        <f t="shared" si="5"/>
        <v>23.208881260013257</v>
      </c>
      <c r="F68" s="2">
        <f t="shared" si="5"/>
        <v>9.4554608182508098</v>
      </c>
      <c r="G68" s="2">
        <f t="shared" si="5"/>
        <v>6.7993066678881871</v>
      </c>
      <c r="H68" s="2">
        <f t="shared" si="5"/>
        <v>13.122282222050606</v>
      </c>
      <c r="I68" s="2">
        <f t="shared" si="5"/>
        <v>6.403995030647299</v>
      </c>
      <c r="J68" s="2">
        <f t="shared" si="5"/>
        <v>8.0252065635609</v>
      </c>
      <c r="K68" s="2">
        <f t="shared" si="5"/>
        <v>7.7609801109751775</v>
      </c>
      <c r="L68" s="2">
        <f t="shared" si="5"/>
        <v>9.6468776129962688</v>
      </c>
      <c r="M68" s="2">
        <f t="shared" si="5"/>
        <v>10.225478639002352</v>
      </c>
      <c r="N68" s="2">
        <f t="shared" si="5"/>
        <v>8.7736933298361688</v>
      </c>
      <c r="O68" s="2">
        <f t="shared" si="5"/>
        <v>9.6877155474897076</v>
      </c>
      <c r="P68" s="2">
        <f t="shared" si="5"/>
        <v>5.9948342784460769</v>
      </c>
      <c r="Q68" s="2">
        <f t="shared" si="5"/>
        <v>6.5660232043871254</v>
      </c>
      <c r="R68" s="2">
        <f t="shared" si="5"/>
        <v>5.580576471954922</v>
      </c>
      <c r="S68" s="2">
        <f t="shared" si="5"/>
        <v>4.5255513509941654</v>
      </c>
      <c r="T68" s="2">
        <f t="shared" si="5"/>
        <v>1.9804605063282008</v>
      </c>
      <c r="U68" s="2">
        <f t="shared" si="5"/>
        <v>1.5777136635459119</v>
      </c>
      <c r="V68" s="2">
        <f t="shared" si="5"/>
        <v>2.2284671823505176</v>
      </c>
      <c r="W68" s="2">
        <f t="shared" si="5"/>
        <v>0.88217467398733895</v>
      </c>
      <c r="X68" s="2">
        <f t="shared" si="5"/>
        <v>1.1542537330714489</v>
      </c>
      <c r="Y68" s="2">
        <f t="shared" si="5"/>
        <v>0.66434781486821537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7276.102238647477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1791.9482263323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1177.1536348496702</v>
      </c>
      <c r="N74" s="2">
        <f>N8/'Output-Calculation-sheet'!N7*'Output-Calculation-sheet'!N61</f>
        <v>49.336590095996058</v>
      </c>
      <c r="O74" s="2">
        <f>O8/'Output-Calculation-sheet'!O7*'Output-Calculation-sheet'!O61</f>
        <v>1454.7755641228493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146.27824637096091</v>
      </c>
      <c r="Y74" s="2">
        <f>Y8/'Output-Calculation-sheet'!Y7*'Output-Calculation-sheet'!Y61</f>
        <v>0</v>
      </c>
      <c r="AA74" s="2">
        <f t="shared" si="6"/>
        <v>11.895594500419252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12809.842009615109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3178.6301622282735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2156.813247637921</v>
      </c>
      <c r="N75" s="2">
        <f>N9/'Output-Calculation-sheet'!N8*'Output-Calculation-sheet'!N62</f>
        <v>833.68611533245303</v>
      </c>
      <c r="O75" s="2">
        <f>O9/'Output-Calculation-sheet'!O8*'Output-Calculation-sheet'!O62</f>
        <v>2532.0930710021248</v>
      </c>
      <c r="P75" s="2">
        <f>P9/'Output-Calculation-sheet'!P8*'Output-Calculation-sheet'!P62</f>
        <v>55.813971270030329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279.34812477501004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259.83683481937277</v>
      </c>
      <c r="Y75" s="2">
        <f>Y9/'Output-Calculation-sheet'!Y8*'Output-Calculation-sheet'!Y62</f>
        <v>0</v>
      </c>
      <c r="AA75" s="2">
        <f t="shared" si="6"/>
        <v>22.106063536680292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16438.549197683227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4837.5726780053283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3293.6933499024631</v>
      </c>
      <c r="N76" s="2">
        <f>N10/'Output-Calculation-sheet'!N9*'Output-Calculation-sheet'!N63</f>
        <v>1884.8685200499174</v>
      </c>
      <c r="O76" s="2">
        <f>O10/'Output-Calculation-sheet'!O9*'Output-Calculation-sheet'!O63</f>
        <v>2910.2891619415977</v>
      </c>
      <c r="P76" s="2">
        <f>P10/'Output-Calculation-sheet'!P9*'Output-Calculation-sheet'!P63</f>
        <v>653.78921721083111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491.84959096319358</v>
      </c>
      <c r="S76" s="2">
        <f>S10/'Output-Calculation-sheet'!S9*'Output-Calculation-sheet'!S63</f>
        <v>835.7973419380462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174.20406865426426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387.9083300427647</v>
      </c>
      <c r="Y76" s="2">
        <f>Y10/'Output-Calculation-sheet'!Y9*'Output-Calculation-sheet'!Y63</f>
        <v>7.3585752082529883</v>
      </c>
      <c r="AA76" s="2">
        <f t="shared" si="6"/>
        <v>39.787357308142582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17811.667020281777</v>
      </c>
      <c r="D77" s="2">
        <f>D11/'Output-Calculation-sheet'!D10*'Output-Calculation-sheet'!D64</f>
        <v>2432.3278729857529</v>
      </c>
      <c r="E77" s="2">
        <f>E11/'Output-Calculation-sheet'!E10*'Output-Calculation-sheet'!E64</f>
        <v>2956.5428544682018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1263.2829185432665</v>
      </c>
      <c r="H77" s="2">
        <f>H11/'Output-Calculation-sheet'!H10*'Output-Calculation-sheet'!H64</f>
        <v>6712.8882630455091</v>
      </c>
      <c r="I77" s="2">
        <f>I11/'Output-Calculation-sheet'!I10*'Output-Calculation-sheet'!I64</f>
        <v>753.32946253391094</v>
      </c>
      <c r="J77" s="2">
        <f>J11/'Output-Calculation-sheet'!J10*'Output-Calculation-sheet'!J64</f>
        <v>509.57795178278644</v>
      </c>
      <c r="K77" s="2">
        <f>K11/'Output-Calculation-sheet'!K10*'Output-Calculation-sheet'!K64</f>
        <v>1146.0453238759637</v>
      </c>
      <c r="L77" s="2">
        <f>L11/'Output-Calculation-sheet'!L10*'Output-Calculation-sheet'!L64</f>
        <v>480.09205604111065</v>
      </c>
      <c r="M77" s="2">
        <f>M11/'Output-Calculation-sheet'!M10*'Output-Calculation-sheet'!M64</f>
        <v>4514.8415904958292</v>
      </c>
      <c r="N77" s="2">
        <f>N11/'Output-Calculation-sheet'!N10*'Output-Calculation-sheet'!N64</f>
        <v>3178.7310892065038</v>
      </c>
      <c r="O77" s="2">
        <f>O11/'Output-Calculation-sheet'!O10*'Output-Calculation-sheet'!O64</f>
        <v>3296.5300061113253</v>
      </c>
      <c r="P77" s="2">
        <f>P11/'Output-Calculation-sheet'!P10*'Output-Calculation-sheet'!P64</f>
        <v>1403.01495248318</v>
      </c>
      <c r="Q77" s="2">
        <f>Q11/'Output-Calculation-sheet'!Q10*'Output-Calculation-sheet'!Q64</f>
        <v>1261.4906291575708</v>
      </c>
      <c r="R77" s="2">
        <f>R11/'Output-Calculation-sheet'!R10*'Output-Calculation-sheet'!R64</f>
        <v>1200.9898828303528</v>
      </c>
      <c r="S77" s="2">
        <f>S11/'Output-Calculation-sheet'!S10*'Output-Calculation-sheet'!S64</f>
        <v>1598.4733858955208</v>
      </c>
      <c r="T77" s="2">
        <f>T11/'Output-Calculation-sheet'!T10*'Output-Calculation-sheet'!T64</f>
        <v>330.30725586447574</v>
      </c>
      <c r="U77" s="2">
        <f>U11/'Output-Calculation-sheet'!U10*'Output-Calculation-sheet'!U64</f>
        <v>439.00827091635625</v>
      </c>
      <c r="V77" s="2">
        <f>V11/'Output-Calculation-sheet'!V10*'Output-Calculation-sheet'!V64</f>
        <v>170.7852580808196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469.75511198859965</v>
      </c>
      <c r="Y77" s="2">
        <f>Y11/'Output-Calculation-sheet'!Y10*'Output-Calculation-sheet'!Y64</f>
        <v>109.9228476826529</v>
      </c>
      <c r="AA77" s="2">
        <f t="shared" si="6"/>
        <v>71.743883049280484</v>
      </c>
    </row>
    <row r="78" spans="1:27" x14ac:dyDescent="0.25">
      <c r="A78" s="2">
        <v>2035</v>
      </c>
      <c r="B78" s="2">
        <f>B12/'Output-Calculation-sheet'!B11*'Output-Calculation-sheet'!B65</f>
        <v>26755.7170418561</v>
      </c>
      <c r="C78" s="2">
        <f>C12/'Output-Calculation-sheet'!C11*'Output-Calculation-sheet'!C65</f>
        <v>19551.733202822747</v>
      </c>
      <c r="D78" s="2">
        <f>D12/'Output-Calculation-sheet'!D11*'Output-Calculation-sheet'!D65</f>
        <v>5023.1968940397765</v>
      </c>
      <c r="E78" s="2">
        <f>E12/'Output-Calculation-sheet'!E11*'Output-Calculation-sheet'!E65</f>
        <v>6287.3595623137207</v>
      </c>
      <c r="F78" s="2">
        <f>F12/'Output-Calculation-sheet'!F11*'Output-Calculation-sheet'!F65</f>
        <v>1256.9209926550443</v>
      </c>
      <c r="G78" s="2">
        <f>G12/'Output-Calculation-sheet'!G11*'Output-Calculation-sheet'!G65</f>
        <v>2310.4564171724223</v>
      </c>
      <c r="H78" s="2">
        <f>H12/'Output-Calculation-sheet'!H11*'Output-Calculation-sheet'!H65</f>
        <v>7305.0189628409207</v>
      </c>
      <c r="I78" s="2">
        <f>I12/'Output-Calculation-sheet'!I11*'Output-Calculation-sheet'!I65</f>
        <v>1677.8218623623593</v>
      </c>
      <c r="J78" s="2">
        <f>J12/'Output-Calculation-sheet'!J11*'Output-Calculation-sheet'!J65</f>
        <v>1622.4795635281121</v>
      </c>
      <c r="K78" s="2">
        <f>K12/'Output-Calculation-sheet'!K11*'Output-Calculation-sheet'!K65</f>
        <v>2032.6801569607267</v>
      </c>
      <c r="L78" s="2">
        <f>L12/'Output-Calculation-sheet'!L11*'Output-Calculation-sheet'!L65</f>
        <v>1498.6939342724149</v>
      </c>
      <c r="M78" s="2">
        <f>M12/'Output-Calculation-sheet'!M11*'Output-Calculation-sheet'!M65</f>
        <v>5333.7250519244017</v>
      </c>
      <c r="N78" s="2">
        <f>N12/'Output-Calculation-sheet'!N11*'Output-Calculation-sheet'!N65</f>
        <v>3803.1533043585573</v>
      </c>
      <c r="O78" s="2">
        <f>O12/'Output-Calculation-sheet'!O11*'Output-Calculation-sheet'!O65</f>
        <v>3590.0644561428549</v>
      </c>
      <c r="P78" s="2">
        <f>P12/'Output-Calculation-sheet'!P11*'Output-Calculation-sheet'!P65</f>
        <v>2071.8602858903946</v>
      </c>
      <c r="Q78" s="2">
        <f>Q12/'Output-Calculation-sheet'!Q11*'Output-Calculation-sheet'!Q65</f>
        <v>1759.2087614037175</v>
      </c>
      <c r="R78" s="2">
        <f>R12/'Output-Calculation-sheet'!R11*'Output-Calculation-sheet'!R65</f>
        <v>1738.6566642422879</v>
      </c>
      <c r="S78" s="2">
        <f>S12/'Output-Calculation-sheet'!S11*'Output-Calculation-sheet'!S65</f>
        <v>2011.5942058913802</v>
      </c>
      <c r="T78" s="2">
        <f>T12/'Output-Calculation-sheet'!T11*'Output-Calculation-sheet'!T65</f>
        <v>627.60679072408129</v>
      </c>
      <c r="U78" s="2">
        <f>U12/'Output-Calculation-sheet'!U11*'Output-Calculation-sheet'!U65</f>
        <v>525.11964370063424</v>
      </c>
      <c r="V78" s="2">
        <f>V12/'Output-Calculation-sheet'!V11*'Output-Calculation-sheet'!V65</f>
        <v>319.44831203120287</v>
      </c>
      <c r="W78" s="2">
        <f>W12/'Output-Calculation-sheet'!W11*'Output-Calculation-sheet'!W65</f>
        <v>223.05618942331989</v>
      </c>
      <c r="X78" s="2">
        <f>X12/'Output-Calculation-sheet'!X11*'Output-Calculation-sheet'!X65</f>
        <v>515.51304116382187</v>
      </c>
      <c r="Y78" s="2">
        <f>Y12/'Output-Calculation-sheet'!Y11*'Output-Calculation-sheet'!Y65</f>
        <v>241.85730083273867</v>
      </c>
      <c r="AA78" s="2">
        <f t="shared" si="6"/>
        <v>98.082942598553714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273.80469202886906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79.789328536927854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0.35359402056579686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890.00484786297784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172.90399878199861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3.4468332182953469</v>
      </c>
      <c r="Y88" s="2">
        <f>Y11/'Output-Calculation-sheet'!Y10*'Output-Calculation-sheet'!Y73</f>
        <v>0</v>
      </c>
      <c r="AA88" s="2">
        <f t="shared" si="7"/>
        <v>1.0663556798632716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1582.9055848396788</v>
      </c>
      <c r="D89" s="2">
        <f>D12/'Output-Calculation-sheet'!D11*'Output-Calculation-sheet'!D74</f>
        <v>140.21876099932382</v>
      </c>
      <c r="E89" s="2">
        <f>E12/'Output-Calculation-sheet'!E11*'Output-Calculation-sheet'!E74</f>
        <v>222.87302820984104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146.18029114931335</v>
      </c>
      <c r="I89" s="2">
        <f>I12/'Output-Calculation-sheet'!I11*'Output-Calculation-sheet'!I74</f>
        <v>45.241381177866565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44.465156340743029</v>
      </c>
      <c r="L89" s="2">
        <f>L12/'Output-Calculation-sheet'!L11*'Output-Calculation-sheet'!L74</f>
        <v>35.356561627640254</v>
      </c>
      <c r="M89" s="2">
        <f>M12/'Output-Calculation-sheet'!M11*'Output-Calculation-sheet'!M74</f>
        <v>67.057563247498436</v>
      </c>
      <c r="N89" s="2">
        <f>N12/'Output-Calculation-sheet'!N11*'Output-Calculation-sheet'!N74</f>
        <v>65.906824440838008</v>
      </c>
      <c r="O89" s="2">
        <f>O12/'Output-Calculation-sheet'!O11*'Output-Calculation-sheet'!O74</f>
        <v>276.76437423152959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57.744293098873072</v>
      </c>
      <c r="R89" s="2">
        <f>R12/'Output-Calculation-sheet'!R11*'Output-Calculation-sheet'!R74</f>
        <v>28.63211686058705</v>
      </c>
      <c r="S89" s="2">
        <f>S12/'Output-Calculation-sheet'!S11*'Output-Calculation-sheet'!S74</f>
        <v>37.779964426544844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18.423957746847037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14.712759997255073</v>
      </c>
      <c r="Y89" s="2">
        <f>Y12/'Output-Calculation-sheet'!Y11*'Output-Calculation-sheet'!Y74</f>
        <v>7.0990431428201193</v>
      </c>
      <c r="AA89" s="2">
        <f t="shared" si="7"/>
        <v>3.758570684044046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14218716324.466661</v>
      </c>
      <c r="C96" s="2">
        <f>C8/'Output-Calculation-sheet'!C7*'Output-Calculation-sheet'!C79</f>
        <v>4810256354.3018131</v>
      </c>
      <c r="D96" s="2">
        <f>D8/'Output-Calculation-sheet'!D7*'Output-Calculation-sheet'!D79</f>
        <v>5021590841.477704</v>
      </c>
      <c r="E96" s="2">
        <f>E8/'Output-Calculation-sheet'!E7*'Output-Calculation-sheet'!E79</f>
        <v>8927960953.185648</v>
      </c>
      <c r="F96" s="2">
        <f>F8/'Output-Calculation-sheet'!F7*'Output-Calculation-sheet'!F79</f>
        <v>3695195060.6302056</v>
      </c>
      <c r="G96" s="2">
        <f>G8/'Output-Calculation-sheet'!G7*'Output-Calculation-sheet'!G79</f>
        <v>2878253105.6554708</v>
      </c>
      <c r="H96" s="2">
        <f>H8/'Output-Calculation-sheet'!H7*'Output-Calculation-sheet'!H79</f>
        <v>2463622108.2289906</v>
      </c>
      <c r="I96" s="2">
        <f>I8/'Output-Calculation-sheet'!I7*'Output-Calculation-sheet'!I79</f>
        <v>2005009283.092839</v>
      </c>
      <c r="J96" s="2">
        <f>J8/'Output-Calculation-sheet'!J7*'Output-Calculation-sheet'!J79</f>
        <v>1355839065.5325935</v>
      </c>
      <c r="K96" s="2">
        <f>K8/'Output-Calculation-sheet'!K7*'Output-Calculation-sheet'!K79</f>
        <v>1939801249.2897861</v>
      </c>
      <c r="L96" s="2">
        <f>L8/'Output-Calculation-sheet'!L7*'Output-Calculation-sheet'!L79</f>
        <v>1368722073.6213996</v>
      </c>
      <c r="M96" s="2">
        <f>M8/'Output-Calculation-sheet'!M7*'Output-Calculation-sheet'!M79</f>
        <v>1839046256.9670999</v>
      </c>
      <c r="N96" s="2">
        <f>N8/'Output-Calculation-sheet'!N7*'Output-Calculation-sheet'!N79</f>
        <v>1368396880.8483531</v>
      </c>
      <c r="O96" s="2">
        <f>O8/'Output-Calculation-sheet'!O7*'Output-Calculation-sheet'!O79</f>
        <v>691771491.18300235</v>
      </c>
      <c r="P96" s="2">
        <f>P8/'Output-Calculation-sheet'!P7*'Output-Calculation-sheet'!P79</f>
        <v>2313830549.575273</v>
      </c>
      <c r="Q96" s="2">
        <f>Q8/'Output-Calculation-sheet'!Q7*'Output-Calculation-sheet'!Q79</f>
        <v>1078344004.4241238</v>
      </c>
      <c r="R96" s="2">
        <f>R8/'Output-Calculation-sheet'!R7*'Output-Calculation-sheet'!R79</f>
        <v>1345362332.3836589</v>
      </c>
      <c r="S96" s="2">
        <f>S8/'Output-Calculation-sheet'!S7*'Output-Calculation-sheet'!S79</f>
        <v>783920840.69583774</v>
      </c>
      <c r="T96" s="2">
        <f>T8/'Output-Calculation-sheet'!T7*'Output-Calculation-sheet'!T79</f>
        <v>598735053.43087137</v>
      </c>
      <c r="U96" s="2">
        <f>U8/'Output-Calculation-sheet'!U7*'Output-Calculation-sheet'!U79</f>
        <v>376109972.5438956</v>
      </c>
      <c r="V96" s="2">
        <f>V8/'Output-Calculation-sheet'!V7*'Output-Calculation-sheet'!V79</f>
        <v>195145466.93351945</v>
      </c>
      <c r="W96" s="2">
        <f>W8/'Output-Calculation-sheet'!W7*'Output-Calculation-sheet'!W79</f>
        <v>576639033.8022356</v>
      </c>
      <c r="X96" s="2">
        <f>X8/'Output-Calculation-sheet'!X7*'Output-Calculation-sheet'!X79</f>
        <v>202672301.78134638</v>
      </c>
      <c r="Y96" s="2">
        <f>Y8/'Output-Calculation-sheet'!Y7*'Output-Calculation-sheet'!Y79</f>
        <v>316976685.31987208</v>
      </c>
      <c r="AA96" s="2">
        <f t="shared" si="8"/>
        <v>60.371917289372192</v>
      </c>
    </row>
    <row r="97" spans="1:27" x14ac:dyDescent="0.25">
      <c r="A97" s="2">
        <v>2032</v>
      </c>
      <c r="B97" s="2">
        <f>B9/'Output-Calculation-sheet'!B8*'Output-Calculation-sheet'!B80</f>
        <v>20372316725.910095</v>
      </c>
      <c r="C97" s="2">
        <f>C9/'Output-Calculation-sheet'!C8*'Output-Calculation-sheet'!C80</f>
        <v>6938920888.1591396</v>
      </c>
      <c r="D97" s="2">
        <f>D9/'Output-Calculation-sheet'!D8*'Output-Calculation-sheet'!D80</f>
        <v>6913959209.4363012</v>
      </c>
      <c r="E97" s="2">
        <f>E9/'Output-Calculation-sheet'!E8*'Output-Calculation-sheet'!E80</f>
        <v>12644597054.171854</v>
      </c>
      <c r="F97" s="2">
        <f>F9/'Output-Calculation-sheet'!F8*'Output-Calculation-sheet'!F80</f>
        <v>5223484067.2729635</v>
      </c>
      <c r="G97" s="2">
        <f>G9/'Output-Calculation-sheet'!G8*'Output-Calculation-sheet'!G80</f>
        <v>3953890458.9674559</v>
      </c>
      <c r="H97" s="2">
        <f>H9/'Output-Calculation-sheet'!H8*'Output-Calculation-sheet'!H80</f>
        <v>3478624988.2389102</v>
      </c>
      <c r="I97" s="2">
        <f>I9/'Output-Calculation-sheet'!I8*'Output-Calculation-sheet'!I80</f>
        <v>2861491877.6243625</v>
      </c>
      <c r="J97" s="2">
        <f>J9/'Output-Calculation-sheet'!J8*'Output-Calculation-sheet'!J80</f>
        <v>1881166792.6182766</v>
      </c>
      <c r="K97" s="2">
        <f>K9/'Output-Calculation-sheet'!K8*'Output-Calculation-sheet'!K80</f>
        <v>2712098281.7312918</v>
      </c>
      <c r="L97" s="2">
        <f>L9/'Output-Calculation-sheet'!L8*'Output-Calculation-sheet'!L80</f>
        <v>1973958285.5521016</v>
      </c>
      <c r="M97" s="2">
        <f>M9/'Output-Calculation-sheet'!M8*'Output-Calculation-sheet'!M80</f>
        <v>2604417120.067131</v>
      </c>
      <c r="N97" s="2">
        <f>N9/'Output-Calculation-sheet'!N8*'Output-Calculation-sheet'!N80</f>
        <v>1902874920.7882648</v>
      </c>
      <c r="O97" s="2">
        <f>O9/'Output-Calculation-sheet'!O8*'Output-Calculation-sheet'!O80</f>
        <v>984422856.59594941</v>
      </c>
      <c r="P97" s="2">
        <f>P9/'Output-Calculation-sheet'!P8*'Output-Calculation-sheet'!P80</f>
        <v>3220846475.9861679</v>
      </c>
      <c r="Q97" s="2">
        <f>Q9/'Output-Calculation-sheet'!Q8*'Output-Calculation-sheet'!Q80</f>
        <v>1506588470.9709609</v>
      </c>
      <c r="R97" s="2">
        <f>R9/'Output-Calculation-sheet'!R8*'Output-Calculation-sheet'!R80</f>
        <v>1903570693.4435165</v>
      </c>
      <c r="S97" s="2">
        <f>S9/'Output-Calculation-sheet'!S8*'Output-Calculation-sheet'!S80</f>
        <v>1104826922.1964509</v>
      </c>
      <c r="T97" s="2">
        <f>T9/'Output-Calculation-sheet'!T8*'Output-Calculation-sheet'!T80</f>
        <v>831973528.15112066</v>
      </c>
      <c r="U97" s="2">
        <f>U9/'Output-Calculation-sheet'!U8*'Output-Calculation-sheet'!U80</f>
        <v>531874709.76289743</v>
      </c>
      <c r="V97" s="2">
        <f>V9/'Output-Calculation-sheet'!V8*'Output-Calculation-sheet'!V80</f>
        <v>278883400.47475743</v>
      </c>
      <c r="W97" s="2">
        <f>W9/'Output-Calculation-sheet'!W8*'Output-Calculation-sheet'!W80</f>
        <v>807651716.37729657</v>
      </c>
      <c r="X97" s="2">
        <f>X9/'Output-Calculation-sheet'!X8*'Output-Calculation-sheet'!X80</f>
        <v>290024905.8121376</v>
      </c>
      <c r="Y97" s="2">
        <f>Y9/'Output-Calculation-sheet'!Y8*'Output-Calculation-sheet'!Y80</f>
        <v>443937662.46689069</v>
      </c>
      <c r="AA97" s="2">
        <f t="shared" si="8"/>
        <v>85.366402012776305</v>
      </c>
    </row>
    <row r="98" spans="1:27" x14ac:dyDescent="0.25">
      <c r="A98" s="2">
        <v>2033</v>
      </c>
      <c r="B98" s="2">
        <f>B10/'Output-Calculation-sheet'!B9*'Output-Calculation-sheet'!B81</f>
        <v>27066263171.170055</v>
      </c>
      <c r="C98" s="2">
        <f>C10/'Output-Calculation-sheet'!C9*'Output-Calculation-sheet'!C81</f>
        <v>9279657195.9902554</v>
      </c>
      <c r="D98" s="2">
        <f>D10/'Output-Calculation-sheet'!D9*'Output-Calculation-sheet'!D81</f>
        <v>8831407294.5409718</v>
      </c>
      <c r="E98" s="2">
        <f>E10/'Output-Calculation-sheet'!E9*'Output-Calculation-sheet'!E81</f>
        <v>16612432790.759899</v>
      </c>
      <c r="F98" s="2">
        <f>F10/'Output-Calculation-sheet'!F9*'Output-Calculation-sheet'!F81</f>
        <v>6851368823.3964605</v>
      </c>
      <c r="G98" s="2">
        <f>G10/'Output-Calculation-sheet'!G9*'Output-Calculation-sheet'!G81</f>
        <v>5030484615.4218941</v>
      </c>
      <c r="H98" s="2">
        <f>H10/'Output-Calculation-sheet'!H9*'Output-Calculation-sheet'!H81</f>
        <v>4557660161.8688059</v>
      </c>
      <c r="I98" s="2">
        <f>I10/'Output-Calculation-sheet'!I9*'Output-Calculation-sheet'!I81</f>
        <v>3788761134.4575219</v>
      </c>
      <c r="J98" s="2">
        <f>J10/'Output-Calculation-sheet'!J9*'Output-Calculation-sheet'!J81</f>
        <v>2422629363.8075914</v>
      </c>
      <c r="K98" s="2">
        <f>K10/'Output-Calculation-sheet'!K9*'Output-Calculation-sheet'!K81</f>
        <v>3518965224.7740626</v>
      </c>
      <c r="L98" s="2">
        <f>L10/'Output-Calculation-sheet'!L9*'Output-Calculation-sheet'!L81</f>
        <v>2639276593.477808</v>
      </c>
      <c r="M98" s="2">
        <f>M10/'Output-Calculation-sheet'!M9*'Output-Calculation-sheet'!M81</f>
        <v>3422611422.5342302</v>
      </c>
      <c r="N98" s="2">
        <f>N10/'Output-Calculation-sheet'!N9*'Output-Calculation-sheet'!N81</f>
        <v>2455456645.7785373</v>
      </c>
      <c r="O98" s="2">
        <f>O10/'Output-Calculation-sheet'!O9*'Output-Calculation-sheet'!O81</f>
        <v>1300303016.3321805</v>
      </c>
      <c r="P98" s="2">
        <f>P10/'Output-Calculation-sheet'!P9*'Output-Calculation-sheet'!P81</f>
        <v>4155391163.2802925</v>
      </c>
      <c r="Q98" s="2">
        <f>Q10/'Output-Calculation-sheet'!Q9*'Output-Calculation-sheet'!Q81</f>
        <v>1953759583.3610368</v>
      </c>
      <c r="R98" s="2">
        <f>R10/'Output-Calculation-sheet'!R9*'Output-Calculation-sheet'!R81</f>
        <v>2499154087.9262886</v>
      </c>
      <c r="S98" s="2">
        <f>S10/'Output-Calculation-sheet'!S9*'Output-Calculation-sheet'!S81</f>
        <v>1444956009.2068982</v>
      </c>
      <c r="T98" s="2">
        <f>T10/'Output-Calculation-sheet'!T9*'Output-Calculation-sheet'!T81</f>
        <v>1072216803.7398341</v>
      </c>
      <c r="U98" s="2">
        <f>U10/'Output-Calculation-sheet'!U9*'Output-Calculation-sheet'!U81</f>
        <v>697653792.64573014</v>
      </c>
      <c r="V98" s="2">
        <f>V10/'Output-Calculation-sheet'!V9*'Output-Calculation-sheet'!V81</f>
        <v>369489196.91205347</v>
      </c>
      <c r="W98" s="2">
        <f>W10/'Output-Calculation-sheet'!W9*'Output-Calculation-sheet'!W81</f>
        <v>1047629347.1327603</v>
      </c>
      <c r="X98" s="2">
        <f>X10/'Output-Calculation-sheet'!X9*'Output-Calculation-sheet'!X81</f>
        <v>384972088.76744878</v>
      </c>
      <c r="Y98" s="2">
        <f>Y10/'Output-Calculation-sheet'!Y9*'Output-Calculation-sheet'!Y81</f>
        <v>576051493.45327795</v>
      </c>
      <c r="AA98" s="2">
        <f t="shared" si="8"/>
        <v>111.97855102073591</v>
      </c>
    </row>
    <row r="99" spans="1:27" x14ac:dyDescent="0.25">
      <c r="A99" s="2">
        <v>2034</v>
      </c>
      <c r="B99" s="2">
        <f>B11/'Output-Calculation-sheet'!B10*'Output-Calculation-sheet'!B82</f>
        <v>34202507908.901047</v>
      </c>
      <c r="C99" s="2">
        <f>C11/'Output-Calculation-sheet'!C10*'Output-Calculation-sheet'!C82</f>
        <v>11801268481.596556</v>
      </c>
      <c r="D99" s="2">
        <f>D11/'Output-Calculation-sheet'!D10*'Output-Calculation-sheet'!D82</f>
        <v>10735834809.076853</v>
      </c>
      <c r="E99" s="2">
        <f>E11/'Output-Calculation-sheet'!E10*'Output-Calculation-sheet'!E82</f>
        <v>20767531024.18269</v>
      </c>
      <c r="F99" s="2">
        <f>F11/'Output-Calculation-sheet'!F10*'Output-Calculation-sheet'!F82</f>
        <v>8553081879.5842857</v>
      </c>
      <c r="G99" s="2">
        <f>G11/'Output-Calculation-sheet'!G10*'Output-Calculation-sheet'!G82</f>
        <v>6080632576.5551023</v>
      </c>
      <c r="H99" s="2">
        <f>H11/'Output-Calculation-sheet'!H10*'Output-Calculation-sheet'!H82</f>
        <v>5683455137.9213219</v>
      </c>
      <c r="I99" s="2">
        <f>I11/'Output-Calculation-sheet'!I10*'Output-Calculation-sheet'!I82</f>
        <v>4773706651.2444897</v>
      </c>
      <c r="J99" s="2">
        <f>J11/'Output-Calculation-sheet'!J10*'Output-Calculation-sheet'!J82</f>
        <v>2970675823.3224673</v>
      </c>
      <c r="K99" s="2">
        <f>K11/'Output-Calculation-sheet'!K10*'Output-Calculation-sheet'!K82</f>
        <v>4346488561.8826342</v>
      </c>
      <c r="L99" s="2">
        <f>L11/'Output-Calculation-sheet'!L10*'Output-Calculation-sheet'!L82</f>
        <v>3355807025.8155866</v>
      </c>
      <c r="M99" s="2">
        <f>M11/'Output-Calculation-sheet'!M10*'Output-Calculation-sheet'!M82</f>
        <v>4281241410.5508184</v>
      </c>
      <c r="N99" s="2">
        <f>N11/'Output-Calculation-sheet'!N10*'Output-Calculation-sheet'!N82</f>
        <v>3016138574.016685</v>
      </c>
      <c r="O99" s="2">
        <f>O11/'Output-Calculation-sheet'!O10*'Output-Calculation-sheet'!O82</f>
        <v>1635200088.7343633</v>
      </c>
      <c r="P99" s="2">
        <f>P11/'Output-Calculation-sheet'!P10*'Output-Calculation-sheet'!P82</f>
        <v>5097289116.4172211</v>
      </c>
      <c r="Q99" s="2">
        <f>Q11/'Output-Calculation-sheet'!Q10*'Output-Calculation-sheet'!Q82</f>
        <v>2412357526.2910352</v>
      </c>
      <c r="R99" s="2">
        <f>R11/'Output-Calculation-sheet'!R10*'Output-Calculation-sheet'!R82</f>
        <v>3122785661.5811725</v>
      </c>
      <c r="S99" s="2">
        <f>S11/'Output-Calculation-sheet'!S10*'Output-Calculation-sheet'!S82</f>
        <v>1798811843.2325525</v>
      </c>
      <c r="T99" s="2">
        <f>T11/'Output-Calculation-sheet'!T10*'Output-Calculation-sheet'!T82</f>
        <v>1314721151.5737631</v>
      </c>
      <c r="U99" s="2">
        <f>U11/'Output-Calculation-sheet'!U10*'Output-Calculation-sheet'!U82</f>
        <v>870634849.32537651</v>
      </c>
      <c r="V99" s="2">
        <f>V11/'Output-Calculation-sheet'!V10*'Output-Calculation-sheet'!V82</f>
        <v>465517599.36696571</v>
      </c>
      <c r="W99" s="2">
        <f>W11/'Output-Calculation-sheet'!W10*'Output-Calculation-sheet'!W82</f>
        <v>1290896601.6597235</v>
      </c>
      <c r="X99" s="2">
        <f>X11/'Output-Calculation-sheet'!X10*'Output-Calculation-sheet'!X82</f>
        <v>486187199.99017906</v>
      </c>
      <c r="Y99" s="2">
        <f>Y11/'Output-Calculation-sheet'!Y10*'Output-Calculation-sheet'!Y82</f>
        <v>710402555.85256386</v>
      </c>
      <c r="AA99" s="2">
        <f t="shared" si="8"/>
        <v>139.77317405867541</v>
      </c>
    </row>
    <row r="100" spans="1:27" x14ac:dyDescent="0.25">
      <c r="A100" s="2">
        <v>2035</v>
      </c>
      <c r="B100" s="2">
        <f>B12/'Output-Calculation-sheet'!B11*'Output-Calculation-sheet'!B83</f>
        <v>41701765741.687386</v>
      </c>
      <c r="C100" s="2">
        <f>C12/'Output-Calculation-sheet'!C11*'Output-Calculation-sheet'!C83</f>
        <v>14478175729.99408</v>
      </c>
      <c r="D100" s="2">
        <f>D12/'Output-Calculation-sheet'!D11*'Output-Calculation-sheet'!D83</f>
        <v>12601395550.379171</v>
      </c>
      <c r="E100" s="2">
        <f>E12/'Output-Calculation-sheet'!E11*'Output-Calculation-sheet'!E83</f>
        <v>25060924226.101345</v>
      </c>
      <c r="F100" s="2">
        <f>F12/'Output-Calculation-sheet'!F11*'Output-Calculation-sheet'!F83</f>
        <v>10309064975.321581</v>
      </c>
      <c r="G100" s="2">
        <f>G12/'Output-Calculation-sheet'!G11*'Output-Calculation-sheet'!G83</f>
        <v>7084335006.9547005</v>
      </c>
      <c r="H100" s="2">
        <f>H12/'Output-Calculation-sheet'!H11*'Output-Calculation-sheet'!H83</f>
        <v>6842938189.8415689</v>
      </c>
      <c r="I100" s="2">
        <f>I12/'Output-Calculation-sheet'!I11*'Output-Calculation-sheet'!I83</f>
        <v>5806097894.8426838</v>
      </c>
      <c r="J100" s="2">
        <f>J12/'Output-Calculation-sheet'!J11*'Output-Calculation-sheet'!J83</f>
        <v>3518745221.6404505</v>
      </c>
      <c r="K100" s="2">
        <f>K12/'Output-Calculation-sheet'!K11*'Output-Calculation-sheet'!K83</f>
        <v>5184610550.2368326</v>
      </c>
      <c r="L100" s="2">
        <f>L12/'Output-Calculation-sheet'!L11*'Output-Calculation-sheet'!L83</f>
        <v>4116285153.4692965</v>
      </c>
      <c r="M100" s="2">
        <f>M12/'Output-Calculation-sheet'!M11*'Output-Calculation-sheet'!M83</f>
        <v>5170966287.2882357</v>
      </c>
      <c r="N100" s="2">
        <f>N12/'Output-Calculation-sheet'!N11*'Output-Calculation-sheet'!N83</f>
        <v>3577900255.1258831</v>
      </c>
      <c r="O100" s="2">
        <f>O12/'Output-Calculation-sheet'!O11*'Output-Calculation-sheet'!O83</f>
        <v>1985961821.8267045</v>
      </c>
      <c r="P100" s="2">
        <f>P12/'Output-Calculation-sheet'!P11*'Output-Calculation-sheet'!P83</f>
        <v>6031507166.2267141</v>
      </c>
      <c r="Q100" s="2">
        <f>Q12/'Output-Calculation-sheet'!Q11*'Output-Calculation-sheet'!Q83</f>
        <v>2877056567.6231651</v>
      </c>
      <c r="R100" s="2">
        <f>R12/'Output-Calculation-sheet'!R11*'Output-Calculation-sheet'!R83</f>
        <v>3767345219.4355788</v>
      </c>
      <c r="S100" s="2">
        <f>S12/'Output-Calculation-sheet'!S11*'Output-Calculation-sheet'!S83</f>
        <v>2162262593.0226622</v>
      </c>
      <c r="T100" s="2">
        <f>T12/'Output-Calculation-sheet'!T11*'Output-Calculation-sheet'!T83</f>
        <v>1556079895.8368149</v>
      </c>
      <c r="U100" s="2">
        <f>U12/'Output-Calculation-sheet'!U11*'Output-Calculation-sheet'!U83</f>
        <v>1048621663.9110954</v>
      </c>
      <c r="V100" s="2">
        <f>V12/'Output-Calculation-sheet'!V11*'Output-Calculation-sheet'!V83</f>
        <v>565792314.13549995</v>
      </c>
      <c r="W100" s="2">
        <f>W12/'Output-Calculation-sheet'!W11*'Output-Calculation-sheet'!W83</f>
        <v>1532870378.6437538</v>
      </c>
      <c r="X100" s="2">
        <f>X12/'Output-Calculation-sheet'!X11*'Output-Calculation-sheet'!X83</f>
        <v>592622248.49043584</v>
      </c>
      <c r="Y100" s="2">
        <f>Y12/'Output-Calculation-sheet'!Y11*'Output-Calculation-sheet'!Y83</f>
        <v>844703075.1908232</v>
      </c>
      <c r="AA100" s="2">
        <f t="shared" si="8"/>
        <v>168.4180277272265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1663659477.1667097</v>
      </c>
      <c r="C107" s="2">
        <f>C8/'Output-Calculation-sheet'!C7*'Output-Calculation-sheet'!C88</f>
        <v>27398676773.856842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8548497058.6584368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5897773237.4974718</v>
      </c>
      <c r="N107" s="2">
        <f>N8/'Output-Calculation-sheet'!N7*'Output-Calculation-sheet'!N88</f>
        <v>1791958125.4191496</v>
      </c>
      <c r="O107" s="2">
        <f>O8/'Output-Calculation-sheet'!O7*'Output-Calculation-sheet'!O88</f>
        <v>5323587911.4097691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591518081.07212842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638730729.26208675</v>
      </c>
      <c r="Y107" s="2">
        <f>Y8/'Output-Calculation-sheet'!Y7*'Output-Calculation-sheet'!Y88</f>
        <v>0</v>
      </c>
      <c r="AA107" s="2">
        <f t="shared" si="9"/>
        <v>51854.401394342596</v>
      </c>
    </row>
    <row r="108" spans="1:27" x14ac:dyDescent="0.25">
      <c r="A108" s="2">
        <v>2032</v>
      </c>
      <c r="B108" s="2">
        <f>B9/'Output-Calculation-sheet'!B8*'Output-Calculation-sheet'!B89</f>
        <v>7835779066.2848663</v>
      </c>
      <c r="C108" s="2">
        <f>C9/'Output-Calculation-sheet'!C8*'Output-Calculation-sheet'!C89</f>
        <v>39280153624.860161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12255136604.831602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8454978635.2425566</v>
      </c>
      <c r="N108" s="2">
        <f>N9/'Output-Calculation-sheet'!N8*'Output-Calculation-sheet'!N89</f>
        <v>3984342904.5967417</v>
      </c>
      <c r="O108" s="2">
        <f>O9/'Output-Calculation-sheet'!O8*'Output-Calculation-sheet'!O89</f>
        <v>7632167259.7377758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1197439107.6213584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915699458.96213472</v>
      </c>
      <c r="Y108" s="2">
        <f>Y9/'Output-Calculation-sheet'!Y8*'Output-Calculation-sheet'!Y89</f>
        <v>0</v>
      </c>
      <c r="AA108" s="2">
        <f t="shared" si="9"/>
        <v>81555.696662137198</v>
      </c>
    </row>
    <row r="109" spans="1:27" x14ac:dyDescent="0.25">
      <c r="A109" s="2">
        <v>2033</v>
      </c>
      <c r="B109" s="2">
        <f>B10/'Output-Calculation-sheet'!B9*'Output-Calculation-sheet'!B90</f>
        <v>22171002633.345749</v>
      </c>
      <c r="C109" s="2">
        <f>C10/'Output-Calculation-sheet'!C9*'Output-Calculation-sheet'!C90</f>
        <v>48929911542.919411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16289627297.849215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11238427254.49538</v>
      </c>
      <c r="N109" s="2">
        <f>N10/'Output-Calculation-sheet'!N9*'Output-Calculation-sheet'!N90</f>
        <v>6618805842.0206919</v>
      </c>
      <c r="O109" s="2">
        <f>O10/'Output-Calculation-sheet'!O9*'Output-Calculation-sheet'!O90</f>
        <v>8977076076.5354767</v>
      </c>
      <c r="P109" s="2">
        <f>P10/'Output-Calculation-sheet'!P9*'Output-Calculation-sheet'!P90</f>
        <v>0</v>
      </c>
      <c r="Q109" s="2">
        <f>Q10/'Output-Calculation-sheet'!Q9*'Output-Calculation-sheet'!Q90</f>
        <v>215526463.88107616</v>
      </c>
      <c r="R109" s="2">
        <f>R10/'Output-Calculation-sheet'!R9*'Output-Calculation-sheet'!R90</f>
        <v>0</v>
      </c>
      <c r="S109" s="2">
        <f>S10/'Output-Calculation-sheet'!S9*'Output-Calculation-sheet'!S90</f>
        <v>2671342795.6999178</v>
      </c>
      <c r="T109" s="2">
        <f>T10/'Output-Calculation-sheet'!T9*'Output-Calculation-sheet'!T90</f>
        <v>2.0364379578250819E-7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1217155673.9982302</v>
      </c>
      <c r="Y109" s="2">
        <f>Y10/'Output-Calculation-sheet'!Y9*'Output-Calculation-sheet'!Y90</f>
        <v>0</v>
      </c>
      <c r="AA109" s="2">
        <f t="shared" si="9"/>
        <v>118328.87558074515</v>
      </c>
    </row>
    <row r="110" spans="1:27" x14ac:dyDescent="0.25">
      <c r="A110" s="2">
        <v>2034</v>
      </c>
      <c r="B110" s="2">
        <f>B11/'Output-Calculation-sheet'!B10*'Output-Calculation-sheet'!B91</f>
        <v>55132453052.351135</v>
      </c>
      <c r="C110" s="2">
        <f>C11/'Output-Calculation-sheet'!C10*'Output-Calculation-sheet'!C91</f>
        <v>55750185505.005424</v>
      </c>
      <c r="D110" s="2">
        <f>D11/'Output-Calculation-sheet'!D10*'Output-Calculation-sheet'!D91</f>
        <v>0</v>
      </c>
      <c r="E110" s="2">
        <f>E11/'Output-Calculation-sheet'!E10*'Output-Calculation-sheet'!E91</f>
        <v>1124671533.4051156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20591950157.010475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935904508.30948663</v>
      </c>
      <c r="M110" s="2">
        <f>M11/'Output-Calculation-sheet'!M10*'Output-Calculation-sheet'!M91</f>
        <v>14206653779.946247</v>
      </c>
      <c r="N110" s="2">
        <f>N11/'Output-Calculation-sheet'!N10*'Output-Calculation-sheet'!N91</f>
        <v>9826032918.0535126</v>
      </c>
      <c r="O110" s="2">
        <f>O11/'Output-Calculation-sheet'!O10*'Output-Calculation-sheet'!O91</f>
        <v>10202430986.796871</v>
      </c>
      <c r="P110" s="2">
        <f>P11/'Output-Calculation-sheet'!P10*'Output-Calculation-sheet'!P91</f>
        <v>0</v>
      </c>
      <c r="Q110" s="2">
        <f>Q11/'Output-Calculation-sheet'!Q10*'Output-Calculation-sheet'!Q91</f>
        <v>2500415389.2675796</v>
      </c>
      <c r="R110" s="2">
        <f>R11/'Output-Calculation-sheet'!R10*'Output-Calculation-sheet'!R91</f>
        <v>0</v>
      </c>
      <c r="S110" s="2">
        <f>S11/'Output-Calculation-sheet'!S10*'Output-Calculation-sheet'!S91</f>
        <v>4832094766.3343849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1407500557.3580317</v>
      </c>
      <c r="Y110" s="2">
        <f>Y11/'Output-Calculation-sheet'!Y10*'Output-Calculation-sheet'!Y91</f>
        <v>61593450.06529779</v>
      </c>
      <c r="AA110" s="2">
        <f t="shared" si="9"/>
        <v>176571.88660390361</v>
      </c>
    </row>
    <row r="111" spans="1:27" x14ac:dyDescent="0.25">
      <c r="A111" s="2">
        <v>2035</v>
      </c>
      <c r="B111" s="2">
        <f>B12/'Output-Calculation-sheet'!B11*'Output-Calculation-sheet'!B92</f>
        <v>74750854322.630219</v>
      </c>
      <c r="C111" s="2">
        <f>C12/'Output-Calculation-sheet'!C11*'Output-Calculation-sheet'!C92</f>
        <v>62516222911.009178</v>
      </c>
      <c r="D111" s="2">
        <f>D12/'Output-Calculation-sheet'!D11*'Output-Calculation-sheet'!D92</f>
        <v>0</v>
      </c>
      <c r="E111" s="2">
        <f>E12/'Output-Calculation-sheet'!E11*'Output-Calculation-sheet'!E92</f>
        <v>8320824098.2066431</v>
      </c>
      <c r="F111" s="2">
        <f>F12/'Output-Calculation-sheet'!F11*'Output-Calculation-sheet'!F92</f>
        <v>0</v>
      </c>
      <c r="G111" s="2">
        <f>G12/'Output-Calculation-sheet'!G11*'Output-Calculation-sheet'!G92</f>
        <v>-9.0469654744952808E-7</v>
      </c>
      <c r="H111" s="2">
        <f>H12/'Output-Calculation-sheet'!H11*'Output-Calculation-sheet'!H92</f>
        <v>23139828457.917282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2745833003.8764954</v>
      </c>
      <c r="M111" s="2">
        <f>M12/'Output-Calculation-sheet'!M11*'Output-Calculation-sheet'!M92</f>
        <v>16328050600.7013</v>
      </c>
      <c r="N111" s="2">
        <f>N12/'Output-Calculation-sheet'!N11*'Output-Calculation-sheet'!N92</f>
        <v>11776119349.487387</v>
      </c>
      <c r="O111" s="2">
        <f>O12/'Output-Calculation-sheet'!O11*'Output-Calculation-sheet'!O92</f>
        <v>11358477571.975676</v>
      </c>
      <c r="P111" s="2">
        <f>P12/'Output-Calculation-sheet'!P11*'Output-Calculation-sheet'!P92</f>
        <v>571231824.03924346</v>
      </c>
      <c r="Q111" s="2">
        <f>Q12/'Output-Calculation-sheet'!Q11*'Output-Calculation-sheet'!Q92</f>
        <v>3928762905.6413021</v>
      </c>
      <c r="R111" s="2">
        <f>R12/'Output-Calculation-sheet'!R11*'Output-Calculation-sheet'!R92</f>
        <v>0</v>
      </c>
      <c r="S111" s="2">
        <f>S12/'Output-Calculation-sheet'!S11*'Output-Calculation-sheet'!S92</f>
        <v>6027653538.3868513</v>
      </c>
      <c r="T111" s="2">
        <f>T12/'Output-Calculation-sheet'!T11*'Output-Calculation-sheet'!T92</f>
        <v>0</v>
      </c>
      <c r="U111" s="2">
        <f>U12/'Output-Calculation-sheet'!U11*'Output-Calculation-sheet'!U92</f>
        <v>113976314.0488973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1611231129.1993961</v>
      </c>
      <c r="Y111" s="2">
        <f>Y12/'Output-Calculation-sheet'!Y11*'Output-Calculation-sheet'!Y92</f>
        <v>388173549.33646131</v>
      </c>
      <c r="AA111" s="2">
        <f t="shared" si="9"/>
        <v>223577.23957645631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56490003586.174782</v>
      </c>
      <c r="C118" s="2">
        <f>C8/'Output-Calculation-sheet'!C7*'Output-Calculation-sheet'!C97</f>
        <v>0</v>
      </c>
      <c r="D118" s="2">
        <f>D8/'Output-Calculation-sheet'!D7*'Output-Calculation-sheet'!D97</f>
        <v>24425208586.777317</v>
      </c>
      <c r="E118" s="2">
        <f>E8/'Output-Calculation-sheet'!E7*'Output-Calculation-sheet'!E97</f>
        <v>19378924421.638519</v>
      </c>
      <c r="F118" s="2">
        <f>F8/'Output-Calculation-sheet'!F7*'Output-Calculation-sheet'!F97</f>
        <v>12474909056.179579</v>
      </c>
      <c r="G118" s="2">
        <f>G8/'Output-Calculation-sheet'!G7*'Output-Calculation-sheet'!G97</f>
        <v>8765213467.5099926</v>
      </c>
      <c r="H118" s="2">
        <f>H8/'Output-Calculation-sheet'!H7*'Output-Calculation-sheet'!H97</f>
        <v>0</v>
      </c>
      <c r="I118" s="2">
        <f>I8/'Output-Calculation-sheet'!I7*'Output-Calculation-sheet'!I97</f>
        <v>7985799441.9733725</v>
      </c>
      <c r="J118" s="2">
        <f>J8/'Output-Calculation-sheet'!J7*'Output-Calculation-sheet'!J97</f>
        <v>7772827148.4636946</v>
      </c>
      <c r="K118" s="2">
        <f>K8/'Output-Calculation-sheet'!K7*'Output-Calculation-sheet'!K97</f>
        <v>7698309148.3849058</v>
      </c>
      <c r="L118" s="2">
        <f>L8/'Output-Calculation-sheet'!L7*'Output-Calculation-sheet'!L97</f>
        <v>6175683698.1889868</v>
      </c>
      <c r="M118" s="2">
        <f>M8/'Output-Calculation-sheet'!M7*'Output-Calculation-sheet'!M97</f>
        <v>0</v>
      </c>
      <c r="N118" s="2">
        <f>N8/'Output-Calculation-sheet'!N7*'Output-Calculation-sheet'!N97</f>
        <v>3997695209.5301714</v>
      </c>
      <c r="O118" s="2">
        <f>O8/'Output-Calculation-sheet'!O7*'Output-Calculation-sheet'!O97</f>
        <v>0</v>
      </c>
      <c r="P118" s="2">
        <f>P8/'Output-Calculation-sheet'!P7*'Output-Calculation-sheet'!P97</f>
        <v>5270627631.7024298</v>
      </c>
      <c r="Q118" s="2">
        <f>Q8/'Output-Calculation-sheet'!Q7*'Output-Calculation-sheet'!Q97</f>
        <v>5185444788.1259518</v>
      </c>
      <c r="R118" s="2">
        <f>R8/'Output-Calculation-sheet'!R7*'Output-Calculation-sheet'!R97</f>
        <v>4988636366.2094669</v>
      </c>
      <c r="S118" s="2">
        <f>S8/'Output-Calculation-sheet'!S7*'Output-Calculation-sheet'!S97</f>
        <v>2724185590.0150185</v>
      </c>
      <c r="T118" s="2">
        <f>T8/'Output-Calculation-sheet'!T7*'Output-Calculation-sheet'!T97</f>
        <v>1833780190.6336088</v>
      </c>
      <c r="U118" s="2">
        <f>U8/'Output-Calculation-sheet'!U7*'Output-Calculation-sheet'!U97</f>
        <v>1597159574.801614</v>
      </c>
      <c r="V118" s="2">
        <f>V8/'Output-Calculation-sheet'!V7*'Output-Calculation-sheet'!V97</f>
        <v>1229845299.0703626</v>
      </c>
      <c r="W118" s="2">
        <f>W8/'Output-Calculation-sheet'!W7*'Output-Calculation-sheet'!W97</f>
        <v>1064773049.5416402</v>
      </c>
      <c r="X118" s="2">
        <f>X8/'Output-Calculation-sheet'!X7*'Output-Calculation-sheet'!X97</f>
        <v>0</v>
      </c>
      <c r="Y118" s="2">
        <f>Y8/'Output-Calculation-sheet'!Y7*'Output-Calculation-sheet'!Y97</f>
        <v>621288928.77835572</v>
      </c>
      <c r="AA118" s="2">
        <f t="shared" si="10"/>
        <v>179680.31518369977</v>
      </c>
    </row>
    <row r="119" spans="1:27" x14ac:dyDescent="0.25">
      <c r="A119" s="2">
        <v>2032</v>
      </c>
      <c r="B119" s="2">
        <f>B9/'Output-Calculation-sheet'!B8*'Output-Calculation-sheet'!B98</f>
        <v>75532482955.636887</v>
      </c>
      <c r="C119" s="2">
        <f>C9/'Output-Calculation-sheet'!C8*'Output-Calculation-sheet'!C98</f>
        <v>0</v>
      </c>
      <c r="D119" s="2">
        <f>D9/'Output-Calculation-sheet'!D8*'Output-Calculation-sheet'!D98</f>
        <v>35015633341.656822</v>
      </c>
      <c r="E119" s="2">
        <f>E9/'Output-Calculation-sheet'!E8*'Output-Calculation-sheet'!E98</f>
        <v>27781345259.90715</v>
      </c>
      <c r="F119" s="2">
        <f>F9/'Output-Calculation-sheet'!F8*'Output-Calculation-sheet'!F98</f>
        <v>17883854404.662937</v>
      </c>
      <c r="G119" s="2">
        <f>G9/'Output-Calculation-sheet'!G8*'Output-Calculation-sheet'!G98</f>
        <v>12565686955.048958</v>
      </c>
      <c r="H119" s="2">
        <f>H9/'Output-Calculation-sheet'!H8*'Output-Calculation-sheet'!H98</f>
        <v>1.6809183292813589E-6</v>
      </c>
      <c r="I119" s="2">
        <f>I9/'Output-Calculation-sheet'!I8*'Output-Calculation-sheet'!I98</f>
        <v>11448330812.049288</v>
      </c>
      <c r="J119" s="2">
        <f>J9/'Output-Calculation-sheet'!J8*'Output-Calculation-sheet'!J98</f>
        <v>11143012372.630447</v>
      </c>
      <c r="K119" s="2">
        <f>K9/'Output-Calculation-sheet'!K8*'Output-Calculation-sheet'!K98</f>
        <v>11036186178.767832</v>
      </c>
      <c r="L119" s="2">
        <f>L9/'Output-Calculation-sheet'!L8*'Output-Calculation-sheet'!L98</f>
        <v>8853374124.1774426</v>
      </c>
      <c r="M119" s="2">
        <f>M9/'Output-Calculation-sheet'!M8*'Output-Calculation-sheet'!M98</f>
        <v>0</v>
      </c>
      <c r="N119" s="2">
        <f>N9/'Output-Calculation-sheet'!N8*'Output-Calculation-sheet'!N98</f>
        <v>4314927753.4842958</v>
      </c>
      <c r="O119" s="2">
        <f>O9/'Output-Calculation-sheet'!O8*'Output-Calculation-sheet'!O98</f>
        <v>0</v>
      </c>
      <c r="P119" s="2">
        <f>P9/'Output-Calculation-sheet'!P8*'Output-Calculation-sheet'!P98</f>
        <v>7555847262.7939215</v>
      </c>
      <c r="Q119" s="2">
        <f>Q9/'Output-Calculation-sheet'!Q8*'Output-Calculation-sheet'!Q98</f>
        <v>7433780241.5099421</v>
      </c>
      <c r="R119" s="2">
        <f>R9/'Output-Calculation-sheet'!R8*'Output-Calculation-sheet'!R98</f>
        <v>7151639049.5577135</v>
      </c>
      <c r="S119" s="2">
        <f>S9/'Output-Calculation-sheet'!S8*'Output-Calculation-sheet'!S98</f>
        <v>3555652199.3050451</v>
      </c>
      <c r="T119" s="2">
        <f>T9/'Output-Calculation-sheet'!T8*'Output-Calculation-sheet'!T98</f>
        <v>2628880915.6422253</v>
      </c>
      <c r="U119" s="2">
        <f>U9/'Output-Calculation-sheet'!U8*'Output-Calculation-sheet'!U98</f>
        <v>2289665902.2591457</v>
      </c>
      <c r="V119" s="2">
        <f>V9/'Output-Calculation-sheet'!V8*'Output-Calculation-sheet'!V98</f>
        <v>1763088538.346395</v>
      </c>
      <c r="W119" s="2">
        <f>W9/'Output-Calculation-sheet'!W8*'Output-Calculation-sheet'!W98</f>
        <v>1526443694.9792416</v>
      </c>
      <c r="X119" s="2">
        <f>X9/'Output-Calculation-sheet'!X8*'Output-Calculation-sheet'!X98</f>
        <v>0</v>
      </c>
      <c r="Y119" s="2">
        <f>Y9/'Output-Calculation-sheet'!Y8*'Output-Calculation-sheet'!Y98</f>
        <v>890670737.74366331</v>
      </c>
      <c r="AA119" s="2">
        <f t="shared" si="10"/>
        <v>250370.5027001593</v>
      </c>
    </row>
    <row r="120" spans="1:27" x14ac:dyDescent="0.25">
      <c r="A120" s="2">
        <v>2033</v>
      </c>
      <c r="B120" s="2">
        <f>B10/'Output-Calculation-sheet'!B9*'Output-Calculation-sheet'!B99</f>
        <v>88632719275.074158</v>
      </c>
      <c r="C120" s="2">
        <f>C10/'Output-Calculation-sheet'!C9*'Output-Calculation-sheet'!C99</f>
        <v>0</v>
      </c>
      <c r="D120" s="2">
        <f>D10/'Output-Calculation-sheet'!D9*'Output-Calculation-sheet'!D99</f>
        <v>46541670421.808517</v>
      </c>
      <c r="E120" s="2">
        <f>E10/'Output-Calculation-sheet'!E9*'Output-Calculation-sheet'!E99</f>
        <v>36926087769.127831</v>
      </c>
      <c r="F120" s="2">
        <f>F10/'Output-Calculation-sheet'!F9*'Output-Calculation-sheet'!F99</f>
        <v>23770647776.8195</v>
      </c>
      <c r="G120" s="2">
        <f>G10/'Output-Calculation-sheet'!G9*'Output-Calculation-sheet'!G99</f>
        <v>16701909495.813435</v>
      </c>
      <c r="H120" s="2">
        <f>H10/'Output-Calculation-sheet'!H9*'Output-Calculation-sheet'!H99</f>
        <v>0</v>
      </c>
      <c r="I120" s="2">
        <f>I10/'Output-Calculation-sheet'!I9*'Output-Calculation-sheet'!I99</f>
        <v>15216756234.674049</v>
      </c>
      <c r="J120" s="2">
        <f>J10/'Output-Calculation-sheet'!J9*'Output-Calculation-sheet'!J99</f>
        <v>14810936675.852633</v>
      </c>
      <c r="K120" s="2">
        <f>K10/'Output-Calculation-sheet'!K9*'Output-Calculation-sheet'!K99</f>
        <v>14669294353.20092</v>
      </c>
      <c r="L120" s="2">
        <f>L10/'Output-Calculation-sheet'!L9*'Output-Calculation-sheet'!L99</f>
        <v>11767622544.038103</v>
      </c>
      <c r="M120" s="2">
        <f>M10/'Output-Calculation-sheet'!M9*'Output-Calculation-sheet'!M99</f>
        <v>0</v>
      </c>
      <c r="N120" s="2">
        <f>N10/'Output-Calculation-sheet'!N9*'Output-Calculation-sheet'!N99</f>
        <v>4411673655.325654</v>
      </c>
      <c r="O120" s="2">
        <f>O10/'Output-Calculation-sheet'!O9*'Output-Calculation-sheet'!O99</f>
        <v>0</v>
      </c>
      <c r="P120" s="2">
        <f>P10/'Output-Calculation-sheet'!P9*'Output-Calculation-sheet'!P99</f>
        <v>10042464092.149879</v>
      </c>
      <c r="Q120" s="2">
        <f>Q10/'Output-Calculation-sheet'!Q9*'Output-Calculation-sheet'!Q99</f>
        <v>9665121056.3667774</v>
      </c>
      <c r="R120" s="2">
        <f>R10/'Output-Calculation-sheet'!R9*'Output-Calculation-sheet'!R99</f>
        <v>9505284314.6867371</v>
      </c>
      <c r="S120" s="2">
        <f>S10/'Output-Calculation-sheet'!S9*'Output-Calculation-sheet'!S99</f>
        <v>3645893475.2458773</v>
      </c>
      <c r="T120" s="2">
        <f>T10/'Output-Calculation-sheet'!T9*'Output-Calculation-sheet'!T99</f>
        <v>3494194622.5629902</v>
      </c>
      <c r="U120" s="2">
        <f>U10/'Output-Calculation-sheet'!U9*'Output-Calculation-sheet'!U99</f>
        <v>3044004369.8853607</v>
      </c>
      <c r="V120" s="2">
        <f>V10/'Output-Calculation-sheet'!V9*'Output-Calculation-sheet'!V99</f>
        <v>2343441179.4554262</v>
      </c>
      <c r="W120" s="2">
        <f>W10/'Output-Calculation-sheet'!W9*'Output-Calculation-sheet'!W99</f>
        <v>2028900703.4288266</v>
      </c>
      <c r="X120" s="2">
        <f>X10/'Output-Calculation-sheet'!X9*'Output-Calculation-sheet'!X99</f>
        <v>0</v>
      </c>
      <c r="Y120" s="2">
        <f>Y10/'Output-Calculation-sheet'!Y9*'Output-Calculation-sheet'!Y99</f>
        <v>1183852921.1478219</v>
      </c>
      <c r="AA120" s="2">
        <f t="shared" si="10"/>
        <v>318402.47493666457</v>
      </c>
    </row>
    <row r="121" spans="1:27" x14ac:dyDescent="0.25">
      <c r="A121" s="2">
        <v>2034</v>
      </c>
      <c r="B121" s="2">
        <f>B11/'Output-Calculation-sheet'!B10*'Output-Calculation-sheet'!B100</f>
        <v>84923899671.06723</v>
      </c>
      <c r="C121" s="2">
        <f>C11/'Output-Calculation-sheet'!C10*'Output-Calculation-sheet'!C100</f>
        <v>0</v>
      </c>
      <c r="D121" s="2">
        <f>D11/'Output-Calculation-sheet'!D10*'Output-Calculation-sheet'!D100</f>
        <v>58832717179.673676</v>
      </c>
      <c r="E121" s="2">
        <f>E11/'Output-Calculation-sheet'!E10*'Output-Calculation-sheet'!E100</f>
        <v>45551144148.030151</v>
      </c>
      <c r="F121" s="2">
        <f>F11/'Output-Calculation-sheet'!F10*'Output-Calculation-sheet'!F100</f>
        <v>30048003235.583385</v>
      </c>
      <c r="G121" s="2">
        <f>G11/'Output-Calculation-sheet'!G10*'Output-Calculation-sheet'!G100</f>
        <v>21111521639.564411</v>
      </c>
      <c r="H121" s="2">
        <f>H11/'Output-Calculation-sheet'!H10*'Output-Calculation-sheet'!H100</f>
        <v>0</v>
      </c>
      <c r="I121" s="2">
        <f>I11/'Output-Calculation-sheet'!I10*'Output-Calculation-sheet'!I100</f>
        <v>19234617996.548283</v>
      </c>
      <c r="J121" s="2">
        <f>J11/'Output-Calculation-sheet'!J10*'Output-Calculation-sheet'!J100</f>
        <v>18721851990.660812</v>
      </c>
      <c r="K121" s="2">
        <f>K11/'Output-Calculation-sheet'!K10*'Output-Calculation-sheet'!K100</f>
        <v>18542833333.194157</v>
      </c>
      <c r="L121" s="2">
        <f>L11/'Output-Calculation-sheet'!L10*'Output-Calculation-sheet'!L100</f>
        <v>13938960947.75642</v>
      </c>
      <c r="M121" s="2">
        <f>M11/'Output-Calculation-sheet'!M10*'Output-Calculation-sheet'!M100</f>
        <v>9.5147237224834419E-7</v>
      </c>
      <c r="N121" s="2">
        <f>N11/'Output-Calculation-sheet'!N10*'Output-Calculation-sheet'!N100</f>
        <v>4117753130.4136643</v>
      </c>
      <c r="O121" s="2">
        <f>O11/'Output-Calculation-sheet'!O10*'Output-Calculation-sheet'!O100</f>
        <v>0</v>
      </c>
      <c r="P121" s="2">
        <f>P11/'Output-Calculation-sheet'!P10*'Output-Calculation-sheet'!P100</f>
        <v>12694024551.183254</v>
      </c>
      <c r="Q121" s="2">
        <f>Q11/'Output-Calculation-sheet'!Q10*'Output-Calculation-sheet'!Q100</f>
        <v>9988559911.5526085</v>
      </c>
      <c r="R121" s="2">
        <f>R11/'Output-Calculation-sheet'!R10*'Output-Calculation-sheet'!R100</f>
        <v>12014980651.404175</v>
      </c>
      <c r="S121" s="2">
        <f>S11/'Output-Calculation-sheet'!S10*'Output-Calculation-sheet'!S100</f>
        <v>3153375538.2135973</v>
      </c>
      <c r="T121" s="2">
        <f>T11/'Output-Calculation-sheet'!T10*'Output-Calculation-sheet'!T100</f>
        <v>4416704836.6978531</v>
      </c>
      <c r="U121" s="2">
        <f>U11/'Output-Calculation-sheet'!U10*'Output-Calculation-sheet'!U100</f>
        <v>3849132669.0750256</v>
      </c>
      <c r="V121" s="2">
        <f>V11/'Output-Calculation-sheet'!V10*'Output-Calculation-sheet'!V100</f>
        <v>2963145861.2559776</v>
      </c>
      <c r="W121" s="2">
        <f>W11/'Output-Calculation-sheet'!W10*'Output-Calculation-sheet'!W100</f>
        <v>2564783035.0729847</v>
      </c>
      <c r="X121" s="2">
        <f>X11/'Output-Calculation-sheet'!X10*'Output-Calculation-sheet'!X100</f>
        <v>113859724.25660075</v>
      </c>
      <c r="Y121" s="2">
        <f>Y11/'Output-Calculation-sheet'!Y10*'Output-Calculation-sheet'!Y100</f>
        <v>1434872521.9819903</v>
      </c>
      <c r="AA121" s="2">
        <f t="shared" si="10"/>
        <v>368216.74257318623</v>
      </c>
    </row>
    <row r="122" spans="1:27" x14ac:dyDescent="0.25">
      <c r="A122" s="2">
        <v>2035</v>
      </c>
      <c r="B122" s="2">
        <f>B12/'Output-Calculation-sheet'!B11*'Output-Calculation-sheet'!B101</f>
        <v>86016770454.433258</v>
      </c>
      <c r="C122" s="2">
        <f>C12/'Output-Calculation-sheet'!C11*'Output-Calculation-sheet'!C101</f>
        <v>0</v>
      </c>
      <c r="D122" s="2">
        <f>D12/'Output-Calculation-sheet'!D11*'Output-Calculation-sheet'!D101</f>
        <v>66833435564.558609</v>
      </c>
      <c r="E122" s="2">
        <f>E12/'Output-Calculation-sheet'!E11*'Output-Calculation-sheet'!E101</f>
        <v>47232856824.032623</v>
      </c>
      <c r="F122" s="2">
        <f>F12/'Output-Calculation-sheet'!F11*'Output-Calculation-sheet'!F101</f>
        <v>35149430411.925079</v>
      </c>
      <c r="G122" s="2">
        <f>G12/'Output-Calculation-sheet'!G11*'Output-Calculation-sheet'!G101</f>
        <v>24332842318.366329</v>
      </c>
      <c r="H122" s="2">
        <f>H12/'Output-Calculation-sheet'!H11*'Output-Calculation-sheet'!H101</f>
        <v>0</v>
      </c>
      <c r="I122" s="2">
        <f>I12/'Output-Calculation-sheet'!I11*'Output-Calculation-sheet'!I101</f>
        <v>22229325496.916031</v>
      </c>
      <c r="J122" s="2">
        <f>J12/'Output-Calculation-sheet'!J11*'Output-Calculation-sheet'!J101</f>
        <v>21434859277.268337</v>
      </c>
      <c r="K122" s="2">
        <f>K12/'Output-Calculation-sheet'!K11*'Output-Calculation-sheet'!K101</f>
        <v>21554231084.784042</v>
      </c>
      <c r="L122" s="2">
        <f>L12/'Output-Calculation-sheet'!L11*'Output-Calculation-sheet'!L101</f>
        <v>14833078193.489149</v>
      </c>
      <c r="M122" s="2">
        <f>M12/'Output-Calculation-sheet'!M11*'Output-Calculation-sheet'!M101</f>
        <v>0</v>
      </c>
      <c r="N122" s="2">
        <f>N12/'Output-Calculation-sheet'!N11*'Output-Calculation-sheet'!N101</f>
        <v>4174113161.0650358</v>
      </c>
      <c r="O122" s="2">
        <f>O12/'Output-Calculation-sheet'!O11*'Output-Calculation-sheet'!O101</f>
        <v>0</v>
      </c>
      <c r="P122" s="2">
        <f>P12/'Output-Calculation-sheet'!P11*'Output-Calculation-sheet'!P101</f>
        <v>14365848819.015011</v>
      </c>
      <c r="Q122" s="2">
        <f>Q12/'Output-Calculation-sheet'!Q11*'Output-Calculation-sheet'!Q101</f>
        <v>10190253778.958984</v>
      </c>
      <c r="R122" s="2">
        <f>R12/'Output-Calculation-sheet'!R11*'Output-Calculation-sheet'!R101</f>
        <v>14047460542.024359</v>
      </c>
      <c r="S122" s="2">
        <f>S12/'Output-Calculation-sheet'!S11*'Output-Calculation-sheet'!S101</f>
        <v>3079537461.3205152</v>
      </c>
      <c r="T122" s="2">
        <f>T12/'Output-Calculation-sheet'!T11*'Output-Calculation-sheet'!T101</f>
        <v>5238599391.7656126</v>
      </c>
      <c r="U122" s="2">
        <f>U12/'Output-Calculation-sheet'!U11*'Output-Calculation-sheet'!U101</f>
        <v>4252952321.9603386</v>
      </c>
      <c r="V122" s="2">
        <f>V12/'Output-Calculation-sheet'!V11*'Output-Calculation-sheet'!V101</f>
        <v>3532861650.0689979</v>
      </c>
      <c r="W122" s="2">
        <f>W12/'Output-Calculation-sheet'!W11*'Output-Calculation-sheet'!W101</f>
        <v>3080633313.1509461</v>
      </c>
      <c r="X122" s="2">
        <f>X12/'Output-Calculation-sheet'!X11*'Output-Calculation-sheet'!X101</f>
        <v>113447995.77053426</v>
      </c>
      <c r="Y122" s="2">
        <f>Y12/'Output-Calculation-sheet'!Y11*'Output-Calculation-sheet'!Y101</f>
        <v>1390777091.6314609</v>
      </c>
      <c r="AA122" s="2">
        <f t="shared" si="10"/>
        <v>403083.31515250518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58153664122.373093</v>
      </c>
      <c r="C129" s="2">
        <f>C8/'Output-Calculation-sheet'!C7*'Output-Calculation-sheet'!C106</f>
        <v>27404938220.054951</v>
      </c>
      <c r="D129" s="2">
        <f>D8/'Output-Calculation-sheet'!D7*'Output-Calculation-sheet'!D106</f>
        <v>24425208586.777317</v>
      </c>
      <c r="E129" s="2">
        <f>E8/'Output-Calculation-sheet'!E7*'Output-Calculation-sheet'!E106</f>
        <v>19378924421.638519</v>
      </c>
      <c r="F129" s="2">
        <f>F8/'Output-Calculation-sheet'!F7*'Output-Calculation-sheet'!F106</f>
        <v>12474909056.179579</v>
      </c>
      <c r="G129" s="2">
        <f>G8/'Output-Calculation-sheet'!G7*'Output-Calculation-sheet'!G106</f>
        <v>8765213467.5099926</v>
      </c>
      <c r="H129" s="2">
        <f>H8/'Output-Calculation-sheet'!H7*'Output-Calculation-sheet'!H106</f>
        <v>8550129269.2061653</v>
      </c>
      <c r="I129" s="2">
        <f>I8/'Output-Calculation-sheet'!I7*'Output-Calculation-sheet'!I106</f>
        <v>7985799441.9733725</v>
      </c>
      <c r="J129" s="2">
        <f>J8/'Output-Calculation-sheet'!J7*'Output-Calculation-sheet'!J106</f>
        <v>7772827148.4636946</v>
      </c>
      <c r="K129" s="2">
        <f>K8/'Output-Calculation-sheet'!K7*'Output-Calculation-sheet'!K106</f>
        <v>7698309148.3849058</v>
      </c>
      <c r="L129" s="2">
        <f>L8/'Output-Calculation-sheet'!L7*'Output-Calculation-sheet'!L106</f>
        <v>6175683698.1889868</v>
      </c>
      <c r="M129" s="2">
        <f>M8/'Output-Calculation-sheet'!M7*'Output-Calculation-sheet'!M106</f>
        <v>5898843854.4710102</v>
      </c>
      <c r="N129" s="2">
        <f>N8/'Output-Calculation-sheet'!N7*'Output-Calculation-sheet'!N106</f>
        <v>5789699328.5872002</v>
      </c>
      <c r="O129" s="2">
        <f>O8/'Output-Calculation-sheet'!O7*'Output-Calculation-sheet'!O106</f>
        <v>5324802248.2746468</v>
      </c>
      <c r="P129" s="2">
        <f>P8/'Output-Calculation-sheet'!P7*'Output-Calculation-sheet'!P106</f>
        <v>5270627631.7024298</v>
      </c>
      <c r="Q129" s="2">
        <f>Q8/'Output-Calculation-sheet'!Q7*'Output-Calculation-sheet'!Q106</f>
        <v>5185444788.1259518</v>
      </c>
      <c r="R129" s="2">
        <f>R8/'Output-Calculation-sheet'!R7*'Output-Calculation-sheet'!R106</f>
        <v>4988636366.2094669</v>
      </c>
      <c r="S129" s="2">
        <f>S8/'Output-Calculation-sheet'!S7*'Output-Calculation-sheet'!S106</f>
        <v>3315703285.2568626</v>
      </c>
      <c r="T129" s="2">
        <f>T8/'Output-Calculation-sheet'!T7*'Output-Calculation-sheet'!T106</f>
        <v>1833780190.6336088</v>
      </c>
      <c r="U129" s="2">
        <f>U8/'Output-Calculation-sheet'!U7*'Output-Calculation-sheet'!U106</f>
        <v>1597159574.801614</v>
      </c>
      <c r="V129" s="2">
        <f>V8/'Output-Calculation-sheet'!V7*'Output-Calculation-sheet'!V106</f>
        <v>1229845299.0703626</v>
      </c>
      <c r="W129" s="2">
        <f>W8/'Output-Calculation-sheet'!W7*'Output-Calculation-sheet'!W106</f>
        <v>1064773049.5416402</v>
      </c>
      <c r="X129" s="2">
        <f>X8/'Output-Calculation-sheet'!X7*'Output-Calculation-sheet'!X106</f>
        <v>638863955.35787082</v>
      </c>
      <c r="Y129" s="2">
        <f>Y8/'Output-Calculation-sheet'!Y7*'Output-Calculation-sheet'!Y106</f>
        <v>621288928.77835572</v>
      </c>
      <c r="AA129" s="2">
        <f t="shared" si="11"/>
        <v>231545.07508156155</v>
      </c>
    </row>
    <row r="130" spans="1:27" x14ac:dyDescent="0.25">
      <c r="A130" s="2">
        <v>2032</v>
      </c>
      <c r="B130" s="2">
        <f>B9/'Output-Calculation-sheet'!B8*'Output-Calculation-sheet'!B107</f>
        <v>50020964504.740135</v>
      </c>
      <c r="C130" s="2">
        <f>C9/'Output-Calculation-sheet'!C8*'Output-Calculation-sheet'!C107</f>
        <v>23572390920.635399</v>
      </c>
      <c r="D130" s="2">
        <f>D9/'Output-Calculation-sheet'!D8*'Output-Calculation-sheet'!D107</f>
        <v>21009375625.506664</v>
      </c>
      <c r="E130" s="2">
        <f>E9/'Output-Calculation-sheet'!E8*'Output-Calculation-sheet'!E107</f>
        <v>16668805415.682114</v>
      </c>
      <c r="F130" s="2">
        <f>F9/'Output-Calculation-sheet'!F8*'Output-Calculation-sheet'!F107</f>
        <v>10730313737.303335</v>
      </c>
      <c r="G130" s="2">
        <f>G9/'Output-Calculation-sheet'!G8*'Output-Calculation-sheet'!G107</f>
        <v>7539412958.5374918</v>
      </c>
      <c r="H130" s="2">
        <f>H9/'Output-Calculation-sheet'!H8*'Output-Calculation-sheet'!H107</f>
        <v>7354406011.659441</v>
      </c>
      <c r="I130" s="2">
        <f>I9/'Output-Calculation-sheet'!I8*'Output-Calculation-sheet'!I107</f>
        <v>6868997780.7119188</v>
      </c>
      <c r="J130" s="2">
        <f>J9/'Output-Calculation-sheet'!J8*'Output-Calculation-sheet'!J107</f>
        <v>6685806724.3577528</v>
      </c>
      <c r="K130" s="2">
        <f>K9/'Output-Calculation-sheet'!K8*'Output-Calculation-sheet'!K107</f>
        <v>6621711707.2606993</v>
      </c>
      <c r="L130" s="2">
        <f>L9/'Output-Calculation-sheet'!L8*'Output-Calculation-sheet'!L107</f>
        <v>5312023922.3563251</v>
      </c>
      <c r="M130" s="2">
        <f>M9/'Output-Calculation-sheet'!M8*'Output-Calculation-sheet'!M107</f>
        <v>5073900350.6838808</v>
      </c>
      <c r="N130" s="2">
        <f>N9/'Output-Calculation-sheet'!N8*'Output-Calculation-sheet'!N107</f>
        <v>4980016290.6225262</v>
      </c>
      <c r="O130" s="2">
        <f>O9/'Output-Calculation-sheet'!O8*'Output-Calculation-sheet'!O107</f>
        <v>4580136927.1982937</v>
      </c>
      <c r="P130" s="2">
        <f>P9/'Output-Calculation-sheet'!P8*'Output-Calculation-sheet'!P107</f>
        <v>4533537358.1213913</v>
      </c>
      <c r="Q130" s="2">
        <f>Q9/'Output-Calculation-sheet'!Q8*'Output-Calculation-sheet'!Q107</f>
        <v>4460269497.5623636</v>
      </c>
      <c r="R130" s="2">
        <f>R9/'Output-Calculation-sheet'!R8*'Output-Calculation-sheet'!R107</f>
        <v>4290983876.8716407</v>
      </c>
      <c r="S130" s="2">
        <f>S9/'Output-Calculation-sheet'!S8*'Output-Calculation-sheet'!S107</f>
        <v>2852007327.4953227</v>
      </c>
      <c r="T130" s="2">
        <f>T9/'Output-Calculation-sheet'!T8*'Output-Calculation-sheet'!T107</f>
        <v>1577328880.2353041</v>
      </c>
      <c r="U130" s="2">
        <f>U9/'Output-Calculation-sheet'!U8*'Output-Calculation-sheet'!U107</f>
        <v>1373799109.7754474</v>
      </c>
      <c r="V130" s="2">
        <f>V9/'Output-Calculation-sheet'!V8*'Output-Calculation-sheet'!V107</f>
        <v>1057852790.220484</v>
      </c>
      <c r="W130" s="2">
        <f>W9/'Output-Calculation-sheet'!W8*'Output-Calculation-sheet'!W107</f>
        <v>915866313.04381883</v>
      </c>
      <c r="X130" s="2">
        <f>X9/'Output-Calculation-sheet'!X8*'Output-Calculation-sheet'!X107</f>
        <v>549519680.00404978</v>
      </c>
      <c r="Y130" s="2">
        <f>Y9/'Output-Calculation-sheet'!Y8*'Output-Calculation-sheet'!Y107</f>
        <v>534402498.07774287</v>
      </c>
      <c r="AA130" s="2">
        <f t="shared" si="11"/>
        <v>199163.83020866357</v>
      </c>
    </row>
    <row r="131" spans="1:27" x14ac:dyDescent="0.25">
      <c r="A131" s="2">
        <v>2033</v>
      </c>
      <c r="B131" s="2">
        <f>B10/'Output-Calculation-sheet'!B9*'Output-Calculation-sheet'!B108</f>
        <v>36936830569.466759</v>
      </c>
      <c r="C131" s="2">
        <f>C10/'Output-Calculation-sheet'!C9*'Output-Calculation-sheet'!C108</f>
        <v>21615223917.292439</v>
      </c>
      <c r="D131" s="2">
        <f>D10/'Output-Calculation-sheet'!D9*'Output-Calculation-sheet'!D108</f>
        <v>15513894183.01647</v>
      </c>
      <c r="E131" s="2">
        <f>E10/'Output-Calculation-sheet'!E9*'Output-Calculation-sheet'!E108</f>
        <v>12308695923.04261</v>
      </c>
      <c r="F131" s="2">
        <f>F10/'Output-Calculation-sheet'!F9*'Output-Calculation-sheet'!F108</f>
        <v>7923549258.9398327</v>
      </c>
      <c r="G131" s="2">
        <f>G10/'Output-Calculation-sheet'!G9*'Output-Calculation-sheet'!G108</f>
        <v>5567303165.2711449</v>
      </c>
      <c r="H131" s="2">
        <f>H10/'Output-Calculation-sheet'!H9*'Output-Calculation-sheet'!H108</f>
        <v>5430690526.8619099</v>
      </c>
      <c r="I131" s="2">
        <f>I10/'Output-Calculation-sheet'!I9*'Output-Calculation-sheet'!I108</f>
        <v>5072253382.5036163</v>
      </c>
      <c r="J131" s="2">
        <f>J10/'Output-Calculation-sheet'!J9*'Output-Calculation-sheet'!J108</f>
        <v>4936980182.7588043</v>
      </c>
      <c r="K131" s="2">
        <f>K10/'Output-Calculation-sheet'!K9*'Output-Calculation-sheet'!K108</f>
        <v>4889649413.3204918</v>
      </c>
      <c r="L131" s="2">
        <f>L10/'Output-Calculation-sheet'!L9*'Output-Calculation-sheet'!L108</f>
        <v>3922541867.3188596</v>
      </c>
      <c r="M131" s="2">
        <f>M10/'Output-Calculation-sheet'!M9*'Output-Calculation-sheet'!M108</f>
        <v>3746703053.4016204</v>
      </c>
      <c r="N131" s="2">
        <f>N10/'Output-Calculation-sheet'!N9*'Output-Calculation-sheet'!N108</f>
        <v>3677377513.5919299</v>
      </c>
      <c r="O131" s="2">
        <f>O10/'Output-Calculation-sheet'!O9*'Output-Calculation-sheet'!O108</f>
        <v>4770266178.398777</v>
      </c>
      <c r="P131" s="2">
        <f>P10/'Output-Calculation-sheet'!P9*'Output-Calculation-sheet'!P108</f>
        <v>3347687257.6940699</v>
      </c>
      <c r="Q131" s="2">
        <f>Q10/'Output-Calculation-sheet'!Q9*'Output-Calculation-sheet'!Q108</f>
        <v>3293582550.2782583</v>
      </c>
      <c r="R131" s="2">
        <f>R10/'Output-Calculation-sheet'!R9*'Output-Calculation-sheet'!R108</f>
        <v>3168576684.9754186</v>
      </c>
      <c r="S131" s="2">
        <f>S10/'Output-Calculation-sheet'!S9*'Output-Calculation-sheet'!S108</f>
        <v>2105999200.5497954</v>
      </c>
      <c r="T131" s="2">
        <f>T10/'Output-Calculation-sheet'!T9*'Output-Calculation-sheet'!T108</f>
        <v>1164741313.1937315</v>
      </c>
      <c r="U131" s="2">
        <f>U10/'Output-Calculation-sheet'!U9*'Output-Calculation-sheet'!U108</f>
        <v>1014450086.0356262</v>
      </c>
      <c r="V131" s="2">
        <f>V10/'Output-Calculation-sheet'!V9*'Output-Calculation-sheet'!V108</f>
        <v>781146855.03589094</v>
      </c>
      <c r="W131" s="2">
        <f>W10/'Output-Calculation-sheet'!W9*'Output-Calculation-sheet'!W108</f>
        <v>676300057.1499573</v>
      </c>
      <c r="X131" s="2">
        <f>X10/'Output-Calculation-sheet'!X9*'Output-Calculation-sheet'!X108</f>
        <v>405779955.02716047</v>
      </c>
      <c r="Y131" s="2">
        <f>Y10/'Output-Calculation-sheet'!Y9*'Output-Calculation-sheet'!Y108</f>
        <v>394617026.40052903</v>
      </c>
      <c r="AA131" s="2">
        <f t="shared" si="11"/>
        <v>152664.84012152572</v>
      </c>
    </row>
    <row r="132" spans="1:27" x14ac:dyDescent="0.25">
      <c r="A132" s="2">
        <v>2034</v>
      </c>
      <c r="B132" s="2">
        <f>B11/'Output-Calculation-sheet'!B10*'Output-Calculation-sheet'!B109</f>
        <v>20010582335.918674</v>
      </c>
      <c r="C132" s="2">
        <f>C11/'Output-Calculation-sheet'!C10*'Output-Calculation-sheet'!C109</f>
        <v>22599789267.885677</v>
      </c>
      <c r="D132" s="2">
        <f>D11/'Output-Calculation-sheet'!D10*'Output-Calculation-sheet'!D109</f>
        <v>8404675009.0881243</v>
      </c>
      <c r="E132" s="2">
        <f>E11/'Output-Calculation-sheet'!E10*'Output-Calculation-sheet'!E109</f>
        <v>6668256218.9402723</v>
      </c>
      <c r="F132" s="2">
        <f>F11/'Output-Calculation-sheet'!F10*'Output-Calculation-sheet'!F109</f>
        <v>4292595816.1897979</v>
      </c>
      <c r="G132" s="2">
        <f>G11/'Output-Calculation-sheet'!G10*'Output-Calculation-sheet'!G109</f>
        <v>3016096098.9240093</v>
      </c>
      <c r="H132" s="2">
        <f>H11/'Output-Calculation-sheet'!H10*'Output-Calculation-sheet'!H109</f>
        <v>2942085506.482748</v>
      </c>
      <c r="I132" s="2">
        <f>I11/'Output-Calculation-sheet'!I10*'Output-Calculation-sheet'!I109</f>
        <v>2747900747.2986989</v>
      </c>
      <c r="J132" s="2">
        <f>J11/'Output-Calculation-sheet'!J10*'Output-Calculation-sheet'!J109</f>
        <v>2674616697.6449018</v>
      </c>
      <c r="K132" s="2">
        <f>K11/'Output-Calculation-sheet'!K10*'Output-Calculation-sheet'!K109</f>
        <v>2648976011.8778172</v>
      </c>
      <c r="L132" s="2">
        <f>L11/'Output-Calculation-sheet'!L10*'Output-Calculation-sheet'!L109</f>
        <v>2125043163.4791837</v>
      </c>
      <c r="M132" s="2">
        <f>M11/'Output-Calculation-sheet'!M10*'Output-Calculation-sheet'!M109</f>
        <v>2029782528.7564688</v>
      </c>
      <c r="N132" s="2">
        <f>N11/'Output-Calculation-sheet'!N10*'Output-Calculation-sheet'!N109</f>
        <v>1992225921.3915772</v>
      </c>
      <c r="O132" s="2">
        <f>O11/'Output-Calculation-sheet'!O10*'Output-Calculation-sheet'!O109</f>
        <v>4945999573.6918354</v>
      </c>
      <c r="P132" s="2">
        <f>P11/'Output-Calculation-sheet'!P10*'Output-Calculation-sheet'!P109</f>
        <v>1813614495.9520872</v>
      </c>
      <c r="Q132" s="2">
        <f>Q11/'Output-Calculation-sheet'!Q10*'Output-Calculation-sheet'!Q109</f>
        <v>1784303481.9081166</v>
      </c>
      <c r="R132" s="2">
        <f>R11/'Output-Calculation-sheet'!R10*'Output-Calculation-sheet'!R109</f>
        <v>1716581888.0770924</v>
      </c>
      <c r="S132" s="2">
        <f>S11/'Output-Calculation-sheet'!S10*'Output-Calculation-sheet'!S109</f>
        <v>1140928346.5194361</v>
      </c>
      <c r="T132" s="2">
        <f>T11/'Output-Calculation-sheet'!T10*'Output-Calculation-sheet'!T109</f>
        <v>631000716.67935348</v>
      </c>
      <c r="U132" s="2">
        <f>U11/'Output-Calculation-sheet'!U10*'Output-Calculation-sheet'!U109</f>
        <v>549580085.48265338</v>
      </c>
      <c r="V132" s="2">
        <f>V11/'Output-Calculation-sheet'!V10*'Output-Calculation-sheet'!V109</f>
        <v>423187657.40024596</v>
      </c>
      <c r="W132" s="2">
        <f>W11/'Output-Calculation-sheet'!W10*'Output-Calculation-sheet'!W109</f>
        <v>366386723.63265979</v>
      </c>
      <c r="X132" s="2">
        <f>X11/'Output-Calculation-sheet'!X10*'Output-Calculation-sheet'!X109</f>
        <v>248220626.53397512</v>
      </c>
      <c r="Y132" s="2">
        <f>Y11/'Output-Calculation-sheet'!Y10*'Output-Calculation-sheet'!Y109</f>
        <v>213784488.27441221</v>
      </c>
      <c r="AA132" s="2">
        <f t="shared" si="11"/>
        <v>95986.213408029827</v>
      </c>
    </row>
    <row r="133" spans="1:27" x14ac:dyDescent="0.25">
      <c r="A133" s="2">
        <v>2035</v>
      </c>
      <c r="B133" s="2">
        <f>B12/'Output-Calculation-sheet'!B11*'Output-Calculation-sheet'!B110</f>
        <v>14402206442.322481</v>
      </c>
      <c r="C133" s="2">
        <f>C12/'Output-Calculation-sheet'!C11*'Output-Calculation-sheet'!C110</f>
        <v>23136017121.966167</v>
      </c>
      <c r="D133" s="2">
        <f>D12/'Output-Calculation-sheet'!D11*'Output-Calculation-sheet'!D110</f>
        <v>6286427711.8826847</v>
      </c>
      <c r="E133" s="2">
        <f>E12/'Output-Calculation-sheet'!E11*'Output-Calculation-sheet'!E110</f>
        <v>3011858185.5267267</v>
      </c>
      <c r="F133" s="2">
        <f>F12/'Output-Calculation-sheet'!F11*'Output-Calculation-sheet'!F110</f>
        <v>2298242258.7557616</v>
      </c>
      <c r="G133" s="2">
        <f>G12/'Output-Calculation-sheet'!G11*'Output-Calculation-sheet'!G110</f>
        <v>2145572702.4132485</v>
      </c>
      <c r="H133" s="2">
        <f>H12/'Output-Calculation-sheet'!H11*'Output-Calculation-sheet'!H110</f>
        <v>2980863668.4941788</v>
      </c>
      <c r="I133" s="2">
        <f>I12/'Output-Calculation-sheet'!I11*'Output-Calculation-sheet'!I110</f>
        <v>1773178931.1261959</v>
      </c>
      <c r="J133" s="2">
        <f>J12/'Output-Calculation-sheet'!J11*'Output-Calculation-sheet'!J110</f>
        <v>1726866380.2956445</v>
      </c>
      <c r="K133" s="2">
        <f>K12/'Output-Calculation-sheet'!K11*'Output-Calculation-sheet'!K110</f>
        <v>1494115515.4522667</v>
      </c>
      <c r="L133" s="2">
        <f>L12/'Output-Calculation-sheet'!L11*'Output-Calculation-sheet'!L110</f>
        <v>780934519.29434133</v>
      </c>
      <c r="M133" s="2">
        <f>M12/'Output-Calculation-sheet'!M11*'Output-Calculation-sheet'!M110</f>
        <v>1584562507.9186146</v>
      </c>
      <c r="N133" s="2">
        <f>N12/'Output-Calculation-sheet'!N11*'Output-Calculation-sheet'!N110</f>
        <v>1427875635.454344</v>
      </c>
      <c r="O133" s="2">
        <f>O12/'Output-Calculation-sheet'!O11*'Output-Calculation-sheet'!O110</f>
        <v>5081317031.8980417</v>
      </c>
      <c r="P133" s="2">
        <f>P12/'Output-Calculation-sheet'!P11*'Output-Calculation-sheet'!P110</f>
        <v>1052225984.5549402</v>
      </c>
      <c r="Q133" s="2">
        <f>Q12/'Output-Calculation-sheet'!Q11*'Output-Calculation-sheet'!Q110</f>
        <v>1452111329.5164979</v>
      </c>
      <c r="R133" s="2">
        <f>R12/'Output-Calculation-sheet'!R11*'Output-Calculation-sheet'!R110</f>
        <v>888755796.05338955</v>
      </c>
      <c r="S133" s="2">
        <f>S12/'Output-Calculation-sheet'!S11*'Output-Calculation-sheet'!S110</f>
        <v>871744533.06902444</v>
      </c>
      <c r="T133" s="2">
        <f>T12/'Output-Calculation-sheet'!T11*'Output-Calculation-sheet'!T110</f>
        <v>230110025.64661059</v>
      </c>
      <c r="U133" s="2">
        <f>U12/'Output-Calculation-sheet'!U11*'Output-Calculation-sheet'!U110</f>
        <v>453339627.95955199</v>
      </c>
      <c r="V133" s="2">
        <f>V12/'Output-Calculation-sheet'!V11*'Output-Calculation-sheet'!V110</f>
        <v>99136591.2882265</v>
      </c>
      <c r="W133" s="2">
        <f>W12/'Output-Calculation-sheet'!W11*'Output-Calculation-sheet'!W110</f>
        <v>122948652.80199638</v>
      </c>
      <c r="X133" s="2">
        <f>X12/'Output-Calculation-sheet'!X11*'Output-Calculation-sheet'!X110</f>
        <v>249499756.45335138</v>
      </c>
      <c r="Y133" s="2">
        <f>Y12/'Output-Calculation-sheet'!Y11*'Output-Calculation-sheet'!Y110</f>
        <v>107765888.58267798</v>
      </c>
      <c r="AA133" s="2">
        <f t="shared" si="11"/>
        <v>73657.676798726956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1294.6230395991481</v>
      </c>
      <c r="C19" s="2">
        <f>C8/'Output-Calculation-sheet'!C7*'Output-Calculation-sheet'!C25</f>
        <v>19514.160716824928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5821.7037286993991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4036.0004507311978</v>
      </c>
      <c r="N19" s="2">
        <f>N8/'Output-Calculation-sheet'!N7*'Output-Calculation-sheet'!N25</f>
        <v>1381.7779998442104</v>
      </c>
      <c r="O19" s="2">
        <f>O8/'Output-Calculation-sheet'!O7*'Output-Calculation-sheet'!O25</f>
        <v>3774.4334787151124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493.0402033353638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450.94247207560011</v>
      </c>
      <c r="Y19" s="2">
        <f>Y8/'Output-Calculation-sheet'!Y7*'Output-Calculation-sheet'!Y25</f>
        <v>0</v>
      </c>
      <c r="AA19" s="2">
        <f t="shared" si="0"/>
        <v>36.766682089824947</v>
      </c>
    </row>
    <row r="20" spans="1:27" x14ac:dyDescent="0.25">
      <c r="A20" s="2">
        <v>2032</v>
      </c>
      <c r="B20" s="2">
        <f>B9/'Output-Calculation-sheet'!B8*'Output-Calculation-sheet'!B26</f>
        <v>7672.4578833559808</v>
      </c>
      <c r="C20" s="2">
        <f>C9/'Output-Calculation-sheet'!C8*'Output-Calculation-sheet'!C26</f>
        <v>28097.628823678395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8337.0759065271286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5800.5915702869588</v>
      </c>
      <c r="N20" s="2">
        <f>N9/'Output-Calculation-sheet'!N8*'Output-Calculation-sheet'!N26</f>
        <v>2617.4899617842839</v>
      </c>
      <c r="O20" s="2">
        <f>O9/'Output-Calculation-sheet'!O8*'Output-Calculation-sheet'!O26</f>
        <v>5474.7005275943611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951.26691544471169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648.9628382380622</v>
      </c>
      <c r="Y20" s="2">
        <f>Y9/'Output-Calculation-sheet'!Y8*'Output-Calculation-sheet'!Y26</f>
        <v>0</v>
      </c>
      <c r="AA20" s="2">
        <f t="shared" si="0"/>
        <v>59.600174426909881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36123.516609839957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11115.430739171587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7720.561742025905</v>
      </c>
      <c r="N21" s="2">
        <f>N10/'Output-Calculation-sheet'!N9*'Output-Calculation-sheet'!N27</f>
        <v>4222.9138776121727</v>
      </c>
      <c r="O21" s="2">
        <f>O10/'Output-Calculation-sheet'!O9*'Output-Calculation-sheet'!O27</f>
        <v>6372.2937051055487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1838.3760137775889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907.89260092590121</v>
      </c>
      <c r="Y21" s="2">
        <f>Y10/'Output-Calculation-sheet'!Y9*'Output-Calculation-sheet'!Y27</f>
        <v>0</v>
      </c>
      <c r="AA21" s="2">
        <f t="shared" si="0"/>
        <v>87.81551782196621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40397.486967805817</v>
      </c>
      <c r="D22" s="2">
        <f>D11/'Output-Calculation-sheet'!D10*'Output-Calculation-sheet'!D28</f>
        <v>0</v>
      </c>
      <c r="E22" s="2">
        <f>E11/'Output-Calculation-sheet'!E10*'Output-Calculation-sheet'!E28</f>
        <v>1990.7028246648899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15913.633761165613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1206.7621500911241</v>
      </c>
      <c r="M22" s="2">
        <f>M11/'Output-Calculation-sheet'!M10*'Output-Calculation-sheet'!M28</f>
        <v>10966.076376102748</v>
      </c>
      <c r="N22" s="2">
        <f>N11/'Output-Calculation-sheet'!N10*'Output-Calculation-sheet'!N28</f>
        <v>6311.0380390407436</v>
      </c>
      <c r="O22" s="2">
        <f>O11/'Output-Calculation-sheet'!O10*'Output-Calculation-sheet'!O28</f>
        <v>7229.5963645854436</v>
      </c>
      <c r="P22" s="2">
        <f>P11/'Output-Calculation-sheet'!P10*'Output-Calculation-sheet'!P28</f>
        <v>0</v>
      </c>
      <c r="Q22" s="2">
        <f>Q11/'Output-Calculation-sheet'!Q10*'Output-Calculation-sheet'!Q28</f>
        <v>2366.8890115410836</v>
      </c>
      <c r="R22" s="2">
        <f>R11/'Output-Calculation-sheet'!R10*'Output-Calculation-sheet'!R28</f>
        <v>0</v>
      </c>
      <c r="S22" s="2">
        <f>S11/'Output-Calculation-sheet'!S10*'Output-Calculation-sheet'!S28</f>
        <v>3200.5929665526915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1107.2728316880959</v>
      </c>
      <c r="Y22" s="2">
        <f>Y11/'Output-Calculation-sheet'!Y10*'Output-Calculation-sheet'!Y28</f>
        <v>110.14646074403039</v>
      </c>
      <c r="AA22" s="2">
        <f t="shared" si="0"/>
        <v>130.41867965352193</v>
      </c>
    </row>
    <row r="23" spans="1:27" x14ac:dyDescent="0.25">
      <c r="A23" s="2">
        <v>2035</v>
      </c>
      <c r="B23" s="2">
        <f>B12/'Output-Calculation-sheet'!B11*'Output-Calculation-sheet'!B29</f>
        <v>52351.299990608146</v>
      </c>
      <c r="C23" s="2">
        <f>C12/'Output-Calculation-sheet'!C11*'Output-Calculation-sheet'!C29</f>
        <v>44773.105176318837</v>
      </c>
      <c r="D23" s="2">
        <f>D12/'Output-Calculation-sheet'!D11*'Output-Calculation-sheet'!D29</f>
        <v>0</v>
      </c>
      <c r="E23" s="2">
        <f>E12/'Output-Calculation-sheet'!E11*'Output-Calculation-sheet'!E29</f>
        <v>9996.2979696966686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17371.343238937978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2923.6559217525487</v>
      </c>
      <c r="M23" s="2">
        <f>M12/'Output-Calculation-sheet'!M11*'Output-Calculation-sheet'!M29</f>
        <v>13143.45055808584</v>
      </c>
      <c r="N23" s="2">
        <f>N12/'Output-Calculation-sheet'!N11*'Output-Calculation-sheet'!N29</f>
        <v>7682.2598379702449</v>
      </c>
      <c r="O23" s="2">
        <f>O12/'Output-Calculation-sheet'!O11*'Output-Calculation-sheet'!O29</f>
        <v>8008.7751143575106</v>
      </c>
      <c r="P23" s="2">
        <f>P12/'Output-Calculation-sheet'!P11*'Output-Calculation-sheet'!P29</f>
        <v>1055.3003609448765</v>
      </c>
      <c r="Q23" s="2">
        <f>Q12/'Output-Calculation-sheet'!Q11*'Output-Calculation-sheet'!Q29</f>
        <v>3362.0212399717971</v>
      </c>
      <c r="R23" s="2">
        <f>R12/'Output-Calculation-sheet'!R11*'Output-Calculation-sheet'!R29</f>
        <v>0</v>
      </c>
      <c r="S23" s="2">
        <f>S12/'Output-Calculation-sheet'!S11*'Output-Calculation-sheet'!S29</f>
        <v>3991.3748682609416</v>
      </c>
      <c r="T23" s="2">
        <f>T12/'Output-Calculation-sheet'!T11*'Output-Calculation-sheet'!T29</f>
        <v>0</v>
      </c>
      <c r="U23" s="2">
        <f>U12/'Output-Calculation-sheet'!U11*'Output-Calculation-sheet'!U29</f>
        <v>231.62801705755891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1244.9110368447177</v>
      </c>
      <c r="Y23" s="2">
        <f>Y12/'Output-Calculation-sheet'!Y11*'Output-Calculation-sheet'!Y29</f>
        <v>398.95602475977836</v>
      </c>
      <c r="AA23" s="2">
        <f t="shared" si="0"/>
        <v>166.53437935556741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22564.859026635757</v>
      </c>
      <c r="C30" s="2">
        <f>C8/'Output-Calculation-sheet'!C7*'Output-Calculation-sheet'!C16</f>
        <v>0</v>
      </c>
      <c r="D30" s="2">
        <f>D8/'Output-Calculation-sheet'!D7*'Output-Calculation-sheet'!D16</f>
        <v>3799.623960432617</v>
      </c>
      <c r="E30" s="2">
        <f>E8/'Output-Calculation-sheet'!E7*'Output-Calculation-sheet'!E16</f>
        <v>4088.1807108105804</v>
      </c>
      <c r="F30" s="2">
        <f>F8/'Output-Calculation-sheet'!F7*'Output-Calculation-sheet'!F16</f>
        <v>2062.5089229262348</v>
      </c>
      <c r="G30" s="2">
        <f>G8/'Output-Calculation-sheet'!G7*'Output-Calculation-sheet'!G16</f>
        <v>1350.698376999994</v>
      </c>
      <c r="H30" s="2">
        <f>H8/'Output-Calculation-sheet'!H7*'Output-Calculation-sheet'!H16</f>
        <v>0</v>
      </c>
      <c r="I30" s="2">
        <f>I8/'Output-Calculation-sheet'!I7*'Output-Calculation-sheet'!I16</f>
        <v>1316.7286757394716</v>
      </c>
      <c r="J30" s="2">
        <f>J8/'Output-Calculation-sheet'!J7*'Output-Calculation-sheet'!J16</f>
        <v>1172.1417070144612</v>
      </c>
      <c r="K30" s="2">
        <f>K8/'Output-Calculation-sheet'!K7*'Output-Calculation-sheet'!K16</f>
        <v>1565.0332218055153</v>
      </c>
      <c r="L30" s="2">
        <f>L8/'Output-Calculation-sheet'!L7*'Output-Calculation-sheet'!L16</f>
        <v>1321.9442597099953</v>
      </c>
      <c r="M30" s="2">
        <f>M8/'Output-Calculation-sheet'!M7*'Output-Calculation-sheet'!M16</f>
        <v>0</v>
      </c>
      <c r="N30" s="2">
        <f>N8/'Output-Calculation-sheet'!N7*'Output-Calculation-sheet'!N16</f>
        <v>1877.7104487373672</v>
      </c>
      <c r="O30" s="2">
        <f>O8/'Output-Calculation-sheet'!O7*'Output-Calculation-sheet'!O16</f>
        <v>0</v>
      </c>
      <c r="P30" s="2">
        <f>P8/'Output-Calculation-sheet'!P7*'Output-Calculation-sheet'!P16</f>
        <v>1687.6245387250767</v>
      </c>
      <c r="Q30" s="2">
        <f>Q8/'Output-Calculation-sheet'!Q7*'Output-Calculation-sheet'!Q16</f>
        <v>1855.8296379960764</v>
      </c>
      <c r="R30" s="2">
        <f>R8/'Output-Calculation-sheet'!R7*'Output-Calculation-sheet'!R16</f>
        <v>1177.5319714570146</v>
      </c>
      <c r="S30" s="2">
        <f>S8/'Output-Calculation-sheet'!S7*'Output-Calculation-sheet'!S16</f>
        <v>1184.251872500002</v>
      </c>
      <c r="T30" s="2">
        <f>T8/'Output-Calculation-sheet'!T7*'Output-Calculation-sheet'!T16</f>
        <v>353.47817170341301</v>
      </c>
      <c r="U30" s="2">
        <f>U8/'Output-Calculation-sheet'!U7*'Output-Calculation-sheet'!U16</f>
        <v>352.84633843488865</v>
      </c>
      <c r="V30" s="2">
        <f>V8/'Output-Calculation-sheet'!V7*'Output-Calculation-sheet'!V16</f>
        <v>274.61359813412753</v>
      </c>
      <c r="W30" s="2">
        <f>W8/'Output-Calculation-sheet'!W7*'Output-Calculation-sheet'!W16</f>
        <v>166.56699123622346</v>
      </c>
      <c r="X30" s="2">
        <f>X8/'Output-Calculation-sheet'!X7*'Output-Calculation-sheet'!X16</f>
        <v>0</v>
      </c>
      <c r="Y30" s="2">
        <f>Y8/'Output-Calculation-sheet'!Y7*'Output-Calculation-sheet'!Y16</f>
        <v>140.98002152212112</v>
      </c>
      <c r="AA30" s="2">
        <f t="shared" si="1"/>
        <v>48.313152452520924</v>
      </c>
    </row>
    <row r="31" spans="1:27" x14ac:dyDescent="0.25">
      <c r="A31" s="2">
        <v>2032</v>
      </c>
      <c r="B31" s="2">
        <f>B9/'Output-Calculation-sheet'!B8*'Output-Calculation-sheet'!B17</f>
        <v>32487.721562242961</v>
      </c>
      <c r="C31" s="2">
        <f>C9/'Output-Calculation-sheet'!C8*'Output-Calculation-sheet'!C17</f>
        <v>0</v>
      </c>
      <c r="D31" s="2">
        <f>D9/'Output-Calculation-sheet'!D8*'Output-Calculation-sheet'!D17</f>
        <v>5448.617458060934</v>
      </c>
      <c r="E31" s="2">
        <f>E9/'Output-Calculation-sheet'!E8*'Output-Calculation-sheet'!E17</f>
        <v>6404.1053870837686</v>
      </c>
      <c r="F31" s="2">
        <f>F9/'Output-Calculation-sheet'!F8*'Output-Calculation-sheet'!F17</f>
        <v>2957.6863312692076</v>
      </c>
      <c r="G31" s="2">
        <f>G9/'Output-Calculation-sheet'!G8*'Output-Calculation-sheet'!G17</f>
        <v>1936.9153125963276</v>
      </c>
      <c r="H31" s="2">
        <f>H9/'Output-Calculation-sheet'!H8*'Output-Calculation-sheet'!H17</f>
        <v>0</v>
      </c>
      <c r="I31" s="2">
        <f>I9/'Output-Calculation-sheet'!I8*'Output-Calculation-sheet'!I17</f>
        <v>1888.2112571635323</v>
      </c>
      <c r="J31" s="2">
        <f>J9/'Output-Calculation-sheet'!J8*'Output-Calculation-sheet'!J17</f>
        <v>1680.871971150234</v>
      </c>
      <c r="K31" s="2">
        <f>K9/'Output-Calculation-sheet'!K8*'Output-Calculation-sheet'!K17</f>
        <v>2393.1153911243646</v>
      </c>
      <c r="L31" s="2">
        <f>L9/'Output-Calculation-sheet'!L8*'Output-Calculation-sheet'!L17</f>
        <v>2040.9067295799989</v>
      </c>
      <c r="M31" s="2">
        <f>M9/'Output-Calculation-sheet'!M8*'Output-Calculation-sheet'!M17</f>
        <v>0</v>
      </c>
      <c r="N31" s="2">
        <f>N9/'Output-Calculation-sheet'!N8*'Output-Calculation-sheet'!N17</f>
        <v>2218.6743507411902</v>
      </c>
      <c r="O31" s="2">
        <f>O9/'Output-Calculation-sheet'!O8*'Output-Calculation-sheet'!O17</f>
        <v>0</v>
      </c>
      <c r="P31" s="2">
        <f>P9/'Output-Calculation-sheet'!P8*'Output-Calculation-sheet'!P17</f>
        <v>2753.7192320815207</v>
      </c>
      <c r="Q31" s="2">
        <f>Q9/'Output-Calculation-sheet'!Q8*'Output-Calculation-sheet'!Q17</f>
        <v>2935.7177047218829</v>
      </c>
      <c r="R31" s="2">
        <f>R9/'Output-Calculation-sheet'!R8*'Output-Calculation-sheet'!R17</f>
        <v>1920.7016733109549</v>
      </c>
      <c r="S31" s="2">
        <f>S9/'Output-Calculation-sheet'!S8*'Output-Calculation-sheet'!S17</f>
        <v>1652.6785533312354</v>
      </c>
      <c r="T31" s="2">
        <f>T9/'Output-Calculation-sheet'!T8*'Output-Calculation-sheet'!T17</f>
        <v>521.19643183964854</v>
      </c>
      <c r="U31" s="2">
        <f>U9/'Output-Calculation-sheet'!U8*'Output-Calculation-sheet'!U17</f>
        <v>599.02085842017755</v>
      </c>
      <c r="V31" s="2">
        <f>V9/'Output-Calculation-sheet'!V8*'Output-Calculation-sheet'!V17</f>
        <v>429.05021799639673</v>
      </c>
      <c r="W31" s="2">
        <f>W9/'Output-Calculation-sheet'!W8*'Output-Calculation-sheet'!W17</f>
        <v>238.86237948845101</v>
      </c>
      <c r="X31" s="2">
        <f>X9/'Output-Calculation-sheet'!X8*'Output-Calculation-sheet'!X17</f>
        <v>0</v>
      </c>
      <c r="Y31" s="2">
        <f>Y9/'Output-Calculation-sheet'!Y8*'Output-Calculation-sheet'!Y17</f>
        <v>230.79280873071738</v>
      </c>
      <c r="AA31" s="2">
        <f t="shared" si="1"/>
        <v>70.738565610933492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2376.0308103731318</v>
      </c>
      <c r="O32" s="2">
        <f>O10/'Output-Calculation-sheet'!O9*'Output-Calculation-sheet'!O18</f>
        <v>0</v>
      </c>
      <c r="P32" s="2">
        <f>P10/'Output-Calculation-sheet'!P9*'Output-Calculation-sheet'!P18</f>
        <v>3824.9295233735916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2750.5231520366647</v>
      </c>
      <c r="S32" s="2">
        <f>S10/'Output-Calculation-sheet'!S9*'Output-Calculation-sheet'!S18</f>
        <v>1797.6318500413965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887.93193639196306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93.686939938062082</v>
      </c>
    </row>
    <row r="33" spans="1:27" x14ac:dyDescent="0.25">
      <c r="A33" s="2">
        <v>2034</v>
      </c>
      <c r="B33" s="2">
        <f>B11/'Output-Calculation-sheet'!B10*'Output-Calculation-sheet'!B19</f>
        <v>39961.527487250059</v>
      </c>
      <c r="C33" s="2">
        <f>C11/'Output-Calculation-sheet'!C10*'Output-Calculation-sheet'!C19</f>
        <v>0</v>
      </c>
      <c r="D33" s="2">
        <f>D11/'Output-Calculation-sheet'!D10*'Output-Calculation-sheet'!D19</f>
        <v>11918.901455895078</v>
      </c>
      <c r="E33" s="2">
        <f>E11/'Output-Calculation-sheet'!E10*'Output-Calculation-sheet'!E19</f>
        <v>14806.662039407283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4057.7199210622157</v>
      </c>
      <c r="H33" s="2">
        <f>H11/'Output-Calculation-sheet'!H10*'Output-Calculation-sheet'!H19</f>
        <v>0</v>
      </c>
      <c r="I33" s="2">
        <f>I11/'Output-Calculation-sheet'!I10*'Output-Calculation-sheet'!I19</f>
        <v>4427.284150471055</v>
      </c>
      <c r="J33" s="2">
        <f>J11/'Output-Calculation-sheet'!J10*'Output-Calculation-sheet'!J19</f>
        <v>3750.9848977832985</v>
      </c>
      <c r="K33" s="2">
        <f>K11/'Output-Calculation-sheet'!K10*'Output-Calculation-sheet'!K19</f>
        <v>5194.012681791889</v>
      </c>
      <c r="L33" s="2">
        <f>L11/'Output-Calculation-sheet'!L10*'Output-Calculation-sheet'!L19</f>
        <v>4227.8280882110639</v>
      </c>
      <c r="M33" s="2">
        <f>M11/'Output-Calculation-sheet'!M10*'Output-Calculation-sheet'!M19</f>
        <v>0</v>
      </c>
      <c r="N33" s="2">
        <f>N11/'Output-Calculation-sheet'!N10*'Output-Calculation-sheet'!N19</f>
        <v>2388.770383345116</v>
      </c>
      <c r="O33" s="2">
        <f>O11/'Output-Calculation-sheet'!O10*'Output-Calculation-sheet'!O19</f>
        <v>0</v>
      </c>
      <c r="P33" s="2">
        <f>P11/'Output-Calculation-sheet'!P10*'Output-Calculation-sheet'!P19</f>
        <v>5256.1417557786444</v>
      </c>
      <c r="Q33" s="2">
        <f>Q11/'Output-Calculation-sheet'!Q10*'Output-Calculation-sheet'!Q19</f>
        <v>4208.5306182792374</v>
      </c>
      <c r="R33" s="2">
        <f>R11/'Output-Calculation-sheet'!R10*'Output-Calculation-sheet'!R19</f>
        <v>3752.6394139633294</v>
      </c>
      <c r="S33" s="2">
        <f>S11/'Output-Calculation-sheet'!S10*'Output-Calculation-sheet'!S19</f>
        <v>1754.0108847474362</v>
      </c>
      <c r="T33" s="2">
        <f>T11/'Output-Calculation-sheet'!T10*'Output-Calculation-sheet'!T19</f>
        <v>1101.1804540033336</v>
      </c>
      <c r="U33" s="2">
        <f>U11/'Output-Calculation-sheet'!U10*'Output-Calculation-sheet'!U19</f>
        <v>1267.3724805752165</v>
      </c>
      <c r="V33" s="2">
        <f>V11/'Output-Calculation-sheet'!V10*'Output-Calculation-sheet'!V19</f>
        <v>864.69263304264734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170.05174007121772</v>
      </c>
      <c r="Y33" s="2">
        <f>Y11/'Output-Calculation-sheet'!Y10*'Output-Calculation-sheet'!Y19</f>
        <v>484.64442727373375</v>
      </c>
      <c r="AA33" s="2">
        <f t="shared" si="1"/>
        <v>116.90616853848719</v>
      </c>
    </row>
    <row r="34" spans="1:27" x14ac:dyDescent="0.25">
      <c r="A34" s="2">
        <v>2035</v>
      </c>
      <c r="B34" s="2">
        <f>B12/'Output-Calculation-sheet'!B11*'Output-Calculation-sheet'!B20</f>
        <v>40587.695447525257</v>
      </c>
      <c r="C34" s="2">
        <f>C12/'Output-Calculation-sheet'!C11*'Output-Calculation-sheet'!C20</f>
        <v>0</v>
      </c>
      <c r="D34" s="2">
        <f>D12/'Output-Calculation-sheet'!D11*'Output-Calculation-sheet'!D20</f>
        <v>14023.063852815169</v>
      </c>
      <c r="E34" s="2">
        <f>E12/'Output-Calculation-sheet'!E11*'Output-Calculation-sheet'!E20</f>
        <v>13622.05339430134</v>
      </c>
      <c r="F34" s="2">
        <f>F12/'Output-Calculation-sheet'!F11*'Output-Calculation-sheet'!F20</f>
        <v>8923.5545731417933</v>
      </c>
      <c r="G34" s="2">
        <f>G12/'Output-Calculation-sheet'!G11*'Output-Calculation-sheet'!G20</f>
        <v>4734.888150735308</v>
      </c>
      <c r="H34" s="2">
        <f>H12/'Output-Calculation-sheet'!H11*'Output-Calculation-sheet'!H20</f>
        <v>0</v>
      </c>
      <c r="I34" s="2">
        <f>I12/'Output-Calculation-sheet'!I11*'Output-Calculation-sheet'!I20</f>
        <v>5447.1498036803714</v>
      </c>
      <c r="J34" s="2">
        <f>J12/'Output-Calculation-sheet'!J11*'Output-Calculation-sheet'!J20</f>
        <v>4622.0516288537956</v>
      </c>
      <c r="K34" s="2">
        <f>K12/'Output-Calculation-sheet'!K11*'Output-Calculation-sheet'!K20</f>
        <v>6510.3348212640558</v>
      </c>
      <c r="L34" s="2">
        <f>L12/'Output-Calculation-sheet'!L11*'Output-Calculation-sheet'!L20</f>
        <v>4751.8003963561532</v>
      </c>
      <c r="M34" s="2">
        <f>M12/'Output-Calculation-sheet'!M11*'Output-Calculation-sheet'!M20</f>
        <v>0</v>
      </c>
      <c r="N34" s="2">
        <f>N12/'Output-Calculation-sheet'!N11*'Output-Calculation-sheet'!N20</f>
        <v>2512.1585624406457</v>
      </c>
      <c r="O34" s="2">
        <f>O12/'Output-Calculation-sheet'!O11*'Output-Calculation-sheet'!O20</f>
        <v>0</v>
      </c>
      <c r="P34" s="2">
        <f>P12/'Output-Calculation-sheet'!P11*'Output-Calculation-sheet'!P20</f>
        <v>5670.0382908686952</v>
      </c>
      <c r="Q34" s="2">
        <f>Q12/'Output-Calculation-sheet'!Q11*'Output-Calculation-sheet'!Q20</f>
        <v>4203.0692456115821</v>
      </c>
      <c r="R34" s="2">
        <f>R12/'Output-Calculation-sheet'!R11*'Output-Calculation-sheet'!R20</f>
        <v>4772.2706174112609</v>
      </c>
      <c r="S34" s="2">
        <f>S12/'Output-Calculation-sheet'!S11*'Output-Calculation-sheet'!S20</f>
        <v>1746.7342489236726</v>
      </c>
      <c r="T34" s="2">
        <f>T12/'Output-Calculation-sheet'!T11*'Output-Calculation-sheet'!T20</f>
        <v>1425.6214662757191</v>
      </c>
      <c r="U34" s="2">
        <f>U12/'Output-Calculation-sheet'!U11*'Output-Calculation-sheet'!U20</f>
        <v>1304.6968443462213</v>
      </c>
      <c r="V34" s="2">
        <f>V12/'Output-Calculation-sheet'!V11*'Output-Calculation-sheet'!V20</f>
        <v>1260.9461609563537</v>
      </c>
      <c r="W34" s="2">
        <f>W12/'Output-Calculation-sheet'!W11*'Output-Calculation-sheet'!W20</f>
        <v>765.5838635284847</v>
      </c>
      <c r="X34" s="2">
        <f>X12/'Output-Calculation-sheet'!X11*'Output-Calculation-sheet'!X20</f>
        <v>161.98371497123526</v>
      </c>
      <c r="Y34" s="2">
        <f>Y12/'Output-Calculation-sheet'!Y11*'Output-Calculation-sheet'!Y20</f>
        <v>415.5627351973838</v>
      </c>
      <c r="AA34" s="2">
        <f t="shared" si="1"/>
        <v>127.4612578192045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1.5618728807309921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0.3034298827877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1.8653027635186921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1.6919916065036622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0.32870845071520499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2.0600167837853158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3.6179774095709063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0.70287567884580326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17.323027212459358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37762.939285257016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8170.4393310249843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5622.061783011748</v>
      </c>
      <c r="N52" s="2">
        <f>N8/'Output-Calculation-sheet'!N7*'Output-Calculation-sheet'!N43</f>
        <v>179.69380819535547</v>
      </c>
      <c r="O52" s="2">
        <f>O8/'Output-Calculation-sheet'!O7*'Output-Calculation-sheet'!O43</f>
        <v>7650.737045210285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727.06776732377807</v>
      </c>
      <c r="Y52" s="2">
        <f>Y8/'Output-Calculation-sheet'!Y7*'Output-Calculation-sheet'!Y43</f>
        <v>0</v>
      </c>
      <c r="AA52" s="2">
        <f t="shared" si="3"/>
        <v>60.11293902002317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71419.334769131689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16726.961765233333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11431.131943813429</v>
      </c>
      <c r="N53" s="2">
        <f>N9/'Output-Calculation-sheet'!N8*'Output-Calculation-sheet'!N44</f>
        <v>4071.3876426186462</v>
      </c>
      <c r="O53" s="2">
        <f>O9/'Output-Calculation-sheet'!O8*'Output-Calculation-sheet'!O44</f>
        <v>14163.413920758809</v>
      </c>
      <c r="P53" s="2">
        <f>P9/'Output-Calculation-sheet'!P8*'Output-Calculation-sheet'!P44</f>
        <v>190.441953514114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1270.3253839789627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1429.4715758594389</v>
      </c>
      <c r="Y53" s="2">
        <f>Y9/'Output-Calculation-sheet'!Y8*'Output-Calculation-sheet'!Y44</f>
        <v>0</v>
      </c>
      <c r="AA53" s="2">
        <f t="shared" si="3"/>
        <v>120.70246895490841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88917.149087229278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16422.476989474639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1809.0981916844751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653.81157820946783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211.08431824342264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97660.56816486051</v>
      </c>
      <c r="D55" s="2">
        <f>D11/'Output-Calculation-sheet'!D10*'Output-Calculation-sheet'!D46</f>
        <v>10518.031178331104</v>
      </c>
      <c r="E55" s="2">
        <f>E11/'Output-Calculation-sheet'!E10*'Output-Calculation-sheet'!E46</f>
        <v>12852.007528541963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35042.999571683758</v>
      </c>
      <c r="I55" s="2">
        <f>I11/'Output-Calculation-sheet'!I10*'Output-Calculation-sheet'!I46</f>
        <v>2545.2207022168241</v>
      </c>
      <c r="J55" s="2">
        <f>J11/'Output-Calculation-sheet'!J10*'Output-Calculation-sheet'!J46</f>
        <v>1805.2352133220124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24018.698597659215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17934.794416215569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7201.1034778671874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8997.7433827636105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2073.0153436157511</v>
      </c>
      <c r="V55" s="2">
        <f>V11/'Output-Calculation-sheet'!V10*'Output-Calculation-sheet'!V46</f>
        <v>832.54314688262775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2479.7128422172414</v>
      </c>
      <c r="Y55" s="2">
        <f>Y11/'Output-Calculation-sheet'!Y10*'Output-Calculation-sheet'!Y46</f>
        <v>635.68436326060748</v>
      </c>
      <c r="AA55" s="2">
        <f t="shared" si="3"/>
        <v>382.06513680894557</v>
      </c>
    </row>
    <row r="56" spans="1:27" x14ac:dyDescent="0.25">
      <c r="A56" s="2">
        <v>2035</v>
      </c>
      <c r="B56" s="2">
        <f>B12/'Output-Calculation-sheet'!B11*'Output-Calculation-sheet'!B47</f>
        <v>157137.81825348746</v>
      </c>
      <c r="C56" s="2">
        <f>C12/'Output-Calculation-sheet'!C11*'Output-Calculation-sheet'!C47</f>
        <v>106000.39077163883</v>
      </c>
      <c r="D56" s="2">
        <f>D12/'Output-Calculation-sheet'!D11*'Output-Calculation-sheet'!D47</f>
        <v>22912.354607600893</v>
      </c>
      <c r="E56" s="2">
        <f>E12/'Output-Calculation-sheet'!E11*'Output-Calculation-sheet'!E47</f>
        <v>41445.503528726047</v>
      </c>
      <c r="F56" s="2">
        <f>F12/'Output-Calculation-sheet'!F11*'Output-Calculation-sheet'!F47</f>
        <v>4637.1457059977192</v>
      </c>
      <c r="G56" s="2">
        <f>G12/'Output-Calculation-sheet'!G11*'Output-Calculation-sheet'!G47</f>
        <v>10538.669700042379</v>
      </c>
      <c r="H56" s="2">
        <f>H12/'Output-Calculation-sheet'!H11*'Output-Calculation-sheet'!H47</f>
        <v>37808.071094777319</v>
      </c>
      <c r="I56" s="2">
        <f>I12/'Output-Calculation-sheet'!I11*'Output-Calculation-sheet'!I47</f>
        <v>6803.0412854863762</v>
      </c>
      <c r="J56" s="2">
        <f>J12/'Output-Calculation-sheet'!J11*'Output-Calculation-sheet'!J47</f>
        <v>6687.8921359477108</v>
      </c>
      <c r="K56" s="2">
        <f>K12/'Output-Calculation-sheet'!K11*'Output-Calculation-sheet'!K47</f>
        <v>9271.6953059384578</v>
      </c>
      <c r="L56" s="2">
        <f>L12/'Output-Calculation-sheet'!L11*'Output-Calculation-sheet'!L47</f>
        <v>8648.4014851929041</v>
      </c>
      <c r="M56" s="2">
        <f>M12/'Output-Calculation-sheet'!M11*'Output-Calculation-sheet'!M47</f>
        <v>26889.563457155167</v>
      </c>
      <c r="N56" s="2">
        <f>N12/'Output-Calculation-sheet'!N11*'Output-Calculation-sheet'!N47</f>
        <v>22298.731404397866</v>
      </c>
      <c r="O56" s="2">
        <f>O12/'Output-Calculation-sheet'!O11*'Output-Calculation-sheet'!O47</f>
        <v>19483.220571515249</v>
      </c>
      <c r="P56" s="2">
        <f>P12/'Output-Calculation-sheet'!P11*'Output-Calculation-sheet'!P47</f>
        <v>10925.634900322908</v>
      </c>
      <c r="Q56" s="2">
        <f>Q12/'Output-Calculation-sheet'!Q11*'Output-Calculation-sheet'!Q47</f>
        <v>10303.981347916697</v>
      </c>
      <c r="R56" s="2">
        <f>R12/'Output-Calculation-sheet'!R11*'Output-Calculation-sheet'!R47</f>
        <v>8381.3176731087988</v>
      </c>
      <c r="S56" s="2">
        <f>S12/'Output-Calculation-sheet'!S11*'Output-Calculation-sheet'!S47</f>
        <v>11153.799573027356</v>
      </c>
      <c r="T56" s="2">
        <f>T12/'Output-Calculation-sheet'!T11*'Output-Calculation-sheet'!T47</f>
        <v>3005.220670063527</v>
      </c>
      <c r="U56" s="2">
        <f>U12/'Output-Calculation-sheet'!U11*'Output-Calculation-sheet'!U47</f>
        <v>2853.5626054854356</v>
      </c>
      <c r="V56" s="2">
        <f>V12/'Output-Calculation-sheet'!V11*'Output-Calculation-sheet'!V47</f>
        <v>1751.739387923124</v>
      </c>
      <c r="W56" s="2">
        <f>W12/'Output-Calculation-sheet'!W11*'Output-Calculation-sheet'!W47</f>
        <v>1017.4158738569091</v>
      </c>
      <c r="X56" s="2">
        <f>X12/'Output-Calculation-sheet'!X11*'Output-Calculation-sheet'!X47</f>
        <v>2710.1759732269043</v>
      </c>
      <c r="Y56" s="2">
        <f>Y12/'Output-Calculation-sheet'!Y11*'Output-Calculation-sheet'!Y47</f>
        <v>1522.9638027201913</v>
      </c>
      <c r="AA56" s="2">
        <f t="shared" si="3"/>
        <v>534.1883111155563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8.7879763736287995</v>
      </c>
      <c r="C63" s="2">
        <f>C8*'Output-Calculation-sheet'!C52/10^9</f>
        <v>5.5417928097323932</v>
      </c>
      <c r="D63" s="2">
        <f>D8*'Output-Calculation-sheet'!D52/10^9</f>
        <v>3.0135650289142624</v>
      </c>
      <c r="E63" s="2">
        <f>E8*'Output-Calculation-sheet'!E52/10^9</f>
        <v>2.9963070519079174</v>
      </c>
      <c r="F63" s="2">
        <f>F8*'Output-Calculation-sheet'!F52/10^9</f>
        <v>1.2689367991038061</v>
      </c>
      <c r="G63" s="2">
        <f>G8*'Output-Calculation-sheet'!G52/10^9</f>
        <v>0.912307125892863</v>
      </c>
      <c r="H63" s="2">
        <f>H8*'Output-Calculation-sheet'!H52/10^9</f>
        <v>1.5936179655804328</v>
      </c>
      <c r="I63" s="2">
        <f>I8*'Output-Calculation-sheet'!I52/10^9</f>
        <v>0.84865754632141832</v>
      </c>
      <c r="J63" s="2">
        <f>J8*'Output-Calculation-sheet'!J52/10^9</f>
        <v>1.1678114479742454</v>
      </c>
      <c r="K63" s="2">
        <f>K8*'Output-Calculation-sheet'!K52/10^9</f>
        <v>1.0260235682082457</v>
      </c>
      <c r="L63" s="2">
        <f>L8*'Output-Calculation-sheet'!L52/10^9</f>
        <v>1.3800491213440782</v>
      </c>
      <c r="M63" s="2">
        <f>M8*'Output-Calculation-sheet'!M52/10^9</f>
        <v>1.2934814158766081</v>
      </c>
      <c r="N63" s="2">
        <f>N8*'Output-Calculation-sheet'!N52/10^9</f>
        <v>1.0795375116212849</v>
      </c>
      <c r="O63" s="2">
        <f>O8*'Output-Calculation-sheet'!O52/10^9</f>
        <v>1.151172438939505</v>
      </c>
      <c r="P63" s="2">
        <f>P8*'Output-Calculation-sheet'!P52/10^9</f>
        <v>0.7089559112587912</v>
      </c>
      <c r="Q63" s="2">
        <f>Q8*'Output-Calculation-sheet'!Q52/10^9</f>
        <v>0.80232595917459737</v>
      </c>
      <c r="R63" s="2">
        <f>R8*'Output-Calculation-sheet'!R52/10^9</f>
        <v>0.72033025549920549</v>
      </c>
      <c r="S63" s="2">
        <f>S8*'Output-Calculation-sheet'!S52/10^9</f>
        <v>0.53379341953818871</v>
      </c>
      <c r="T63" s="2">
        <f>T8*'Output-Calculation-sheet'!T52/10^9</f>
        <v>0.27386039106799215</v>
      </c>
      <c r="U63" s="2">
        <f>U8*'Output-Calculation-sheet'!U52/10^9</f>
        <v>0.18808427154378085</v>
      </c>
      <c r="V63" s="2">
        <f>V8*'Output-Calculation-sheet'!V52/10^9</f>
        <v>0.33380538967129686</v>
      </c>
      <c r="W63" s="2">
        <f>W8*'Output-Calculation-sheet'!W52/10^9</f>
        <v>0.12082214557450136</v>
      </c>
      <c r="X63" s="2">
        <f>X8*'Output-Calculation-sheet'!X52/10^9</f>
        <v>0.13906350214972066</v>
      </c>
      <c r="Y63" s="2">
        <f>Y8*'Output-Calculation-sheet'!Y52/10^9</f>
        <v>7.8833012863117558E-2</v>
      </c>
      <c r="AA63" s="2">
        <f t="shared" si="4"/>
        <v>35.961110463387044</v>
      </c>
    </row>
    <row r="64" spans="1:27" x14ac:dyDescent="0.25">
      <c r="A64" s="2">
        <v>2032</v>
      </c>
      <c r="B64" s="2">
        <f>B9*'Output-Calculation-sheet'!B53/10^9</f>
        <v>9.6198223110378933</v>
      </c>
      <c r="C64" s="2">
        <f>C9*'Output-Calculation-sheet'!C53/10^9</f>
        <v>6.4946756845124458</v>
      </c>
      <c r="D64" s="2">
        <f>D9*'Output-Calculation-sheet'!D53/10^9</f>
        <v>2.8468880462892447</v>
      </c>
      <c r="E64" s="2">
        <f>E9*'Output-Calculation-sheet'!E53/10^9</f>
        <v>2.9153521592673859</v>
      </c>
      <c r="F64" s="2">
        <f>F9*'Output-Calculation-sheet'!F53/10^9</f>
        <v>1.2296782923822684</v>
      </c>
      <c r="G64" s="2">
        <f>G9*'Output-Calculation-sheet'!G53/10^9</f>
        <v>0.87524646154803543</v>
      </c>
      <c r="H64" s="2">
        <f>H9*'Output-Calculation-sheet'!H53/10^9</f>
        <v>1.7984453339043336</v>
      </c>
      <c r="I64" s="2">
        <f>I9*'Output-Calculation-sheet'!I53/10^9</f>
        <v>0.81821253051651555</v>
      </c>
      <c r="J64" s="2">
        <f>J9*'Output-Calculation-sheet'!J53/10^9</f>
        <v>1.0831481997628356</v>
      </c>
      <c r="K64" s="2">
        <f>K9*'Output-Calculation-sheet'!K53/10^9</f>
        <v>1.0050115819192507</v>
      </c>
      <c r="L64" s="2">
        <f>L9*'Output-Calculation-sheet'!L53/10^9</f>
        <v>1.2929390749143697</v>
      </c>
      <c r="M64" s="2">
        <f>M9*'Output-Calculation-sheet'!M53/10^9</f>
        <v>1.4095259397934281</v>
      </c>
      <c r="N64" s="2">
        <f>N9*'Output-Calculation-sheet'!N53/10^9</f>
        <v>1.1865588155509192</v>
      </c>
      <c r="O64" s="2">
        <f>O9*'Output-Calculation-sheet'!O53/10^9</f>
        <v>1.3432638647157416</v>
      </c>
      <c r="P64" s="2">
        <f>P9*'Output-Calculation-sheet'!P53/10^9</f>
        <v>0.76624015231755693</v>
      </c>
      <c r="Q64" s="2">
        <f>Q9*'Output-Calculation-sheet'!Q53/10^9</f>
        <v>0.84682395585161907</v>
      </c>
      <c r="R64" s="2">
        <f>R9*'Output-Calculation-sheet'!R53/10^9</f>
        <v>0.72592711993921766</v>
      </c>
      <c r="S64" s="2">
        <f>S9*'Output-Calculation-sheet'!S53/10^9</f>
        <v>0.59977708102101568</v>
      </c>
      <c r="T64" s="2">
        <f>T9*'Output-Calculation-sheet'!T53/10^9</f>
        <v>0.26095190473367341</v>
      </c>
      <c r="U64" s="2">
        <f>U9*'Output-Calculation-sheet'!U53/10^9</f>
        <v>0.19641296365384384</v>
      </c>
      <c r="V64" s="2">
        <f>V9*'Output-Calculation-sheet'!V53/10^9</f>
        <v>0.30973237238929602</v>
      </c>
      <c r="W64" s="2">
        <f>W9*'Output-Calculation-sheet'!W53/10^9</f>
        <v>0.11509096688384819</v>
      </c>
      <c r="X64" s="2">
        <f>X9*'Output-Calculation-sheet'!X53/10^9</f>
        <v>0.15622052255626953</v>
      </c>
      <c r="Y64" s="2">
        <f>Y9*'Output-Calculation-sheet'!Y53/10^9</f>
        <v>8.0636474069431016E-2</v>
      </c>
      <c r="AA64" s="2">
        <f t="shared" si="4"/>
        <v>37.97658180953043</v>
      </c>
    </row>
    <row r="65" spans="1:27" x14ac:dyDescent="0.25">
      <c r="A65" s="2">
        <v>2033</v>
      </c>
      <c r="B65" s="2">
        <f>B10*'Output-Calculation-sheet'!B54/10^9</f>
        <v>10.592413913919314</v>
      </c>
      <c r="C65" s="2">
        <f>C10*'Output-Calculation-sheet'!C54/10^9</f>
        <v>7.4107628403447139</v>
      </c>
      <c r="D65" s="2">
        <f>D10*'Output-Calculation-sheet'!D54/10^9</f>
        <v>2.502455111148429</v>
      </c>
      <c r="E65" s="2">
        <f>E10*'Output-Calculation-sheet'!E54/10^9</f>
        <v>2.817735838295357</v>
      </c>
      <c r="F65" s="2">
        <f>F10*'Output-Calculation-sheet'!F54/10^9</f>
        <v>1.1439525303856202</v>
      </c>
      <c r="G65" s="2">
        <f>G10*'Output-Calculation-sheet'!G54/10^9</f>
        <v>0.78542688800329774</v>
      </c>
      <c r="H65" s="2">
        <f>H10*'Output-Calculation-sheet'!H54/10^9</f>
        <v>1.9410059650874194</v>
      </c>
      <c r="I65" s="2">
        <f>I10*'Output-Calculation-sheet'!I54/10^9</f>
        <v>0.76479128604037616</v>
      </c>
      <c r="J65" s="2">
        <f>J10*'Output-Calculation-sheet'!J54/10^9</f>
        <v>0.91409616400234084</v>
      </c>
      <c r="K65" s="2">
        <f>K10*'Output-Calculation-sheet'!K54/10^9</f>
        <v>0.97521952066703133</v>
      </c>
      <c r="L65" s="2">
        <f>L10*'Output-Calculation-sheet'!L54/10^9</f>
        <v>1.1519393546344034</v>
      </c>
      <c r="M65" s="2">
        <f>M10*'Output-Calculation-sheet'!M54/10^9</f>
        <v>1.4656005185918179</v>
      </c>
      <c r="N65" s="2">
        <f>N10*'Output-Calculation-sheet'!N54/10^9</f>
        <v>1.265566719116948</v>
      </c>
      <c r="O65" s="2">
        <f>O10*'Output-Calculation-sheet'!O54/10^9</f>
        <v>1.5159168859340055</v>
      </c>
      <c r="P65" s="2">
        <f>P10*'Output-Calculation-sheet'!P54/10^9</f>
        <v>0.82518167410608967</v>
      </c>
      <c r="Q65" s="2">
        <f>Q10*'Output-Calculation-sheet'!Q54/10^9</f>
        <v>0.90041242888507445</v>
      </c>
      <c r="R65" s="2">
        <f>R10*'Output-Calculation-sheet'!R54/10^9</f>
        <v>0.72645339324843516</v>
      </c>
      <c r="S65" s="2">
        <f>S10*'Output-Calculation-sheet'!S54/10^9</f>
        <v>0.65987761093413899</v>
      </c>
      <c r="T65" s="2">
        <f>T10*'Output-Calculation-sheet'!T54/10^9</f>
        <v>0.24288492407530424</v>
      </c>
      <c r="U65" s="2">
        <f>U10*'Output-Calculation-sheet'!U54/10^9</f>
        <v>0.2097241513677634</v>
      </c>
      <c r="V65" s="2">
        <f>V10*'Output-Calculation-sheet'!V54/10^9</f>
        <v>0.26878883082890759</v>
      </c>
      <c r="W65" s="2">
        <f>W10*'Output-Calculation-sheet'!W54/10^9</f>
        <v>0.10233801749664889</v>
      </c>
      <c r="X65" s="2">
        <f>X10*'Output-Calculation-sheet'!X54/10^9</f>
        <v>0.16856231675633035</v>
      </c>
      <c r="Y65" s="2">
        <f>Y10*'Output-Calculation-sheet'!Y54/10^9</f>
        <v>8.4229673810667094E-2</v>
      </c>
      <c r="AA65" s="2">
        <f t="shared" si="4"/>
        <v>39.435336557680444</v>
      </c>
    </row>
    <row r="66" spans="1:27" x14ac:dyDescent="0.25">
      <c r="A66" s="2">
        <v>2034</v>
      </c>
      <c r="B66" s="2">
        <f>B11*'Output-Calculation-sheet'!B55/10^9</f>
        <v>11.771014585863433</v>
      </c>
      <c r="C66" s="2">
        <f>C11*'Output-Calculation-sheet'!C55/10^9</f>
        <v>8.3331824661952414</v>
      </c>
      <c r="D66" s="2">
        <f>D11*'Output-Calculation-sheet'!D55/10^9</f>
        <v>2.4622882454542934</v>
      </c>
      <c r="E66" s="2">
        <f>E11*'Output-Calculation-sheet'!E55/10^9</f>
        <v>2.9814327853614686</v>
      </c>
      <c r="F66" s="2">
        <f>F11*'Output-Calculation-sheet'!F55/10^9</f>
        <v>1.1458171630176257</v>
      </c>
      <c r="G66" s="2">
        <f>G11*'Output-Calculation-sheet'!G55/10^9</f>
        <v>0.81901419040644929</v>
      </c>
      <c r="H66" s="2">
        <f>H11*'Output-Calculation-sheet'!H55/10^9</f>
        <v>2.1032763497769582</v>
      </c>
      <c r="I66" s="2">
        <f>I11*'Output-Calculation-sheet'!I55/10^9</f>
        <v>0.80097102067838633</v>
      </c>
      <c r="J66" s="2">
        <f>J11*'Output-Calculation-sheet'!J55/10^9</f>
        <v>0.82358365451073912</v>
      </c>
      <c r="K66" s="2">
        <f>K11*'Output-Calculation-sheet'!K55/10^9</f>
        <v>0.98510785241467547</v>
      </c>
      <c r="L66" s="2">
        <f>L11*'Output-Calculation-sheet'!L55/10^9</f>
        <v>1.0432168708930121</v>
      </c>
      <c r="M66" s="2">
        <f>M11*'Output-Calculation-sheet'!M55/10^9</f>
        <v>1.5169424923198325</v>
      </c>
      <c r="N66" s="2">
        <f>N11*'Output-Calculation-sheet'!N55/10^9</f>
        <v>1.3254032119023171</v>
      </c>
      <c r="O66" s="2">
        <f>O11*'Output-Calculation-sheet'!O55/10^9</f>
        <v>1.6727815820186922</v>
      </c>
      <c r="P66" s="2">
        <f>P11*'Output-Calculation-sheet'!P55/10^9</f>
        <v>0.91108351691188227</v>
      </c>
      <c r="Q66" s="2">
        <f>Q11*'Output-Calculation-sheet'!Q55/10^9</f>
        <v>0.99461765947949299</v>
      </c>
      <c r="R66" s="2">
        <f>R11*'Output-Calculation-sheet'!R55/10^9</f>
        <v>0.73792219988037744</v>
      </c>
      <c r="S66" s="2">
        <f>S11*'Output-Calculation-sheet'!S55/10^9</f>
        <v>0.72608551995512072</v>
      </c>
      <c r="T66" s="2">
        <f>T11*'Output-Calculation-sheet'!T55/10^9</f>
        <v>0.23129797560585846</v>
      </c>
      <c r="U66" s="2">
        <f>U11*'Output-Calculation-sheet'!U55/10^9</f>
        <v>0.23615632958471536</v>
      </c>
      <c r="V66" s="2">
        <f>V11*'Output-Calculation-sheet'!V55/10^9</f>
        <v>0.21942038319982249</v>
      </c>
      <c r="W66" s="2">
        <f>W11*'Output-Calculation-sheet'!W55/10^9</f>
        <v>9.9353435478471072E-2</v>
      </c>
      <c r="X66" s="2">
        <f>X11*'Output-Calculation-sheet'!X55/10^9</f>
        <v>0.18846053320466441</v>
      </c>
      <c r="Y66" s="2">
        <f>Y11*'Output-Calculation-sheet'!Y55/10^9</f>
        <v>9.7493353763754356E-2</v>
      </c>
      <c r="AA66" s="2">
        <f t="shared" si="4"/>
        <v>42.225923377877287</v>
      </c>
    </row>
    <row r="67" spans="1:27" x14ac:dyDescent="0.25">
      <c r="A67" s="2">
        <v>2035</v>
      </c>
      <c r="B67" s="2">
        <f>B12*'Output-Calculation-sheet'!B56/10^9</f>
        <v>13.761135042127108</v>
      </c>
      <c r="C67" s="2">
        <f>C12*'Output-Calculation-sheet'!C56/10^9</f>
        <v>9.2354332162098949</v>
      </c>
      <c r="D67" s="2">
        <f>D12*'Output-Calculation-sheet'!D56/10^9</f>
        <v>3.0198041906284536</v>
      </c>
      <c r="E67" s="2">
        <f>E12*'Output-Calculation-sheet'!E56/10^9</f>
        <v>3.8434677227261975</v>
      </c>
      <c r="F67" s="2">
        <f>F12*'Output-Calculation-sheet'!F56/10^9</f>
        <v>1.4943562001479687</v>
      </c>
      <c r="G67" s="2">
        <f>G12*'Output-Calculation-sheet'!G56/10^9</f>
        <v>1.0985759328072424</v>
      </c>
      <c r="H67" s="2">
        <f>H12*'Output-Calculation-sheet'!H56/10^9</f>
        <v>2.427461785096785</v>
      </c>
      <c r="I67" s="2">
        <f>I12*'Output-Calculation-sheet'!I56/10^9</f>
        <v>1.0364317957544493</v>
      </c>
      <c r="J67" s="2">
        <f>J12*'Output-Calculation-sheet'!J56/10^9</f>
        <v>0.96313661841416509</v>
      </c>
      <c r="K67" s="2">
        <f>K12*'Output-Calculation-sheet'!K56/10^9</f>
        <v>1.1827514835086472</v>
      </c>
      <c r="L67" s="2">
        <f>L12*'Output-Calculation-sheet'!L56/10^9</f>
        <v>1.1335845446915971</v>
      </c>
      <c r="M67" s="2">
        <f>M12*'Output-Calculation-sheet'!M56/10^9</f>
        <v>1.7449776846258294</v>
      </c>
      <c r="N67" s="2">
        <f>N12*'Output-Calculation-sheet'!N56/10^9</f>
        <v>1.4910232890598039</v>
      </c>
      <c r="O67" s="2">
        <f>O12*'Output-Calculation-sheet'!O56/10^9</f>
        <v>1.8192315152722274</v>
      </c>
      <c r="P67" s="2">
        <f>P12*'Output-Calculation-sheet'!P56/10^9</f>
        <v>1.142069809992333</v>
      </c>
      <c r="Q67" s="2">
        <f>Q12*'Output-Calculation-sheet'!Q56/10^9</f>
        <v>1.147754516468531</v>
      </c>
      <c r="R67" s="2">
        <f>R12*'Output-Calculation-sheet'!R56/10^9</f>
        <v>0.87199119467066144</v>
      </c>
      <c r="S67" s="2">
        <f>S12*'Output-Calculation-sheet'!S56/10^9</f>
        <v>0.83109032609980571</v>
      </c>
      <c r="T67" s="2">
        <f>T12*'Output-Calculation-sheet'!T56/10^9</f>
        <v>0.26736045153252042</v>
      </c>
      <c r="U67" s="2">
        <f>U12*'Output-Calculation-sheet'!U56/10^9</f>
        <v>0.28720415735084465</v>
      </c>
      <c r="V67" s="2">
        <f>V12*'Output-Calculation-sheet'!V56/10^9</f>
        <v>0.20536928329147847</v>
      </c>
      <c r="W67" s="2">
        <f>W12*'Output-Calculation-sheet'!W56/10^9</f>
        <v>0.13619863437547799</v>
      </c>
      <c r="X67" s="2">
        <f>X12*'Output-Calculation-sheet'!X56/10^9</f>
        <v>0.21748546114096778</v>
      </c>
      <c r="Y67" s="2">
        <f>Y12*'Output-Calculation-sheet'!Y56/10^9</f>
        <v>0.12888242238327136</v>
      </c>
      <c r="AA67" s="2">
        <f t="shared" si="4"/>
        <v>49.486777278376266</v>
      </c>
    </row>
    <row r="68" spans="1:27" x14ac:dyDescent="0.25">
      <c r="B68" s="2">
        <f>SUM(B60:B67)</f>
        <v>74.377100666101455</v>
      </c>
      <c r="C68" s="2">
        <f t="shared" ref="C68:Y68" si="5">SUM(C60:C67)</f>
        <v>47.520215703214987</v>
      </c>
      <c r="D68" s="2">
        <f t="shared" si="5"/>
        <v>21.630270613124978</v>
      </c>
      <c r="E68" s="2">
        <f t="shared" si="5"/>
        <v>23.229916495045778</v>
      </c>
      <c r="F68" s="2">
        <f t="shared" si="5"/>
        <v>9.4639267651246772</v>
      </c>
      <c r="G68" s="2">
        <f t="shared" si="5"/>
        <v>6.8054095311400138</v>
      </c>
      <c r="H68" s="2">
        <f t="shared" si="5"/>
        <v>13.135412974702557</v>
      </c>
      <c r="I68" s="2">
        <f t="shared" si="5"/>
        <v>6.4097624594981912</v>
      </c>
      <c r="J68" s="2">
        <f t="shared" si="5"/>
        <v>8.0316685089797275</v>
      </c>
      <c r="K68" s="2">
        <f t="shared" si="5"/>
        <v>7.7678499311265972</v>
      </c>
      <c r="L68" s="2">
        <f t="shared" si="5"/>
        <v>9.654616359314069</v>
      </c>
      <c r="M68" s="2">
        <f t="shared" si="5"/>
        <v>10.235312493729808</v>
      </c>
      <c r="N68" s="2">
        <f t="shared" si="5"/>
        <v>8.7820677787272974</v>
      </c>
      <c r="O68" s="2">
        <f t="shared" si="5"/>
        <v>9.6976026279757974</v>
      </c>
      <c r="P68" s="2">
        <f t="shared" si="5"/>
        <v>6.0007373315931236</v>
      </c>
      <c r="Q68" s="2">
        <f t="shared" si="5"/>
        <v>6.5722696325581555</v>
      </c>
      <c r="R68" s="2">
        <f t="shared" si="5"/>
        <v>5.58559053243268</v>
      </c>
      <c r="S68" s="2">
        <f t="shared" si="5"/>
        <v>4.5300102389501209</v>
      </c>
      <c r="T68" s="2">
        <f t="shared" si="5"/>
        <v>1.9821324178457953</v>
      </c>
      <c r="U68" s="2">
        <f t="shared" si="5"/>
        <v>1.5792205430194655</v>
      </c>
      <c r="V68" s="2">
        <f t="shared" si="5"/>
        <v>2.2301378057929258</v>
      </c>
      <c r="W68" s="2">
        <f t="shared" si="5"/>
        <v>0.88295216166608603</v>
      </c>
      <c r="X68" s="2">
        <f t="shared" si="5"/>
        <v>1.1554147643473436</v>
      </c>
      <c r="Y68" s="2">
        <f t="shared" si="5"/>
        <v>0.66499435656972516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7284.4709881260778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1794.0092701842054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1178.5075608315724</v>
      </c>
      <c r="N74" s="2">
        <f>N8/'Output-Calculation-sheet'!N7*'Output-Calculation-sheet'!N61</f>
        <v>49.393335527698333</v>
      </c>
      <c r="O74" s="2">
        <f>O8/'Output-Calculation-sheet'!O7*'Output-Calculation-sheet'!O61</f>
        <v>1456.4488023270997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146.44649112040182</v>
      </c>
      <c r="Y74" s="2">
        <f>Y8/'Output-Calculation-sheet'!Y7*'Output-Calculation-sheet'!Y61</f>
        <v>0</v>
      </c>
      <c r="AA74" s="2">
        <f t="shared" si="6"/>
        <v>11.909276448117057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12828.373093254035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3183.2284594866824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2159.9333553375723</v>
      </c>
      <c r="N75" s="2">
        <f>N9/'Output-Calculation-sheet'!N8*'Output-Calculation-sheet'!N62</f>
        <v>834.8921494990135</v>
      </c>
      <c r="O75" s="2">
        <f>O9/'Output-Calculation-sheet'!O8*'Output-Calculation-sheet'!O62</f>
        <v>2535.7560692221696</v>
      </c>
      <c r="P75" s="2">
        <f>P9/'Output-Calculation-sheet'!P8*'Output-Calculation-sheet'!P62</f>
        <v>55.894713356392458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279.75223775787879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260.21272221243322</v>
      </c>
      <c r="Y75" s="2">
        <f>Y9/'Output-Calculation-sheet'!Y8*'Output-Calculation-sheet'!Y62</f>
        <v>0</v>
      </c>
      <c r="AA75" s="2">
        <f t="shared" si="6"/>
        <v>22.138042800126179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16451.042645067882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4841.2492773813019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3296.1965869018691</v>
      </c>
      <c r="N76" s="2">
        <f>N10/'Output-Calculation-sheet'!N9*'Output-Calculation-sheet'!N63</f>
        <v>1886.3010373237385</v>
      </c>
      <c r="O76" s="2">
        <f>O10/'Output-Calculation-sheet'!O9*'Output-Calculation-sheet'!O63</f>
        <v>2912.5010082597619</v>
      </c>
      <c r="P76" s="2">
        <f>P10/'Output-Calculation-sheet'!P9*'Output-Calculation-sheet'!P63</f>
        <v>654.28610298144577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492.22340114023342</v>
      </c>
      <c r="S76" s="2">
        <f>S10/'Output-Calculation-sheet'!S9*'Output-Calculation-sheet'!S63</f>
        <v>836.43255554419636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174.33646533597579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388.20314391308744</v>
      </c>
      <c r="Y76" s="2">
        <f>Y10/'Output-Calculation-sheet'!Y9*'Output-Calculation-sheet'!Y63</f>
        <v>7.364167792554972</v>
      </c>
      <c r="AA76" s="2">
        <f t="shared" si="6"/>
        <v>39.817596062738616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17822.014747872523</v>
      </c>
      <c r="D77" s="2">
        <f>D11/'Output-Calculation-sheet'!D10*'Output-Calculation-sheet'!D64</f>
        <v>2433.7409392760883</v>
      </c>
      <c r="E77" s="2">
        <f>E11/'Output-Calculation-sheet'!E10*'Output-Calculation-sheet'!E64</f>
        <v>2958.2604646185368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1264.0168255659078</v>
      </c>
      <c r="H77" s="2">
        <f>H11/'Output-Calculation-sheet'!H10*'Output-Calculation-sheet'!H64</f>
        <v>6716.7881304197444</v>
      </c>
      <c r="I77" s="2">
        <f>I11/'Output-Calculation-sheet'!I10*'Output-Calculation-sheet'!I64</f>
        <v>753.76711096151234</v>
      </c>
      <c r="J77" s="2">
        <f>J11/'Output-Calculation-sheet'!J10*'Output-Calculation-sheet'!J64</f>
        <v>509.87399222781028</v>
      </c>
      <c r="K77" s="2">
        <f>K11/'Output-Calculation-sheet'!K10*'Output-Calculation-sheet'!K64</f>
        <v>1146.7111214571005</v>
      </c>
      <c r="L77" s="2">
        <f>L11/'Output-Calculation-sheet'!L10*'Output-Calculation-sheet'!L64</f>
        <v>480.37096658939004</v>
      </c>
      <c r="M77" s="2">
        <f>M11/'Output-Calculation-sheet'!M10*'Output-Calculation-sheet'!M64</f>
        <v>4517.4644977644539</v>
      </c>
      <c r="N77" s="2">
        <f>N11/'Output-Calculation-sheet'!N10*'Output-Calculation-sheet'!N64</f>
        <v>3180.5777801062327</v>
      </c>
      <c r="O77" s="2">
        <f>O11/'Output-Calculation-sheet'!O10*'Output-Calculation-sheet'!O64</f>
        <v>3298.4451325539612</v>
      </c>
      <c r="P77" s="2">
        <f>P11/'Output-Calculation-sheet'!P10*'Output-Calculation-sheet'!P64</f>
        <v>1403.8300371418766</v>
      </c>
      <c r="Q77" s="2">
        <f>Q11/'Output-Calculation-sheet'!Q10*'Output-Calculation-sheet'!Q64</f>
        <v>1262.2234949457052</v>
      </c>
      <c r="R77" s="2">
        <f>R11/'Output-Calculation-sheet'!R10*'Output-Calculation-sheet'!R64</f>
        <v>1201.6876005752797</v>
      </c>
      <c r="S77" s="2">
        <f>S11/'Output-Calculation-sheet'!S10*'Output-Calculation-sheet'!S64</f>
        <v>1599.4020225660513</v>
      </c>
      <c r="T77" s="2">
        <f>T11/'Output-Calculation-sheet'!T10*'Output-Calculation-sheet'!T64</f>
        <v>330.49914859978463</v>
      </c>
      <c r="U77" s="2">
        <f>U11/'Output-Calculation-sheet'!U10*'Output-Calculation-sheet'!U64</f>
        <v>439.26331374824593</v>
      </c>
      <c r="V77" s="2">
        <f>V11/'Output-Calculation-sheet'!V10*'Output-Calculation-sheet'!V64</f>
        <v>170.88447615654064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470.02801726622948</v>
      </c>
      <c r="Y77" s="2">
        <f>Y11/'Output-Calculation-sheet'!Y10*'Output-Calculation-sheet'!Y64</f>
        <v>109.98670760561934</v>
      </c>
      <c r="AA77" s="2">
        <f t="shared" si="6"/>
        <v>71.78556281778566</v>
      </c>
    </row>
    <row r="78" spans="1:27" x14ac:dyDescent="0.25">
      <c r="A78" s="2">
        <v>2035</v>
      </c>
      <c r="B78" s="2">
        <f>B12/'Output-Calculation-sheet'!B11*'Output-Calculation-sheet'!B65</f>
        <v>26822.088232736238</v>
      </c>
      <c r="C78" s="2">
        <f>C12/'Output-Calculation-sheet'!C11*'Output-Calculation-sheet'!C65</f>
        <v>19600.233933130665</v>
      </c>
      <c r="D78" s="2">
        <f>D12/'Output-Calculation-sheet'!D11*'Output-Calculation-sheet'!D65</f>
        <v>5035.6576163355476</v>
      </c>
      <c r="E78" s="2">
        <f>E12/'Output-Calculation-sheet'!E11*'Output-Calculation-sheet'!E65</f>
        <v>6302.9562118443455</v>
      </c>
      <c r="F78" s="2">
        <f>F12/'Output-Calculation-sheet'!F11*'Output-Calculation-sheet'!F65</f>
        <v>1260.0389559297439</v>
      </c>
      <c r="G78" s="2">
        <f>G12/'Output-Calculation-sheet'!G11*'Output-Calculation-sheet'!G65</f>
        <v>2316.1878181901752</v>
      </c>
      <c r="H78" s="2">
        <f>H12/'Output-Calculation-sheet'!H11*'Output-Calculation-sheet'!H65</f>
        <v>7323.1400547633421</v>
      </c>
      <c r="I78" s="2">
        <f>I12/'Output-Calculation-sheet'!I11*'Output-Calculation-sheet'!I65</f>
        <v>1681.9839274236517</v>
      </c>
      <c r="J78" s="2">
        <f>J12/'Output-Calculation-sheet'!J11*'Output-Calculation-sheet'!J65</f>
        <v>1626.5043444989076</v>
      </c>
      <c r="K78" s="2">
        <f>K12/'Output-Calculation-sheet'!K11*'Output-Calculation-sheet'!K65</f>
        <v>2037.7224962291857</v>
      </c>
      <c r="L78" s="2">
        <f>L12/'Output-Calculation-sheet'!L11*'Output-Calculation-sheet'!L65</f>
        <v>1502.4116481735934</v>
      </c>
      <c r="M78" s="2">
        <f>M12/'Output-Calculation-sheet'!M11*'Output-Calculation-sheet'!M65</f>
        <v>5346.9560815009836</v>
      </c>
      <c r="N78" s="2">
        <f>N12/'Output-Calculation-sheet'!N11*'Output-Calculation-sheet'!N65</f>
        <v>3812.587542787493</v>
      </c>
      <c r="O78" s="2">
        <f>O12/'Output-Calculation-sheet'!O11*'Output-Calculation-sheet'!O65</f>
        <v>3598.9700987357219</v>
      </c>
      <c r="P78" s="2">
        <f>P12/'Output-Calculation-sheet'!P11*'Output-Calculation-sheet'!P65</f>
        <v>2076.999816791274</v>
      </c>
      <c r="Q78" s="2">
        <f>Q12/'Output-Calculation-sheet'!Q11*'Output-Calculation-sheet'!Q65</f>
        <v>1763.5727177244726</v>
      </c>
      <c r="R78" s="2">
        <f>R12/'Output-Calculation-sheet'!R11*'Output-Calculation-sheet'!R65</f>
        <v>1742.9696382940363</v>
      </c>
      <c r="S78" s="2">
        <f>S12/'Output-Calculation-sheet'!S11*'Output-Calculation-sheet'!S65</f>
        <v>2016.5842385936894</v>
      </c>
      <c r="T78" s="2">
        <f>T12/'Output-Calculation-sheet'!T11*'Output-Calculation-sheet'!T65</f>
        <v>629.16365462870613</v>
      </c>
      <c r="U78" s="2">
        <f>U12/'Output-Calculation-sheet'!U11*'Output-Calculation-sheet'!U65</f>
        <v>526.42227431421281</v>
      </c>
      <c r="V78" s="2">
        <f>V12/'Output-Calculation-sheet'!V11*'Output-Calculation-sheet'!V65</f>
        <v>320.24074696617373</v>
      </c>
      <c r="W78" s="2">
        <f>W12/'Output-Calculation-sheet'!W11*'Output-Calculation-sheet'!W65</f>
        <v>223.60951060331487</v>
      </c>
      <c r="X78" s="2">
        <f>X12/'Output-Calculation-sheet'!X11*'Output-Calculation-sheet'!X65</f>
        <v>516.79184129475311</v>
      </c>
      <c r="Y78" s="2">
        <f>Y12/'Output-Calculation-sheet'!Y11*'Output-Calculation-sheet'!Y65</f>
        <v>242.45726072371124</v>
      </c>
      <c r="AA78" s="2">
        <f t="shared" si="6"/>
        <v>98.326250662213951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274.01278609315648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79.849969154657884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0.35386275524781435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890.52189815982229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173.00444774484473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3.4488356637235627</v>
      </c>
      <c r="Y88" s="2">
        <f>Y11/'Output-Calculation-sheet'!Y10*'Output-Calculation-sheet'!Y73</f>
        <v>0</v>
      </c>
      <c r="AA88" s="2">
        <f t="shared" si="7"/>
        <v>1.0669751815683906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1586.832197180222</v>
      </c>
      <c r="D89" s="2">
        <f>D12/'Output-Calculation-sheet'!D11*'Output-Calculation-sheet'!D74</f>
        <v>140.56659268466805</v>
      </c>
      <c r="E89" s="2">
        <f>E12/'Output-Calculation-sheet'!E11*'Output-Calculation-sheet'!E74</f>
        <v>223.42589503356359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146.54291122006714</v>
      </c>
      <c r="I89" s="2">
        <f>I12/'Output-Calculation-sheet'!I11*'Output-Calculation-sheet'!I74</f>
        <v>45.353608569909177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44.5754582016272</v>
      </c>
      <c r="L89" s="2">
        <f>L12/'Output-Calculation-sheet'!L11*'Output-Calculation-sheet'!L74</f>
        <v>35.44426838193813</v>
      </c>
      <c r="M89" s="2">
        <f>M12/'Output-Calculation-sheet'!M11*'Output-Calculation-sheet'!M74</f>
        <v>67.22390864288792</v>
      </c>
      <c r="N89" s="2">
        <f>N12/'Output-Calculation-sheet'!N11*'Output-Calculation-sheet'!N74</f>
        <v>66.070315272289974</v>
      </c>
      <c r="O89" s="2">
        <f>O12/'Output-Calculation-sheet'!O11*'Output-Calculation-sheet'!O74</f>
        <v>277.45092586018552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57.887535662453352</v>
      </c>
      <c r="R89" s="2">
        <f>R12/'Output-Calculation-sheet'!R11*'Output-Calculation-sheet'!R74</f>
        <v>28.70314271612602</v>
      </c>
      <c r="S89" s="2">
        <f>S12/'Output-Calculation-sheet'!S11*'Output-Calculation-sheet'!S74</f>
        <v>37.873682760704092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18.469660876928387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14.749256997153221</v>
      </c>
      <c r="Y89" s="2">
        <f>Y12/'Output-Calculation-sheet'!Y11*'Output-Calculation-sheet'!Y74</f>
        <v>7.116653283739212</v>
      </c>
      <c r="AA89" s="2">
        <f t="shared" si="7"/>
        <v>3.7678943292267548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14235070255.585815</v>
      </c>
      <c r="C96" s="2">
        <f>C8/'Output-Calculation-sheet'!C7*'Output-Calculation-sheet'!C79</f>
        <v>4815788963.5253592</v>
      </c>
      <c r="D96" s="2">
        <f>D8/'Output-Calculation-sheet'!D7*'Output-Calculation-sheet'!D79</f>
        <v>5027366521.1421747</v>
      </c>
      <c r="E96" s="2">
        <f>E8/'Output-Calculation-sheet'!E7*'Output-Calculation-sheet'!E79</f>
        <v>8938229619.8592834</v>
      </c>
      <c r="F96" s="2">
        <f>F8/'Output-Calculation-sheet'!F7*'Output-Calculation-sheet'!F79</f>
        <v>3699445160.5769501</v>
      </c>
      <c r="G96" s="2">
        <f>G8/'Output-Calculation-sheet'!G7*'Output-Calculation-sheet'!G79</f>
        <v>2881563584.0389795</v>
      </c>
      <c r="H96" s="2">
        <f>H8/'Output-Calculation-sheet'!H7*'Output-Calculation-sheet'!H79</f>
        <v>2466455690.7650089</v>
      </c>
      <c r="I96" s="2">
        <f>I8/'Output-Calculation-sheet'!I7*'Output-Calculation-sheet'!I79</f>
        <v>2007315383.2330143</v>
      </c>
      <c r="J96" s="2">
        <f>J8/'Output-Calculation-sheet'!J7*'Output-Calculation-sheet'!J79</f>
        <v>1357398510.0126991</v>
      </c>
      <c r="K96" s="2">
        <f>K8/'Output-Calculation-sheet'!K7*'Output-Calculation-sheet'!K79</f>
        <v>1942032349.1508298</v>
      </c>
      <c r="L96" s="2">
        <f>L8/'Output-Calculation-sheet'!L7*'Output-Calculation-sheet'!L79</f>
        <v>1370296335.7420073</v>
      </c>
      <c r="M96" s="2">
        <f>M8/'Output-Calculation-sheet'!M7*'Output-Calculation-sheet'!M79</f>
        <v>1841161471.5283206</v>
      </c>
      <c r="N96" s="2">
        <f>N8/'Output-Calculation-sheet'!N7*'Output-Calculation-sheet'!N79</f>
        <v>1369970768.942214</v>
      </c>
      <c r="O96" s="2">
        <f>O8/'Output-Calculation-sheet'!O7*'Output-Calculation-sheet'!O79</f>
        <v>692567145.5204854</v>
      </c>
      <c r="P96" s="2">
        <f>P8/'Output-Calculation-sheet'!P7*'Output-Calculation-sheet'!P79</f>
        <v>2316491846.4578929</v>
      </c>
      <c r="Q96" s="2">
        <f>Q8/'Output-Calculation-sheet'!Q7*'Output-Calculation-sheet'!Q79</f>
        <v>1079584282.6017506</v>
      </c>
      <c r="R96" s="2">
        <f>R8/'Output-Calculation-sheet'!R7*'Output-Calculation-sheet'!R79</f>
        <v>1346909726.8468456</v>
      </c>
      <c r="S96" s="2">
        <f>S8/'Output-Calculation-sheet'!S7*'Output-Calculation-sheet'!S79</f>
        <v>784822482.38690579</v>
      </c>
      <c r="T96" s="2">
        <f>T8/'Output-Calculation-sheet'!T7*'Output-Calculation-sheet'!T79</f>
        <v>599423700.11310279</v>
      </c>
      <c r="U96" s="2">
        <f>U8/'Output-Calculation-sheet'!U7*'Output-Calculation-sheet'!U79</f>
        <v>376542562.6908434</v>
      </c>
      <c r="V96" s="2">
        <f>V8/'Output-Calculation-sheet'!V7*'Output-Calculation-sheet'!V79</f>
        <v>195369917.26023108</v>
      </c>
      <c r="W96" s="2">
        <f>W8/'Output-Calculation-sheet'!W7*'Output-Calculation-sheet'!W79</f>
        <v>577302266.32085562</v>
      </c>
      <c r="X96" s="2">
        <f>X8/'Output-Calculation-sheet'!X7*'Output-Calculation-sheet'!X79</f>
        <v>202905409.24248821</v>
      </c>
      <c r="Y96" s="2">
        <f>Y8/'Output-Calculation-sheet'!Y7*'Output-Calculation-sheet'!Y79</f>
        <v>317341262.17475873</v>
      </c>
      <c r="AA96" s="2">
        <f t="shared" si="8"/>
        <v>60.441355215718829</v>
      </c>
    </row>
    <row r="97" spans="1:27" x14ac:dyDescent="0.25">
      <c r="A97" s="2">
        <v>2032</v>
      </c>
      <c r="B97" s="2">
        <f>B9/'Output-Calculation-sheet'!B8*'Output-Calculation-sheet'!B80</f>
        <v>20401787901.65786</v>
      </c>
      <c r="C97" s="2">
        <f>C9/'Output-Calculation-sheet'!C8*'Output-Calculation-sheet'!C80</f>
        <v>6948958929.4750156</v>
      </c>
      <c r="D97" s="2">
        <f>D9/'Output-Calculation-sheet'!D8*'Output-Calculation-sheet'!D80</f>
        <v>6923961140.4741716</v>
      </c>
      <c r="E97" s="2">
        <f>E9/'Output-Calculation-sheet'!E8*'Output-Calculation-sheet'!E80</f>
        <v>12662889089.734468</v>
      </c>
      <c r="F97" s="2">
        <f>F9/'Output-Calculation-sheet'!F8*'Output-Calculation-sheet'!F80</f>
        <v>5231040508.6455097</v>
      </c>
      <c r="G97" s="2">
        <f>G9/'Output-Calculation-sheet'!G8*'Output-Calculation-sheet'!G80</f>
        <v>3959610269.9330621</v>
      </c>
      <c r="H97" s="2">
        <f>H9/'Output-Calculation-sheet'!H8*'Output-Calculation-sheet'!H80</f>
        <v>3483657266.5884109</v>
      </c>
      <c r="I97" s="2">
        <f>I9/'Output-Calculation-sheet'!I8*'Output-Calculation-sheet'!I80</f>
        <v>2865631393.5744081</v>
      </c>
      <c r="J97" s="2">
        <f>J9/'Output-Calculation-sheet'!J8*'Output-Calculation-sheet'!J80</f>
        <v>1883888142.2763453</v>
      </c>
      <c r="K97" s="2">
        <f>K9/'Output-Calculation-sheet'!K8*'Output-Calculation-sheet'!K80</f>
        <v>2716021680.6348867</v>
      </c>
      <c r="L97" s="2">
        <f>L9/'Output-Calculation-sheet'!L8*'Output-Calculation-sheet'!L80</f>
        <v>1976813870.0364268</v>
      </c>
      <c r="M97" s="2">
        <f>M9/'Output-Calculation-sheet'!M8*'Output-Calculation-sheet'!M80</f>
        <v>2608184744.3240414</v>
      </c>
      <c r="N97" s="2">
        <f>N9/'Output-Calculation-sheet'!N8*'Output-Calculation-sheet'!N80</f>
        <v>1905627674.0451024</v>
      </c>
      <c r="O97" s="2">
        <f>O9/'Output-Calculation-sheet'!O8*'Output-Calculation-sheet'!O80</f>
        <v>985846950.84144866</v>
      </c>
      <c r="P97" s="2">
        <f>P9/'Output-Calculation-sheet'!P8*'Output-Calculation-sheet'!P80</f>
        <v>3225505844.5708733</v>
      </c>
      <c r="Q97" s="2">
        <f>Q9/'Output-Calculation-sheet'!Q8*'Output-Calculation-sheet'!Q80</f>
        <v>1508767944.9210727</v>
      </c>
      <c r="R97" s="2">
        <f>R9/'Output-Calculation-sheet'!R8*'Output-Calculation-sheet'!R80</f>
        <v>1906324453.224967</v>
      </c>
      <c r="S97" s="2">
        <f>S9/'Output-Calculation-sheet'!S8*'Output-Calculation-sheet'!S80</f>
        <v>1106425196.4051719</v>
      </c>
      <c r="T97" s="2">
        <f>T9/'Output-Calculation-sheet'!T8*'Output-Calculation-sheet'!T80</f>
        <v>833177084.8401078</v>
      </c>
      <c r="U97" s="2">
        <f>U9/'Output-Calculation-sheet'!U8*'Output-Calculation-sheet'!U80</f>
        <v>532644134.92244649</v>
      </c>
      <c r="V97" s="2">
        <f>V9/'Output-Calculation-sheet'!V8*'Output-Calculation-sheet'!V80</f>
        <v>279286841.17416865</v>
      </c>
      <c r="W97" s="2">
        <f>W9/'Output-Calculation-sheet'!W8*'Output-Calculation-sheet'!W80</f>
        <v>808820088.43809748</v>
      </c>
      <c r="X97" s="2">
        <f>X9/'Output-Calculation-sheet'!X8*'Output-Calculation-sheet'!X80</f>
        <v>290444464.13166571</v>
      </c>
      <c r="Y97" s="2">
        <f>Y9/'Output-Calculation-sheet'!Y8*'Output-Calculation-sheet'!Y80</f>
        <v>444579875.38001388</v>
      </c>
      <c r="AA97" s="2">
        <f t="shared" si="8"/>
        <v>85.489895490249708</v>
      </c>
    </row>
    <row r="98" spans="1:27" x14ac:dyDescent="0.25">
      <c r="A98" s="2">
        <v>2033</v>
      </c>
      <c r="B98" s="2">
        <f>B10/'Output-Calculation-sheet'!B9*'Output-Calculation-sheet'!B81</f>
        <v>27086833778.147697</v>
      </c>
      <c r="C98" s="2">
        <f>C10/'Output-Calculation-sheet'!C9*'Output-Calculation-sheet'!C81</f>
        <v>9286709820.1319351</v>
      </c>
      <c r="D98" s="2">
        <f>D10/'Output-Calculation-sheet'!D9*'Output-Calculation-sheet'!D81</f>
        <v>8838119244.6674671</v>
      </c>
      <c r="E98" s="2">
        <f>E10/'Output-Calculation-sheet'!E9*'Output-Calculation-sheet'!E81</f>
        <v>16625058391.261904</v>
      </c>
      <c r="F98" s="2">
        <f>F10/'Output-Calculation-sheet'!F9*'Output-Calculation-sheet'!F81</f>
        <v>6856575926.2179203</v>
      </c>
      <c r="G98" s="2">
        <f>G10/'Output-Calculation-sheet'!G9*'Output-Calculation-sheet'!G81</f>
        <v>5034307829.6305389</v>
      </c>
      <c r="H98" s="2">
        <f>H10/'Output-Calculation-sheet'!H9*'Output-Calculation-sheet'!H81</f>
        <v>4561124025.1784391</v>
      </c>
      <c r="I98" s="2">
        <f>I10/'Output-Calculation-sheet'!I9*'Output-Calculation-sheet'!I81</f>
        <v>3791640627.4904613</v>
      </c>
      <c r="J98" s="2">
        <f>J10/'Output-Calculation-sheet'!J9*'Output-Calculation-sheet'!J81</f>
        <v>2424470584.229496</v>
      </c>
      <c r="K98" s="2">
        <f>K10/'Output-Calculation-sheet'!K9*'Output-Calculation-sheet'!K81</f>
        <v>3521639670.4538755</v>
      </c>
      <c r="L98" s="2">
        <f>L10/'Output-Calculation-sheet'!L9*'Output-Calculation-sheet'!L81</f>
        <v>2641282467.771071</v>
      </c>
      <c r="M98" s="2">
        <f>M10/'Output-Calculation-sheet'!M9*'Output-Calculation-sheet'!M81</f>
        <v>3425212638.4451561</v>
      </c>
      <c r="N98" s="2">
        <f>N10/'Output-Calculation-sheet'!N9*'Output-Calculation-sheet'!N81</f>
        <v>2457322815.2342739</v>
      </c>
      <c r="O98" s="2">
        <f>O10/'Output-Calculation-sheet'!O9*'Output-Calculation-sheet'!O81</f>
        <v>1301291258.4892771</v>
      </c>
      <c r="P98" s="2">
        <f>P10/'Output-Calculation-sheet'!P9*'Output-Calculation-sheet'!P81</f>
        <v>4158549298.4804735</v>
      </c>
      <c r="Q98" s="2">
        <f>Q10/'Output-Calculation-sheet'!Q9*'Output-Calculation-sheet'!Q81</f>
        <v>1955244458.4715743</v>
      </c>
      <c r="R98" s="2">
        <f>R10/'Output-Calculation-sheet'!R9*'Output-Calculation-sheet'!R81</f>
        <v>2501053467.8367772</v>
      </c>
      <c r="S98" s="2">
        <f>S10/'Output-Calculation-sheet'!S9*'Output-Calculation-sheet'!S81</f>
        <v>1446054188.9584732</v>
      </c>
      <c r="T98" s="2">
        <f>T10/'Output-Calculation-sheet'!T9*'Output-Calculation-sheet'!T81</f>
        <v>1073031698.2941757</v>
      </c>
      <c r="U98" s="2">
        <f>U10/'Output-Calculation-sheet'!U9*'Output-Calculation-sheet'!U81</f>
        <v>698184015.89391994</v>
      </c>
      <c r="V98" s="2">
        <f>V10/'Output-Calculation-sheet'!V9*'Output-Calculation-sheet'!V81</f>
        <v>369770012.07313049</v>
      </c>
      <c r="W98" s="2">
        <f>W10/'Output-Calculation-sheet'!W9*'Output-Calculation-sheet'!W81</f>
        <v>1048425554.9957309</v>
      </c>
      <c r="X98" s="2">
        <f>X10/'Output-Calculation-sheet'!X9*'Output-Calculation-sheet'!X81</f>
        <v>385264671.06761038</v>
      </c>
      <c r="Y98" s="2">
        <f>Y10/'Output-Calculation-sheet'!Y9*'Output-Calculation-sheet'!Y81</f>
        <v>576489297.84451497</v>
      </c>
      <c r="AA98" s="2">
        <f t="shared" si="8"/>
        <v>112.06365574126589</v>
      </c>
    </row>
    <row r="99" spans="1:27" x14ac:dyDescent="0.25">
      <c r="A99" s="2">
        <v>2034</v>
      </c>
      <c r="B99" s="2">
        <f>B11/'Output-Calculation-sheet'!B10*'Output-Calculation-sheet'!B82</f>
        <v>34222377931.979671</v>
      </c>
      <c r="C99" s="2">
        <f>C11/'Output-Calculation-sheet'!C10*'Output-Calculation-sheet'!C82</f>
        <v>11808124454.781647</v>
      </c>
      <c r="D99" s="2">
        <f>D11/'Output-Calculation-sheet'!D10*'Output-Calculation-sheet'!D82</f>
        <v>10742071816.199043</v>
      </c>
      <c r="E99" s="2">
        <f>E11/'Output-Calculation-sheet'!E10*'Output-Calculation-sheet'!E82</f>
        <v>20779595967.544029</v>
      </c>
      <c r="F99" s="2">
        <f>F11/'Output-Calculation-sheet'!F10*'Output-Calculation-sheet'!F82</f>
        <v>8558050811.5349283</v>
      </c>
      <c r="G99" s="2">
        <f>G11/'Output-Calculation-sheet'!G10*'Output-Calculation-sheet'!G82</f>
        <v>6084165133.5813475</v>
      </c>
      <c r="H99" s="2">
        <f>H11/'Output-Calculation-sheet'!H10*'Output-Calculation-sheet'!H82</f>
        <v>5686756953.8307762</v>
      </c>
      <c r="I99" s="2">
        <f>I11/'Output-Calculation-sheet'!I10*'Output-Calculation-sheet'!I82</f>
        <v>4776479946.7461958</v>
      </c>
      <c r="J99" s="2">
        <f>J11/'Output-Calculation-sheet'!J10*'Output-Calculation-sheet'!J82</f>
        <v>2972401644.0525069</v>
      </c>
      <c r="K99" s="2">
        <f>K11/'Output-Calculation-sheet'!K10*'Output-Calculation-sheet'!K82</f>
        <v>4349013664.0846596</v>
      </c>
      <c r="L99" s="2">
        <f>L11/'Output-Calculation-sheet'!L10*'Output-Calculation-sheet'!L82</f>
        <v>3357756589.3747258</v>
      </c>
      <c r="M99" s="2">
        <f>M11/'Output-Calculation-sheet'!M10*'Output-Calculation-sheet'!M82</f>
        <v>4283728607.2750869</v>
      </c>
      <c r="N99" s="2">
        <f>N11/'Output-Calculation-sheet'!N10*'Output-Calculation-sheet'!N82</f>
        <v>3017890806.4329062</v>
      </c>
      <c r="O99" s="2">
        <f>O11/'Output-Calculation-sheet'!O10*'Output-Calculation-sheet'!O82</f>
        <v>1636150061.8646338</v>
      </c>
      <c r="P99" s="2">
        <f>P11/'Output-Calculation-sheet'!P10*'Output-Calculation-sheet'!P82</f>
        <v>5100250397.8721189</v>
      </c>
      <c r="Q99" s="2">
        <f>Q11/'Output-Calculation-sheet'!Q10*'Output-Calculation-sheet'!Q82</f>
        <v>2413758990.7640195</v>
      </c>
      <c r="R99" s="2">
        <f>R11/'Output-Calculation-sheet'!R10*'Output-Calculation-sheet'!R82</f>
        <v>3124599850.8602304</v>
      </c>
      <c r="S99" s="2">
        <f>S11/'Output-Calculation-sheet'!S10*'Output-Calculation-sheet'!S82</f>
        <v>1799856866.9756751</v>
      </c>
      <c r="T99" s="2">
        <f>T11/'Output-Calculation-sheet'!T10*'Output-Calculation-sheet'!T82</f>
        <v>1315484941.7523463</v>
      </c>
      <c r="U99" s="2">
        <f>U11/'Output-Calculation-sheet'!U10*'Output-Calculation-sheet'!U82</f>
        <v>871140646.57846761</v>
      </c>
      <c r="V99" s="2">
        <f>V11/'Output-Calculation-sheet'!V10*'Output-Calculation-sheet'!V82</f>
        <v>465788042.85220855</v>
      </c>
      <c r="W99" s="2">
        <f>W11/'Output-Calculation-sheet'!W10*'Output-Calculation-sheet'!W82</f>
        <v>1291646550.9130182</v>
      </c>
      <c r="X99" s="2">
        <f>X11/'Output-Calculation-sheet'!X10*'Output-Calculation-sheet'!X82</f>
        <v>486469651.52589881</v>
      </c>
      <c r="Y99" s="2">
        <f>Y11/'Output-Calculation-sheet'!Y10*'Output-Calculation-sheet'!Y82</f>
        <v>710815265.79820585</v>
      </c>
      <c r="AA99" s="2">
        <f t="shared" si="8"/>
        <v>139.85437559517439</v>
      </c>
    </row>
    <row r="100" spans="1:27" x14ac:dyDescent="0.25">
      <c r="A100" s="2">
        <v>2035</v>
      </c>
      <c r="B100" s="2">
        <f>B12/'Output-Calculation-sheet'!B11*'Output-Calculation-sheet'!B83</f>
        <v>41805212636.784622</v>
      </c>
      <c r="C100" s="2">
        <f>C12/'Output-Calculation-sheet'!C11*'Output-Calculation-sheet'!C83</f>
        <v>14514090811.749069</v>
      </c>
      <c r="D100" s="2">
        <f>D12/'Output-Calculation-sheet'!D11*'Output-Calculation-sheet'!D83</f>
        <v>12632655023.938482</v>
      </c>
      <c r="E100" s="2">
        <f>E12/'Output-Calculation-sheet'!E11*'Output-Calculation-sheet'!E83</f>
        <v>25123091253.164803</v>
      </c>
      <c r="F100" s="2">
        <f>F12/'Output-Calculation-sheet'!F11*'Output-Calculation-sheet'!F83</f>
        <v>10334638011.476898</v>
      </c>
      <c r="G100" s="2">
        <f>G12/'Output-Calculation-sheet'!G11*'Output-Calculation-sheet'!G83</f>
        <v>7101908662.3446827</v>
      </c>
      <c r="H100" s="2">
        <f>H12/'Output-Calculation-sheet'!H11*'Output-Calculation-sheet'!H83</f>
        <v>6859913027.6330023</v>
      </c>
      <c r="I100" s="2">
        <f>I12/'Output-Calculation-sheet'!I11*'Output-Calculation-sheet'!I83</f>
        <v>5820500709.4278641</v>
      </c>
      <c r="J100" s="2">
        <f>J12/'Output-Calculation-sheet'!J11*'Output-Calculation-sheet'!J83</f>
        <v>3527473947.1834335</v>
      </c>
      <c r="K100" s="2">
        <f>K12/'Output-Calculation-sheet'!K11*'Output-Calculation-sheet'!K83</f>
        <v>5197471681.0348101</v>
      </c>
      <c r="L100" s="2">
        <f>L12/'Output-Calculation-sheet'!L11*'Output-Calculation-sheet'!L83</f>
        <v>4126496157.9888391</v>
      </c>
      <c r="M100" s="2">
        <f>M12/'Output-Calculation-sheet'!M11*'Output-Calculation-sheet'!M83</f>
        <v>5183793571.6383982</v>
      </c>
      <c r="N100" s="2">
        <f>N12/'Output-Calculation-sheet'!N11*'Output-Calculation-sheet'!N83</f>
        <v>3586775722.765624</v>
      </c>
      <c r="O100" s="2">
        <f>O12/'Output-Calculation-sheet'!O11*'Output-Calculation-sheet'!O83</f>
        <v>1990888269.9181879</v>
      </c>
      <c r="P100" s="2">
        <f>P12/'Output-Calculation-sheet'!P11*'Output-Calculation-sheet'!P83</f>
        <v>6046469139.1313572</v>
      </c>
      <c r="Q100" s="2">
        <f>Q12/'Output-Calculation-sheet'!Q11*'Output-Calculation-sheet'!Q83</f>
        <v>2884193497.2866073</v>
      </c>
      <c r="R100" s="2">
        <f>R12/'Output-Calculation-sheet'!R11*'Output-Calculation-sheet'!R83</f>
        <v>3776690631.0453429</v>
      </c>
      <c r="S100" s="2">
        <f>S12/'Output-Calculation-sheet'!S11*'Output-Calculation-sheet'!S83</f>
        <v>2167626379.1275153</v>
      </c>
      <c r="T100" s="2">
        <f>T12/'Output-Calculation-sheet'!T11*'Output-Calculation-sheet'!T83</f>
        <v>1559939963.4115231</v>
      </c>
      <c r="U100" s="2">
        <f>U12/'Output-Calculation-sheet'!U11*'Output-Calculation-sheet'!U83</f>
        <v>1051222912.4034314</v>
      </c>
      <c r="V100" s="2">
        <f>V12/'Output-Calculation-sheet'!V11*'Output-Calculation-sheet'!V83</f>
        <v>567195838.83346474</v>
      </c>
      <c r="W100" s="2">
        <f>W12/'Output-Calculation-sheet'!W11*'Output-Calculation-sheet'!W83</f>
        <v>1536672871.858057</v>
      </c>
      <c r="X100" s="2">
        <f>X12/'Output-Calculation-sheet'!X11*'Output-Calculation-sheet'!X83</f>
        <v>594092328.48540819</v>
      </c>
      <c r="Y100" s="2">
        <f>Y12/'Output-Calculation-sheet'!Y11*'Output-Calculation-sheet'!Y83</f>
        <v>846798475.92154646</v>
      </c>
      <c r="AA100" s="2">
        <f t="shared" si="8"/>
        <v>168.83581152455298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1665572967.2367306</v>
      </c>
      <c r="C107" s="2">
        <f>C8/'Output-Calculation-sheet'!C7*'Output-Calculation-sheet'!C88</f>
        <v>27430189890.968868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8558329277.6069946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5904556675.2622757</v>
      </c>
      <c r="N107" s="2">
        <f>N8/'Output-Calculation-sheet'!N7*'Output-Calculation-sheet'!N88</f>
        <v>1794019180.6566815</v>
      </c>
      <c r="O107" s="2">
        <f>O8/'Output-Calculation-sheet'!O7*'Output-Calculation-sheet'!O88</f>
        <v>5329710938.8352585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592198427.01425421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639465377.74312174</v>
      </c>
      <c r="Y107" s="2">
        <f>Y8/'Output-Calculation-sheet'!Y7*'Output-Calculation-sheet'!Y88</f>
        <v>0</v>
      </c>
      <c r="AA107" s="2">
        <f t="shared" si="9"/>
        <v>51914.042735324183</v>
      </c>
    </row>
    <row r="108" spans="1:27" x14ac:dyDescent="0.25">
      <c r="A108" s="2">
        <v>2032</v>
      </c>
      <c r="B108" s="2">
        <f>B9/'Output-Calculation-sheet'!B8*'Output-Calculation-sheet'!B89</f>
        <v>7847114528.2792015</v>
      </c>
      <c r="C108" s="2">
        <f>C9/'Output-Calculation-sheet'!C8*'Output-Calculation-sheet'!C89</f>
        <v>39336977417.973747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12272865235.774914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8467209849.0340624</v>
      </c>
      <c r="N108" s="2">
        <f>N9/'Output-Calculation-sheet'!N8*'Output-Calculation-sheet'!N89</f>
        <v>3990106768.9407225</v>
      </c>
      <c r="O108" s="2">
        <f>O9/'Output-Calculation-sheet'!O8*'Output-Calculation-sheet'!O89</f>
        <v>7643208171.0722246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1199171357.2649679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917024135.97605932</v>
      </c>
      <c r="Y108" s="2">
        <f>Y9/'Output-Calculation-sheet'!Y8*'Output-Calculation-sheet'!Y89</f>
        <v>0</v>
      </c>
      <c r="AA108" s="2">
        <f t="shared" si="9"/>
        <v>81673.677464315901</v>
      </c>
    </row>
    <row r="109" spans="1:27" x14ac:dyDescent="0.25">
      <c r="A109" s="2">
        <v>2033</v>
      </c>
      <c r="B109" s="2">
        <f>B10/'Output-Calculation-sheet'!B9*'Output-Calculation-sheet'!B90</f>
        <v>22187852797.647579</v>
      </c>
      <c r="C109" s="2">
        <f>C10/'Output-Calculation-sheet'!C9*'Output-Calculation-sheet'!C90</f>
        <v>48967098722.155609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16302007563.231153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11246968561.754423</v>
      </c>
      <c r="N109" s="2">
        <f>N10/'Output-Calculation-sheet'!N9*'Output-Calculation-sheet'!N90</f>
        <v>6623836194.8542738</v>
      </c>
      <c r="O109" s="2">
        <f>O10/'Output-Calculation-sheet'!O9*'Output-Calculation-sheet'!O90</f>
        <v>8983898736.2654514</v>
      </c>
      <c r="P109" s="2">
        <f>P10/'Output-Calculation-sheet'!P9*'Output-Calculation-sheet'!P90</f>
        <v>0</v>
      </c>
      <c r="Q109" s="2">
        <f>Q10/'Output-Calculation-sheet'!Q9*'Output-Calculation-sheet'!Q90</f>
        <v>215690265.96020848</v>
      </c>
      <c r="R109" s="2">
        <f>R10/'Output-Calculation-sheet'!R9*'Output-Calculation-sheet'!R90</f>
        <v>0</v>
      </c>
      <c r="S109" s="2">
        <f>S10/'Output-Calculation-sheet'!S9*'Output-Calculation-sheet'!S90</f>
        <v>2673373040.5994587</v>
      </c>
      <c r="T109" s="2">
        <f>T10/'Output-Calculation-sheet'!T9*'Output-Calculation-sheet'!T90</f>
        <v>2.0379856692546158E-7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1218080723.4164708</v>
      </c>
      <c r="Y109" s="2">
        <f>Y10/'Output-Calculation-sheet'!Y9*'Output-Calculation-sheet'!Y90</f>
        <v>0</v>
      </c>
      <c r="AA109" s="2">
        <f t="shared" si="9"/>
        <v>118418.80660588465</v>
      </c>
    </row>
    <row r="110" spans="1:27" x14ac:dyDescent="0.25">
      <c r="A110" s="2">
        <v>2034</v>
      </c>
      <c r="B110" s="2">
        <f>B11/'Output-Calculation-sheet'!B10*'Output-Calculation-sheet'!B91</f>
        <v>55164482373.635094</v>
      </c>
      <c r="C110" s="2">
        <f>C11/'Output-Calculation-sheet'!C10*'Output-Calculation-sheet'!C91</f>
        <v>55782573699.332352</v>
      </c>
      <c r="D110" s="2">
        <f>D11/'Output-Calculation-sheet'!D10*'Output-Calculation-sheet'!D91</f>
        <v>0</v>
      </c>
      <c r="E110" s="2">
        <f>E11/'Output-Calculation-sheet'!E10*'Output-Calculation-sheet'!E91</f>
        <v>1125324913.8351169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20603913096.276318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936448224.11620545</v>
      </c>
      <c r="M110" s="2">
        <f>M11/'Output-Calculation-sheet'!M10*'Output-Calculation-sheet'!M91</f>
        <v>14214907167.072985</v>
      </c>
      <c r="N110" s="2">
        <f>N11/'Output-Calculation-sheet'!N10*'Output-Calculation-sheet'!N91</f>
        <v>9831741373.7425842</v>
      </c>
      <c r="O110" s="2">
        <f>O11/'Output-Calculation-sheet'!O10*'Output-Calculation-sheet'!O91</f>
        <v>10208358111.781555</v>
      </c>
      <c r="P110" s="2">
        <f>P11/'Output-Calculation-sheet'!P10*'Output-Calculation-sheet'!P91</f>
        <v>0</v>
      </c>
      <c r="Q110" s="2">
        <f>Q11/'Output-Calculation-sheet'!Q10*'Output-Calculation-sheet'!Q91</f>
        <v>2501868011.1520109</v>
      </c>
      <c r="R110" s="2">
        <f>R11/'Output-Calculation-sheet'!R10*'Output-Calculation-sheet'!R91</f>
        <v>0</v>
      </c>
      <c r="S110" s="2">
        <f>S11/'Output-Calculation-sheet'!S10*'Output-Calculation-sheet'!S91</f>
        <v>4834901982.5414801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1408318247.9388618</v>
      </c>
      <c r="Y110" s="2">
        <f>Y11/'Output-Calculation-sheet'!Y10*'Output-Calculation-sheet'!Y91</f>
        <v>61629232.917173706</v>
      </c>
      <c r="AA110" s="2">
        <f t="shared" si="9"/>
        <v>176674.46643434174</v>
      </c>
    </row>
    <row r="111" spans="1:27" x14ac:dyDescent="0.25">
      <c r="A111" s="2">
        <v>2035</v>
      </c>
      <c r="B111" s="2">
        <f>B12/'Output-Calculation-sheet'!B11*'Output-Calculation-sheet'!B92</f>
        <v>74936283971.66333</v>
      </c>
      <c r="C111" s="2">
        <f>C12/'Output-Calculation-sheet'!C11*'Output-Calculation-sheet'!C92</f>
        <v>62671302894.753998</v>
      </c>
      <c r="D111" s="2">
        <f>D12/'Output-Calculation-sheet'!D11*'Output-Calculation-sheet'!D92</f>
        <v>0</v>
      </c>
      <c r="E111" s="2">
        <f>E12/'Output-Calculation-sheet'!E11*'Output-Calculation-sheet'!E92</f>
        <v>8341465032.764226</v>
      </c>
      <c r="F111" s="2">
        <f>F12/'Output-Calculation-sheet'!F11*'Output-Calculation-sheet'!F92</f>
        <v>0</v>
      </c>
      <c r="G111" s="2">
        <f>G12/'Output-Calculation-sheet'!G11*'Output-Calculation-sheet'!G92</f>
        <v>-9.0694077013828822E-7</v>
      </c>
      <c r="H111" s="2">
        <f>H12/'Output-Calculation-sheet'!H11*'Output-Calculation-sheet'!H92</f>
        <v>23197229945.947357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2752644415.6633735</v>
      </c>
      <c r="M111" s="2">
        <f>M12/'Output-Calculation-sheet'!M11*'Output-Calculation-sheet'!M92</f>
        <v>16368554548.378141</v>
      </c>
      <c r="N111" s="2">
        <f>N12/'Output-Calculation-sheet'!N11*'Output-Calculation-sheet'!N92</f>
        <v>11805331613.316811</v>
      </c>
      <c r="O111" s="2">
        <f>O12/'Output-Calculation-sheet'!O11*'Output-Calculation-sheet'!O92</f>
        <v>11386653818.639444</v>
      </c>
      <c r="P111" s="2">
        <f>P12/'Output-Calculation-sheet'!P11*'Output-Calculation-sheet'!P92</f>
        <v>572648842.18048048</v>
      </c>
      <c r="Q111" s="2">
        <f>Q12/'Output-Calculation-sheet'!Q11*'Output-Calculation-sheet'!Q92</f>
        <v>3938508735.7502542</v>
      </c>
      <c r="R111" s="2">
        <f>R12/'Output-Calculation-sheet'!R11*'Output-Calculation-sheet'!R92</f>
        <v>0</v>
      </c>
      <c r="S111" s="2">
        <f>S12/'Output-Calculation-sheet'!S11*'Output-Calculation-sheet'!S92</f>
        <v>6042605951.8441229</v>
      </c>
      <c r="T111" s="2">
        <f>T12/'Output-Calculation-sheet'!T11*'Output-Calculation-sheet'!T92</f>
        <v>0</v>
      </c>
      <c r="U111" s="2">
        <f>U12/'Output-Calculation-sheet'!U11*'Output-Calculation-sheet'!U92</f>
        <v>114259047.77955085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1615228006.9007421</v>
      </c>
      <c r="Y111" s="2">
        <f>Y12/'Output-Calculation-sheet'!Y11*'Output-Calculation-sheet'!Y92</f>
        <v>389136466.55887496</v>
      </c>
      <c r="AA111" s="2">
        <f t="shared" si="9"/>
        <v>224131.85329214064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56554976654.52269</v>
      </c>
      <c r="C118" s="2">
        <f>C8/'Output-Calculation-sheet'!C7*'Output-Calculation-sheet'!C97</f>
        <v>0</v>
      </c>
      <c r="D118" s="2">
        <f>D8/'Output-Calculation-sheet'!D7*'Output-Calculation-sheet'!D97</f>
        <v>24453301712.0415</v>
      </c>
      <c r="E118" s="2">
        <f>E8/'Output-Calculation-sheet'!E7*'Output-Calculation-sheet'!E97</f>
        <v>19401213465.735241</v>
      </c>
      <c r="F118" s="2">
        <f>F8/'Output-Calculation-sheet'!F7*'Output-Calculation-sheet'!F97</f>
        <v>12489257313.699242</v>
      </c>
      <c r="G118" s="2">
        <f>G8/'Output-Calculation-sheet'!G7*'Output-Calculation-sheet'!G97</f>
        <v>8775294947.020607</v>
      </c>
      <c r="H118" s="2">
        <f>H8/'Output-Calculation-sheet'!H7*'Output-Calculation-sheet'!H97</f>
        <v>0</v>
      </c>
      <c r="I118" s="2">
        <f>I8/'Output-Calculation-sheet'!I7*'Output-Calculation-sheet'!I97</f>
        <v>7994984463.3933926</v>
      </c>
      <c r="J118" s="2">
        <f>J8/'Output-Calculation-sheet'!J7*'Output-Calculation-sheet'!J97</f>
        <v>7781767215.6882114</v>
      </c>
      <c r="K118" s="2">
        <f>K8/'Output-Calculation-sheet'!K7*'Output-Calculation-sheet'!K97</f>
        <v>7707163507.2928209</v>
      </c>
      <c r="L118" s="2">
        <f>L8/'Output-Calculation-sheet'!L7*'Output-Calculation-sheet'!L97</f>
        <v>6182786780.0361214</v>
      </c>
      <c r="M118" s="2">
        <f>M8/'Output-Calculation-sheet'!M7*'Output-Calculation-sheet'!M97</f>
        <v>0</v>
      </c>
      <c r="N118" s="2">
        <f>N8/'Output-Calculation-sheet'!N7*'Output-Calculation-sheet'!N97</f>
        <v>4002293235.8639231</v>
      </c>
      <c r="O118" s="2">
        <f>O8/'Output-Calculation-sheet'!O7*'Output-Calculation-sheet'!O97</f>
        <v>0</v>
      </c>
      <c r="P118" s="2">
        <f>P8/'Output-Calculation-sheet'!P7*'Output-Calculation-sheet'!P97</f>
        <v>5276689745.8396435</v>
      </c>
      <c r="Q118" s="2">
        <f>Q8/'Output-Calculation-sheet'!Q7*'Output-Calculation-sheet'!Q97</f>
        <v>5191408927.5708923</v>
      </c>
      <c r="R118" s="2">
        <f>R8/'Output-Calculation-sheet'!R7*'Output-Calculation-sheet'!R97</f>
        <v>4994374142.6479139</v>
      </c>
      <c r="S118" s="2">
        <f>S8/'Output-Calculation-sheet'!S7*'Output-Calculation-sheet'!S97</f>
        <v>2727318864.6706386</v>
      </c>
      <c r="T118" s="2">
        <f>T8/'Output-Calculation-sheet'!T7*'Output-Calculation-sheet'!T97</f>
        <v>1835889348.3269577</v>
      </c>
      <c r="U118" s="2">
        <f>U8/'Output-Calculation-sheet'!U7*'Output-Calculation-sheet'!U97</f>
        <v>1598996578.7249329</v>
      </c>
      <c r="V118" s="2">
        <f>V8/'Output-Calculation-sheet'!V7*'Output-Calculation-sheet'!V97</f>
        <v>1231259829.3872526</v>
      </c>
      <c r="W118" s="2">
        <f>W8/'Output-Calculation-sheet'!W7*'Output-Calculation-sheet'!W97</f>
        <v>1065997718.8234779</v>
      </c>
      <c r="X118" s="2">
        <f>X8/'Output-Calculation-sheet'!X7*'Output-Calculation-sheet'!X97</f>
        <v>0</v>
      </c>
      <c r="Y118" s="2">
        <f>Y8/'Output-Calculation-sheet'!Y7*'Output-Calculation-sheet'!Y97</f>
        <v>622003516.23579383</v>
      </c>
      <c r="AA118" s="2">
        <f t="shared" si="10"/>
        <v>179886.97796752123</v>
      </c>
    </row>
    <row r="119" spans="1:27" x14ac:dyDescent="0.25">
      <c r="A119" s="2">
        <v>2032</v>
      </c>
      <c r="B119" s="2">
        <f>B9/'Output-Calculation-sheet'!B8*'Output-Calculation-sheet'!B98</f>
        <v>75641750404.685486</v>
      </c>
      <c r="C119" s="2">
        <f>C9/'Output-Calculation-sheet'!C8*'Output-Calculation-sheet'!C98</f>
        <v>0</v>
      </c>
      <c r="D119" s="2">
        <f>D9/'Output-Calculation-sheet'!D8*'Output-Calculation-sheet'!D98</f>
        <v>35066287957.821266</v>
      </c>
      <c r="E119" s="2">
        <f>E9/'Output-Calculation-sheet'!E8*'Output-Calculation-sheet'!E98</f>
        <v>27821534548.129963</v>
      </c>
      <c r="F119" s="2">
        <f>F9/'Output-Calculation-sheet'!F8*'Output-Calculation-sheet'!F98</f>
        <v>17909725699.680504</v>
      </c>
      <c r="G119" s="2">
        <f>G9/'Output-Calculation-sheet'!G8*'Output-Calculation-sheet'!G98</f>
        <v>12583864837.006424</v>
      </c>
      <c r="H119" s="2">
        <f>H9/'Output-Calculation-sheet'!H8*'Output-Calculation-sheet'!H98</f>
        <v>1.6833499937879732E-6</v>
      </c>
      <c r="I119" s="2">
        <f>I9/'Output-Calculation-sheet'!I8*'Output-Calculation-sheet'!I98</f>
        <v>11464892294.669052</v>
      </c>
      <c r="J119" s="2">
        <f>J9/'Output-Calculation-sheet'!J8*'Output-Calculation-sheet'!J98</f>
        <v>11159132172.867781</v>
      </c>
      <c r="K119" s="2">
        <f>K9/'Output-Calculation-sheet'!K8*'Output-Calculation-sheet'!K98</f>
        <v>11052151441.179342</v>
      </c>
      <c r="L119" s="2">
        <f>L9/'Output-Calculation-sheet'!L8*'Output-Calculation-sheet'!L98</f>
        <v>8866181668.2719479</v>
      </c>
      <c r="M119" s="2">
        <f>M9/'Output-Calculation-sheet'!M8*'Output-Calculation-sheet'!M98</f>
        <v>0</v>
      </c>
      <c r="N119" s="2">
        <f>N9/'Output-Calculation-sheet'!N8*'Output-Calculation-sheet'!N98</f>
        <v>4321169851.3209219</v>
      </c>
      <c r="O119" s="2">
        <f>O9/'Output-Calculation-sheet'!O8*'Output-Calculation-sheet'!O98</f>
        <v>0</v>
      </c>
      <c r="P119" s="2">
        <f>P9/'Output-Calculation-sheet'!P8*'Output-Calculation-sheet'!P98</f>
        <v>7566777767.4390755</v>
      </c>
      <c r="Q119" s="2">
        <f>Q9/'Output-Calculation-sheet'!Q8*'Output-Calculation-sheet'!Q98</f>
        <v>7444534160.5126448</v>
      </c>
      <c r="R119" s="2">
        <f>R9/'Output-Calculation-sheet'!R8*'Output-Calculation-sheet'!R98</f>
        <v>7161984815.0467253</v>
      </c>
      <c r="S119" s="2">
        <f>S9/'Output-Calculation-sheet'!S8*'Output-Calculation-sheet'!S98</f>
        <v>3560795907.4200077</v>
      </c>
      <c r="T119" s="2">
        <f>T9/'Output-Calculation-sheet'!T8*'Output-Calculation-sheet'!T98</f>
        <v>2632683929.9251475</v>
      </c>
      <c r="U119" s="2">
        <f>U9/'Output-Calculation-sheet'!U8*'Output-Calculation-sheet'!U98</f>
        <v>2292978198.4067574</v>
      </c>
      <c r="V119" s="2">
        <f>V9/'Output-Calculation-sheet'!V8*'Output-Calculation-sheet'!V98</f>
        <v>1765639072.6263969</v>
      </c>
      <c r="W119" s="2">
        <f>W9/'Output-Calculation-sheet'!W8*'Output-Calculation-sheet'!W98</f>
        <v>1528651892.0639939</v>
      </c>
      <c r="X119" s="2">
        <f>X9/'Output-Calculation-sheet'!X8*'Output-Calculation-sheet'!X98</f>
        <v>0</v>
      </c>
      <c r="Y119" s="2">
        <f>Y9/'Output-Calculation-sheet'!Y8*'Output-Calculation-sheet'!Y98</f>
        <v>891959207.49399126</v>
      </c>
      <c r="AA119" s="2">
        <f t="shared" si="10"/>
        <v>250732.69582656748</v>
      </c>
    </row>
    <row r="120" spans="1:27" x14ac:dyDescent="0.25">
      <c r="A120" s="2">
        <v>2033</v>
      </c>
      <c r="B120" s="2">
        <f>B10/'Output-Calculation-sheet'!B9*'Output-Calculation-sheet'!B99</f>
        <v>88700080950.457169</v>
      </c>
      <c r="C120" s="2">
        <f>C10/'Output-Calculation-sheet'!C9*'Output-Calculation-sheet'!C99</f>
        <v>0</v>
      </c>
      <c r="D120" s="2">
        <f>D10/'Output-Calculation-sheet'!D9*'Output-Calculation-sheet'!D99</f>
        <v>46577042516.001038</v>
      </c>
      <c r="E120" s="2">
        <f>E10/'Output-Calculation-sheet'!E9*'Output-Calculation-sheet'!E99</f>
        <v>36954151932.766426</v>
      </c>
      <c r="F120" s="2">
        <f>F10/'Output-Calculation-sheet'!F9*'Output-Calculation-sheet'!F99</f>
        <v>23788713686.026421</v>
      </c>
      <c r="G120" s="2">
        <f>G10/'Output-Calculation-sheet'!G9*'Output-Calculation-sheet'!G99</f>
        <v>16714603099.427715</v>
      </c>
      <c r="H120" s="2">
        <f>H10/'Output-Calculation-sheet'!H9*'Output-Calculation-sheet'!H99</f>
        <v>0</v>
      </c>
      <c r="I120" s="2">
        <f>I10/'Output-Calculation-sheet'!I9*'Output-Calculation-sheet'!I99</f>
        <v>15228321108.258501</v>
      </c>
      <c r="J120" s="2">
        <f>J10/'Output-Calculation-sheet'!J9*'Output-Calculation-sheet'!J99</f>
        <v>14822193122.869463</v>
      </c>
      <c r="K120" s="2">
        <f>K10/'Output-Calculation-sheet'!K9*'Output-Calculation-sheet'!K99</f>
        <v>14680443150.760107</v>
      </c>
      <c r="L120" s="2">
        <f>L10/'Output-Calculation-sheet'!L9*'Output-Calculation-sheet'!L99</f>
        <v>11776566044.54587</v>
      </c>
      <c r="M120" s="2">
        <f>M10/'Output-Calculation-sheet'!M9*'Output-Calculation-sheet'!M99</f>
        <v>0</v>
      </c>
      <c r="N120" s="2">
        <f>N10/'Output-Calculation-sheet'!N9*'Output-Calculation-sheet'!N99</f>
        <v>4415026567.5582523</v>
      </c>
      <c r="O120" s="2">
        <f>O10/'Output-Calculation-sheet'!O9*'Output-Calculation-sheet'!O99</f>
        <v>0</v>
      </c>
      <c r="P120" s="2">
        <f>P10/'Output-Calculation-sheet'!P9*'Output-Calculation-sheet'!P99</f>
        <v>10050096456.49291</v>
      </c>
      <c r="Q120" s="2">
        <f>Q10/'Output-Calculation-sheet'!Q9*'Output-Calculation-sheet'!Q99</f>
        <v>9672466636.5595264</v>
      </c>
      <c r="R120" s="2">
        <f>R10/'Output-Calculation-sheet'!R9*'Output-Calculation-sheet'!R99</f>
        <v>9512508417.4973717</v>
      </c>
      <c r="S120" s="2">
        <f>S10/'Output-Calculation-sheet'!S9*'Output-Calculation-sheet'!S99</f>
        <v>3648664387.5542126</v>
      </c>
      <c r="T120" s="2">
        <f>T10/'Output-Calculation-sheet'!T9*'Output-Calculation-sheet'!T99</f>
        <v>3496850242.3591032</v>
      </c>
      <c r="U120" s="2">
        <f>U10/'Output-Calculation-sheet'!U9*'Output-Calculation-sheet'!U99</f>
        <v>3046317840.9816537</v>
      </c>
      <c r="V120" s="2">
        <f>V10/'Output-Calculation-sheet'!V9*'Output-Calculation-sheet'!V99</f>
        <v>2345222216.1346664</v>
      </c>
      <c r="W120" s="2">
        <f>W10/'Output-Calculation-sheet'!W9*'Output-Calculation-sheet'!W99</f>
        <v>2030442686.4762449</v>
      </c>
      <c r="X120" s="2">
        <f>X10/'Output-Calculation-sheet'!X9*'Output-Calculation-sheet'!X99</f>
        <v>0</v>
      </c>
      <c r="Y120" s="2">
        <f>Y10/'Output-Calculation-sheet'!Y9*'Output-Calculation-sheet'!Y99</f>
        <v>1184752660.1700234</v>
      </c>
      <c r="AA120" s="2">
        <f t="shared" si="10"/>
        <v>318644.46372289665</v>
      </c>
    </row>
    <row r="121" spans="1:27" x14ac:dyDescent="0.25">
      <c r="A121" s="2">
        <v>2034</v>
      </c>
      <c r="B121" s="2">
        <f>B11/'Output-Calculation-sheet'!B10*'Output-Calculation-sheet'!B100</f>
        <v>84973236399.557587</v>
      </c>
      <c r="C121" s="2">
        <f>C11/'Output-Calculation-sheet'!C10*'Output-Calculation-sheet'!C100</f>
        <v>0</v>
      </c>
      <c r="D121" s="2">
        <f>D11/'Output-Calculation-sheet'!D10*'Output-Calculation-sheet'!D100</f>
        <v>58866896177.636398</v>
      </c>
      <c r="E121" s="2">
        <f>E11/'Output-Calculation-sheet'!E10*'Output-Calculation-sheet'!E100</f>
        <v>45577607186.585396</v>
      </c>
      <c r="F121" s="2">
        <f>F11/'Output-Calculation-sheet'!F10*'Output-Calculation-sheet'!F100</f>
        <v>30065459689.927254</v>
      </c>
      <c r="G121" s="2">
        <f>G11/'Output-Calculation-sheet'!G10*'Output-Calculation-sheet'!G100</f>
        <v>21123786425.039219</v>
      </c>
      <c r="H121" s="2">
        <f>H11/'Output-Calculation-sheet'!H10*'Output-Calculation-sheet'!H100</f>
        <v>0</v>
      </c>
      <c r="I121" s="2">
        <f>I11/'Output-Calculation-sheet'!I10*'Output-Calculation-sheet'!I100</f>
        <v>19245792390.67511</v>
      </c>
      <c r="J121" s="2">
        <f>J11/'Output-Calculation-sheet'!J10*'Output-Calculation-sheet'!J100</f>
        <v>18732728492.235485</v>
      </c>
      <c r="K121" s="2">
        <f>K11/'Output-Calculation-sheet'!K10*'Output-Calculation-sheet'!K100</f>
        <v>18553605833.481415</v>
      </c>
      <c r="L121" s="2">
        <f>L11/'Output-Calculation-sheet'!L10*'Output-Calculation-sheet'!L100</f>
        <v>13947058818.136616</v>
      </c>
      <c r="M121" s="2">
        <f>M11/'Output-Calculation-sheet'!M10*'Output-Calculation-sheet'!M100</f>
        <v>9.5202513224026053E-7</v>
      </c>
      <c r="N121" s="2">
        <f>N11/'Output-Calculation-sheet'!N10*'Output-Calculation-sheet'!N100</f>
        <v>4120145348.2577863</v>
      </c>
      <c r="O121" s="2">
        <f>O11/'Output-Calculation-sheet'!O10*'Output-Calculation-sheet'!O100</f>
        <v>0</v>
      </c>
      <c r="P121" s="2">
        <f>P11/'Output-Calculation-sheet'!P10*'Output-Calculation-sheet'!P100</f>
        <v>12701399172.993574</v>
      </c>
      <c r="Q121" s="2">
        <f>Q11/'Output-Calculation-sheet'!Q10*'Output-Calculation-sheet'!Q100</f>
        <v>9994362787.6602135</v>
      </c>
      <c r="R121" s="2">
        <f>R11/'Output-Calculation-sheet'!R10*'Output-Calculation-sheet'!R100</f>
        <v>12021960781.149881</v>
      </c>
      <c r="S121" s="2">
        <f>S11/'Output-Calculation-sheet'!S10*'Output-Calculation-sheet'!S100</f>
        <v>3155207498.7495546</v>
      </c>
      <c r="T121" s="2">
        <f>T11/'Output-Calculation-sheet'!T10*'Output-Calculation-sheet'!T100</f>
        <v>4419270731.2009821</v>
      </c>
      <c r="U121" s="2">
        <f>U11/'Output-Calculation-sheet'!U10*'Output-Calculation-sheet'!U100</f>
        <v>3851368831.2643867</v>
      </c>
      <c r="V121" s="2">
        <f>V11/'Output-Calculation-sheet'!V10*'Output-Calculation-sheet'!V100</f>
        <v>2964867307.437799</v>
      </c>
      <c r="W121" s="2">
        <f>W11/'Output-Calculation-sheet'!W10*'Output-Calculation-sheet'!W100</f>
        <v>2566273051.4844799</v>
      </c>
      <c r="X121" s="2">
        <f>X11/'Output-Calculation-sheet'!X10*'Output-Calculation-sheet'!X100</f>
        <v>113925871.31677337</v>
      </c>
      <c r="Y121" s="2">
        <f>Y11/'Output-Calculation-sheet'!Y10*'Output-Calculation-sheet'!Y100</f>
        <v>1435706114.3665779</v>
      </c>
      <c r="AA121" s="2">
        <f t="shared" si="10"/>
        <v>368430.65890915657</v>
      </c>
    </row>
    <row r="122" spans="1:27" x14ac:dyDescent="0.25">
      <c r="A122" s="2">
        <v>2035</v>
      </c>
      <c r="B122" s="2">
        <f>B12/'Output-Calculation-sheet'!B11*'Output-Calculation-sheet'!B101</f>
        <v>86230146738.903351</v>
      </c>
      <c r="C122" s="2">
        <f>C12/'Output-Calculation-sheet'!C11*'Output-Calculation-sheet'!C101</f>
        <v>0</v>
      </c>
      <c r="D122" s="2">
        <f>D12/'Output-Calculation-sheet'!D11*'Output-Calculation-sheet'!D101</f>
        <v>66999224980.78286</v>
      </c>
      <c r="E122" s="2">
        <f>E12/'Output-Calculation-sheet'!E11*'Output-Calculation-sheet'!E101</f>
        <v>47350024341.957039</v>
      </c>
      <c r="F122" s="2">
        <f>F12/'Output-Calculation-sheet'!F11*'Output-Calculation-sheet'!F101</f>
        <v>35236623349.103645</v>
      </c>
      <c r="G122" s="2">
        <f>G12/'Output-Calculation-sheet'!G11*'Output-Calculation-sheet'!G101</f>
        <v>24393203239.3479</v>
      </c>
      <c r="H122" s="2">
        <f>H12/'Output-Calculation-sheet'!H11*'Output-Calculation-sheet'!H101</f>
        <v>0</v>
      </c>
      <c r="I122" s="2">
        <f>I12/'Output-Calculation-sheet'!I11*'Output-Calculation-sheet'!I101</f>
        <v>22284468358.659733</v>
      </c>
      <c r="J122" s="2">
        <f>J12/'Output-Calculation-sheet'!J11*'Output-Calculation-sheet'!J101</f>
        <v>21488031357.626152</v>
      </c>
      <c r="K122" s="2">
        <f>K12/'Output-Calculation-sheet'!K11*'Output-Calculation-sheet'!K101</f>
        <v>21607699283.127037</v>
      </c>
      <c r="L122" s="2">
        <f>L12/'Output-Calculation-sheet'!L11*'Output-Calculation-sheet'!L101</f>
        <v>14869873659.018255</v>
      </c>
      <c r="M122" s="2">
        <f>M12/'Output-Calculation-sheet'!M11*'Output-Calculation-sheet'!M101</f>
        <v>0</v>
      </c>
      <c r="N122" s="2">
        <f>N12/'Output-Calculation-sheet'!N11*'Output-Calculation-sheet'!N101</f>
        <v>4184467615.8133407</v>
      </c>
      <c r="O122" s="2">
        <f>O12/'Output-Calculation-sheet'!O11*'Output-Calculation-sheet'!O101</f>
        <v>0</v>
      </c>
      <c r="P122" s="2">
        <f>P12/'Output-Calculation-sheet'!P11*'Output-Calculation-sheet'!P101</f>
        <v>14401485258.607731</v>
      </c>
      <c r="Q122" s="2">
        <f>Q12/'Output-Calculation-sheet'!Q11*'Output-Calculation-sheet'!Q101</f>
        <v>10215532087.80125</v>
      </c>
      <c r="R122" s="2">
        <f>R12/'Output-Calculation-sheet'!R11*'Output-Calculation-sheet'!R101</f>
        <v>14082307176.243032</v>
      </c>
      <c r="S122" s="2">
        <f>S12/'Output-Calculation-sheet'!S11*'Output-Calculation-sheet'!S101</f>
        <v>3087176672.3477545</v>
      </c>
      <c r="T122" s="2">
        <f>T12/'Output-Calculation-sheet'!T11*'Output-Calculation-sheet'!T101</f>
        <v>5251594449.2193737</v>
      </c>
      <c r="U122" s="2">
        <f>U12/'Output-Calculation-sheet'!U11*'Output-Calculation-sheet'!U101</f>
        <v>4263502347.9575267</v>
      </c>
      <c r="V122" s="2">
        <f>V12/'Output-Calculation-sheet'!V11*'Output-Calculation-sheet'!V101</f>
        <v>3541625393.3304114</v>
      </c>
      <c r="W122" s="2">
        <f>W12/'Output-Calculation-sheet'!W11*'Output-Calculation-sheet'!W101</f>
        <v>3088275242.587522</v>
      </c>
      <c r="X122" s="2">
        <f>X12/'Output-Calculation-sheet'!X11*'Output-Calculation-sheet'!X101</f>
        <v>113729418.93592639</v>
      </c>
      <c r="Y122" s="2">
        <f>Y12/'Output-Calculation-sheet'!Y11*'Output-Calculation-sheet'!Y101</f>
        <v>1394227103.143991</v>
      </c>
      <c r="AA122" s="2">
        <f t="shared" si="10"/>
        <v>404083.21807451377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58220550682.009087</v>
      </c>
      <c r="C129" s="2">
        <f>C8/'Output-Calculation-sheet'!C7*'Output-Calculation-sheet'!C106</f>
        <v>27436458538.890221</v>
      </c>
      <c r="D129" s="2">
        <f>D8/'Output-Calculation-sheet'!D7*'Output-Calculation-sheet'!D106</f>
        <v>24453301712.0415</v>
      </c>
      <c r="E129" s="2">
        <f>E8/'Output-Calculation-sheet'!E7*'Output-Calculation-sheet'!E106</f>
        <v>19401213465.735241</v>
      </c>
      <c r="F129" s="2">
        <f>F8/'Output-Calculation-sheet'!F7*'Output-Calculation-sheet'!F106</f>
        <v>12489257313.699242</v>
      </c>
      <c r="G129" s="2">
        <f>G8/'Output-Calculation-sheet'!G7*'Output-Calculation-sheet'!G106</f>
        <v>8775294947.020607</v>
      </c>
      <c r="H129" s="2">
        <f>H8/'Output-Calculation-sheet'!H7*'Output-Calculation-sheet'!H106</f>
        <v>8559963365.4731998</v>
      </c>
      <c r="I129" s="2">
        <f>I8/'Output-Calculation-sheet'!I7*'Output-Calculation-sheet'!I106</f>
        <v>7994984463.3933926</v>
      </c>
      <c r="J129" s="2">
        <f>J8/'Output-Calculation-sheet'!J7*'Output-Calculation-sheet'!J106</f>
        <v>7781767215.6882114</v>
      </c>
      <c r="K129" s="2">
        <f>K8/'Output-Calculation-sheet'!K7*'Output-Calculation-sheet'!K106</f>
        <v>7707163507.2928209</v>
      </c>
      <c r="L129" s="2">
        <f>L8/'Output-Calculation-sheet'!L7*'Output-Calculation-sheet'!L106</f>
        <v>6182786780.0361214</v>
      </c>
      <c r="M129" s="2">
        <f>M8/'Output-Calculation-sheet'!M7*'Output-Calculation-sheet'!M106</f>
        <v>5905628523.6265984</v>
      </c>
      <c r="N129" s="2">
        <f>N8/'Output-Calculation-sheet'!N7*'Output-Calculation-sheet'!N106</f>
        <v>5796358463.0589542</v>
      </c>
      <c r="O129" s="2">
        <f>O8/'Output-Calculation-sheet'!O7*'Output-Calculation-sheet'!O106</f>
        <v>5330926672.3931274</v>
      </c>
      <c r="P129" s="2">
        <f>P8/'Output-Calculation-sheet'!P7*'Output-Calculation-sheet'!P106</f>
        <v>5276689745.8396435</v>
      </c>
      <c r="Q129" s="2">
        <f>Q8/'Output-Calculation-sheet'!Q7*'Output-Calculation-sheet'!Q106</f>
        <v>5191408927.5708923</v>
      </c>
      <c r="R129" s="2">
        <f>R8/'Output-Calculation-sheet'!R7*'Output-Calculation-sheet'!R106</f>
        <v>4994374142.6479139</v>
      </c>
      <c r="S129" s="2">
        <f>S8/'Output-Calculation-sheet'!S7*'Output-Calculation-sheet'!S106</f>
        <v>3319516905.4108381</v>
      </c>
      <c r="T129" s="2">
        <f>T8/'Output-Calculation-sheet'!T7*'Output-Calculation-sheet'!T106</f>
        <v>1835889348.3269577</v>
      </c>
      <c r="U129" s="2">
        <f>U8/'Output-Calculation-sheet'!U7*'Output-Calculation-sheet'!U106</f>
        <v>1598996578.7249329</v>
      </c>
      <c r="V129" s="2">
        <f>V8/'Output-Calculation-sheet'!V7*'Output-Calculation-sheet'!V106</f>
        <v>1231259829.3872526</v>
      </c>
      <c r="W129" s="2">
        <f>W8/'Output-Calculation-sheet'!W7*'Output-Calculation-sheet'!W106</f>
        <v>1065997718.8234779</v>
      </c>
      <c r="X129" s="2">
        <f>X8/'Output-Calculation-sheet'!X7*'Output-Calculation-sheet'!X106</f>
        <v>639598757.07147229</v>
      </c>
      <c r="Y129" s="2">
        <f>Y8/'Output-Calculation-sheet'!Y7*'Output-Calculation-sheet'!Y106</f>
        <v>622003516.23579383</v>
      </c>
      <c r="AA129" s="2">
        <f t="shared" si="11"/>
        <v>231811.39112039749</v>
      </c>
    </row>
    <row r="130" spans="1:27" x14ac:dyDescent="0.25">
      <c r="A130" s="2">
        <v>2032</v>
      </c>
      <c r="B130" s="2">
        <f>B9/'Output-Calculation-sheet'!B8*'Output-Calculation-sheet'!B107</f>
        <v>50093326261.914124</v>
      </c>
      <c r="C130" s="2">
        <f>C9/'Output-Calculation-sheet'!C8*'Output-Calculation-sheet'!C107</f>
        <v>23606491415.191994</v>
      </c>
      <c r="D130" s="2">
        <f>D9/'Output-Calculation-sheet'!D8*'Output-Calculation-sheet'!D107</f>
        <v>21039768388.869839</v>
      </c>
      <c r="E130" s="2">
        <f>E9/'Output-Calculation-sheet'!E8*'Output-Calculation-sheet'!E107</f>
        <v>16692918986.098289</v>
      </c>
      <c r="F130" s="2">
        <f>F9/'Output-Calculation-sheet'!F8*'Output-Calculation-sheet'!F107</f>
        <v>10745836515.897219</v>
      </c>
      <c r="G130" s="2">
        <f>G9/'Output-Calculation-sheet'!G8*'Output-Calculation-sheet'!G107</f>
        <v>7550319688.8483105</v>
      </c>
      <c r="H130" s="2">
        <f>H9/'Output-Calculation-sheet'!H8*'Output-Calculation-sheet'!H107</f>
        <v>7365045105.6322155</v>
      </c>
      <c r="I130" s="2">
        <f>I9/'Output-Calculation-sheet'!I8*'Output-Calculation-sheet'!I107</f>
        <v>6878934669.2617092</v>
      </c>
      <c r="J130" s="2">
        <f>J9/'Output-Calculation-sheet'!J8*'Output-Calculation-sheet'!J107</f>
        <v>6695478603.4886408</v>
      </c>
      <c r="K130" s="2">
        <f>K9/'Output-Calculation-sheet'!K8*'Output-Calculation-sheet'!K107</f>
        <v>6631290864.7076054</v>
      </c>
      <c r="L130" s="2">
        <f>L9/'Output-Calculation-sheet'!L8*'Output-Calculation-sheet'!L107</f>
        <v>5319708448.0142727</v>
      </c>
      <c r="M130" s="2">
        <f>M9/'Output-Calculation-sheet'!M8*'Output-Calculation-sheet'!M107</f>
        <v>5081240399.9759426</v>
      </c>
      <c r="N130" s="2">
        <f>N9/'Output-Calculation-sheet'!N8*'Output-Calculation-sheet'!N107</f>
        <v>4987220524.5494919</v>
      </c>
      <c r="O130" s="2">
        <f>O9/'Output-Calculation-sheet'!O8*'Output-Calculation-sheet'!O107</f>
        <v>4586762684.2070007</v>
      </c>
      <c r="P130" s="2">
        <f>P9/'Output-Calculation-sheet'!P8*'Output-Calculation-sheet'!P107</f>
        <v>4540095702.8613558</v>
      </c>
      <c r="Q130" s="2">
        <f>Q9/'Output-Calculation-sheet'!Q8*'Output-Calculation-sheet'!Q107</f>
        <v>4466721850.9207764</v>
      </c>
      <c r="R130" s="2">
        <f>R9/'Output-Calculation-sheet'!R8*'Output-Calculation-sheet'!R107</f>
        <v>4297191336.8118887</v>
      </c>
      <c r="S130" s="2">
        <f>S9/'Output-Calculation-sheet'!S8*'Output-Calculation-sheet'!S107</f>
        <v>2856133122.8240218</v>
      </c>
      <c r="T130" s="2">
        <f>T9/'Output-Calculation-sheet'!T8*'Output-Calculation-sheet'!T107</f>
        <v>1579610689.2836742</v>
      </c>
      <c r="U130" s="2">
        <f>U9/'Output-Calculation-sheet'!U8*'Output-Calculation-sheet'!U107</f>
        <v>1375786486.8396783</v>
      </c>
      <c r="V130" s="2">
        <f>V9/'Output-Calculation-sheet'!V8*'Output-Calculation-sheet'!V107</f>
        <v>1059383110.3070654</v>
      </c>
      <c r="W130" s="2">
        <f>W9/'Output-Calculation-sheet'!W8*'Output-Calculation-sheet'!W107</f>
        <v>917191231.43362796</v>
      </c>
      <c r="X130" s="2">
        <f>X9/'Output-Calculation-sheet'!X8*'Output-Calculation-sheet'!X107</f>
        <v>550314630.88195634</v>
      </c>
      <c r="Y130" s="2">
        <f>Y9/'Output-Calculation-sheet'!Y8*'Output-Calculation-sheet'!Y107</f>
        <v>535175580.00812852</v>
      </c>
      <c r="AA130" s="2">
        <f t="shared" si="11"/>
        <v>199451.9462988289</v>
      </c>
    </row>
    <row r="131" spans="1:27" x14ac:dyDescent="0.25">
      <c r="A131" s="2">
        <v>2033</v>
      </c>
      <c r="B131" s="2">
        <f>B10/'Output-Calculation-sheet'!B9*'Output-Calculation-sheet'!B108</f>
        <v>36964902897.731621</v>
      </c>
      <c r="C131" s="2">
        <f>C10/'Output-Calculation-sheet'!C9*'Output-Calculation-sheet'!C108</f>
        <v>21631651684.698841</v>
      </c>
      <c r="D131" s="2">
        <f>D10/'Output-Calculation-sheet'!D9*'Output-Calculation-sheet'!D108</f>
        <v>15525684884.152914</v>
      </c>
      <c r="E131" s="2">
        <f>E10/'Output-Calculation-sheet'!E9*'Output-Calculation-sheet'!E108</f>
        <v>12318050644.255474</v>
      </c>
      <c r="F131" s="2">
        <f>F10/'Output-Calculation-sheet'!F9*'Output-Calculation-sheet'!F108</f>
        <v>7929571228.6754732</v>
      </c>
      <c r="G131" s="2">
        <f>G10/'Output-Calculation-sheet'!G9*'Output-Calculation-sheet'!G108</f>
        <v>5571534366.4759054</v>
      </c>
      <c r="H131" s="2">
        <f>H10/'Output-Calculation-sheet'!H9*'Output-Calculation-sheet'!H108</f>
        <v>5434817901.2149496</v>
      </c>
      <c r="I131" s="2">
        <f>I10/'Output-Calculation-sheet'!I9*'Output-Calculation-sheet'!I108</f>
        <v>5076108341.3563633</v>
      </c>
      <c r="J131" s="2">
        <f>J10/'Output-Calculation-sheet'!J9*'Output-Calculation-sheet'!J108</f>
        <v>4940732332.7454395</v>
      </c>
      <c r="K131" s="2">
        <f>K10/'Output-Calculation-sheet'!K9*'Output-Calculation-sheet'!K108</f>
        <v>4893365591.4904804</v>
      </c>
      <c r="L131" s="2">
        <f>L10/'Output-Calculation-sheet'!L9*'Output-Calculation-sheet'!L108</f>
        <v>3925523034.9294639</v>
      </c>
      <c r="M131" s="2">
        <f>M10/'Output-Calculation-sheet'!M9*'Output-Calculation-sheet'!M108</f>
        <v>3749550581.9091969</v>
      </c>
      <c r="N131" s="2">
        <f>N10/'Output-Calculation-sheet'!N9*'Output-Calculation-sheet'!N108</f>
        <v>3680172354.0566869</v>
      </c>
      <c r="O131" s="2">
        <f>O10/'Output-Calculation-sheet'!O9*'Output-Calculation-sheet'!O108</f>
        <v>4773891624.2209072</v>
      </c>
      <c r="P131" s="2">
        <f>P10/'Output-Calculation-sheet'!P9*'Output-Calculation-sheet'!P108</f>
        <v>3350231530.5560679</v>
      </c>
      <c r="Q131" s="2">
        <f>Q10/'Output-Calculation-sheet'!Q9*'Output-Calculation-sheet'!Q108</f>
        <v>3296085703.0689392</v>
      </c>
      <c r="R131" s="2">
        <f>R10/'Output-Calculation-sheet'!R9*'Output-Calculation-sheet'!R108</f>
        <v>3170984832.1678467</v>
      </c>
      <c r="S131" s="2">
        <f>S10/'Output-Calculation-sheet'!S9*'Output-Calculation-sheet'!S108</f>
        <v>2107599779.1585147</v>
      </c>
      <c r="T131" s="2">
        <f>T10/'Output-Calculation-sheet'!T9*'Output-Calculation-sheet'!T108</f>
        <v>1165626527.2195029</v>
      </c>
      <c r="U131" s="2">
        <f>U10/'Output-Calculation-sheet'!U9*'Output-Calculation-sheet'!U108</f>
        <v>1015221077.3574171</v>
      </c>
      <c r="V131" s="2">
        <f>V10/'Output-Calculation-sheet'!V9*'Output-Calculation-sheet'!V108</f>
        <v>781740533.77333415</v>
      </c>
      <c r="W131" s="2">
        <f>W10/'Output-Calculation-sheet'!W9*'Output-Calculation-sheet'!W108</f>
        <v>676814051.36432719</v>
      </c>
      <c r="X131" s="2">
        <f>X10/'Output-Calculation-sheet'!X9*'Output-Calculation-sheet'!X108</f>
        <v>406088351.49554193</v>
      </c>
      <c r="Y131" s="2">
        <f>Y10/'Output-Calculation-sheet'!Y9*'Output-Calculation-sheet'!Y108</f>
        <v>394916938.94129753</v>
      </c>
      <c r="AA131" s="2">
        <f t="shared" si="11"/>
        <v>152780.8667930165</v>
      </c>
    </row>
    <row r="132" spans="1:27" x14ac:dyDescent="0.25">
      <c r="A132" s="2">
        <v>2034</v>
      </c>
      <c r="B132" s="2">
        <f>B11/'Output-Calculation-sheet'!B10*'Output-Calculation-sheet'!B109</f>
        <v>20022207528.255165</v>
      </c>
      <c r="C132" s="2">
        <f>C11/'Output-Calculation-sheet'!C10*'Output-Calculation-sheet'!C109</f>
        <v>22612918665.750916</v>
      </c>
      <c r="D132" s="2">
        <f>D11/'Output-Calculation-sheet'!D10*'Output-Calculation-sheet'!D109</f>
        <v>8409557723.7371111</v>
      </c>
      <c r="E132" s="2">
        <f>E11/'Output-Calculation-sheet'!E10*'Output-Calculation-sheet'!E109</f>
        <v>6672130157.2291679</v>
      </c>
      <c r="F132" s="2">
        <f>F11/'Output-Calculation-sheet'!F10*'Output-Calculation-sheet'!F109</f>
        <v>4295089609.2812891</v>
      </c>
      <c r="G132" s="2">
        <f>G11/'Output-Calculation-sheet'!G10*'Output-Calculation-sheet'!G109</f>
        <v>3017848306.6642313</v>
      </c>
      <c r="H132" s="2">
        <f>H11/'Output-Calculation-sheet'!H10*'Output-Calculation-sheet'!H109</f>
        <v>2943794717.6045995</v>
      </c>
      <c r="I132" s="2">
        <f>I11/'Output-Calculation-sheet'!I10*'Output-Calculation-sheet'!I109</f>
        <v>2749497146.3525939</v>
      </c>
      <c r="J132" s="2">
        <f>J11/'Output-Calculation-sheet'!J10*'Output-Calculation-sheet'!J109</f>
        <v>2676170522.1670747</v>
      </c>
      <c r="K132" s="2">
        <f>K11/'Output-Calculation-sheet'!K10*'Output-Calculation-sheet'!K109</f>
        <v>2650514940.3865371</v>
      </c>
      <c r="L132" s="2">
        <f>L11/'Output-Calculation-sheet'!L10*'Output-Calculation-sheet'!L109</f>
        <v>2126277712.0337479</v>
      </c>
      <c r="M132" s="2">
        <f>M11/'Output-Calculation-sheet'!M10*'Output-Calculation-sheet'!M109</f>
        <v>2030961735.4333124</v>
      </c>
      <c r="N132" s="2">
        <f>N11/'Output-Calculation-sheet'!N10*'Output-Calculation-sheet'!N109</f>
        <v>1993383309.4737999</v>
      </c>
      <c r="O132" s="2">
        <f>O11/'Output-Calculation-sheet'!O10*'Output-Calculation-sheet'!O109</f>
        <v>4948872963.1502304</v>
      </c>
      <c r="P132" s="2">
        <f>P11/'Output-Calculation-sheet'!P10*'Output-Calculation-sheet'!P109</f>
        <v>1814668119.3292465</v>
      </c>
      <c r="Q132" s="2">
        <f>Q11/'Output-Calculation-sheet'!Q10*'Output-Calculation-sheet'!Q109</f>
        <v>1785340076.986443</v>
      </c>
      <c r="R132" s="2">
        <f>R11/'Output-Calculation-sheet'!R10*'Output-Calculation-sheet'!R109</f>
        <v>1717579140.1447859</v>
      </c>
      <c r="S132" s="2">
        <f>S11/'Output-Calculation-sheet'!S10*'Output-Calculation-sheet'!S109</f>
        <v>1141591171.3811915</v>
      </c>
      <c r="T132" s="2">
        <f>T11/'Output-Calculation-sheet'!T10*'Output-Calculation-sheet'!T109</f>
        <v>631367297.94983935</v>
      </c>
      <c r="U132" s="2">
        <f>U11/'Output-Calculation-sheet'!U10*'Output-Calculation-sheet'!U109</f>
        <v>549899365.25626469</v>
      </c>
      <c r="V132" s="2">
        <f>V11/'Output-Calculation-sheet'!V10*'Output-Calculation-sheet'!V109</f>
        <v>423433509.21150875</v>
      </c>
      <c r="W132" s="2">
        <f>W11/'Output-Calculation-sheet'!W10*'Output-Calculation-sheet'!W109</f>
        <v>366599576.8150543</v>
      </c>
      <c r="X132" s="2">
        <f>X11/'Output-Calculation-sheet'!X10*'Output-Calculation-sheet'!X109</f>
        <v>248364830.85931164</v>
      </c>
      <c r="Y132" s="2">
        <f>Y11/'Output-Calculation-sheet'!Y10*'Output-Calculation-sheet'!Y109</f>
        <v>213908686.848598</v>
      </c>
      <c r="AA132" s="2">
        <f t="shared" si="11"/>
        <v>96041.976812302048</v>
      </c>
    </row>
    <row r="133" spans="1:27" x14ac:dyDescent="0.25">
      <c r="A133" s="2">
        <v>2035</v>
      </c>
      <c r="B133" s="2">
        <f>B12/'Output-Calculation-sheet'!B11*'Output-Calculation-sheet'!B110</f>
        <v>14437933071.93899</v>
      </c>
      <c r="C133" s="2">
        <f>C12/'Output-Calculation-sheet'!C11*'Output-Calculation-sheet'!C110</f>
        <v>23193409155.459644</v>
      </c>
      <c r="D133" s="2">
        <f>D12/'Output-Calculation-sheet'!D11*'Output-Calculation-sheet'!D110</f>
        <v>6302022049.8317232</v>
      </c>
      <c r="E133" s="2">
        <f>E12/'Output-Calculation-sheet'!E11*'Output-Calculation-sheet'!E110</f>
        <v>3019329508.9161463</v>
      </c>
      <c r="F133" s="2">
        <f>F12/'Output-Calculation-sheet'!F11*'Output-Calculation-sheet'!F110</f>
        <v>2303943360.8942709</v>
      </c>
      <c r="G133" s="2">
        <f>G12/'Output-Calculation-sheet'!G11*'Output-Calculation-sheet'!G110</f>
        <v>2150895086.9771276</v>
      </c>
      <c r="H133" s="2">
        <f>H12/'Output-Calculation-sheet'!H11*'Output-Calculation-sheet'!H110</f>
        <v>2988258105.7735014</v>
      </c>
      <c r="I133" s="2">
        <f>I12/'Output-Calculation-sheet'!I11*'Output-Calculation-sheet'!I110</f>
        <v>1777577542.3507922</v>
      </c>
      <c r="J133" s="2">
        <f>J12/'Output-Calculation-sheet'!J11*'Output-Calculation-sheet'!J110</f>
        <v>1731150106.9463561</v>
      </c>
      <c r="K133" s="2">
        <f>K12/'Output-Calculation-sheet'!K11*'Output-Calculation-sheet'!K110</f>
        <v>1497821871.9635851</v>
      </c>
      <c r="L133" s="2">
        <f>L12/'Output-Calculation-sheet'!L11*'Output-Calculation-sheet'!L110</f>
        <v>782871733.45922029</v>
      </c>
      <c r="M133" s="2">
        <f>M12/'Output-Calculation-sheet'!M11*'Output-Calculation-sheet'!M110</f>
        <v>1588493230.4819477</v>
      </c>
      <c r="N133" s="2">
        <f>N12/'Output-Calculation-sheet'!N11*'Output-Calculation-sheet'!N110</f>
        <v>1431417674.9446549</v>
      </c>
      <c r="O133" s="2">
        <f>O12/'Output-Calculation-sheet'!O11*'Output-Calculation-sheet'!O110</f>
        <v>5093921929.0913782</v>
      </c>
      <c r="P133" s="2">
        <f>P12/'Output-Calculation-sheet'!P11*'Output-Calculation-sheet'!P110</f>
        <v>1054836174.0542791</v>
      </c>
      <c r="Q133" s="2">
        <f>Q12/'Output-Calculation-sheet'!Q11*'Output-Calculation-sheet'!Q110</f>
        <v>1455713488.9383433</v>
      </c>
      <c r="R133" s="2">
        <f>R12/'Output-Calculation-sheet'!R11*'Output-Calculation-sheet'!R110</f>
        <v>890960475.54276407</v>
      </c>
      <c r="S133" s="2">
        <f>S12/'Output-Calculation-sheet'!S11*'Output-Calculation-sheet'!S110</f>
        <v>873907013.80959022</v>
      </c>
      <c r="T133" s="2">
        <f>T12/'Output-Calculation-sheet'!T11*'Output-Calculation-sheet'!T110</f>
        <v>230680844.82561946</v>
      </c>
      <c r="U133" s="2">
        <f>U12/'Output-Calculation-sheet'!U11*'Output-Calculation-sheet'!U110</f>
        <v>454464198.49278677</v>
      </c>
      <c r="V133" s="2">
        <f>V12/'Output-Calculation-sheet'!V11*'Output-Calculation-sheet'!V110</f>
        <v>99382513.070599362</v>
      </c>
      <c r="W133" s="2">
        <f>W12/'Output-Calculation-sheet'!W11*'Output-Calculation-sheet'!W110</f>
        <v>123253643.63781705</v>
      </c>
      <c r="X133" s="2">
        <f>X12/'Output-Calculation-sheet'!X11*'Output-Calculation-sheet'!X110</f>
        <v>250118674.49371669</v>
      </c>
      <c r="Y133" s="2">
        <f>Y12/'Output-Calculation-sheet'!Y11*'Output-Calculation-sheet'!Y110</f>
        <v>108033216.50927772</v>
      </c>
      <c r="AA133" s="2">
        <f t="shared" si="11"/>
        <v>73840.394672404131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1258.9526257399841</v>
      </c>
      <c r="C19" s="2">
        <f>C8/'Output-Calculation-sheet'!C7*'Output-Calculation-sheet'!C25</f>
        <v>18976.492092374287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5661.2998311815218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3924.797573901561</v>
      </c>
      <c r="N19" s="2">
        <f>N8/'Output-Calculation-sheet'!N7*'Output-Calculation-sheet'!N25</f>
        <v>1343.7062279010879</v>
      </c>
      <c r="O19" s="2">
        <f>O8/'Output-Calculation-sheet'!O7*'Output-Calculation-sheet'!O25</f>
        <v>3670.4374890320164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479.45559409835829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438.51777074277692</v>
      </c>
      <c r="Y19" s="2">
        <f>Y8/'Output-Calculation-sheet'!Y7*'Output-Calculation-sheet'!Y25</f>
        <v>0</v>
      </c>
      <c r="AA19" s="2">
        <f t="shared" si="0"/>
        <v>35.753659204971591</v>
      </c>
    </row>
    <row r="20" spans="1:27" x14ac:dyDescent="0.25">
      <c r="A20" s="2">
        <v>2032</v>
      </c>
      <c r="B20" s="2">
        <f>B9/'Output-Calculation-sheet'!B8*'Output-Calculation-sheet'!B26</f>
        <v>6935.8683045560665</v>
      </c>
      <c r="C20" s="2">
        <f>C9/'Output-Calculation-sheet'!C8*'Output-Calculation-sheet'!C26</f>
        <v>25400.133328081505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7536.6800850350946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5243.7093603739186</v>
      </c>
      <c r="N20" s="2">
        <f>N9/'Output-Calculation-sheet'!N8*'Output-Calculation-sheet'!N26</f>
        <v>2366.1994551728139</v>
      </c>
      <c r="O20" s="2">
        <f>O9/'Output-Calculation-sheet'!O8*'Output-Calculation-sheet'!O26</f>
        <v>4949.1052858890389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859.94112295079094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586.65956190316729</v>
      </c>
      <c r="Y20" s="2">
        <f>Y9/'Output-Calculation-sheet'!Y8*'Output-Calculation-sheet'!Y26</f>
        <v>0</v>
      </c>
      <c r="AA20" s="2">
        <f t="shared" si="0"/>
        <v>53.878296503962389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28888.260808317584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8889.097527744867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6174.1940464791096</v>
      </c>
      <c r="N21" s="2">
        <f>N10/'Output-Calculation-sheet'!N9*'Output-Calculation-sheet'!N27</f>
        <v>3377.097495383206</v>
      </c>
      <c r="O21" s="2">
        <f>O10/'Output-Calculation-sheet'!O9*'Output-Calculation-sheet'!O27</f>
        <v>5095.9734759086341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1470.1637806573872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726.04886519672152</v>
      </c>
      <c r="Y21" s="2">
        <f>Y10/'Output-Calculation-sheet'!Y9*'Output-Calculation-sheet'!Y27</f>
        <v>0</v>
      </c>
      <c r="AA21" s="2">
        <f t="shared" si="0"/>
        <v>70.226761399176524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26899.521099168378</v>
      </c>
      <c r="D22" s="2">
        <f>D11/'Output-Calculation-sheet'!D10*'Output-Calculation-sheet'!D28</f>
        <v>0</v>
      </c>
      <c r="E22" s="2">
        <f>E11/'Output-Calculation-sheet'!E10*'Output-Calculation-sheet'!E28</f>
        <v>1325.5515789118847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10596.429611179923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803.54810050247806</v>
      </c>
      <c r="M22" s="2">
        <f>M11/'Output-Calculation-sheet'!M10*'Output-Calculation-sheet'!M28</f>
        <v>7301.9938861333003</v>
      </c>
      <c r="N22" s="2">
        <f>N11/'Output-Calculation-sheet'!N10*'Output-Calculation-sheet'!N28</f>
        <v>4202.3381559383024</v>
      </c>
      <c r="O22" s="2">
        <f>O11/'Output-Calculation-sheet'!O10*'Output-Calculation-sheet'!O28</f>
        <v>4813.9796443927135</v>
      </c>
      <c r="P22" s="2">
        <f>P11/'Output-Calculation-sheet'!P10*'Output-Calculation-sheet'!P28</f>
        <v>0</v>
      </c>
      <c r="Q22" s="2">
        <f>Q11/'Output-Calculation-sheet'!Q10*'Output-Calculation-sheet'!Q28</f>
        <v>1576.0431077328788</v>
      </c>
      <c r="R22" s="2">
        <f>R11/'Output-Calculation-sheet'!R10*'Output-Calculation-sheet'!R28</f>
        <v>0</v>
      </c>
      <c r="S22" s="2">
        <f>S11/'Output-Calculation-sheet'!S10*'Output-Calculation-sheet'!S28</f>
        <v>2131.1825189088045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737.30103365753041</v>
      </c>
      <c r="Y22" s="2">
        <f>Y11/'Output-Calculation-sheet'!Y10*'Output-Calculation-sheet'!Y28</f>
        <v>73.343350469894233</v>
      </c>
      <c r="AA22" s="2">
        <f t="shared" si="0"/>
        <v>86.84203618560241</v>
      </c>
    </row>
    <row r="23" spans="1:27" x14ac:dyDescent="0.25">
      <c r="A23" s="2">
        <v>2035</v>
      </c>
      <c r="B23" s="2">
        <f>B12/'Output-Calculation-sheet'!B11*'Output-Calculation-sheet'!B29</f>
        <v>27053.16411503746</v>
      </c>
      <c r="C23" s="2">
        <f>C12/'Output-Calculation-sheet'!C11*'Output-Calculation-sheet'!C29</f>
        <v>23137.040770565127</v>
      </c>
      <c r="D23" s="2">
        <f>D12/'Output-Calculation-sheet'!D11*'Output-Calculation-sheet'!D29</f>
        <v>0</v>
      </c>
      <c r="E23" s="2">
        <f>E12/'Output-Calculation-sheet'!E11*'Output-Calculation-sheet'!E29</f>
        <v>5165.707242523782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8976.8506154755414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1510.8343724274723</v>
      </c>
      <c r="M23" s="2">
        <f>M12/'Output-Calculation-sheet'!M11*'Output-Calculation-sheet'!M29</f>
        <v>6792.0362063514522</v>
      </c>
      <c r="N23" s="2">
        <f>N12/'Output-Calculation-sheet'!N11*'Output-Calculation-sheet'!N29</f>
        <v>3969.9001974784746</v>
      </c>
      <c r="O23" s="2">
        <f>O12/'Output-Calculation-sheet'!O11*'Output-Calculation-sheet'!O29</f>
        <v>4138.6308948968035</v>
      </c>
      <c r="P23" s="2">
        <f>P12/'Output-Calculation-sheet'!P11*'Output-Calculation-sheet'!P29</f>
        <v>545.33915796592953</v>
      </c>
      <c r="Q23" s="2">
        <f>Q12/'Output-Calculation-sheet'!Q11*'Output-Calculation-sheet'!Q29</f>
        <v>1737.3649246440077</v>
      </c>
      <c r="R23" s="2">
        <f>R12/'Output-Calculation-sheet'!R11*'Output-Calculation-sheet'!R29</f>
        <v>0</v>
      </c>
      <c r="S23" s="2">
        <f>S12/'Output-Calculation-sheet'!S11*'Output-Calculation-sheet'!S29</f>
        <v>2062.5909838928701</v>
      </c>
      <c r="T23" s="2">
        <f>T12/'Output-Calculation-sheet'!T11*'Output-Calculation-sheet'!T29</f>
        <v>0</v>
      </c>
      <c r="U23" s="2">
        <f>U12/'Output-Calculation-sheet'!U11*'Output-Calculation-sheet'!U29</f>
        <v>119.69656455948581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643.3227559663959</v>
      </c>
      <c r="Y23" s="2">
        <f>Y12/'Output-Calculation-sheet'!Y11*'Output-Calculation-sheet'!Y29</f>
        <v>206.16532568332605</v>
      </c>
      <c r="AA23" s="2">
        <f t="shared" si="0"/>
        <v>86.058644127468128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21943.135300474503</v>
      </c>
      <c r="C30" s="2">
        <f>C8/'Output-Calculation-sheet'!C7*'Output-Calculation-sheet'!C16</f>
        <v>0</v>
      </c>
      <c r="D30" s="2">
        <f>D8/'Output-Calculation-sheet'!D7*'Output-Calculation-sheet'!D16</f>
        <v>3694.9339039202664</v>
      </c>
      <c r="E30" s="2">
        <f>E8/'Output-Calculation-sheet'!E7*'Output-Calculation-sheet'!E16</f>
        <v>3975.5401247672353</v>
      </c>
      <c r="F30" s="2">
        <f>F8/'Output-Calculation-sheet'!F7*'Output-Calculation-sheet'!F16</f>
        <v>2005.6811478761506</v>
      </c>
      <c r="G30" s="2">
        <f>G8/'Output-Calculation-sheet'!G7*'Output-Calculation-sheet'!G16</f>
        <v>1313.4829338688346</v>
      </c>
      <c r="H30" s="2">
        <f>H8/'Output-Calculation-sheet'!H7*'Output-Calculation-sheet'!H16</f>
        <v>0</v>
      </c>
      <c r="I30" s="2">
        <f>I8/'Output-Calculation-sheet'!I7*'Output-Calculation-sheet'!I16</f>
        <v>1280.4491910035917</v>
      </c>
      <c r="J30" s="2">
        <f>J8/'Output-Calculation-sheet'!J7*'Output-Calculation-sheet'!J16</f>
        <v>1139.8459896419831</v>
      </c>
      <c r="K30" s="2">
        <f>K8/'Output-Calculation-sheet'!K7*'Output-Calculation-sheet'!K16</f>
        <v>1521.9122661160286</v>
      </c>
      <c r="L30" s="2">
        <f>L8/'Output-Calculation-sheet'!L7*'Output-Calculation-sheet'!L16</f>
        <v>1285.5210713375698</v>
      </c>
      <c r="M30" s="2">
        <f>M8/'Output-Calculation-sheet'!M7*'Output-Calculation-sheet'!M16</f>
        <v>0</v>
      </c>
      <c r="N30" s="2">
        <f>N8/'Output-Calculation-sheet'!N7*'Output-Calculation-sheet'!N16</f>
        <v>1825.9743782632336</v>
      </c>
      <c r="O30" s="2">
        <f>O8/'Output-Calculation-sheet'!O7*'Output-Calculation-sheet'!O16</f>
        <v>0</v>
      </c>
      <c r="P30" s="2">
        <f>P8/'Output-Calculation-sheet'!P7*'Output-Calculation-sheet'!P16</f>
        <v>1641.1258561789639</v>
      </c>
      <c r="Q30" s="2">
        <f>Q8/'Output-Calculation-sheet'!Q7*'Output-Calculation-sheet'!Q16</f>
        <v>1804.6964438425723</v>
      </c>
      <c r="R30" s="2">
        <f>R8/'Output-Calculation-sheet'!R7*'Output-Calculation-sheet'!R16</f>
        <v>1145.0877375221125</v>
      </c>
      <c r="S30" s="2">
        <f>S8/'Output-Calculation-sheet'!S7*'Output-Calculation-sheet'!S16</f>
        <v>1151.6224868692286</v>
      </c>
      <c r="T30" s="2">
        <f>T8/'Output-Calculation-sheet'!T7*'Output-Calculation-sheet'!T16</f>
        <v>343.73887903738307</v>
      </c>
      <c r="U30" s="2">
        <f>U8/'Output-Calculation-sheet'!U7*'Output-Calculation-sheet'!U16</f>
        <v>343.12445450753313</v>
      </c>
      <c r="V30" s="2">
        <f>V8/'Output-Calculation-sheet'!V7*'Output-Calculation-sheet'!V16</f>
        <v>267.04724067162516</v>
      </c>
      <c r="W30" s="2">
        <f>W8/'Output-Calculation-sheet'!W7*'Output-Calculation-sheet'!W16</f>
        <v>161.97761399594856</v>
      </c>
      <c r="X30" s="2">
        <f>X8/'Output-Calculation-sheet'!X7*'Output-Calculation-sheet'!X16</f>
        <v>0</v>
      </c>
      <c r="Y30" s="2">
        <f>Y8/'Output-Calculation-sheet'!Y7*'Output-Calculation-sheet'!Y16</f>
        <v>137.09563544235158</v>
      </c>
      <c r="AA30" s="2">
        <f t="shared" si="1"/>
        <v>46.981992655337116</v>
      </c>
    </row>
    <row r="31" spans="1:27" x14ac:dyDescent="0.25">
      <c r="A31" s="2">
        <v>2032</v>
      </c>
      <c r="B31" s="2">
        <f>B9/'Output-Calculation-sheet'!B8*'Output-Calculation-sheet'!B17</f>
        <v>29368.757925620917</v>
      </c>
      <c r="C31" s="2">
        <f>C9/'Output-Calculation-sheet'!C8*'Output-Calculation-sheet'!C17</f>
        <v>0</v>
      </c>
      <c r="D31" s="2">
        <f>D9/'Output-Calculation-sheet'!D8*'Output-Calculation-sheet'!D17</f>
        <v>4925.5263053312074</v>
      </c>
      <c r="E31" s="2">
        <f>E9/'Output-Calculation-sheet'!E8*'Output-Calculation-sheet'!E17</f>
        <v>5789.283206059431</v>
      </c>
      <c r="F31" s="2">
        <f>F9/'Output-Calculation-sheet'!F8*'Output-Calculation-sheet'!F17</f>
        <v>2673.7354823896153</v>
      </c>
      <c r="G31" s="2">
        <f>G9/'Output-Calculation-sheet'!G8*'Output-Calculation-sheet'!G17</f>
        <v>1750.9629546992021</v>
      </c>
      <c r="H31" s="2">
        <f>H9/'Output-Calculation-sheet'!H8*'Output-Calculation-sheet'!H17</f>
        <v>0</v>
      </c>
      <c r="I31" s="2">
        <f>I9/'Output-Calculation-sheet'!I8*'Output-Calculation-sheet'!I17</f>
        <v>1706.9347020172975</v>
      </c>
      <c r="J31" s="2">
        <f>J9/'Output-Calculation-sheet'!J8*'Output-Calculation-sheet'!J17</f>
        <v>1519.500896056815</v>
      </c>
      <c r="K31" s="2">
        <f>K9/'Output-Calculation-sheet'!K8*'Output-Calculation-sheet'!K17</f>
        <v>2163.3658265432614</v>
      </c>
      <c r="L31" s="2">
        <f>L9/'Output-Calculation-sheet'!L8*'Output-Calculation-sheet'!L17</f>
        <v>1844.9707399446036</v>
      </c>
      <c r="M31" s="2">
        <f>M9/'Output-Calculation-sheet'!M8*'Output-Calculation-sheet'!M17</f>
        <v>0</v>
      </c>
      <c r="N31" s="2">
        <f>N9/'Output-Calculation-sheet'!N8*'Output-Calculation-sheet'!N17</f>
        <v>2005.6718904667787</v>
      </c>
      <c r="O31" s="2">
        <f>O9/'Output-Calculation-sheet'!O8*'Output-Calculation-sheet'!O17</f>
        <v>0</v>
      </c>
      <c r="P31" s="2">
        <f>P9/'Output-Calculation-sheet'!P8*'Output-Calculation-sheet'!P17</f>
        <v>2489.3501185419968</v>
      </c>
      <c r="Q31" s="2">
        <f>Q9/'Output-Calculation-sheet'!Q8*'Output-Calculation-sheet'!Q17</f>
        <v>2653.8759402610408</v>
      </c>
      <c r="R31" s="2">
        <f>R9/'Output-Calculation-sheet'!R8*'Output-Calculation-sheet'!R17</f>
        <v>1736.3058958361125</v>
      </c>
      <c r="S31" s="2">
        <f>S9/'Output-Calculation-sheet'!S8*'Output-Calculation-sheet'!S17</f>
        <v>1494.0141698967273</v>
      </c>
      <c r="T31" s="2">
        <f>T9/'Output-Calculation-sheet'!T8*'Output-Calculation-sheet'!T17</f>
        <v>471.15929041283084</v>
      </c>
      <c r="U31" s="2">
        <f>U9/'Output-Calculation-sheet'!U8*'Output-Calculation-sheet'!U17</f>
        <v>541.51223100193431</v>
      </c>
      <c r="V31" s="2">
        <f>V9/'Output-Calculation-sheet'!V8*'Output-Calculation-sheet'!V17</f>
        <v>387.85951689870063</v>
      </c>
      <c r="W31" s="2">
        <f>W9/'Output-Calculation-sheet'!W8*'Output-Calculation-sheet'!W17</f>
        <v>215.93054432253612</v>
      </c>
      <c r="X31" s="2">
        <f>X9/'Output-Calculation-sheet'!X8*'Output-Calculation-sheet'!X17</f>
        <v>0</v>
      </c>
      <c r="Y31" s="2">
        <f>Y9/'Output-Calculation-sheet'!Y8*'Output-Calculation-sheet'!Y17</f>
        <v>208.63568771975793</v>
      </c>
      <c r="AA31" s="2">
        <f t="shared" si="1"/>
        <v>63.947353324020774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1900.1305570554557</v>
      </c>
      <c r="O32" s="2">
        <f>O10/'Output-Calculation-sheet'!O9*'Output-Calculation-sheet'!O18</f>
        <v>0</v>
      </c>
      <c r="P32" s="2">
        <f>P10/'Output-Calculation-sheet'!P9*'Output-Calculation-sheet'!P18</f>
        <v>3058.8262720399557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2199.6150328760291</v>
      </c>
      <c r="S32" s="2">
        <f>S10/'Output-Calculation-sheet'!S9*'Output-Calculation-sheet'!S18</f>
        <v>1437.5803519413882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710.08616452192996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74.922183919565867</v>
      </c>
    </row>
    <row r="33" spans="1:27" x14ac:dyDescent="0.25">
      <c r="A33" s="2">
        <v>2034</v>
      </c>
      <c r="B33" s="2">
        <f>B11/'Output-Calculation-sheet'!B10*'Output-Calculation-sheet'!B19</f>
        <v>26609.228258553369</v>
      </c>
      <c r="C33" s="2">
        <f>C11/'Output-Calculation-sheet'!C10*'Output-Calculation-sheet'!C19</f>
        <v>0</v>
      </c>
      <c r="D33" s="2">
        <f>D11/'Output-Calculation-sheet'!D10*'Output-Calculation-sheet'!D19</f>
        <v>7936.4526176409436</v>
      </c>
      <c r="E33" s="2">
        <f>E11/'Output-Calculation-sheet'!E10*'Output-Calculation-sheet'!E19</f>
        <v>9859.329077937562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2701.9186296938465</v>
      </c>
      <c r="H33" s="2">
        <f>H11/'Output-Calculation-sheet'!H10*'Output-Calculation-sheet'!H19</f>
        <v>0</v>
      </c>
      <c r="I33" s="2">
        <f>I11/'Output-Calculation-sheet'!I10*'Output-Calculation-sheet'!I19</f>
        <v>2948.0007880816538</v>
      </c>
      <c r="J33" s="2">
        <f>J11/'Output-Calculation-sheet'!J10*'Output-Calculation-sheet'!J19</f>
        <v>2497.6726270372787</v>
      </c>
      <c r="K33" s="2">
        <f>K11/'Output-Calculation-sheet'!K10*'Output-Calculation-sheet'!K19</f>
        <v>3458.5431968714784</v>
      </c>
      <c r="L33" s="2">
        <f>L11/'Output-Calculation-sheet'!L10*'Output-Calculation-sheet'!L19</f>
        <v>2815.1887505557684</v>
      </c>
      <c r="M33" s="2">
        <f>M11/'Output-Calculation-sheet'!M10*'Output-Calculation-sheet'!M19</f>
        <v>0</v>
      </c>
      <c r="N33" s="2">
        <f>N11/'Output-Calculation-sheet'!N10*'Output-Calculation-sheet'!N19</f>
        <v>1590.613281936794</v>
      </c>
      <c r="O33" s="2">
        <f>O11/'Output-Calculation-sheet'!O10*'Output-Calculation-sheet'!O19</f>
        <v>0</v>
      </c>
      <c r="P33" s="2">
        <f>P11/'Output-Calculation-sheet'!P10*'Output-Calculation-sheet'!P19</f>
        <v>3499.9131548074856</v>
      </c>
      <c r="Q33" s="2">
        <f>Q11/'Output-Calculation-sheet'!Q10*'Output-Calculation-sheet'!Q19</f>
        <v>2802.339122062654</v>
      </c>
      <c r="R33" s="2">
        <f>R11/'Output-Calculation-sheet'!R10*'Output-Calculation-sheet'!R19</f>
        <v>2498.7743216285562</v>
      </c>
      <c r="S33" s="2">
        <f>S11/'Output-Calculation-sheet'!S10*'Output-Calculation-sheet'!S19</f>
        <v>1167.9452447137535</v>
      </c>
      <c r="T33" s="2">
        <f>T11/'Output-Calculation-sheet'!T10*'Output-Calculation-sheet'!T19</f>
        <v>733.24429512312668</v>
      </c>
      <c r="U33" s="2">
        <f>U11/'Output-Calculation-sheet'!U10*'Output-Calculation-sheet'!U19</f>
        <v>843.90677095600745</v>
      </c>
      <c r="V33" s="2">
        <f>V11/'Output-Calculation-sheet'!V10*'Output-Calculation-sheet'!V19</f>
        <v>575.77387784944926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113.23254769885676</v>
      </c>
      <c r="Y33" s="2">
        <f>Y11/'Output-Calculation-sheet'!Y10*'Output-Calculation-sheet'!Y19</f>
        <v>322.71074206753462</v>
      </c>
      <c r="AA33" s="2">
        <f t="shared" si="1"/>
        <v>77.844444871783921</v>
      </c>
    </row>
    <row r="34" spans="1:27" x14ac:dyDescent="0.25">
      <c r="A34" s="2">
        <v>2035</v>
      </c>
      <c r="B34" s="2">
        <f>B12/'Output-Calculation-sheet'!B11*'Output-Calculation-sheet'!B20</f>
        <v>20974.179938034893</v>
      </c>
      <c r="C34" s="2">
        <f>C12/'Output-Calculation-sheet'!C11*'Output-Calculation-sheet'!C20</f>
        <v>0</v>
      </c>
      <c r="D34" s="2">
        <f>D12/'Output-Calculation-sheet'!D11*'Output-Calculation-sheet'!D20</f>
        <v>7246.5869591379242</v>
      </c>
      <c r="E34" s="2">
        <f>E12/'Output-Calculation-sheet'!E11*'Output-Calculation-sheet'!E20</f>
        <v>7039.3599800950469</v>
      </c>
      <c r="F34" s="2">
        <f>F12/'Output-Calculation-sheet'!F11*'Output-Calculation-sheet'!F20</f>
        <v>4611.3541860470914</v>
      </c>
      <c r="G34" s="2">
        <f>G12/'Output-Calculation-sheet'!G11*'Output-Calculation-sheet'!G20</f>
        <v>2446.8104179107031</v>
      </c>
      <c r="H34" s="2">
        <f>H12/'Output-Calculation-sheet'!H11*'Output-Calculation-sheet'!H20</f>
        <v>0</v>
      </c>
      <c r="I34" s="2">
        <f>I12/'Output-Calculation-sheet'!I11*'Output-Calculation-sheet'!I20</f>
        <v>2814.8801963770929</v>
      </c>
      <c r="J34" s="2">
        <f>J12/'Output-Calculation-sheet'!J11*'Output-Calculation-sheet'!J20</f>
        <v>2388.5007876784416</v>
      </c>
      <c r="K34" s="2">
        <f>K12/'Output-Calculation-sheet'!K11*'Output-Calculation-sheet'!K20</f>
        <v>3364.2938455223943</v>
      </c>
      <c r="L34" s="2">
        <f>L12/'Output-Calculation-sheet'!L11*'Output-Calculation-sheet'!L20</f>
        <v>2455.5500243085694</v>
      </c>
      <c r="M34" s="2">
        <f>M12/'Output-Calculation-sheet'!M11*'Output-Calculation-sheet'!M20</f>
        <v>0</v>
      </c>
      <c r="N34" s="2">
        <f>N12/'Output-Calculation-sheet'!N11*'Output-Calculation-sheet'!N20</f>
        <v>1298.1881612280072</v>
      </c>
      <c r="O34" s="2">
        <f>O12/'Output-Calculation-sheet'!O11*'Output-Calculation-sheet'!O20</f>
        <v>0</v>
      </c>
      <c r="P34" s="2">
        <f>P12/'Output-Calculation-sheet'!P11*'Output-Calculation-sheet'!P20</f>
        <v>2930.0605037302998</v>
      </c>
      <c r="Q34" s="2">
        <f>Q12/'Output-Calculation-sheet'!Q11*'Output-Calculation-sheet'!Q20</f>
        <v>2171.9866003097495</v>
      </c>
      <c r="R34" s="2">
        <f>R12/'Output-Calculation-sheet'!R11*'Output-Calculation-sheet'!R20</f>
        <v>2466.128257318529</v>
      </c>
      <c r="S34" s="2">
        <f>S12/'Output-Calculation-sheet'!S11*'Output-Calculation-sheet'!S20</f>
        <v>902.64593830461376</v>
      </c>
      <c r="T34" s="2">
        <f>T12/'Output-Calculation-sheet'!T11*'Output-Calculation-sheet'!T20</f>
        <v>736.70704452413622</v>
      </c>
      <c r="U34" s="2">
        <f>U12/'Output-Calculation-sheet'!U11*'Output-Calculation-sheet'!U20</f>
        <v>674.21779128315745</v>
      </c>
      <c r="V34" s="2">
        <f>V12/'Output-Calculation-sheet'!V11*'Output-Calculation-sheet'!V20</f>
        <v>651.60909927162265</v>
      </c>
      <c r="W34" s="2">
        <f>W12/'Output-Calculation-sheet'!W11*'Output-Calculation-sheet'!W20</f>
        <v>395.62467231140755</v>
      </c>
      <c r="X34" s="2">
        <f>X12/'Output-Calculation-sheet'!X11*'Output-Calculation-sheet'!X20</f>
        <v>83.707033557264893</v>
      </c>
      <c r="Y34" s="2">
        <f>Y12/'Output-Calculation-sheet'!Y11*'Output-Calculation-sheet'!Y20</f>
        <v>214.7470430993223</v>
      </c>
      <c r="AA34" s="2">
        <f t="shared" si="1"/>
        <v>65.867138480050258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1.2490420469114758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0.24265526763860507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1.4916973145500809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1.1266483965953771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0.21887747405018498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1.3717057445735434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1.8696333547243169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0.36321946342679517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8.9518827274966934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36722.466783500313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7945.3213287692161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5467.1585684019483</v>
      </c>
      <c r="N52" s="2">
        <f>N8/'Output-Calculation-sheet'!N7*'Output-Calculation-sheet'!N43</f>
        <v>174.74275116160902</v>
      </c>
      <c r="O52" s="2">
        <f>O8/'Output-Calculation-sheet'!O7*'Output-Calculation-sheet'!O43</f>
        <v>7439.9382656560565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707.03505712874892</v>
      </c>
      <c r="Y52" s="2">
        <f>Y8/'Output-Calculation-sheet'!Y7*'Output-Calculation-sheet'!Y43</f>
        <v>0</v>
      </c>
      <c r="AA52" s="2">
        <f t="shared" si="3"/>
        <v>58.456662754617895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64562.765659787256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15121.100135418003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10333.69318406923</v>
      </c>
      <c r="N53" s="2">
        <f>N9/'Output-Calculation-sheet'!N8*'Output-Calculation-sheet'!N44</f>
        <v>3680.5165874235031</v>
      </c>
      <c r="O53" s="2">
        <f>O9/'Output-Calculation-sheet'!O8*'Output-Calculation-sheet'!O44</f>
        <v>12803.664117909808</v>
      </c>
      <c r="P53" s="2">
        <f>P9/'Output-Calculation-sheet'!P8*'Output-Calculation-sheet'!P44</f>
        <v>172.15869142816612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1148.3685803380126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1292.2360403926486</v>
      </c>
      <c r="Y53" s="2">
        <f>Y9/'Output-Calculation-sheet'!Y8*'Output-Calculation-sheet'!Y44</f>
        <v>0</v>
      </c>
      <c r="AA53" s="2">
        <f t="shared" si="3"/>
        <v>109.11450299676662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71107.744600486651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13133.184222194677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1446.7500756834083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522.85826971972961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168.80579218859498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65029.354821031411</v>
      </c>
      <c r="D55" s="2">
        <f>D11/'Output-Calculation-sheet'!D10*'Output-Calculation-sheet'!D46</f>
        <v>7003.6535150987311</v>
      </c>
      <c r="E55" s="2">
        <f>E11/'Output-Calculation-sheet'!E10*'Output-Calculation-sheet'!E46</f>
        <v>8557.7810311863232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23334.122419740575</v>
      </c>
      <c r="I55" s="2">
        <f>I11/'Output-Calculation-sheet'!I10*'Output-Calculation-sheet'!I46</f>
        <v>1694.7890356616479</v>
      </c>
      <c r="J55" s="2">
        <f>J11/'Output-Calculation-sheet'!J10*'Output-Calculation-sheet'!J46</f>
        <v>1202.0540472830985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15993.358453638295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11942.262180632901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4795.0070531504707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5991.337732528722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1380.3611105545074</v>
      </c>
      <c r="V55" s="2">
        <f>V11/'Output-Calculation-sheet'!V10*'Output-Calculation-sheet'!V46</f>
        <v>554.36646253230197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1651.1692415981099</v>
      </c>
      <c r="Y55" s="2">
        <f>Y11/'Output-Calculation-sheet'!Y10*'Output-Calculation-sheet'!Y46</f>
        <v>423.28387791961927</v>
      </c>
      <c r="AA55" s="2">
        <f t="shared" si="3"/>
        <v>254.40615197275216</v>
      </c>
    </row>
    <row r="56" spans="1:27" x14ac:dyDescent="0.25">
      <c r="A56" s="2">
        <v>2035</v>
      </c>
      <c r="B56" s="2">
        <f>B12/'Output-Calculation-sheet'!B11*'Output-Calculation-sheet'!B47</f>
        <v>81202.858126792868</v>
      </c>
      <c r="C56" s="2">
        <f>C12/'Output-Calculation-sheet'!C11*'Output-Calculation-sheet'!C47</f>
        <v>54776.977234905426</v>
      </c>
      <c r="D56" s="2">
        <f>D12/'Output-Calculation-sheet'!D11*'Output-Calculation-sheet'!D47</f>
        <v>11840.234904817331</v>
      </c>
      <c r="E56" s="2">
        <f>E12/'Output-Calculation-sheet'!E11*'Output-Calculation-sheet'!E47</f>
        <v>21417.462584389297</v>
      </c>
      <c r="F56" s="2">
        <f>F12/'Output-Calculation-sheet'!F11*'Output-Calculation-sheet'!F47</f>
        <v>2396.3008336412513</v>
      </c>
      <c r="G56" s="2">
        <f>G12/'Output-Calculation-sheet'!G11*'Output-Calculation-sheet'!G47</f>
        <v>5445.9843595205266</v>
      </c>
      <c r="H56" s="2">
        <f>H12/'Output-Calculation-sheet'!H11*'Output-Calculation-sheet'!H47</f>
        <v>19537.775611751968</v>
      </c>
      <c r="I56" s="2">
        <f>I12/'Output-Calculation-sheet'!I11*'Output-Calculation-sheet'!I47</f>
        <v>3515.5534324965356</v>
      </c>
      <c r="J56" s="2">
        <f>J12/'Output-Calculation-sheet'!J11*'Output-Calculation-sheet'!J47</f>
        <v>3456.0487240989351</v>
      </c>
      <c r="K56" s="2">
        <f>K12/'Output-Calculation-sheet'!K11*'Output-Calculation-sheet'!K47</f>
        <v>4791.2600982434888</v>
      </c>
      <c r="L56" s="2">
        <f>L12/'Output-Calculation-sheet'!L11*'Output-Calculation-sheet'!L47</f>
        <v>4469.1655174490606</v>
      </c>
      <c r="M56" s="2">
        <f>M12/'Output-Calculation-sheet'!M11*'Output-Calculation-sheet'!M47</f>
        <v>13895.505428110428</v>
      </c>
      <c r="N56" s="2">
        <f>N12/'Output-Calculation-sheet'!N11*'Output-Calculation-sheet'!N47</f>
        <v>11523.137731986386</v>
      </c>
      <c r="O56" s="2">
        <f>O12/'Output-Calculation-sheet'!O11*'Output-Calculation-sheet'!O47</f>
        <v>10068.188635339235</v>
      </c>
      <c r="P56" s="2">
        <f>P12/'Output-Calculation-sheet'!P11*'Output-Calculation-sheet'!P47</f>
        <v>5645.9532823911259</v>
      </c>
      <c r="Q56" s="2">
        <f>Q12/'Output-Calculation-sheet'!Q11*'Output-Calculation-sheet'!Q47</f>
        <v>5324.7063299953234</v>
      </c>
      <c r="R56" s="2">
        <f>R12/'Output-Calculation-sheet'!R11*'Output-Calculation-sheet'!R47</f>
        <v>4331.1467442366038</v>
      </c>
      <c r="S56" s="2">
        <f>S12/'Output-Calculation-sheet'!S11*'Output-Calculation-sheet'!S47</f>
        <v>5763.860122088221</v>
      </c>
      <c r="T56" s="2">
        <f>T12/'Output-Calculation-sheet'!T11*'Output-Calculation-sheet'!T47</f>
        <v>1552.9839374326298</v>
      </c>
      <c r="U56" s="2">
        <f>U12/'Output-Calculation-sheet'!U11*'Output-Calculation-sheet'!U47</f>
        <v>1474.6128079451844</v>
      </c>
      <c r="V56" s="2">
        <f>V12/'Output-Calculation-sheet'!V11*'Output-Calculation-sheet'!V47</f>
        <v>905.23240410001961</v>
      </c>
      <c r="W56" s="2">
        <f>W12/'Output-Calculation-sheet'!W11*'Output-Calculation-sheet'!W47</f>
        <v>525.7618934703263</v>
      </c>
      <c r="X56" s="2">
        <f>X12/'Output-Calculation-sheet'!X11*'Output-Calculation-sheet'!X47</f>
        <v>1400.516040623485</v>
      </c>
      <c r="Y56" s="2">
        <f>Y12/'Output-Calculation-sheet'!Y11*'Output-Calculation-sheet'!Y47</f>
        <v>787.00986801936824</v>
      </c>
      <c r="AA56" s="2">
        <f t="shared" si="3"/>
        <v>276.04823665384498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8.5458435329148319</v>
      </c>
      <c r="C63" s="2">
        <f>C8*'Output-Calculation-sheet'!C52/10^9</f>
        <v>5.3891012253881971</v>
      </c>
      <c r="D63" s="2">
        <f>D8*'Output-Calculation-sheet'!D52/10^9</f>
        <v>2.9305330508906375</v>
      </c>
      <c r="E63" s="2">
        <f>E8*'Output-Calculation-sheet'!E52/10^9</f>
        <v>2.9137505784623499</v>
      </c>
      <c r="F63" s="2">
        <f>F8*'Output-Calculation-sheet'!F52/10^9</f>
        <v>1.2339741115873144</v>
      </c>
      <c r="G63" s="2">
        <f>G8*'Output-Calculation-sheet'!G52/10^9</f>
        <v>0.88717056354855406</v>
      </c>
      <c r="H63" s="2">
        <f>H8*'Output-Calculation-sheet'!H52/10^9</f>
        <v>1.5497094218368783</v>
      </c>
      <c r="I63" s="2">
        <f>I8*'Output-Calculation-sheet'!I52/10^9</f>
        <v>0.82527470438515815</v>
      </c>
      <c r="J63" s="2">
        <f>J8*'Output-Calculation-sheet'!J52/10^9</f>
        <v>1.1356350411094265</v>
      </c>
      <c r="K63" s="2">
        <f>K8*'Output-Calculation-sheet'!K52/10^9</f>
        <v>0.99775380613250197</v>
      </c>
      <c r="L63" s="2">
        <f>L8*'Output-Calculation-sheet'!L52/10^9</f>
        <v>1.3420249847432335</v>
      </c>
      <c r="M63" s="2">
        <f>M8*'Output-Calculation-sheet'!M52/10^9</f>
        <v>1.2578424568806814</v>
      </c>
      <c r="N63" s="2">
        <f>N8*'Output-Calculation-sheet'!N52/10^9</f>
        <v>1.0497932936997916</v>
      </c>
      <c r="O63" s="2">
        <f>O8*'Output-Calculation-sheet'!O52/10^9</f>
        <v>1.1194544823882691</v>
      </c>
      <c r="P63" s="2">
        <f>P8*'Output-Calculation-sheet'!P52/10^9</f>
        <v>0.68942223235073474</v>
      </c>
      <c r="Q63" s="2">
        <f>Q8*'Output-Calculation-sheet'!Q52/10^9</f>
        <v>0.78021967947902671</v>
      </c>
      <c r="R63" s="2">
        <f>R8*'Output-Calculation-sheet'!R52/10^9</f>
        <v>0.70048318222535932</v>
      </c>
      <c r="S63" s="2">
        <f>S8*'Output-Calculation-sheet'!S52/10^9</f>
        <v>0.51908594747271319</v>
      </c>
      <c r="T63" s="2">
        <f>T8*'Output-Calculation-sheet'!T52/10^9</f>
        <v>0.26631478652502616</v>
      </c>
      <c r="U63" s="2">
        <f>U8*'Output-Calculation-sheet'!U52/10^9</f>
        <v>0.18290203424291884</v>
      </c>
      <c r="V63" s="2">
        <f>V8*'Output-Calculation-sheet'!V52/10^9</f>
        <v>0.324608136081803</v>
      </c>
      <c r="W63" s="2">
        <f>W8*'Output-Calculation-sheet'!W52/10^9</f>
        <v>0.11749316423849093</v>
      </c>
      <c r="X63" s="2">
        <f>X8*'Output-Calculation-sheet'!X52/10^9</f>
        <v>0.1352319214326641</v>
      </c>
      <c r="Y63" s="2">
        <f>Y8*'Output-Calculation-sheet'!Y52/10^9</f>
        <v>7.6660947243566369E-2</v>
      </c>
      <c r="AA63" s="2">
        <f t="shared" si="4"/>
        <v>34.97028328526013</v>
      </c>
    </row>
    <row r="64" spans="1:27" x14ac:dyDescent="0.25">
      <c r="A64" s="2">
        <v>2032</v>
      </c>
      <c r="B64" s="2">
        <f>B9*'Output-Calculation-sheet'!B53/10^9</f>
        <v>8.6962772135028619</v>
      </c>
      <c r="C64" s="2">
        <f>C9*'Output-Calculation-sheet'!C53/10^9</f>
        <v>5.8711583580407156</v>
      </c>
      <c r="D64" s="2">
        <f>D9*'Output-Calculation-sheet'!D53/10^9</f>
        <v>2.573574318304404</v>
      </c>
      <c r="E64" s="2">
        <f>E9*'Output-Calculation-sheet'!E53/10^9</f>
        <v>2.6354655764154136</v>
      </c>
      <c r="F64" s="2">
        <f>F9*'Output-Calculation-sheet'!F53/10^9</f>
        <v>1.1116237876569761</v>
      </c>
      <c r="G64" s="2">
        <f>G9*'Output-Calculation-sheet'!G53/10^9</f>
        <v>0.79121896576257944</v>
      </c>
      <c r="H64" s="2">
        <f>H9*'Output-Calculation-sheet'!H53/10^9</f>
        <v>1.6257867007603186</v>
      </c>
      <c r="I64" s="2">
        <f>I9*'Output-Calculation-sheet'!I53/10^9</f>
        <v>0.73966054204234055</v>
      </c>
      <c r="J64" s="2">
        <f>J9*'Output-Calculation-sheet'!J53/10^9</f>
        <v>0.97916122604845979</v>
      </c>
      <c r="K64" s="2">
        <f>K9*'Output-Calculation-sheet'!K53/10^9</f>
        <v>0.90852606592562857</v>
      </c>
      <c r="L64" s="2">
        <f>L9*'Output-Calculation-sheet'!L53/10^9</f>
        <v>1.1688112578466325</v>
      </c>
      <c r="M64" s="2">
        <f>M9*'Output-Calculation-sheet'!M53/10^9</f>
        <v>1.2742052727940989</v>
      </c>
      <c r="N64" s="2">
        <f>N9*'Output-Calculation-sheet'!N53/10^9</f>
        <v>1.0726439695582188</v>
      </c>
      <c r="O64" s="2">
        <f>O9*'Output-Calculation-sheet'!O53/10^9</f>
        <v>1.2143046472954007</v>
      </c>
      <c r="P64" s="2">
        <f>P9*'Output-Calculation-sheet'!P53/10^9</f>
        <v>0.69267773990216319</v>
      </c>
      <c r="Q64" s="2">
        <f>Q9*'Output-Calculation-sheet'!Q53/10^9</f>
        <v>0.76552514516520775</v>
      </c>
      <c r="R64" s="2">
        <f>R9*'Output-Calculation-sheet'!R53/10^9</f>
        <v>0.65623493529061616</v>
      </c>
      <c r="S64" s="2">
        <f>S9*'Output-Calculation-sheet'!S53/10^9</f>
        <v>0.5421958529191977</v>
      </c>
      <c r="T64" s="2">
        <f>T9*'Output-Calculation-sheet'!T53/10^9</f>
        <v>0.23589937834421132</v>
      </c>
      <c r="U64" s="2">
        <f>U9*'Output-Calculation-sheet'!U53/10^9</f>
        <v>0.17755645842851364</v>
      </c>
      <c r="V64" s="2">
        <f>V9*'Output-Calculation-sheet'!V53/10^9</f>
        <v>0.27999670734070037</v>
      </c>
      <c r="W64" s="2">
        <f>W9*'Output-Calculation-sheet'!W53/10^9</f>
        <v>0.10404172971507175</v>
      </c>
      <c r="X64" s="2">
        <f>X9*'Output-Calculation-sheet'!X53/10^9</f>
        <v>0.14122266780632692</v>
      </c>
      <c r="Y64" s="2">
        <f>Y9*'Output-Calculation-sheet'!Y53/10^9</f>
        <v>7.2895019196206987E-2</v>
      </c>
      <c r="AA64" s="2">
        <f t="shared" si="4"/>
        <v>34.330663536062268</v>
      </c>
    </row>
    <row r="65" spans="1:27" x14ac:dyDescent="0.25">
      <c r="A65" s="2">
        <v>2033</v>
      </c>
      <c r="B65" s="2">
        <f>B10*'Output-Calculation-sheet'!B54/10^9</f>
        <v>8.4708368523456681</v>
      </c>
      <c r="C65" s="2">
        <f>C10*'Output-Calculation-sheet'!C54/10^9</f>
        <v>5.9264454242572411</v>
      </c>
      <c r="D65" s="2">
        <f>D10*'Output-Calculation-sheet'!D54/10^9</f>
        <v>2.00123306633638</v>
      </c>
      <c r="E65" s="2">
        <f>E10*'Output-Calculation-sheet'!E54/10^9</f>
        <v>2.2533655475681629</v>
      </c>
      <c r="F65" s="2">
        <f>F10*'Output-Calculation-sheet'!F54/10^9</f>
        <v>0.91482785042895776</v>
      </c>
      <c r="G65" s="2">
        <f>G10*'Output-Calculation-sheet'!G54/10^9</f>
        <v>0.62811206980673384</v>
      </c>
      <c r="H65" s="2">
        <f>H10*'Output-Calculation-sheet'!H54/10^9</f>
        <v>1.5522377612226044</v>
      </c>
      <c r="I65" s="2">
        <f>I10*'Output-Calculation-sheet'!I54/10^9</f>
        <v>0.61160961635293243</v>
      </c>
      <c r="J65" s="2">
        <f>J10*'Output-Calculation-sheet'!J54/10^9</f>
        <v>0.73100990345965244</v>
      </c>
      <c r="K65" s="2">
        <f>K10*'Output-Calculation-sheet'!K54/10^9</f>
        <v>0.77989073330467407</v>
      </c>
      <c r="L65" s="2">
        <f>L10*'Output-Calculation-sheet'!L54/10^9</f>
        <v>0.92121497669966523</v>
      </c>
      <c r="M65" s="2">
        <f>M10*'Output-Calculation-sheet'!M54/10^9</f>
        <v>1.1720522804901281</v>
      </c>
      <c r="N65" s="2">
        <f>N10*'Output-Calculation-sheet'!N54/10^9</f>
        <v>1.0120836752150075</v>
      </c>
      <c r="O65" s="2">
        <f>O10*'Output-Calculation-sheet'!O54/10^9</f>
        <v>1.2122906758381677</v>
      </c>
      <c r="P65" s="2">
        <f>P10*'Output-Calculation-sheet'!P54/10^9</f>
        <v>0.65990428543513979</v>
      </c>
      <c r="Q65" s="2">
        <f>Q10*'Output-Calculation-sheet'!Q54/10^9</f>
        <v>0.72006691268804413</v>
      </c>
      <c r="R65" s="2">
        <f>R10*'Output-Calculation-sheet'!R54/10^9</f>
        <v>0.58095050146727834</v>
      </c>
      <c r="S65" s="2">
        <f>S10*'Output-Calculation-sheet'!S54/10^9</f>
        <v>0.52770932387690883</v>
      </c>
      <c r="T65" s="2">
        <f>T10*'Output-Calculation-sheet'!T54/10^9</f>
        <v>0.19423698719256247</v>
      </c>
      <c r="U65" s="2">
        <f>U10*'Output-Calculation-sheet'!U54/10^9</f>
        <v>0.16771805602294776</v>
      </c>
      <c r="V65" s="2">
        <f>V10*'Output-Calculation-sheet'!V54/10^9</f>
        <v>0.21495254549035553</v>
      </c>
      <c r="W65" s="2">
        <f>W10*'Output-Calculation-sheet'!W54/10^9</f>
        <v>8.1840518795007186E-2</v>
      </c>
      <c r="X65" s="2">
        <f>X10*'Output-Calculation-sheet'!X54/10^9</f>
        <v>0.13480061261767298</v>
      </c>
      <c r="Y65" s="2">
        <f>Y10*'Output-Calculation-sheet'!Y54/10^9</f>
        <v>6.735913369462089E-2</v>
      </c>
      <c r="AA65" s="2">
        <f t="shared" si="4"/>
        <v>31.536749310606513</v>
      </c>
    </row>
    <row r="66" spans="1:27" x14ac:dyDescent="0.25">
      <c r="A66" s="2">
        <v>2034</v>
      </c>
      <c r="B66" s="2">
        <f>B11*'Output-Calculation-sheet'!B55/10^9</f>
        <v>7.8379790174420876</v>
      </c>
      <c r="C66" s="2">
        <f>C11*'Output-Calculation-sheet'!C55/10^9</f>
        <v>5.5488257908537415</v>
      </c>
      <c r="D66" s="2">
        <f>D11*'Output-Calculation-sheet'!D55/10^9</f>
        <v>1.6395667053155201</v>
      </c>
      <c r="E66" s="2">
        <f>E11*'Output-Calculation-sheet'!E55/10^9</f>
        <v>1.9852500770529775</v>
      </c>
      <c r="F66" s="2">
        <f>F11*'Output-Calculation-sheet'!F55/10^9</f>
        <v>0.76296659188094951</v>
      </c>
      <c r="G66" s="2">
        <f>G11*'Output-Calculation-sheet'!G55/10^9</f>
        <v>0.54535792072694877</v>
      </c>
      <c r="H66" s="2">
        <f>H11*'Output-Calculation-sheet'!H55/10^9</f>
        <v>1.4005110415233362</v>
      </c>
      <c r="I66" s="2">
        <f>I11*'Output-Calculation-sheet'!I55/10^9</f>
        <v>0.53334349455279828</v>
      </c>
      <c r="J66" s="2">
        <f>J11*'Output-Calculation-sheet'!J55/10^9</f>
        <v>0.54840059504436833</v>
      </c>
      <c r="K66" s="2">
        <f>K11*'Output-Calculation-sheet'!K55/10^9</f>
        <v>0.65595489843472055</v>
      </c>
      <c r="L66" s="2">
        <f>L11*'Output-Calculation-sheet'!L55/10^9</f>
        <v>0.69464801738678972</v>
      </c>
      <c r="M66" s="2">
        <f>M11*'Output-Calculation-sheet'!M55/10^9</f>
        <v>1.0100882416498176</v>
      </c>
      <c r="N66" s="2">
        <f>N11*'Output-Calculation-sheet'!N55/10^9</f>
        <v>0.88254776075266295</v>
      </c>
      <c r="O66" s="2">
        <f>O11*'Output-Calculation-sheet'!O55/10^9</f>
        <v>1.1138569955025119</v>
      </c>
      <c r="P66" s="2">
        <f>P11*'Output-Calculation-sheet'!P55/10^9</f>
        <v>0.60666422903500816</v>
      </c>
      <c r="Q66" s="2">
        <f>Q11*'Output-Calculation-sheet'!Q55/10^9</f>
        <v>0.66228720460002577</v>
      </c>
      <c r="R66" s="2">
        <f>R11*'Output-Calculation-sheet'!R55/10^9</f>
        <v>0.49136110374999126</v>
      </c>
      <c r="S66" s="2">
        <f>S11*'Output-Calculation-sheet'!S55/10^9</f>
        <v>0.48347940007750062</v>
      </c>
      <c r="T66" s="2">
        <f>T11*'Output-Calculation-sheet'!T55/10^9</f>
        <v>0.15401464897960354</v>
      </c>
      <c r="U66" s="2">
        <f>U11*'Output-Calculation-sheet'!U55/10^9</f>
        <v>0.15724968672998735</v>
      </c>
      <c r="V66" s="2">
        <f>V11*'Output-Calculation-sheet'!V55/10^9</f>
        <v>0.14610570286649238</v>
      </c>
      <c r="W66" s="2">
        <f>W11*'Output-Calculation-sheet'!W55/10^9</f>
        <v>6.6156586325724992E-2</v>
      </c>
      <c r="X66" s="2">
        <f>X11*'Output-Calculation-sheet'!X55/10^9</f>
        <v>0.12549043195036994</v>
      </c>
      <c r="Y66" s="2">
        <f>Y11*'Output-Calculation-sheet'!Y55/10^9</f>
        <v>6.4918011575491791E-2</v>
      </c>
      <c r="AA66" s="2">
        <f t="shared" si="4"/>
        <v>28.117024154009432</v>
      </c>
    </row>
    <row r="67" spans="1:27" x14ac:dyDescent="0.25">
      <c r="A67" s="2">
        <v>2035</v>
      </c>
      <c r="B67" s="2">
        <f>B12*'Output-Calculation-sheet'!B56/10^9</f>
        <v>7.1112320949173231</v>
      </c>
      <c r="C67" s="2">
        <f>C12*'Output-Calculation-sheet'!C56/10^9</f>
        <v>4.7725212271026178</v>
      </c>
      <c r="D67" s="2">
        <f>D12*'Output-Calculation-sheet'!D56/10^9</f>
        <v>1.5605201471406747</v>
      </c>
      <c r="E67" s="2">
        <f>E12*'Output-Calculation-sheet'!E56/10^9</f>
        <v>1.9861581869488403</v>
      </c>
      <c r="F67" s="2">
        <f>F12*'Output-Calculation-sheet'!F56/10^9</f>
        <v>0.77222654520860812</v>
      </c>
      <c r="G67" s="2">
        <f>G12*'Output-Calculation-sheet'!G56/10^9</f>
        <v>0.56770233037950291</v>
      </c>
      <c r="H67" s="2">
        <f>H12*'Output-Calculation-sheet'!H56/10^9</f>
        <v>1.2544200825382836</v>
      </c>
      <c r="I67" s="2">
        <f>I12*'Output-Calculation-sheet'!I56/10^9</f>
        <v>0.5355885998937614</v>
      </c>
      <c r="J67" s="2">
        <f>J12*'Output-Calculation-sheet'!J56/10^9</f>
        <v>0.49771243517992986</v>
      </c>
      <c r="K67" s="2">
        <f>K12*'Output-Calculation-sheet'!K56/10^9</f>
        <v>0.61120105893079568</v>
      </c>
      <c r="L67" s="2">
        <f>L12*'Output-Calculation-sheet'!L56/10^9</f>
        <v>0.58579345176363284</v>
      </c>
      <c r="M67" s="2">
        <f>M12*'Output-Calculation-sheet'!M56/10^9</f>
        <v>0.90173821257026354</v>
      </c>
      <c r="N67" s="2">
        <f>N12*'Output-Calculation-sheet'!N56/10^9</f>
        <v>0.77050422330513824</v>
      </c>
      <c r="O67" s="2">
        <f>O12*'Output-Calculation-sheet'!O56/10^9</f>
        <v>0.94010977291370434</v>
      </c>
      <c r="P67" s="2">
        <f>P12*'Output-Calculation-sheet'!P56/10^9</f>
        <v>0.59017831469505266</v>
      </c>
      <c r="Q67" s="2">
        <f>Q12*'Output-Calculation-sheet'!Q56/10^9</f>
        <v>0.59311595516002646</v>
      </c>
      <c r="R67" s="2">
        <f>R12*'Output-Calculation-sheet'!R56/10^9</f>
        <v>0.45061194087873768</v>
      </c>
      <c r="S67" s="2">
        <f>S12*'Output-Calculation-sheet'!S56/10^9</f>
        <v>0.42947592496139764</v>
      </c>
      <c r="T67" s="2">
        <f>T12*'Output-Calculation-sheet'!T56/10^9</f>
        <v>0.13816172997571002</v>
      </c>
      <c r="U67" s="2">
        <f>U12*'Output-Calculation-sheet'!U56/10^9</f>
        <v>0.14841620369937983</v>
      </c>
      <c r="V67" s="2">
        <f>V12*'Output-Calculation-sheet'!V56/10^9</f>
        <v>0.1061270479638274</v>
      </c>
      <c r="W67" s="2">
        <f>W12*'Output-Calculation-sheet'!W56/10^9</f>
        <v>7.0382282935950169E-2</v>
      </c>
      <c r="X67" s="2">
        <f>X12*'Output-Calculation-sheet'!X56/10^9</f>
        <v>0.11238822863876803</v>
      </c>
      <c r="Y67" s="2">
        <f>Y12*'Output-Calculation-sheet'!Y56/10^9</f>
        <v>6.6601542366736433E-2</v>
      </c>
      <c r="AA67" s="2">
        <f t="shared" si="4"/>
        <v>25.572887540068667</v>
      </c>
    </row>
    <row r="68" spans="1:27" x14ac:dyDescent="0.25">
      <c r="B68" s="2">
        <f>SUM(B60:B67)</f>
        <v>60.506907150647677</v>
      </c>
      <c r="C68" s="2">
        <f t="shared" ref="C68:Y68" si="5">SUM(C60:C67)</f>
        <v>38.012420711862809</v>
      </c>
      <c r="D68" s="2">
        <f t="shared" si="5"/>
        <v>18.490697278677914</v>
      </c>
      <c r="E68" s="2">
        <f t="shared" si="5"/>
        <v>19.449610903935195</v>
      </c>
      <c r="F68" s="2">
        <f t="shared" si="5"/>
        <v>7.9768046668501924</v>
      </c>
      <c r="G68" s="2">
        <f t="shared" si="5"/>
        <v>5.7344007827064454</v>
      </c>
      <c r="H68" s="2">
        <f t="shared" si="5"/>
        <v>10.65427058313805</v>
      </c>
      <c r="I68" s="2">
        <f t="shared" si="5"/>
        <v>5.3861752374140348</v>
      </c>
      <c r="J68" s="2">
        <f t="shared" si="5"/>
        <v>6.9718116251572368</v>
      </c>
      <c r="K68" s="2">
        <f t="shared" si="5"/>
        <v>6.5470624871370671</v>
      </c>
      <c r="L68" s="2">
        <f t="shared" si="5"/>
        <v>8.3653800812765624</v>
      </c>
      <c r="M68" s="2">
        <f t="shared" si="5"/>
        <v>8.4207109069072814</v>
      </c>
      <c r="N68" s="2">
        <f t="shared" si="5"/>
        <v>7.2215511540068444</v>
      </c>
      <c r="O68" s="2">
        <f t="shared" si="5"/>
        <v>7.7952529150336787</v>
      </c>
      <c r="P68" s="2">
        <f t="shared" si="5"/>
        <v>4.8860530684245695</v>
      </c>
      <c r="Q68" s="2">
        <f t="shared" si="5"/>
        <v>5.4015500097911717</v>
      </c>
      <c r="R68" s="2">
        <f t="shared" si="5"/>
        <v>4.6826080328067663</v>
      </c>
      <c r="S68" s="2">
        <f t="shared" si="5"/>
        <v>3.6813327307095687</v>
      </c>
      <c r="T68" s="2">
        <f t="shared" si="5"/>
        <v>1.6944043018475603</v>
      </c>
      <c r="U68" s="2">
        <f t="shared" si="5"/>
        <v>1.2954811086422648</v>
      </c>
      <c r="V68" s="2">
        <f t="shared" si="5"/>
        <v>1.9648116861553033</v>
      </c>
      <c r="W68" s="2">
        <f t="shared" si="5"/>
        <v>0.74906324386738354</v>
      </c>
      <c r="X68" s="2">
        <f t="shared" si="5"/>
        <v>0.93475629098519297</v>
      </c>
      <c r="Y68" s="2">
        <f t="shared" si="5"/>
        <v>0.54335407375610623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7083.7638425372097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1744.5793966401186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1146.0364467348913</v>
      </c>
      <c r="N74" s="2">
        <f>N8/'Output-Calculation-sheet'!N7*'Output-Calculation-sheet'!N61</f>
        <v>48.032413725547279</v>
      </c>
      <c r="O74" s="2">
        <f>O8/'Output-Calculation-sheet'!O7*'Output-Calculation-sheet'!O61</f>
        <v>1416.3196450708092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142.41148881725684</v>
      </c>
      <c r="Y74" s="2">
        <f>Y8/'Output-Calculation-sheet'!Y7*'Output-Calculation-sheet'!Y61</f>
        <v>0</v>
      </c>
      <c r="AA74" s="2">
        <f t="shared" si="6"/>
        <v>11.581143233525832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11596.793060218391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2877.6245779347641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1952.5702880348058</v>
      </c>
      <c r="N75" s="2">
        <f>N9/'Output-Calculation-sheet'!N8*'Output-Calculation-sheet'!N62</f>
        <v>754.73884450962976</v>
      </c>
      <c r="O75" s="2">
        <f>O9/'Output-Calculation-sheet'!O8*'Output-Calculation-sheet'!O62</f>
        <v>2292.3123744682939</v>
      </c>
      <c r="P75" s="2">
        <f>P9/'Output-Calculation-sheet'!P8*'Output-Calculation-sheet'!P62</f>
        <v>50.528575934166753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252.89479701187932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235.23116058423204</v>
      </c>
      <c r="Y75" s="2">
        <f>Y9/'Output-Calculation-sheet'!Y8*'Output-Calculation-sheet'!Y62</f>
        <v>0</v>
      </c>
      <c r="AA75" s="2">
        <f t="shared" si="6"/>
        <v>20.012693678696163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13156.028402008373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3871.5851857283969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2635.9943774679286</v>
      </c>
      <c r="N76" s="2">
        <f>N10/'Output-Calculation-sheet'!N9*'Output-Calculation-sheet'!N63</f>
        <v>1508.4897995331019</v>
      </c>
      <c r="O76" s="2">
        <f>O10/'Output-Calculation-sheet'!O9*'Output-Calculation-sheet'!O63</f>
        <v>2329.150000533923</v>
      </c>
      <c r="P76" s="2">
        <f>P10/'Output-Calculation-sheet'!P9*'Output-Calculation-sheet'!P63</f>
        <v>523.23775091811262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393.63493155101168</v>
      </c>
      <c r="S76" s="2">
        <f>S10/'Output-Calculation-sheet'!S9*'Output-Calculation-sheet'!S63</f>
        <v>668.9017039538827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139.41824472465717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310.44911239110388</v>
      </c>
      <c r="Y76" s="2">
        <f>Y10/'Output-Calculation-sheet'!Y9*'Output-Calculation-sheet'!Y63</f>
        <v>5.8891829974712673</v>
      </c>
      <c r="AA76" s="2">
        <f t="shared" si="6"/>
        <v>31.842445248182287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11867.165453191201</v>
      </c>
      <c r="D77" s="2">
        <f>D11/'Output-Calculation-sheet'!D10*'Output-Calculation-sheet'!D64</f>
        <v>1620.5578777249075</v>
      </c>
      <c r="E77" s="2">
        <f>E11/'Output-Calculation-sheet'!E10*'Output-Calculation-sheet'!E64</f>
        <v>1969.8202971946926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841.6723370963872</v>
      </c>
      <c r="H77" s="2">
        <f>H11/'Output-Calculation-sheet'!H10*'Output-Calculation-sheet'!H64</f>
        <v>4472.5154358452692</v>
      </c>
      <c r="I77" s="2">
        <f>I11/'Output-Calculation-sheet'!I10*'Output-Calculation-sheet'!I64</f>
        <v>501.91177291119698</v>
      </c>
      <c r="J77" s="2">
        <f>J11/'Output-Calculation-sheet'!J10*'Output-Calculation-sheet'!J64</f>
        <v>339.51038149426114</v>
      </c>
      <c r="K77" s="2">
        <f>K11/'Output-Calculation-sheet'!K10*'Output-Calculation-sheet'!K64</f>
        <v>763.56185301497965</v>
      </c>
      <c r="L77" s="2">
        <f>L11/'Output-Calculation-sheet'!L10*'Output-Calculation-sheet'!L64</f>
        <v>319.8651678877203</v>
      </c>
      <c r="M77" s="2">
        <f>M11/'Output-Calculation-sheet'!M10*'Output-Calculation-sheet'!M64</f>
        <v>3008.0492796297131</v>
      </c>
      <c r="N77" s="2">
        <f>N11/'Output-Calculation-sheet'!N10*'Output-Calculation-sheet'!N64</f>
        <v>2117.8549836948109</v>
      </c>
      <c r="O77" s="2">
        <f>O11/'Output-Calculation-sheet'!O10*'Output-Calculation-sheet'!O64</f>
        <v>2196.339453201479</v>
      </c>
      <c r="P77" s="2">
        <f>P11/'Output-Calculation-sheet'!P10*'Output-Calculation-sheet'!P64</f>
        <v>934.76992105569309</v>
      </c>
      <c r="Q77" s="2">
        <f>Q11/'Output-Calculation-sheet'!Q10*'Output-Calculation-sheet'!Q64</f>
        <v>840.4782099742132</v>
      </c>
      <c r="R77" s="2">
        <f>R11/'Output-Calculation-sheet'!R10*'Output-Calculation-sheet'!R64</f>
        <v>800.16910438128355</v>
      </c>
      <c r="S77" s="2">
        <f>S11/'Output-Calculation-sheet'!S10*'Output-Calculation-sheet'!S64</f>
        <v>1064.9956638727238</v>
      </c>
      <c r="T77" s="2">
        <f>T11/'Output-Calculation-sheet'!T10*'Output-Calculation-sheet'!T64</f>
        <v>220.06984810966233</v>
      </c>
      <c r="U77" s="2">
        <f>U11/'Output-Calculation-sheet'!U10*'Output-Calculation-sheet'!U64</f>
        <v>292.4927678218728</v>
      </c>
      <c r="V77" s="2">
        <f>V11/'Output-Calculation-sheet'!V10*'Output-Calculation-sheet'!V64</f>
        <v>113.78704263353016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312.97809632884565</v>
      </c>
      <c r="Y77" s="2">
        <f>Y11/'Output-Calculation-sheet'!Y10*'Output-Calculation-sheet'!Y64</f>
        <v>73.236975463924907</v>
      </c>
      <c r="AA77" s="2">
        <f t="shared" si="6"/>
        <v>47.799935257645636</v>
      </c>
    </row>
    <row r="78" spans="1:27" x14ac:dyDescent="0.25">
      <c r="A78" s="2">
        <v>2035</v>
      </c>
      <c r="B78" s="2">
        <f>B12/'Output-Calculation-sheet'!B11*'Output-Calculation-sheet'!B65</f>
        <v>13860.636794089271</v>
      </c>
      <c r="C78" s="2">
        <f>C12/'Output-Calculation-sheet'!C11*'Output-Calculation-sheet'!C65</f>
        <v>10128.65669775606</v>
      </c>
      <c r="D78" s="2">
        <f>D12/'Output-Calculation-sheet'!D11*'Output-Calculation-sheet'!D65</f>
        <v>2602.2366578538404</v>
      </c>
      <c r="E78" s="2">
        <f>E12/'Output-Calculation-sheet'!E11*'Output-Calculation-sheet'!E65</f>
        <v>3257.1284541073546</v>
      </c>
      <c r="F78" s="2">
        <f>F12/'Output-Calculation-sheet'!F11*'Output-Calculation-sheet'!F65</f>
        <v>651.14029015942731</v>
      </c>
      <c r="G78" s="2">
        <f>G12/'Output-Calculation-sheet'!G11*'Output-Calculation-sheet'!G65</f>
        <v>1196.9179213885925</v>
      </c>
      <c r="H78" s="2">
        <f>H12/'Output-Calculation-sheet'!H11*'Output-Calculation-sheet'!H65</f>
        <v>3784.320728892289</v>
      </c>
      <c r="I78" s="2">
        <f>I12/'Output-Calculation-sheet'!I11*'Output-Calculation-sheet'!I65</f>
        <v>869.18543065044344</v>
      </c>
      <c r="J78" s="2">
        <f>J12/'Output-Calculation-sheet'!J11*'Output-Calculation-sheet'!J65</f>
        <v>840.51568869243704</v>
      </c>
      <c r="K78" s="2">
        <f>K12/'Output-Calculation-sheet'!K11*'Output-Calculation-sheet'!K65</f>
        <v>1053.0176160149174</v>
      </c>
      <c r="L78" s="2">
        <f>L12/'Output-Calculation-sheet'!L11*'Output-Calculation-sheet'!L65</f>
        <v>776.38929489192947</v>
      </c>
      <c r="M78" s="2">
        <f>M12/'Output-Calculation-sheet'!M11*'Output-Calculation-sheet'!M65</f>
        <v>2763.1038849979736</v>
      </c>
      <c r="N78" s="2">
        <f>N12/'Output-Calculation-sheet'!N11*'Output-Calculation-sheet'!N65</f>
        <v>1970.2004824422945</v>
      </c>
      <c r="O78" s="2">
        <f>O12/'Output-Calculation-sheet'!O11*'Output-Calculation-sheet'!O65</f>
        <v>1859.8110981709551</v>
      </c>
      <c r="P78" s="2">
        <f>P12/'Output-Calculation-sheet'!P11*'Output-Calculation-sheet'!P65</f>
        <v>1073.3146439656225</v>
      </c>
      <c r="Q78" s="2">
        <f>Q12/'Output-Calculation-sheet'!Q11*'Output-Calculation-sheet'!Q65</f>
        <v>911.34741964310399</v>
      </c>
      <c r="R78" s="2">
        <f>R12/'Output-Calculation-sheet'!R11*'Output-Calculation-sheet'!R65</f>
        <v>900.70053046925852</v>
      </c>
      <c r="S78" s="2">
        <f>S12/'Output-Calculation-sheet'!S11*'Output-Calculation-sheet'!S65</f>
        <v>1042.0941670648126</v>
      </c>
      <c r="T78" s="2">
        <f>T12/'Output-Calculation-sheet'!T11*'Output-Calculation-sheet'!T65</f>
        <v>325.12788807423476</v>
      </c>
      <c r="U78" s="2">
        <f>U12/'Output-Calculation-sheet'!U11*'Output-Calculation-sheet'!U65</f>
        <v>272.0350437026126</v>
      </c>
      <c r="V78" s="2">
        <f>V12/'Output-Calculation-sheet'!V11*'Output-Calculation-sheet'!V65</f>
        <v>165.48825885034995</v>
      </c>
      <c r="W78" s="2">
        <f>W12/'Output-Calculation-sheet'!W11*'Output-Calculation-sheet'!W65</f>
        <v>115.55290487762372</v>
      </c>
      <c r="X78" s="2">
        <f>X12/'Output-Calculation-sheet'!X11*'Output-Calculation-sheet'!X65</f>
        <v>267.05840157488967</v>
      </c>
      <c r="Y78" s="2">
        <f>Y12/'Output-Calculation-sheet'!Y11*'Output-Calculation-sheet'!Y65</f>
        <v>125.29270651192458</v>
      </c>
      <c r="AA78" s="2">
        <f t="shared" si="6"/>
        <v>50.811273004842214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219.13018366867996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63.856649378580272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0.28298683304726024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592.9728403133563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115.19867055272894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2.2964801691211543</v>
      </c>
      <c r="Y88" s="2">
        <f>Y11/'Output-Calculation-sheet'!Y10*'Output-Calculation-sheet'!Y73</f>
        <v>0</v>
      </c>
      <c r="AA88" s="2">
        <f t="shared" si="7"/>
        <v>0.71046799103520641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820.01462926505133</v>
      </c>
      <c r="D89" s="2">
        <f>D12/'Output-Calculation-sheet'!D11*'Output-Calculation-sheet'!D74</f>
        <v>72.639477943664602</v>
      </c>
      <c r="E89" s="2">
        <f>E12/'Output-Calculation-sheet'!E11*'Output-Calculation-sheet'!E74</f>
        <v>115.45801932285336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75.727812448651036</v>
      </c>
      <c r="I89" s="2">
        <f>I12/'Output-Calculation-sheet'!I11*'Output-Calculation-sheet'!I74</f>
        <v>23.437022883310238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23.034904318478311</v>
      </c>
      <c r="L89" s="2">
        <f>L12/'Output-Calculation-sheet'!L11*'Output-Calculation-sheet'!L74</f>
        <v>18.316252120692873</v>
      </c>
      <c r="M89" s="2">
        <f>M12/'Output-Calculation-sheet'!M11*'Output-Calculation-sheet'!M74</f>
        <v>34.73876357027607</v>
      </c>
      <c r="N89" s="2">
        <f>N12/'Output-Calculation-sheet'!N11*'Output-Calculation-sheet'!N74</f>
        <v>34.142630316996701</v>
      </c>
      <c r="O89" s="2">
        <f>O12/'Output-Calculation-sheet'!O11*'Output-Calculation-sheet'!O74</f>
        <v>143.37610398426125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29.914080505591702</v>
      </c>
      <c r="R89" s="2">
        <f>R12/'Output-Calculation-sheet'!R11*'Output-Calculation-sheet'!R74</f>
        <v>14.832694329577409</v>
      </c>
      <c r="S89" s="2">
        <f>S12/'Output-Calculation-sheet'!S11*'Output-Calculation-sheet'!S74</f>
        <v>19.5716812295016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9.5444194689008697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7.6218560033931153</v>
      </c>
      <c r="Y89" s="2">
        <f>Y12/'Output-Calculation-sheet'!Y11*'Output-Calculation-sheet'!Y74</f>
        <v>3.6776162056979826</v>
      </c>
      <c r="AA89" s="2">
        <f t="shared" si="7"/>
        <v>1.9471047266252663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13842855045.598328</v>
      </c>
      <c r="C96" s="2">
        <f>C8/'Output-Calculation-sheet'!C7*'Output-Calculation-sheet'!C79</f>
        <v>4683100775.4327602</v>
      </c>
      <c r="D96" s="2">
        <f>D8/'Output-Calculation-sheet'!D7*'Output-Calculation-sheet'!D79</f>
        <v>4888848791.3122072</v>
      </c>
      <c r="E96" s="2">
        <f>E8/'Output-Calculation-sheet'!E7*'Output-Calculation-sheet'!E79</f>
        <v>8691956890.3029346</v>
      </c>
      <c r="F96" s="2">
        <f>F8/'Output-Calculation-sheet'!F7*'Output-Calculation-sheet'!F79</f>
        <v>3597515304.6337719</v>
      </c>
      <c r="G96" s="2">
        <f>G8/'Output-Calculation-sheet'!G7*'Output-Calculation-sheet'!G79</f>
        <v>2802168607.694366</v>
      </c>
      <c r="H96" s="2">
        <f>H8/'Output-Calculation-sheet'!H7*'Output-Calculation-sheet'!H79</f>
        <v>2398498074.8692508</v>
      </c>
      <c r="I96" s="2">
        <f>I8/'Output-Calculation-sheet'!I7*'Output-Calculation-sheet'!I79</f>
        <v>1952008341.5106936</v>
      </c>
      <c r="J96" s="2">
        <f>J8/'Output-Calculation-sheet'!J7*'Output-Calculation-sheet'!J79</f>
        <v>1319998459.8490953</v>
      </c>
      <c r="K96" s="2">
        <f>K8/'Output-Calculation-sheet'!K7*'Output-Calculation-sheet'!K79</f>
        <v>1888524033.9863298</v>
      </c>
      <c r="L96" s="2">
        <f>L8/'Output-Calculation-sheet'!L7*'Output-Calculation-sheet'!L79</f>
        <v>1332540915.1210768</v>
      </c>
      <c r="M96" s="2">
        <f>M8/'Output-Calculation-sheet'!M7*'Output-Calculation-sheet'!M79</f>
        <v>1790432425.5727525</v>
      </c>
      <c r="N96" s="2">
        <f>N8/'Output-Calculation-sheet'!N7*'Output-Calculation-sheet'!N79</f>
        <v>1332224318.5791364</v>
      </c>
      <c r="O96" s="2">
        <f>O8/'Output-Calculation-sheet'!O7*'Output-Calculation-sheet'!O79</f>
        <v>673485022.03717041</v>
      </c>
      <c r="P96" s="2">
        <f>P8/'Output-Calculation-sheet'!P7*'Output-Calculation-sheet'!P79</f>
        <v>2252666145.58815</v>
      </c>
      <c r="Q96" s="2">
        <f>Q8/'Output-Calculation-sheet'!Q7*'Output-Calculation-sheet'!Q79</f>
        <v>1049838776.0115258</v>
      </c>
      <c r="R96" s="2">
        <f>R8/'Output-Calculation-sheet'!R7*'Output-Calculation-sheet'!R79</f>
        <v>1309798671.4137244</v>
      </c>
      <c r="S96" s="2">
        <f>S8/'Output-Calculation-sheet'!S7*'Output-Calculation-sheet'!S79</f>
        <v>763198471.4613893</v>
      </c>
      <c r="T96" s="2">
        <f>T8/'Output-Calculation-sheet'!T7*'Output-Calculation-sheet'!T79</f>
        <v>582907933.89697993</v>
      </c>
      <c r="U96" s="2">
        <f>U8/'Output-Calculation-sheet'!U7*'Output-Calculation-sheet'!U79</f>
        <v>366167782.82370049</v>
      </c>
      <c r="V96" s="2">
        <f>V8/'Output-Calculation-sheet'!V7*'Output-Calculation-sheet'!V79</f>
        <v>189986940.44679445</v>
      </c>
      <c r="W96" s="2">
        <f>W8/'Output-Calculation-sheet'!W7*'Output-Calculation-sheet'!W79</f>
        <v>561396006.25006759</v>
      </c>
      <c r="X96" s="2">
        <f>X8/'Output-Calculation-sheet'!X7*'Output-Calculation-sheet'!X79</f>
        <v>197314808.96691796</v>
      </c>
      <c r="Y96" s="2">
        <f>Y8/'Output-Calculation-sheet'!Y7*'Output-Calculation-sheet'!Y79</f>
        <v>308597640.43304467</v>
      </c>
      <c r="AA96" s="2">
        <f t="shared" si="8"/>
        <v>58.77603018379218</v>
      </c>
    </row>
    <row r="97" spans="1:27" x14ac:dyDescent="0.25">
      <c r="A97" s="2">
        <v>2032</v>
      </c>
      <c r="B97" s="2">
        <f>B9/'Output-Calculation-sheet'!B8*'Output-Calculation-sheet'!B80</f>
        <v>18443126859.04108</v>
      </c>
      <c r="C97" s="2">
        <f>C9/'Output-Calculation-sheet'!C8*'Output-Calculation-sheet'!C80</f>
        <v>6281828420.7414789</v>
      </c>
      <c r="D97" s="2">
        <f>D9/'Output-Calculation-sheet'!D8*'Output-Calculation-sheet'!D80</f>
        <v>6259230529.0292215</v>
      </c>
      <c r="E97" s="2">
        <f>E9/'Output-Calculation-sheet'!E8*'Output-Calculation-sheet'!E80</f>
        <v>11447196246.215372</v>
      </c>
      <c r="F97" s="2">
        <f>F9/'Output-Calculation-sheet'!F8*'Output-Calculation-sheet'!F80</f>
        <v>4728837696.5183601</v>
      </c>
      <c r="G97" s="2">
        <f>G9/'Output-Calculation-sheet'!G8*'Output-Calculation-sheet'!G80</f>
        <v>3579470332.3429365</v>
      </c>
      <c r="H97" s="2">
        <f>H9/'Output-Calculation-sheet'!H8*'Output-Calculation-sheet'!H80</f>
        <v>3149210903.0252881</v>
      </c>
      <c r="I97" s="2">
        <f>I9/'Output-Calculation-sheet'!I8*'Output-Calculation-sheet'!I80</f>
        <v>2590518222.1136985</v>
      </c>
      <c r="J97" s="2">
        <f>J9/'Output-Calculation-sheet'!J8*'Output-Calculation-sheet'!J80</f>
        <v>1703026625.1038954</v>
      </c>
      <c r="K97" s="2">
        <f>K9/'Output-Calculation-sheet'!K8*'Output-Calculation-sheet'!K80</f>
        <v>2455271697.231235</v>
      </c>
      <c r="L97" s="2">
        <f>L9/'Output-Calculation-sheet'!L8*'Output-Calculation-sheet'!L80</f>
        <v>1787031075.7828784</v>
      </c>
      <c r="M97" s="2">
        <f>M9/'Output-Calculation-sheet'!M8*'Output-Calculation-sheet'!M80</f>
        <v>2357787579.3657789</v>
      </c>
      <c r="N97" s="2">
        <f>N9/'Output-Calculation-sheet'!N8*'Output-Calculation-sheet'!N80</f>
        <v>1722679066.5565758</v>
      </c>
      <c r="O97" s="2">
        <f>O9/'Output-Calculation-sheet'!O8*'Output-Calculation-sheet'!O80</f>
        <v>891201323.41392434</v>
      </c>
      <c r="P97" s="2">
        <f>P9/'Output-Calculation-sheet'!P8*'Output-Calculation-sheet'!P80</f>
        <v>2915843148.7842784</v>
      </c>
      <c r="Q97" s="2">
        <f>Q9/'Output-Calculation-sheet'!Q8*'Output-Calculation-sheet'!Q80</f>
        <v>1363919610.5343716</v>
      </c>
      <c r="R97" s="2">
        <f>R9/'Output-Calculation-sheet'!R8*'Output-Calculation-sheet'!R80</f>
        <v>1723308951.8817701</v>
      </c>
      <c r="S97" s="2">
        <f>S9/'Output-Calculation-sheet'!S8*'Output-Calculation-sheet'!S80</f>
        <v>1000203529.0094271</v>
      </c>
      <c r="T97" s="2">
        <f>T9/'Output-Calculation-sheet'!T8*'Output-Calculation-sheet'!T80</f>
        <v>753188433.57367992</v>
      </c>
      <c r="U97" s="2">
        <f>U9/'Output-Calculation-sheet'!U8*'Output-Calculation-sheet'!U80</f>
        <v>481507963.83392459</v>
      </c>
      <c r="V97" s="2">
        <f>V9/'Output-Calculation-sheet'!V8*'Output-Calculation-sheet'!V80</f>
        <v>252474080.53965124</v>
      </c>
      <c r="W97" s="2">
        <f>W9/'Output-Calculation-sheet'!W8*'Output-Calculation-sheet'!W80</f>
        <v>731169815.56270754</v>
      </c>
      <c r="X97" s="2">
        <f>X9/'Output-Calculation-sheet'!X8*'Output-Calculation-sheet'!X80</f>
        <v>262560522.79865283</v>
      </c>
      <c r="Y97" s="2">
        <f>Y9/'Output-Calculation-sheet'!Y8*'Output-Calculation-sheet'!Y80</f>
        <v>401898259.11992639</v>
      </c>
      <c r="AA97" s="2">
        <f t="shared" si="8"/>
        <v>77.282490892120137</v>
      </c>
    </row>
    <row r="98" spans="1:27" x14ac:dyDescent="0.25">
      <c r="A98" s="2">
        <v>2033</v>
      </c>
      <c r="B98" s="2">
        <f>B10/'Output-Calculation-sheet'!B9*'Output-Calculation-sheet'!B81</f>
        <v>21661554358.235664</v>
      </c>
      <c r="C98" s="2">
        <f>C10/'Output-Calculation-sheet'!C9*'Output-Calculation-sheet'!C81</f>
        <v>7426655002.4107399</v>
      </c>
      <c r="D98" s="2">
        <f>D10/'Output-Calculation-sheet'!D9*'Output-Calculation-sheet'!D81</f>
        <v>7067913585.2852325</v>
      </c>
      <c r="E98" s="2">
        <f>E10/'Output-Calculation-sheet'!E9*'Output-Calculation-sheet'!E81</f>
        <v>13295190165.108631</v>
      </c>
      <c r="F98" s="2">
        <f>F10/'Output-Calculation-sheet'!F9*'Output-Calculation-sheet'!F81</f>
        <v>5483257783.2319889</v>
      </c>
      <c r="G98" s="2">
        <f>G10/'Output-Calculation-sheet'!G9*'Output-Calculation-sheet'!G81</f>
        <v>4025975630.84727</v>
      </c>
      <c r="H98" s="2">
        <f>H10/'Output-Calculation-sheet'!H9*'Output-Calculation-sheet'!H81</f>
        <v>3647566814.7587304</v>
      </c>
      <c r="I98" s="2">
        <f>I10/'Output-Calculation-sheet'!I9*'Output-Calculation-sheet'!I81</f>
        <v>3032204879.7574878</v>
      </c>
      <c r="J98" s="2">
        <f>J10/'Output-Calculation-sheet'!J9*'Output-Calculation-sheet'!J81</f>
        <v>1938868225.8093719</v>
      </c>
      <c r="K98" s="2">
        <f>K10/'Output-Calculation-sheet'!K9*'Output-Calculation-sheet'!K81</f>
        <v>2816282987.3899112</v>
      </c>
      <c r="L98" s="2">
        <f>L10/'Output-Calculation-sheet'!L9*'Output-Calculation-sheet'!L81</f>
        <v>2112254397.0877652</v>
      </c>
      <c r="M98" s="2">
        <f>M10/'Output-Calculation-sheet'!M9*'Output-Calculation-sheet'!M81</f>
        <v>2739169530.2554231</v>
      </c>
      <c r="N98" s="2">
        <f>N10/'Output-Calculation-sheet'!N9*'Output-Calculation-sheet'!N81</f>
        <v>1965140413.7486436</v>
      </c>
      <c r="O98" s="2">
        <f>O10/'Output-Calculation-sheet'!O9*'Output-Calculation-sheet'!O81</f>
        <v>1040652870.7834071</v>
      </c>
      <c r="P98" s="2">
        <f>P10/'Output-Calculation-sheet'!P9*'Output-Calculation-sheet'!P81</f>
        <v>3325624634.3974724</v>
      </c>
      <c r="Q98" s="2">
        <f>Q10/'Output-Calculation-sheet'!Q9*'Output-Calculation-sheet'!Q81</f>
        <v>1563624396.5505426</v>
      </c>
      <c r="R98" s="2">
        <f>R10/'Output-Calculation-sheet'!R9*'Output-Calculation-sheet'!R81</f>
        <v>2000112161.1381245</v>
      </c>
      <c r="S98" s="2">
        <f>S10/'Output-Calculation-sheet'!S9*'Output-Calculation-sheet'!S81</f>
        <v>1156420926.6994066</v>
      </c>
      <c r="T98" s="2">
        <f>T10/'Output-Calculation-sheet'!T9*'Output-Calculation-sheet'!T81</f>
        <v>858111902.30217791</v>
      </c>
      <c r="U98" s="2">
        <f>U10/'Output-Calculation-sheet'!U9*'Output-Calculation-sheet'!U81</f>
        <v>558343257.69512796</v>
      </c>
      <c r="V98" s="2">
        <f>V10/'Output-Calculation-sheet'!V9*'Output-Calculation-sheet'!V81</f>
        <v>295707991.64535326</v>
      </c>
      <c r="W98" s="2">
        <f>W10/'Output-Calculation-sheet'!W9*'Output-Calculation-sheet'!W81</f>
        <v>838434175.66305339</v>
      </c>
      <c r="X98" s="2">
        <f>X10/'Output-Calculation-sheet'!X9*'Output-Calculation-sheet'!X81</f>
        <v>308099192.50774521</v>
      </c>
      <c r="Y98" s="2">
        <f>Y10/'Output-Calculation-sheet'!Y9*'Output-Calculation-sheet'!Y81</f>
        <v>461023032.9790144</v>
      </c>
      <c r="AA98" s="2">
        <f t="shared" si="8"/>
        <v>89.618188316288283</v>
      </c>
    </row>
    <row r="99" spans="1:27" x14ac:dyDescent="0.25">
      <c r="A99" s="2">
        <v>2034</v>
      </c>
      <c r="B99" s="2">
        <f>B11/'Output-Calculation-sheet'!B10*'Output-Calculation-sheet'!B82</f>
        <v>22787694144.901455</v>
      </c>
      <c r="C99" s="2">
        <f>C11/'Output-Calculation-sheet'!C10*'Output-Calculation-sheet'!C82</f>
        <v>7862689408.5302362</v>
      </c>
      <c r="D99" s="2">
        <f>D11/'Output-Calculation-sheet'!D10*'Output-Calculation-sheet'!D82</f>
        <v>7152835712.2537813</v>
      </c>
      <c r="E99" s="2">
        <f>E11/'Output-Calculation-sheet'!E10*'Output-Calculation-sheet'!E82</f>
        <v>13836533460.771969</v>
      </c>
      <c r="F99" s="2">
        <f>F11/'Output-Calculation-sheet'!F10*'Output-Calculation-sheet'!F82</f>
        <v>5698559134.5347624</v>
      </c>
      <c r="G99" s="2">
        <f>G11/'Output-Calculation-sheet'!G10*'Output-Calculation-sheet'!G82</f>
        <v>4051270033.5053854</v>
      </c>
      <c r="H99" s="2">
        <f>H11/'Output-Calculation-sheet'!H10*'Output-Calculation-sheet'!H82</f>
        <v>3786647391.8865662</v>
      </c>
      <c r="I99" s="2">
        <f>I11/'Output-Calculation-sheet'!I10*'Output-Calculation-sheet'!I82</f>
        <v>3180520194.4776459</v>
      </c>
      <c r="J99" s="2">
        <f>J11/'Output-Calculation-sheet'!J10*'Output-Calculation-sheet'!J82</f>
        <v>1979236500.6049285</v>
      </c>
      <c r="K99" s="2">
        <f>K11/'Output-Calculation-sheet'!K10*'Output-Calculation-sheet'!K82</f>
        <v>2895882729.3105493</v>
      </c>
      <c r="L99" s="2">
        <f>L11/'Output-Calculation-sheet'!L10*'Output-Calculation-sheet'!L82</f>
        <v>2235833241.1552701</v>
      </c>
      <c r="M99" s="2">
        <f>M11/'Output-Calculation-sheet'!M10*'Output-Calculation-sheet'!M82</f>
        <v>2852411293.4633393</v>
      </c>
      <c r="N99" s="2">
        <f>N11/'Output-Calculation-sheet'!N10*'Output-Calculation-sheet'!N82</f>
        <v>2009526421.4658523</v>
      </c>
      <c r="O99" s="2">
        <f>O11/'Output-Calculation-sheet'!O10*'Output-Calculation-sheet'!O82</f>
        <v>1089465123.0559912</v>
      </c>
      <c r="P99" s="2">
        <f>P11/'Output-Calculation-sheet'!P10*'Output-Calculation-sheet'!P82</f>
        <v>3396109597.063251</v>
      </c>
      <c r="Q99" s="2">
        <f>Q11/'Output-Calculation-sheet'!Q10*'Output-Calculation-sheet'!Q82</f>
        <v>1607252474.6925044</v>
      </c>
      <c r="R99" s="2">
        <f>R11/'Output-Calculation-sheet'!R10*'Output-Calculation-sheet'!R82</f>
        <v>2080580895.5803547</v>
      </c>
      <c r="S99" s="2">
        <f>S11/'Output-Calculation-sheet'!S10*'Output-Calculation-sheet'!S82</f>
        <v>1198472761.6170554</v>
      </c>
      <c r="T99" s="2">
        <f>T11/'Output-Calculation-sheet'!T10*'Output-Calculation-sheet'!T82</f>
        <v>875943470.80316639</v>
      </c>
      <c r="U99" s="2">
        <f>U11/'Output-Calculation-sheet'!U10*'Output-Calculation-sheet'!U82</f>
        <v>580067424.03693247</v>
      </c>
      <c r="V99" s="2">
        <f>V11/'Output-Calculation-sheet'!V10*'Output-Calculation-sheet'!V82</f>
        <v>310154819.69035614</v>
      </c>
      <c r="W99" s="2">
        <f>W11/'Output-Calculation-sheet'!W10*'Output-Calculation-sheet'!W82</f>
        <v>860070174.08389902</v>
      </c>
      <c r="X99" s="2">
        <f>X11/'Output-Calculation-sheet'!X10*'Output-Calculation-sheet'!X82</f>
        <v>323926106.23909688</v>
      </c>
      <c r="Y99" s="2">
        <f>Y11/'Output-Calculation-sheet'!Y10*'Output-Calculation-sheet'!Y82</f>
        <v>473311378.38320708</v>
      </c>
      <c r="AA99" s="2">
        <f t="shared" si="8"/>
        <v>93.124993892107511</v>
      </c>
    </row>
    <row r="100" spans="1:27" x14ac:dyDescent="0.25">
      <c r="A100" s="2">
        <v>2035</v>
      </c>
      <c r="B100" s="2">
        <f>B12/'Output-Calculation-sheet'!B11*'Output-Calculation-sheet'!B83</f>
        <v>21603346593.682827</v>
      </c>
      <c r="C100" s="2">
        <f>C12/'Output-Calculation-sheet'!C11*'Output-Calculation-sheet'!C83</f>
        <v>7500331047.7723913</v>
      </c>
      <c r="D100" s="2">
        <f>D12/'Output-Calculation-sheet'!D11*'Output-Calculation-sheet'!D83</f>
        <v>6528076468.6372833</v>
      </c>
      <c r="E100" s="2">
        <f>E12/'Output-Calculation-sheet'!E11*'Output-Calculation-sheet'!E83</f>
        <v>12982659664.055347</v>
      </c>
      <c r="F100" s="2">
        <f>F12/'Output-Calculation-sheet'!F11*'Output-Calculation-sheet'!F83</f>
        <v>5340548529.7241249</v>
      </c>
      <c r="G100" s="2">
        <f>G12/'Output-Calculation-sheet'!G11*'Output-Calculation-sheet'!G83</f>
        <v>3669996745.1980162</v>
      </c>
      <c r="H100" s="2">
        <f>H12/'Output-Calculation-sheet'!H11*'Output-Calculation-sheet'!H83</f>
        <v>3544942589.481688</v>
      </c>
      <c r="I100" s="2">
        <f>I12/'Output-Calculation-sheet'!I11*'Output-Calculation-sheet'!I83</f>
        <v>3007813768.7525029</v>
      </c>
      <c r="J100" s="2">
        <f>J12/'Output-Calculation-sheet'!J11*'Output-Calculation-sheet'!J83</f>
        <v>1822864601.6773698</v>
      </c>
      <c r="K100" s="2">
        <f>K12/'Output-Calculation-sheet'!K11*'Output-Calculation-sheet'!K83</f>
        <v>2685856022.59198</v>
      </c>
      <c r="L100" s="2">
        <f>L12/'Output-Calculation-sheet'!L11*'Output-Calculation-sheet'!L83</f>
        <v>2132416536.0205178</v>
      </c>
      <c r="M100" s="2">
        <f>M12/'Output-Calculation-sheet'!M11*'Output-Calculation-sheet'!M83</f>
        <v>2678787694.9983778</v>
      </c>
      <c r="N100" s="2">
        <f>N12/'Output-Calculation-sheet'!N11*'Output-Calculation-sheet'!N83</f>
        <v>1853509507.6763792</v>
      </c>
      <c r="O100" s="2">
        <f>O12/'Output-Calculation-sheet'!O11*'Output-Calculation-sheet'!O83</f>
        <v>1028815466.1004066</v>
      </c>
      <c r="P100" s="2">
        <f>P12/'Output-Calculation-sheet'!P11*'Output-Calculation-sheet'!P83</f>
        <v>3124585673.4555883</v>
      </c>
      <c r="Q100" s="2">
        <f>Q12/'Output-Calculation-sheet'!Q11*'Output-Calculation-sheet'!Q83</f>
        <v>1490441689.8074439</v>
      </c>
      <c r="R100" s="2">
        <f>R12/'Output-Calculation-sheet'!R11*'Output-Calculation-sheet'!R83</f>
        <v>1951650321.4194045</v>
      </c>
      <c r="S100" s="2">
        <f>S12/'Output-Calculation-sheet'!S11*'Output-Calculation-sheet'!S83</f>
        <v>1120147010.3921266</v>
      </c>
      <c r="T100" s="2">
        <f>T12/'Output-Calculation-sheet'!T11*'Output-Calculation-sheet'!T83</f>
        <v>806117743.9213239</v>
      </c>
      <c r="U100" s="2">
        <f>U12/'Output-Calculation-sheet'!U11*'Output-Calculation-sheet'!U83</f>
        <v>543232087.37585568</v>
      </c>
      <c r="V100" s="2">
        <f>V12/'Output-Calculation-sheet'!V11*'Output-Calculation-sheet'!V83</f>
        <v>293105273.71967578</v>
      </c>
      <c r="W100" s="2">
        <f>W12/'Output-Calculation-sheet'!W11*'Output-Calculation-sheet'!W83</f>
        <v>794094194.43184721</v>
      </c>
      <c r="X100" s="2">
        <f>X12/'Output-Calculation-sheet'!X11*'Output-Calculation-sheet'!X83</f>
        <v>307004358.34227288</v>
      </c>
      <c r="Y100" s="2">
        <f>Y12/'Output-Calculation-sheet'!Y11*'Output-Calculation-sheet'!Y83</f>
        <v>437593300.36845326</v>
      </c>
      <c r="AA100" s="2">
        <f t="shared" si="8"/>
        <v>87.247936889603196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1619681865.9379578</v>
      </c>
      <c r="C107" s="2">
        <f>C8/'Output-Calculation-sheet'!C7*'Output-Calculation-sheet'!C88</f>
        <v>26674412961.53212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8322523843.9498253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5741869951.9310522</v>
      </c>
      <c r="N107" s="2">
        <f>N8/'Output-Calculation-sheet'!N7*'Output-Calculation-sheet'!N88</f>
        <v>1744589034.0519087</v>
      </c>
      <c r="O107" s="2">
        <f>O8/'Output-Calculation-sheet'!O7*'Output-Calculation-sheet'!O88</f>
        <v>5182862791.441844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575881736.87958384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621846353.53684294</v>
      </c>
      <c r="Y107" s="2">
        <f>Y8/'Output-Calculation-sheet'!Y7*'Output-Calculation-sheet'!Y88</f>
        <v>0</v>
      </c>
      <c r="AA107" s="2">
        <f t="shared" si="9"/>
        <v>50483.66853926114</v>
      </c>
    </row>
    <row r="108" spans="1:27" x14ac:dyDescent="0.25">
      <c r="A108" s="2">
        <v>2032</v>
      </c>
      <c r="B108" s="2">
        <f>B9/'Output-Calculation-sheet'!B8*'Output-Calculation-sheet'!B89</f>
        <v>7093757146.1919355</v>
      </c>
      <c r="C108" s="2">
        <f>C9/'Output-Calculation-sheet'!C8*'Output-Calculation-sheet'!C89</f>
        <v>35560455204.613213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11094616391.385899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7654320598.792594</v>
      </c>
      <c r="N108" s="2">
        <f>N9/'Output-Calculation-sheet'!N8*'Output-Calculation-sheet'!N89</f>
        <v>3607039033.8050857</v>
      </c>
      <c r="O108" s="2">
        <f>O9/'Output-Calculation-sheet'!O8*'Output-Calculation-sheet'!O89</f>
        <v>6909426692.8286982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1084045651.9974449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828985800.36873412</v>
      </c>
      <c r="Y108" s="2">
        <f>Y9/'Output-Calculation-sheet'!Y8*'Output-Calculation-sheet'!Y89</f>
        <v>0</v>
      </c>
      <c r="AA108" s="2">
        <f t="shared" si="9"/>
        <v>73832.646519983595</v>
      </c>
    </row>
    <row r="109" spans="1:27" x14ac:dyDescent="0.25">
      <c r="A109" s="2">
        <v>2033</v>
      </c>
      <c r="B109" s="2">
        <f>B10/'Output-Calculation-sheet'!B9*'Output-Calculation-sheet'!B90</f>
        <v>17743800674.721798</v>
      </c>
      <c r="C109" s="2">
        <f>C10/'Output-Calculation-sheet'!C9*'Output-Calculation-sheet'!C90</f>
        <v>39159374603.272682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13036843872.988415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8994289360.6988106</v>
      </c>
      <c r="N109" s="2">
        <f>N10/'Output-Calculation-sheet'!N9*'Output-Calculation-sheet'!N90</f>
        <v>5297133986.573184</v>
      </c>
      <c r="O109" s="2">
        <f>O10/'Output-Calculation-sheet'!O9*'Output-Calculation-sheet'!O90</f>
        <v>7184494593.1442327</v>
      </c>
      <c r="P109" s="2">
        <f>P10/'Output-Calculation-sheet'!P9*'Output-Calculation-sheet'!P90</f>
        <v>0</v>
      </c>
      <c r="Q109" s="2">
        <f>Q10/'Output-Calculation-sheet'!Q9*'Output-Calculation-sheet'!Q90</f>
        <v>172489204.86264616</v>
      </c>
      <c r="R109" s="2">
        <f>R10/'Output-Calculation-sheet'!R9*'Output-Calculation-sheet'!R90</f>
        <v>0</v>
      </c>
      <c r="S109" s="2">
        <f>S10/'Output-Calculation-sheet'!S9*'Output-Calculation-sheet'!S90</f>
        <v>2137917480.9831541</v>
      </c>
      <c r="T109" s="2">
        <f>T10/'Output-Calculation-sheet'!T9*'Output-Calculation-sheet'!T90</f>
        <v>1.6297931946360918E-7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974108750.36606944</v>
      </c>
      <c r="Y109" s="2">
        <f>Y10/'Output-Calculation-sheet'!Y9*'Output-Calculation-sheet'!Y90</f>
        <v>0</v>
      </c>
      <c r="AA109" s="2">
        <f t="shared" si="9"/>
        <v>94700.452527610978</v>
      </c>
    </row>
    <row r="110" spans="1:27" x14ac:dyDescent="0.25">
      <c r="A110" s="2">
        <v>2034</v>
      </c>
      <c r="B110" s="2">
        <f>B11/'Output-Calculation-sheet'!B10*'Output-Calculation-sheet'!B91</f>
        <v>36732437310.193825</v>
      </c>
      <c r="C110" s="2">
        <f>C11/'Output-Calculation-sheet'!C10*'Output-Calculation-sheet'!C91</f>
        <v>37144006491.961403</v>
      </c>
      <c r="D110" s="2">
        <f>D11/'Output-Calculation-sheet'!D10*'Output-Calculation-sheet'!D91</f>
        <v>0</v>
      </c>
      <c r="E110" s="2">
        <f>E11/'Output-Calculation-sheet'!E10*'Output-Calculation-sheet'!E91</f>
        <v>749321394.35434055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13719551305.268225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623553855.78730249</v>
      </c>
      <c r="M110" s="2">
        <f>M11/'Output-Calculation-sheet'!M10*'Output-Calculation-sheet'!M91</f>
        <v>9465296580.6543121</v>
      </c>
      <c r="N110" s="2">
        <f>N11/'Output-Calculation-sheet'!N10*'Output-Calculation-sheet'!N91</f>
        <v>6546672933.7723427</v>
      </c>
      <c r="O110" s="2">
        <f>O11/'Output-Calculation-sheet'!O10*'Output-Calculation-sheet'!O91</f>
        <v>6797451154.1911745</v>
      </c>
      <c r="P110" s="2">
        <f>P11/'Output-Calculation-sheet'!P10*'Output-Calculation-sheet'!P91</f>
        <v>0</v>
      </c>
      <c r="Q110" s="2">
        <f>Q11/'Output-Calculation-sheet'!Q10*'Output-Calculation-sheet'!Q91</f>
        <v>1665921729.4123001</v>
      </c>
      <c r="R110" s="2">
        <f>R11/'Output-Calculation-sheet'!R10*'Output-Calculation-sheet'!R91</f>
        <v>0</v>
      </c>
      <c r="S110" s="2">
        <f>S11/'Output-Calculation-sheet'!S10*'Output-Calculation-sheet'!S91</f>
        <v>3219421742.6304803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937758491.13994682</v>
      </c>
      <c r="Y110" s="2">
        <f>Y11/'Output-Calculation-sheet'!Y10*'Output-Calculation-sheet'!Y91</f>
        <v>41037128.188251741</v>
      </c>
      <c r="AA110" s="2">
        <f t="shared" si="9"/>
        <v>117642.4301175539</v>
      </c>
    </row>
    <row r="111" spans="1:27" x14ac:dyDescent="0.25">
      <c r="A111" s="2">
        <v>2035</v>
      </c>
      <c r="B111" s="2">
        <f>B12/'Output-Calculation-sheet'!B11*'Output-Calculation-sheet'!B92</f>
        <v>38724226309.951263</v>
      </c>
      <c r="C111" s="2">
        <f>C12/'Output-Calculation-sheet'!C11*'Output-Calculation-sheet'!C92</f>
        <v>32386149776.971493</v>
      </c>
      <c r="D111" s="2">
        <f>D12/'Output-Calculation-sheet'!D11*'Output-Calculation-sheet'!D92</f>
        <v>0</v>
      </c>
      <c r="E111" s="2">
        <f>E12/'Output-Calculation-sheet'!E11*'Output-Calculation-sheet'!E92</f>
        <v>4310552412.8665571</v>
      </c>
      <c r="F111" s="2">
        <f>F12/'Output-Calculation-sheet'!F11*'Output-Calculation-sheet'!F92</f>
        <v>0</v>
      </c>
      <c r="G111" s="2">
        <f>G12/'Output-Calculation-sheet'!G11*'Output-Calculation-sheet'!G92</f>
        <v>-4.6867255448424924E-7</v>
      </c>
      <c r="H111" s="2">
        <f>H12/'Output-Calculation-sheet'!H11*'Output-Calculation-sheet'!H92</f>
        <v>11987447663.277889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1422462119.1955533</v>
      </c>
      <c r="M111" s="2">
        <f>M12/'Output-Calculation-sheet'!M11*'Output-Calculation-sheet'!M92</f>
        <v>8458647494.95541</v>
      </c>
      <c r="N111" s="2">
        <f>N12/'Output-Calculation-sheet'!N11*'Output-Calculation-sheet'!N92</f>
        <v>6100547142.5694313</v>
      </c>
      <c r="O111" s="2">
        <f>O12/'Output-Calculation-sheet'!O11*'Output-Calculation-sheet'!O92</f>
        <v>5884190355.0061665</v>
      </c>
      <c r="P111" s="2">
        <f>P12/'Output-Calculation-sheet'!P11*'Output-Calculation-sheet'!P92</f>
        <v>295923178.80499613</v>
      </c>
      <c r="Q111" s="2">
        <f>Q12/'Output-Calculation-sheet'!Q11*'Output-Calculation-sheet'!Q92</f>
        <v>2035271773.8790691</v>
      </c>
      <c r="R111" s="2">
        <f>R12/'Output-Calculation-sheet'!R11*'Output-Calculation-sheet'!R92</f>
        <v>0</v>
      </c>
      <c r="S111" s="2">
        <f>S12/'Output-Calculation-sheet'!S11*'Output-Calculation-sheet'!S92</f>
        <v>3122589324.9464312</v>
      </c>
      <c r="T111" s="2">
        <f>T12/'Output-Calculation-sheet'!T11*'Output-Calculation-sheet'!T92</f>
        <v>0</v>
      </c>
      <c r="U111" s="2">
        <f>U12/'Output-Calculation-sheet'!U11*'Output-Calculation-sheet'!U92</f>
        <v>59044737.604656138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834688505.57158852</v>
      </c>
      <c r="Y111" s="2">
        <f>Y12/'Output-Calculation-sheet'!Y11*'Output-Calculation-sheet'!Y92</f>
        <v>201090950.84270397</v>
      </c>
      <c r="AA111" s="2">
        <f t="shared" si="9"/>
        <v>115822.83174644322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54996732006.191078</v>
      </c>
      <c r="C118" s="2">
        <f>C8/'Output-Calculation-sheet'!C7*'Output-Calculation-sheet'!C97</f>
        <v>0</v>
      </c>
      <c r="D118" s="2">
        <f>D8/'Output-Calculation-sheet'!D7*'Output-Calculation-sheet'!D97</f>
        <v>23779546212.864231</v>
      </c>
      <c r="E118" s="2">
        <f>E8/'Output-Calculation-sheet'!E7*'Output-Calculation-sheet'!E97</f>
        <v>18866656847.689079</v>
      </c>
      <c r="F118" s="2">
        <f>F8/'Output-Calculation-sheet'!F7*'Output-Calculation-sheet'!F97</f>
        <v>12145144036.284389</v>
      </c>
      <c r="G118" s="2">
        <f>G8/'Output-Calculation-sheet'!G7*'Output-Calculation-sheet'!G97</f>
        <v>8533511514.3749352</v>
      </c>
      <c r="H118" s="2">
        <f>H8/'Output-Calculation-sheet'!H7*'Output-Calculation-sheet'!H97</f>
        <v>0</v>
      </c>
      <c r="I118" s="2">
        <f>I8/'Output-Calculation-sheet'!I7*'Output-Calculation-sheet'!I97</f>
        <v>7774700723.73808</v>
      </c>
      <c r="J118" s="2">
        <f>J8/'Output-Calculation-sheet'!J7*'Output-Calculation-sheet'!J97</f>
        <v>7567358195.7272987</v>
      </c>
      <c r="K118" s="2">
        <f>K8/'Output-Calculation-sheet'!K7*'Output-Calculation-sheet'!K97</f>
        <v>7494810024.0190315</v>
      </c>
      <c r="L118" s="2">
        <f>L8/'Output-Calculation-sheet'!L7*'Output-Calculation-sheet'!L97</f>
        <v>6012434054.5700712</v>
      </c>
      <c r="M118" s="2">
        <f>M8/'Output-Calculation-sheet'!M7*'Output-Calculation-sheet'!M97</f>
        <v>0</v>
      </c>
      <c r="N118" s="2">
        <f>N8/'Output-Calculation-sheet'!N7*'Output-Calculation-sheet'!N97</f>
        <v>3892019085.2098436</v>
      </c>
      <c r="O118" s="2">
        <f>O8/'Output-Calculation-sheet'!O7*'Output-Calculation-sheet'!O97</f>
        <v>0</v>
      </c>
      <c r="P118" s="2">
        <f>P8/'Output-Calculation-sheet'!P7*'Output-Calculation-sheet'!P97</f>
        <v>5131302477.6671371</v>
      </c>
      <c r="Q118" s="2">
        <f>Q8/'Output-Calculation-sheet'!Q7*'Output-Calculation-sheet'!Q97</f>
        <v>5048371379.7330685</v>
      </c>
      <c r="R118" s="2">
        <f>R8/'Output-Calculation-sheet'!R7*'Output-Calculation-sheet'!R97</f>
        <v>4856765443.2917547</v>
      </c>
      <c r="S118" s="2">
        <f>S8/'Output-Calculation-sheet'!S7*'Output-Calculation-sheet'!S97</f>
        <v>2652173753.1956964</v>
      </c>
      <c r="T118" s="2">
        <f>T8/'Output-Calculation-sheet'!T7*'Output-Calculation-sheet'!T97</f>
        <v>1785305563.8187428</v>
      </c>
      <c r="U118" s="2">
        <f>U8/'Output-Calculation-sheet'!U7*'Output-Calculation-sheet'!U97</f>
        <v>1554939839.4441566</v>
      </c>
      <c r="V118" s="2">
        <f>V8/'Output-Calculation-sheet'!V7*'Output-Calculation-sheet'!V97</f>
        <v>1197335245.6752205</v>
      </c>
      <c r="W118" s="2">
        <f>W8/'Output-Calculation-sheet'!W7*'Output-Calculation-sheet'!W97</f>
        <v>1036626559.3119558</v>
      </c>
      <c r="X118" s="2">
        <f>X8/'Output-Calculation-sheet'!X7*'Output-Calculation-sheet'!X97</f>
        <v>0</v>
      </c>
      <c r="Y118" s="2">
        <f>Y8/'Output-Calculation-sheet'!Y7*'Output-Calculation-sheet'!Y97</f>
        <v>604865614.18450975</v>
      </c>
      <c r="AA118" s="2">
        <f t="shared" si="10"/>
        <v>174930.59857699031</v>
      </c>
    </row>
    <row r="119" spans="1:27" x14ac:dyDescent="0.25">
      <c r="A119" s="2">
        <v>2032</v>
      </c>
      <c r="B119" s="2">
        <f>B9/'Output-Calculation-sheet'!B8*'Output-Calculation-sheet'!B98</f>
        <v>68379810890.994133</v>
      </c>
      <c r="C119" s="2">
        <f>C9/'Output-Calculation-sheet'!C8*'Output-Calculation-sheet'!C98</f>
        <v>0</v>
      </c>
      <c r="D119" s="2">
        <f>D9/'Output-Calculation-sheet'!D8*'Output-Calculation-sheet'!D98</f>
        <v>31699770647.513123</v>
      </c>
      <c r="E119" s="2">
        <f>E9/'Output-Calculation-sheet'!E8*'Output-Calculation-sheet'!E98</f>
        <v>25150545312.877163</v>
      </c>
      <c r="F119" s="2">
        <f>F9/'Output-Calculation-sheet'!F8*'Output-Calculation-sheet'!F98</f>
        <v>16190313549.088242</v>
      </c>
      <c r="G119" s="2">
        <f>G9/'Output-Calculation-sheet'!G8*'Output-Calculation-sheet'!G98</f>
        <v>11375758668.046755</v>
      </c>
      <c r="H119" s="2">
        <f>H9/'Output-Calculation-sheet'!H8*'Output-Calculation-sheet'!H98</f>
        <v>1.5217410176622199E-6</v>
      </c>
      <c r="I119" s="2">
        <f>I9/'Output-Calculation-sheet'!I8*'Output-Calculation-sheet'!I98</f>
        <v>10364212393.299192</v>
      </c>
      <c r="J119" s="2">
        <f>J9/'Output-Calculation-sheet'!J8*'Output-Calculation-sheet'!J98</f>
        <v>10087806583.082998</v>
      </c>
      <c r="K119" s="2">
        <f>K9/'Output-Calculation-sheet'!K8*'Output-Calculation-sheet'!K98</f>
        <v>9991096470.4441643</v>
      </c>
      <c r="L119" s="2">
        <f>L9/'Output-Calculation-sheet'!L8*'Output-Calculation-sheet'!L98</f>
        <v>8014989375.0221901</v>
      </c>
      <c r="M119" s="2">
        <f>M9/'Output-Calculation-sheet'!M8*'Output-Calculation-sheet'!M98</f>
        <v>0</v>
      </c>
      <c r="N119" s="2">
        <f>N9/'Output-Calculation-sheet'!N8*'Output-Calculation-sheet'!N98</f>
        <v>3906318609.5028129</v>
      </c>
      <c r="O119" s="2">
        <f>O9/'Output-Calculation-sheet'!O8*'Output-Calculation-sheet'!O98</f>
        <v>0</v>
      </c>
      <c r="P119" s="2">
        <f>P9/'Output-Calculation-sheet'!P8*'Output-Calculation-sheet'!P98</f>
        <v>6840333942.8751822</v>
      </c>
      <c r="Q119" s="2">
        <f>Q9/'Output-Calculation-sheet'!Q8*'Output-Calculation-sheet'!Q98</f>
        <v>6729826257.9056835</v>
      </c>
      <c r="R119" s="2">
        <f>R9/'Output-Calculation-sheet'!R8*'Output-Calculation-sheet'!R98</f>
        <v>6474402887.7831316</v>
      </c>
      <c r="S119" s="2">
        <f>S9/'Output-Calculation-sheet'!S8*'Output-Calculation-sheet'!S98</f>
        <v>3218943896.3025851</v>
      </c>
      <c r="T119" s="2">
        <f>T9/'Output-Calculation-sheet'!T8*'Output-Calculation-sheet'!T98</f>
        <v>2379934735.7896366</v>
      </c>
      <c r="U119" s="2">
        <f>U9/'Output-Calculation-sheet'!U8*'Output-Calculation-sheet'!U98</f>
        <v>2072842243.1445241</v>
      </c>
      <c r="V119" s="2">
        <f>V9/'Output-Calculation-sheet'!V8*'Output-Calculation-sheet'!V98</f>
        <v>1596129984.3276048</v>
      </c>
      <c r="W119" s="2">
        <f>W9/'Output-Calculation-sheet'!W8*'Output-Calculation-sheet'!W98</f>
        <v>1381894611.61678</v>
      </c>
      <c r="X119" s="2">
        <f>X9/'Output-Calculation-sheet'!X8*'Output-Calculation-sheet'!X98</f>
        <v>0</v>
      </c>
      <c r="Y119" s="2">
        <f>Y9/'Output-Calculation-sheet'!Y8*'Output-Calculation-sheet'!Y98</f>
        <v>806327214.85966671</v>
      </c>
      <c r="AA119" s="2">
        <f t="shared" si="10"/>
        <v>226661.25827447558</v>
      </c>
    </row>
    <row r="120" spans="1:27" x14ac:dyDescent="0.25">
      <c r="A120" s="2">
        <v>2033</v>
      </c>
      <c r="B120" s="2">
        <f>B10/'Output-Calculation-sheet'!B9*'Output-Calculation-sheet'!B99</f>
        <v>70934153501.481079</v>
      </c>
      <c r="C120" s="2">
        <f>C10/'Output-Calculation-sheet'!C9*'Output-Calculation-sheet'!C99</f>
        <v>0</v>
      </c>
      <c r="D120" s="2">
        <f>D10/'Output-Calculation-sheet'!D9*'Output-Calculation-sheet'!D99</f>
        <v>37248027826.720932</v>
      </c>
      <c r="E120" s="2">
        <f>E10/'Output-Calculation-sheet'!E9*'Output-Calculation-sheet'!E99</f>
        <v>29552526419.677364</v>
      </c>
      <c r="F120" s="2">
        <f>F10/'Output-Calculation-sheet'!F9*'Output-Calculation-sheet'!F99</f>
        <v>19024021738.490696</v>
      </c>
      <c r="G120" s="2">
        <f>G10/'Output-Calculation-sheet'!G9*'Output-Calculation-sheet'!G99</f>
        <v>13366799773.648077</v>
      </c>
      <c r="H120" s="2">
        <f>H10/'Output-Calculation-sheet'!H9*'Output-Calculation-sheet'!H99</f>
        <v>0</v>
      </c>
      <c r="I120" s="2">
        <f>I10/'Output-Calculation-sheet'!I9*'Output-Calculation-sheet'!I99</f>
        <v>12178208356.612389</v>
      </c>
      <c r="J120" s="2">
        <f>J10/'Output-Calculation-sheet'!J9*'Output-Calculation-sheet'!J99</f>
        <v>11853424607.283861</v>
      </c>
      <c r="K120" s="2">
        <f>K10/'Output-Calculation-sheet'!K9*'Output-Calculation-sheet'!K99</f>
        <v>11740066037.903845</v>
      </c>
      <c r="L120" s="2">
        <f>L10/'Output-Calculation-sheet'!L9*'Output-Calculation-sheet'!L99</f>
        <v>9417812639.7734814</v>
      </c>
      <c r="M120" s="2">
        <f>M10/'Output-Calculation-sheet'!M9*'Output-Calculation-sheet'!M99</f>
        <v>0</v>
      </c>
      <c r="N120" s="2">
        <f>N10/'Output-Calculation-sheet'!N9*'Output-Calculation-sheet'!N99</f>
        <v>3530731526.9668875</v>
      </c>
      <c r="O120" s="2">
        <f>O10/'Output-Calculation-sheet'!O9*'Output-Calculation-sheet'!O99</f>
        <v>0</v>
      </c>
      <c r="P120" s="2">
        <f>P10/'Output-Calculation-sheet'!P9*'Output-Calculation-sheet'!P99</f>
        <v>8037141309.3494463</v>
      </c>
      <c r="Q120" s="2">
        <f>Q10/'Output-Calculation-sheet'!Q9*'Output-Calculation-sheet'!Q99</f>
        <v>7735147767.4399071</v>
      </c>
      <c r="R120" s="2">
        <f>R10/'Output-Calculation-sheet'!R9*'Output-Calculation-sheet'!R99</f>
        <v>7607227919.5300045</v>
      </c>
      <c r="S120" s="2">
        <f>S10/'Output-Calculation-sheet'!S9*'Output-Calculation-sheet'!S99</f>
        <v>2917865654.3359561</v>
      </c>
      <c r="T120" s="2">
        <f>T10/'Output-Calculation-sheet'!T9*'Output-Calculation-sheet'!T99</f>
        <v>2796458686.4552736</v>
      </c>
      <c r="U120" s="2">
        <f>U10/'Output-Calculation-sheet'!U9*'Output-Calculation-sheet'!U99</f>
        <v>2436164375.8497524</v>
      </c>
      <c r="V120" s="2">
        <f>V10/'Output-Calculation-sheet'!V9*'Output-Calculation-sheet'!V99</f>
        <v>1875492681.5376556</v>
      </c>
      <c r="W120" s="2">
        <f>W10/'Output-Calculation-sheet'!W9*'Output-Calculation-sheet'!W99</f>
        <v>1623761011.8857872</v>
      </c>
      <c r="X120" s="2">
        <f>X10/'Output-Calculation-sheet'!X9*'Output-Calculation-sheet'!X99</f>
        <v>0</v>
      </c>
      <c r="Y120" s="2">
        <f>Y10/'Output-Calculation-sheet'!Y9*'Output-Calculation-sheet'!Y99</f>
        <v>947456035.63460255</v>
      </c>
      <c r="AA120" s="2">
        <f t="shared" si="10"/>
        <v>254822.487870577</v>
      </c>
    </row>
    <row r="121" spans="1:27" x14ac:dyDescent="0.25">
      <c r="A121" s="2">
        <v>2034</v>
      </c>
      <c r="B121" s="2">
        <f>B11/'Output-Calculation-sheet'!B10*'Output-Calculation-sheet'!B100</f>
        <v>56581226629.669014</v>
      </c>
      <c r="C121" s="2">
        <f>C11/'Output-Calculation-sheet'!C10*'Output-Calculation-sheet'!C100</f>
        <v>0</v>
      </c>
      <c r="D121" s="2">
        <f>D11/'Output-Calculation-sheet'!D10*'Output-Calculation-sheet'!D100</f>
        <v>39197767847.163971</v>
      </c>
      <c r="E121" s="2">
        <f>E11/'Output-Calculation-sheet'!E10*'Output-Calculation-sheet'!E100</f>
        <v>30348813705.719303</v>
      </c>
      <c r="F121" s="2">
        <f>F11/'Output-Calculation-sheet'!F10*'Output-Calculation-sheet'!F100</f>
        <v>20019722215.144547</v>
      </c>
      <c r="G121" s="2">
        <f>G11/'Output-Calculation-sheet'!G10*'Output-Calculation-sheet'!G100</f>
        <v>14065719956.479059</v>
      </c>
      <c r="H121" s="2">
        <f>H11/'Output-Calculation-sheet'!H10*'Output-Calculation-sheet'!H100</f>
        <v>0</v>
      </c>
      <c r="I121" s="2">
        <f>I11/'Output-Calculation-sheet'!I10*'Output-Calculation-sheet'!I100</f>
        <v>12815217909.36537</v>
      </c>
      <c r="J121" s="2">
        <f>J11/'Output-Calculation-sheet'!J10*'Output-Calculation-sheet'!J100</f>
        <v>12473583461.35387</v>
      </c>
      <c r="K121" s="2">
        <f>K11/'Output-Calculation-sheet'!K10*'Output-Calculation-sheet'!K100</f>
        <v>12354310850.601269</v>
      </c>
      <c r="L121" s="2">
        <f>L11/'Output-Calculation-sheet'!L10*'Output-Calculation-sheet'!L100</f>
        <v>9286944092.5568905</v>
      </c>
      <c r="M121" s="2">
        <f>M11/'Output-Calculation-sheet'!M10*'Output-Calculation-sheet'!M100</f>
        <v>6.3392606951130857E-7</v>
      </c>
      <c r="N121" s="2">
        <f>N11/'Output-Calculation-sheet'!N10*'Output-Calculation-sheet'!N100</f>
        <v>2743485920.6817751</v>
      </c>
      <c r="O121" s="2">
        <f>O11/'Output-Calculation-sheet'!O10*'Output-Calculation-sheet'!O100</f>
        <v>0</v>
      </c>
      <c r="P121" s="2">
        <f>P11/'Output-Calculation-sheet'!P10*'Output-Calculation-sheet'!P100</f>
        <v>8457495272.2970743</v>
      </c>
      <c r="Q121" s="2">
        <f>Q11/'Output-Calculation-sheet'!Q10*'Output-Calculation-sheet'!Q100</f>
        <v>6654957841.6513901</v>
      </c>
      <c r="R121" s="2">
        <f>R11/'Output-Calculation-sheet'!R10*'Output-Calculation-sheet'!R100</f>
        <v>8005076849.0533304</v>
      </c>
      <c r="S121" s="2">
        <f>S11/'Output-Calculation-sheet'!S10*'Output-Calculation-sheet'!S100</f>
        <v>2100961645.2752776</v>
      </c>
      <c r="T121" s="2">
        <f>T11/'Output-Calculation-sheet'!T10*'Output-Calculation-sheet'!T100</f>
        <v>2942664883.3778872</v>
      </c>
      <c r="U121" s="2">
        <f>U11/'Output-Calculation-sheet'!U10*'Output-Calculation-sheet'!U100</f>
        <v>2564515392.2529464</v>
      </c>
      <c r="V121" s="2">
        <f>V11/'Output-Calculation-sheet'!V10*'Output-Calculation-sheet'!V100</f>
        <v>1974219603.2197742</v>
      </c>
      <c r="W121" s="2">
        <f>W11/'Output-Calculation-sheet'!W10*'Output-Calculation-sheet'!W100</f>
        <v>1708807187.6759963</v>
      </c>
      <c r="X121" s="2">
        <f>X11/'Output-Calculation-sheet'!X10*'Output-Calculation-sheet'!X100</f>
        <v>75859950.933802769</v>
      </c>
      <c r="Y121" s="2">
        <f>Y11/'Output-Calculation-sheet'!Y10*'Output-Calculation-sheet'!Y100</f>
        <v>955995281.25069511</v>
      </c>
      <c r="AA121" s="2">
        <f t="shared" si="10"/>
        <v>245327.34649572329</v>
      </c>
    </row>
    <row r="122" spans="1:27" x14ac:dyDescent="0.25">
      <c r="A122" s="2">
        <v>2035</v>
      </c>
      <c r="B122" s="2">
        <f>B12/'Output-Calculation-sheet'!B11*'Output-Calculation-sheet'!B101</f>
        <v>44560465772.766289</v>
      </c>
      <c r="C122" s="2">
        <f>C12/'Output-Calculation-sheet'!C11*'Output-Calculation-sheet'!C101</f>
        <v>0</v>
      </c>
      <c r="D122" s="2">
        <f>D12/'Output-Calculation-sheet'!D11*'Output-Calculation-sheet'!D101</f>
        <v>34622655584.686668</v>
      </c>
      <c r="E122" s="2">
        <f>E12/'Output-Calculation-sheet'!E11*'Output-Calculation-sheet'!E101</f>
        <v>24468694752.63821</v>
      </c>
      <c r="F122" s="2">
        <f>F12/'Output-Calculation-sheet'!F11*'Output-Calculation-sheet'!F101</f>
        <v>18208949051.772881</v>
      </c>
      <c r="G122" s="2">
        <f>G12/'Output-Calculation-sheet'!G11*'Output-Calculation-sheet'!G101</f>
        <v>12605481251.543531</v>
      </c>
      <c r="H122" s="2">
        <f>H12/'Output-Calculation-sheet'!H11*'Output-Calculation-sheet'!H101</f>
        <v>0</v>
      </c>
      <c r="I122" s="2">
        <f>I12/'Output-Calculation-sheet'!I11*'Output-Calculation-sheet'!I101</f>
        <v>11515767131.500755</v>
      </c>
      <c r="J122" s="2">
        <f>J12/'Output-Calculation-sheet'!J11*'Output-Calculation-sheet'!J101</f>
        <v>11104198729.185722</v>
      </c>
      <c r="K122" s="2">
        <f>K12/'Output-Calculation-sheet'!K11*'Output-Calculation-sheet'!K101</f>
        <v>11166038569.427746</v>
      </c>
      <c r="L122" s="2">
        <f>L12/'Output-Calculation-sheet'!L11*'Output-Calculation-sheet'!L101</f>
        <v>7684186114.5656757</v>
      </c>
      <c r="M122" s="2">
        <f>M12/'Output-Calculation-sheet'!M11*'Output-Calculation-sheet'!M101</f>
        <v>0</v>
      </c>
      <c r="N122" s="2">
        <f>N12/'Output-Calculation-sheet'!N11*'Output-Calculation-sheet'!N101</f>
        <v>2162373984.3130264</v>
      </c>
      <c r="O122" s="2">
        <f>O12/'Output-Calculation-sheet'!O11*'Output-Calculation-sheet'!O101</f>
        <v>0</v>
      </c>
      <c r="P122" s="2">
        <f>P12/'Output-Calculation-sheet'!P11*'Output-Calculation-sheet'!P101</f>
        <v>7442140773.4154301</v>
      </c>
      <c r="Q122" s="2">
        <f>Q12/'Output-Calculation-sheet'!Q11*'Output-Calculation-sheet'!Q101</f>
        <v>5278999110.6868038</v>
      </c>
      <c r="R122" s="2">
        <f>R12/'Output-Calculation-sheet'!R11*'Output-Calculation-sheet'!R101</f>
        <v>7277201659.282939</v>
      </c>
      <c r="S122" s="2">
        <f>S12/'Output-Calculation-sheet'!S11*'Output-Calculation-sheet'!S101</f>
        <v>1595335687.6356876</v>
      </c>
      <c r="T122" s="2">
        <f>T12/'Output-Calculation-sheet'!T11*'Output-Calculation-sheet'!T101</f>
        <v>2713824614.2089939</v>
      </c>
      <c r="U122" s="2">
        <f>U12/'Output-Calculation-sheet'!U11*'Output-Calculation-sheet'!U101</f>
        <v>2203216133.0250592</v>
      </c>
      <c r="V122" s="2">
        <f>V12/'Output-Calculation-sheet'!V11*'Output-Calculation-sheet'!V101</f>
        <v>1830177531.7315996</v>
      </c>
      <c r="W122" s="2">
        <f>W12/'Output-Calculation-sheet'!W11*'Output-Calculation-sheet'!W101</f>
        <v>1595903387.0241208</v>
      </c>
      <c r="X122" s="2">
        <f>X12/'Output-Calculation-sheet'!X11*'Output-Calculation-sheet'!X101</f>
        <v>58771045.527683832</v>
      </c>
      <c r="Y122" s="2">
        <f>Y12/'Output-Calculation-sheet'!Y11*'Output-Calculation-sheet'!Y101</f>
        <v>720483629.66639459</v>
      </c>
      <c r="AA122" s="2">
        <f t="shared" si="10"/>
        <v>208814.86451460514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56616414903.165916</v>
      </c>
      <c r="C129" s="2">
        <f>C8/'Output-Calculation-sheet'!C7*'Output-Calculation-sheet'!C106</f>
        <v>26680508891.018181</v>
      </c>
      <c r="D129" s="2">
        <f>D8/'Output-Calculation-sheet'!D7*'Output-Calculation-sheet'!D106</f>
        <v>23779546212.864231</v>
      </c>
      <c r="E129" s="2">
        <f>E8/'Output-Calculation-sheet'!E7*'Output-Calculation-sheet'!E106</f>
        <v>18866656847.689079</v>
      </c>
      <c r="F129" s="2">
        <f>F8/'Output-Calculation-sheet'!F7*'Output-Calculation-sheet'!F106</f>
        <v>12145144036.284389</v>
      </c>
      <c r="G129" s="2">
        <f>G8/'Output-Calculation-sheet'!G7*'Output-Calculation-sheet'!G106</f>
        <v>8533511514.3749352</v>
      </c>
      <c r="H129" s="2">
        <f>H8/'Output-Calculation-sheet'!H7*'Output-Calculation-sheet'!H106</f>
        <v>8324112908.215579</v>
      </c>
      <c r="I129" s="2">
        <f>I8/'Output-Calculation-sheet'!I7*'Output-Calculation-sheet'!I106</f>
        <v>7774700723.73808</v>
      </c>
      <c r="J129" s="2">
        <f>J8/'Output-Calculation-sheet'!J7*'Output-Calculation-sheet'!J106</f>
        <v>7567358195.7272987</v>
      </c>
      <c r="K129" s="2">
        <f>K8/'Output-Calculation-sheet'!K7*'Output-Calculation-sheet'!K106</f>
        <v>7494810024.0190315</v>
      </c>
      <c r="L129" s="2">
        <f>L8/'Output-Calculation-sheet'!L7*'Output-Calculation-sheet'!L106</f>
        <v>6012434054.5700712</v>
      </c>
      <c r="M129" s="2">
        <f>M8/'Output-Calculation-sheet'!M7*'Output-Calculation-sheet'!M106</f>
        <v>5742912267.9345407</v>
      </c>
      <c r="N129" s="2">
        <f>N8/'Output-Calculation-sheet'!N7*'Output-Calculation-sheet'!N106</f>
        <v>5636652897.0917377</v>
      </c>
      <c r="O129" s="2">
        <f>O8/'Output-Calculation-sheet'!O7*'Output-Calculation-sheet'!O106</f>
        <v>5184045028.207346</v>
      </c>
      <c r="P129" s="2">
        <f>P8/'Output-Calculation-sheet'!P7*'Output-Calculation-sheet'!P106</f>
        <v>5131302477.6671371</v>
      </c>
      <c r="Q129" s="2">
        <f>Q8/'Output-Calculation-sheet'!Q7*'Output-Calculation-sheet'!Q106</f>
        <v>5048371379.7330685</v>
      </c>
      <c r="R129" s="2">
        <f>R8/'Output-Calculation-sheet'!R7*'Output-Calculation-sheet'!R106</f>
        <v>4856765443.2917547</v>
      </c>
      <c r="S129" s="2">
        <f>S8/'Output-Calculation-sheet'!S7*'Output-Calculation-sheet'!S106</f>
        <v>3228055114.4441347</v>
      </c>
      <c r="T129" s="2">
        <f>T8/'Output-Calculation-sheet'!T7*'Output-Calculation-sheet'!T106</f>
        <v>1785305563.8187428</v>
      </c>
      <c r="U129" s="2">
        <f>U8/'Output-Calculation-sheet'!U7*'Output-Calculation-sheet'!U106</f>
        <v>1554939839.4441566</v>
      </c>
      <c r="V129" s="2">
        <f>V8/'Output-Calculation-sheet'!V7*'Output-Calculation-sheet'!V106</f>
        <v>1197335245.6752205</v>
      </c>
      <c r="W129" s="2">
        <f>W8/'Output-Calculation-sheet'!W7*'Output-Calculation-sheet'!W106</f>
        <v>1036626559.3119558</v>
      </c>
      <c r="X129" s="2">
        <f>X8/'Output-Calculation-sheet'!X7*'Output-Calculation-sheet'!X106</f>
        <v>621976057.89904726</v>
      </c>
      <c r="Y129" s="2">
        <f>Y8/'Output-Calculation-sheet'!Y7*'Output-Calculation-sheet'!Y106</f>
        <v>604865614.18450975</v>
      </c>
      <c r="AA129" s="2">
        <f t="shared" si="11"/>
        <v>225424.35180037012</v>
      </c>
    </row>
    <row r="130" spans="1:27" x14ac:dyDescent="0.25">
      <c r="A130" s="2">
        <v>2032</v>
      </c>
      <c r="B130" s="2">
        <f>B9/'Output-Calculation-sheet'!B8*'Output-Calculation-sheet'!B107</f>
        <v>45284147423.409958</v>
      </c>
      <c r="C130" s="2">
        <f>C9/'Output-Calculation-sheet'!C8*'Output-Calculation-sheet'!C107</f>
        <v>21340164791.727451</v>
      </c>
      <c r="D130" s="2">
        <f>D9/'Output-Calculation-sheet'!D8*'Output-Calculation-sheet'!D107</f>
        <v>19019858423.743172</v>
      </c>
      <c r="E130" s="2">
        <f>E9/'Output-Calculation-sheet'!E8*'Output-Calculation-sheet'!E107</f>
        <v>15090325612.261095</v>
      </c>
      <c r="F130" s="2">
        <f>F9/'Output-Calculation-sheet'!F8*'Output-Calculation-sheet'!F107</f>
        <v>9714189120.3125229</v>
      </c>
      <c r="G130" s="2">
        <f>G9/'Output-Calculation-sheet'!G8*'Output-Calculation-sheet'!G107</f>
        <v>6825455911.9511938</v>
      </c>
      <c r="H130" s="2">
        <f>H9/'Output-Calculation-sheet'!H8*'Output-Calculation-sheet'!H107</f>
        <v>6657968500.6281509</v>
      </c>
      <c r="I130" s="2">
        <f>I9/'Output-Calculation-sheet'!I8*'Output-Calculation-sheet'!I107</f>
        <v>6218526796.3667068</v>
      </c>
      <c r="J130" s="2">
        <f>J9/'Output-Calculation-sheet'!J8*'Output-Calculation-sheet'!J107</f>
        <v>6052683316.8431139</v>
      </c>
      <c r="K130" s="2">
        <f>K9/'Output-Calculation-sheet'!K8*'Output-Calculation-sheet'!K107</f>
        <v>5994657882.2664986</v>
      </c>
      <c r="L130" s="2">
        <f>L9/'Output-Calculation-sheet'!L8*'Output-Calculation-sheet'!L107</f>
        <v>4808993125.1499348</v>
      </c>
      <c r="M130" s="2">
        <f>M9/'Output-Calculation-sheet'!M8*'Output-Calculation-sheet'!M107</f>
        <v>4593419054.7302818</v>
      </c>
      <c r="N130" s="2">
        <f>N9/'Output-Calculation-sheet'!N8*'Output-Calculation-sheet'!N107</f>
        <v>4508425499.3556385</v>
      </c>
      <c r="O130" s="2">
        <f>O9/'Output-Calculation-sheet'!O8*'Output-Calculation-sheet'!O107</f>
        <v>4146413366.5594735</v>
      </c>
      <c r="P130" s="2">
        <f>P9/'Output-Calculation-sheet'!P8*'Output-Calculation-sheet'!P107</f>
        <v>4104226619.9255519</v>
      </c>
      <c r="Q130" s="2">
        <f>Q9/'Output-Calculation-sheet'!Q8*'Output-Calculation-sheet'!Q107</f>
        <v>4037896979.3077974</v>
      </c>
      <c r="R130" s="2">
        <f>R9/'Output-Calculation-sheet'!R8*'Output-Calculation-sheet'!R107</f>
        <v>3884642137.4645205</v>
      </c>
      <c r="S130" s="2">
        <f>S9/'Output-Calculation-sheet'!S8*'Output-Calculation-sheet'!S107</f>
        <v>2581931826.9783649</v>
      </c>
      <c r="T130" s="2">
        <f>T9/'Output-Calculation-sheet'!T8*'Output-Calculation-sheet'!T107</f>
        <v>1427961140.9933717</v>
      </c>
      <c r="U130" s="2">
        <f>U9/'Output-Calculation-sheet'!U8*'Output-Calculation-sheet'!U107</f>
        <v>1243704955.1758525</v>
      </c>
      <c r="V130" s="2">
        <f>V9/'Output-Calculation-sheet'!V8*'Output-Calculation-sheet'!V107</f>
        <v>957677689.32305276</v>
      </c>
      <c r="W130" s="2">
        <f>W9/'Output-Calculation-sheet'!W8*'Output-Calculation-sheet'!W107</f>
        <v>829136853.93013585</v>
      </c>
      <c r="X130" s="2">
        <f>X9/'Output-Calculation-sheet'!X8*'Output-Calculation-sheet'!X107</f>
        <v>497482014.74624348</v>
      </c>
      <c r="Y130" s="2">
        <f>Y9/'Output-Calculation-sheet'!Y8*'Output-Calculation-sheet'!Y107</f>
        <v>483796379.09816414</v>
      </c>
      <c r="AA130" s="2">
        <f t="shared" si="11"/>
        <v>180303.68542224827</v>
      </c>
    </row>
    <row r="131" spans="1:27" x14ac:dyDescent="0.25">
      <c r="A131" s="2">
        <v>2033</v>
      </c>
      <c r="B131" s="2">
        <f>B10/'Output-Calculation-sheet'!B9*'Output-Calculation-sheet'!B108</f>
        <v>29561124051.05447</v>
      </c>
      <c r="C131" s="2">
        <f>C10/'Output-Calculation-sheet'!C9*'Output-Calculation-sheet'!C108</f>
        <v>17299002263.031086</v>
      </c>
      <c r="D131" s="2">
        <f>D10/'Output-Calculation-sheet'!D9*'Output-Calculation-sheet'!D108</f>
        <v>12416012510.78059</v>
      </c>
      <c r="E131" s="2">
        <f>E10/'Output-Calculation-sheet'!E9*'Output-Calculation-sheet'!E108</f>
        <v>9850842139.8924541</v>
      </c>
      <c r="F131" s="2">
        <f>F10/'Output-Calculation-sheet'!F9*'Output-Calculation-sheet'!F108</f>
        <v>6341340579.4968987</v>
      </c>
      <c r="G131" s="2">
        <f>G10/'Output-Calculation-sheet'!G9*'Output-Calculation-sheet'!G108</f>
        <v>4455599924.5493584</v>
      </c>
      <c r="H131" s="2">
        <f>H10/'Output-Calculation-sheet'!H9*'Output-Calculation-sheet'!H108</f>
        <v>4346266690.2491865</v>
      </c>
      <c r="I131" s="2">
        <f>I10/'Output-Calculation-sheet'!I9*'Output-Calculation-sheet'!I108</f>
        <v>4059403829.3723221</v>
      </c>
      <c r="J131" s="2">
        <f>J10/'Output-Calculation-sheet'!J9*'Output-Calculation-sheet'!J108</f>
        <v>3951142568.8150887</v>
      </c>
      <c r="K131" s="2">
        <f>K10/'Output-Calculation-sheet'!K9*'Output-Calculation-sheet'!K108</f>
        <v>3913263012.6856999</v>
      </c>
      <c r="L131" s="2">
        <f>L10/'Output-Calculation-sheet'!L9*'Output-Calculation-sheet'!L108</f>
        <v>3139271695.6911778</v>
      </c>
      <c r="M131" s="2">
        <f>M10/'Output-Calculation-sheet'!M9*'Output-Calculation-sheet'!M108</f>
        <v>2998545138.7273378</v>
      </c>
      <c r="N131" s="2">
        <f>N10/'Output-Calculation-sheet'!N9*'Output-Calculation-sheet'!N108</f>
        <v>2943062823.3628292</v>
      </c>
      <c r="O131" s="2">
        <f>O10/'Output-Calculation-sheet'!O9*'Output-Calculation-sheet'!O108</f>
        <v>3817718739.8629456</v>
      </c>
      <c r="P131" s="2">
        <f>P10/'Output-Calculation-sheet'!P9*'Output-Calculation-sheet'!P108</f>
        <v>2679206547.5870476</v>
      </c>
      <c r="Q131" s="2">
        <f>Q10/'Output-Calculation-sheet'!Q9*'Output-Calculation-sheet'!Q108</f>
        <v>2635905702.7932086</v>
      </c>
      <c r="R131" s="2">
        <f>R10/'Output-Calculation-sheet'!R9*'Output-Calculation-sheet'!R108</f>
        <v>2535861550.8084593</v>
      </c>
      <c r="S131" s="2">
        <f>S10/'Output-Calculation-sheet'!S9*'Output-Calculation-sheet'!S108</f>
        <v>1685464146.7353382</v>
      </c>
      <c r="T131" s="2">
        <f>T10/'Output-Calculation-sheet'!T9*'Output-Calculation-sheet'!T108</f>
        <v>932160716.44137967</v>
      </c>
      <c r="U131" s="2">
        <f>U10/'Output-Calculation-sheet'!U9*'Output-Calculation-sheet'!U108</f>
        <v>811880293.31599879</v>
      </c>
      <c r="V131" s="2">
        <f>V10/'Output-Calculation-sheet'!V9*'Output-Calculation-sheet'!V108</f>
        <v>625164063.28850853</v>
      </c>
      <c r="W131" s="2">
        <f>W10/'Output-Calculation-sheet'!W9*'Output-Calculation-sheet'!W108</f>
        <v>541253528.71156573</v>
      </c>
      <c r="X131" s="2">
        <f>X10/'Output-Calculation-sheet'!X9*'Output-Calculation-sheet'!X108</f>
        <v>324752053.79166794</v>
      </c>
      <c r="Y131" s="2">
        <f>Y10/'Output-Calculation-sheet'!Y9*'Output-Calculation-sheet'!Y108</f>
        <v>315818187.16539335</v>
      </c>
      <c r="AA131" s="2">
        <f t="shared" si="11"/>
        <v>122180.06275821004</v>
      </c>
    </row>
    <row r="132" spans="1:27" x14ac:dyDescent="0.25">
      <c r="A132" s="2">
        <v>2034</v>
      </c>
      <c r="B132" s="2">
        <f>B11/'Output-Calculation-sheet'!B10*'Output-Calculation-sheet'!B109</f>
        <v>13332210349.803377</v>
      </c>
      <c r="C132" s="2">
        <f>C11/'Output-Calculation-sheet'!C10*'Output-Calculation-sheet'!C109</f>
        <v>15057290153.912354</v>
      </c>
      <c r="D132" s="2">
        <f>D11/'Output-Calculation-sheet'!D10*'Output-Calculation-sheet'!D109</f>
        <v>5599681871.4148731</v>
      </c>
      <c r="E132" s="2">
        <f>E11/'Output-Calculation-sheet'!E10*'Output-Calculation-sheet'!E109</f>
        <v>4442778979.8859329</v>
      </c>
      <c r="F132" s="2">
        <f>F11/'Output-Calculation-sheet'!F10*'Output-Calculation-sheet'!F109</f>
        <v>2859976256.9329</v>
      </c>
      <c r="G132" s="2">
        <f>G11/'Output-Calculation-sheet'!G10*'Output-Calculation-sheet'!G109</f>
        <v>2009498122.0960152</v>
      </c>
      <c r="H132" s="2">
        <f>H11/'Output-Calculation-sheet'!H10*'Output-Calculation-sheet'!H109</f>
        <v>1960187973.5967729</v>
      </c>
      <c r="I132" s="2">
        <f>I11/'Output-Calculation-sheet'!I10*'Output-Calculation-sheet'!I109</f>
        <v>1830810826.409977</v>
      </c>
      <c r="J132" s="2">
        <f>J11/'Output-Calculation-sheet'!J10*'Output-Calculation-sheet'!J109</f>
        <v>1781984742.8473763</v>
      </c>
      <c r="K132" s="2">
        <f>K11/'Output-Calculation-sheet'!K10*'Output-Calculation-sheet'!K109</f>
        <v>1764901431.1065493</v>
      </c>
      <c r="L132" s="2">
        <f>L11/'Output-Calculation-sheet'!L10*'Output-Calculation-sheet'!L109</f>
        <v>1415826985.0578735</v>
      </c>
      <c r="M132" s="2">
        <f>M11/'Output-Calculation-sheet'!M10*'Output-Calculation-sheet'!M109</f>
        <v>1352358826.117825</v>
      </c>
      <c r="N132" s="2">
        <f>N11/'Output-Calculation-sheet'!N10*'Output-Calculation-sheet'!N109</f>
        <v>1327336436.4138064</v>
      </c>
      <c r="O132" s="2">
        <f>O11/'Output-Calculation-sheet'!O10*'Output-Calculation-sheet'!O109</f>
        <v>3295311730.5404024</v>
      </c>
      <c r="P132" s="2">
        <f>P11/'Output-Calculation-sheet'!P10*'Output-Calculation-sheet'!P109</f>
        <v>1208335147.2527642</v>
      </c>
      <c r="Q132" s="2">
        <f>Q11/'Output-Calculation-sheet'!Q10*'Output-Calculation-sheet'!Q109</f>
        <v>1188806449.9744837</v>
      </c>
      <c r="R132" s="2">
        <f>R11/'Output-Calculation-sheet'!R10*'Output-Calculation-sheet'!R109</f>
        <v>1143686397.0433652</v>
      </c>
      <c r="S132" s="2">
        <f>S11/'Output-Calculation-sheet'!S10*'Output-Calculation-sheet'!S109</f>
        <v>760152625.97064972</v>
      </c>
      <c r="T132" s="2">
        <f>T11/'Output-Calculation-sheet'!T10*'Output-Calculation-sheet'!T109</f>
        <v>420409268.67706788</v>
      </c>
      <c r="U132" s="2">
        <f>U11/'Output-Calculation-sheet'!U10*'Output-Calculation-sheet'!U109</f>
        <v>366162122.65675044</v>
      </c>
      <c r="V132" s="2">
        <f>V11/'Output-Calculation-sheet'!V10*'Output-Calculation-sheet'!V109</f>
        <v>281952157.67275584</v>
      </c>
      <c r="W132" s="2">
        <f>W11/'Output-Calculation-sheet'!W10*'Output-Calculation-sheet'!W109</f>
        <v>244108081.75621441</v>
      </c>
      <c r="X132" s="2">
        <f>X11/'Output-Calculation-sheet'!X10*'Output-Calculation-sheet'!X109</f>
        <v>165378975.5119094</v>
      </c>
      <c r="Y132" s="2">
        <f>Y11/'Output-Calculation-sheet'!Y10*'Output-Calculation-sheet'!Y109</f>
        <v>142435623.27936044</v>
      </c>
      <c r="AA132" s="2">
        <f t="shared" si="11"/>
        <v>63951.581535931364</v>
      </c>
    </row>
    <row r="133" spans="1:27" x14ac:dyDescent="0.25">
      <c r="A133" s="2">
        <v>2035</v>
      </c>
      <c r="B133" s="2">
        <f>B12/'Output-Calculation-sheet'!B11*'Output-Calculation-sheet'!B110</f>
        <v>7460975619.4624557</v>
      </c>
      <c r="C133" s="2">
        <f>C12/'Output-Calculation-sheet'!C11*'Output-Calculation-sheet'!C110</f>
        <v>11985473223.824965</v>
      </c>
      <c r="D133" s="2">
        <f>D12/'Output-Calculation-sheet'!D11*'Output-Calculation-sheet'!D110</f>
        <v>3256645714.648315</v>
      </c>
      <c r="E133" s="2">
        <f>E12/'Output-Calculation-sheet'!E11*'Output-Calculation-sheet'!E110</f>
        <v>1560274849.654886</v>
      </c>
      <c r="F133" s="2">
        <f>F12/'Output-Calculation-sheet'!F11*'Output-Calculation-sheet'!F110</f>
        <v>1190590450.7663715</v>
      </c>
      <c r="G133" s="2">
        <f>G12/'Output-Calculation-sheet'!G11*'Output-Calculation-sheet'!G110</f>
        <v>1111500913.8771923</v>
      </c>
      <c r="H133" s="2">
        <f>H12/'Output-Calculation-sheet'!H11*'Output-Calculation-sheet'!H110</f>
        <v>1544218328.2570744</v>
      </c>
      <c r="I133" s="2">
        <f>I12/'Output-Calculation-sheet'!I11*'Output-Calculation-sheet'!I110</f>
        <v>918584581.26251185</v>
      </c>
      <c r="J133" s="2">
        <f>J12/'Output-Calculation-sheet'!J11*'Output-Calculation-sheet'!J110</f>
        <v>894592645.4431181</v>
      </c>
      <c r="K133" s="2">
        <f>K12/'Output-Calculation-sheet'!K11*'Output-Calculation-sheet'!K110</f>
        <v>774017472.81524909</v>
      </c>
      <c r="L133" s="2">
        <f>L12/'Output-Calculation-sheet'!L11*'Output-Calculation-sheet'!L110</f>
        <v>404558387.09059179</v>
      </c>
      <c r="M133" s="2">
        <f>M12/'Output-Calculation-sheet'!M11*'Output-Calculation-sheet'!M110</f>
        <v>820872988.20781291</v>
      </c>
      <c r="N133" s="2">
        <f>N12/'Output-Calculation-sheet'!N11*'Output-Calculation-sheet'!N110</f>
        <v>739702305.08870411</v>
      </c>
      <c r="O133" s="2">
        <f>O12/'Output-Calculation-sheet'!O11*'Output-Calculation-sheet'!O110</f>
        <v>2632345442.4554853</v>
      </c>
      <c r="P133" s="2">
        <f>P12/'Output-Calculation-sheet'!P11*'Output-Calculation-sheet'!P110</f>
        <v>545099283.80552399</v>
      </c>
      <c r="Q133" s="2">
        <f>Q12/'Output-Calculation-sheet'!Q11*'Output-Calculation-sheet'!Q110</f>
        <v>752257459.27585101</v>
      </c>
      <c r="R133" s="2">
        <f>R12/'Output-Calculation-sheet'!R11*'Output-Calculation-sheet'!R110</f>
        <v>460414544.99113417</v>
      </c>
      <c r="S133" s="2">
        <f>S12/'Output-Calculation-sheet'!S11*'Output-Calculation-sheet'!S110</f>
        <v>451601963.46823347</v>
      </c>
      <c r="T133" s="2">
        <f>T12/'Output-Calculation-sheet'!T11*'Output-Calculation-sheet'!T110</f>
        <v>119207101.91308616</v>
      </c>
      <c r="U133" s="2">
        <f>U12/'Output-Calculation-sheet'!U11*'Output-Calculation-sheet'!U110</f>
        <v>234849842.28548276</v>
      </c>
      <c r="V133" s="2">
        <f>V12/'Output-Calculation-sheet'!V11*'Output-Calculation-sheet'!V110</f>
        <v>51357109.312397562</v>
      </c>
      <c r="W133" s="2">
        <f>W12/'Output-Calculation-sheet'!W11*'Output-Calculation-sheet'!W110</f>
        <v>63692803.229497664</v>
      </c>
      <c r="X133" s="2">
        <f>X12/'Output-Calculation-sheet'!X11*'Output-Calculation-sheet'!X110</f>
        <v>129251834.25298063</v>
      </c>
      <c r="Y133" s="2">
        <f>Y12/'Output-Calculation-sheet'!Y11*'Output-Calculation-sheet'!Y110</f>
        <v>55827464.392005317</v>
      </c>
      <c r="AA133" s="2">
        <f t="shared" si="11"/>
        <v>38157.912329780935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1283.4625279092991</v>
      </c>
      <c r="C19" s="2">
        <f>C8/'Output-Calculation-sheet'!C7*'Output-Calculation-sheet'!C25</f>
        <v>19345.935672054249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5771.5167703867264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4001.2074423937529</v>
      </c>
      <c r="N19" s="2">
        <f>N8/'Output-Calculation-sheet'!N7*'Output-Calculation-sheet'!N25</f>
        <v>1369.8661544279473</v>
      </c>
      <c r="O19" s="2">
        <f>O8/'Output-Calculation-sheet'!O7*'Output-Calculation-sheet'!O25</f>
        <v>3741.895351651654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488.78986884835086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447.05504803237648</v>
      </c>
      <c r="Y19" s="2">
        <f>Y8/'Output-Calculation-sheet'!Y7*'Output-Calculation-sheet'!Y25</f>
        <v>0</v>
      </c>
      <c r="AA19" s="2">
        <f t="shared" si="0"/>
        <v>36.449728835704349</v>
      </c>
    </row>
    <row r="20" spans="1:27" x14ac:dyDescent="0.25">
      <c r="A20" s="2">
        <v>2032</v>
      </c>
      <c r="B20" s="2">
        <f>B9/'Output-Calculation-sheet'!B8*'Output-Calculation-sheet'!B26</f>
        <v>7446.7596928291268</v>
      </c>
      <c r="C20" s="2">
        <f>C9/'Output-Calculation-sheet'!C8*'Output-Calculation-sheet'!C26</f>
        <v>27271.090043015116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8091.8268644346163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5629.9574604224881</v>
      </c>
      <c r="N20" s="2">
        <f>N9/'Output-Calculation-sheet'!N8*'Output-Calculation-sheet'!N26</f>
        <v>2540.492113496518</v>
      </c>
      <c r="O20" s="2">
        <f>O9/'Output-Calculation-sheet'!O8*'Output-Calculation-sheet'!O26</f>
        <v>5313.653048215564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923.28380693007455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629.87251014030335</v>
      </c>
      <c r="Y20" s="2">
        <f>Y9/'Output-Calculation-sheet'!Y8*'Output-Calculation-sheet'!Y26</f>
        <v>0</v>
      </c>
      <c r="AA20" s="2">
        <f t="shared" si="0"/>
        <v>57.846935539483816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33887.399328591498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10427.363543697837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7242.6436666969066</v>
      </c>
      <c r="N21" s="2">
        <f>N10/'Output-Calculation-sheet'!N9*'Output-Calculation-sheet'!N27</f>
        <v>3961.5071380374247</v>
      </c>
      <c r="O21" s="2">
        <f>O10/'Output-Calculation-sheet'!O9*'Output-Calculation-sheet'!O27</f>
        <v>5977.8360937639154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1724.5768945434186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851.69224932738018</v>
      </c>
      <c r="Y21" s="2">
        <f>Y10/'Output-Calculation-sheet'!Y9*'Output-Calculation-sheet'!Y27</f>
        <v>0</v>
      </c>
      <c r="AA21" s="2">
        <f t="shared" si="0"/>
        <v>82.379563203140691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36071.101252059379</v>
      </c>
      <c r="D22" s="2">
        <f>D11/'Output-Calculation-sheet'!D10*'Output-Calculation-sheet'!D28</f>
        <v>0</v>
      </c>
      <c r="E22" s="2">
        <f>E11/'Output-Calculation-sheet'!E10*'Output-Calculation-sheet'!E28</f>
        <v>1777.5076753777591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14209.356516276717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1077.5234543123881</v>
      </c>
      <c r="M22" s="2">
        <f>M11/'Output-Calculation-sheet'!M10*'Output-Calculation-sheet'!M28</f>
        <v>9791.6598528877057</v>
      </c>
      <c r="N22" s="2">
        <f>N11/'Output-Calculation-sheet'!N10*'Output-Calculation-sheet'!N28</f>
        <v>5635.1547880504586</v>
      </c>
      <c r="O22" s="2">
        <f>O11/'Output-Calculation-sheet'!O10*'Output-Calculation-sheet'!O28</f>
        <v>6455.3397266098837</v>
      </c>
      <c r="P22" s="2">
        <f>P11/'Output-Calculation-sheet'!P10*'Output-Calculation-sheet'!P28</f>
        <v>0</v>
      </c>
      <c r="Q22" s="2">
        <f>Q11/'Output-Calculation-sheet'!Q10*'Output-Calculation-sheet'!Q28</f>
        <v>2113.4060456712205</v>
      </c>
      <c r="R22" s="2">
        <f>R11/'Output-Calculation-sheet'!R10*'Output-Calculation-sheet'!R28</f>
        <v>0</v>
      </c>
      <c r="S22" s="2">
        <f>S11/'Output-Calculation-sheet'!S10*'Output-Calculation-sheet'!S28</f>
        <v>2857.8241279007402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988.68898595860287</v>
      </c>
      <c r="Y22" s="2">
        <f>Y11/'Output-Calculation-sheet'!Y10*'Output-Calculation-sheet'!Y28</f>
        <v>98.350279590911455</v>
      </c>
      <c r="AA22" s="2">
        <f t="shared" si="0"/>
        <v>116.45143676118131</v>
      </c>
    </row>
    <row r="23" spans="1:27" x14ac:dyDescent="0.25">
      <c r="A23" s="2">
        <v>2035</v>
      </c>
      <c r="B23" s="2">
        <f>B12/'Output-Calculation-sheet'!B11*'Output-Calculation-sheet'!B29</f>
        <v>43771.564374877467</v>
      </c>
      <c r="C23" s="2">
        <f>C12/'Output-Calculation-sheet'!C11*'Output-Calculation-sheet'!C29</f>
        <v>37435.342691394224</v>
      </c>
      <c r="D23" s="2">
        <f>D12/'Output-Calculation-sheet'!D11*'Output-Calculation-sheet'!D29</f>
        <v>0</v>
      </c>
      <c r="E23" s="2">
        <f>E12/'Output-Calculation-sheet'!E11*'Output-Calculation-sheet'!E29</f>
        <v>8358.027406569312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14524.393262396099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2444.5045951474331</v>
      </c>
      <c r="M23" s="2">
        <f>M12/'Output-Calculation-sheet'!M11*'Output-Calculation-sheet'!M29</f>
        <v>10989.400307432372</v>
      </c>
      <c r="N23" s="2">
        <f>N12/'Output-Calculation-sheet'!N11*'Output-Calculation-sheet'!N29</f>
        <v>6423.2317268640199</v>
      </c>
      <c r="O23" s="2">
        <f>O12/'Output-Calculation-sheet'!O11*'Output-Calculation-sheet'!O29</f>
        <v>6696.2351564317687</v>
      </c>
      <c r="P23" s="2">
        <f>P12/'Output-Calculation-sheet'!P11*'Output-Calculation-sheet'!P29</f>
        <v>882.34958238318802</v>
      </c>
      <c r="Q23" s="2">
        <f>Q12/'Output-Calculation-sheet'!Q11*'Output-Calculation-sheet'!Q29</f>
        <v>2811.0272173094386</v>
      </c>
      <c r="R23" s="2">
        <f>R12/'Output-Calculation-sheet'!R11*'Output-Calculation-sheet'!R29</f>
        <v>0</v>
      </c>
      <c r="S23" s="2">
        <f>S12/'Output-Calculation-sheet'!S11*'Output-Calculation-sheet'!S29</f>
        <v>3337.2375093205842</v>
      </c>
      <c r="T23" s="2">
        <f>T12/'Output-Calculation-sheet'!T11*'Output-Calculation-sheet'!T29</f>
        <v>0</v>
      </c>
      <c r="U23" s="2">
        <f>U12/'Output-Calculation-sheet'!U11*'Output-Calculation-sheet'!U29</f>
        <v>193.66702759012759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1040.8853953964822</v>
      </c>
      <c r="Y23" s="2">
        <f>Y12/'Output-Calculation-sheet'!Y11*'Output-Calculation-sheet'!Y29</f>
        <v>333.57202827151775</v>
      </c>
      <c r="AA23" s="2">
        <f t="shared" si="0"/>
        <v>139.24143828138398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22370.334933333248</v>
      </c>
      <c r="C30" s="2">
        <f>C8/'Output-Calculation-sheet'!C7*'Output-Calculation-sheet'!C16</f>
        <v>0</v>
      </c>
      <c r="D30" s="2">
        <f>D8/'Output-Calculation-sheet'!D7*'Output-Calculation-sheet'!D16</f>
        <v>3766.8686746618896</v>
      </c>
      <c r="E30" s="2">
        <f>E8/'Output-Calculation-sheet'!E7*'Output-Calculation-sheet'!E16</f>
        <v>4052.9378739247604</v>
      </c>
      <c r="F30" s="2">
        <f>F8/'Output-Calculation-sheet'!F7*'Output-Calculation-sheet'!F16</f>
        <v>2044.7287241806114</v>
      </c>
      <c r="G30" s="2">
        <f>G8/'Output-Calculation-sheet'!G7*'Output-Calculation-sheet'!G16</f>
        <v>1339.0544586045387</v>
      </c>
      <c r="H30" s="2">
        <f>H8/'Output-Calculation-sheet'!H7*'Output-Calculation-sheet'!H16</f>
        <v>0</v>
      </c>
      <c r="I30" s="2">
        <f>I8/'Output-Calculation-sheet'!I7*'Output-Calculation-sheet'!I16</f>
        <v>1305.3775987630415</v>
      </c>
      <c r="J30" s="2">
        <f>J8/'Output-Calculation-sheet'!J7*'Output-Calculation-sheet'!J16</f>
        <v>1162.0370658771112</v>
      </c>
      <c r="K30" s="2">
        <f>K8/'Output-Calculation-sheet'!K7*'Output-Calculation-sheet'!K16</f>
        <v>1551.5415944879833</v>
      </c>
      <c r="L30" s="2">
        <f>L8/'Output-Calculation-sheet'!L7*'Output-Calculation-sheet'!L16</f>
        <v>1310.5482209307145</v>
      </c>
      <c r="M30" s="2">
        <f>M8/'Output-Calculation-sheet'!M7*'Output-Calculation-sheet'!M16</f>
        <v>0</v>
      </c>
      <c r="N30" s="2">
        <f>N8/'Output-Calculation-sheet'!N7*'Output-Calculation-sheet'!N16</f>
        <v>1861.5233357536727</v>
      </c>
      <c r="O30" s="2">
        <f>O8/'Output-Calculation-sheet'!O7*'Output-Calculation-sheet'!O16</f>
        <v>0</v>
      </c>
      <c r="P30" s="2">
        <f>P8/'Output-Calculation-sheet'!P7*'Output-Calculation-sheet'!P16</f>
        <v>1673.0760927169249</v>
      </c>
      <c r="Q30" s="2">
        <f>Q8/'Output-Calculation-sheet'!Q7*'Output-Calculation-sheet'!Q16</f>
        <v>1839.8311521544861</v>
      </c>
      <c r="R30" s="2">
        <f>R8/'Output-Calculation-sheet'!R7*'Output-Calculation-sheet'!R16</f>
        <v>1167.3808626549608</v>
      </c>
      <c r="S30" s="2">
        <f>S8/'Output-Calculation-sheet'!S7*'Output-Calculation-sheet'!S16</f>
        <v>1174.0428336813711</v>
      </c>
      <c r="T30" s="2">
        <f>T8/'Output-Calculation-sheet'!T7*'Output-Calculation-sheet'!T16</f>
        <v>350.43095475551758</v>
      </c>
      <c r="U30" s="2">
        <f>U8/'Output-Calculation-sheet'!U7*'Output-Calculation-sheet'!U16</f>
        <v>349.80456831001715</v>
      </c>
      <c r="V30" s="2">
        <f>V8/'Output-Calculation-sheet'!V7*'Output-Calculation-sheet'!V16</f>
        <v>272.24624626534234</v>
      </c>
      <c r="W30" s="2">
        <f>W8/'Output-Calculation-sheet'!W7*'Output-Calculation-sheet'!W16</f>
        <v>165.13107298359415</v>
      </c>
      <c r="X30" s="2">
        <f>X8/'Output-Calculation-sheet'!X7*'Output-Calculation-sheet'!X16</f>
        <v>0</v>
      </c>
      <c r="Y30" s="2">
        <f>Y8/'Output-Calculation-sheet'!Y7*'Output-Calculation-sheet'!Y16</f>
        <v>139.76467996700717</v>
      </c>
      <c r="AA30" s="2">
        <f t="shared" si="1"/>
        <v>47.89666094400679</v>
      </c>
    </row>
    <row r="31" spans="1:27" x14ac:dyDescent="0.25">
      <c r="A31" s="2">
        <v>2032</v>
      </c>
      <c r="B31" s="2">
        <f>B9/'Output-Calculation-sheet'!B8*'Output-Calculation-sheet'!B17</f>
        <v>31532.040855693256</v>
      </c>
      <c r="C31" s="2">
        <f>C9/'Output-Calculation-sheet'!C8*'Output-Calculation-sheet'!C17</f>
        <v>0</v>
      </c>
      <c r="D31" s="2">
        <f>D9/'Output-Calculation-sheet'!D8*'Output-Calculation-sheet'!D17</f>
        <v>5288.3372558293795</v>
      </c>
      <c r="E31" s="2">
        <f>E9/'Output-Calculation-sheet'!E8*'Output-Calculation-sheet'!E17</f>
        <v>6215.7179081581935</v>
      </c>
      <c r="F31" s="2">
        <f>F9/'Output-Calculation-sheet'!F8*'Output-Calculation-sheet'!F17</f>
        <v>2870.6810373644221</v>
      </c>
      <c r="G31" s="2">
        <f>G9/'Output-Calculation-sheet'!G8*'Output-Calculation-sheet'!G17</f>
        <v>1879.9377067361395</v>
      </c>
      <c r="H31" s="2">
        <f>H9/'Output-Calculation-sheet'!H8*'Output-Calculation-sheet'!H17</f>
        <v>0</v>
      </c>
      <c r="I31" s="2">
        <f>I9/'Output-Calculation-sheet'!I8*'Output-Calculation-sheet'!I17</f>
        <v>1832.666362613021</v>
      </c>
      <c r="J31" s="2">
        <f>J9/'Output-Calculation-sheet'!J8*'Output-Calculation-sheet'!J17</f>
        <v>1631.4263087349484</v>
      </c>
      <c r="K31" s="2">
        <f>K9/'Output-Calculation-sheet'!K8*'Output-Calculation-sheet'!K17</f>
        <v>2322.7178963827596</v>
      </c>
      <c r="L31" s="2">
        <f>L9/'Output-Calculation-sheet'!L8*'Output-Calculation-sheet'!L17</f>
        <v>1980.8700421320898</v>
      </c>
      <c r="M31" s="2">
        <f>M9/'Output-Calculation-sheet'!M8*'Output-Calculation-sheet'!M17</f>
        <v>0</v>
      </c>
      <c r="N31" s="2">
        <f>N9/'Output-Calculation-sheet'!N8*'Output-Calculation-sheet'!N17</f>
        <v>2153.4083311756845</v>
      </c>
      <c r="O31" s="2">
        <f>O9/'Output-Calculation-sheet'!O8*'Output-Calculation-sheet'!O17</f>
        <v>0</v>
      </c>
      <c r="P31" s="2">
        <f>P9/'Output-Calculation-sheet'!P8*'Output-Calculation-sheet'!P17</f>
        <v>2672.7139717922396</v>
      </c>
      <c r="Q31" s="2">
        <f>Q9/'Output-Calculation-sheet'!Q8*'Output-Calculation-sheet'!Q17</f>
        <v>2849.3586547372952</v>
      </c>
      <c r="R31" s="2">
        <f>R9/'Output-Calculation-sheet'!R8*'Output-Calculation-sheet'!R17</f>
        <v>1864.2010187881606</v>
      </c>
      <c r="S31" s="2">
        <f>S9/'Output-Calculation-sheet'!S8*'Output-Calculation-sheet'!S17</f>
        <v>1604.0622474902389</v>
      </c>
      <c r="T31" s="2">
        <f>T9/'Output-Calculation-sheet'!T8*'Output-Calculation-sheet'!T17</f>
        <v>505.86456643697943</v>
      </c>
      <c r="U31" s="2">
        <f>U9/'Output-Calculation-sheet'!U8*'Output-Calculation-sheet'!U17</f>
        <v>581.39965724987655</v>
      </c>
      <c r="V31" s="2">
        <f>V9/'Output-Calculation-sheet'!V8*'Output-Calculation-sheet'!V17</f>
        <v>416.42898770499204</v>
      </c>
      <c r="W31" s="2">
        <f>W9/'Output-Calculation-sheet'!W8*'Output-Calculation-sheet'!W17</f>
        <v>231.8358427964175</v>
      </c>
      <c r="X31" s="2">
        <f>X9/'Output-Calculation-sheet'!X8*'Output-Calculation-sheet'!X17</f>
        <v>0</v>
      </c>
      <c r="Y31" s="2">
        <f>Y9/'Output-Calculation-sheet'!Y8*'Output-Calculation-sheet'!Y17</f>
        <v>224.00365196908407</v>
      </c>
      <c r="AA31" s="2">
        <f t="shared" si="1"/>
        <v>68.657672303785176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2228.9497935042796</v>
      </c>
      <c r="O32" s="2">
        <f>O10/'Output-Calculation-sheet'!O9*'Output-Calculation-sheet'!O18</f>
        <v>0</v>
      </c>
      <c r="P32" s="2">
        <f>P10/'Output-Calculation-sheet'!P9*'Output-Calculation-sheet'!P18</f>
        <v>3588.1588042004946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2580.2603169098161</v>
      </c>
      <c r="S32" s="2">
        <f>S10/'Output-Calculation-sheet'!S9*'Output-Calculation-sheet'!S18</f>
        <v>1686.3548753045229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832.96718949360536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87.887532652069282</v>
      </c>
    </row>
    <row r="33" spans="1:27" x14ac:dyDescent="0.25">
      <c r="A33" s="2">
        <v>2034</v>
      </c>
      <c r="B33" s="2">
        <f>B11/'Output-Calculation-sheet'!B10*'Output-Calculation-sheet'!B19</f>
        <v>35681.83103390313</v>
      </c>
      <c r="C33" s="2">
        <f>C11/'Output-Calculation-sheet'!C10*'Output-Calculation-sheet'!C19</f>
        <v>0</v>
      </c>
      <c r="D33" s="2">
        <f>D11/'Output-Calculation-sheet'!D10*'Output-Calculation-sheet'!D19</f>
        <v>10642.441733356683</v>
      </c>
      <c r="E33" s="2">
        <f>E11/'Output-Calculation-sheet'!E10*'Output-Calculation-sheet'!E19</f>
        <v>13220.936392754362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3623.1567137277161</v>
      </c>
      <c r="H33" s="2">
        <f>H11/'Output-Calculation-sheet'!H10*'Output-Calculation-sheet'!H19</f>
        <v>0</v>
      </c>
      <c r="I33" s="2">
        <f>I11/'Output-Calculation-sheet'!I10*'Output-Calculation-sheet'!I19</f>
        <v>3953.1423078506668</v>
      </c>
      <c r="J33" s="2">
        <f>J11/'Output-Calculation-sheet'!J10*'Output-Calculation-sheet'!J19</f>
        <v>3349.2716056994841</v>
      </c>
      <c r="K33" s="2">
        <f>K11/'Output-Calculation-sheet'!K10*'Output-Calculation-sheet'!K19</f>
        <v>4637.7577273235956</v>
      </c>
      <c r="L33" s="2">
        <f>L11/'Output-Calculation-sheet'!L10*'Output-Calculation-sheet'!L19</f>
        <v>3775.0470757672738</v>
      </c>
      <c r="M33" s="2">
        <f>M11/'Output-Calculation-sheet'!M10*'Output-Calculation-sheet'!M19</f>
        <v>0</v>
      </c>
      <c r="N33" s="2">
        <f>N11/'Output-Calculation-sheet'!N10*'Output-Calculation-sheet'!N19</f>
        <v>2132.9440228356475</v>
      </c>
      <c r="O33" s="2">
        <f>O11/'Output-Calculation-sheet'!O10*'Output-Calculation-sheet'!O19</f>
        <v>0</v>
      </c>
      <c r="P33" s="2">
        <f>P11/'Output-Calculation-sheet'!P10*'Output-Calculation-sheet'!P19</f>
        <v>4693.2330622190302</v>
      </c>
      <c r="Q33" s="2">
        <f>Q11/'Output-Calculation-sheet'!Q10*'Output-Calculation-sheet'!Q19</f>
        <v>3757.8162764263589</v>
      </c>
      <c r="R33" s="2">
        <f>R11/'Output-Calculation-sheet'!R10*'Output-Calculation-sheet'!R19</f>
        <v>3350.7489307791502</v>
      </c>
      <c r="S33" s="2">
        <f>S11/'Output-Calculation-sheet'!S10*'Output-Calculation-sheet'!S19</f>
        <v>1566.1643574849193</v>
      </c>
      <c r="T33" s="2">
        <f>T11/'Output-Calculation-sheet'!T10*'Output-Calculation-sheet'!T19</f>
        <v>983.24907400299071</v>
      </c>
      <c r="U33" s="2">
        <f>U11/'Output-Calculation-sheet'!U10*'Output-Calculation-sheet'!U19</f>
        <v>1131.6426961740119</v>
      </c>
      <c r="V33" s="2">
        <f>V11/'Output-Calculation-sheet'!V10*'Output-Calculation-sheet'!V19</f>
        <v>772.08801486211019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151.83997804334069</v>
      </c>
      <c r="Y33" s="2">
        <f>Y11/'Output-Calculation-sheet'!Y10*'Output-Calculation-sheet'!Y19</f>
        <v>432.74123020001042</v>
      </c>
      <c r="AA33" s="2">
        <f t="shared" si="1"/>
        <v>104.38605365979107</v>
      </c>
    </row>
    <row r="34" spans="1:27" x14ac:dyDescent="0.25">
      <c r="A34" s="2">
        <v>2035</v>
      </c>
      <c r="B34" s="2">
        <f>B12/'Output-Calculation-sheet'!B11*'Output-Calculation-sheet'!B20</f>
        <v>33935.870253995483</v>
      </c>
      <c r="C34" s="2">
        <f>C12/'Output-Calculation-sheet'!C11*'Output-Calculation-sheet'!C20</f>
        <v>0</v>
      </c>
      <c r="D34" s="2">
        <f>D12/'Output-Calculation-sheet'!D11*'Output-Calculation-sheet'!D20</f>
        <v>11724.855777729197</v>
      </c>
      <c r="E34" s="2">
        <f>E12/'Output-Calculation-sheet'!E11*'Output-Calculation-sheet'!E20</f>
        <v>11389.566012184001</v>
      </c>
      <c r="F34" s="2">
        <f>F12/'Output-Calculation-sheet'!F11*'Output-Calculation-sheet'!F20</f>
        <v>7461.0934880524765</v>
      </c>
      <c r="G34" s="2">
        <f>G12/'Output-Calculation-sheet'!G11*'Output-Calculation-sheet'!G20</f>
        <v>3958.8980891579845</v>
      </c>
      <c r="H34" s="2">
        <f>H12/'Output-Calculation-sheet'!H11*'Output-Calculation-sheet'!H20</f>
        <v>0</v>
      </c>
      <c r="I34" s="2">
        <f>I12/'Output-Calculation-sheet'!I11*'Output-Calculation-sheet'!I20</f>
        <v>4554.4287980273848</v>
      </c>
      <c r="J34" s="2">
        <f>J12/'Output-Calculation-sheet'!J11*'Output-Calculation-sheet'!J20</f>
        <v>3864.5540884882803</v>
      </c>
      <c r="K34" s="2">
        <f>K12/'Output-Calculation-sheet'!K11*'Output-Calculation-sheet'!K20</f>
        <v>5443.3708385864211</v>
      </c>
      <c r="L34" s="2">
        <f>L12/'Output-Calculation-sheet'!L11*'Output-Calculation-sheet'!L20</f>
        <v>3973.0386252678691</v>
      </c>
      <c r="M34" s="2">
        <f>M12/'Output-Calculation-sheet'!M11*'Output-Calculation-sheet'!M20</f>
        <v>0</v>
      </c>
      <c r="N34" s="2">
        <f>N12/'Output-Calculation-sheet'!N11*'Output-Calculation-sheet'!N20</f>
        <v>2100.446603150207</v>
      </c>
      <c r="O34" s="2">
        <f>O12/'Output-Calculation-sheet'!O11*'Output-Calculation-sheet'!O20</f>
        <v>0</v>
      </c>
      <c r="P34" s="2">
        <f>P12/'Output-Calculation-sheet'!P11*'Output-Calculation-sheet'!P20</f>
        <v>4740.78859744274</v>
      </c>
      <c r="Q34" s="2">
        <f>Q12/'Output-Calculation-sheet'!Q11*'Output-Calculation-sheet'!Q20</f>
        <v>3514.2377761270536</v>
      </c>
      <c r="R34" s="2">
        <f>R12/'Output-Calculation-sheet'!R11*'Output-Calculation-sheet'!R20</f>
        <v>3990.1540283016498</v>
      </c>
      <c r="S34" s="2">
        <f>S12/'Output-Calculation-sheet'!S11*'Output-Calculation-sheet'!S20</f>
        <v>1460.465941366924</v>
      </c>
      <c r="T34" s="2">
        <f>T12/'Output-Calculation-sheet'!T11*'Output-Calculation-sheet'!T20</f>
        <v>1191.9796031137669</v>
      </c>
      <c r="U34" s="2">
        <f>U12/'Output-Calculation-sheet'!U11*'Output-Calculation-sheet'!U20</f>
        <v>1090.8730427371513</v>
      </c>
      <c r="V34" s="2">
        <f>V12/'Output-Calculation-sheet'!V11*'Output-Calculation-sheet'!V20</f>
        <v>1054.2925594485221</v>
      </c>
      <c r="W34" s="2">
        <f>W12/'Output-Calculation-sheet'!W11*'Output-Calculation-sheet'!W20</f>
        <v>640.11406350589812</v>
      </c>
      <c r="X34" s="2">
        <f>X12/'Output-Calculation-sheet'!X11*'Output-Calculation-sheet'!X20</f>
        <v>135.43657194410122</v>
      </c>
      <c r="Y34" s="2">
        <f>Y12/'Output-Calculation-sheet'!Y11*'Output-Calculation-sheet'!Y20</f>
        <v>347.45710266518137</v>
      </c>
      <c r="AA34" s="2">
        <f t="shared" si="1"/>
        <v>106.57192186129228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1.4651898535097572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0.28464697159228369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1.7498368251020409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1.5107870597115798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0.29350528208858367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1.8393984271368111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3.025035311793518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0.58768298074076875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14.483995639725286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37437.397631474407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8100.0047096132248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5573.5958710581153</v>
      </c>
      <c r="N52" s="2">
        <f>N8/'Output-Calculation-sheet'!N7*'Output-Calculation-sheet'!N43</f>
        <v>178.14472804954042</v>
      </c>
      <c r="O52" s="2">
        <f>O8/'Output-Calculation-sheet'!O7*'Output-Calculation-sheet'!O43</f>
        <v>7584.782603170177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720.79995957717597</v>
      </c>
      <c r="Y52" s="2">
        <f>Y8/'Output-Calculation-sheet'!Y7*'Output-Calculation-sheet'!Y43</f>
        <v>0</v>
      </c>
      <c r="AA52" s="2">
        <f t="shared" si="3"/>
        <v>59.594725502942644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69318.415497747686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16234.910187913534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11094.866064662858</v>
      </c>
      <c r="N53" s="2">
        <f>N9/'Output-Calculation-sheet'!N8*'Output-Calculation-sheet'!N44</f>
        <v>3951.620960566755</v>
      </c>
      <c r="O53" s="2">
        <f>O9/'Output-Calculation-sheet'!O8*'Output-Calculation-sheet'!O44</f>
        <v>13746.773394059706</v>
      </c>
      <c r="P53" s="2">
        <f>P9/'Output-Calculation-sheet'!P8*'Output-Calculation-sheet'!P44</f>
        <v>184.83978469650765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1232.9566365836397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1387.421276856699</v>
      </c>
      <c r="Y53" s="2">
        <f>Y9/'Output-Calculation-sheet'!Y8*'Output-Calculation-sheet'!Y44</f>
        <v>0</v>
      </c>
      <c r="AA53" s="2">
        <f t="shared" si="3"/>
        <v>117.15180380308739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83413.001309458981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15405.893111617459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1697.1114276716091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613.33934554991913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198.01778053828426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87201.568885106972</v>
      </c>
      <c r="D55" s="2">
        <f>D11/'Output-Calculation-sheet'!D10*'Output-Calculation-sheet'!D46</f>
        <v>9391.5982424415051</v>
      </c>
      <c r="E55" s="2">
        <f>E11/'Output-Calculation-sheet'!E10*'Output-Calculation-sheet'!E46</f>
        <v>11475.616421974826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31290.054916867375</v>
      </c>
      <c r="I55" s="2">
        <f>I11/'Output-Calculation-sheet'!I10*'Output-Calculation-sheet'!I46</f>
        <v>2272.6392295557025</v>
      </c>
      <c r="J55" s="2">
        <f>J11/'Output-Calculation-sheet'!J10*'Output-Calculation-sheet'!J46</f>
        <v>1611.9027952262284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21446.406053656545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16014.060127991144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6429.8982974784922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8034.1263024198879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1851.0049007807838</v>
      </c>
      <c r="V55" s="2">
        <f>V11/'Output-Calculation-sheet'!V10*'Output-Calculation-sheet'!V46</f>
        <v>743.38159133126214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2214.1469611447046</v>
      </c>
      <c r="Y55" s="2">
        <f>Y11/'Output-Calculation-sheet'!Y10*'Output-Calculation-sheet'!Y46</f>
        <v>567.6054812468376</v>
      </c>
      <c r="AA55" s="2">
        <f t="shared" si="3"/>
        <v>341.14771163118041</v>
      </c>
    </row>
    <row r="56" spans="1:27" x14ac:dyDescent="0.25">
      <c r="A56" s="2">
        <v>2035</v>
      </c>
      <c r="B56" s="2">
        <f>B12/'Output-Calculation-sheet'!B11*'Output-Calculation-sheet'!B47</f>
        <v>131384.85822977213</v>
      </c>
      <c r="C56" s="2">
        <f>C12/'Output-Calculation-sheet'!C11*'Output-Calculation-sheet'!C47</f>
        <v>88628.227556055703</v>
      </c>
      <c r="D56" s="2">
        <f>D12/'Output-Calculation-sheet'!D11*'Output-Calculation-sheet'!D47</f>
        <v>19157.300866770172</v>
      </c>
      <c r="E56" s="2">
        <f>E12/'Output-Calculation-sheet'!E11*'Output-Calculation-sheet'!E47</f>
        <v>34653.094117668523</v>
      </c>
      <c r="F56" s="2">
        <f>F12/'Output-Calculation-sheet'!F11*'Output-Calculation-sheet'!F47</f>
        <v>3877.1744316221298</v>
      </c>
      <c r="G56" s="2">
        <f>G12/'Output-Calculation-sheet'!G11*'Output-Calculation-sheet'!G47</f>
        <v>8811.5110662721254</v>
      </c>
      <c r="H56" s="2">
        <f>H12/'Output-Calculation-sheet'!H11*'Output-Calculation-sheet'!H47</f>
        <v>31611.792221241543</v>
      </c>
      <c r="I56" s="2">
        <f>I12/'Output-Calculation-sheet'!I11*'Output-Calculation-sheet'!I47</f>
        <v>5688.1063054028818</v>
      </c>
      <c r="J56" s="2">
        <f>J12/'Output-Calculation-sheet'!J11*'Output-Calculation-sheet'!J47</f>
        <v>5591.8286883685723</v>
      </c>
      <c r="K56" s="2">
        <f>K12/'Output-Calculation-sheet'!K11*'Output-Calculation-sheet'!K47</f>
        <v>7752.1782271107249</v>
      </c>
      <c r="L56" s="2">
        <f>L12/'Output-Calculation-sheet'!L11*'Output-Calculation-sheet'!L47</f>
        <v>7231.0346145524527</v>
      </c>
      <c r="M56" s="2">
        <f>M12/'Output-Calculation-sheet'!M11*'Output-Calculation-sheet'!M47</f>
        <v>22482.693994005389</v>
      </c>
      <c r="N56" s="2">
        <f>N12/'Output-Calculation-sheet'!N11*'Output-Calculation-sheet'!N47</f>
        <v>18644.242976216581</v>
      </c>
      <c r="O56" s="2">
        <f>O12/'Output-Calculation-sheet'!O11*'Output-Calculation-sheet'!O47</f>
        <v>16290.159817024818</v>
      </c>
      <c r="P56" s="2">
        <f>P12/'Output-Calculation-sheet'!P11*'Output-Calculation-sheet'!P47</f>
        <v>9135.057419045701</v>
      </c>
      <c r="Q56" s="2">
        <f>Q12/'Output-Calculation-sheet'!Q11*'Output-Calculation-sheet'!Q47</f>
        <v>8615.2852549752515</v>
      </c>
      <c r="R56" s="2">
        <f>R12/'Output-Calculation-sheet'!R11*'Output-Calculation-sheet'!R47</f>
        <v>7007.7225616287551</v>
      </c>
      <c r="S56" s="2">
        <f>S12/'Output-Calculation-sheet'!S11*'Output-Calculation-sheet'!S47</f>
        <v>9325.8287019201907</v>
      </c>
      <c r="T56" s="2">
        <f>T12/'Output-Calculation-sheet'!T11*'Output-Calculation-sheet'!T47</f>
        <v>2512.7018821690581</v>
      </c>
      <c r="U56" s="2">
        <f>U12/'Output-Calculation-sheet'!U11*'Output-Calculation-sheet'!U47</f>
        <v>2385.8987132345678</v>
      </c>
      <c r="V56" s="2">
        <f>V12/'Output-Calculation-sheet'!V11*'Output-Calculation-sheet'!V47</f>
        <v>1464.6507995071997</v>
      </c>
      <c r="W56" s="2">
        <f>W12/'Output-Calculation-sheet'!W11*'Output-Calculation-sheet'!W47</f>
        <v>850.67389781226643</v>
      </c>
      <c r="X56" s="2">
        <f>X12/'Output-Calculation-sheet'!X11*'Output-Calculation-sheet'!X47</f>
        <v>2266.0113903690963</v>
      </c>
      <c r="Y56" s="2">
        <f>Y12/'Output-Calculation-sheet'!Y11*'Output-Calculation-sheet'!Y47</f>
        <v>1273.3687251956367</v>
      </c>
      <c r="AA56" s="2">
        <f t="shared" si="3"/>
        <v>446.64140245794147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8.7122181721693455</v>
      </c>
      <c r="C63" s="2">
        <f>C8*'Output-Calculation-sheet'!C52/10^9</f>
        <v>5.4940188697174763</v>
      </c>
      <c r="D63" s="2">
        <f>D8*'Output-Calculation-sheet'!D52/10^9</f>
        <v>2.9875860939620997</v>
      </c>
      <c r="E63" s="2">
        <f>E8*'Output-Calculation-sheet'!E52/10^9</f>
        <v>2.970476892196293</v>
      </c>
      <c r="F63" s="2">
        <f>F8*'Output-Calculation-sheet'!F52/10^9</f>
        <v>1.2579977198916343</v>
      </c>
      <c r="G63" s="2">
        <f>G8*'Output-Calculation-sheet'!G52/10^9</f>
        <v>0.90444243166772986</v>
      </c>
      <c r="H63" s="2">
        <f>H8*'Output-Calculation-sheet'!H52/10^9</f>
        <v>1.5798799187590811</v>
      </c>
      <c r="I63" s="2">
        <f>I8*'Output-Calculation-sheet'!I52/10^9</f>
        <v>0.8413415538072333</v>
      </c>
      <c r="J63" s="2">
        <f>J8*'Output-Calculation-sheet'!J52/10^9</f>
        <v>1.1577441365499934</v>
      </c>
      <c r="K63" s="2">
        <f>K8*'Output-Calculation-sheet'!K52/10^9</f>
        <v>1.0171785626144985</v>
      </c>
      <c r="L63" s="2">
        <f>L8*'Output-Calculation-sheet'!L52/10^9</f>
        <v>1.3681521800104097</v>
      </c>
      <c r="M63" s="2">
        <f>M8*'Output-Calculation-sheet'!M52/10^9</f>
        <v>1.2823307457425719</v>
      </c>
      <c r="N63" s="2">
        <f>N8*'Output-Calculation-sheet'!N52/10^9</f>
        <v>1.0702311802417581</v>
      </c>
      <c r="O63" s="2">
        <f>O8*'Output-Calculation-sheet'!O52/10^9</f>
        <v>1.1412485668401839</v>
      </c>
      <c r="P63" s="2">
        <f>P8*'Output-Calculation-sheet'!P52/10^9</f>
        <v>0.70284423975815025</v>
      </c>
      <c r="Q63" s="2">
        <f>Q8*'Output-Calculation-sheet'!Q52/10^9</f>
        <v>0.7954093757579993</v>
      </c>
      <c r="R63" s="2">
        <f>R8*'Output-Calculation-sheet'!R52/10^9</f>
        <v>0.71412052958583094</v>
      </c>
      <c r="S63" s="2">
        <f>S8*'Output-Calculation-sheet'!S52/10^9</f>
        <v>0.52919176522145028</v>
      </c>
      <c r="T63" s="2">
        <f>T8*'Output-Calculation-sheet'!T52/10^9</f>
        <v>0.27149953234509522</v>
      </c>
      <c r="U63" s="2">
        <f>U8*'Output-Calculation-sheet'!U52/10^9</f>
        <v>0.18646286002318019</v>
      </c>
      <c r="V63" s="2">
        <f>V8*'Output-Calculation-sheet'!V52/10^9</f>
        <v>0.33092776518941314</v>
      </c>
      <c r="W63" s="2">
        <f>W8*'Output-Calculation-sheet'!W52/10^9</f>
        <v>0.11978057831759978</v>
      </c>
      <c r="X63" s="2">
        <f>X8*'Output-Calculation-sheet'!X52/10^9</f>
        <v>0.13786468226632523</v>
      </c>
      <c r="Y63" s="2">
        <f>Y8*'Output-Calculation-sheet'!Y52/10^9</f>
        <v>7.8153419858286416E-2</v>
      </c>
      <c r="AA63" s="2">
        <f t="shared" si="4"/>
        <v>35.651101772493647</v>
      </c>
    </row>
    <row r="64" spans="1:27" x14ac:dyDescent="0.25">
      <c r="A64" s="2">
        <v>2032</v>
      </c>
      <c r="B64" s="2">
        <f>B9*'Output-Calculation-sheet'!B53/10^9</f>
        <v>9.3368391364412506</v>
      </c>
      <c r="C64" s="2">
        <f>C9*'Output-Calculation-sheet'!C53/10^9</f>
        <v>6.3036239286946527</v>
      </c>
      <c r="D64" s="2">
        <f>D9*'Output-Calculation-sheet'!D53/10^9</f>
        <v>2.7631420693873863</v>
      </c>
      <c r="E64" s="2">
        <f>E9*'Output-Calculation-sheet'!E53/10^9</f>
        <v>2.8295921958894708</v>
      </c>
      <c r="F64" s="2">
        <f>F9*'Output-Calculation-sheet'!F53/10^9</f>
        <v>1.1935052472199226</v>
      </c>
      <c r="G64" s="2">
        <f>G9*'Output-Calculation-sheet'!G53/10^9</f>
        <v>0.84949962192510886</v>
      </c>
      <c r="H64" s="2">
        <f>H9*'Output-Calculation-sheet'!H53/10^9</f>
        <v>1.745541054233511</v>
      </c>
      <c r="I64" s="2">
        <f>I9*'Output-Calculation-sheet'!I53/10^9</f>
        <v>0.79414343943625254</v>
      </c>
      <c r="J64" s="2">
        <f>J9*'Output-Calculation-sheet'!J53/10^9</f>
        <v>1.0512855825317633</v>
      </c>
      <c r="K64" s="2">
        <f>K9*'Output-Calculation-sheet'!K53/10^9</f>
        <v>0.975447484084348</v>
      </c>
      <c r="L64" s="2">
        <f>L9*'Output-Calculation-sheet'!L53/10^9</f>
        <v>1.2549051079501874</v>
      </c>
      <c r="M64" s="2">
        <f>M9*'Output-Calculation-sheet'!M53/10^9</f>
        <v>1.3680623750598686</v>
      </c>
      <c r="N64" s="2">
        <f>N9*'Output-Calculation-sheet'!N53/10^9</f>
        <v>1.1516542019714193</v>
      </c>
      <c r="O64" s="2">
        <f>O9*'Output-Calculation-sheet'!O53/10^9</f>
        <v>1.3037495098277037</v>
      </c>
      <c r="P64" s="2">
        <f>P9*'Output-Calculation-sheet'!P53/10^9</f>
        <v>0.74369991573154015</v>
      </c>
      <c r="Q64" s="2">
        <f>Q9*'Output-Calculation-sheet'!Q53/10^9</f>
        <v>0.82191321180633481</v>
      </c>
      <c r="R64" s="2">
        <f>R9*'Output-Calculation-sheet'!R53/10^9</f>
        <v>0.70457275867513369</v>
      </c>
      <c r="S64" s="2">
        <f>S9*'Output-Calculation-sheet'!S53/10^9</f>
        <v>0.58213363429717258</v>
      </c>
      <c r="T64" s="2">
        <f>T9*'Output-Calculation-sheet'!T53/10^9</f>
        <v>0.25327556768388765</v>
      </c>
      <c r="U64" s="2">
        <f>U9*'Output-Calculation-sheet'!U53/10^9</f>
        <v>0.19063514757891228</v>
      </c>
      <c r="V64" s="2">
        <f>V9*'Output-Calculation-sheet'!V53/10^9</f>
        <v>0.30062107623640316</v>
      </c>
      <c r="W64" s="2">
        <f>W9*'Output-Calculation-sheet'!W53/10^9</f>
        <v>0.11170537345778056</v>
      </c>
      <c r="X64" s="2">
        <f>X9*'Output-Calculation-sheet'!X53/10^9</f>
        <v>0.15162503440890582</v>
      </c>
      <c r="Y64" s="2">
        <f>Y9*'Output-Calculation-sheet'!Y53/10^9</f>
        <v>7.8264417218207802E-2</v>
      </c>
      <c r="AA64" s="2">
        <f t="shared" si="4"/>
        <v>36.859437091747118</v>
      </c>
    </row>
    <row r="65" spans="1:27" x14ac:dyDescent="0.25">
      <c r="A65" s="2">
        <v>2033</v>
      </c>
      <c r="B65" s="2">
        <f>B10*'Output-Calculation-sheet'!B54/10^9</f>
        <v>9.9367224966390939</v>
      </c>
      <c r="C65" s="2">
        <f>C10*'Output-Calculation-sheet'!C54/10^9</f>
        <v>6.9520219311051434</v>
      </c>
      <c r="D65" s="2">
        <f>D10*'Output-Calculation-sheet'!D54/10^9</f>
        <v>2.3475481794666107</v>
      </c>
      <c r="E65" s="2">
        <f>E10*'Output-Calculation-sheet'!E54/10^9</f>
        <v>2.6433124046618488</v>
      </c>
      <c r="F65" s="2">
        <f>F10*'Output-Calculation-sheet'!F54/10^9</f>
        <v>1.0731396012416621</v>
      </c>
      <c r="G65" s="2">
        <f>G10*'Output-Calculation-sheet'!G54/10^9</f>
        <v>0.73680740678305146</v>
      </c>
      <c r="H65" s="2">
        <f>H10*'Output-Calculation-sheet'!H54/10^9</f>
        <v>1.8208538484367378</v>
      </c>
      <c r="I65" s="2">
        <f>I10*'Output-Calculation-sheet'!I54/10^9</f>
        <v>0.7174491894849907</v>
      </c>
      <c r="J65" s="2">
        <f>J10*'Output-Calculation-sheet'!J54/10^9</f>
        <v>0.85751179955284607</v>
      </c>
      <c r="K65" s="2">
        <f>K10*'Output-Calculation-sheet'!K54/10^9</f>
        <v>0.91485149928285703</v>
      </c>
      <c r="L65" s="2">
        <f>L10*'Output-Calculation-sheet'!L54/10^9</f>
        <v>1.0806320252381696</v>
      </c>
      <c r="M65" s="2">
        <f>M10*'Output-Calculation-sheet'!M54/10^9</f>
        <v>1.3748769414155815</v>
      </c>
      <c r="N65" s="2">
        <f>N10*'Output-Calculation-sheet'!N54/10^9</f>
        <v>1.1872256306300244</v>
      </c>
      <c r="O65" s="2">
        <f>O10*'Output-Calculation-sheet'!O54/10^9</f>
        <v>1.4220786258834872</v>
      </c>
      <c r="P65" s="2">
        <f>P10*'Output-Calculation-sheet'!P54/10^9</f>
        <v>0.7741012928251727</v>
      </c>
      <c r="Q65" s="2">
        <f>Q10*'Output-Calculation-sheet'!Q54/10^9</f>
        <v>0.84467511476288404</v>
      </c>
      <c r="R65" s="2">
        <f>R10*'Output-Calculation-sheet'!R54/10^9</f>
        <v>0.68148448824924923</v>
      </c>
      <c r="S65" s="2">
        <f>S10*'Output-Calculation-sheet'!S54/10^9</f>
        <v>0.61902987882500016</v>
      </c>
      <c r="T65" s="2">
        <f>T10*'Output-Calculation-sheet'!T54/10^9</f>
        <v>0.22784986583483482</v>
      </c>
      <c r="U65" s="2">
        <f>U10*'Output-Calculation-sheet'!U54/10^9</f>
        <v>0.19674181068831589</v>
      </c>
      <c r="V65" s="2">
        <f>V10*'Output-Calculation-sheet'!V54/10^9</f>
        <v>0.25215026941433688</v>
      </c>
      <c r="W65" s="2">
        <f>W10*'Output-Calculation-sheet'!W54/10^9</f>
        <v>9.6003091361837642E-2</v>
      </c>
      <c r="X65" s="2">
        <f>X10*'Output-Calculation-sheet'!X54/10^9</f>
        <v>0.1581279752292534</v>
      </c>
      <c r="Y65" s="2">
        <f>Y10*'Output-Calculation-sheet'!Y54/10^9</f>
        <v>7.9015690043908154E-2</v>
      </c>
      <c r="AA65" s="2">
        <f t="shared" si="4"/>
        <v>36.994211057056901</v>
      </c>
    </row>
    <row r="66" spans="1:27" x14ac:dyDescent="0.25">
      <c r="A66" s="2">
        <v>2034</v>
      </c>
      <c r="B66" s="2">
        <f>B11*'Output-Calculation-sheet'!B55/10^9</f>
        <v>10.510392869351532</v>
      </c>
      <c r="C66" s="2">
        <f>C11*'Output-Calculation-sheet'!C55/10^9</f>
        <v>7.4407368143855788</v>
      </c>
      <c r="D66" s="2">
        <f>D11*'Output-Calculation-sheet'!D55/10^9</f>
        <v>2.1985884588395113</v>
      </c>
      <c r="E66" s="2">
        <f>E11*'Output-Calculation-sheet'!E55/10^9</f>
        <v>2.6621349977212243</v>
      </c>
      <c r="F66" s="2">
        <f>F11*'Output-Calculation-sheet'!F55/10^9</f>
        <v>1.0231053960483791</v>
      </c>
      <c r="G66" s="2">
        <f>G11*'Output-Calculation-sheet'!G55/10^9</f>
        <v>0.73130152409153881</v>
      </c>
      <c r="H66" s="2">
        <f>H11*'Output-Calculation-sheet'!H55/10^9</f>
        <v>1.8780250918659367</v>
      </c>
      <c r="I66" s="2">
        <f>I11*'Output-Calculation-sheet'!I55/10^9</f>
        <v>0.71519069515092359</v>
      </c>
      <c r="J66" s="2">
        <f>J11*'Output-Calculation-sheet'!J55/10^9</f>
        <v>0.73538161953175385</v>
      </c>
      <c r="K66" s="2">
        <f>K11*'Output-Calculation-sheet'!K55/10^9</f>
        <v>0.8796073160928739</v>
      </c>
      <c r="L66" s="2">
        <f>L11*'Output-Calculation-sheet'!L55/10^9</f>
        <v>0.93149312500124215</v>
      </c>
      <c r="M66" s="2">
        <f>M11*'Output-Calculation-sheet'!M55/10^9</f>
        <v>1.3544849034205151</v>
      </c>
      <c r="N66" s="2">
        <f>N11*'Output-Calculation-sheet'!N55/10^9</f>
        <v>1.1834586021262579</v>
      </c>
      <c r="O66" s="2">
        <f>O11*'Output-Calculation-sheet'!O55/10^9</f>
        <v>1.4936343408109185</v>
      </c>
      <c r="P66" s="2">
        <f>P11*'Output-Calculation-sheet'!P55/10^9</f>
        <v>0.81351064767472236</v>
      </c>
      <c r="Q66" s="2">
        <f>Q11*'Output-Calculation-sheet'!Q55/10^9</f>
        <v>0.88809866640374724</v>
      </c>
      <c r="R66" s="2">
        <f>R11*'Output-Calculation-sheet'!R55/10^9</f>
        <v>0.65889411411259435</v>
      </c>
      <c r="S66" s="2">
        <f>S11*'Output-Calculation-sheet'!S55/10^9</f>
        <v>0.64832508836075942</v>
      </c>
      <c r="T66" s="2">
        <f>T11*'Output-Calculation-sheet'!T55/10^9</f>
        <v>0.20652702243890192</v>
      </c>
      <c r="U66" s="2">
        <f>U11*'Output-Calculation-sheet'!U55/10^9</f>
        <v>0.21086506897207746</v>
      </c>
      <c r="V66" s="2">
        <f>V11*'Output-Calculation-sheet'!V55/10^9</f>
        <v>0.19592146574548061</v>
      </c>
      <c r="W66" s="2">
        <f>W11*'Output-Calculation-sheet'!W55/10^9</f>
        <v>8.8713137867707598E-2</v>
      </c>
      <c r="X66" s="2">
        <f>X11*'Output-Calculation-sheet'!X55/10^9</f>
        <v>0.16827727379824639</v>
      </c>
      <c r="Y66" s="2">
        <f>Y11*'Output-Calculation-sheet'!Y55/10^9</f>
        <v>8.7052262380028847E-2</v>
      </c>
      <c r="AA66" s="2">
        <f t="shared" si="4"/>
        <v>37.703720502192454</v>
      </c>
    </row>
    <row r="67" spans="1:27" x14ac:dyDescent="0.25">
      <c r="A67" s="2">
        <v>2035</v>
      </c>
      <c r="B67" s="2">
        <f>B12*'Output-Calculation-sheet'!B56/10^9</f>
        <v>11.505853884734671</v>
      </c>
      <c r="C67" s="2">
        <f>C12*'Output-Calculation-sheet'!C56/10^9</f>
        <v>7.7218590488819867</v>
      </c>
      <c r="D67" s="2">
        <f>D12*'Output-Calculation-sheet'!D56/10^9</f>
        <v>2.524895342681682</v>
      </c>
      <c r="E67" s="2">
        <f>E12*'Output-Calculation-sheet'!E56/10^9</f>
        <v>3.2135705298293424</v>
      </c>
      <c r="F67" s="2">
        <f>F12*'Output-Calculation-sheet'!F56/10^9</f>
        <v>1.2494495576138267</v>
      </c>
      <c r="G67" s="2">
        <f>G12*'Output-Calculation-sheet'!G56/10^9</f>
        <v>0.91853281909312656</v>
      </c>
      <c r="H67" s="2">
        <f>H12*'Output-Calculation-sheet'!H56/10^9</f>
        <v>2.0296305882180743</v>
      </c>
      <c r="I67" s="2">
        <f>I12*'Output-Calculation-sheet'!I56/10^9</f>
        <v>0.86657334347331305</v>
      </c>
      <c r="J67" s="2">
        <f>J12*'Output-Calculation-sheet'!J56/10^9</f>
        <v>0.80529034622407825</v>
      </c>
      <c r="K67" s="2">
        <f>K12*'Output-Calculation-sheet'!K56/10^9</f>
        <v>0.98891303003303244</v>
      </c>
      <c r="L67" s="2">
        <f>L12*'Output-Calculation-sheet'!L56/10^9</f>
        <v>0.94780394911369981</v>
      </c>
      <c r="M67" s="2">
        <f>M12*'Output-Calculation-sheet'!M56/10^9</f>
        <v>1.4589972564010216</v>
      </c>
      <c r="N67" s="2">
        <f>N12*'Output-Calculation-sheet'!N56/10^9</f>
        <v>1.2466628697516817</v>
      </c>
      <c r="O67" s="2">
        <f>O12*'Output-Calculation-sheet'!O56/10^9</f>
        <v>1.5210817954440472</v>
      </c>
      <c r="P67" s="2">
        <f>P12*'Output-Calculation-sheet'!P56/10^9</f>
        <v>0.95489858356242818</v>
      </c>
      <c r="Q67" s="2">
        <f>Q12*'Output-Calculation-sheet'!Q56/10^9</f>
        <v>0.9596516364096318</v>
      </c>
      <c r="R67" s="2">
        <f>R12*'Output-Calculation-sheet'!R56/10^9</f>
        <v>0.72908253889971397</v>
      </c>
      <c r="S67" s="2">
        <f>S12*'Output-Calculation-sheet'!S56/10^9</f>
        <v>0.69488482075405578</v>
      </c>
      <c r="T67" s="2">
        <f>T12*'Output-Calculation-sheet'!T56/10^9</f>
        <v>0.22354335456142471</v>
      </c>
      <c r="U67" s="2">
        <f>U12*'Output-Calculation-sheet'!U56/10^9</f>
        <v>0.24013492051716467</v>
      </c>
      <c r="V67" s="2">
        <f>V12*'Output-Calculation-sheet'!V56/10^9</f>
        <v>0.17171177804234256</v>
      </c>
      <c r="W67" s="2">
        <f>W12*'Output-Calculation-sheet'!W56/10^9</f>
        <v>0.11387734962467315</v>
      </c>
      <c r="X67" s="2">
        <f>X12*'Output-Calculation-sheet'!X56/10^9</f>
        <v>0.18184226303147427</v>
      </c>
      <c r="Y67" s="2">
        <f>Y12*'Output-Calculation-sheet'!Y56/10^9</f>
        <v>0.10776017499377433</v>
      </c>
      <c r="AA67" s="2">
        <f t="shared" si="4"/>
        <v>41.376501781890255</v>
      </c>
    </row>
    <row r="68" spans="1:27" x14ac:dyDescent="0.25">
      <c r="B68" s="2">
        <f>SUM(B60:B67)</f>
        <v>69.846764998860792</v>
      </c>
      <c r="C68" s="2">
        <f t="shared" ref="C68:Y68" si="5">SUM(C60:C67)</f>
        <v>44.416629279005136</v>
      </c>
      <c r="D68" s="2">
        <f t="shared" si="5"/>
        <v>20.607030135027586</v>
      </c>
      <c r="E68" s="2">
        <f t="shared" si="5"/>
        <v>21.994707957785629</v>
      </c>
      <c r="F68" s="2">
        <f t="shared" si="5"/>
        <v>8.978383302102813</v>
      </c>
      <c r="G68" s="2">
        <f t="shared" si="5"/>
        <v>6.4554227360426815</v>
      </c>
      <c r="H68" s="2">
        <f t="shared" si="5"/>
        <v>12.32553607676997</v>
      </c>
      <c r="I68" s="2">
        <f t="shared" si="5"/>
        <v>6.0753965015397569</v>
      </c>
      <c r="J68" s="2">
        <f t="shared" si="5"/>
        <v>7.6871059087058349</v>
      </c>
      <c r="K68" s="2">
        <f t="shared" si="5"/>
        <v>7.369733816516356</v>
      </c>
      <c r="L68" s="2">
        <f t="shared" si="5"/>
        <v>9.2358737801503175</v>
      </c>
      <c r="M68" s="2">
        <f t="shared" si="5"/>
        <v>9.6435366645618519</v>
      </c>
      <c r="N68" s="2">
        <f t="shared" si="5"/>
        <v>8.2732107161971662</v>
      </c>
      <c r="O68" s="2">
        <f t="shared" si="5"/>
        <v>9.0770291799019649</v>
      </c>
      <c r="P68" s="2">
        <f t="shared" si="5"/>
        <v>5.636260946558485</v>
      </c>
      <c r="Q68" s="2">
        <f t="shared" si="5"/>
        <v>6.1900831178394382</v>
      </c>
      <c r="R68" s="2">
        <f t="shared" si="5"/>
        <v>5.2911207987173059</v>
      </c>
      <c r="S68" s="2">
        <f t="shared" si="5"/>
        <v>4.2529514688602887</v>
      </c>
      <c r="T68" s="2">
        <f t="shared" si="5"/>
        <v>1.8884721136945912</v>
      </c>
      <c r="U68" s="2">
        <f t="shared" si="5"/>
        <v>1.4864784772981681</v>
      </c>
      <c r="V68" s="2">
        <f t="shared" si="5"/>
        <v>2.1443539010401009</v>
      </c>
      <c r="W68" s="2">
        <f t="shared" si="5"/>
        <v>0.83922849248673725</v>
      </c>
      <c r="X68" s="2">
        <f t="shared" si="5"/>
        <v>1.0833596572735962</v>
      </c>
      <c r="Y68" s="2">
        <f t="shared" si="5"/>
        <v>0.62516538417368928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7221.6740031114132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1778.5437170315381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1168.3480418002189</v>
      </c>
      <c r="N74" s="2">
        <f>N8/'Output-Calculation-sheet'!N7*'Output-Calculation-sheet'!N61</f>
        <v>48.96753212261742</v>
      </c>
      <c r="O74" s="2">
        <f>O8/'Output-Calculation-sheet'!O7*'Output-Calculation-sheet'!O61</f>
        <v>1443.8932449278809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145.18402496145518</v>
      </c>
      <c r="Y74" s="2">
        <f>Y8/'Output-Calculation-sheet'!Y7*'Output-Calculation-sheet'!Y61</f>
        <v>0</v>
      </c>
      <c r="AA74" s="2">
        <f t="shared" si="6"/>
        <v>11.80661056395512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12451.005027039981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3089.5884663759643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2096.395300470459</v>
      </c>
      <c r="N75" s="2">
        <f>N9/'Output-Calculation-sheet'!N8*'Output-Calculation-sheet'!N62</f>
        <v>810.33239950862571</v>
      </c>
      <c r="O75" s="2">
        <f>O9/'Output-Calculation-sheet'!O8*'Output-Calculation-sheet'!O62</f>
        <v>2461.1625601874093</v>
      </c>
      <c r="P75" s="2">
        <f>P9/'Output-Calculation-sheet'!P8*'Output-Calculation-sheet'!P62</f>
        <v>54.250476808424992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271.52285744485528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252.55812945372722</v>
      </c>
      <c r="Y75" s="2">
        <f>Y9/'Output-Calculation-sheet'!Y8*'Output-Calculation-sheet'!Y62</f>
        <v>0</v>
      </c>
      <c r="AA75" s="2">
        <f t="shared" si="6"/>
        <v>21.486815217289447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15432.690496507375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4541.5663509124242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3092.1554845371093</v>
      </c>
      <c r="N76" s="2">
        <f>N10/'Output-Calculation-sheet'!N9*'Output-Calculation-sheet'!N63</f>
        <v>1769.5352641363204</v>
      </c>
      <c r="O76" s="2">
        <f>O10/'Output-Calculation-sheet'!O9*'Output-Calculation-sheet'!O63</f>
        <v>2732.2114227643906</v>
      </c>
      <c r="P76" s="2">
        <f>P10/'Output-Calculation-sheet'!P9*'Output-Calculation-sheet'!P63</f>
        <v>613.78449629792078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461.75379693717122</v>
      </c>
      <c r="S76" s="2">
        <f>S10/'Output-Calculation-sheet'!S9*'Output-Calculation-sheet'!S63</f>
        <v>784.65572240105496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163.54469256645098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364.17259981864623</v>
      </c>
      <c r="Y76" s="2">
        <f>Y10/'Output-Calculation-sheet'!Y9*'Output-Calculation-sheet'!Y63</f>
        <v>6.9083112091330845</v>
      </c>
      <c r="AA76" s="2">
        <f t="shared" si="6"/>
        <v>37.352807941047082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15913.358645267288</v>
      </c>
      <c r="D77" s="2">
        <f>D11/'Output-Calculation-sheet'!D10*'Output-Calculation-sheet'!D64</f>
        <v>2173.0984383229338</v>
      </c>
      <c r="E77" s="2">
        <f>E11/'Output-Calculation-sheet'!E10*'Output-Calculation-sheet'!E64</f>
        <v>2641.4443263329372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1128.6464164374972</v>
      </c>
      <c r="H77" s="2">
        <f>H11/'Output-Calculation-sheet'!H10*'Output-Calculation-sheet'!H64</f>
        <v>5997.4509041635247</v>
      </c>
      <c r="I77" s="2">
        <f>I11/'Output-Calculation-sheet'!I10*'Output-Calculation-sheet'!I64</f>
        <v>673.04210783292115</v>
      </c>
      <c r="J77" s="2">
        <f>J11/'Output-Calculation-sheet'!J10*'Output-Calculation-sheet'!J64</f>
        <v>455.2688243726173</v>
      </c>
      <c r="K77" s="2">
        <f>K11/'Output-Calculation-sheet'!K10*'Output-Calculation-sheet'!K64</f>
        <v>1023.9036156359273</v>
      </c>
      <c r="L77" s="2">
        <f>L11/'Output-Calculation-sheet'!L10*'Output-Calculation-sheet'!L64</f>
        <v>428.92543757002562</v>
      </c>
      <c r="M77" s="2">
        <f>M11/'Output-Calculation-sheet'!M10*'Output-Calculation-sheet'!M64</f>
        <v>4033.6647532383809</v>
      </c>
      <c r="N77" s="2">
        <f>N11/'Output-Calculation-sheet'!N10*'Output-Calculation-sheet'!N64</f>
        <v>2839.9524761946736</v>
      </c>
      <c r="O77" s="2">
        <f>O11/'Output-Calculation-sheet'!O10*'Output-Calculation-sheet'!O64</f>
        <v>2945.1967753720564</v>
      </c>
      <c r="P77" s="2">
        <f>P11/'Output-Calculation-sheet'!P10*'Output-Calculation-sheet'!P64</f>
        <v>1253.4862738066324</v>
      </c>
      <c r="Q77" s="2">
        <f>Q11/'Output-Calculation-sheet'!Q10*'Output-Calculation-sheet'!Q64</f>
        <v>1127.0451433080252</v>
      </c>
      <c r="R77" s="2">
        <f>R11/'Output-Calculation-sheet'!R10*'Output-Calculation-sheet'!R64</f>
        <v>1072.9923657934294</v>
      </c>
      <c r="S77" s="2">
        <f>S11/'Output-Calculation-sheet'!S10*'Output-Calculation-sheet'!S64</f>
        <v>1428.1133958829053</v>
      </c>
      <c r="T77" s="2">
        <f>T11/'Output-Calculation-sheet'!T10*'Output-Calculation-sheet'!T64</f>
        <v>295.1042044363524</v>
      </c>
      <c r="U77" s="2">
        <f>U11/'Output-Calculation-sheet'!U10*'Output-Calculation-sheet'!U64</f>
        <v>392.22022595502818</v>
      </c>
      <c r="V77" s="2">
        <f>V11/'Output-Calculation-sheet'!V10*'Output-Calculation-sheet'!V64</f>
        <v>152.58353191028954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419.69017071845229</v>
      </c>
      <c r="Y77" s="2">
        <f>Y11/'Output-Calculation-sheet'!Y10*'Output-Calculation-sheet'!Y64</f>
        <v>98.207635281488166</v>
      </c>
      <c r="AA77" s="2">
        <f t="shared" si="6"/>
        <v>64.097658027589333</v>
      </c>
    </row>
    <row r="78" spans="1:27" x14ac:dyDescent="0.25">
      <c r="A78" s="2">
        <v>2035</v>
      </c>
      <c r="B78" s="2">
        <f>B12/'Output-Calculation-sheet'!B11*'Output-Calculation-sheet'!B65</f>
        <v>22426.277130815892</v>
      </c>
      <c r="C78" s="2">
        <f>C12/'Output-Calculation-sheet'!C11*'Output-Calculation-sheet'!C65</f>
        <v>16387.996124654026</v>
      </c>
      <c r="D78" s="2">
        <f>D12/'Output-Calculation-sheet'!D11*'Output-Calculation-sheet'!D65</f>
        <v>4210.3751303753043</v>
      </c>
      <c r="E78" s="2">
        <f>E12/'Output-Calculation-sheet'!E11*'Output-Calculation-sheet'!E65</f>
        <v>5269.9790383099071</v>
      </c>
      <c r="F78" s="2">
        <f>F12/'Output-Calculation-sheet'!F11*'Output-Calculation-sheet'!F65</f>
        <v>1053.5340341925951</v>
      </c>
      <c r="G78" s="2">
        <f>G12/'Output-Calculation-sheet'!G11*'Output-Calculation-sheet'!G65</f>
        <v>1936.593058938487</v>
      </c>
      <c r="H78" s="2">
        <f>H12/'Output-Calculation-sheet'!H11*'Output-Calculation-sheet'!H65</f>
        <v>6122.967269023372</v>
      </c>
      <c r="I78" s="2">
        <f>I12/'Output-Calculation-sheet'!I11*'Output-Calculation-sheet'!I65</f>
        <v>1406.3274029478084</v>
      </c>
      <c r="J78" s="2">
        <f>J12/'Output-Calculation-sheet'!J11*'Output-Calculation-sheet'!J65</f>
        <v>1359.9402428215569</v>
      </c>
      <c r="K78" s="2">
        <f>K12/'Output-Calculation-sheet'!K11*'Output-Calculation-sheet'!K65</f>
        <v>1703.7647859333638</v>
      </c>
      <c r="L78" s="2">
        <f>L12/'Output-Calculation-sheet'!L11*'Output-Calculation-sheet'!L65</f>
        <v>1256.1848165641368</v>
      </c>
      <c r="M78" s="2">
        <f>M12/'Output-Calculation-sheet'!M11*'Output-Calculation-sheet'!M65</f>
        <v>4470.6555973404793</v>
      </c>
      <c r="N78" s="2">
        <f>N12/'Output-Calculation-sheet'!N11*'Output-Calculation-sheet'!N65</f>
        <v>3187.7512324224526</v>
      </c>
      <c r="O78" s="2">
        <f>O12/'Output-Calculation-sheet'!O11*'Output-Calculation-sheet'!O65</f>
        <v>3009.1430659473817</v>
      </c>
      <c r="P78" s="2">
        <f>P12/'Output-Calculation-sheet'!P11*'Output-Calculation-sheet'!P65</f>
        <v>1736.6050356647859</v>
      </c>
      <c r="Q78" s="2">
        <f>Q12/'Output-Calculation-sheet'!Q11*'Output-Calculation-sheet'!Q65</f>
        <v>1474.5447917721826</v>
      </c>
      <c r="R78" s="2">
        <f>R12/'Output-Calculation-sheet'!R11*'Output-Calculation-sheet'!R65</f>
        <v>1457.318304220358</v>
      </c>
      <c r="S78" s="2">
        <f>S12/'Output-Calculation-sheet'!S11*'Output-Calculation-sheet'!S65</f>
        <v>1686.090829316606</v>
      </c>
      <c r="T78" s="2">
        <f>T12/'Output-Calculation-sheet'!T11*'Output-Calculation-sheet'!T65</f>
        <v>526.05145270230503</v>
      </c>
      <c r="U78" s="2">
        <f>U12/'Output-Calculation-sheet'!U11*'Output-Calculation-sheet'!U65</f>
        <v>440.14812378389416</v>
      </c>
      <c r="V78" s="2">
        <f>V12/'Output-Calculation-sheet'!V11*'Output-Calculation-sheet'!V65</f>
        <v>267.75721851803979</v>
      </c>
      <c r="W78" s="2">
        <f>W12/'Output-Calculation-sheet'!W11*'Output-Calculation-sheet'!W65</f>
        <v>186.96265594099413</v>
      </c>
      <c r="X78" s="2">
        <f>X12/'Output-Calculation-sheet'!X11*'Output-Calculation-sheet'!X65</f>
        <v>432.09600055209569</v>
      </c>
      <c r="Y78" s="2">
        <f>Y12/'Output-Calculation-sheet'!Y11*'Output-Calculation-sheet'!Y65</f>
        <v>202.72149111537453</v>
      </c>
      <c r="AA78" s="2">
        <f t="shared" si="6"/>
        <v>82.211784833873395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257.05085149293984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74.907097787443078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0.33195794928038291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795.15108405872616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154.4764642571493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3.0794811698813693</v>
      </c>
      <c r="Y88" s="2">
        <f>Y11/'Output-Calculation-sheet'!Y10*'Output-Calculation-sheet'!Y73</f>
        <v>0</v>
      </c>
      <c r="AA88" s="2">
        <f t="shared" si="7"/>
        <v>0.9527070294857567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1326.7698735936483</v>
      </c>
      <c r="D89" s="2">
        <f>D12/'Output-Calculation-sheet'!D11*'Output-Calculation-sheet'!D74</f>
        <v>117.52945317036915</v>
      </c>
      <c r="E89" s="2">
        <f>E12/'Output-Calculation-sheet'!E11*'Output-Calculation-sheet'!E74</f>
        <v>186.80913270980335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122.52632643892071</v>
      </c>
      <c r="I89" s="2">
        <f>I12/'Output-Calculation-sheet'!I11*'Output-Calculation-sheet'!I74</f>
        <v>37.920708702685879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37.270087630340022</v>
      </c>
      <c r="L89" s="2">
        <f>L12/'Output-Calculation-sheet'!L11*'Output-Calculation-sheet'!L74</f>
        <v>29.635387764559233</v>
      </c>
      <c r="M89" s="2">
        <f>M12/'Output-Calculation-sheet'!M11*'Output-Calculation-sheet'!M74</f>
        <v>56.206734985013469</v>
      </c>
      <c r="N89" s="2">
        <f>N12/'Output-Calculation-sheet'!N11*'Output-Calculation-sheet'!N74</f>
        <v>55.24220141101209</v>
      </c>
      <c r="O89" s="2">
        <f>O12/'Output-Calculation-sheet'!O11*'Output-Calculation-sheet'!O74</f>
        <v>231.98012397661924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48.400478960535118</v>
      </c>
      <c r="R89" s="2">
        <f>R12/'Output-Calculation-sheet'!R11*'Output-Calculation-sheet'!R74</f>
        <v>23.999049868591626</v>
      </c>
      <c r="S89" s="2">
        <f>S12/'Output-Calculation-sheet'!S11*'Output-Calculation-sheet'!S74</f>
        <v>31.666650940306248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15.442710118023092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12.332034777518892</v>
      </c>
      <c r="Y89" s="2">
        <f>Y12/'Output-Calculation-sheet'!Y11*'Output-Calculation-sheet'!Y74</f>
        <v>5.9503211457740033</v>
      </c>
      <c r="AA89" s="2">
        <f t="shared" si="7"/>
        <v>3.1503826880912715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14112354481.855667</v>
      </c>
      <c r="C96" s="2">
        <f>C8/'Output-Calculation-sheet'!C7*'Output-Calculation-sheet'!C79</f>
        <v>4774273659.5493755</v>
      </c>
      <c r="D96" s="2">
        <f>D8/'Output-Calculation-sheet'!D7*'Output-Calculation-sheet'!D79</f>
        <v>4984027277.8936272</v>
      </c>
      <c r="E96" s="2">
        <f>E8/'Output-Calculation-sheet'!E7*'Output-Calculation-sheet'!E79</f>
        <v>8861176135.4798603</v>
      </c>
      <c r="F96" s="2">
        <f>F8/'Output-Calculation-sheet'!F7*'Output-Calculation-sheet'!F79</f>
        <v>3667553482.6925845</v>
      </c>
      <c r="G96" s="2">
        <f>G8/'Output-Calculation-sheet'!G7*'Output-Calculation-sheet'!G79</f>
        <v>2856722589.3393426</v>
      </c>
      <c r="H96" s="2">
        <f>H8/'Output-Calculation-sheet'!H7*'Output-Calculation-sheet'!H79</f>
        <v>2445193202.2047858</v>
      </c>
      <c r="I96" s="2">
        <f>I8/'Output-Calculation-sheet'!I7*'Output-Calculation-sheet'!I79</f>
        <v>1990010989.5102499</v>
      </c>
      <c r="J96" s="2">
        <f>J8/'Output-Calculation-sheet'!J7*'Output-Calculation-sheet'!J79</f>
        <v>1345696832.0142365</v>
      </c>
      <c r="K96" s="2">
        <f>K8/'Output-Calculation-sheet'!K7*'Output-Calculation-sheet'!K79</f>
        <v>1925290738.6033506</v>
      </c>
      <c r="L96" s="2">
        <f>L8/'Output-Calculation-sheet'!L7*'Output-Calculation-sheet'!L79</f>
        <v>1358483469.907068</v>
      </c>
      <c r="M96" s="2">
        <f>M8/'Output-Calculation-sheet'!M7*'Output-Calculation-sheet'!M79</f>
        <v>1825289435.0378733</v>
      </c>
      <c r="N96" s="2">
        <f>N8/'Output-Calculation-sheet'!N7*'Output-Calculation-sheet'!N79</f>
        <v>1358160709.7096322</v>
      </c>
      <c r="O96" s="2">
        <f>O8/'Output-Calculation-sheet'!O7*'Output-Calculation-sheet'!O79</f>
        <v>686596756.0811162</v>
      </c>
      <c r="P96" s="2">
        <f>P8/'Output-Calculation-sheet'!P7*'Output-Calculation-sheet'!P79</f>
        <v>2296522145.9805717</v>
      </c>
      <c r="Q96" s="2">
        <f>Q8/'Output-Calculation-sheet'!Q7*'Output-Calculation-sheet'!Q79</f>
        <v>1070277548.0252635</v>
      </c>
      <c r="R96" s="2">
        <f>R8/'Output-Calculation-sheet'!R7*'Output-Calculation-sheet'!R79</f>
        <v>1335298469.135644</v>
      </c>
      <c r="S96" s="2">
        <f>S8/'Output-Calculation-sheet'!S7*'Output-Calculation-sheet'!S79</f>
        <v>778056790.5822494</v>
      </c>
      <c r="T96" s="2">
        <f>T8/'Output-Calculation-sheet'!T7*'Output-Calculation-sheet'!T79</f>
        <v>594256269.12534869</v>
      </c>
      <c r="U96" s="2">
        <f>U8/'Output-Calculation-sheet'!U7*'Output-Calculation-sheet'!U79</f>
        <v>373296515.35189128</v>
      </c>
      <c r="V96" s="2">
        <f>V8/'Output-Calculation-sheet'!V7*'Output-Calculation-sheet'!V79</f>
        <v>193685698.62767628</v>
      </c>
      <c r="W96" s="2">
        <f>W8/'Output-Calculation-sheet'!W7*'Output-Calculation-sheet'!W79</f>
        <v>572325536.80594981</v>
      </c>
      <c r="X96" s="2">
        <f>X8/'Output-Calculation-sheet'!X7*'Output-Calculation-sheet'!X79</f>
        <v>201156229.65698856</v>
      </c>
      <c r="Y96" s="2">
        <f>Y8/'Output-Calculation-sheet'!Y7*'Output-Calculation-sheet'!Y79</f>
        <v>314605569.42262805</v>
      </c>
      <c r="AA96" s="2">
        <f t="shared" si="8"/>
        <v>59.920310532592971</v>
      </c>
    </row>
    <row r="97" spans="1:27" x14ac:dyDescent="0.25">
      <c r="A97" s="2">
        <v>2032</v>
      </c>
      <c r="B97" s="2">
        <f>B9/'Output-Calculation-sheet'!B8*'Output-Calculation-sheet'!B80</f>
        <v>19801635162.741455</v>
      </c>
      <c r="C97" s="2">
        <f>C9/'Output-Calculation-sheet'!C8*'Output-Calculation-sheet'!C80</f>
        <v>6744543671.6434631</v>
      </c>
      <c r="D97" s="2">
        <f>D9/'Output-Calculation-sheet'!D8*'Output-Calculation-sheet'!D80</f>
        <v>6720281234.4464922</v>
      </c>
      <c r="E97" s="2">
        <f>E9/'Output-Calculation-sheet'!E8*'Output-Calculation-sheet'!E80</f>
        <v>12290389012.4652</v>
      </c>
      <c r="F97" s="2">
        <f>F9/'Output-Calculation-sheet'!F8*'Output-Calculation-sheet'!F80</f>
        <v>5077160696.5535908</v>
      </c>
      <c r="G97" s="2">
        <f>G9/'Output-Calculation-sheet'!G8*'Output-Calculation-sheet'!G80</f>
        <v>3843131706.3877196</v>
      </c>
      <c r="H97" s="2">
        <f>H9/'Output-Calculation-sheet'!H8*'Output-Calculation-sheet'!H80</f>
        <v>3381179657.2697115</v>
      </c>
      <c r="I97" s="2">
        <f>I9/'Output-Calculation-sheet'!I8*'Output-Calculation-sheet'!I80</f>
        <v>2781334049.7402058</v>
      </c>
      <c r="J97" s="2">
        <f>J9/'Output-Calculation-sheet'!J8*'Output-Calculation-sheet'!J80</f>
        <v>1828470419.386117</v>
      </c>
      <c r="K97" s="2">
        <f>K9/'Output-Calculation-sheet'!K8*'Output-Calculation-sheet'!K80</f>
        <v>2636125356.9182324</v>
      </c>
      <c r="L97" s="2">
        <f>L9/'Output-Calculation-sheet'!L8*'Output-Calculation-sheet'!L80</f>
        <v>1918662581.3283474</v>
      </c>
      <c r="M97" s="2">
        <f>M9/'Output-Calculation-sheet'!M8*'Output-Calculation-sheet'!M80</f>
        <v>2531460624.5826116</v>
      </c>
      <c r="N97" s="2">
        <f>N9/'Output-Calculation-sheet'!N8*'Output-Calculation-sheet'!N80</f>
        <v>1849570446.4410388</v>
      </c>
      <c r="O97" s="2">
        <f>O9/'Output-Calculation-sheet'!O8*'Output-Calculation-sheet'!O80</f>
        <v>956846612.70677948</v>
      </c>
      <c r="P97" s="2">
        <f>P9/'Output-Calculation-sheet'!P8*'Output-Calculation-sheet'!P80</f>
        <v>3130622191.4155154</v>
      </c>
      <c r="Q97" s="2">
        <f>Q9/'Output-Calculation-sheet'!Q8*'Output-Calculation-sheet'!Q80</f>
        <v>1464385010.498934</v>
      </c>
      <c r="R97" s="2">
        <f>R9/'Output-Calculation-sheet'!R8*'Output-Calculation-sheet'!R80</f>
        <v>1850246728.6950834</v>
      </c>
      <c r="S97" s="2">
        <f>S9/'Output-Calculation-sheet'!S8*'Output-Calculation-sheet'!S80</f>
        <v>1073877847.3576541</v>
      </c>
      <c r="T97" s="2">
        <f>T9/'Output-Calculation-sheet'!T8*'Output-Calculation-sheet'!T80</f>
        <v>808667786.34727609</v>
      </c>
      <c r="U97" s="2">
        <f>U9/'Output-Calculation-sheet'!U8*'Output-Calculation-sheet'!U80</f>
        <v>516975516.17283732</v>
      </c>
      <c r="V97" s="2">
        <f>V9/'Output-Calculation-sheet'!V8*'Output-Calculation-sheet'!V80</f>
        <v>271071151.28061926</v>
      </c>
      <c r="W97" s="2">
        <f>W9/'Output-Calculation-sheet'!W8*'Output-Calculation-sheet'!W80</f>
        <v>785027291.76230752</v>
      </c>
      <c r="X97" s="2">
        <f>X9/'Output-Calculation-sheet'!X8*'Output-Calculation-sheet'!X80</f>
        <v>281900554.08358788</v>
      </c>
      <c r="Y97" s="2">
        <f>Y9/'Output-Calculation-sheet'!Y8*'Output-Calculation-sheet'!Y80</f>
        <v>431501814.22368032</v>
      </c>
      <c r="AA97" s="2">
        <f t="shared" si="8"/>
        <v>82.975067124448458</v>
      </c>
    </row>
    <row r="98" spans="1:27" x14ac:dyDescent="0.25">
      <c r="A98" s="2">
        <v>2033</v>
      </c>
      <c r="B98" s="2">
        <f>B10/'Output-Calculation-sheet'!B9*'Output-Calculation-sheet'!B81</f>
        <v>25410105076.459743</v>
      </c>
      <c r="C98" s="2">
        <f>C10/'Output-Calculation-sheet'!C9*'Output-Calculation-sheet'!C81</f>
        <v>8711844074.3900013</v>
      </c>
      <c r="D98" s="2">
        <f>D10/'Output-Calculation-sheet'!D9*'Output-Calculation-sheet'!D81</f>
        <v>8291022144.73141</v>
      </c>
      <c r="E98" s="2">
        <f>E10/'Output-Calculation-sheet'!E9*'Output-Calculation-sheet'!E81</f>
        <v>15595934323.082481</v>
      </c>
      <c r="F98" s="2">
        <f>F10/'Output-Calculation-sheet'!F9*'Output-Calculation-sheet'!F81</f>
        <v>6432140285.4577513</v>
      </c>
      <c r="G98" s="2">
        <f>G10/'Output-Calculation-sheet'!G9*'Output-Calculation-sheet'!G81</f>
        <v>4722674196.1017704</v>
      </c>
      <c r="H98" s="2">
        <f>H10/'Output-Calculation-sheet'!H9*'Output-Calculation-sheet'!H81</f>
        <v>4278781407.0779409</v>
      </c>
      <c r="I98" s="2">
        <f>I10/'Output-Calculation-sheet'!I9*'Output-Calculation-sheet'!I81</f>
        <v>3556930556.9569182</v>
      </c>
      <c r="J98" s="2">
        <f>J10/'Output-Calculation-sheet'!J9*'Output-Calculation-sheet'!J81</f>
        <v>2274391049.3428693</v>
      </c>
      <c r="K98" s="2">
        <f>K10/'Output-Calculation-sheet'!K9*'Output-Calculation-sheet'!K81</f>
        <v>3303643194.3498034</v>
      </c>
      <c r="L98" s="2">
        <f>L10/'Output-Calculation-sheet'!L9*'Output-Calculation-sheet'!L81</f>
        <v>2477781847.5343189</v>
      </c>
      <c r="M98" s="2">
        <f>M10/'Output-Calculation-sheet'!M9*'Output-Calculation-sheet'!M81</f>
        <v>3213185186.7575898</v>
      </c>
      <c r="N98" s="2">
        <f>N10/'Output-Calculation-sheet'!N9*'Output-Calculation-sheet'!N81</f>
        <v>2305209662.1296096</v>
      </c>
      <c r="O98" s="2">
        <f>O10/'Output-Calculation-sheet'!O9*'Output-Calculation-sheet'!O81</f>
        <v>1220738750.2029495</v>
      </c>
      <c r="P98" s="2">
        <f>P10/'Output-Calculation-sheet'!P9*'Output-Calculation-sheet'!P81</f>
        <v>3901126853.9357796</v>
      </c>
      <c r="Q98" s="2">
        <f>Q10/'Output-Calculation-sheet'!Q9*'Output-Calculation-sheet'!Q81</f>
        <v>1834210950.8572404</v>
      </c>
      <c r="R98" s="2">
        <f>R10/'Output-Calculation-sheet'!R9*'Output-Calculation-sheet'!R81</f>
        <v>2346233300.6542506</v>
      </c>
      <c r="S98" s="2">
        <f>S10/'Output-Calculation-sheet'!S9*'Output-Calculation-sheet'!S81</f>
        <v>1356540568.3307698</v>
      </c>
      <c r="T98" s="2">
        <f>T10/'Output-Calculation-sheet'!T9*'Output-Calculation-sheet'!T81</f>
        <v>1006608909.2341151</v>
      </c>
      <c r="U98" s="2">
        <f>U10/'Output-Calculation-sheet'!U9*'Output-Calculation-sheet'!U81</f>
        <v>654965041.38780653</v>
      </c>
      <c r="V98" s="2">
        <f>V10/'Output-Calculation-sheet'!V9*'Output-Calculation-sheet'!V81</f>
        <v>346880515.37725931</v>
      </c>
      <c r="W98" s="2">
        <f>W10/'Output-Calculation-sheet'!W9*'Output-Calculation-sheet'!W81</f>
        <v>983525934.97950447</v>
      </c>
      <c r="X98" s="2">
        <f>X10/'Output-Calculation-sheet'!X9*'Output-Calculation-sheet'!X81</f>
        <v>361416024.26686901</v>
      </c>
      <c r="Y98" s="2">
        <f>Y10/'Output-Calculation-sheet'!Y9*'Output-Calculation-sheet'!Y81</f>
        <v>540803467.60577905</v>
      </c>
      <c r="AA98" s="2">
        <f t="shared" si="8"/>
        <v>105.12669332120453</v>
      </c>
    </row>
    <row r="99" spans="1:27" x14ac:dyDescent="0.25">
      <c r="A99" s="2">
        <v>2034</v>
      </c>
      <c r="B99" s="2">
        <f>B11/'Output-Calculation-sheet'!B10*'Output-Calculation-sheet'!B82</f>
        <v>30557318093.931164</v>
      </c>
      <c r="C99" s="2">
        <f>C11/'Output-Calculation-sheet'!C10*'Output-Calculation-sheet'!C82</f>
        <v>10543528441.380217</v>
      </c>
      <c r="D99" s="2">
        <f>D11/'Output-Calculation-sheet'!D10*'Output-Calculation-sheet'!D82</f>
        <v>9591645154.7544098</v>
      </c>
      <c r="E99" s="2">
        <f>E11/'Output-Calculation-sheet'!E10*'Output-Calculation-sheet'!E82</f>
        <v>18554196470.674091</v>
      </c>
      <c r="F99" s="2">
        <f>F11/'Output-Calculation-sheet'!F10*'Output-Calculation-sheet'!F82</f>
        <v>7641522790.4933271</v>
      </c>
      <c r="G99" s="2">
        <f>G11/'Output-Calculation-sheet'!G10*'Output-Calculation-sheet'!G82</f>
        <v>5432578931.0250797</v>
      </c>
      <c r="H99" s="2">
        <f>H11/'Output-Calculation-sheet'!H10*'Output-Calculation-sheet'!H82</f>
        <v>5077731346.0353632</v>
      </c>
      <c r="I99" s="2">
        <f>I11/'Output-Calculation-sheet'!I10*'Output-Calculation-sheet'!I82</f>
        <v>4264940834.6816101</v>
      </c>
      <c r="J99" s="2">
        <f>J11/'Output-Calculation-sheet'!J10*'Output-Calculation-sheet'!J82</f>
        <v>2654071050.257443</v>
      </c>
      <c r="K99" s="2">
        <f>K11/'Output-Calculation-sheet'!K10*'Output-Calculation-sheet'!K82</f>
        <v>3883254231.8487706</v>
      </c>
      <c r="L99" s="2">
        <f>L11/'Output-Calculation-sheet'!L10*'Output-Calculation-sheet'!L82</f>
        <v>2998156246.9870582</v>
      </c>
      <c r="M99" s="2">
        <f>M11/'Output-Calculation-sheet'!M10*'Output-Calculation-sheet'!M82</f>
        <v>3824960905.4272223</v>
      </c>
      <c r="N99" s="2">
        <f>N11/'Output-Calculation-sheet'!N10*'Output-Calculation-sheet'!N82</f>
        <v>2694688531.8201551</v>
      </c>
      <c r="O99" s="2">
        <f>O11/'Output-Calculation-sheet'!O10*'Output-Calculation-sheet'!O82</f>
        <v>1460925888.5859842</v>
      </c>
      <c r="P99" s="2">
        <f>P11/'Output-Calculation-sheet'!P10*'Output-Calculation-sheet'!P82</f>
        <v>4554036954.3064604</v>
      </c>
      <c r="Q99" s="2">
        <f>Q11/'Output-Calculation-sheet'!Q10*'Output-Calculation-sheet'!Q82</f>
        <v>2155256464.9208083</v>
      </c>
      <c r="R99" s="2">
        <f>R11/'Output-Calculation-sheet'!R10*'Output-Calculation-sheet'!R82</f>
        <v>2789969526.6284704</v>
      </c>
      <c r="S99" s="2">
        <f>S11/'Output-Calculation-sheet'!S10*'Output-Calculation-sheet'!S82</f>
        <v>1607100445.1250446</v>
      </c>
      <c r="T99" s="2">
        <f>T11/'Output-Calculation-sheet'!T10*'Output-Calculation-sheet'!T82</f>
        <v>1174602533.2546966</v>
      </c>
      <c r="U99" s="2">
        <f>U11/'Output-Calculation-sheet'!U10*'Output-Calculation-sheet'!U82</f>
        <v>777845475.69898283</v>
      </c>
      <c r="V99" s="2">
        <f>V11/'Output-Calculation-sheet'!V10*'Output-Calculation-sheet'!V82</f>
        <v>415904278.13270384</v>
      </c>
      <c r="W99" s="2">
        <f>W11/'Output-Calculation-sheet'!W10*'Output-Calculation-sheet'!W82</f>
        <v>1153317124.8247907</v>
      </c>
      <c r="X99" s="2">
        <f>X11/'Output-Calculation-sheet'!X10*'Output-Calculation-sheet'!X82</f>
        <v>434370981.29962778</v>
      </c>
      <c r="Y99" s="2">
        <f>Y11/'Output-Calculation-sheet'!Y10*'Output-Calculation-sheet'!Y82</f>
        <v>634690208.4416765</v>
      </c>
      <c r="AA99" s="2">
        <f t="shared" si="8"/>
        <v>124.87661291053517</v>
      </c>
    </row>
    <row r="100" spans="1:27" x14ac:dyDescent="0.25">
      <c r="A100" s="2">
        <v>2035</v>
      </c>
      <c r="B100" s="2">
        <f>B12/'Output-Calculation-sheet'!B11*'Output-Calculation-sheet'!B83</f>
        <v>34953851317.249817</v>
      </c>
      <c r="C100" s="2">
        <f>C12/'Output-Calculation-sheet'!C11*'Output-Calculation-sheet'!C83</f>
        <v>12135409443.953939</v>
      </c>
      <c r="D100" s="2">
        <f>D12/'Output-Calculation-sheet'!D11*'Output-Calculation-sheet'!D83</f>
        <v>10562317892.872618</v>
      </c>
      <c r="E100" s="2">
        <f>E12/'Output-Calculation-sheet'!E11*'Output-Calculation-sheet'!E83</f>
        <v>21005724906.183929</v>
      </c>
      <c r="F100" s="2">
        <f>F12/'Output-Calculation-sheet'!F11*'Output-Calculation-sheet'!F83</f>
        <v>8640917667.5950909</v>
      </c>
      <c r="G100" s="2">
        <f>G12/'Output-Calculation-sheet'!G11*'Output-Calculation-sheet'!G83</f>
        <v>5937992986.8807249</v>
      </c>
      <c r="H100" s="2">
        <f>H12/'Output-Calculation-sheet'!H11*'Output-Calculation-sheet'!H83</f>
        <v>5735657466.9390621</v>
      </c>
      <c r="I100" s="2">
        <f>I12/'Output-Calculation-sheet'!I11*'Output-Calculation-sheet'!I83</f>
        <v>4866592072.0678949</v>
      </c>
      <c r="J100" s="2">
        <f>J12/'Output-Calculation-sheet'!J11*'Output-Calculation-sheet'!J83</f>
        <v>2949364256.237052</v>
      </c>
      <c r="K100" s="2">
        <f>K12/'Output-Calculation-sheet'!K11*'Output-Calculation-sheet'!K83</f>
        <v>4345669855.6450682</v>
      </c>
      <c r="L100" s="2">
        <f>L12/'Output-Calculation-sheet'!L11*'Output-Calculation-sheet'!L83</f>
        <v>3450214077.8642917</v>
      </c>
      <c r="M100" s="2">
        <f>M12/'Output-Calculation-sheet'!M11*'Output-Calculation-sheet'!M83</f>
        <v>4334233420.5216036</v>
      </c>
      <c r="N100" s="2">
        <f>N12/'Output-Calculation-sheet'!N11*'Output-Calculation-sheet'!N83</f>
        <v>2998947198.5499659</v>
      </c>
      <c r="O100" s="2">
        <f>O12/'Output-Calculation-sheet'!O11*'Output-Calculation-sheet'!O83</f>
        <v>1664606114.5672815</v>
      </c>
      <c r="P100" s="2">
        <f>P12/'Output-Calculation-sheet'!P11*'Output-Calculation-sheet'!P83</f>
        <v>5055527049.2170954</v>
      </c>
      <c r="Q100" s="2">
        <f>Q12/'Output-Calculation-sheet'!Q11*'Output-Calculation-sheet'!Q83</f>
        <v>2411509577.7704134</v>
      </c>
      <c r="R100" s="2">
        <f>R12/'Output-Calculation-sheet'!R11*'Output-Calculation-sheet'!R83</f>
        <v>3157737383.9896016</v>
      </c>
      <c r="S100" s="2">
        <f>S12/'Output-Calculation-sheet'!S11*'Output-Calculation-sheet'!S83</f>
        <v>1812379016.5990944</v>
      </c>
      <c r="T100" s="2">
        <f>T12/'Output-Calculation-sheet'!T11*'Output-Calculation-sheet'!T83</f>
        <v>1304284946.9193914</v>
      </c>
      <c r="U100" s="2">
        <f>U12/'Output-Calculation-sheet'!U11*'Output-Calculation-sheet'!U83</f>
        <v>878940377.61942589</v>
      </c>
      <c r="V100" s="2">
        <f>V12/'Output-Calculation-sheet'!V11*'Output-Calculation-sheet'!V83</f>
        <v>474239401.44973695</v>
      </c>
      <c r="W100" s="2">
        <f>W12/'Output-Calculation-sheet'!W11*'Output-Calculation-sheet'!W83</f>
        <v>1284831046.1388676</v>
      </c>
      <c r="X100" s="2">
        <f>X12/'Output-Calculation-sheet'!X11*'Output-Calculation-sheet'!X83</f>
        <v>496727886.52020276</v>
      </c>
      <c r="Y100" s="2">
        <f>Y12/'Output-Calculation-sheet'!Y11*'Output-Calculation-sheet'!Y83</f>
        <v>708018597.58970082</v>
      </c>
      <c r="AA100" s="2">
        <f t="shared" si="8"/>
        <v>141.16569396094187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1651214620.4419003</v>
      </c>
      <c r="C107" s="2">
        <f>C8/'Output-Calculation-sheet'!C7*'Output-Calculation-sheet'!C88</f>
        <v>27193723409.553764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8484550786.8596926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5853655469.4425144</v>
      </c>
      <c r="N107" s="2">
        <f>N8/'Output-Calculation-sheet'!N7*'Output-Calculation-sheet'!N88</f>
        <v>1778553542.0691495</v>
      </c>
      <c r="O107" s="2">
        <f>O8/'Output-Calculation-sheet'!O7*'Output-Calculation-sheet'!O88</f>
        <v>5283765285.6088152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587093282.68633533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633952760.86140358</v>
      </c>
      <c r="Y107" s="2">
        <f>Y8/'Output-Calculation-sheet'!Y7*'Output-Calculation-sheet'!Y88</f>
        <v>0</v>
      </c>
      <c r="AA107" s="2">
        <f t="shared" si="9"/>
        <v>51466.509157523586</v>
      </c>
    </row>
    <row r="108" spans="1:27" x14ac:dyDescent="0.25">
      <c r="A108" s="2">
        <v>2032</v>
      </c>
      <c r="B108" s="2">
        <f>B9/'Output-Calculation-sheet'!B8*'Output-Calculation-sheet'!B89</f>
        <v>7616278520.2078314</v>
      </c>
      <c r="C108" s="2">
        <f>C9/'Output-Calculation-sheet'!C8*'Output-Calculation-sheet'!C89</f>
        <v>38179814386.386139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11911838362.977962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8218132699.2091284</v>
      </c>
      <c r="N108" s="2">
        <f>N9/'Output-Calculation-sheet'!N8*'Output-Calculation-sheet'!N89</f>
        <v>3872731099.8331113</v>
      </c>
      <c r="O108" s="2">
        <f>O9/'Output-Calculation-sheet'!O8*'Output-Calculation-sheet'!O89</f>
        <v>7418370409.7893286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1163895724.6605241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890048336.13384247</v>
      </c>
      <c r="Y108" s="2">
        <f>Y9/'Output-Calculation-sheet'!Y8*'Output-Calculation-sheet'!Y89</f>
        <v>0</v>
      </c>
      <c r="AA108" s="2">
        <f t="shared" si="9"/>
        <v>79271.109539197845</v>
      </c>
    </row>
    <row r="109" spans="1:27" x14ac:dyDescent="0.25">
      <c r="A109" s="2">
        <v>2033</v>
      </c>
      <c r="B109" s="2">
        <f>B10/'Output-Calculation-sheet'!B9*'Output-Calculation-sheet'!B90</f>
        <v>20814380729.285839</v>
      </c>
      <c r="C109" s="2">
        <f>C10/'Output-Calculation-sheet'!C9*'Output-Calculation-sheet'!C90</f>
        <v>45935938249.938873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15292880981.64982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10550758914.331932</v>
      </c>
      <c r="N109" s="2">
        <f>N10/'Output-Calculation-sheet'!N9*'Output-Calculation-sheet'!N90</f>
        <v>6213807604.7961836</v>
      </c>
      <c r="O109" s="2">
        <f>O10/'Output-Calculation-sheet'!O9*'Output-Calculation-sheet'!O90</f>
        <v>8427777596.8391438</v>
      </c>
      <c r="P109" s="2">
        <f>P10/'Output-Calculation-sheet'!P9*'Output-Calculation-sheet'!P90</f>
        <v>0</v>
      </c>
      <c r="Q109" s="2">
        <f>Q10/'Output-Calculation-sheet'!Q9*'Output-Calculation-sheet'!Q90</f>
        <v>202338610.9616107</v>
      </c>
      <c r="R109" s="2">
        <f>R10/'Output-Calculation-sheet'!R9*'Output-Calculation-sheet'!R90</f>
        <v>0</v>
      </c>
      <c r="S109" s="2">
        <f>S10/'Output-Calculation-sheet'!S9*'Output-Calculation-sheet'!S90</f>
        <v>2507885950.295527</v>
      </c>
      <c r="T109" s="2">
        <f>T10/'Output-Calculation-sheet'!T9*'Output-Calculation-sheet'!T90</f>
        <v>1.9118303166853256E-7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1142679112.1889179</v>
      </c>
      <c r="Y109" s="2">
        <f>Y10/'Output-Calculation-sheet'!Y9*'Output-Calculation-sheet'!Y90</f>
        <v>0</v>
      </c>
      <c r="AA109" s="2">
        <f t="shared" si="9"/>
        <v>111088.44775028787</v>
      </c>
    </row>
    <row r="110" spans="1:27" x14ac:dyDescent="0.25">
      <c r="A110" s="2">
        <v>2034</v>
      </c>
      <c r="B110" s="2">
        <f>B11/'Output-Calculation-sheet'!B10*'Output-Calculation-sheet'!B91</f>
        <v>49256619125.902878</v>
      </c>
      <c r="C110" s="2">
        <f>C11/'Output-Calculation-sheet'!C10*'Output-Calculation-sheet'!C91</f>
        <v>49808515703.281898</v>
      </c>
      <c r="D110" s="2">
        <f>D11/'Output-Calculation-sheet'!D10*'Output-Calculation-sheet'!D91</f>
        <v>0</v>
      </c>
      <c r="E110" s="2">
        <f>E11/'Output-Calculation-sheet'!E10*'Output-Calculation-sheet'!E91</f>
        <v>1004807772.8389504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18397328429.778374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836158910.98192048</v>
      </c>
      <c r="M110" s="2">
        <f>M11/'Output-Calculation-sheet'!M10*'Output-Calculation-sheet'!M91</f>
        <v>12692555755.281029</v>
      </c>
      <c r="N110" s="2">
        <f>N11/'Output-Calculation-sheet'!N10*'Output-Calculation-sheet'!N91</f>
        <v>8778806930.7122154</v>
      </c>
      <c r="O110" s="2">
        <f>O11/'Output-Calculation-sheet'!O10*'Output-Calculation-sheet'!O91</f>
        <v>9115089742.1121044</v>
      </c>
      <c r="P110" s="2">
        <f>P11/'Output-Calculation-sheet'!P10*'Output-Calculation-sheet'!P91</f>
        <v>0</v>
      </c>
      <c r="Q110" s="2">
        <f>Q11/'Output-Calculation-sheet'!Q10*'Output-Calculation-sheet'!Q91</f>
        <v>2233929413.0219564</v>
      </c>
      <c r="R110" s="2">
        <f>R11/'Output-Calculation-sheet'!R10*'Output-Calculation-sheet'!R91</f>
        <v>0</v>
      </c>
      <c r="S110" s="2">
        <f>S11/'Output-Calculation-sheet'!S10*'Output-Calculation-sheet'!S91</f>
        <v>4317106138.1868134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1257493817.7963777</v>
      </c>
      <c r="Y110" s="2">
        <f>Y11/'Output-Calculation-sheet'!Y10*'Output-Calculation-sheet'!Y91</f>
        <v>55029024.513671808</v>
      </c>
      <c r="AA110" s="2">
        <f t="shared" si="9"/>
        <v>157753.44076440815</v>
      </c>
    </row>
    <row r="111" spans="1:27" x14ac:dyDescent="0.25">
      <c r="A111" s="2">
        <v>2035</v>
      </c>
      <c r="B111" s="2">
        <f>B12/'Output-Calculation-sheet'!B11*'Output-Calculation-sheet'!B92</f>
        <v>62655146643.315598</v>
      </c>
      <c r="C111" s="2">
        <f>C12/'Output-Calculation-sheet'!C11*'Output-Calculation-sheet'!C92</f>
        <v>52400245449.631699</v>
      </c>
      <c r="D111" s="2">
        <f>D12/'Output-Calculation-sheet'!D11*'Output-Calculation-sheet'!D92</f>
        <v>0</v>
      </c>
      <c r="E111" s="2">
        <f>E12/'Output-Calculation-sheet'!E11*'Output-Calculation-sheet'!E92</f>
        <v>6974401279.9669008</v>
      </c>
      <c r="F111" s="2">
        <f>F12/'Output-Calculation-sheet'!F11*'Output-Calculation-sheet'!F92</f>
        <v>0</v>
      </c>
      <c r="G111" s="2">
        <f>G12/'Output-Calculation-sheet'!G11*'Output-Calculation-sheet'!G92</f>
        <v>-7.5830430784776887E-7</v>
      </c>
      <c r="H111" s="2">
        <f>H12/'Output-Calculation-sheet'!H11*'Output-Calculation-sheet'!H92</f>
        <v>19395488633.138611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2301519776.2609878</v>
      </c>
      <c r="M111" s="2">
        <f>M12/'Output-Calculation-sheet'!M11*'Output-Calculation-sheet'!M92</f>
        <v>13685949332.042633</v>
      </c>
      <c r="N111" s="2">
        <f>N12/'Output-Calculation-sheet'!N11*'Output-Calculation-sheet'!N92</f>
        <v>9870582636.3772411</v>
      </c>
      <c r="O111" s="2">
        <f>O12/'Output-Calculation-sheet'!O11*'Output-Calculation-sheet'!O92</f>
        <v>9520520994.2529812</v>
      </c>
      <c r="P111" s="2">
        <f>P12/'Output-Calculation-sheet'!P11*'Output-Calculation-sheet'!P92</f>
        <v>478798724.4671815</v>
      </c>
      <c r="Q111" s="2">
        <f>Q12/'Output-Calculation-sheet'!Q11*'Output-Calculation-sheet'!Q92</f>
        <v>3293035487.1576681</v>
      </c>
      <c r="R111" s="2">
        <f>R12/'Output-Calculation-sheet'!R11*'Output-Calculation-sheet'!R92</f>
        <v>0</v>
      </c>
      <c r="S111" s="2">
        <f>S12/'Output-Calculation-sheet'!S11*'Output-Calculation-sheet'!S92</f>
        <v>5052296990.9173822</v>
      </c>
      <c r="T111" s="2">
        <f>T12/'Output-Calculation-sheet'!T11*'Output-Calculation-sheet'!T92</f>
        <v>0</v>
      </c>
      <c r="U111" s="2">
        <f>U12/'Output-Calculation-sheet'!U11*'Output-Calculation-sheet'!U92</f>
        <v>95533392.030227438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1350511958.5730376</v>
      </c>
      <c r="Y111" s="2">
        <f>Y12/'Output-Calculation-sheet'!Y11*'Output-Calculation-sheet'!Y92</f>
        <v>325361775.15457875</v>
      </c>
      <c r="AA111" s="2">
        <f t="shared" si="9"/>
        <v>187399.39307328669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56067435139.528976</v>
      </c>
      <c r="C118" s="2">
        <f>C8/'Output-Calculation-sheet'!C7*'Output-Calculation-sheet'!C97</f>
        <v>0</v>
      </c>
      <c r="D118" s="2">
        <f>D8/'Output-Calculation-sheet'!D7*'Output-Calculation-sheet'!D97</f>
        <v>24242497986.736919</v>
      </c>
      <c r="E118" s="2">
        <f>E8/'Output-Calculation-sheet'!E7*'Output-Calculation-sheet'!E97</f>
        <v>19233962101.393204</v>
      </c>
      <c r="F118" s="2">
        <f>F8/'Output-Calculation-sheet'!F7*'Output-Calculation-sheet'!F97</f>
        <v>12381591608.715164</v>
      </c>
      <c r="G118" s="2">
        <f>G8/'Output-Calculation-sheet'!G7*'Output-Calculation-sheet'!G97</f>
        <v>8699646067.8932743</v>
      </c>
      <c r="H118" s="2">
        <f>H8/'Output-Calculation-sheet'!H7*'Output-Calculation-sheet'!H97</f>
        <v>0</v>
      </c>
      <c r="I118" s="2">
        <f>I8/'Output-Calculation-sheet'!I7*'Output-Calculation-sheet'!I97</f>
        <v>7926062379.6403561</v>
      </c>
      <c r="J118" s="2">
        <f>J8/'Output-Calculation-sheet'!J7*'Output-Calculation-sheet'!J97</f>
        <v>7714683206.4269037</v>
      </c>
      <c r="K118" s="2">
        <f>K8/'Output-Calculation-sheet'!K7*'Output-Calculation-sheet'!K97</f>
        <v>7640722631.6188087</v>
      </c>
      <c r="L118" s="2">
        <f>L8/'Output-Calculation-sheet'!L7*'Output-Calculation-sheet'!L97</f>
        <v>6129487045.6549053</v>
      </c>
      <c r="M118" s="2">
        <f>M8/'Output-Calculation-sheet'!M7*'Output-Calculation-sheet'!M97</f>
        <v>0</v>
      </c>
      <c r="N118" s="2">
        <f>N8/'Output-Calculation-sheet'!N7*'Output-Calculation-sheet'!N97</f>
        <v>3967790806.1382065</v>
      </c>
      <c r="O118" s="2">
        <f>O8/'Output-Calculation-sheet'!O7*'Output-Calculation-sheet'!O97</f>
        <v>0</v>
      </c>
      <c r="P118" s="2">
        <f>P8/'Output-Calculation-sheet'!P7*'Output-Calculation-sheet'!P97</f>
        <v>5231201170.5626392</v>
      </c>
      <c r="Q118" s="2">
        <f>Q8/'Output-Calculation-sheet'!Q7*'Output-Calculation-sheet'!Q97</f>
        <v>5146655529.6699247</v>
      </c>
      <c r="R118" s="2">
        <f>R8/'Output-Calculation-sheet'!R7*'Output-Calculation-sheet'!R97</f>
        <v>4951319315.6461039</v>
      </c>
      <c r="S118" s="2">
        <f>S8/'Output-Calculation-sheet'!S7*'Output-Calculation-sheet'!S97</f>
        <v>2703807562.0442562</v>
      </c>
      <c r="T118" s="2">
        <f>T8/'Output-Calculation-sheet'!T7*'Output-Calculation-sheet'!T97</f>
        <v>1820062761.0451365</v>
      </c>
      <c r="U118" s="2">
        <f>U8/'Output-Calculation-sheet'!U7*'Output-Calculation-sheet'!U97</f>
        <v>1585212164.6808157</v>
      </c>
      <c r="V118" s="2">
        <f>V8/'Output-Calculation-sheet'!V7*'Output-Calculation-sheet'!V97</f>
        <v>1220645550.7140007</v>
      </c>
      <c r="W118" s="2">
        <f>W8/'Output-Calculation-sheet'!W7*'Output-Calculation-sheet'!W97</f>
        <v>1056808109.4635476</v>
      </c>
      <c r="X118" s="2">
        <f>X8/'Output-Calculation-sheet'!X7*'Output-Calculation-sheet'!X97</f>
        <v>0</v>
      </c>
      <c r="Y118" s="2">
        <f>Y8/'Output-Calculation-sheet'!Y7*'Output-Calculation-sheet'!Y97</f>
        <v>616641432.21462107</v>
      </c>
      <c r="AA118" s="2">
        <f t="shared" si="10"/>
        <v>178336.2325697878</v>
      </c>
    </row>
    <row r="119" spans="1:27" x14ac:dyDescent="0.25">
      <c r="A119" s="2">
        <v>2032</v>
      </c>
      <c r="B119" s="2">
        <f>B9/'Output-Calculation-sheet'!B8*'Output-Calculation-sheet'!B98</f>
        <v>73416621710.052109</v>
      </c>
      <c r="C119" s="2">
        <f>C9/'Output-Calculation-sheet'!C8*'Output-Calculation-sheet'!C98</f>
        <v>0</v>
      </c>
      <c r="D119" s="2">
        <f>D9/'Output-Calculation-sheet'!D8*'Output-Calculation-sheet'!D98</f>
        <v>34034754404.832626</v>
      </c>
      <c r="E119" s="2">
        <f>E9/'Output-Calculation-sheet'!E8*'Output-Calculation-sheet'!E98</f>
        <v>27003117542.698753</v>
      </c>
      <c r="F119" s="2">
        <f>F9/'Output-Calculation-sheet'!F8*'Output-Calculation-sheet'!F98</f>
        <v>17382881141.560608</v>
      </c>
      <c r="G119" s="2">
        <f>G9/'Output-Calculation-sheet'!G8*'Output-Calculation-sheet'!G98</f>
        <v>12213689390.399141</v>
      </c>
      <c r="H119" s="2">
        <f>H9/'Output-Calculation-sheet'!H8*'Output-Calculation-sheet'!H98</f>
        <v>1.6338314361891723E-6</v>
      </c>
      <c r="I119" s="2">
        <f>I9/'Output-Calculation-sheet'!I8*'Output-Calculation-sheet'!I98</f>
        <v>11127633298.291185</v>
      </c>
      <c r="J119" s="2">
        <f>J9/'Output-Calculation-sheet'!J8*'Output-Calculation-sheet'!J98</f>
        <v>10830867622.243149</v>
      </c>
      <c r="K119" s="2">
        <f>K9/'Output-Calculation-sheet'!K8*'Output-Calculation-sheet'!K98</f>
        <v>10727033907.837879</v>
      </c>
      <c r="L119" s="2">
        <f>L9/'Output-Calculation-sheet'!L8*'Output-Calculation-sheet'!L98</f>
        <v>8605368094.599247</v>
      </c>
      <c r="M119" s="2">
        <f>M9/'Output-Calculation-sheet'!M8*'Output-Calculation-sheet'!M98</f>
        <v>0</v>
      </c>
      <c r="N119" s="2">
        <f>N9/'Output-Calculation-sheet'!N8*'Output-Calculation-sheet'!N98</f>
        <v>4194055407.5234499</v>
      </c>
      <c r="O119" s="2">
        <f>O9/'Output-Calculation-sheet'!O8*'Output-Calculation-sheet'!O98</f>
        <v>0</v>
      </c>
      <c r="P119" s="2">
        <f>P9/'Output-Calculation-sheet'!P8*'Output-Calculation-sheet'!P98</f>
        <v>7344188334.4055471</v>
      </c>
      <c r="Q119" s="2">
        <f>Q9/'Output-Calculation-sheet'!Q8*'Output-Calculation-sheet'!Q98</f>
        <v>7225540727.7838707</v>
      </c>
      <c r="R119" s="2">
        <f>R9/'Output-Calculation-sheet'!R8*'Output-Calculation-sheet'!R98</f>
        <v>6951303044.2359076</v>
      </c>
      <c r="S119" s="2">
        <f>S9/'Output-Calculation-sheet'!S8*'Output-Calculation-sheet'!S98</f>
        <v>3456049135.8693252</v>
      </c>
      <c r="T119" s="2">
        <f>T9/'Output-Calculation-sheet'!T8*'Output-Calculation-sheet'!T98</f>
        <v>2555239125.6333928</v>
      </c>
      <c r="U119" s="2">
        <f>U9/'Output-Calculation-sheet'!U8*'Output-Calculation-sheet'!U98</f>
        <v>2225526406.7950234</v>
      </c>
      <c r="V119" s="2">
        <f>V9/'Output-Calculation-sheet'!V8*'Output-Calculation-sheet'!V98</f>
        <v>1713699844.0410216</v>
      </c>
      <c r="W119" s="2">
        <f>W9/'Output-Calculation-sheet'!W8*'Output-Calculation-sheet'!W98</f>
        <v>1483684038.0556006</v>
      </c>
      <c r="X119" s="2">
        <f>X9/'Output-Calculation-sheet'!X8*'Output-Calculation-sheet'!X98</f>
        <v>0</v>
      </c>
      <c r="Y119" s="2">
        <f>Y9/'Output-Calculation-sheet'!Y8*'Output-Calculation-sheet'!Y98</f>
        <v>865720734.47586322</v>
      </c>
      <c r="AA119" s="2">
        <f t="shared" si="10"/>
        <v>243356.97391133368</v>
      </c>
    </row>
    <row r="120" spans="1:27" x14ac:dyDescent="0.25">
      <c r="A120" s="2">
        <v>2033</v>
      </c>
      <c r="B120" s="2">
        <f>B10/'Output-Calculation-sheet'!B9*'Output-Calculation-sheet'!B99</f>
        <v>83209370120.619934</v>
      </c>
      <c r="C120" s="2">
        <f>C10/'Output-Calculation-sheet'!C9*'Output-Calculation-sheet'!C99</f>
        <v>0</v>
      </c>
      <c r="D120" s="2">
        <f>D10/'Output-Calculation-sheet'!D9*'Output-Calculation-sheet'!D99</f>
        <v>43693831260.452812</v>
      </c>
      <c r="E120" s="2">
        <f>E10/'Output-Calculation-sheet'!E9*'Output-Calculation-sheet'!E99</f>
        <v>34666616678.564987</v>
      </c>
      <c r="F120" s="2">
        <f>F10/'Output-Calculation-sheet'!F9*'Output-Calculation-sheet'!F99</f>
        <v>22316145155.489021</v>
      </c>
      <c r="G120" s="2">
        <f>G10/'Output-Calculation-sheet'!G9*'Output-Calculation-sheet'!G99</f>
        <v>15679936036.31963</v>
      </c>
      <c r="H120" s="2">
        <f>H10/'Output-Calculation-sheet'!H9*'Output-Calculation-sheet'!H99</f>
        <v>0</v>
      </c>
      <c r="I120" s="2">
        <f>I10/'Output-Calculation-sheet'!I9*'Output-Calculation-sheet'!I99</f>
        <v>14285657846.473473</v>
      </c>
      <c r="J120" s="2">
        <f>J10/'Output-Calculation-sheet'!J9*'Output-Calculation-sheet'!J99</f>
        <v>13904669988.396389</v>
      </c>
      <c r="K120" s="2">
        <f>K10/'Output-Calculation-sheet'!K9*'Output-Calculation-sheet'!K99</f>
        <v>13771694620.53373</v>
      </c>
      <c r="L120" s="2">
        <f>L10/'Output-Calculation-sheet'!L9*'Output-Calculation-sheet'!L99</f>
        <v>11047573263.184172</v>
      </c>
      <c r="M120" s="2">
        <f>M10/'Output-Calculation-sheet'!M9*'Output-Calculation-sheet'!M99</f>
        <v>0</v>
      </c>
      <c r="N120" s="2">
        <f>N10/'Output-Calculation-sheet'!N9*'Output-Calculation-sheet'!N99</f>
        <v>4141727671.6750417</v>
      </c>
      <c r="O120" s="2">
        <f>O10/'Output-Calculation-sheet'!O9*'Output-Calculation-sheet'!O99</f>
        <v>0</v>
      </c>
      <c r="P120" s="2">
        <f>P10/'Output-Calculation-sheet'!P9*'Output-Calculation-sheet'!P99</f>
        <v>9427975564.7950058</v>
      </c>
      <c r="Q120" s="2">
        <f>Q10/'Output-Calculation-sheet'!Q9*'Output-Calculation-sheet'!Q99</f>
        <v>9073721779.2435493</v>
      </c>
      <c r="R120" s="2">
        <f>R10/'Output-Calculation-sheet'!R9*'Output-Calculation-sheet'!R99</f>
        <v>8923665291.0063839</v>
      </c>
      <c r="S120" s="2">
        <f>S10/'Output-Calculation-sheet'!S9*'Output-Calculation-sheet'!S99</f>
        <v>3422804829.6765246</v>
      </c>
      <c r="T120" s="2">
        <f>T10/'Output-Calculation-sheet'!T9*'Output-Calculation-sheet'!T99</f>
        <v>3280388280.9910593</v>
      </c>
      <c r="U120" s="2">
        <f>U10/'Output-Calculation-sheet'!U9*'Output-Calculation-sheet'!U99</f>
        <v>2857744728.2925363</v>
      </c>
      <c r="V120" s="2">
        <f>V10/'Output-Calculation-sheet'!V9*'Output-Calculation-sheet'!V99</f>
        <v>2200048312.317173</v>
      </c>
      <c r="W120" s="2">
        <f>W10/'Output-Calculation-sheet'!W9*'Output-Calculation-sheet'!W99</f>
        <v>1904754259.4924417</v>
      </c>
      <c r="X120" s="2">
        <f>X10/'Output-Calculation-sheet'!X9*'Output-Calculation-sheet'!X99</f>
        <v>0</v>
      </c>
      <c r="Y120" s="2">
        <f>Y10/'Output-Calculation-sheet'!Y9*'Output-Calculation-sheet'!Y99</f>
        <v>1111414122.1194501</v>
      </c>
      <c r="AA120" s="2">
        <f t="shared" si="10"/>
        <v>298919.73980964342</v>
      </c>
    </row>
    <row r="121" spans="1:27" x14ac:dyDescent="0.25">
      <c r="A121" s="2">
        <v>2034</v>
      </c>
      <c r="B121" s="2">
        <f>B11/'Output-Calculation-sheet'!B10*'Output-Calculation-sheet'!B100</f>
        <v>75872992206.824356</v>
      </c>
      <c r="C121" s="2">
        <f>C11/'Output-Calculation-sheet'!C10*'Output-Calculation-sheet'!C100</f>
        <v>0</v>
      </c>
      <c r="D121" s="2">
        <f>D11/'Output-Calculation-sheet'!D10*'Output-Calculation-sheet'!D100</f>
        <v>52562521379.36692</v>
      </c>
      <c r="E121" s="2">
        <f>E11/'Output-Calculation-sheet'!E10*'Output-Calculation-sheet'!E100</f>
        <v>40696454335.491211</v>
      </c>
      <c r="F121" s="2">
        <f>F11/'Output-Calculation-sheet'!F10*'Output-Calculation-sheet'!F100</f>
        <v>26845586744.773193</v>
      </c>
      <c r="G121" s="2">
        <f>G11/'Output-Calculation-sheet'!G10*'Output-Calculation-sheet'!G100</f>
        <v>18861525707.569344</v>
      </c>
      <c r="H121" s="2">
        <f>H11/'Output-Calculation-sheet'!H10*'Output-Calculation-sheet'!H100</f>
        <v>0</v>
      </c>
      <c r="I121" s="2">
        <f>I11/'Output-Calculation-sheet'!I10*'Output-Calculation-sheet'!I100</f>
        <v>17184656227.586674</v>
      </c>
      <c r="J121" s="2">
        <f>J11/'Output-Calculation-sheet'!J10*'Output-Calculation-sheet'!J100</f>
        <v>16726539121.338442</v>
      </c>
      <c r="K121" s="2">
        <f>K11/'Output-Calculation-sheet'!K10*'Output-Calculation-sheet'!K100</f>
        <v>16566599678.431873</v>
      </c>
      <c r="L121" s="2">
        <f>L11/'Output-Calculation-sheet'!L10*'Output-Calculation-sheet'!L100</f>
        <v>12453392736.987829</v>
      </c>
      <c r="M121" s="2">
        <f>M11/'Output-Calculation-sheet'!M10*'Output-Calculation-sheet'!M100</f>
        <v>8.5006760363363404E-7</v>
      </c>
      <c r="N121" s="2">
        <f>N11/'Output-Calculation-sheet'!N10*'Output-Calculation-sheet'!N100</f>
        <v>3678896663.7614651</v>
      </c>
      <c r="O121" s="2">
        <f>O11/'Output-Calculation-sheet'!O10*'Output-Calculation-sheet'!O100</f>
        <v>0</v>
      </c>
      <c r="P121" s="2">
        <f>P11/'Output-Calculation-sheet'!P10*'Output-Calculation-sheet'!P100</f>
        <v>11341137531.079424</v>
      </c>
      <c r="Q121" s="2">
        <f>Q11/'Output-Calculation-sheet'!Q10*'Output-Calculation-sheet'!Q100</f>
        <v>8924012336.4804153</v>
      </c>
      <c r="R121" s="2">
        <f>R11/'Output-Calculation-sheet'!R10*'Output-Calculation-sheet'!R100</f>
        <v>10734463877.189476</v>
      </c>
      <c r="S121" s="2">
        <f>S11/'Output-Calculation-sheet'!S10*'Output-Calculation-sheet'!S100</f>
        <v>2817299235.7012901</v>
      </c>
      <c r="T121" s="2">
        <f>T11/'Output-Calculation-sheet'!T10*'Output-Calculation-sheet'!T100</f>
        <v>3945987089.0595474</v>
      </c>
      <c r="U121" s="2">
        <f>U11/'Output-Calculation-sheet'!U10*'Output-Calculation-sheet'!U100</f>
        <v>3438904879.9564195</v>
      </c>
      <c r="V121" s="2">
        <f>V11/'Output-Calculation-sheet'!V10*'Output-Calculation-sheet'!V100</f>
        <v>2647343606.564898</v>
      </c>
      <c r="W121" s="2">
        <f>W11/'Output-Calculation-sheet'!W10*'Output-Calculation-sheet'!W100</f>
        <v>2291436968.6980534</v>
      </c>
      <c r="X121" s="2">
        <f>X11/'Output-Calculation-sheet'!X10*'Output-Calculation-sheet'!X100</f>
        <v>101724932.61205506</v>
      </c>
      <c r="Y121" s="2">
        <f>Y11/'Output-Calculation-sheet'!Y10*'Output-Calculation-sheet'!Y100</f>
        <v>1281948569.2461233</v>
      </c>
      <c r="AA121" s="2">
        <f t="shared" si="10"/>
        <v>328973.42382871901</v>
      </c>
    </row>
    <row r="122" spans="1:27" x14ac:dyDescent="0.25">
      <c r="A122" s="2">
        <v>2035</v>
      </c>
      <c r="B122" s="2">
        <f>B12/'Output-Calculation-sheet'!B11*'Output-Calculation-sheet'!B101</f>
        <v>72098083900.766022</v>
      </c>
      <c r="C122" s="2">
        <f>C12/'Output-Calculation-sheet'!C11*'Output-Calculation-sheet'!C101</f>
        <v>0</v>
      </c>
      <c r="D122" s="2">
        <f>D12/'Output-Calculation-sheet'!D11*'Output-Calculation-sheet'!D101</f>
        <v>56018874217.819923</v>
      </c>
      <c r="E122" s="2">
        <f>E12/'Output-Calculation-sheet'!E11*'Output-Calculation-sheet'!E101</f>
        <v>39589936429.617035</v>
      </c>
      <c r="F122" s="2">
        <f>F12/'Output-Calculation-sheet'!F11*'Output-Calculation-sheet'!F101</f>
        <v>29461773204.396091</v>
      </c>
      <c r="G122" s="2">
        <f>G12/'Output-Calculation-sheet'!G11*'Output-Calculation-sheet'!G101</f>
        <v>20395456580.679699</v>
      </c>
      <c r="H122" s="2">
        <f>H12/'Output-Calculation-sheet'!H11*'Output-Calculation-sheet'!H101</f>
        <v>0</v>
      </c>
      <c r="I122" s="2">
        <f>I12/'Output-Calculation-sheet'!I11*'Output-Calculation-sheet'!I101</f>
        <v>18632317468.639484</v>
      </c>
      <c r="J122" s="2">
        <f>J12/'Output-Calculation-sheet'!J11*'Output-Calculation-sheet'!J101</f>
        <v>17966406718.237305</v>
      </c>
      <c r="K122" s="2">
        <f>K12/'Output-Calculation-sheet'!K11*'Output-Calculation-sheet'!K101</f>
        <v>18066462539.307835</v>
      </c>
      <c r="L122" s="2">
        <f>L12/'Output-Calculation-sheet'!L11*'Output-Calculation-sheet'!L101</f>
        <v>12432883848.706335</v>
      </c>
      <c r="M122" s="2">
        <f>M12/'Output-Calculation-sheet'!M11*'Output-Calculation-sheet'!M101</f>
        <v>0</v>
      </c>
      <c r="N122" s="2">
        <f>N12/'Output-Calculation-sheet'!N11*'Output-Calculation-sheet'!N101</f>
        <v>3498684725.1744046</v>
      </c>
      <c r="O122" s="2">
        <f>O12/'Output-Calculation-sheet'!O11*'Output-Calculation-sheet'!O101</f>
        <v>0</v>
      </c>
      <c r="P122" s="2">
        <f>P12/'Output-Calculation-sheet'!P11*'Output-Calculation-sheet'!P101</f>
        <v>12041258559.082333</v>
      </c>
      <c r="Q122" s="2">
        <f>Q12/'Output-Calculation-sheet'!Q11*'Output-Calculation-sheet'!Q101</f>
        <v>8541331743.147501</v>
      </c>
      <c r="R122" s="2">
        <f>R12/'Output-Calculation-sheet'!R11*'Output-Calculation-sheet'!R101</f>
        <v>11774389847.478556</v>
      </c>
      <c r="S122" s="2">
        <f>S12/'Output-Calculation-sheet'!S11*'Output-Calculation-sheet'!S101</f>
        <v>2581226301.4391661</v>
      </c>
      <c r="T122" s="2">
        <f>T12/'Output-Calculation-sheet'!T11*'Output-Calculation-sheet'!T101</f>
        <v>4390922566.316288</v>
      </c>
      <c r="U122" s="2">
        <f>U12/'Output-Calculation-sheet'!U11*'Output-Calculation-sheet'!U101</f>
        <v>3564766634.6307321</v>
      </c>
      <c r="V122" s="2">
        <f>V12/'Output-Calculation-sheet'!V11*'Output-Calculation-sheet'!V101</f>
        <v>2961196454.0264325</v>
      </c>
      <c r="W122" s="2">
        <f>W12/'Output-Calculation-sheet'!W11*'Output-Calculation-sheet'!W101</f>
        <v>2582144829.4982386</v>
      </c>
      <c r="X122" s="2">
        <f>X12/'Output-Calculation-sheet'!X11*'Output-Calculation-sheet'!X101</f>
        <v>95090562.854492381</v>
      </c>
      <c r="Y122" s="2">
        <f>Y12/'Output-Calculation-sheet'!Y11*'Output-Calculation-sheet'!Y101</f>
        <v>1165730390.8291578</v>
      </c>
      <c r="AA122" s="2">
        <f t="shared" si="10"/>
        <v>337858.93752264703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57718650811.08049</v>
      </c>
      <c r="C129" s="2">
        <f>C8/'Output-Calculation-sheet'!C7*'Output-Calculation-sheet'!C106</f>
        <v>27199938017.560589</v>
      </c>
      <c r="D129" s="2">
        <f>D8/'Output-Calculation-sheet'!D7*'Output-Calculation-sheet'!D106</f>
        <v>24242497986.736919</v>
      </c>
      <c r="E129" s="2">
        <f>E8/'Output-Calculation-sheet'!E7*'Output-Calculation-sheet'!E106</f>
        <v>19233962101.393204</v>
      </c>
      <c r="F129" s="2">
        <f>F8/'Output-Calculation-sheet'!F7*'Output-Calculation-sheet'!F106</f>
        <v>12381591608.715164</v>
      </c>
      <c r="G129" s="2">
        <f>G8/'Output-Calculation-sheet'!G7*'Output-Calculation-sheet'!G106</f>
        <v>8699646067.8932743</v>
      </c>
      <c r="H129" s="2">
        <f>H8/'Output-Calculation-sheet'!H7*'Output-Calculation-sheet'!H106</f>
        <v>8486170787.8016148</v>
      </c>
      <c r="I129" s="2">
        <f>I8/'Output-Calculation-sheet'!I7*'Output-Calculation-sheet'!I106</f>
        <v>7926062379.6403561</v>
      </c>
      <c r="J129" s="2">
        <f>J8/'Output-Calculation-sheet'!J7*'Output-Calculation-sheet'!J106</f>
        <v>7714683206.4269037</v>
      </c>
      <c r="K129" s="2">
        <f>K8/'Output-Calculation-sheet'!K7*'Output-Calculation-sheet'!K106</f>
        <v>7640722631.6188087</v>
      </c>
      <c r="L129" s="2">
        <f>L8/'Output-Calculation-sheet'!L7*'Output-Calculation-sheet'!L106</f>
        <v>6129487045.6549053</v>
      </c>
      <c r="M129" s="2">
        <f>M8/'Output-Calculation-sheet'!M7*'Output-Calculation-sheet'!M106</f>
        <v>5854718077.7610216</v>
      </c>
      <c r="N129" s="2">
        <f>N8/'Output-Calculation-sheet'!N7*'Output-Calculation-sheet'!N106</f>
        <v>5746389997.7939186</v>
      </c>
      <c r="O129" s="2">
        <f>O8/'Output-Calculation-sheet'!O7*'Output-Calculation-sheet'!O106</f>
        <v>5284970538.7347984</v>
      </c>
      <c r="P129" s="2">
        <f>P8/'Output-Calculation-sheet'!P7*'Output-Calculation-sheet'!P106</f>
        <v>5231201170.5626392</v>
      </c>
      <c r="Q129" s="2">
        <f>Q8/'Output-Calculation-sheet'!Q7*'Output-Calculation-sheet'!Q106</f>
        <v>5146655529.6699247</v>
      </c>
      <c r="R129" s="2">
        <f>R8/'Output-Calculation-sheet'!R7*'Output-Calculation-sheet'!R106</f>
        <v>4951319315.6461039</v>
      </c>
      <c r="S129" s="2">
        <f>S8/'Output-Calculation-sheet'!S7*'Output-Calculation-sheet'!S106</f>
        <v>3290900461.7864761</v>
      </c>
      <c r="T129" s="2">
        <f>T8/'Output-Calculation-sheet'!T7*'Output-Calculation-sheet'!T106</f>
        <v>1820062761.0451365</v>
      </c>
      <c r="U129" s="2">
        <f>U8/'Output-Calculation-sheet'!U7*'Output-Calculation-sheet'!U106</f>
        <v>1585212164.6808157</v>
      </c>
      <c r="V129" s="2">
        <f>V8/'Output-Calculation-sheet'!V7*'Output-Calculation-sheet'!V106</f>
        <v>1220645550.7140007</v>
      </c>
      <c r="W129" s="2">
        <f>W8/'Output-Calculation-sheet'!W7*'Output-Calculation-sheet'!W106</f>
        <v>1056808109.4635476</v>
      </c>
      <c r="X129" s="2">
        <f>X8/'Output-Calculation-sheet'!X7*'Output-Calculation-sheet'!X106</f>
        <v>634084990.37122941</v>
      </c>
      <c r="Y129" s="2">
        <f>Y8/'Output-Calculation-sheet'!Y7*'Output-Calculation-sheet'!Y106</f>
        <v>616641432.21462107</v>
      </c>
      <c r="AA129" s="2">
        <f t="shared" si="11"/>
        <v>229813.0227449665</v>
      </c>
    </row>
    <row r="130" spans="1:27" x14ac:dyDescent="0.25">
      <c r="A130" s="2">
        <v>2032</v>
      </c>
      <c r="B130" s="2">
        <f>B9/'Output-Calculation-sheet'!B8*'Output-Calculation-sheet'!B107</f>
        <v>48619747225.48674</v>
      </c>
      <c r="C130" s="2">
        <f>C9/'Output-Calculation-sheet'!C8*'Output-Calculation-sheet'!C107</f>
        <v>22912066958.505882</v>
      </c>
      <c r="D130" s="2">
        <f>D9/'Output-Calculation-sheet'!D8*'Output-Calculation-sheet'!D107</f>
        <v>20420848386.092979</v>
      </c>
      <c r="E130" s="2">
        <f>E9/'Output-Calculation-sheet'!E8*'Output-Calculation-sheet'!E107</f>
        <v>16201868834.106344</v>
      </c>
      <c r="F130" s="2">
        <f>F9/'Output-Calculation-sheet'!F8*'Output-Calculation-sheet'!F107</f>
        <v>10429729748.78199</v>
      </c>
      <c r="G130" s="2">
        <f>G9/'Output-Calculation-sheet'!G8*'Output-Calculation-sheet'!G107</f>
        <v>7328214397.7434778</v>
      </c>
      <c r="H130" s="2">
        <f>H9/'Output-Calculation-sheet'!H8*'Output-Calculation-sheet'!H107</f>
        <v>7148389976.4987116</v>
      </c>
      <c r="I130" s="2">
        <f>I9/'Output-Calculation-sheet'!I8*'Output-Calculation-sheet'!I107</f>
        <v>6676579292.2484541</v>
      </c>
      <c r="J130" s="2">
        <f>J9/'Output-Calculation-sheet'!J8*'Output-Calculation-sheet'!J107</f>
        <v>6498519893.7123585</v>
      </c>
      <c r="K130" s="2">
        <f>K9/'Output-Calculation-sheet'!K8*'Output-Calculation-sheet'!K107</f>
        <v>6436220344.7027273</v>
      </c>
      <c r="L130" s="2">
        <f>L9/'Output-Calculation-sheet'!L8*'Output-Calculation-sheet'!L107</f>
        <v>5163220320.0765696</v>
      </c>
      <c r="M130" s="2">
        <f>M9/'Output-Calculation-sheet'!M8*'Output-Calculation-sheet'!M107</f>
        <v>4931767208.8106499</v>
      </c>
      <c r="N130" s="2">
        <f>N9/'Output-Calculation-sheet'!N8*'Output-Calculation-sheet'!N107</f>
        <v>4840513085.3870029</v>
      </c>
      <c r="O130" s="2">
        <f>O9/'Output-Calculation-sheet'!O8*'Output-Calculation-sheet'!O107</f>
        <v>4451835382.6903181</v>
      </c>
      <c r="P130" s="2">
        <f>P9/'Output-Calculation-sheet'!P8*'Output-Calculation-sheet'!P107</f>
        <v>4406541188.710494</v>
      </c>
      <c r="Q130" s="2">
        <f>Q9/'Output-Calculation-sheet'!Q8*'Output-Calculation-sheet'!Q107</f>
        <v>4335325751.435298</v>
      </c>
      <c r="R130" s="2">
        <f>R9/'Output-Calculation-sheet'!R8*'Output-Calculation-sheet'!R107</f>
        <v>4170782261.1530867</v>
      </c>
      <c r="S130" s="2">
        <f>S9/'Output-Calculation-sheet'!S8*'Output-Calculation-sheet'!S107</f>
        <v>2772115186.521811</v>
      </c>
      <c r="T130" s="2">
        <f>T9/'Output-Calculation-sheet'!T8*'Output-Calculation-sheet'!T107</f>
        <v>1533143796.9620366</v>
      </c>
      <c r="U130" s="2">
        <f>U9/'Output-Calculation-sheet'!U8*'Output-Calculation-sheet'!U107</f>
        <v>1335315424.586653</v>
      </c>
      <c r="V130" s="2">
        <f>V9/'Output-Calculation-sheet'!V8*'Output-Calculation-sheet'!V107</f>
        <v>1028219582.959499</v>
      </c>
      <c r="W130" s="2">
        <f>W9/'Output-Calculation-sheet'!W8*'Output-Calculation-sheet'!W107</f>
        <v>890210516.19884825</v>
      </c>
      <c r="X130" s="2">
        <f>X9/'Output-Calculation-sheet'!X8*'Output-Calculation-sheet'!X107</f>
        <v>534126204.91744864</v>
      </c>
      <c r="Y130" s="2">
        <f>Y9/'Output-Calculation-sheet'!Y8*'Output-Calculation-sheet'!Y107</f>
        <v>519432494.56428111</v>
      </c>
      <c r="AA130" s="2">
        <f t="shared" si="11"/>
        <v>193584.73346285365</v>
      </c>
    </row>
    <row r="131" spans="1:27" x14ac:dyDescent="0.25">
      <c r="A131" s="2">
        <v>2033</v>
      </c>
      <c r="B131" s="2">
        <f>B10/'Output-Calculation-sheet'!B9*'Output-Calculation-sheet'!B108</f>
        <v>34676702137.488564</v>
      </c>
      <c r="C131" s="2">
        <f>C10/'Output-Calculation-sheet'!C9*'Output-Calculation-sheet'!C108</f>
        <v>20292609567.716068</v>
      </c>
      <c r="D131" s="2">
        <f>D10/'Output-Calculation-sheet'!D9*'Output-Calculation-sheet'!D108</f>
        <v>14564614215.213243</v>
      </c>
      <c r="E131" s="2">
        <f>E10/'Output-Calculation-sheet'!E9*'Output-Calculation-sheet'!E108</f>
        <v>11555538892.854996</v>
      </c>
      <c r="F131" s="2">
        <f>F10/'Output-Calculation-sheet'!F9*'Output-Calculation-sheet'!F108</f>
        <v>7438715051.8296738</v>
      </c>
      <c r="G131" s="2">
        <f>G10/'Output-Calculation-sheet'!G9*'Output-Calculation-sheet'!G108</f>
        <v>5226645345.4398766</v>
      </c>
      <c r="H131" s="2">
        <f>H10/'Output-Calculation-sheet'!H9*'Output-Calculation-sheet'!H108</f>
        <v>5098391900.3744106</v>
      </c>
      <c r="I131" s="2">
        <f>I10/'Output-Calculation-sheet'!I9*'Output-Calculation-sheet'!I108</f>
        <v>4761887173.2958746</v>
      </c>
      <c r="J131" s="2">
        <f>J10/'Output-Calculation-sheet'!J9*'Output-Calculation-sheet'!J108</f>
        <v>4634891207.9567852</v>
      </c>
      <c r="K131" s="2">
        <f>K10/'Output-Calculation-sheet'!K9*'Output-Calculation-sheet'!K108</f>
        <v>4590456561.8746367</v>
      </c>
      <c r="L131" s="2">
        <f>L10/'Output-Calculation-sheet'!L9*'Output-Calculation-sheet'!L108</f>
        <v>3682525377.9972053</v>
      </c>
      <c r="M131" s="2">
        <f>M10/'Output-Calculation-sheet'!M9*'Output-Calculation-sheet'!M108</f>
        <v>3517445968.6269321</v>
      </c>
      <c r="N131" s="2">
        <f>N10/'Output-Calculation-sheet'!N9*'Output-Calculation-sheet'!N108</f>
        <v>3452362390.5982194</v>
      </c>
      <c r="O131" s="2">
        <f>O10/'Output-Calculation-sheet'!O9*'Output-Calculation-sheet'!O108</f>
        <v>4478378269.9972544</v>
      </c>
      <c r="P131" s="2">
        <f>P10/'Output-Calculation-sheet'!P9*'Output-Calculation-sheet'!P108</f>
        <v>3142845558.0724463</v>
      </c>
      <c r="Q131" s="2">
        <f>Q10/'Output-Calculation-sheet'!Q9*'Output-Calculation-sheet'!Q108</f>
        <v>3092051464.6332283</v>
      </c>
      <c r="R131" s="2">
        <f>R10/'Output-Calculation-sheet'!R9*'Output-Calculation-sheet'!R108</f>
        <v>2974694585.6126218</v>
      </c>
      <c r="S131" s="2">
        <f>S10/'Output-Calculation-sheet'!S9*'Output-Calculation-sheet'!S108</f>
        <v>1977135175.1988878</v>
      </c>
      <c r="T131" s="2">
        <f>T10/'Output-Calculation-sheet'!T9*'Output-Calculation-sheet'!T108</f>
        <v>1093471934.709892</v>
      </c>
      <c r="U131" s="2">
        <f>U10/'Output-Calculation-sheet'!U9*'Output-Calculation-sheet'!U108</f>
        <v>952376880.32405818</v>
      </c>
      <c r="V131" s="2">
        <f>V10/'Output-Calculation-sheet'!V9*'Output-Calculation-sheet'!V108</f>
        <v>733349245.1869185</v>
      </c>
      <c r="W131" s="2">
        <f>W10/'Output-Calculation-sheet'!W9*'Output-Calculation-sheet'!W108</f>
        <v>634917920.02158582</v>
      </c>
      <c r="X131" s="2">
        <f>X10/'Output-Calculation-sheet'!X9*'Output-Calculation-sheet'!X108</f>
        <v>380950677.60015136</v>
      </c>
      <c r="Y131" s="2">
        <f>Y10/'Output-Calculation-sheet'!Y9*'Output-Calculation-sheet'!Y108</f>
        <v>370470797.62669951</v>
      </c>
      <c r="AA131" s="2">
        <f t="shared" si="11"/>
        <v>143323.42830025023</v>
      </c>
    </row>
    <row r="132" spans="1:27" x14ac:dyDescent="0.25">
      <c r="A132" s="2">
        <v>2034</v>
      </c>
      <c r="B132" s="2">
        <f>B11/'Output-Calculation-sheet'!B10*'Output-Calculation-sheet'!B109</f>
        <v>17877920862.181419</v>
      </c>
      <c r="C132" s="2">
        <f>C11/'Output-Calculation-sheet'!C10*'Output-Calculation-sheet'!C109</f>
        <v>20191178709.876762</v>
      </c>
      <c r="D132" s="2">
        <f>D11/'Output-Calculation-sheet'!D10*'Output-Calculation-sheet'!D109</f>
        <v>7508932631.8665142</v>
      </c>
      <c r="E132" s="2">
        <f>E11/'Output-Calculation-sheet'!E10*'Output-Calculation-sheet'!E109</f>
        <v>5957575595.2376795</v>
      </c>
      <c r="F132" s="2">
        <f>F11/'Output-Calculation-sheet'!F10*'Output-Calculation-sheet'!F109</f>
        <v>3835105196.1851387</v>
      </c>
      <c r="G132" s="2">
        <f>G11/'Output-Calculation-sheet'!G10*'Output-Calculation-sheet'!G109</f>
        <v>2694650583.5819316</v>
      </c>
      <c r="H132" s="2">
        <f>H11/'Output-Calculation-sheet'!H10*'Output-Calculation-sheet'!H109</f>
        <v>2628527794.5288119</v>
      </c>
      <c r="I132" s="2">
        <f>I11/'Output-Calculation-sheet'!I10*'Output-Calculation-sheet'!I109</f>
        <v>2455038602.7074084</v>
      </c>
      <c r="J132" s="2">
        <f>J11/'Output-Calculation-sheet'!J10*'Output-Calculation-sheet'!J109</f>
        <v>2389564923.9220071</v>
      </c>
      <c r="K132" s="2">
        <f>K11/'Output-Calculation-sheet'!K10*'Output-Calculation-sheet'!K109</f>
        <v>2366656937.3726511</v>
      </c>
      <c r="L132" s="2">
        <f>L11/'Output-Calculation-sheet'!L10*'Output-Calculation-sheet'!L109</f>
        <v>1898563113.6384585</v>
      </c>
      <c r="M132" s="2">
        <f>M11/'Output-Calculation-sheet'!M10*'Output-Calculation-sheet'!M109</f>
        <v>1813455041.3063054</v>
      </c>
      <c r="N132" s="2">
        <f>N11/'Output-Calculation-sheet'!N10*'Output-Calculation-sheet'!N109</f>
        <v>1779901092.5480864</v>
      </c>
      <c r="O132" s="2">
        <f>O11/'Output-Calculation-sheet'!O10*'Output-Calculation-sheet'!O109</f>
        <v>4418871349.0924091</v>
      </c>
      <c r="P132" s="2">
        <f>P11/'Output-Calculation-sheet'!P10*'Output-Calculation-sheet'!P109</f>
        <v>1620325480.2303541</v>
      </c>
      <c r="Q132" s="2">
        <f>Q11/'Output-Calculation-sheet'!Q10*'Output-Calculation-sheet'!Q109</f>
        <v>1594138336.814353</v>
      </c>
      <c r="R132" s="2">
        <f>R11/'Output-Calculation-sheet'!R10*'Output-Calculation-sheet'!R109</f>
        <v>1533634285.765393</v>
      </c>
      <c r="S132" s="2">
        <f>S11/'Output-Calculation-sheet'!S10*'Output-Calculation-sheet'!S109</f>
        <v>1019331988.7488192</v>
      </c>
      <c r="T132" s="2">
        <f>T11/'Output-Calculation-sheet'!T10*'Output-Calculation-sheet'!T109</f>
        <v>563750753.84608173</v>
      </c>
      <c r="U132" s="2">
        <f>U11/'Output-Calculation-sheet'!U10*'Output-Calculation-sheet'!U109</f>
        <v>491007663.38286084</v>
      </c>
      <c r="V132" s="2">
        <f>V11/'Output-Calculation-sheet'!V10*'Output-Calculation-sheet'!V109</f>
        <v>378085720.93742645</v>
      </c>
      <c r="W132" s="2">
        <f>W11/'Output-Calculation-sheet'!W10*'Output-Calculation-sheet'!W109</f>
        <v>327338442.23518997</v>
      </c>
      <c r="X132" s="2">
        <f>X11/'Output-Calculation-sheet'!X10*'Output-Calculation-sheet'!X109</f>
        <v>221766095.71076563</v>
      </c>
      <c r="Y132" s="2">
        <f>Y11/'Output-Calculation-sheet'!Y10*'Output-Calculation-sheet'!Y109</f>
        <v>191000046.81380135</v>
      </c>
      <c r="AA132" s="2">
        <f t="shared" si="11"/>
        <v>85756.321248530614</v>
      </c>
    </row>
    <row r="133" spans="1:27" x14ac:dyDescent="0.25">
      <c r="A133" s="2">
        <v>2035</v>
      </c>
      <c r="B133" s="2">
        <f>B12/'Output-Calculation-sheet'!B11*'Output-Calculation-sheet'!B110</f>
        <v>12071733023.094475</v>
      </c>
      <c r="C133" s="2">
        <f>C12/'Output-Calculation-sheet'!C11*'Output-Calculation-sheet'!C110</f>
        <v>19392294023.323273</v>
      </c>
      <c r="D133" s="2">
        <f>D12/'Output-Calculation-sheet'!D11*'Output-Calculation-sheet'!D110</f>
        <v>5269197973.9871597</v>
      </c>
      <c r="E133" s="2">
        <f>E12/'Output-Calculation-sheet'!E11*'Output-Calculation-sheet'!E110</f>
        <v>2524498455.4767499</v>
      </c>
      <c r="F133" s="2">
        <f>F12/'Output-Calculation-sheet'!F11*'Output-Calculation-sheet'!F110</f>
        <v>1926355317.9299686</v>
      </c>
      <c r="G133" s="2">
        <f>G12/'Output-Calculation-sheet'!G11*'Output-Calculation-sheet'!G110</f>
        <v>1798389777.9065125</v>
      </c>
      <c r="H133" s="2">
        <f>H12/'Output-Calculation-sheet'!H11*'Output-Calculation-sheet'!H110</f>
        <v>2498519274.0023632</v>
      </c>
      <c r="I133" s="2">
        <f>I12/'Output-Calculation-sheet'!I11*'Output-Calculation-sheet'!I110</f>
        <v>1486254397.5088077</v>
      </c>
      <c r="J133" s="2">
        <f>J12/'Output-Calculation-sheet'!J11*'Output-Calculation-sheet'!J110</f>
        <v>1447435849.011821</v>
      </c>
      <c r="K133" s="2">
        <f>K12/'Output-Calculation-sheet'!K11*'Output-Calculation-sheet'!K110</f>
        <v>1252347248.3494277</v>
      </c>
      <c r="L133" s="2">
        <f>L12/'Output-Calculation-sheet'!L11*'Output-Calculation-sheet'!L110</f>
        <v>654568663.71092558</v>
      </c>
      <c r="M133" s="2">
        <f>M12/'Output-Calculation-sheet'!M11*'Output-Calculation-sheet'!M110</f>
        <v>1328158683.921345</v>
      </c>
      <c r="N133" s="2">
        <f>N12/'Output-Calculation-sheet'!N11*'Output-Calculation-sheet'!N110</f>
        <v>1196825884.3126686</v>
      </c>
      <c r="O133" s="2">
        <f>O12/'Output-Calculation-sheet'!O11*'Output-Calculation-sheet'!O110</f>
        <v>4259090637.2874026</v>
      </c>
      <c r="P133" s="2">
        <f>P12/'Output-Calculation-sheet'!P11*'Output-Calculation-sheet'!P110</f>
        <v>881961470.02747941</v>
      </c>
      <c r="Q133" s="2">
        <f>Q12/'Output-Calculation-sheet'!Q11*'Output-Calculation-sheet'!Q110</f>
        <v>1217139912.549896</v>
      </c>
      <c r="R133" s="2">
        <f>R12/'Output-Calculation-sheet'!R11*'Output-Calculation-sheet'!R110</f>
        <v>744942987.42701578</v>
      </c>
      <c r="S133" s="2">
        <f>S12/'Output-Calculation-sheet'!S11*'Output-Calculation-sheet'!S110</f>
        <v>730684378.79261613</v>
      </c>
      <c r="T133" s="2">
        <f>T12/'Output-Calculation-sheet'!T11*'Output-Calculation-sheet'!T110</f>
        <v>192875085.26334926</v>
      </c>
      <c r="U133" s="2">
        <f>U12/'Output-Calculation-sheet'!U11*'Output-Calculation-sheet'!U110</f>
        <v>379983093.52342445</v>
      </c>
      <c r="V133" s="2">
        <f>V12/'Output-Calculation-sheet'!V11*'Output-Calculation-sheet'!V110</f>
        <v>83094938.795927837</v>
      </c>
      <c r="W133" s="2">
        <f>W12/'Output-Calculation-sheet'!W11*'Output-Calculation-sheet'!W110</f>
        <v>103053884.00858778</v>
      </c>
      <c r="X133" s="2">
        <f>X12/'Output-Calculation-sheet'!X11*'Output-Calculation-sheet'!X110</f>
        <v>209127293.18899119</v>
      </c>
      <c r="Y133" s="2">
        <f>Y12/'Output-Calculation-sheet'!Y11*'Output-Calculation-sheet'!Y110</f>
        <v>90327898.102038935</v>
      </c>
      <c r="AA133" s="2">
        <f t="shared" si="11"/>
        <v>61738.860151502224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1286.9931981545024</v>
      </c>
      <c r="C19" s="2">
        <f>C8/'Output-Calculation-sheet'!C7*'Output-Calculation-sheet'!C25</f>
        <v>19399.154303652489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5787.3936051892924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4012.2143426768166</v>
      </c>
      <c r="N19" s="2">
        <f>N8/'Output-Calculation-sheet'!N7*'Output-Calculation-sheet'!N25</f>
        <v>1373.6345119500234</v>
      </c>
      <c r="O19" s="2">
        <f>O8/'Output-Calculation-sheet'!O7*'Output-Calculation-sheet'!O25</f>
        <v>3752.1889116827856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490.13447830018333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448.28484938748653</v>
      </c>
      <c r="Y19" s="2">
        <f>Y8/'Output-Calculation-sheet'!Y7*'Output-Calculation-sheet'!Y25</f>
        <v>0</v>
      </c>
      <c r="AA19" s="2">
        <f t="shared" si="0"/>
        <v>36.549998200993578</v>
      </c>
    </row>
    <row r="20" spans="1:27" x14ac:dyDescent="0.25">
      <c r="A20" s="2">
        <v>2032</v>
      </c>
      <c r="B20" s="2">
        <f>B9/'Output-Calculation-sheet'!B8*'Output-Calculation-sheet'!B26</f>
        <v>7509.4264849270749</v>
      </c>
      <c r="C20" s="2">
        <f>C9/'Output-Calculation-sheet'!C8*'Output-Calculation-sheet'!C26</f>
        <v>27500.584722648156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8159.9220968206464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5677.3352983339673</v>
      </c>
      <c r="N20" s="2">
        <f>N9/'Output-Calculation-sheet'!N8*'Output-Calculation-sheet'!N26</f>
        <v>2561.8711424527323</v>
      </c>
      <c r="O20" s="2">
        <f>O9/'Output-Calculation-sheet'!O8*'Output-Calculation-sheet'!O26</f>
        <v>5358.3690864105138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931.05352648098267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635.17308264020369</v>
      </c>
      <c r="Y20" s="2">
        <f>Y9/'Output-Calculation-sheet'!Y8*'Output-Calculation-sheet'!Y26</f>
        <v>0</v>
      </c>
      <c r="AA20" s="2">
        <f t="shared" si="0"/>
        <v>58.333735440714278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34484.136936215735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10610.983417107374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7370.182455160174</v>
      </c>
      <c r="N21" s="2">
        <f>N10/'Output-Calculation-sheet'!N9*'Output-Calculation-sheet'!N27</f>
        <v>4031.2669997847443</v>
      </c>
      <c r="O21" s="2">
        <f>O10/'Output-Calculation-sheet'!O9*'Output-Calculation-sheet'!O27</f>
        <v>6083.1023484792113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1754.9457015514433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866.69005988131414</v>
      </c>
      <c r="Y21" s="2">
        <f>Y10/'Output-Calculation-sheet'!Y9*'Output-Calculation-sheet'!Y27</f>
        <v>0</v>
      </c>
      <c r="AA21" s="2">
        <f t="shared" si="0"/>
        <v>83.830219920296756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37235.78159153006</v>
      </c>
      <c r="D22" s="2">
        <f>D11/'Output-Calculation-sheet'!D10*'Output-Calculation-sheet'!D28</f>
        <v>0</v>
      </c>
      <c r="E22" s="2">
        <f>E11/'Output-Calculation-sheet'!E10*'Output-Calculation-sheet'!E28</f>
        <v>1834.9006623094381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14668.1547674139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1112.315028148369</v>
      </c>
      <c r="M22" s="2">
        <f>M11/'Output-Calculation-sheet'!M10*'Output-Calculation-sheet'!M28</f>
        <v>10107.817478399393</v>
      </c>
      <c r="N22" s="2">
        <f>N11/'Output-Calculation-sheet'!N10*'Output-Calculation-sheet'!N28</f>
        <v>5817.1052626327046</v>
      </c>
      <c r="O22" s="2">
        <f>O11/'Output-Calculation-sheet'!O10*'Output-Calculation-sheet'!O28</f>
        <v>6663.7727104450332</v>
      </c>
      <c r="P22" s="2">
        <f>P11/'Output-Calculation-sheet'!P10*'Output-Calculation-sheet'!P28</f>
        <v>0</v>
      </c>
      <c r="Q22" s="2">
        <f>Q11/'Output-Calculation-sheet'!Q10*'Output-Calculation-sheet'!Q28</f>
        <v>2181.6446739712424</v>
      </c>
      <c r="R22" s="2">
        <f>R11/'Output-Calculation-sheet'!R10*'Output-Calculation-sheet'!R28</f>
        <v>0</v>
      </c>
      <c r="S22" s="2">
        <f>S11/'Output-Calculation-sheet'!S10*'Output-Calculation-sheet'!S28</f>
        <v>2950.0988702816903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1020.6122315437775</v>
      </c>
      <c r="Y22" s="2">
        <f>Y11/'Output-Calculation-sheet'!Y10*'Output-Calculation-sheet'!Y28</f>
        <v>101.52585874000769</v>
      </c>
      <c r="AA22" s="2">
        <f t="shared" si="0"/>
        <v>120.21147441434604</v>
      </c>
    </row>
    <row r="23" spans="1:27" x14ac:dyDescent="0.25">
      <c r="A23" s="2">
        <v>2035</v>
      </c>
      <c r="B23" s="2">
        <f>B12/'Output-Calculation-sheet'!B11*'Output-Calculation-sheet'!B29</f>
        <v>46135.922065371458</v>
      </c>
      <c r="C23" s="2">
        <f>C12/'Output-Calculation-sheet'!C11*'Output-Calculation-sheet'!C29</f>
        <v>39457.444063660376</v>
      </c>
      <c r="D23" s="2">
        <f>D12/'Output-Calculation-sheet'!D11*'Output-Calculation-sheet'!D29</f>
        <v>0</v>
      </c>
      <c r="E23" s="2">
        <f>E12/'Output-Calculation-sheet'!E11*'Output-Calculation-sheet'!E29</f>
        <v>8809.4932533651281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15308.940522704101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2576.5465571272507</v>
      </c>
      <c r="M23" s="2">
        <f>M12/'Output-Calculation-sheet'!M11*'Output-Calculation-sheet'!M29</f>
        <v>11583.001964167022</v>
      </c>
      <c r="N23" s="2">
        <f>N12/'Output-Calculation-sheet'!N11*'Output-Calculation-sheet'!N29</f>
        <v>6770.1879654204004</v>
      </c>
      <c r="O23" s="2">
        <f>O12/'Output-Calculation-sheet'!O11*'Output-Calculation-sheet'!O29</f>
        <v>7057.9379037649796</v>
      </c>
      <c r="P23" s="2">
        <f>P12/'Output-Calculation-sheet'!P11*'Output-Calculation-sheet'!P29</f>
        <v>930.0104336825583</v>
      </c>
      <c r="Q23" s="2">
        <f>Q12/'Output-Calculation-sheet'!Q11*'Output-Calculation-sheet'!Q29</f>
        <v>2962.8672055381458</v>
      </c>
      <c r="R23" s="2">
        <f>R12/'Output-Calculation-sheet'!R11*'Output-Calculation-sheet'!R29</f>
        <v>0</v>
      </c>
      <c r="S23" s="2">
        <f>S12/'Output-Calculation-sheet'!S11*'Output-Calculation-sheet'!S29</f>
        <v>3517.5011869582017</v>
      </c>
      <c r="T23" s="2">
        <f>T12/'Output-Calculation-sheet'!T11*'Output-Calculation-sheet'!T29</f>
        <v>0</v>
      </c>
      <c r="U23" s="2">
        <f>U12/'Output-Calculation-sheet'!U11*'Output-Calculation-sheet'!U29</f>
        <v>204.1281142023447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1097.1096913446763</v>
      </c>
      <c r="Y23" s="2">
        <f>Y12/'Output-Calculation-sheet'!Y11*'Output-Calculation-sheet'!Y29</f>
        <v>351.59020060876469</v>
      </c>
      <c r="AA23" s="2">
        <f t="shared" si="0"/>
        <v>146.76268112791541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22431.873368781777</v>
      </c>
      <c r="C30" s="2">
        <f>C8/'Output-Calculation-sheet'!C7*'Output-Calculation-sheet'!C16</f>
        <v>0</v>
      </c>
      <c r="D30" s="2">
        <f>D8/'Output-Calculation-sheet'!D7*'Output-Calculation-sheet'!D16</f>
        <v>3777.2309336745325</v>
      </c>
      <c r="E30" s="2">
        <f>E8/'Output-Calculation-sheet'!E7*'Output-Calculation-sheet'!E16</f>
        <v>4064.0870791769262</v>
      </c>
      <c r="F30" s="2">
        <f>F8/'Output-Calculation-sheet'!F7*'Output-Calculation-sheet'!F16</f>
        <v>2050.3535575582846</v>
      </c>
      <c r="G30" s="2">
        <f>G8/'Output-Calculation-sheet'!G7*'Output-Calculation-sheet'!G16</f>
        <v>1342.7380563963677</v>
      </c>
      <c r="H30" s="2">
        <f>H8/'Output-Calculation-sheet'!H7*'Output-Calculation-sheet'!H16</f>
        <v>0</v>
      </c>
      <c r="I30" s="2">
        <f>I8/'Output-Calculation-sheet'!I7*'Output-Calculation-sheet'!I16</f>
        <v>1308.9685550601573</v>
      </c>
      <c r="J30" s="2">
        <f>J8/'Output-Calculation-sheet'!J7*'Output-Calculation-sheet'!J16</f>
        <v>1165.2337074643019</v>
      </c>
      <c r="K30" s="2">
        <f>K8/'Output-Calculation-sheet'!K7*'Output-Calculation-sheet'!K16</f>
        <v>1555.8097220123432</v>
      </c>
      <c r="L30" s="2">
        <f>L8/'Output-Calculation-sheet'!L7*'Output-Calculation-sheet'!L16</f>
        <v>1314.1534010648643</v>
      </c>
      <c r="M30" s="2">
        <f>M8/'Output-Calculation-sheet'!M7*'Output-Calculation-sheet'!M16</f>
        <v>0</v>
      </c>
      <c r="N30" s="2">
        <f>N8/'Output-Calculation-sheet'!N7*'Output-Calculation-sheet'!N16</f>
        <v>1866.6441904022327</v>
      </c>
      <c r="O30" s="2">
        <f>O8/'Output-Calculation-sheet'!O7*'Output-Calculation-sheet'!O16</f>
        <v>0</v>
      </c>
      <c r="P30" s="2">
        <f>P8/'Output-Calculation-sheet'!P7*'Output-Calculation-sheet'!P16</f>
        <v>1677.6785488463913</v>
      </c>
      <c r="Q30" s="2">
        <f>Q8/'Output-Calculation-sheet'!Q7*'Output-Calculation-sheet'!Q16</f>
        <v>1844.8923338904979</v>
      </c>
      <c r="R30" s="2">
        <f>R8/'Output-Calculation-sheet'!R7*'Output-Calculation-sheet'!R16</f>
        <v>1170.5922044643</v>
      </c>
      <c r="S30" s="2">
        <f>S8/'Output-Calculation-sheet'!S7*'Output-Calculation-sheet'!S16</f>
        <v>1177.2725018713925</v>
      </c>
      <c r="T30" s="2">
        <f>T8/'Output-Calculation-sheet'!T7*'Output-Calculation-sheet'!T16</f>
        <v>351.39495340608119</v>
      </c>
      <c r="U30" s="2">
        <f>U8/'Output-Calculation-sheet'!U7*'Output-Calculation-sheet'!U16</f>
        <v>350.7668438374377</v>
      </c>
      <c r="V30" s="2">
        <f>V8/'Output-Calculation-sheet'!V7*'Output-Calculation-sheet'!V16</f>
        <v>272.99516701694625</v>
      </c>
      <c r="W30" s="2">
        <f>W8/'Output-Calculation-sheet'!W7*'Output-Calculation-sheet'!W16</f>
        <v>165.58533117443622</v>
      </c>
      <c r="X30" s="2">
        <f>X8/'Output-Calculation-sheet'!X7*'Output-Calculation-sheet'!X16</f>
        <v>0</v>
      </c>
      <c r="Y30" s="2">
        <f>Y8/'Output-Calculation-sheet'!Y7*'Output-Calculation-sheet'!Y16</f>
        <v>140.14915788214643</v>
      </c>
      <c r="AA30" s="2">
        <f t="shared" si="1"/>
        <v>48.028419613981413</v>
      </c>
    </row>
    <row r="31" spans="1:27" x14ac:dyDescent="0.25">
      <c r="A31" s="2">
        <v>2032</v>
      </c>
      <c r="B31" s="2">
        <f>B9/'Output-Calculation-sheet'!B8*'Output-Calculation-sheet'!B17</f>
        <v>31797.392757760212</v>
      </c>
      <c r="C31" s="2">
        <f>C9/'Output-Calculation-sheet'!C8*'Output-Calculation-sheet'!C17</f>
        <v>0</v>
      </c>
      <c r="D31" s="2">
        <f>D9/'Output-Calculation-sheet'!D8*'Output-Calculation-sheet'!D17</f>
        <v>5332.8402537808279</v>
      </c>
      <c r="E31" s="2">
        <f>E9/'Output-Calculation-sheet'!E8*'Output-Calculation-sheet'!E17</f>
        <v>6268.025101885034</v>
      </c>
      <c r="F31" s="2">
        <f>F9/'Output-Calculation-sheet'!F8*'Output-Calculation-sheet'!F17</f>
        <v>2894.8387085084601</v>
      </c>
      <c r="G31" s="2">
        <f>G9/'Output-Calculation-sheet'!G8*'Output-Calculation-sheet'!G17</f>
        <v>1895.7579655177644</v>
      </c>
      <c r="H31" s="2">
        <f>H9/'Output-Calculation-sheet'!H8*'Output-Calculation-sheet'!H17</f>
        <v>0</v>
      </c>
      <c r="I31" s="2">
        <f>I9/'Output-Calculation-sheet'!I8*'Output-Calculation-sheet'!I17</f>
        <v>1848.0888183747356</v>
      </c>
      <c r="J31" s="2">
        <f>J9/'Output-Calculation-sheet'!J8*'Output-Calculation-sheet'!J17</f>
        <v>1645.155267037587</v>
      </c>
      <c r="K31" s="2">
        <f>K9/'Output-Calculation-sheet'!K8*'Output-Calculation-sheet'!K17</f>
        <v>2342.2642877689314</v>
      </c>
      <c r="L31" s="2">
        <f>L9/'Output-Calculation-sheet'!L8*'Output-Calculation-sheet'!L17</f>
        <v>1997.5396778157665</v>
      </c>
      <c r="M31" s="2">
        <f>M9/'Output-Calculation-sheet'!M8*'Output-Calculation-sheet'!M17</f>
        <v>0</v>
      </c>
      <c r="N31" s="2">
        <f>N9/'Output-Calculation-sheet'!N8*'Output-Calculation-sheet'!N17</f>
        <v>2171.5299300667734</v>
      </c>
      <c r="O31" s="2">
        <f>O9/'Output-Calculation-sheet'!O8*'Output-Calculation-sheet'!O17</f>
        <v>0</v>
      </c>
      <c r="P31" s="2">
        <f>P9/'Output-Calculation-sheet'!P8*'Output-Calculation-sheet'!P17</f>
        <v>2695.2056886887676</v>
      </c>
      <c r="Q31" s="2">
        <f>Q9/'Output-Calculation-sheet'!Q8*'Output-Calculation-sheet'!Q17</f>
        <v>2873.3368914193325</v>
      </c>
      <c r="R31" s="2">
        <f>R9/'Output-Calculation-sheet'!R8*'Output-Calculation-sheet'!R17</f>
        <v>1879.8888484606662</v>
      </c>
      <c r="S31" s="2">
        <f>S9/'Output-Calculation-sheet'!S8*'Output-Calculation-sheet'!S17</f>
        <v>1617.5609287317507</v>
      </c>
      <c r="T31" s="2">
        <f>T9/'Output-Calculation-sheet'!T8*'Output-Calculation-sheet'!T17</f>
        <v>510.12157363504321</v>
      </c>
      <c r="U31" s="2">
        <f>U9/'Output-Calculation-sheet'!U8*'Output-Calculation-sheet'!U17</f>
        <v>586.29231566099486</v>
      </c>
      <c r="V31" s="2">
        <f>V9/'Output-Calculation-sheet'!V8*'Output-Calculation-sheet'!V17</f>
        <v>419.93336677354148</v>
      </c>
      <c r="W31" s="2">
        <f>W9/'Output-Calculation-sheet'!W8*'Output-Calculation-sheet'!W17</f>
        <v>233.78681330717083</v>
      </c>
      <c r="X31" s="2">
        <f>X9/'Output-Calculation-sheet'!X8*'Output-Calculation-sheet'!X17</f>
        <v>0</v>
      </c>
      <c r="Y31" s="2">
        <f>Y9/'Output-Calculation-sheet'!Y8*'Output-Calculation-sheet'!Y17</f>
        <v>225.88871216521812</v>
      </c>
      <c r="AA31" s="2">
        <f t="shared" si="1"/>
        <v>69.235447907358576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2268.2003171102037</v>
      </c>
      <c r="O32" s="2">
        <f>O10/'Output-Calculation-sheet'!O9*'Output-Calculation-sheet'!O18</f>
        <v>0</v>
      </c>
      <c r="P32" s="2">
        <f>P10/'Output-Calculation-sheet'!P9*'Output-Calculation-sheet'!P18</f>
        <v>3651.3442165666734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2625.6972167329723</v>
      </c>
      <c r="S32" s="2">
        <f>S10/'Output-Calculation-sheet'!S9*'Output-Calculation-sheet'!S18</f>
        <v>1716.0506145418988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847.63526251591338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89.435181542627362</v>
      </c>
    </row>
    <row r="33" spans="1:27" x14ac:dyDescent="0.25">
      <c r="A33" s="2">
        <v>2034</v>
      </c>
      <c r="B33" s="2">
        <f>B11/'Output-Calculation-sheet'!B10*'Output-Calculation-sheet'!B19</f>
        <v>36833.942437186917</v>
      </c>
      <c r="C33" s="2">
        <f>C11/'Output-Calculation-sheet'!C10*'Output-Calculation-sheet'!C19</f>
        <v>0</v>
      </c>
      <c r="D33" s="2">
        <f>D11/'Output-Calculation-sheet'!D10*'Output-Calculation-sheet'!D19</f>
        <v>10986.069796281297</v>
      </c>
      <c r="E33" s="2">
        <f>E11/'Output-Calculation-sheet'!E10*'Output-Calculation-sheet'!E19</f>
        <v>13647.820079460609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3740.1428673195469</v>
      </c>
      <c r="H33" s="2">
        <f>H11/'Output-Calculation-sheet'!H10*'Output-Calculation-sheet'!H19</f>
        <v>0</v>
      </c>
      <c r="I33" s="2">
        <f>I11/'Output-Calculation-sheet'!I10*'Output-Calculation-sheet'!I19</f>
        <v>4080.7831883691274</v>
      </c>
      <c r="J33" s="2">
        <f>J11/'Output-Calculation-sheet'!J10*'Output-Calculation-sheet'!J19</f>
        <v>3457.4144307118727</v>
      </c>
      <c r="K33" s="2">
        <f>K11/'Output-Calculation-sheet'!K10*'Output-Calculation-sheet'!K19</f>
        <v>4787.5037859897047</v>
      </c>
      <c r="L33" s="2">
        <f>L11/'Output-Calculation-sheet'!L10*'Output-Calculation-sheet'!L19</f>
        <v>3896.9375353625819</v>
      </c>
      <c r="M33" s="2">
        <f>M11/'Output-Calculation-sheet'!M10*'Output-Calculation-sheet'!M19</f>
        <v>0</v>
      </c>
      <c r="N33" s="2">
        <f>N11/'Output-Calculation-sheet'!N10*'Output-Calculation-sheet'!N19</f>
        <v>2201.8135023458231</v>
      </c>
      <c r="O33" s="2">
        <f>O11/'Output-Calculation-sheet'!O10*'Output-Calculation-sheet'!O19</f>
        <v>0</v>
      </c>
      <c r="P33" s="2">
        <f>P11/'Output-Calculation-sheet'!P10*'Output-Calculation-sheet'!P19</f>
        <v>4844.7703340623229</v>
      </c>
      <c r="Q33" s="2">
        <f>Q11/'Output-Calculation-sheet'!Q10*'Output-Calculation-sheet'!Q19</f>
        <v>3879.1503800322703</v>
      </c>
      <c r="R33" s="2">
        <f>R11/'Output-Calculation-sheet'!R10*'Output-Calculation-sheet'!R19</f>
        <v>3458.9394563444903</v>
      </c>
      <c r="S33" s="2">
        <f>S11/'Output-Calculation-sheet'!S10*'Output-Calculation-sheet'!S19</f>
        <v>1616.7333939774851</v>
      </c>
      <c r="T33" s="2">
        <f>T11/'Output-Calculation-sheet'!T10*'Output-Calculation-sheet'!T19</f>
        <v>1014.9966732041285</v>
      </c>
      <c r="U33" s="2">
        <f>U11/'Output-Calculation-sheet'!U10*'Output-Calculation-sheet'!U19</f>
        <v>1168.1816970303894</v>
      </c>
      <c r="V33" s="2">
        <f>V11/'Output-Calculation-sheet'!V10*'Output-Calculation-sheet'!V19</f>
        <v>797.01754847870598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156.74265722513147</v>
      </c>
      <c r="Y33" s="2">
        <f>Y11/'Output-Calculation-sheet'!Y10*'Output-Calculation-sheet'!Y19</f>
        <v>446.71377845603388</v>
      </c>
      <c r="AA33" s="2">
        <f t="shared" si="1"/>
        <v>107.7565186634219</v>
      </c>
    </row>
    <row r="34" spans="1:27" x14ac:dyDescent="0.25">
      <c r="A34" s="2">
        <v>2035</v>
      </c>
      <c r="B34" s="2">
        <f>B12/'Output-Calculation-sheet'!B11*'Output-Calculation-sheet'!B20</f>
        <v>35768.94469317847</v>
      </c>
      <c r="C34" s="2">
        <f>C12/'Output-Calculation-sheet'!C11*'Output-Calculation-sheet'!C20</f>
        <v>0</v>
      </c>
      <c r="D34" s="2">
        <f>D12/'Output-Calculation-sheet'!D11*'Output-Calculation-sheet'!D20</f>
        <v>12358.183677335128</v>
      </c>
      <c r="E34" s="2">
        <f>E12/'Output-Calculation-sheet'!E11*'Output-Calculation-sheet'!E20</f>
        <v>12004.782954435943</v>
      </c>
      <c r="F34" s="2">
        <f>F12/'Output-Calculation-sheet'!F11*'Output-Calculation-sheet'!F20</f>
        <v>7864.1106984242479</v>
      </c>
      <c r="G34" s="2">
        <f>G12/'Output-Calculation-sheet'!G11*'Output-Calculation-sheet'!G20</f>
        <v>4172.7412834020297</v>
      </c>
      <c r="H34" s="2">
        <f>H12/'Output-Calculation-sheet'!H11*'Output-Calculation-sheet'!H20</f>
        <v>0</v>
      </c>
      <c r="I34" s="2">
        <f>I12/'Output-Calculation-sheet'!I11*'Output-Calculation-sheet'!I20</f>
        <v>4800.44008202444</v>
      </c>
      <c r="J34" s="2">
        <f>J12/'Output-Calculation-sheet'!J11*'Output-Calculation-sheet'!J20</f>
        <v>4073.3012125616319</v>
      </c>
      <c r="K34" s="2">
        <f>K12/'Output-Calculation-sheet'!K11*'Output-Calculation-sheet'!K20</f>
        <v>5737.3990710297021</v>
      </c>
      <c r="L34" s="2">
        <f>L12/'Output-Calculation-sheet'!L11*'Output-Calculation-sheet'!L20</f>
        <v>4187.6456324068049</v>
      </c>
      <c r="M34" s="2">
        <f>M12/'Output-Calculation-sheet'!M11*'Output-Calculation-sheet'!M20</f>
        <v>0</v>
      </c>
      <c r="N34" s="2">
        <f>N12/'Output-Calculation-sheet'!N11*'Output-Calculation-sheet'!N20</f>
        <v>2213.903984684428</v>
      </c>
      <c r="O34" s="2">
        <f>O12/'Output-Calculation-sheet'!O11*'Output-Calculation-sheet'!O20</f>
        <v>0</v>
      </c>
      <c r="P34" s="2">
        <f>P12/'Output-Calculation-sheet'!P11*'Output-Calculation-sheet'!P20</f>
        <v>4996.8662620053356</v>
      </c>
      <c r="Q34" s="2">
        <f>Q12/'Output-Calculation-sheet'!Q11*'Output-Calculation-sheet'!Q20</f>
        <v>3704.0622713415623</v>
      </c>
      <c r="R34" s="2">
        <f>R12/'Output-Calculation-sheet'!R11*'Output-Calculation-sheet'!R20</f>
        <v>4205.6855382626063</v>
      </c>
      <c r="S34" s="2">
        <f>S12/'Output-Calculation-sheet'!S11*'Output-Calculation-sheet'!S20</f>
        <v>1539.3542317328336</v>
      </c>
      <c r="T34" s="2">
        <f>T12/'Output-Calculation-sheet'!T11*'Output-Calculation-sheet'!T20</f>
        <v>1256.3653791714198</v>
      </c>
      <c r="U34" s="2">
        <f>U12/'Output-Calculation-sheet'!U11*'Output-Calculation-sheet'!U20</f>
        <v>1149.7974633006643</v>
      </c>
      <c r="V34" s="2">
        <f>V12/'Output-Calculation-sheet'!V11*'Output-Calculation-sheet'!V20</f>
        <v>1111.2410545860041</v>
      </c>
      <c r="W34" s="2">
        <f>W12/'Output-Calculation-sheet'!W11*'Output-Calculation-sheet'!W20</f>
        <v>674.69036047992586</v>
      </c>
      <c r="X34" s="2">
        <f>X12/'Output-Calculation-sheet'!X11*'Output-Calculation-sheet'!X20</f>
        <v>142.75229175040468</v>
      </c>
      <c r="Y34" s="2">
        <f>Y12/'Output-Calculation-sheet'!Y11*'Output-Calculation-sheet'!Y20</f>
        <v>366.22528891887362</v>
      </c>
      <c r="AA34" s="2">
        <f t="shared" si="1"/>
        <v>112.32849343103247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1.4909910039438958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0.28965944101191687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1.7806504449558127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1.5595680484947358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0.30298211588943286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1.8987897711817125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3.1884351263900443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0.61942716888964755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15.266360788628232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37540.383969603514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8122.2869695096842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5588.9282463108548</v>
      </c>
      <c r="N52" s="2">
        <f>N8/'Output-Calculation-sheet'!N7*'Output-Calculation-sheet'!N43</f>
        <v>178.63478543492346</v>
      </c>
      <c r="O52" s="2">
        <f>O8/'Output-Calculation-sheet'!O7*'Output-Calculation-sheet'!O43</f>
        <v>7605.6475413129165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722.7828043542404</v>
      </c>
      <c r="Y52" s="2">
        <f>Y8/'Output-Calculation-sheet'!Y7*'Output-Calculation-sheet'!Y43</f>
        <v>0</v>
      </c>
      <c r="AA52" s="2">
        <f t="shared" si="3"/>
        <v>59.758664316526129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69901.751460198531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16371.531991683374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11188.232803178451</v>
      </c>
      <c r="N53" s="2">
        <f>N9/'Output-Calculation-sheet'!N8*'Output-Calculation-sheet'!N44</f>
        <v>3984.8750763701955</v>
      </c>
      <c r="O53" s="2">
        <f>O9/'Output-Calculation-sheet'!O8*'Output-Calculation-sheet'!O44</f>
        <v>13862.456755123809</v>
      </c>
      <c r="P53" s="2">
        <f>P9/'Output-Calculation-sheet'!P8*'Output-Calculation-sheet'!P44</f>
        <v>186.39526880460369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1243.3323490273992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1399.0968571487253</v>
      </c>
      <c r="Y53" s="2">
        <f>Y9/'Output-Calculation-sheet'!Y8*'Output-Calculation-sheet'!Y44</f>
        <v>0</v>
      </c>
      <c r="AA53" s="2">
        <f t="shared" si="3"/>
        <v>118.1376725615351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84881.856277156869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15677.182026697605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1726.9965836082006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624.13989858664809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201.50475973900978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90017.173325397918</v>
      </c>
      <c r="D55" s="2">
        <f>D11/'Output-Calculation-sheet'!D10*'Output-Calculation-sheet'!D46</f>
        <v>9694.8384943191631</v>
      </c>
      <c r="E55" s="2">
        <f>E11/'Output-Calculation-sheet'!E10*'Output-Calculation-sheet'!E46</f>
        <v>11846.146413188162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32300.362629070998</v>
      </c>
      <c r="I55" s="2">
        <f>I11/'Output-Calculation-sheet'!I10*'Output-Calculation-sheet'!I46</f>
        <v>2346.0192522746424</v>
      </c>
      <c r="J55" s="2">
        <f>J11/'Output-Calculation-sheet'!J10*'Output-Calculation-sheet'!J46</f>
        <v>1663.9486554737207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22138.877495225654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16531.129480984844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6637.5098167259575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8293.5358747494411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1910.7709999951844</v>
      </c>
      <c r="V55" s="2">
        <f>V11/'Output-Calculation-sheet'!V10*'Output-Calculation-sheet'!V46</f>
        <v>767.38423871643226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2285.6383585468498</v>
      </c>
      <c r="Y55" s="2">
        <f>Y11/'Output-Calculation-sheet'!Y10*'Output-Calculation-sheet'!Y46</f>
        <v>585.93258858865295</v>
      </c>
      <c r="AA55" s="2">
        <f t="shared" si="3"/>
        <v>352.16284615163175</v>
      </c>
    </row>
    <row r="56" spans="1:27" x14ac:dyDescent="0.25">
      <c r="A56" s="2">
        <v>2035</v>
      </c>
      <c r="B56" s="2">
        <f>B12/'Output-Calculation-sheet'!B11*'Output-Calculation-sheet'!B47</f>
        <v>138481.7213281428</v>
      </c>
      <c r="C56" s="2">
        <f>C12/'Output-Calculation-sheet'!C11*'Output-Calculation-sheet'!C47</f>
        <v>93415.555457392518</v>
      </c>
      <c r="D56" s="2">
        <f>D12/'Output-Calculation-sheet'!D11*'Output-Calculation-sheet'!D47</f>
        <v>20192.09850949395</v>
      </c>
      <c r="E56" s="2">
        <f>E12/'Output-Calculation-sheet'!E11*'Output-Calculation-sheet'!E47</f>
        <v>36524.910004229481</v>
      </c>
      <c r="F56" s="2">
        <f>F12/'Output-Calculation-sheet'!F11*'Output-Calculation-sheet'!F47</f>
        <v>4086.6032540942333</v>
      </c>
      <c r="G56" s="2">
        <f>G12/'Output-Calculation-sheet'!G11*'Output-Calculation-sheet'!G47</f>
        <v>9287.4722125539065</v>
      </c>
      <c r="H56" s="2">
        <f>H12/'Output-Calculation-sheet'!H11*'Output-Calculation-sheet'!H47</f>
        <v>33319.329640020398</v>
      </c>
      <c r="I56" s="2">
        <f>I12/'Output-Calculation-sheet'!I11*'Output-Calculation-sheet'!I47</f>
        <v>5995.3541289521245</v>
      </c>
      <c r="J56" s="2">
        <f>J12/'Output-Calculation-sheet'!J11*'Output-Calculation-sheet'!J47</f>
        <v>5893.8759958405744</v>
      </c>
      <c r="K56" s="2">
        <f>K12/'Output-Calculation-sheet'!K11*'Output-Calculation-sheet'!K47</f>
        <v>8170.9186233271575</v>
      </c>
      <c r="L56" s="2">
        <f>L12/'Output-Calculation-sheet'!L11*'Output-Calculation-sheet'!L47</f>
        <v>7621.6250022918939</v>
      </c>
      <c r="M56" s="2">
        <f>M12/'Output-Calculation-sheet'!M11*'Output-Calculation-sheet'!M47</f>
        <v>23697.115530153613</v>
      </c>
      <c r="N56" s="2">
        <f>N12/'Output-Calculation-sheet'!N11*'Output-Calculation-sheet'!N47</f>
        <v>19651.327367505935</v>
      </c>
      <c r="O56" s="2">
        <f>O12/'Output-Calculation-sheet'!O11*'Output-Calculation-sheet'!O47</f>
        <v>17170.086435888476</v>
      </c>
      <c r="P56" s="2">
        <f>P12/'Output-Calculation-sheet'!P11*'Output-Calculation-sheet'!P47</f>
        <v>9628.4951924103043</v>
      </c>
      <c r="Q56" s="2">
        <f>Q12/'Output-Calculation-sheet'!Q11*'Output-Calculation-sheet'!Q47</f>
        <v>9080.647099800959</v>
      </c>
      <c r="R56" s="2">
        <f>R12/'Output-Calculation-sheet'!R11*'Output-Calculation-sheet'!R47</f>
        <v>7386.2505618970008</v>
      </c>
      <c r="S56" s="2">
        <f>S12/'Output-Calculation-sheet'!S11*'Output-Calculation-sheet'!S47</f>
        <v>9829.5711458221922</v>
      </c>
      <c r="T56" s="2">
        <f>T12/'Output-Calculation-sheet'!T11*'Output-Calculation-sheet'!T47</f>
        <v>2648.4275776946874</v>
      </c>
      <c r="U56" s="2">
        <f>U12/'Output-Calculation-sheet'!U11*'Output-Calculation-sheet'!U47</f>
        <v>2514.7750294444027</v>
      </c>
      <c r="V56" s="2">
        <f>V12/'Output-Calculation-sheet'!V11*'Output-Calculation-sheet'!V47</f>
        <v>1543.7651384886633</v>
      </c>
      <c r="W56" s="2">
        <f>W12/'Output-Calculation-sheet'!W11*'Output-Calculation-sheet'!W47</f>
        <v>896.62376049410648</v>
      </c>
      <c r="X56" s="2">
        <f>X12/'Output-Calculation-sheet'!X11*'Output-Calculation-sheet'!X47</f>
        <v>2388.4118924777472</v>
      </c>
      <c r="Y56" s="2">
        <f>Y12/'Output-Calculation-sheet'!Y11*'Output-Calculation-sheet'!Y47</f>
        <v>1342.150802812648</v>
      </c>
      <c r="AA56" s="2">
        <f t="shared" si="3"/>
        <v>470.76711169122984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8.7361845668254521</v>
      </c>
      <c r="C63" s="2">
        <f>C8*'Output-Calculation-sheet'!C52/10^9</f>
        <v>5.5091323370202554</v>
      </c>
      <c r="D63" s="2">
        <f>D8*'Output-Calculation-sheet'!D52/10^9</f>
        <v>2.9958046286661224</v>
      </c>
      <c r="E63" s="2">
        <f>E8*'Output-Calculation-sheet'!E52/10^9</f>
        <v>2.9786483612881298</v>
      </c>
      <c r="F63" s="2">
        <f>F8*'Output-Calculation-sheet'!F52/10^9</f>
        <v>1.2614583391318315</v>
      </c>
      <c r="G63" s="2">
        <f>G8*'Output-Calculation-sheet'!G52/10^9</f>
        <v>0.9069304575450341</v>
      </c>
      <c r="H63" s="2">
        <f>H8*'Output-Calculation-sheet'!H52/10^9</f>
        <v>1.5842260020290337</v>
      </c>
      <c r="I63" s="2">
        <f>I8*'Output-Calculation-sheet'!I52/10^9</f>
        <v>0.84365599581507233</v>
      </c>
      <c r="J63" s="2">
        <f>J8*'Output-Calculation-sheet'!J52/10^9</f>
        <v>1.1609289687407194</v>
      </c>
      <c r="K63" s="2">
        <f>K8*'Output-Calculation-sheet'!K52/10^9</f>
        <v>1.0199767137151245</v>
      </c>
      <c r="L63" s="2">
        <f>L8*'Output-Calculation-sheet'!L52/10^9</f>
        <v>1.3719158225693724</v>
      </c>
      <c r="M63" s="2">
        <f>M8*'Output-Calculation-sheet'!M52/10^9</f>
        <v>1.2858583025742294</v>
      </c>
      <c r="N63" s="2">
        <f>N8*'Output-Calculation-sheet'!N52/10^9</f>
        <v>1.0731752735061899</v>
      </c>
      <c r="O63" s="2">
        <f>O8*'Output-Calculation-sheet'!O52/10^9</f>
        <v>1.1443880214558846</v>
      </c>
      <c r="P63" s="2">
        <f>P8*'Output-Calculation-sheet'!P52/10^9</f>
        <v>0.70477769024101611</v>
      </c>
      <c r="Q63" s="2">
        <f>Q8*'Output-Calculation-sheet'!Q52/10^9</f>
        <v>0.79759746318141556</v>
      </c>
      <c r="R63" s="2">
        <f>R8*'Output-Calculation-sheet'!R52/10^9</f>
        <v>0.71608499995443964</v>
      </c>
      <c r="S63" s="2">
        <f>S8*'Output-Calculation-sheet'!S52/10^9</f>
        <v>0.53064751603524107</v>
      </c>
      <c r="T63" s="2">
        <f>T8*'Output-Calculation-sheet'!T52/10^9</f>
        <v>0.27224639896534553</v>
      </c>
      <c r="U63" s="2">
        <f>U8*'Output-Calculation-sheet'!U52/10^9</f>
        <v>0.18697579971359074</v>
      </c>
      <c r="V63" s="2">
        <f>V8*'Output-Calculation-sheet'!V52/10^9</f>
        <v>0.33183811261947732</v>
      </c>
      <c r="W63" s="2">
        <f>W8*'Output-Calculation-sheet'!W52/10^9</f>
        <v>0.12011008207374611</v>
      </c>
      <c r="X63" s="2">
        <f>X8*'Output-Calculation-sheet'!X52/10^9</f>
        <v>0.13824393348788996</v>
      </c>
      <c r="Y63" s="2">
        <f>Y8*'Output-Calculation-sheet'!Y52/10^9</f>
        <v>7.8368411685514922E-2</v>
      </c>
      <c r="AA63" s="2">
        <f t="shared" si="4"/>
        <v>35.749174198840137</v>
      </c>
    </row>
    <row r="64" spans="1:27" x14ac:dyDescent="0.25">
      <c r="A64" s="2">
        <v>2032</v>
      </c>
      <c r="B64" s="2">
        <f>B9*'Output-Calculation-sheet'!B53/10^9</f>
        <v>9.4154115331816453</v>
      </c>
      <c r="C64" s="2">
        <f>C9*'Output-Calculation-sheet'!C53/10^9</f>
        <v>6.3566708788444695</v>
      </c>
      <c r="D64" s="2">
        <f>D9*'Output-Calculation-sheet'!D53/10^9</f>
        <v>2.7863947667674474</v>
      </c>
      <c r="E64" s="2">
        <f>E9*'Output-Calculation-sheet'!E53/10^9</f>
        <v>2.8534040916906114</v>
      </c>
      <c r="F64" s="2">
        <f>F9*'Output-Calculation-sheet'!F53/10^9</f>
        <v>1.2035489639880848</v>
      </c>
      <c r="G64" s="2">
        <f>G9*'Output-Calculation-sheet'!G53/10^9</f>
        <v>0.85664842467830238</v>
      </c>
      <c r="H64" s="2">
        <f>H9*'Output-Calculation-sheet'!H53/10^9</f>
        <v>1.7602303235071552</v>
      </c>
      <c r="I64" s="2">
        <f>I9*'Output-Calculation-sheet'!I53/10^9</f>
        <v>0.80082640274753347</v>
      </c>
      <c r="J64" s="2">
        <f>J9*'Output-Calculation-sheet'!J53/10^9</f>
        <v>1.0601324767184432</v>
      </c>
      <c r="K64" s="2">
        <f>K9*'Output-Calculation-sheet'!K53/10^9</f>
        <v>0.98365617715476428</v>
      </c>
      <c r="L64" s="2">
        <f>L9*'Output-Calculation-sheet'!L53/10^9</f>
        <v>1.2654655235868433</v>
      </c>
      <c r="M64" s="2">
        <f>M9*'Output-Calculation-sheet'!M53/10^9</f>
        <v>1.3795750441899683</v>
      </c>
      <c r="N64" s="2">
        <f>N9*'Output-Calculation-sheet'!N53/10^9</f>
        <v>1.1613457292155664</v>
      </c>
      <c r="O64" s="2">
        <f>O9*'Output-Calculation-sheet'!O53/10^9</f>
        <v>1.314720966253087</v>
      </c>
      <c r="P64" s="2">
        <f>P9*'Output-Calculation-sheet'!P53/10^9</f>
        <v>0.74995838114802049</v>
      </c>
      <c r="Q64" s="2">
        <f>Q9*'Output-Calculation-sheet'!Q53/10^9</f>
        <v>0.82882986636367528</v>
      </c>
      <c r="R64" s="2">
        <f>R9*'Output-Calculation-sheet'!R53/10^9</f>
        <v>0.71050195693142915</v>
      </c>
      <c r="S64" s="2">
        <f>S9*'Output-Calculation-sheet'!S53/10^9</f>
        <v>0.58703246935275422</v>
      </c>
      <c r="T64" s="2">
        <f>T9*'Output-Calculation-sheet'!T53/10^9</f>
        <v>0.2554069601281504</v>
      </c>
      <c r="U64" s="2">
        <f>U9*'Output-Calculation-sheet'!U53/10^9</f>
        <v>0.19223940146283894</v>
      </c>
      <c r="V64" s="2">
        <f>V9*'Output-Calculation-sheet'!V53/10^9</f>
        <v>0.30315089581724841</v>
      </c>
      <c r="W64" s="2">
        <f>W9*'Output-Calculation-sheet'!W53/10^9</f>
        <v>0.11264540881590329</v>
      </c>
      <c r="X64" s="2">
        <f>X9*'Output-Calculation-sheet'!X53/10^9</f>
        <v>0.15290100609324755</v>
      </c>
      <c r="Y64" s="2">
        <f>Y9*'Output-Calculation-sheet'!Y53/10^9</f>
        <v>7.8923036559342644E-2</v>
      </c>
      <c r="AA64" s="2">
        <f t="shared" si="4"/>
        <v>37.169620685196527</v>
      </c>
    </row>
    <row r="65" spans="1:27" x14ac:dyDescent="0.25">
      <c r="A65" s="2">
        <v>2033</v>
      </c>
      <c r="B65" s="2">
        <f>B10*'Output-Calculation-sheet'!B54/10^9</f>
        <v>10.111702463463144</v>
      </c>
      <c r="C65" s="2">
        <f>C10*'Output-Calculation-sheet'!C54/10^9</f>
        <v>7.0744430379918759</v>
      </c>
      <c r="D65" s="2">
        <f>D10*'Output-Calculation-sheet'!D54/10^9</f>
        <v>2.3888871524227193</v>
      </c>
      <c r="E65" s="2">
        <f>E10*'Output-Calculation-sheet'!E54/10^9</f>
        <v>2.6898596154780678</v>
      </c>
      <c r="F65" s="2">
        <f>F10*'Output-Calculation-sheet'!F54/10^9</f>
        <v>1.0920369722698209</v>
      </c>
      <c r="G65" s="2">
        <f>G10*'Output-Calculation-sheet'!G54/10^9</f>
        <v>0.74978216135008491</v>
      </c>
      <c r="H65" s="2">
        <f>H10*'Output-Calculation-sheet'!H54/10^9</f>
        <v>1.8529180372171603</v>
      </c>
      <c r="I65" s="2">
        <f>I10*'Output-Calculation-sheet'!I54/10^9</f>
        <v>0.73008305698169151</v>
      </c>
      <c r="J65" s="2">
        <f>J10*'Output-Calculation-sheet'!J54/10^9</f>
        <v>0.87261208903841248</v>
      </c>
      <c r="K65" s="2">
        <f>K10*'Output-Calculation-sheet'!K54/10^9</f>
        <v>0.93096150789460941</v>
      </c>
      <c r="L65" s="2">
        <f>L10*'Output-Calculation-sheet'!L54/10^9</f>
        <v>1.0996613335427072</v>
      </c>
      <c r="M65" s="2">
        <f>M10*'Output-Calculation-sheet'!M54/10^9</f>
        <v>1.3990877334224452</v>
      </c>
      <c r="N65" s="2">
        <f>N10*'Output-Calculation-sheet'!N54/10^9</f>
        <v>1.2081319910049433</v>
      </c>
      <c r="O65" s="2">
        <f>O10*'Output-Calculation-sheet'!O54/10^9</f>
        <v>1.4471206123999112</v>
      </c>
      <c r="P65" s="2">
        <f>P10*'Output-Calculation-sheet'!P54/10^9</f>
        <v>0.78773277127119123</v>
      </c>
      <c r="Q65" s="2">
        <f>Q10*'Output-Calculation-sheet'!Q54/10^9</f>
        <v>0.8595493576139146</v>
      </c>
      <c r="R65" s="2">
        <f>R10*'Output-Calculation-sheet'!R54/10^9</f>
        <v>0.69348503804675954</v>
      </c>
      <c r="S65" s="2">
        <f>S10*'Output-Calculation-sheet'!S54/10^9</f>
        <v>0.6299306388790854</v>
      </c>
      <c r="T65" s="2">
        <f>T10*'Output-Calculation-sheet'!T54/10^9</f>
        <v>0.23186217089599845</v>
      </c>
      <c r="U65" s="2">
        <f>U10*'Output-Calculation-sheet'!U54/10^9</f>
        <v>0.20020632079401612</v>
      </c>
      <c r="V65" s="2">
        <f>V10*'Output-Calculation-sheet'!V54/10^9</f>
        <v>0.25659049060313621</v>
      </c>
      <c r="W65" s="2">
        <f>W10*'Output-Calculation-sheet'!W54/10^9</f>
        <v>9.7693650572601792E-2</v>
      </c>
      <c r="X65" s="2">
        <f>X10*'Output-Calculation-sheet'!X54/10^9</f>
        <v>0.16091251790606939</v>
      </c>
      <c r="Y65" s="2">
        <f>Y10*'Output-Calculation-sheet'!Y54/10^9</f>
        <v>8.0407110889880132E-2</v>
      </c>
      <c r="AA65" s="2">
        <f t="shared" si="4"/>
        <v>37.645657831950253</v>
      </c>
    </row>
    <row r="66" spans="1:27" x14ac:dyDescent="0.25">
      <c r="A66" s="2">
        <v>2034</v>
      </c>
      <c r="B66" s="2">
        <f>B11*'Output-Calculation-sheet'!B55/10^9</f>
        <v>10.849757277704541</v>
      </c>
      <c r="C66" s="2">
        <f>C11*'Output-Calculation-sheet'!C55/10^9</f>
        <v>7.6809867534804059</v>
      </c>
      <c r="D66" s="2">
        <f>D11*'Output-Calculation-sheet'!D55/10^9</f>
        <v>2.2695774961495752</v>
      </c>
      <c r="E66" s="2">
        <f>E11*'Output-Calculation-sheet'!E55/10^9</f>
        <v>2.7480912392896939</v>
      </c>
      <c r="F66" s="2">
        <f>F11*'Output-Calculation-sheet'!F55/10^9</f>
        <v>1.0561398945422638</v>
      </c>
      <c r="G66" s="2">
        <f>G11*'Output-Calculation-sheet'!G55/10^9</f>
        <v>0.75491412469894992</v>
      </c>
      <c r="H66" s="2">
        <f>H11*'Output-Calculation-sheet'!H55/10^9</f>
        <v>1.9386636314615084</v>
      </c>
      <c r="I66" s="2">
        <f>I11*'Output-Calculation-sheet'!I55/10^9</f>
        <v>0.73828310188932589</v>
      </c>
      <c r="J66" s="2">
        <f>J11*'Output-Calculation-sheet'!J55/10^9</f>
        <v>0.75912596014092348</v>
      </c>
      <c r="K66" s="2">
        <f>K11*'Output-Calculation-sheet'!K55/10^9</f>
        <v>0.90800848245453181</v>
      </c>
      <c r="L66" s="2">
        <f>L11*'Output-Calculation-sheet'!L55/10^9</f>
        <v>0.96156960427089322</v>
      </c>
      <c r="M66" s="2">
        <f>M11*'Output-Calculation-sheet'!M55/10^9</f>
        <v>1.3982191361543619</v>
      </c>
      <c r="N66" s="2">
        <f>N11*'Output-Calculation-sheet'!N55/10^9</f>
        <v>1.2216706588317683</v>
      </c>
      <c r="O66" s="2">
        <f>O11*'Output-Calculation-sheet'!O55/10^9</f>
        <v>1.5418614947019136</v>
      </c>
      <c r="P66" s="2">
        <f>P11*'Output-Calculation-sheet'!P55/10^9</f>
        <v>0.83977765434790252</v>
      </c>
      <c r="Q66" s="2">
        <f>Q11*'Output-Calculation-sheet'!Q55/10^9</f>
        <v>0.91677400539721698</v>
      </c>
      <c r="R66" s="2">
        <f>R11*'Output-Calculation-sheet'!R55/10^9</f>
        <v>0.68016879089990423</v>
      </c>
      <c r="S66" s="2">
        <f>S11*'Output-Calculation-sheet'!S55/10^9</f>
        <v>0.66925850757418748</v>
      </c>
      <c r="T66" s="2">
        <f>T11*'Output-Calculation-sheet'!T55/10^9</f>
        <v>0.21319546211095872</v>
      </c>
      <c r="U66" s="2">
        <f>U11*'Output-Calculation-sheet'!U55/10^9</f>
        <v>0.2176735774896511</v>
      </c>
      <c r="V66" s="2">
        <f>V11*'Output-Calculation-sheet'!V55/10^9</f>
        <v>0.2022474683157795</v>
      </c>
      <c r="W66" s="2">
        <f>W11*'Output-Calculation-sheet'!W55/10^9</f>
        <v>9.1577548543868265E-2</v>
      </c>
      <c r="X66" s="2">
        <f>X11*'Output-Calculation-sheet'!X55/10^9</f>
        <v>0.17371068795998765</v>
      </c>
      <c r="Y66" s="2">
        <f>Y11*'Output-Calculation-sheet'!Y55/10^9</f>
        <v>8.9863045943080561E-2</v>
      </c>
      <c r="AA66" s="2">
        <f t="shared" si="4"/>
        <v>38.92111560435319</v>
      </c>
    </row>
    <row r="67" spans="1:27" x14ac:dyDescent="0.25">
      <c r="A67" s="2">
        <v>2035</v>
      </c>
      <c r="B67" s="2">
        <f>B12*'Output-Calculation-sheet'!B56/10^9</f>
        <v>12.127352213765976</v>
      </c>
      <c r="C67" s="2">
        <f>C12*'Output-Calculation-sheet'!C56/10^9</f>
        <v>8.138961729306482</v>
      </c>
      <c r="D67" s="2">
        <f>D12*'Output-Calculation-sheet'!D56/10^9</f>
        <v>2.6612796781839383</v>
      </c>
      <c r="E67" s="2">
        <f>E12*'Output-Calculation-sheet'!E56/10^9</f>
        <v>3.3871542320492178</v>
      </c>
      <c r="F67" s="2">
        <f>F12*'Output-Calculation-sheet'!F56/10^9</f>
        <v>1.3169396213713855</v>
      </c>
      <c r="G67" s="2">
        <f>G12*'Output-Calculation-sheet'!G56/10^9</f>
        <v>0.96814813821204804</v>
      </c>
      <c r="H67" s="2">
        <f>H12*'Output-Calculation-sheet'!H56/10^9</f>
        <v>2.139262783426283</v>
      </c>
      <c r="I67" s="2">
        <f>I12*'Output-Calculation-sheet'!I56/10^9</f>
        <v>0.91338202802181812</v>
      </c>
      <c r="J67" s="2">
        <f>J12*'Output-Calculation-sheet'!J56/10^9</f>
        <v>0.84878877837671707</v>
      </c>
      <c r="K67" s="2">
        <f>K12*'Output-Calculation-sheet'!K56/10^9</f>
        <v>1.0423299951605178</v>
      </c>
      <c r="L67" s="2">
        <f>L12*'Output-Calculation-sheet'!L56/10^9</f>
        <v>0.99900037282328347</v>
      </c>
      <c r="M67" s="2">
        <f>M12*'Output-Calculation-sheet'!M56/10^9</f>
        <v>1.5378062145190747</v>
      </c>
      <c r="N67" s="2">
        <f>N12*'Output-Calculation-sheet'!N56/10^9</f>
        <v>1.314002408231655</v>
      </c>
      <c r="O67" s="2">
        <f>O12*'Output-Calculation-sheet'!O56/10^9</f>
        <v>1.6032443019089218</v>
      </c>
      <c r="P67" s="2">
        <f>P12*'Output-Calculation-sheet'!P56/10^9</f>
        <v>1.0064782298906152</v>
      </c>
      <c r="Q67" s="2">
        <f>Q12*'Output-Calculation-sheet'!Q56/10^9</f>
        <v>1.0114880228660985</v>
      </c>
      <c r="R67" s="2">
        <f>R12*'Output-Calculation-sheet'!R56/10^9</f>
        <v>0.76846454254685337</v>
      </c>
      <c r="S67" s="2">
        <f>S12*'Output-Calculation-sheet'!S56/10^9</f>
        <v>0.73241960602895351</v>
      </c>
      <c r="T67" s="2">
        <f>T12*'Output-Calculation-sheet'!T56/10^9</f>
        <v>0.23561823598420245</v>
      </c>
      <c r="U67" s="2">
        <f>U12*'Output-Calculation-sheet'!U56/10^9</f>
        <v>0.2531060092636932</v>
      </c>
      <c r="V67" s="2">
        <f>V12*'Output-Calculation-sheet'!V56/10^9</f>
        <v>0.18098693347169303</v>
      </c>
      <c r="W67" s="2">
        <f>W12*'Output-Calculation-sheet'!W56/10^9</f>
        <v>0.12002852999036061</v>
      </c>
      <c r="X67" s="2">
        <f>X12*'Output-Calculation-sheet'!X56/10^9</f>
        <v>0.19166462508765103</v>
      </c>
      <c r="Y67" s="2">
        <f>Y12*'Output-Calculation-sheet'!Y56/10^9</f>
        <v>0.11358093105114157</v>
      </c>
      <c r="AA67" s="2">
        <f t="shared" si="4"/>
        <v>43.611488161538581</v>
      </c>
    </row>
    <row r="68" spans="1:27" x14ac:dyDescent="0.25">
      <c r="B68" s="2">
        <f>SUM(B60:B67)</f>
        <v>71.085146494465661</v>
      </c>
      <c r="C68" s="2">
        <f t="shared" ref="C68:Y68" si="5">SUM(C60:C67)</f>
        <v>45.26456342286378</v>
      </c>
      <c r="D68" s="2">
        <f t="shared" si="5"/>
        <v>20.887213712880101</v>
      </c>
      <c r="E68" s="2">
        <f t="shared" si="5"/>
        <v>22.332778477283171</v>
      </c>
      <c r="F68" s="2">
        <f t="shared" si="5"/>
        <v>9.1113095713907732</v>
      </c>
      <c r="G68" s="2">
        <f t="shared" si="5"/>
        <v>6.5512622389665456</v>
      </c>
      <c r="H68" s="2">
        <f t="shared" si="5"/>
        <v>12.54690635289777</v>
      </c>
      <c r="I68" s="2">
        <f t="shared" si="5"/>
        <v>6.1669288656424861</v>
      </c>
      <c r="J68" s="2">
        <f t="shared" si="5"/>
        <v>7.7814806973306156</v>
      </c>
      <c r="K68" s="2">
        <f t="shared" si="5"/>
        <v>7.4786688007882951</v>
      </c>
      <c r="L68" s="2">
        <f t="shared" si="5"/>
        <v>9.3505000496297086</v>
      </c>
      <c r="M68" s="2">
        <f t="shared" si="5"/>
        <v>9.8053308733823723</v>
      </c>
      <c r="N68" s="2">
        <f t="shared" si="5"/>
        <v>8.4123042922661497</v>
      </c>
      <c r="O68" s="2">
        <f t="shared" si="5"/>
        <v>9.2465717378153425</v>
      </c>
      <c r="P68" s="2">
        <f t="shared" si="5"/>
        <v>5.7359309939052165</v>
      </c>
      <c r="Q68" s="2">
        <f t="shared" si="5"/>
        <v>6.2945738281211607</v>
      </c>
      <c r="R68" s="2">
        <f t="shared" si="5"/>
        <v>5.3716716975741692</v>
      </c>
      <c r="S68" s="2">
        <f t="shared" si="5"/>
        <v>4.3286750192720724</v>
      </c>
      <c r="T68" s="2">
        <f t="shared" si="5"/>
        <v>1.9141059989151024</v>
      </c>
      <c r="U68" s="2">
        <f t="shared" si="5"/>
        <v>1.5118397782423076</v>
      </c>
      <c r="V68" s="2">
        <f t="shared" si="5"/>
        <v>2.167835447239459</v>
      </c>
      <c r="W68" s="2">
        <f t="shared" si="5"/>
        <v>0.85120418185361868</v>
      </c>
      <c r="X68" s="2">
        <f t="shared" si="5"/>
        <v>1.1030551990742365</v>
      </c>
      <c r="Y68" s="2">
        <f t="shared" si="5"/>
        <v>0.63606195580844349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7241.5400677365187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1783.4363034880716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1171.5620442175277</v>
      </c>
      <c r="N74" s="2">
        <f>N8/'Output-Calculation-sheet'!N7*'Output-Calculation-sheet'!N61</f>
        <v>49.102236646424579</v>
      </c>
      <c r="O74" s="2">
        <f>O8/'Output-Calculation-sheet'!O7*'Output-Calculation-sheet'!O61</f>
        <v>1447.8652431796893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145.58341092393064</v>
      </c>
      <c r="Y74" s="2">
        <f>Y8/'Output-Calculation-sheet'!Y7*'Output-Calculation-sheet'!Y61</f>
        <v>0</v>
      </c>
      <c r="AA74" s="2">
        <f t="shared" si="6"/>
        <v>11.839089306192163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12555.784095470426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3115.5883114195804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2114.0371170280969</v>
      </c>
      <c r="N75" s="2">
        <f>N9/'Output-Calculation-sheet'!N8*'Output-Calculation-sheet'!N62</f>
        <v>817.15159793920452</v>
      </c>
      <c r="O75" s="2">
        <f>O9/'Output-Calculation-sheet'!O8*'Output-Calculation-sheet'!O62</f>
        <v>2481.8740063519795</v>
      </c>
      <c r="P75" s="2">
        <f>P9/'Output-Calculation-sheet'!P8*'Output-Calculation-sheet'!P62</f>
        <v>54.707011394151181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273.80780649104548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254.68348443280149</v>
      </c>
      <c r="Y75" s="2">
        <f>Y9/'Output-Calculation-sheet'!Y8*'Output-Calculation-sheet'!Y62</f>
        <v>0</v>
      </c>
      <c r="AA75" s="2">
        <f t="shared" si="6"/>
        <v>21.667633430527285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15704.451298119586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4621.5407217052752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3146.6065637820129</v>
      </c>
      <c r="N76" s="2">
        <f>N10/'Output-Calculation-sheet'!N9*'Output-Calculation-sheet'!N63</f>
        <v>1800.695762169478</v>
      </c>
      <c r="O76" s="2">
        <f>O10/'Output-Calculation-sheet'!O9*'Output-Calculation-sheet'!O63</f>
        <v>2780.3240941480694</v>
      </c>
      <c r="P76" s="2">
        <f>P10/'Output-Calculation-sheet'!P9*'Output-Calculation-sheet'!P63</f>
        <v>624.59288818323841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469.88501566611063</v>
      </c>
      <c r="S76" s="2">
        <f>S10/'Output-Calculation-sheet'!S9*'Output-Calculation-sheet'!S63</f>
        <v>798.47305828021194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166.42462051947635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370.58546980229005</v>
      </c>
      <c r="Y76" s="2">
        <f>Y10/'Output-Calculation-sheet'!Y9*'Output-Calculation-sheet'!Y63</f>
        <v>7.0299625953515461</v>
      </c>
      <c r="AA76" s="2">
        <f t="shared" si="6"/>
        <v>38.010569400775907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16427.176502381659</v>
      </c>
      <c r="D77" s="2">
        <f>D11/'Output-Calculation-sheet'!D10*'Output-Calculation-sheet'!D64</f>
        <v>2243.2644421042755</v>
      </c>
      <c r="E77" s="2">
        <f>E11/'Output-Calculation-sheet'!E10*'Output-Calculation-sheet'!E64</f>
        <v>2726.7324979689697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1165.0886720329997</v>
      </c>
      <c r="H77" s="2">
        <f>H11/'Output-Calculation-sheet'!H10*'Output-Calculation-sheet'!H64</f>
        <v>6191.099362695717</v>
      </c>
      <c r="I77" s="2">
        <f>I11/'Output-Calculation-sheet'!I10*'Output-Calculation-sheet'!I64</f>
        <v>694.77360156113537</v>
      </c>
      <c r="J77" s="2">
        <f>J11/'Output-Calculation-sheet'!J10*'Output-Calculation-sheet'!J64</f>
        <v>469.96875397042646</v>
      </c>
      <c r="K77" s="2">
        <f>K11/'Output-Calculation-sheet'!K10*'Output-Calculation-sheet'!K64</f>
        <v>1056.9638874116893</v>
      </c>
      <c r="L77" s="2">
        <f>L11/'Output-Calculation-sheet'!L10*'Output-Calculation-sheet'!L64</f>
        <v>442.77477975522288</v>
      </c>
      <c r="M77" s="2">
        <f>M11/'Output-Calculation-sheet'!M10*'Output-Calculation-sheet'!M64</f>
        <v>4163.905579579784</v>
      </c>
      <c r="N77" s="2">
        <f>N11/'Output-Calculation-sheet'!N10*'Output-Calculation-sheet'!N64</f>
        <v>2931.6501704497437</v>
      </c>
      <c r="O77" s="2">
        <f>O11/'Output-Calculation-sheet'!O10*'Output-Calculation-sheet'!O64</f>
        <v>3040.2926460575245</v>
      </c>
      <c r="P77" s="2">
        <f>P11/'Output-Calculation-sheet'!P10*'Output-Calculation-sheet'!P64</f>
        <v>1293.9594162454316</v>
      </c>
      <c r="Q77" s="2">
        <f>Q11/'Output-Calculation-sheet'!Q10*'Output-Calculation-sheet'!Q64</f>
        <v>1163.4356962588261</v>
      </c>
      <c r="R77" s="2">
        <f>R11/'Output-Calculation-sheet'!R10*'Output-Calculation-sheet'!R64</f>
        <v>1107.6376377552992</v>
      </c>
      <c r="S77" s="2">
        <f>S11/'Output-Calculation-sheet'!S10*'Output-Calculation-sheet'!S64</f>
        <v>1474.2249793107767</v>
      </c>
      <c r="T77" s="2">
        <f>T11/'Output-Calculation-sheet'!T10*'Output-Calculation-sheet'!T64</f>
        <v>304.63266497877993</v>
      </c>
      <c r="U77" s="2">
        <f>U11/'Output-Calculation-sheet'!U10*'Output-Calculation-sheet'!U64</f>
        <v>404.88441335314621</v>
      </c>
      <c r="V77" s="2">
        <f>V11/'Output-Calculation-sheet'!V10*'Output-Calculation-sheet'!V64</f>
        <v>157.51021930198002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433.24132035176075</v>
      </c>
      <c r="Y77" s="2">
        <f>Y11/'Output-Calculation-sheet'!Y10*'Output-Calculation-sheet'!Y64</f>
        <v>101.37860866538855</v>
      </c>
      <c r="AA77" s="2">
        <f t="shared" si="6"/>
        <v>66.16727274739462</v>
      </c>
    </row>
    <row r="78" spans="1:27" x14ac:dyDescent="0.25">
      <c r="A78" s="2">
        <v>2035</v>
      </c>
      <c r="B78" s="2">
        <f>B12/'Output-Calculation-sheet'!B11*'Output-Calculation-sheet'!B65</f>
        <v>23637.651262872885</v>
      </c>
      <c r="C78" s="2">
        <f>C12/'Output-Calculation-sheet'!C11*'Output-Calculation-sheet'!C65</f>
        <v>17273.207453572169</v>
      </c>
      <c r="D78" s="2">
        <f>D12/'Output-Calculation-sheet'!D11*'Output-Calculation-sheet'!D65</f>
        <v>4437.8020675098851</v>
      </c>
      <c r="E78" s="2">
        <f>E12/'Output-Calculation-sheet'!E11*'Output-Calculation-sheet'!E65</f>
        <v>5554.6413675165268</v>
      </c>
      <c r="F78" s="2">
        <f>F12/'Output-Calculation-sheet'!F11*'Output-Calculation-sheet'!F65</f>
        <v>1110.441556953424</v>
      </c>
      <c r="G78" s="2">
        <f>G12/'Output-Calculation-sheet'!G11*'Output-Calculation-sheet'!G65</f>
        <v>2041.1997541217756</v>
      </c>
      <c r="H78" s="2">
        <f>H12/'Output-Calculation-sheet'!H11*'Output-Calculation-sheet'!H65</f>
        <v>6453.7044715407992</v>
      </c>
      <c r="I78" s="2">
        <f>I12/'Output-Calculation-sheet'!I11*'Output-Calculation-sheet'!I65</f>
        <v>1482.2913548421232</v>
      </c>
      <c r="J78" s="2">
        <f>J12/'Output-Calculation-sheet'!J11*'Output-Calculation-sheet'!J65</f>
        <v>1433.3985534313754</v>
      </c>
      <c r="K78" s="2">
        <f>K12/'Output-Calculation-sheet'!K11*'Output-Calculation-sheet'!K65</f>
        <v>1795.7950670518157</v>
      </c>
      <c r="L78" s="2">
        <f>L12/'Output-Calculation-sheet'!L11*'Output-Calculation-sheet'!L65</f>
        <v>1324.0386909719214</v>
      </c>
      <c r="M78" s="2">
        <f>M12/'Output-Calculation-sheet'!M11*'Output-Calculation-sheet'!M65</f>
        <v>4712.1418017766337</v>
      </c>
      <c r="N78" s="2">
        <f>N12/'Output-Calculation-sheet'!N11*'Output-Calculation-sheet'!N65</f>
        <v>3359.9402836797922</v>
      </c>
      <c r="O78" s="2">
        <f>O12/'Output-Calculation-sheet'!O11*'Output-Calculation-sheet'!O65</f>
        <v>3171.6844475812723</v>
      </c>
      <c r="P78" s="2">
        <f>P12/'Output-Calculation-sheet'!P11*'Output-Calculation-sheet'!P65</f>
        <v>1830.4092103627599</v>
      </c>
      <c r="Q78" s="2">
        <f>Q12/'Output-Calculation-sheet'!Q11*'Output-Calculation-sheet'!Q65</f>
        <v>1554.1935630280118</v>
      </c>
      <c r="R78" s="2">
        <f>R12/'Output-Calculation-sheet'!R11*'Output-Calculation-sheet'!R65</f>
        <v>1536.0365723309365</v>
      </c>
      <c r="S78" s="2">
        <f>S12/'Output-Calculation-sheet'!S11*'Output-Calculation-sheet'!S65</f>
        <v>1777.1664368736929</v>
      </c>
      <c r="T78" s="2">
        <f>T12/'Output-Calculation-sheet'!T11*'Output-Calculation-sheet'!T65</f>
        <v>554.46656227298536</v>
      </c>
      <c r="U78" s="2">
        <f>U12/'Output-Calculation-sheet'!U11*'Output-Calculation-sheet'!U65</f>
        <v>463.9230931341383</v>
      </c>
      <c r="V78" s="2">
        <f>V12/'Output-Calculation-sheet'!V11*'Output-Calculation-sheet'!V65</f>
        <v>282.22034881346411</v>
      </c>
      <c r="W78" s="2">
        <f>W12/'Output-Calculation-sheet'!W11*'Output-Calculation-sheet'!W65</f>
        <v>197.06160030641379</v>
      </c>
      <c r="X78" s="2">
        <f>X12/'Output-Calculation-sheet'!X11*'Output-Calculation-sheet'!X65</f>
        <v>455.43602772561388</v>
      </c>
      <c r="Y78" s="2">
        <f>Y12/'Output-Calculation-sheet'!Y11*'Output-Calculation-sheet'!Y65</f>
        <v>213.67166215431826</v>
      </c>
      <c r="AA78" s="2">
        <f t="shared" si="6"/>
        <v>86.652523210424746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261.57736911296416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76.226168687346544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0.33780353780031069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820.82528868143993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159.46427152075412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3.1789128769775381</v>
      </c>
      <c r="Y88" s="2">
        <f>Y11/'Output-Calculation-sheet'!Y10*'Output-Calculation-sheet'!Y73</f>
        <v>0</v>
      </c>
      <c r="AA88" s="2">
        <f t="shared" si="7"/>
        <v>0.98346847307917151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1398.4364589430018</v>
      </c>
      <c r="D89" s="2">
        <f>D12/'Output-Calculation-sheet'!D11*'Output-Calculation-sheet'!D74</f>
        <v>123.87790496622056</v>
      </c>
      <c r="E89" s="2">
        <f>E12/'Output-Calculation-sheet'!E11*'Output-Calculation-sheet'!E74</f>
        <v>196.89978438937726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129.14468852721086</v>
      </c>
      <c r="I89" s="2">
        <f>I12/'Output-Calculation-sheet'!I11*'Output-Calculation-sheet'!I74</f>
        <v>39.969027526347496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39.283262612149798</v>
      </c>
      <c r="L89" s="2">
        <f>L12/'Output-Calculation-sheet'!L11*'Output-Calculation-sheet'!L74</f>
        <v>31.236168042179894</v>
      </c>
      <c r="M89" s="2">
        <f>M12/'Output-Calculation-sheet'!M11*'Output-Calculation-sheet'!M74</f>
        <v>59.242788825384032</v>
      </c>
      <c r="N89" s="2">
        <f>N12/'Output-Calculation-sheet'!N11*'Output-Calculation-sheet'!N74</f>
        <v>58.226155162980547</v>
      </c>
      <c r="O89" s="2">
        <f>O12/'Output-Calculation-sheet'!O11*'Output-Calculation-sheet'!O74</f>
        <v>244.51072456170297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51.014871347196397</v>
      </c>
      <c r="R89" s="2">
        <f>R12/'Output-Calculation-sheet'!R11*'Output-Calculation-sheet'!R74</f>
        <v>25.295378636633565</v>
      </c>
      <c r="S89" s="2">
        <f>S12/'Output-Calculation-sheet'!S11*'Output-Calculation-sheet'!S74</f>
        <v>33.37715159871712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16.276861032002607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12.998159959062571</v>
      </c>
      <c r="Y89" s="2">
        <f>Y12/'Output-Calculation-sheet'!Y11*'Output-Calculation-sheet'!Y74</f>
        <v>6.2717327234235887</v>
      </c>
      <c r="AA89" s="2">
        <f t="shared" si="7"/>
        <v>3.3205532461456881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14151176082.779236</v>
      </c>
      <c r="C96" s="2">
        <f>C8/'Output-Calculation-sheet'!C7*'Output-Calculation-sheet'!C79</f>
        <v>4787407183.5796318</v>
      </c>
      <c r="D96" s="2">
        <f>D8/'Output-Calculation-sheet'!D7*'Output-Calculation-sheet'!D79</f>
        <v>4997737812.0375462</v>
      </c>
      <c r="E96" s="2">
        <f>E8/'Output-Calculation-sheet'!E7*'Output-Calculation-sheet'!E79</f>
        <v>8885552297.8053856</v>
      </c>
      <c r="F96" s="2">
        <f>F8/'Output-Calculation-sheet'!F7*'Output-Calculation-sheet'!F79</f>
        <v>3677642536.0715933</v>
      </c>
      <c r="G96" s="2">
        <f>G8/'Output-Calculation-sheet'!G7*'Output-Calculation-sheet'!G79</f>
        <v>2864581132.3241625</v>
      </c>
      <c r="H96" s="2">
        <f>H8/'Output-Calculation-sheet'!H7*'Output-Calculation-sheet'!H79</f>
        <v>2451919671.1862078</v>
      </c>
      <c r="I96" s="2">
        <f>I8/'Output-Calculation-sheet'!I7*'Output-Calculation-sheet'!I79</f>
        <v>1995485300.1624954</v>
      </c>
      <c r="J96" s="2">
        <f>J8/'Output-Calculation-sheet'!J7*'Output-Calculation-sheet'!J79</f>
        <v>1349398702.2757676</v>
      </c>
      <c r="K96" s="2">
        <f>K8/'Output-Calculation-sheet'!K7*'Output-Calculation-sheet'!K79</f>
        <v>1930587010.6614261</v>
      </c>
      <c r="L96" s="2">
        <f>L8/'Output-Calculation-sheet'!L7*'Output-Calculation-sheet'!L79</f>
        <v>1362220514.8628054</v>
      </c>
      <c r="M96" s="2">
        <f>M8/'Output-Calculation-sheet'!M7*'Output-Calculation-sheet'!M79</f>
        <v>1830310614.0415723</v>
      </c>
      <c r="N96" s="2">
        <f>N8/'Output-Calculation-sheet'!N7*'Output-Calculation-sheet'!N79</f>
        <v>1361896866.7860579</v>
      </c>
      <c r="O96" s="2">
        <f>O8/'Output-Calculation-sheet'!O7*'Output-Calculation-sheet'!O79</f>
        <v>688485511.44750595</v>
      </c>
      <c r="P96" s="2">
        <f>P8/'Output-Calculation-sheet'!P7*'Output-Calculation-sheet'!P79</f>
        <v>2302839636.5437536</v>
      </c>
      <c r="Q96" s="2">
        <f>Q8/'Output-Calculation-sheet'!Q7*'Output-Calculation-sheet'!Q79</f>
        <v>1073221768.8425845</v>
      </c>
      <c r="R96" s="2">
        <f>R8/'Output-Calculation-sheet'!R7*'Output-Calculation-sheet'!R79</f>
        <v>1338971734.5960093</v>
      </c>
      <c r="S96" s="2">
        <f>S8/'Output-Calculation-sheet'!S7*'Output-Calculation-sheet'!S79</f>
        <v>780197142.87135124</v>
      </c>
      <c r="T96" s="2">
        <f>T8/'Output-Calculation-sheet'!T7*'Output-Calculation-sheet'!T79</f>
        <v>595891005.53704929</v>
      </c>
      <c r="U96" s="2">
        <f>U8/'Output-Calculation-sheet'!U7*'Output-Calculation-sheet'!U79</f>
        <v>374323414.75154728</v>
      </c>
      <c r="V96" s="2">
        <f>V8/'Output-Calculation-sheet'!V7*'Output-Calculation-sheet'!V79</f>
        <v>194218507.58640769</v>
      </c>
      <c r="W96" s="2">
        <f>W8/'Output-Calculation-sheet'!W7*'Output-Calculation-sheet'!W79</f>
        <v>573899944.08269536</v>
      </c>
      <c r="X96" s="2">
        <f>X8/'Output-Calculation-sheet'!X7*'Output-Calculation-sheet'!X79</f>
        <v>201709589.25981554</v>
      </c>
      <c r="Y96" s="2">
        <f>Y8/'Output-Calculation-sheet'!Y7*'Output-Calculation-sheet'!Y79</f>
        <v>315471016.21112537</v>
      </c>
      <c r="AA96" s="2">
        <f t="shared" si="8"/>
        <v>60.08514499630374</v>
      </c>
    </row>
    <row r="97" spans="1:27" x14ac:dyDescent="0.25">
      <c r="A97" s="2">
        <v>2032</v>
      </c>
      <c r="B97" s="2">
        <f>B9/'Output-Calculation-sheet'!B8*'Output-Calculation-sheet'!B80</f>
        <v>19968272063.236294</v>
      </c>
      <c r="C97" s="2">
        <f>C9/'Output-Calculation-sheet'!C8*'Output-Calculation-sheet'!C80</f>
        <v>6801301098.1619282</v>
      </c>
      <c r="D97" s="2">
        <f>D9/'Output-Calculation-sheet'!D8*'Output-Calculation-sheet'!D80</f>
        <v>6776834485.0320244</v>
      </c>
      <c r="E97" s="2">
        <f>E9/'Output-Calculation-sheet'!E8*'Output-Calculation-sheet'!E80</f>
        <v>12393816447.325052</v>
      </c>
      <c r="F97" s="2">
        <f>F9/'Output-Calculation-sheet'!F8*'Output-Calculation-sheet'!F80</f>
        <v>5119886578.2716742</v>
      </c>
      <c r="G97" s="2">
        <f>G9/'Output-Calculation-sheet'!G8*'Output-Calculation-sheet'!G80</f>
        <v>3875472851.4741054</v>
      </c>
      <c r="H97" s="2">
        <f>H9/'Output-Calculation-sheet'!H8*'Output-Calculation-sheet'!H80</f>
        <v>3409633332.6087952</v>
      </c>
      <c r="I97" s="2">
        <f>I9/'Output-Calculation-sheet'!I8*'Output-Calculation-sheet'!I80</f>
        <v>2804739838.2763739</v>
      </c>
      <c r="J97" s="2">
        <f>J9/'Output-Calculation-sheet'!J8*'Output-Calculation-sheet'!J80</f>
        <v>1843857564.9843912</v>
      </c>
      <c r="K97" s="2">
        <f>K9/'Output-Calculation-sheet'!K8*'Output-Calculation-sheet'!K80</f>
        <v>2658309169.2742572</v>
      </c>
      <c r="L97" s="2">
        <f>L9/'Output-Calculation-sheet'!L8*'Output-Calculation-sheet'!L80</f>
        <v>1934808721.9384711</v>
      </c>
      <c r="M97" s="2">
        <f>M9/'Output-Calculation-sheet'!M8*'Output-Calculation-sheet'!M80</f>
        <v>2552763650.7588992</v>
      </c>
      <c r="N97" s="2">
        <f>N9/'Output-Calculation-sheet'!N8*'Output-Calculation-sheet'!N80</f>
        <v>1865135155.3102188</v>
      </c>
      <c r="O97" s="2">
        <f>O9/'Output-Calculation-sheet'!O8*'Output-Calculation-sheet'!O80</f>
        <v>964898773.67631686</v>
      </c>
      <c r="P97" s="2">
        <f>P9/'Output-Calculation-sheet'!P8*'Output-Calculation-sheet'!P80</f>
        <v>3156967347.9801326</v>
      </c>
      <c r="Q97" s="2">
        <f>Q9/'Output-Calculation-sheet'!Q8*'Output-Calculation-sheet'!Q80</f>
        <v>1476708264.4764535</v>
      </c>
      <c r="R97" s="2">
        <f>R9/'Output-Calculation-sheet'!R8*'Output-Calculation-sheet'!R80</f>
        <v>1865817128.6891503</v>
      </c>
      <c r="S97" s="2">
        <f>S9/'Output-Calculation-sheet'!S8*'Output-Calculation-sheet'!S80</f>
        <v>1082914862.4588339</v>
      </c>
      <c r="T97" s="2">
        <f>T9/'Output-Calculation-sheet'!T8*'Output-Calculation-sheet'!T80</f>
        <v>815472976.5418961</v>
      </c>
      <c r="U97" s="2">
        <f>U9/'Output-Calculation-sheet'!U8*'Output-Calculation-sheet'!U80</f>
        <v>521326025.45849746</v>
      </c>
      <c r="V97" s="2">
        <f>V9/'Output-Calculation-sheet'!V8*'Output-Calculation-sheet'!V80</f>
        <v>273352299.07936078</v>
      </c>
      <c r="W97" s="2">
        <f>W9/'Output-Calculation-sheet'!W8*'Output-Calculation-sheet'!W80</f>
        <v>791633539.86394274</v>
      </c>
      <c r="X97" s="2">
        <f>X9/'Output-Calculation-sheet'!X8*'Output-Calculation-sheet'!X80</f>
        <v>284272834.66517627</v>
      </c>
      <c r="Y97" s="2">
        <f>Y9/'Output-Calculation-sheet'!Y8*'Output-Calculation-sheet'!Y80</f>
        <v>435133035.8015542</v>
      </c>
      <c r="AA97" s="2">
        <f t="shared" si="8"/>
        <v>83.673328045343808</v>
      </c>
    </row>
    <row r="98" spans="1:27" x14ac:dyDescent="0.25">
      <c r="A98" s="2">
        <v>2033</v>
      </c>
      <c r="B98" s="2">
        <f>B10/'Output-Calculation-sheet'!B9*'Output-Calculation-sheet'!B81</f>
        <v>25857562409.074036</v>
      </c>
      <c r="C98" s="2">
        <f>C10/'Output-Calculation-sheet'!C9*'Output-Calculation-sheet'!C81</f>
        <v>8865254636.839407</v>
      </c>
      <c r="D98" s="2">
        <f>D10/'Output-Calculation-sheet'!D9*'Output-Calculation-sheet'!D81</f>
        <v>8437022275.0875969</v>
      </c>
      <c r="E98" s="2">
        <f>E10/'Output-Calculation-sheet'!E9*'Output-Calculation-sheet'!E81</f>
        <v>15870569754.570684</v>
      </c>
      <c r="F98" s="2">
        <f>F10/'Output-Calculation-sheet'!F9*'Output-Calculation-sheet'!F81</f>
        <v>6545406575.6392183</v>
      </c>
      <c r="G98" s="2">
        <f>G10/'Output-Calculation-sheet'!G9*'Output-Calculation-sheet'!G81</f>
        <v>4805837771.8617039</v>
      </c>
      <c r="H98" s="2">
        <f>H10/'Output-Calculation-sheet'!H9*'Output-Calculation-sheet'!H81</f>
        <v>4354128286.1833096</v>
      </c>
      <c r="I98" s="2">
        <f>I10/'Output-Calculation-sheet'!I9*'Output-Calculation-sheet'!I81</f>
        <v>3619566057.8539472</v>
      </c>
      <c r="J98" s="2">
        <f>J10/'Output-Calculation-sheet'!J9*'Output-Calculation-sheet'!J81</f>
        <v>2314441767.3229218</v>
      </c>
      <c r="K98" s="2">
        <f>K10/'Output-Calculation-sheet'!K9*'Output-Calculation-sheet'!K81</f>
        <v>3361818450.5010495</v>
      </c>
      <c r="L98" s="2">
        <f>L10/'Output-Calculation-sheet'!L9*'Output-Calculation-sheet'!L81</f>
        <v>2521414160.4650092</v>
      </c>
      <c r="M98" s="2">
        <f>M10/'Output-Calculation-sheet'!M9*'Output-Calculation-sheet'!M81</f>
        <v>3269767529.4333105</v>
      </c>
      <c r="N98" s="2">
        <f>N10/'Output-Calculation-sheet'!N9*'Output-Calculation-sheet'!N81</f>
        <v>2345803078.1516776</v>
      </c>
      <c r="O98" s="2">
        <f>O10/'Output-Calculation-sheet'!O9*'Output-Calculation-sheet'!O81</f>
        <v>1242235257.3343093</v>
      </c>
      <c r="P98" s="2">
        <f>P10/'Output-Calculation-sheet'!P9*'Output-Calculation-sheet'!P81</f>
        <v>3969823453.6152997</v>
      </c>
      <c r="Q98" s="2">
        <f>Q10/'Output-Calculation-sheet'!Q9*'Output-Calculation-sheet'!Q81</f>
        <v>1866510350.5272889</v>
      </c>
      <c r="R98" s="2">
        <f>R10/'Output-Calculation-sheet'!R9*'Output-Calculation-sheet'!R81</f>
        <v>2387549119.3508906</v>
      </c>
      <c r="S98" s="2">
        <f>S10/'Output-Calculation-sheet'!S9*'Output-Calculation-sheet'!S81</f>
        <v>1380428467.3560553</v>
      </c>
      <c r="T98" s="2">
        <f>T10/'Output-Calculation-sheet'!T9*'Output-Calculation-sheet'!T81</f>
        <v>1024334713.0494229</v>
      </c>
      <c r="U98" s="2">
        <f>U10/'Output-Calculation-sheet'!U9*'Output-Calculation-sheet'!U81</f>
        <v>666498598.98204482</v>
      </c>
      <c r="V98" s="2">
        <f>V10/'Output-Calculation-sheet'!V9*'Output-Calculation-sheet'!V81</f>
        <v>352988881.70158327</v>
      </c>
      <c r="W98" s="2">
        <f>W10/'Output-Calculation-sheet'!W9*'Output-Calculation-sheet'!W81</f>
        <v>1000845260.8972317</v>
      </c>
      <c r="X98" s="2">
        <f>X10/'Output-Calculation-sheet'!X9*'Output-Calculation-sheet'!X81</f>
        <v>367780352.54083329</v>
      </c>
      <c r="Y98" s="2">
        <f>Y10/'Output-Calculation-sheet'!Y9*'Output-Calculation-sheet'!Y81</f>
        <v>550326705.5599432</v>
      </c>
      <c r="AA98" s="2">
        <f t="shared" si="8"/>
        <v>106.97791391389873</v>
      </c>
    </row>
    <row r="99" spans="1:27" x14ac:dyDescent="0.25">
      <c r="A99" s="2">
        <v>2034</v>
      </c>
      <c r="B99" s="2">
        <f>B11/'Output-Calculation-sheet'!B10*'Output-Calculation-sheet'!B82</f>
        <v>31543966861.936867</v>
      </c>
      <c r="C99" s="2">
        <f>C11/'Output-Calculation-sheet'!C10*'Output-Calculation-sheet'!C82</f>
        <v>10883962746.352383</v>
      </c>
      <c r="D99" s="2">
        <f>D11/'Output-Calculation-sheet'!D10*'Output-Calculation-sheet'!D82</f>
        <v>9901344613.5222206</v>
      </c>
      <c r="E99" s="2">
        <f>E11/'Output-Calculation-sheet'!E10*'Output-Calculation-sheet'!E82</f>
        <v>19153282916.443104</v>
      </c>
      <c r="F99" s="2">
        <f>F11/'Output-Calculation-sheet'!F10*'Output-Calculation-sheet'!F82</f>
        <v>7888255799.7106886</v>
      </c>
      <c r="G99" s="2">
        <f>G11/'Output-Calculation-sheet'!G10*'Output-Calculation-sheet'!G82</f>
        <v>5607988542.9849138</v>
      </c>
      <c r="H99" s="2">
        <f>H11/'Output-Calculation-sheet'!H10*'Output-Calculation-sheet'!H82</f>
        <v>5241683475.6505842</v>
      </c>
      <c r="I99" s="2">
        <f>I11/'Output-Calculation-sheet'!I10*'Output-Calculation-sheet'!I82</f>
        <v>4402649209.7170334</v>
      </c>
      <c r="J99" s="2">
        <f>J11/'Output-Calculation-sheet'!J10*'Output-Calculation-sheet'!J82</f>
        <v>2739766919.3741832</v>
      </c>
      <c r="K99" s="2">
        <f>K11/'Output-Calculation-sheet'!K10*'Output-Calculation-sheet'!K82</f>
        <v>4008638533.9635386</v>
      </c>
      <c r="L99" s="2">
        <f>L11/'Output-Calculation-sheet'!L10*'Output-Calculation-sheet'!L82</f>
        <v>3094962097.4967556</v>
      </c>
      <c r="M99" s="2">
        <f>M11/'Output-Calculation-sheet'!M10*'Output-Calculation-sheet'!M82</f>
        <v>3948463005.755826</v>
      </c>
      <c r="N99" s="2">
        <f>N11/'Output-Calculation-sheet'!N10*'Output-Calculation-sheet'!N82</f>
        <v>2781695876.8988934</v>
      </c>
      <c r="O99" s="2">
        <f>O11/'Output-Calculation-sheet'!O10*'Output-Calculation-sheet'!O82</f>
        <v>1508096936.8988681</v>
      </c>
      <c r="P99" s="2">
        <f>P11/'Output-Calculation-sheet'!P10*'Output-Calculation-sheet'!P82</f>
        <v>4701079798.0732784</v>
      </c>
      <c r="Q99" s="2">
        <f>Q11/'Output-Calculation-sheet'!Q10*'Output-Calculation-sheet'!Q82</f>
        <v>2224846378.8430243</v>
      </c>
      <c r="R99" s="2">
        <f>R11/'Output-Calculation-sheet'!R10*'Output-Calculation-sheet'!R82</f>
        <v>2880053348.3748608</v>
      </c>
      <c r="S99" s="2">
        <f>S11/'Output-Calculation-sheet'!S10*'Output-Calculation-sheet'!S82</f>
        <v>1658991244.8794565</v>
      </c>
      <c r="T99" s="2">
        <f>T11/'Output-Calculation-sheet'!T10*'Output-Calculation-sheet'!T82</f>
        <v>1212528641.1274388</v>
      </c>
      <c r="U99" s="2">
        <f>U11/'Output-Calculation-sheet'!U10*'Output-Calculation-sheet'!U82</f>
        <v>802960908.86422634</v>
      </c>
      <c r="V99" s="2">
        <f>V11/'Output-Calculation-sheet'!V10*'Output-Calculation-sheet'!V82</f>
        <v>429333187.12159282</v>
      </c>
      <c r="W99" s="2">
        <f>W11/'Output-Calculation-sheet'!W10*'Output-Calculation-sheet'!W82</f>
        <v>1190555959.6214299</v>
      </c>
      <c r="X99" s="2">
        <f>X11/'Output-Calculation-sheet'!X10*'Output-Calculation-sheet'!X82</f>
        <v>448396151.71017575</v>
      </c>
      <c r="Y99" s="2">
        <f>Y11/'Output-Calculation-sheet'!Y10*'Output-Calculation-sheet'!Y82</f>
        <v>655183378.36906719</v>
      </c>
      <c r="AA99" s="2">
        <f t="shared" si="8"/>
        <v>128.90868653369037</v>
      </c>
    </row>
    <row r="100" spans="1:27" x14ac:dyDescent="0.25">
      <c r="A100" s="2">
        <v>2035</v>
      </c>
      <c r="B100" s="2">
        <f>B12/'Output-Calculation-sheet'!B11*'Output-Calculation-sheet'!B83</f>
        <v>36841912855.707329</v>
      </c>
      <c r="C100" s="2">
        <f>C12/'Output-Calculation-sheet'!C11*'Output-Calculation-sheet'!C83</f>
        <v>12790913743.511799</v>
      </c>
      <c r="D100" s="2">
        <f>D12/'Output-Calculation-sheet'!D11*'Output-Calculation-sheet'!D83</f>
        <v>11132850335.477957</v>
      </c>
      <c r="E100" s="2">
        <f>E12/'Output-Calculation-sheet'!E11*'Output-Calculation-sheet'!E83</f>
        <v>22140366720.695869</v>
      </c>
      <c r="F100" s="2">
        <f>F12/'Output-Calculation-sheet'!F11*'Output-Calculation-sheet'!F83</f>
        <v>9107664068.6451225</v>
      </c>
      <c r="G100" s="2">
        <f>G12/'Output-Calculation-sheet'!G11*'Output-Calculation-sheet'!G83</f>
        <v>6258738648.7079</v>
      </c>
      <c r="H100" s="2">
        <f>H12/'Output-Calculation-sheet'!H11*'Output-Calculation-sheet'!H83</f>
        <v>6045473806.2833338</v>
      </c>
      <c r="I100" s="2">
        <f>I12/'Output-Calculation-sheet'!I11*'Output-Calculation-sheet'!I83</f>
        <v>5129465116.6213322</v>
      </c>
      <c r="J100" s="2">
        <f>J12/'Output-Calculation-sheet'!J11*'Output-Calculation-sheet'!J83</f>
        <v>3108676635.4241319</v>
      </c>
      <c r="K100" s="2">
        <f>K12/'Output-Calculation-sheet'!K11*'Output-Calculation-sheet'!K83</f>
        <v>4580404850.6190996</v>
      </c>
      <c r="L100" s="2">
        <f>L12/'Output-Calculation-sheet'!L11*'Output-Calculation-sheet'!L83</f>
        <v>3636580279.4234719</v>
      </c>
      <c r="M100" s="2">
        <f>M12/'Output-Calculation-sheet'!M11*'Output-Calculation-sheet'!M83</f>
        <v>4568350666.8791027</v>
      </c>
      <c r="N100" s="2">
        <f>N12/'Output-Calculation-sheet'!N11*'Output-Calculation-sheet'!N83</f>
        <v>3160937841.8715158</v>
      </c>
      <c r="O100" s="2">
        <f>O12/'Output-Calculation-sheet'!O11*'Output-Calculation-sheet'!O83</f>
        <v>1754521207.272521</v>
      </c>
      <c r="P100" s="2">
        <f>P12/'Output-Calculation-sheet'!P11*'Output-Calculation-sheet'!P83</f>
        <v>5328605574.7170258</v>
      </c>
      <c r="Q100" s="2">
        <f>Q12/'Output-Calculation-sheet'!Q11*'Output-Calculation-sheet'!Q83</f>
        <v>2541769286.266778</v>
      </c>
      <c r="R100" s="2">
        <f>R12/'Output-Calculation-sheet'!R11*'Output-Calculation-sheet'!R83</f>
        <v>3328305212.0995164</v>
      </c>
      <c r="S100" s="2">
        <f>S12/'Output-Calculation-sheet'!S11*'Output-Calculation-sheet'!S83</f>
        <v>1910276186.3069568</v>
      </c>
      <c r="T100" s="2">
        <f>T12/'Output-Calculation-sheet'!T11*'Output-Calculation-sheet'!T83</f>
        <v>1374736990.132504</v>
      </c>
      <c r="U100" s="2">
        <f>U12/'Output-Calculation-sheet'!U11*'Output-Calculation-sheet'!U83</f>
        <v>926417077.86966681</v>
      </c>
      <c r="V100" s="2">
        <f>V12/'Output-Calculation-sheet'!V11*'Output-Calculation-sheet'!V83</f>
        <v>499855839.70060515</v>
      </c>
      <c r="W100" s="2">
        <f>W12/'Output-Calculation-sheet'!W11*'Output-Calculation-sheet'!W83</f>
        <v>1354232270.6166344</v>
      </c>
      <c r="X100" s="2">
        <f>X12/'Output-Calculation-sheet'!X11*'Output-Calculation-sheet'!X83</f>
        <v>523559059.11706185</v>
      </c>
      <c r="Y100" s="2">
        <f>Y12/'Output-Calculation-sheet'!Y11*'Output-Calculation-sheet'!Y83</f>
        <v>746262814.81454301</v>
      </c>
      <c r="AA100" s="2">
        <f t="shared" si="8"/>
        <v>148.7908770887818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1655756937.9634998</v>
      </c>
      <c r="C107" s="2">
        <f>C8/'Output-Calculation-sheet'!C7*'Output-Calculation-sheet'!C88</f>
        <v>27268530478.720646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8507890892.5158215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5869758259.1556673</v>
      </c>
      <c r="N107" s="2">
        <f>N8/'Output-Calculation-sheet'!N7*'Output-Calculation-sheet'!N88</f>
        <v>1783446155.5533261</v>
      </c>
      <c r="O107" s="2">
        <f>O8/'Output-Calculation-sheet'!O7*'Output-Calculation-sheet'!O88</f>
        <v>5298300367.444766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588708314.47671866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635696698.14119625</v>
      </c>
      <c r="Y107" s="2">
        <f>Y8/'Output-Calculation-sheet'!Y7*'Output-Calculation-sheet'!Y88</f>
        <v>0</v>
      </c>
      <c r="AA107" s="2">
        <f t="shared" si="9"/>
        <v>51608.088103971641</v>
      </c>
    </row>
    <row r="108" spans="1:27" x14ac:dyDescent="0.25">
      <c r="A108" s="2">
        <v>2032</v>
      </c>
      <c r="B108" s="2">
        <f>B9/'Output-Calculation-sheet'!B8*'Output-Calculation-sheet'!B89</f>
        <v>7680371865.8069305</v>
      </c>
      <c r="C108" s="2">
        <f>C9/'Output-Calculation-sheet'!C8*'Output-Calculation-sheet'!C89</f>
        <v>38501109364.226486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12012080176.731659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8287290834.3629494</v>
      </c>
      <c r="N108" s="2">
        <f>N9/'Output-Calculation-sheet'!N8*'Output-Calculation-sheet'!N89</f>
        <v>3905321332.9942808</v>
      </c>
      <c r="O108" s="2">
        <f>O9/'Output-Calculation-sheet'!O8*'Output-Calculation-sheet'!O89</f>
        <v>7480798297.266818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1173690268.1142664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897538368.89149094</v>
      </c>
      <c r="Y108" s="2">
        <f>Y9/'Output-Calculation-sheet'!Y8*'Output-Calculation-sheet'!Y89</f>
        <v>0</v>
      </c>
      <c r="AA108" s="2">
        <f t="shared" si="9"/>
        <v>79938.200508394875</v>
      </c>
    </row>
    <row r="109" spans="1:27" x14ac:dyDescent="0.25">
      <c r="A109" s="2">
        <v>2033</v>
      </c>
      <c r="B109" s="2">
        <f>B10/'Output-Calculation-sheet'!B9*'Output-Calculation-sheet'!B90</f>
        <v>21180909999.948826</v>
      </c>
      <c r="C109" s="2">
        <f>C10/'Output-Calculation-sheet'!C9*'Output-Calculation-sheet'!C90</f>
        <v>46744843696.752411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15562179818.134218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10736551709.232141</v>
      </c>
      <c r="N109" s="2">
        <f>N10/'Output-Calculation-sheet'!N9*'Output-Calculation-sheet'!N90</f>
        <v>6323229182.0723944</v>
      </c>
      <c r="O109" s="2">
        <f>O10/'Output-Calculation-sheet'!O9*'Output-Calculation-sheet'!O90</f>
        <v>8576185912.0350428</v>
      </c>
      <c r="P109" s="2">
        <f>P10/'Output-Calculation-sheet'!P9*'Output-Calculation-sheet'!P90</f>
        <v>0</v>
      </c>
      <c r="Q109" s="2">
        <f>Q10/'Output-Calculation-sheet'!Q9*'Output-Calculation-sheet'!Q90</f>
        <v>205901677.5004279</v>
      </c>
      <c r="R109" s="2">
        <f>R10/'Output-Calculation-sheet'!R9*'Output-Calculation-sheet'!R90</f>
        <v>0</v>
      </c>
      <c r="S109" s="2">
        <f>S10/'Output-Calculation-sheet'!S9*'Output-Calculation-sheet'!S90</f>
        <v>2552048379.1577234</v>
      </c>
      <c r="T109" s="2">
        <f>T10/'Output-Calculation-sheet'!T9*'Output-Calculation-sheet'!T90</f>
        <v>1.9454965487351754E-7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1162801034.0005596</v>
      </c>
      <c r="Y109" s="2">
        <f>Y10/'Output-Calculation-sheet'!Y9*'Output-Calculation-sheet'!Y90</f>
        <v>0</v>
      </c>
      <c r="AA109" s="2">
        <f t="shared" si="9"/>
        <v>113044.65140883376</v>
      </c>
    </row>
    <row r="110" spans="1:27" x14ac:dyDescent="0.25">
      <c r="A110" s="2">
        <v>2034</v>
      </c>
      <c r="B110" s="2">
        <f>B11/'Output-Calculation-sheet'!B10*'Output-Calculation-sheet'!B91</f>
        <v>50847039542.61969</v>
      </c>
      <c r="C110" s="2">
        <f>C11/'Output-Calculation-sheet'!C10*'Output-Calculation-sheet'!C91</f>
        <v>51416756011.013481</v>
      </c>
      <c r="D110" s="2">
        <f>D11/'Output-Calculation-sheet'!D10*'Output-Calculation-sheet'!D91</f>
        <v>0</v>
      </c>
      <c r="E110" s="2">
        <f>E11/'Output-Calculation-sheet'!E10*'Output-Calculation-sheet'!E91</f>
        <v>1037251469.2427588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18991349847.955193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863157195.21751082</v>
      </c>
      <c r="M110" s="2">
        <f>M11/'Output-Calculation-sheet'!M10*'Output-Calculation-sheet'!M91</f>
        <v>13102378844.47677</v>
      </c>
      <c r="N110" s="2">
        <f>N11/'Output-Calculation-sheet'!N10*'Output-Calculation-sheet'!N91</f>
        <v>9062261094.3309574</v>
      </c>
      <c r="O110" s="2">
        <f>O11/'Output-Calculation-sheet'!O10*'Output-Calculation-sheet'!O91</f>
        <v>9409401960.1107903</v>
      </c>
      <c r="P110" s="2">
        <f>P11/'Output-Calculation-sheet'!P10*'Output-Calculation-sheet'!P91</f>
        <v>0</v>
      </c>
      <c r="Q110" s="2">
        <f>Q11/'Output-Calculation-sheet'!Q10*'Output-Calculation-sheet'!Q91</f>
        <v>2306059555.3464413</v>
      </c>
      <c r="R110" s="2">
        <f>R11/'Output-Calculation-sheet'!R10*'Output-Calculation-sheet'!R91</f>
        <v>0</v>
      </c>
      <c r="S110" s="2">
        <f>S11/'Output-Calculation-sheet'!S10*'Output-Calculation-sheet'!S91</f>
        <v>4456498850.5805702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1298096357.6622698</v>
      </c>
      <c r="Y110" s="2">
        <f>Y11/'Output-Calculation-sheet'!Y10*'Output-Calculation-sheet'!Y91</f>
        <v>56805827.015582241</v>
      </c>
      <c r="AA110" s="2">
        <f t="shared" si="9"/>
        <v>162847.05655557199</v>
      </c>
    </row>
    <row r="111" spans="1:27" x14ac:dyDescent="0.25">
      <c r="A111" s="2">
        <v>2035</v>
      </c>
      <c r="B111" s="2">
        <f>B12/'Output-Calculation-sheet'!B11*'Output-Calculation-sheet'!B92</f>
        <v>66039516837.31707</v>
      </c>
      <c r="C111" s="2">
        <f>C12/'Output-Calculation-sheet'!C11*'Output-Calculation-sheet'!C92</f>
        <v>55230688571.370277</v>
      </c>
      <c r="D111" s="2">
        <f>D12/'Output-Calculation-sheet'!D11*'Output-Calculation-sheet'!D92</f>
        <v>0</v>
      </c>
      <c r="E111" s="2">
        <f>E12/'Output-Calculation-sheet'!E11*'Output-Calculation-sheet'!E92</f>
        <v>7351129403.3132343</v>
      </c>
      <c r="F111" s="2">
        <f>F12/'Output-Calculation-sheet'!F11*'Output-Calculation-sheet'!F92</f>
        <v>0</v>
      </c>
      <c r="G111" s="2">
        <f>G12/'Output-Calculation-sheet'!G11*'Output-Calculation-sheet'!G92</f>
        <v>-7.9926474980591897E-7</v>
      </c>
      <c r="H111" s="2">
        <f>H12/'Output-Calculation-sheet'!H11*'Output-Calculation-sheet'!H92</f>
        <v>20443152187.447632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2425838293.5573411</v>
      </c>
      <c r="M111" s="2">
        <f>M12/'Output-Calculation-sheet'!M11*'Output-Calculation-sheet'!M92</f>
        <v>14425207341.598675</v>
      </c>
      <c r="N111" s="2">
        <f>N12/'Output-Calculation-sheet'!N11*'Output-Calculation-sheet'!N92</f>
        <v>10403750420.057587</v>
      </c>
      <c r="O111" s="2">
        <f>O12/'Output-Calculation-sheet'!O11*'Output-Calculation-sheet'!O92</f>
        <v>10034779905.300516</v>
      </c>
      <c r="P111" s="2">
        <f>P12/'Output-Calculation-sheet'!P11*'Output-Calculation-sheet'!P92</f>
        <v>504661438.36740547</v>
      </c>
      <c r="Q111" s="2">
        <f>Q12/'Output-Calculation-sheet'!Q11*'Output-Calculation-sheet'!Q92</f>
        <v>3470911555.5670381</v>
      </c>
      <c r="R111" s="2">
        <f>R12/'Output-Calculation-sheet'!R11*'Output-Calculation-sheet'!R92</f>
        <v>0</v>
      </c>
      <c r="S111" s="2">
        <f>S12/'Output-Calculation-sheet'!S11*'Output-Calculation-sheet'!S92</f>
        <v>5325201042.1144009</v>
      </c>
      <c r="T111" s="2">
        <f>T12/'Output-Calculation-sheet'!T11*'Output-Calculation-sheet'!T92</f>
        <v>0</v>
      </c>
      <c r="U111" s="2">
        <f>U12/'Output-Calculation-sheet'!U11*'Output-Calculation-sheet'!U92</f>
        <v>100693708.17088805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1423460992.5168397</v>
      </c>
      <c r="Y111" s="2">
        <f>Y12/'Output-Calculation-sheet'!Y11*'Output-Calculation-sheet'!Y92</f>
        <v>342936463.79698479</v>
      </c>
      <c r="AA111" s="2">
        <f t="shared" si="9"/>
        <v>197521.92816049591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56221670748.802635</v>
      </c>
      <c r="C118" s="2">
        <f>C8/'Output-Calculation-sheet'!C7*'Output-Calculation-sheet'!C97</f>
        <v>0</v>
      </c>
      <c r="D118" s="2">
        <f>D8/'Output-Calculation-sheet'!D7*'Output-Calculation-sheet'!D97</f>
        <v>24309186545.576733</v>
      </c>
      <c r="E118" s="2">
        <f>E8/'Output-Calculation-sheet'!E7*'Output-Calculation-sheet'!E97</f>
        <v>19286872705.49115</v>
      </c>
      <c r="F118" s="2">
        <f>F8/'Output-Calculation-sheet'!F7*'Output-Calculation-sheet'!F97</f>
        <v>12415652063.251659</v>
      </c>
      <c r="G118" s="2">
        <f>G8/'Output-Calculation-sheet'!G7*'Output-Calculation-sheet'!G97</f>
        <v>8723577878.0145607</v>
      </c>
      <c r="H118" s="2">
        <f>H8/'Output-Calculation-sheet'!H7*'Output-Calculation-sheet'!H97</f>
        <v>0</v>
      </c>
      <c r="I118" s="2">
        <f>I8/'Output-Calculation-sheet'!I7*'Output-Calculation-sheet'!I97</f>
        <v>7947866142.5059605</v>
      </c>
      <c r="J118" s="2">
        <f>J8/'Output-Calculation-sheet'!J7*'Output-Calculation-sheet'!J97</f>
        <v>7735905487.448595</v>
      </c>
      <c r="K118" s="2">
        <f>K8/'Output-Calculation-sheet'!K7*'Output-Calculation-sheet'!K97</f>
        <v>7661741454.8884315</v>
      </c>
      <c r="L118" s="2">
        <f>L8/'Output-Calculation-sheet'!L7*'Output-Calculation-sheet'!L97</f>
        <v>6146348618.9847517</v>
      </c>
      <c r="M118" s="2">
        <f>M8/'Output-Calculation-sheet'!M7*'Output-Calculation-sheet'!M97</f>
        <v>0</v>
      </c>
      <c r="N118" s="2">
        <f>N8/'Output-Calculation-sheet'!N7*'Output-Calculation-sheet'!N97</f>
        <v>3978705780.7742348</v>
      </c>
      <c r="O118" s="2">
        <f>O8/'Output-Calculation-sheet'!O7*'Output-Calculation-sheet'!O97</f>
        <v>0</v>
      </c>
      <c r="P118" s="2">
        <f>P8/'Output-Calculation-sheet'!P7*'Output-Calculation-sheet'!P97</f>
        <v>5245591654.053937</v>
      </c>
      <c r="Q118" s="2">
        <f>Q8/'Output-Calculation-sheet'!Q7*'Output-Calculation-sheet'!Q97</f>
        <v>5160813437.0071316</v>
      </c>
      <c r="R118" s="2">
        <f>R8/'Output-Calculation-sheet'!R7*'Output-Calculation-sheet'!R97</f>
        <v>4964939873.6305485</v>
      </c>
      <c r="S118" s="2">
        <f>S8/'Output-Calculation-sheet'!S7*'Output-Calculation-sheet'!S97</f>
        <v>2711245451.8933783</v>
      </c>
      <c r="T118" s="2">
        <f>T8/'Output-Calculation-sheet'!T7*'Output-Calculation-sheet'!T97</f>
        <v>1825069562.0191336</v>
      </c>
      <c r="U118" s="2">
        <f>U8/'Output-Calculation-sheet'!U7*'Output-Calculation-sheet'!U97</f>
        <v>1589572916.397728</v>
      </c>
      <c r="V118" s="2">
        <f>V8/'Output-Calculation-sheet'!V7*'Output-Calculation-sheet'!V97</f>
        <v>1224003418.0705693</v>
      </c>
      <c r="W118" s="2">
        <f>W8/'Output-Calculation-sheet'!W7*'Output-Calculation-sheet'!W97</f>
        <v>1059715277.2739319</v>
      </c>
      <c r="X118" s="2">
        <f>X8/'Output-Calculation-sheet'!X7*'Output-Calculation-sheet'!X97</f>
        <v>0</v>
      </c>
      <c r="Y118" s="2">
        <f>Y8/'Output-Calculation-sheet'!Y7*'Output-Calculation-sheet'!Y97</f>
        <v>618337747.85246551</v>
      </c>
      <c r="AA118" s="2">
        <f t="shared" si="10"/>
        <v>178826.81676393753</v>
      </c>
    </row>
    <row r="119" spans="1:27" x14ac:dyDescent="0.25">
      <c r="A119" s="2">
        <v>2032</v>
      </c>
      <c r="B119" s="2">
        <f>B9/'Output-Calculation-sheet'!B8*'Output-Calculation-sheet'!B98</f>
        <v>74034445348.656693</v>
      </c>
      <c r="C119" s="2">
        <f>C9/'Output-Calculation-sheet'!C8*'Output-Calculation-sheet'!C98</f>
        <v>0</v>
      </c>
      <c r="D119" s="2">
        <f>D9/'Output-Calculation-sheet'!D8*'Output-Calculation-sheet'!D98</f>
        <v>34321167417.521381</v>
      </c>
      <c r="E119" s="2">
        <f>E9/'Output-Calculation-sheet'!E8*'Output-Calculation-sheet'!E98</f>
        <v>27230357150.641823</v>
      </c>
      <c r="F119" s="2">
        <f>F9/'Output-Calculation-sheet'!F8*'Output-Calculation-sheet'!F98</f>
        <v>17529163476.897747</v>
      </c>
      <c r="G119" s="2">
        <f>G9/'Output-Calculation-sheet'!G8*'Output-Calculation-sheet'!G98</f>
        <v>12316471374.15432</v>
      </c>
      <c r="H119" s="2">
        <f>H9/'Output-Calculation-sheet'!H8*'Output-Calculation-sheet'!H98</f>
        <v>1.6475806343851814E-6</v>
      </c>
      <c r="I119" s="2">
        <f>I9/'Output-Calculation-sheet'!I8*'Output-Calculation-sheet'!I98</f>
        <v>11221275783.239069</v>
      </c>
      <c r="J119" s="2">
        <f>J9/'Output-Calculation-sheet'!J8*'Output-Calculation-sheet'!J98</f>
        <v>10922012731.998352</v>
      </c>
      <c r="K119" s="2">
        <f>K9/'Output-Calculation-sheet'!K8*'Output-Calculation-sheet'!K98</f>
        <v>10817305224.686934</v>
      </c>
      <c r="L119" s="2">
        <f>L9/'Output-Calculation-sheet'!L8*'Output-Calculation-sheet'!L98</f>
        <v>8677784935.689188</v>
      </c>
      <c r="M119" s="2">
        <f>M9/'Output-Calculation-sheet'!M8*'Output-Calculation-sheet'!M98</f>
        <v>0</v>
      </c>
      <c r="N119" s="2">
        <f>N9/'Output-Calculation-sheet'!N8*'Output-Calculation-sheet'!N98</f>
        <v>4229349684.3783398</v>
      </c>
      <c r="O119" s="2">
        <f>O9/'Output-Calculation-sheet'!O8*'Output-Calculation-sheet'!O98</f>
        <v>0</v>
      </c>
      <c r="P119" s="2">
        <f>P9/'Output-Calculation-sheet'!P8*'Output-Calculation-sheet'!P98</f>
        <v>7405991956.7143974</v>
      </c>
      <c r="Q119" s="2">
        <f>Q9/'Output-Calculation-sheet'!Q8*'Output-Calculation-sheet'!Q98</f>
        <v>7286345893.6896963</v>
      </c>
      <c r="R119" s="2">
        <f>R9/'Output-Calculation-sheet'!R8*'Output-Calculation-sheet'!R98</f>
        <v>7009800414.9920025</v>
      </c>
      <c r="S119" s="2">
        <f>S9/'Output-Calculation-sheet'!S8*'Output-Calculation-sheet'!S98</f>
        <v>3485132861.0882783</v>
      </c>
      <c r="T119" s="2">
        <f>T9/'Output-Calculation-sheet'!T8*'Output-Calculation-sheet'!T98</f>
        <v>2576742255.2698717</v>
      </c>
      <c r="U119" s="2">
        <f>U9/'Output-Calculation-sheet'!U8*'Output-Calculation-sheet'!U98</f>
        <v>2244254901.6566768</v>
      </c>
      <c r="V119" s="2">
        <f>V9/'Output-Calculation-sheet'!V8*'Output-Calculation-sheet'!V98</f>
        <v>1728121159.6567545</v>
      </c>
      <c r="W119" s="2">
        <f>W9/'Output-Calculation-sheet'!W8*'Output-Calculation-sheet'!W98</f>
        <v>1496169699.3347487</v>
      </c>
      <c r="X119" s="2">
        <f>X9/'Output-Calculation-sheet'!X8*'Output-Calculation-sheet'!X98</f>
        <v>0</v>
      </c>
      <c r="Y119" s="2">
        <f>Y9/'Output-Calculation-sheet'!Y8*'Output-Calculation-sheet'!Y98</f>
        <v>873006042.92143095</v>
      </c>
      <c r="AA119" s="2">
        <f t="shared" si="10"/>
        <v>245404.89831318764</v>
      </c>
    </row>
    <row r="120" spans="1:27" x14ac:dyDescent="0.25">
      <c r="A120" s="2">
        <v>2033</v>
      </c>
      <c r="B120" s="2">
        <f>B10/'Output-Calculation-sheet'!B9*'Output-Calculation-sheet'!B99</f>
        <v>84674639260.226151</v>
      </c>
      <c r="C120" s="2">
        <f>C10/'Output-Calculation-sheet'!C9*'Output-Calculation-sheet'!C99</f>
        <v>0</v>
      </c>
      <c r="D120" s="2">
        <f>D10/'Output-Calculation-sheet'!D9*'Output-Calculation-sheet'!D99</f>
        <v>44463254493.008171</v>
      </c>
      <c r="E120" s="2">
        <f>E10/'Output-Calculation-sheet'!E9*'Output-Calculation-sheet'!E99</f>
        <v>35277075855.458473</v>
      </c>
      <c r="F120" s="2">
        <f>F10/'Output-Calculation-sheet'!F9*'Output-Calculation-sheet'!F99</f>
        <v>22709119633.770859</v>
      </c>
      <c r="G120" s="2">
        <f>G10/'Output-Calculation-sheet'!G9*'Output-Calculation-sheet'!G99</f>
        <v>15956050689.653906</v>
      </c>
      <c r="H120" s="2">
        <f>H10/'Output-Calculation-sheet'!H9*'Output-Calculation-sheet'!H99</f>
        <v>0</v>
      </c>
      <c r="I120" s="2">
        <f>I10/'Output-Calculation-sheet'!I9*'Output-Calculation-sheet'!I99</f>
        <v>14537220062.977062</v>
      </c>
      <c r="J120" s="2">
        <f>J10/'Output-Calculation-sheet'!J9*'Output-Calculation-sheet'!J99</f>
        <v>14149523227.8918</v>
      </c>
      <c r="K120" s="2">
        <f>K10/'Output-Calculation-sheet'!K9*'Output-Calculation-sheet'!K99</f>
        <v>14014206240.298395</v>
      </c>
      <c r="L120" s="2">
        <f>L10/'Output-Calculation-sheet'!L9*'Output-Calculation-sheet'!L99</f>
        <v>11242114672.963104</v>
      </c>
      <c r="M120" s="2">
        <f>M10/'Output-Calculation-sheet'!M9*'Output-Calculation-sheet'!M99</f>
        <v>0</v>
      </c>
      <c r="N120" s="2">
        <f>N10/'Output-Calculation-sheet'!N9*'Output-Calculation-sheet'!N99</f>
        <v>4214661113.3434658</v>
      </c>
      <c r="O120" s="2">
        <f>O10/'Output-Calculation-sheet'!O9*'Output-Calculation-sheet'!O99</f>
        <v>0</v>
      </c>
      <c r="P120" s="2">
        <f>P10/'Output-Calculation-sheet'!P9*'Output-Calculation-sheet'!P99</f>
        <v>9593996790.8183517</v>
      </c>
      <c r="Q120" s="2">
        <f>Q10/'Output-Calculation-sheet'!Q9*'Output-Calculation-sheet'!Q99</f>
        <v>9233504799.8964577</v>
      </c>
      <c r="R120" s="2">
        <f>R10/'Output-Calculation-sheet'!R9*'Output-Calculation-sheet'!R99</f>
        <v>9080805903.2250881</v>
      </c>
      <c r="S120" s="2">
        <f>S10/'Output-Calculation-sheet'!S9*'Output-Calculation-sheet'!S99</f>
        <v>3483078453.6752396</v>
      </c>
      <c r="T120" s="2">
        <f>T10/'Output-Calculation-sheet'!T9*'Output-Calculation-sheet'!T99</f>
        <v>3338154031.4960136</v>
      </c>
      <c r="U120" s="2">
        <f>U10/'Output-Calculation-sheet'!U9*'Output-Calculation-sheet'!U99</f>
        <v>2908067968.9704719</v>
      </c>
      <c r="V120" s="2">
        <f>V10/'Output-Calculation-sheet'!V9*'Output-Calculation-sheet'!V99</f>
        <v>2238789897.4656734</v>
      </c>
      <c r="W120" s="2">
        <f>W10/'Output-Calculation-sheet'!W9*'Output-Calculation-sheet'!W99</f>
        <v>1938295886.2457986</v>
      </c>
      <c r="X120" s="2">
        <f>X10/'Output-Calculation-sheet'!X9*'Output-Calculation-sheet'!X99</f>
        <v>0</v>
      </c>
      <c r="Y120" s="2">
        <f>Y10/'Output-Calculation-sheet'!Y9*'Output-Calculation-sheet'!Y99</f>
        <v>1130985485.4419155</v>
      </c>
      <c r="AA120" s="2">
        <f t="shared" si="10"/>
        <v>304183.54446682642</v>
      </c>
    </row>
    <row r="121" spans="1:27" x14ac:dyDescent="0.25">
      <c r="A121" s="2">
        <v>2034</v>
      </c>
      <c r="B121" s="2">
        <f>B11/'Output-Calculation-sheet'!B10*'Output-Calculation-sheet'!B100</f>
        <v>78322814342.904968</v>
      </c>
      <c r="C121" s="2">
        <f>C11/'Output-Calculation-sheet'!C10*'Output-Calculation-sheet'!C100</f>
        <v>0</v>
      </c>
      <c r="D121" s="2">
        <f>D11/'Output-Calculation-sheet'!D10*'Output-Calculation-sheet'!D100</f>
        <v>54259684291.465721</v>
      </c>
      <c r="E121" s="2">
        <f>E11/'Output-Calculation-sheet'!E10*'Output-Calculation-sheet'!E100</f>
        <v>42010480206.76973</v>
      </c>
      <c r="F121" s="2">
        <f>F11/'Output-Calculation-sheet'!F10*'Output-Calculation-sheet'!F100</f>
        <v>27712389420.541431</v>
      </c>
      <c r="G121" s="2">
        <f>G11/'Output-Calculation-sheet'!G10*'Output-Calculation-sheet'!G100</f>
        <v>19470535341.362347</v>
      </c>
      <c r="H121" s="2">
        <f>H11/'Output-Calculation-sheet'!H10*'Output-Calculation-sheet'!H100</f>
        <v>0</v>
      </c>
      <c r="I121" s="2">
        <f>I11/'Output-Calculation-sheet'!I10*'Output-Calculation-sheet'!I100</f>
        <v>17739522326.876888</v>
      </c>
      <c r="J121" s="2">
        <f>J11/'Output-Calculation-sheet'!J10*'Output-Calculation-sheet'!J100</f>
        <v>17266613324.393108</v>
      </c>
      <c r="K121" s="2">
        <f>K11/'Output-Calculation-sheet'!K10*'Output-Calculation-sheet'!K100</f>
        <v>17101509683.050859</v>
      </c>
      <c r="L121" s="2">
        <f>L11/'Output-Calculation-sheet'!L10*'Output-Calculation-sheet'!L100</f>
        <v>12855493620.438084</v>
      </c>
      <c r="M121" s="2">
        <f>M11/'Output-Calculation-sheet'!M10*'Output-Calculation-sheet'!M100</f>
        <v>8.7751497814695109E-7</v>
      </c>
      <c r="N121" s="2">
        <f>N11/'Output-Calculation-sheet'!N10*'Output-Calculation-sheet'!N100</f>
        <v>3797682574.5460052</v>
      </c>
      <c r="O121" s="2">
        <f>O11/'Output-Calculation-sheet'!O10*'Output-Calculation-sheet'!O100</f>
        <v>0</v>
      </c>
      <c r="P121" s="2">
        <f>P11/'Output-Calculation-sheet'!P10*'Output-Calculation-sheet'!P100</f>
        <v>11707325405.893118</v>
      </c>
      <c r="Q121" s="2">
        <f>Q11/'Output-Calculation-sheet'!Q10*'Output-Calculation-sheet'!Q100</f>
        <v>9212154959.1539936</v>
      </c>
      <c r="R121" s="2">
        <f>R11/'Output-Calculation-sheet'!R10*'Output-Calculation-sheet'!R100</f>
        <v>11081063193.499706</v>
      </c>
      <c r="S121" s="2">
        <f>S11/'Output-Calculation-sheet'!S10*'Output-Calculation-sheet'!S100</f>
        <v>2908265491.6882696</v>
      </c>
      <c r="T121" s="2">
        <f>T11/'Output-Calculation-sheet'!T10*'Output-Calculation-sheet'!T100</f>
        <v>4073396938.5764213</v>
      </c>
      <c r="U121" s="2">
        <f>U11/'Output-Calculation-sheet'!U10*'Output-Calculation-sheet'!U100</f>
        <v>3549941825.4327197</v>
      </c>
      <c r="V121" s="2">
        <f>V11/'Output-Calculation-sheet'!V10*'Output-Calculation-sheet'!V100</f>
        <v>2732822256.87956</v>
      </c>
      <c r="W121" s="2">
        <f>W11/'Output-Calculation-sheet'!W10*'Output-Calculation-sheet'!W100</f>
        <v>2365423941.4807749</v>
      </c>
      <c r="X121" s="2">
        <f>X11/'Output-Calculation-sheet'!X10*'Output-Calculation-sheet'!X100</f>
        <v>105009474.11300179</v>
      </c>
      <c r="Y121" s="2">
        <f>Y11/'Output-Calculation-sheet'!Y10*'Output-Calculation-sheet'!Y100</f>
        <v>1323340715.3960357</v>
      </c>
      <c r="AA121" s="2">
        <f t="shared" si="10"/>
        <v>339595.46933446283</v>
      </c>
    </row>
    <row r="122" spans="1:27" x14ac:dyDescent="0.25">
      <c r="A122" s="2">
        <v>2035</v>
      </c>
      <c r="B122" s="2">
        <f>B12/'Output-Calculation-sheet'!B11*'Output-Calculation-sheet'!B101</f>
        <v>75992522255.326996</v>
      </c>
      <c r="C122" s="2">
        <f>C12/'Output-Calculation-sheet'!C11*'Output-Calculation-sheet'!C101</f>
        <v>0</v>
      </c>
      <c r="D122" s="2">
        <f>D12/'Output-Calculation-sheet'!D11*'Output-Calculation-sheet'!D101</f>
        <v>59044780601.593971</v>
      </c>
      <c r="E122" s="2">
        <f>E12/'Output-Calculation-sheet'!E11*'Output-Calculation-sheet'!E101</f>
        <v>41728419986.244431</v>
      </c>
      <c r="F122" s="2">
        <f>F12/'Output-Calculation-sheet'!F11*'Output-Calculation-sheet'!F101</f>
        <v>31053175546.218349</v>
      </c>
      <c r="G122" s="2">
        <f>G12/'Output-Calculation-sheet'!G11*'Output-Calculation-sheet'!G101</f>
        <v>21497134240.739372</v>
      </c>
      <c r="H122" s="2">
        <f>H12/'Output-Calculation-sheet'!H11*'Output-Calculation-sheet'!H101</f>
        <v>0</v>
      </c>
      <c r="I122" s="2">
        <f>I12/'Output-Calculation-sheet'!I11*'Output-Calculation-sheet'!I101</f>
        <v>19638757693.654327</v>
      </c>
      <c r="J122" s="2">
        <f>J12/'Output-Calculation-sheet'!J11*'Output-Calculation-sheet'!J101</f>
        <v>18936877216.641239</v>
      </c>
      <c r="K122" s="2">
        <f>K12/'Output-Calculation-sheet'!K11*'Output-Calculation-sheet'!K101</f>
        <v>19042337636.642727</v>
      </c>
      <c r="L122" s="2">
        <f>L12/'Output-Calculation-sheet'!L11*'Output-Calculation-sheet'!L101</f>
        <v>13104456477.250059</v>
      </c>
      <c r="M122" s="2">
        <f>M12/'Output-Calculation-sheet'!M11*'Output-Calculation-sheet'!M101</f>
        <v>0</v>
      </c>
      <c r="N122" s="2">
        <f>N12/'Output-Calculation-sheet'!N11*'Output-Calculation-sheet'!N101</f>
        <v>3687669109.3223867</v>
      </c>
      <c r="O122" s="2">
        <f>O12/'Output-Calculation-sheet'!O11*'Output-Calculation-sheet'!O101</f>
        <v>0</v>
      </c>
      <c r="P122" s="2">
        <f>P12/'Output-Calculation-sheet'!P11*'Output-Calculation-sheet'!P101</f>
        <v>12691677219.780991</v>
      </c>
      <c r="Q122" s="2">
        <f>Q12/'Output-Calculation-sheet'!Q11*'Output-Calculation-sheet'!Q101</f>
        <v>9002698927.1260109</v>
      </c>
      <c r="R122" s="2">
        <f>R12/'Output-Calculation-sheet'!R11*'Output-Calculation-sheet'!R101</f>
        <v>12410393371.326523</v>
      </c>
      <c r="S122" s="2">
        <f>S12/'Output-Calculation-sheet'!S11*'Output-Calculation-sheet'!S101</f>
        <v>2720653400.8328495</v>
      </c>
      <c r="T122" s="2">
        <f>T12/'Output-Calculation-sheet'!T11*'Output-Calculation-sheet'!T101</f>
        <v>4628101924.337863</v>
      </c>
      <c r="U122" s="2">
        <f>U12/'Output-Calculation-sheet'!U11*'Output-Calculation-sheet'!U101</f>
        <v>3757320488.4345727</v>
      </c>
      <c r="V122" s="2">
        <f>V12/'Output-Calculation-sheet'!V11*'Output-Calculation-sheet'!V101</f>
        <v>3121147959.2817321</v>
      </c>
      <c r="W122" s="2">
        <f>W12/'Output-Calculation-sheet'!W11*'Output-Calculation-sheet'!W101</f>
        <v>2721621543.9539251</v>
      </c>
      <c r="X122" s="2">
        <f>X12/'Output-Calculation-sheet'!X11*'Output-Calculation-sheet'!X101</f>
        <v>100226959.20653732</v>
      </c>
      <c r="Y122" s="2">
        <f>Y12/'Output-Calculation-sheet'!Y11*'Output-Calculation-sheet'!Y101</f>
        <v>1228698293.7122769</v>
      </c>
      <c r="AA122" s="2">
        <f t="shared" si="10"/>
        <v>356108.67085162719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57877428740.767235</v>
      </c>
      <c r="C129" s="2">
        <f>C8/'Output-Calculation-sheet'!C7*'Output-Calculation-sheet'!C106</f>
        <v>27274762182.459599</v>
      </c>
      <c r="D129" s="2">
        <f>D8/'Output-Calculation-sheet'!D7*'Output-Calculation-sheet'!D106</f>
        <v>24309186545.576733</v>
      </c>
      <c r="E129" s="2">
        <f>E8/'Output-Calculation-sheet'!E7*'Output-Calculation-sheet'!E106</f>
        <v>19286872705.49115</v>
      </c>
      <c r="F129" s="2">
        <f>F8/'Output-Calculation-sheet'!F7*'Output-Calculation-sheet'!F106</f>
        <v>12415652063.251659</v>
      </c>
      <c r="G129" s="2">
        <f>G8/'Output-Calculation-sheet'!G7*'Output-Calculation-sheet'!G106</f>
        <v>8723577878.0145607</v>
      </c>
      <c r="H129" s="2">
        <f>H8/'Output-Calculation-sheet'!H7*'Output-Calculation-sheet'!H106</f>
        <v>8509515349.9097233</v>
      </c>
      <c r="I129" s="2">
        <f>I8/'Output-Calculation-sheet'!I7*'Output-Calculation-sheet'!I106</f>
        <v>7947866142.5059605</v>
      </c>
      <c r="J129" s="2">
        <f>J8/'Output-Calculation-sheet'!J7*'Output-Calculation-sheet'!J106</f>
        <v>7735905487.448595</v>
      </c>
      <c r="K129" s="2">
        <f>K8/'Output-Calculation-sheet'!K7*'Output-Calculation-sheet'!K106</f>
        <v>7661741454.8884315</v>
      </c>
      <c r="L129" s="2">
        <f>L8/'Output-Calculation-sheet'!L7*'Output-Calculation-sheet'!L106</f>
        <v>6146348618.9847517</v>
      </c>
      <c r="M129" s="2">
        <f>M8/'Output-Calculation-sheet'!M7*'Output-Calculation-sheet'!M106</f>
        <v>5870823790.5977478</v>
      </c>
      <c r="N129" s="2">
        <f>N8/'Output-Calculation-sheet'!N7*'Output-Calculation-sheet'!N106</f>
        <v>5762197711.4913282</v>
      </c>
      <c r="O129" s="2">
        <f>O8/'Output-Calculation-sheet'!O7*'Output-Calculation-sheet'!O106</f>
        <v>5299508936.0951672</v>
      </c>
      <c r="P129" s="2">
        <f>P8/'Output-Calculation-sheet'!P7*'Output-Calculation-sheet'!P106</f>
        <v>5245591654.053937</v>
      </c>
      <c r="Q129" s="2">
        <f>Q8/'Output-Calculation-sheet'!Q7*'Output-Calculation-sheet'!Q106</f>
        <v>5160813437.0071316</v>
      </c>
      <c r="R129" s="2">
        <f>R8/'Output-Calculation-sheet'!R7*'Output-Calculation-sheet'!R106</f>
        <v>4964939873.6305485</v>
      </c>
      <c r="S129" s="2">
        <f>S8/'Output-Calculation-sheet'!S7*'Output-Calculation-sheet'!S106</f>
        <v>3299953382.3725429</v>
      </c>
      <c r="T129" s="2">
        <f>T8/'Output-Calculation-sheet'!T7*'Output-Calculation-sheet'!T106</f>
        <v>1825069562.0191336</v>
      </c>
      <c r="U129" s="2">
        <f>U8/'Output-Calculation-sheet'!U7*'Output-Calculation-sheet'!U106</f>
        <v>1589572916.397728</v>
      </c>
      <c r="V129" s="2">
        <f>V8/'Output-Calculation-sheet'!V7*'Output-Calculation-sheet'!V106</f>
        <v>1224003418.0705693</v>
      </c>
      <c r="W129" s="2">
        <f>W8/'Output-Calculation-sheet'!W7*'Output-Calculation-sheet'!W106</f>
        <v>1059715277.2739319</v>
      </c>
      <c r="X129" s="2">
        <f>X8/'Output-Calculation-sheet'!X7*'Output-Calculation-sheet'!X106</f>
        <v>635829291.40047777</v>
      </c>
      <c r="Y129" s="2">
        <f>Y8/'Output-Calculation-sheet'!Y7*'Output-Calculation-sheet'!Y106</f>
        <v>618337747.85246551</v>
      </c>
      <c r="AA129" s="2">
        <f t="shared" si="11"/>
        <v>230445.21416756109</v>
      </c>
    </row>
    <row r="130" spans="1:27" x14ac:dyDescent="0.25">
      <c r="A130" s="2">
        <v>2032</v>
      </c>
      <c r="B130" s="2">
        <f>B9/'Output-Calculation-sheet'!B8*'Output-Calculation-sheet'!B107</f>
        <v>49028897475.651031</v>
      </c>
      <c r="C130" s="2">
        <f>C9/'Output-Calculation-sheet'!C8*'Output-Calculation-sheet'!C107</f>
        <v>23104879107.124775</v>
      </c>
      <c r="D130" s="2">
        <f>D9/'Output-Calculation-sheet'!D8*'Output-Calculation-sheet'!D107</f>
        <v>20592696157.883884</v>
      </c>
      <c r="E130" s="2">
        <f>E9/'Output-Calculation-sheet'!E8*'Output-Calculation-sheet'!E107</f>
        <v>16338212584.637581</v>
      </c>
      <c r="F130" s="2">
        <f>F9/'Output-Calculation-sheet'!F8*'Output-Calculation-sheet'!F107</f>
        <v>10517499158.936867</v>
      </c>
      <c r="G130" s="2">
        <f>G9/'Output-Calculation-sheet'!G8*'Output-Calculation-sheet'!G107</f>
        <v>7389883594.4217072</v>
      </c>
      <c r="H130" s="2">
        <f>H9/'Output-Calculation-sheet'!H8*'Output-Calculation-sheet'!H107</f>
        <v>7208545894.9075842</v>
      </c>
      <c r="I130" s="2">
        <f>I9/'Output-Calculation-sheet'!I8*'Output-Calculation-sheet'!I107</f>
        <v>6732764777.4381695</v>
      </c>
      <c r="J130" s="2">
        <f>J9/'Output-Calculation-sheet'!J8*'Output-Calculation-sheet'!J107</f>
        <v>6553206953.8461533</v>
      </c>
      <c r="K130" s="2">
        <f>K9/'Output-Calculation-sheet'!K8*'Output-Calculation-sheet'!K107</f>
        <v>6490383134.8121605</v>
      </c>
      <c r="L130" s="2">
        <f>L9/'Output-Calculation-sheet'!L8*'Output-Calculation-sheet'!L107</f>
        <v>5206670420.21418</v>
      </c>
      <c r="M130" s="2">
        <f>M9/'Output-Calculation-sheet'!M8*'Output-Calculation-sheet'!M107</f>
        <v>4973269559.2420244</v>
      </c>
      <c r="N130" s="2">
        <f>N9/'Output-Calculation-sheet'!N8*'Output-Calculation-sheet'!N107</f>
        <v>4881247504.0713396</v>
      </c>
      <c r="O130" s="2">
        <f>O9/'Output-Calculation-sheet'!O8*'Output-Calculation-sheet'!O107</f>
        <v>4489298957.9752836</v>
      </c>
      <c r="P130" s="2">
        <f>P9/'Output-Calculation-sheet'!P8*'Output-Calculation-sheet'!P107</f>
        <v>4443623599.3071308</v>
      </c>
      <c r="Q130" s="2">
        <f>Q9/'Output-Calculation-sheet'!Q8*'Output-Calculation-sheet'!Q107</f>
        <v>4371808862.0429478</v>
      </c>
      <c r="R130" s="2">
        <f>R9/'Output-Calculation-sheet'!R8*'Output-Calculation-sheet'!R107</f>
        <v>4205880687.2641344</v>
      </c>
      <c r="S130" s="2">
        <f>S9/'Output-Calculation-sheet'!S8*'Output-Calculation-sheet'!S107</f>
        <v>2795443395.4651737</v>
      </c>
      <c r="T130" s="2">
        <f>T9/'Output-Calculation-sheet'!T8*'Output-Calculation-sheet'!T107</f>
        <v>1546045677.4501362</v>
      </c>
      <c r="U130" s="2">
        <f>U9/'Output-Calculation-sheet'!U8*'Output-Calculation-sheet'!U107</f>
        <v>1346552517.9735038</v>
      </c>
      <c r="V130" s="2">
        <f>V9/'Output-Calculation-sheet'!V8*'Output-Calculation-sheet'!V107</f>
        <v>1036872369.6068795</v>
      </c>
      <c r="W130" s="2">
        <f>W9/'Output-Calculation-sheet'!W8*'Output-Calculation-sheet'!W107</f>
        <v>897701913.75203669</v>
      </c>
      <c r="X130" s="2">
        <f>X9/'Output-Calculation-sheet'!X8*'Output-Calculation-sheet'!X107</f>
        <v>538621042.56742156</v>
      </c>
      <c r="Y130" s="2">
        <f>Y9/'Output-Calculation-sheet'!Y8*'Output-Calculation-sheet'!Y107</f>
        <v>523803680.08502829</v>
      </c>
      <c r="AA130" s="2">
        <f t="shared" si="11"/>
        <v>195213.80902667713</v>
      </c>
    </row>
    <row r="131" spans="1:27" x14ac:dyDescent="0.25">
      <c r="A131" s="2">
        <v>2033</v>
      </c>
      <c r="B131" s="2">
        <f>B10/'Output-Calculation-sheet'!B9*'Output-Calculation-sheet'!B108</f>
        <v>35287338913.511795</v>
      </c>
      <c r="C131" s="2">
        <f>C10/'Output-Calculation-sheet'!C9*'Output-Calculation-sheet'!C108</f>
        <v>20649950748.385387</v>
      </c>
      <c r="D131" s="2">
        <f>D10/'Output-Calculation-sheet'!D9*'Output-Calculation-sheet'!D108</f>
        <v>14821088692.893894</v>
      </c>
      <c r="E131" s="2">
        <f>E10/'Output-Calculation-sheet'!E9*'Output-Calculation-sheet'!E108</f>
        <v>11759025285.152824</v>
      </c>
      <c r="F131" s="2">
        <f>F10/'Output-Calculation-sheet'!F9*'Output-Calculation-sheet'!F108</f>
        <v>7569706544.5902863</v>
      </c>
      <c r="G131" s="2">
        <f>G10/'Output-Calculation-sheet'!G9*'Output-Calculation-sheet'!G108</f>
        <v>5318683563.2179689</v>
      </c>
      <c r="H131" s="2">
        <f>H10/'Output-Calculation-sheet'!H9*'Output-Calculation-sheet'!H108</f>
        <v>5188171648.7658215</v>
      </c>
      <c r="I131" s="2">
        <f>I10/'Output-Calculation-sheet'!I9*'Output-Calculation-sheet'!I108</f>
        <v>4845741267.0259752</v>
      </c>
      <c r="J131" s="2">
        <f>J10/'Output-Calculation-sheet'!J9*'Output-Calculation-sheet'!J108</f>
        <v>4716508975.7947903</v>
      </c>
      <c r="K131" s="2">
        <f>K10/'Output-Calculation-sheet'!K9*'Output-Calculation-sheet'!K108</f>
        <v>4671291861.1572475</v>
      </c>
      <c r="L131" s="2">
        <f>L10/'Output-Calculation-sheet'!L9*'Output-Calculation-sheet'!L108</f>
        <v>3747372531.4412723</v>
      </c>
      <c r="M131" s="2">
        <f>M10/'Output-Calculation-sheet'!M9*'Output-Calculation-sheet'!M108</f>
        <v>3579386168.6379428</v>
      </c>
      <c r="N131" s="2">
        <f>N10/'Output-Calculation-sheet'!N9*'Output-Calculation-sheet'!N108</f>
        <v>3513156506.2410579</v>
      </c>
      <c r="O131" s="2">
        <f>O10/'Output-Calculation-sheet'!O9*'Output-Calculation-sheet'!O108</f>
        <v>4557239935.0356731</v>
      </c>
      <c r="P131" s="2">
        <f>P10/'Output-Calculation-sheet'!P9*'Output-Calculation-sheet'!P108</f>
        <v>3198189260.3516068</v>
      </c>
      <c r="Q131" s="2">
        <f>Q10/'Output-Calculation-sheet'!Q9*'Output-Calculation-sheet'!Q108</f>
        <v>3146500712.1474638</v>
      </c>
      <c r="R131" s="2">
        <f>R10/'Output-Calculation-sheet'!R9*'Output-Calculation-sheet'!R108</f>
        <v>3027077245.9997091</v>
      </c>
      <c r="S131" s="2">
        <f>S10/'Output-Calculation-sheet'!S9*'Output-Calculation-sheet'!S108</f>
        <v>2011951388.23895</v>
      </c>
      <c r="T131" s="2">
        <f>T10/'Output-Calculation-sheet'!T9*'Output-Calculation-sheet'!T108</f>
        <v>1112727346.4337561</v>
      </c>
      <c r="U131" s="2">
        <f>U10/'Output-Calculation-sheet'!U9*'Output-Calculation-sheet'!U108</f>
        <v>969147689.30855584</v>
      </c>
      <c r="V131" s="2">
        <f>V10/'Output-Calculation-sheet'!V9*'Output-Calculation-sheet'!V108</f>
        <v>746263103.51763582</v>
      </c>
      <c r="W131" s="2">
        <f>W10/'Output-Calculation-sheet'!W9*'Output-Calculation-sheet'!W108</f>
        <v>646098459.34116006</v>
      </c>
      <c r="X131" s="2">
        <f>X10/'Output-Calculation-sheet'!X9*'Output-Calculation-sheet'!X108</f>
        <v>387658999.88152939</v>
      </c>
      <c r="Y131" s="2">
        <f>Y10/'Output-Calculation-sheet'!Y9*'Output-Calculation-sheet'!Y108</f>
        <v>376994575.25055134</v>
      </c>
      <c r="AA131" s="2">
        <f t="shared" si="11"/>
        <v>145847.27142232284</v>
      </c>
    </row>
    <row r="132" spans="1:27" x14ac:dyDescent="0.25">
      <c r="A132" s="2">
        <v>2034</v>
      </c>
      <c r="B132" s="2">
        <f>B11/'Output-Calculation-sheet'!B10*'Output-Calculation-sheet'!B109</f>
        <v>18455171409.462856</v>
      </c>
      <c r="C132" s="2">
        <f>C11/'Output-Calculation-sheet'!C10*'Output-Calculation-sheet'!C109</f>
        <v>20843120792.537457</v>
      </c>
      <c r="D132" s="2">
        <f>D11/'Output-Calculation-sheet'!D10*'Output-Calculation-sheet'!D109</f>
        <v>7751384508.9420853</v>
      </c>
      <c r="E132" s="2">
        <f>E11/'Output-Calculation-sheet'!E10*'Output-Calculation-sheet'!E109</f>
        <v>6149936541.4199791</v>
      </c>
      <c r="F132" s="2">
        <f>F11/'Output-Calculation-sheet'!F10*'Output-Calculation-sheet'!F109</f>
        <v>3958934840.0484152</v>
      </c>
      <c r="G132" s="2">
        <f>G11/'Output-Calculation-sheet'!G10*'Output-Calculation-sheet'!G109</f>
        <v>2781656703.3704677</v>
      </c>
      <c r="H132" s="2">
        <f>H11/'Output-Calculation-sheet'!H10*'Output-Calculation-sheet'!H109</f>
        <v>2713398911.2337713</v>
      </c>
      <c r="I132" s="2">
        <f>I11/'Output-Calculation-sheet'!I10*'Output-Calculation-sheet'!I109</f>
        <v>2534308020.4397445</v>
      </c>
      <c r="J132" s="2">
        <f>J11/'Output-Calculation-sheet'!J10*'Output-Calculation-sheet'!J109</f>
        <v>2466720297.3422136</v>
      </c>
      <c r="K132" s="2">
        <f>K11/'Output-Calculation-sheet'!K10*'Output-Calculation-sheet'!K109</f>
        <v>2443072647.1667194</v>
      </c>
      <c r="L132" s="2">
        <f>L11/'Output-Calculation-sheet'!L10*'Output-Calculation-sheet'!L109</f>
        <v>1959864794.3453293</v>
      </c>
      <c r="M132" s="2">
        <f>M11/'Output-Calculation-sheet'!M10*'Output-Calculation-sheet'!M109</f>
        <v>1872008713.35431</v>
      </c>
      <c r="N132" s="2">
        <f>N11/'Output-Calculation-sheet'!N10*'Output-Calculation-sheet'!N109</f>
        <v>1837371359.2362926</v>
      </c>
      <c r="O132" s="2">
        <f>O11/'Output-Calculation-sheet'!O10*'Output-Calculation-sheet'!O109</f>
        <v>4561549903.5112143</v>
      </c>
      <c r="P132" s="2">
        <f>P11/'Output-Calculation-sheet'!P10*'Output-Calculation-sheet'!P109</f>
        <v>1672643296.0125914</v>
      </c>
      <c r="Q132" s="2">
        <f>Q11/'Output-Calculation-sheet'!Q10*'Output-Calculation-sheet'!Q109</f>
        <v>1645610610.0424447</v>
      </c>
      <c r="R132" s="2">
        <f>R11/'Output-Calculation-sheet'!R10*'Output-Calculation-sheet'!R109</f>
        <v>1583152976.3118076</v>
      </c>
      <c r="S132" s="2">
        <f>S11/'Output-Calculation-sheet'!S10*'Output-Calculation-sheet'!S109</f>
        <v>1052244649.7289584</v>
      </c>
      <c r="T132" s="2">
        <f>T11/'Output-Calculation-sheet'!T10*'Output-Calculation-sheet'!T109</f>
        <v>581953397.97325051</v>
      </c>
      <c r="U132" s="2">
        <f>U11/'Output-Calculation-sheet'!U10*'Output-Calculation-sheet'!U109</f>
        <v>506861545.08376426</v>
      </c>
      <c r="V132" s="2">
        <f>V11/'Output-Calculation-sheet'!V10*'Output-Calculation-sheet'!V109</f>
        <v>390293526.92408943</v>
      </c>
      <c r="W132" s="2">
        <f>W11/'Output-Calculation-sheet'!W10*'Output-Calculation-sheet'!W109</f>
        <v>337907696.70181143</v>
      </c>
      <c r="X132" s="2">
        <f>X11/'Output-Calculation-sheet'!X10*'Output-Calculation-sheet'!X109</f>
        <v>228926581.60307691</v>
      </c>
      <c r="Y132" s="2">
        <f>Y11/'Output-Calculation-sheet'!Y10*'Output-Calculation-sheet'!Y109</f>
        <v>197167144.34175146</v>
      </c>
      <c r="AA132" s="2">
        <f t="shared" si="11"/>
        <v>88525.260867134435</v>
      </c>
    </row>
    <row r="133" spans="1:27" x14ac:dyDescent="0.25">
      <c r="A133" s="2">
        <v>2035</v>
      </c>
      <c r="B133" s="2">
        <f>B12/'Output-Calculation-sheet'!B11*'Output-Calculation-sheet'!B110</f>
        <v>12723797787.47665</v>
      </c>
      <c r="C133" s="2">
        <f>C12/'Output-Calculation-sheet'!C11*'Output-Calculation-sheet'!C110</f>
        <v>20439785018.108936</v>
      </c>
      <c r="D133" s="2">
        <f>D12/'Output-Calculation-sheet'!D11*'Output-Calculation-sheet'!D110</f>
        <v>5553818113.3505659</v>
      </c>
      <c r="E133" s="2">
        <f>E12/'Output-Calculation-sheet'!E11*'Output-Calculation-sheet'!E110</f>
        <v>2660861352.7844005</v>
      </c>
      <c r="F133" s="2">
        <f>F12/'Output-Calculation-sheet'!F11*'Output-Calculation-sheet'!F110</f>
        <v>2030409012.9627604</v>
      </c>
      <c r="G133" s="2">
        <f>G12/'Output-Calculation-sheet'!G11*'Output-Calculation-sheet'!G110</f>
        <v>1895531307.1761289</v>
      </c>
      <c r="H133" s="2">
        <f>H12/'Output-Calculation-sheet'!H11*'Output-Calculation-sheet'!H110</f>
        <v>2633478884.0757351</v>
      </c>
      <c r="I133" s="2">
        <f>I12/'Output-Calculation-sheet'!I11*'Output-Calculation-sheet'!I110</f>
        <v>1566535672.920507</v>
      </c>
      <c r="J133" s="2">
        <f>J12/'Output-Calculation-sheet'!J11*'Output-Calculation-sheet'!J110</f>
        <v>1525620308.0317957</v>
      </c>
      <c r="K133" s="2">
        <f>K12/'Output-Calculation-sheet'!K11*'Output-Calculation-sheet'!K110</f>
        <v>1319993833.2977009</v>
      </c>
      <c r="L133" s="2">
        <f>L12/'Output-Calculation-sheet'!L11*'Output-Calculation-sheet'!L110</f>
        <v>689925738.01484418</v>
      </c>
      <c r="M133" s="2">
        <f>M12/'Output-Calculation-sheet'!M11*'Output-Calculation-sheet'!M110</f>
        <v>1399900287.0231097</v>
      </c>
      <c r="N133" s="2">
        <f>N12/'Output-Calculation-sheet'!N11*'Output-Calculation-sheet'!N110</f>
        <v>1261473436.3060591</v>
      </c>
      <c r="O133" s="2">
        <f>O12/'Output-Calculation-sheet'!O11*'Output-Calculation-sheet'!O110</f>
        <v>4489148983.3071547</v>
      </c>
      <c r="P133" s="2">
        <f>P12/'Output-Calculation-sheet'!P11*'Output-Calculation-sheet'!P110</f>
        <v>929601357.11307073</v>
      </c>
      <c r="Q133" s="2">
        <f>Q12/'Output-Calculation-sheet'!Q11*'Output-Calculation-sheet'!Q110</f>
        <v>1282884743.7832115</v>
      </c>
      <c r="R133" s="2">
        <f>R12/'Output-Calculation-sheet'!R11*'Output-Calculation-sheet'!R110</f>
        <v>785181706.47799695</v>
      </c>
      <c r="S133" s="2">
        <f>S12/'Output-Calculation-sheet'!S11*'Output-Calculation-sheet'!S110</f>
        <v>770152907.16245651</v>
      </c>
      <c r="T133" s="2">
        <f>T12/'Output-Calculation-sheet'!T11*'Output-Calculation-sheet'!T110</f>
        <v>203293394.44785756</v>
      </c>
      <c r="U133" s="2">
        <f>U12/'Output-Calculation-sheet'!U11*'Output-Calculation-sheet'!U110</f>
        <v>400508198.40054065</v>
      </c>
      <c r="V133" s="2">
        <f>V12/'Output-Calculation-sheet'!V11*'Output-Calculation-sheet'!V110</f>
        <v>87583381.473019809</v>
      </c>
      <c r="W133" s="2">
        <f>W12/'Output-Calculation-sheet'!W11*'Output-Calculation-sheet'!W110</f>
        <v>108620425.81879613</v>
      </c>
      <c r="X133" s="2">
        <f>X12/'Output-Calculation-sheet'!X11*'Output-Calculation-sheet'!X110</f>
        <v>220423478.98918092</v>
      </c>
      <c r="Y133" s="2">
        <f>Y12/'Output-Calculation-sheet'!Y11*'Output-Calculation-sheet'!Y110</f>
        <v>95207035.130696043</v>
      </c>
      <c r="AA133" s="2">
        <f t="shared" si="11"/>
        <v>65073.736363633194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1245.2060664341511</v>
      </c>
      <c r="C19" s="2">
        <f>C8/'Output-Calculation-sheet'!C7*'Output-Calculation-sheet'!C25</f>
        <v>18769.28693736604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5599.4838483666836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3881.9425359041506</v>
      </c>
      <c r="N19" s="2">
        <f>N8/'Output-Calculation-sheet'!N7*'Output-Calculation-sheet'!N25</f>
        <v>1329.0342402712099</v>
      </c>
      <c r="O19" s="2">
        <f>O8/'Output-Calculation-sheet'!O7*'Output-Calculation-sheet'!O25</f>
        <v>3630.3598200318224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474.22039729743619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433.7295758425646</v>
      </c>
      <c r="Y19" s="2">
        <f>Y8/'Output-Calculation-sheet'!Y7*'Output-Calculation-sheet'!Y25</f>
        <v>0</v>
      </c>
      <c r="AA19" s="2">
        <f t="shared" si="0"/>
        <v>35.363263421514056</v>
      </c>
    </row>
    <row r="20" spans="1:27" x14ac:dyDescent="0.25">
      <c r="A20" s="2">
        <v>2032</v>
      </c>
      <c r="B20" s="2">
        <f>B9/'Output-Calculation-sheet'!B8*'Output-Calculation-sheet'!B26</f>
        <v>6641.5939850749764</v>
      </c>
      <c r="C20" s="2">
        <f>C9/'Output-Calculation-sheet'!C8*'Output-Calculation-sheet'!C26</f>
        <v>24322.459038196244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7216.9145840503788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5021.2297895655993</v>
      </c>
      <c r="N20" s="2">
        <f>N9/'Output-Calculation-sheet'!N8*'Output-Calculation-sheet'!N26</f>
        <v>2265.8065838188249</v>
      </c>
      <c r="O20" s="2">
        <f>O9/'Output-Calculation-sheet'!O8*'Output-Calculation-sheet'!O26</f>
        <v>4739.1251469800309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823.4556278925993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561.76882929904264</v>
      </c>
      <c r="Y20" s="2">
        <f>Y9/'Output-Calculation-sheet'!Y8*'Output-Calculation-sheet'!Y26</f>
        <v>0</v>
      </c>
      <c r="AA20" s="2">
        <f t="shared" si="0"/>
        <v>51.592353584877699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26279.68906855302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8086.4237788215687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5616.6724908432361</v>
      </c>
      <c r="N21" s="2">
        <f>N10/'Output-Calculation-sheet'!N9*'Output-Calculation-sheet'!N27</f>
        <v>3072.1500585215899</v>
      </c>
      <c r="O21" s="2">
        <f>O10/'Output-Calculation-sheet'!O9*'Output-Calculation-sheet'!O27</f>
        <v>4635.8138116059081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1337.4099358865003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660.48761303248659</v>
      </c>
      <c r="Y21" s="2">
        <f>Y10/'Output-Calculation-sheet'!Y9*'Output-Calculation-sheet'!Y27</f>
        <v>0</v>
      </c>
      <c r="AA21" s="2">
        <f t="shared" si="0"/>
        <v>63.885377735528081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22851.074505996872</v>
      </c>
      <c r="D22" s="2">
        <f>D11/'Output-Calculation-sheet'!D10*'Output-Calculation-sheet'!D28</f>
        <v>0</v>
      </c>
      <c r="E22" s="2">
        <f>E11/'Output-Calculation-sheet'!E10*'Output-Calculation-sheet'!E28</f>
        <v>1126.05268248414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9001.639904663949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682.61206011961565</v>
      </c>
      <c r="M22" s="2">
        <f>M11/'Output-Calculation-sheet'!M10*'Output-Calculation-sheet'!M28</f>
        <v>6203.025166106926</v>
      </c>
      <c r="N22" s="2">
        <f>N11/'Output-Calculation-sheet'!N10*'Output-Calculation-sheet'!N28</f>
        <v>3569.8755359517713</v>
      </c>
      <c r="O22" s="2">
        <f>O11/'Output-Calculation-sheet'!O10*'Output-Calculation-sheet'!O28</f>
        <v>4089.4634190261145</v>
      </c>
      <c r="P22" s="2">
        <f>P11/'Output-Calculation-sheet'!P10*'Output-Calculation-sheet'!P28</f>
        <v>0</v>
      </c>
      <c r="Q22" s="2">
        <f>Q11/'Output-Calculation-sheet'!Q10*'Output-Calculation-sheet'!Q28</f>
        <v>1338.8445967753787</v>
      </c>
      <c r="R22" s="2">
        <f>R11/'Output-Calculation-sheet'!R10*'Output-Calculation-sheet'!R28</f>
        <v>0</v>
      </c>
      <c r="S22" s="2">
        <f>S11/'Output-Calculation-sheet'!S10*'Output-Calculation-sheet'!S28</f>
        <v>1810.434109437316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626.33534594701825</v>
      </c>
      <c r="Y22" s="2">
        <f>Y11/'Output-Calculation-sheet'!Y10*'Output-Calculation-sheet'!Y28</f>
        <v>62.304988996953114</v>
      </c>
      <c r="AA22" s="2">
        <f t="shared" si="0"/>
        <v>73.772088053680179</v>
      </c>
    </row>
    <row r="23" spans="1:27" x14ac:dyDescent="0.25">
      <c r="A23" s="2">
        <v>2035</v>
      </c>
      <c r="B23" s="2">
        <f>B12/'Output-Calculation-sheet'!B11*'Output-Calculation-sheet'!B29</f>
        <v>20944.848367099599</v>
      </c>
      <c r="C23" s="2">
        <f>C12/'Output-Calculation-sheet'!C11*'Output-Calculation-sheet'!C29</f>
        <v>17912.943881249092</v>
      </c>
      <c r="D23" s="2">
        <f>D12/'Output-Calculation-sheet'!D11*'Output-Calculation-sheet'!D29</f>
        <v>0</v>
      </c>
      <c r="E23" s="2">
        <f>E12/'Output-Calculation-sheet'!E11*'Output-Calculation-sheet'!E29</f>
        <v>3999.3456751829194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6949.9735467442042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1169.704094638827</v>
      </c>
      <c r="M23" s="2">
        <f>M12/'Output-Calculation-sheet'!M11*'Output-Calculation-sheet'!M29</f>
        <v>5258.4669150329646</v>
      </c>
      <c r="N23" s="2">
        <f>N12/'Output-Calculation-sheet'!N11*'Output-Calculation-sheet'!N29</f>
        <v>3073.5390993501996</v>
      </c>
      <c r="O23" s="2">
        <f>O12/'Output-Calculation-sheet'!O11*'Output-Calculation-sheet'!O29</f>
        <v>3204.1722059721901</v>
      </c>
      <c r="P23" s="2">
        <f>P12/'Output-Calculation-sheet'!P11*'Output-Calculation-sheet'!P29</f>
        <v>422.20739591378293</v>
      </c>
      <c r="Q23" s="2">
        <f>Q12/'Output-Calculation-sheet'!Q11*'Output-Calculation-sheet'!Q29</f>
        <v>1345.086465681087</v>
      </c>
      <c r="R23" s="2">
        <f>R12/'Output-Calculation-sheet'!R11*'Output-Calculation-sheet'!R29</f>
        <v>0</v>
      </c>
      <c r="S23" s="2">
        <f>S12/'Output-Calculation-sheet'!S11*'Output-Calculation-sheet'!S29</f>
        <v>1596.8799515384569</v>
      </c>
      <c r="T23" s="2">
        <f>T12/'Output-Calculation-sheet'!T11*'Output-Calculation-sheet'!T29</f>
        <v>0</v>
      </c>
      <c r="U23" s="2">
        <f>U12/'Output-Calculation-sheet'!U11*'Output-Calculation-sheet'!U29</f>
        <v>92.670357674267422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498.06734315898791</v>
      </c>
      <c r="Y23" s="2">
        <f>Y12/'Output-Calculation-sheet'!Y11*'Output-Calculation-sheet'!Y29</f>
        <v>159.61539532415571</v>
      </c>
      <c r="AA23" s="2">
        <f t="shared" si="0"/>
        <v>66.627520694560744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21703.537237293542</v>
      </c>
      <c r="C30" s="2">
        <f>C8/'Output-Calculation-sheet'!C7*'Output-Calculation-sheet'!C16</f>
        <v>0</v>
      </c>
      <c r="D30" s="2">
        <f>D8/'Output-Calculation-sheet'!D7*'Output-Calculation-sheet'!D16</f>
        <v>3654.5887574843405</v>
      </c>
      <c r="E30" s="2">
        <f>E8/'Output-Calculation-sheet'!E7*'Output-Calculation-sheet'!E16</f>
        <v>3932.1310266165328</v>
      </c>
      <c r="F30" s="2">
        <f>F8/'Output-Calculation-sheet'!F7*'Output-Calculation-sheet'!F16</f>
        <v>1983.7810268674946</v>
      </c>
      <c r="G30" s="2">
        <f>G8/'Output-Calculation-sheet'!G7*'Output-Calculation-sheet'!G16</f>
        <v>1299.1409557209163</v>
      </c>
      <c r="H30" s="2">
        <f>H8/'Output-Calculation-sheet'!H7*'Output-Calculation-sheet'!H16</f>
        <v>0</v>
      </c>
      <c r="I30" s="2">
        <f>I8/'Output-Calculation-sheet'!I7*'Output-Calculation-sheet'!I16</f>
        <v>1266.4679097525275</v>
      </c>
      <c r="J30" s="2">
        <f>J8/'Output-Calculation-sheet'!J7*'Output-Calculation-sheet'!J16</f>
        <v>1127.3999609545099</v>
      </c>
      <c r="K30" s="2">
        <f>K8/'Output-Calculation-sheet'!K7*'Output-Calculation-sheet'!K16</f>
        <v>1505.2944388867145</v>
      </c>
      <c r="L30" s="2">
        <f>L8/'Output-Calculation-sheet'!L7*'Output-Calculation-sheet'!L16</f>
        <v>1271.4844100012049</v>
      </c>
      <c r="M30" s="2">
        <f>M8/'Output-Calculation-sheet'!M7*'Output-Calculation-sheet'!M16</f>
        <v>0</v>
      </c>
      <c r="N30" s="2">
        <f>N8/'Output-Calculation-sheet'!N7*'Output-Calculation-sheet'!N16</f>
        <v>1806.0364834064092</v>
      </c>
      <c r="O30" s="2">
        <f>O8/'Output-Calculation-sheet'!O7*'Output-Calculation-sheet'!O16</f>
        <v>0</v>
      </c>
      <c r="P30" s="2">
        <f>P8/'Output-Calculation-sheet'!P7*'Output-Calculation-sheet'!P16</f>
        <v>1623.2063304962246</v>
      </c>
      <c r="Q30" s="2">
        <f>Q8/'Output-Calculation-sheet'!Q7*'Output-Calculation-sheet'!Q16</f>
        <v>1784.9908836911525</v>
      </c>
      <c r="R30" s="2">
        <f>R8/'Output-Calculation-sheet'!R7*'Output-Calculation-sheet'!R16</f>
        <v>1132.5844739581023</v>
      </c>
      <c r="S30" s="2">
        <f>S8/'Output-Calculation-sheet'!S7*'Output-Calculation-sheet'!S16</f>
        <v>1139.0478700885742</v>
      </c>
      <c r="T30" s="2">
        <f>T8/'Output-Calculation-sheet'!T7*'Output-Calculation-sheet'!T16</f>
        <v>339.98557904038717</v>
      </c>
      <c r="U30" s="2">
        <f>U8/'Output-Calculation-sheet'!U7*'Output-Calculation-sheet'!U16</f>
        <v>339.37786343910676</v>
      </c>
      <c r="V30" s="2">
        <f>V8/'Output-Calculation-sheet'!V7*'Output-Calculation-sheet'!V16</f>
        <v>264.13134006004032</v>
      </c>
      <c r="W30" s="2">
        <f>W8/'Output-Calculation-sheet'!W7*'Output-Calculation-sheet'!W16</f>
        <v>160.20897327707809</v>
      </c>
      <c r="X30" s="2">
        <f>X8/'Output-Calculation-sheet'!X7*'Output-Calculation-sheet'!X16</f>
        <v>0</v>
      </c>
      <c r="Y30" s="2">
        <f>Y8/'Output-Calculation-sheet'!Y7*'Output-Calculation-sheet'!Y16</f>
        <v>135.59868214589898</v>
      </c>
      <c r="AA30" s="2">
        <f t="shared" si="1"/>
        <v>46.468994203180742</v>
      </c>
    </row>
    <row r="31" spans="1:27" x14ac:dyDescent="0.25">
      <c r="A31" s="2">
        <v>2032</v>
      </c>
      <c r="B31" s="2">
        <f>B9/'Output-Calculation-sheet'!B8*'Output-Calculation-sheet'!B17</f>
        <v>28122.703232383756</v>
      </c>
      <c r="C31" s="2">
        <f>C9/'Output-Calculation-sheet'!C8*'Output-Calculation-sheet'!C17</f>
        <v>0</v>
      </c>
      <c r="D31" s="2">
        <f>D9/'Output-Calculation-sheet'!D8*'Output-Calculation-sheet'!D17</f>
        <v>4716.5465730263959</v>
      </c>
      <c r="E31" s="2">
        <f>E9/'Output-Calculation-sheet'!E8*'Output-Calculation-sheet'!E17</f>
        <v>5543.6560832625137</v>
      </c>
      <c r="F31" s="2">
        <f>F9/'Output-Calculation-sheet'!F8*'Output-Calculation-sheet'!F17</f>
        <v>2560.2945035527182</v>
      </c>
      <c r="G31" s="2">
        <f>G9/'Output-Calculation-sheet'!G8*'Output-Calculation-sheet'!G17</f>
        <v>1676.6732754109948</v>
      </c>
      <c r="H31" s="2">
        <f>H9/'Output-Calculation-sheet'!H8*'Output-Calculation-sheet'!H17</f>
        <v>0</v>
      </c>
      <c r="I31" s="2">
        <f>I9/'Output-Calculation-sheet'!I8*'Output-Calculation-sheet'!I17</f>
        <v>1634.5130489843473</v>
      </c>
      <c r="J31" s="2">
        <f>J9/'Output-Calculation-sheet'!J8*'Output-Calculation-sheet'!J17</f>
        <v>1455.0316656009397</v>
      </c>
      <c r="K31" s="2">
        <f>K9/'Output-Calculation-sheet'!K8*'Output-Calculation-sheet'!K17</f>
        <v>2071.5787598862325</v>
      </c>
      <c r="L31" s="2">
        <f>L9/'Output-Calculation-sheet'!L8*'Output-Calculation-sheet'!L17</f>
        <v>1766.6925078445104</v>
      </c>
      <c r="M31" s="2">
        <f>M9/'Output-Calculation-sheet'!M8*'Output-Calculation-sheet'!M17</f>
        <v>0</v>
      </c>
      <c r="N31" s="2">
        <f>N9/'Output-Calculation-sheet'!N8*'Output-Calculation-sheet'!N17</f>
        <v>1920.5754461929221</v>
      </c>
      <c r="O31" s="2">
        <f>O9/'Output-Calculation-sheet'!O8*'Output-Calculation-sheet'!O17</f>
        <v>0</v>
      </c>
      <c r="P31" s="2">
        <f>P9/'Output-Calculation-sheet'!P8*'Output-Calculation-sheet'!P17</f>
        <v>2383.7322232882889</v>
      </c>
      <c r="Q31" s="2">
        <f>Q9/'Output-Calculation-sheet'!Q8*'Output-Calculation-sheet'!Q17</f>
        <v>2541.2775600705536</v>
      </c>
      <c r="R31" s="2">
        <f>R9/'Output-Calculation-sheet'!R8*'Output-Calculation-sheet'!R17</f>
        <v>1662.6380847600949</v>
      </c>
      <c r="S31" s="2">
        <f>S9/'Output-Calculation-sheet'!S8*'Output-Calculation-sheet'!S17</f>
        <v>1430.6262876826625</v>
      </c>
      <c r="T31" s="2">
        <f>T9/'Output-Calculation-sheet'!T8*'Output-Calculation-sheet'!T17</f>
        <v>451.16899165494476</v>
      </c>
      <c r="U31" s="2">
        <f>U9/'Output-Calculation-sheet'!U8*'Output-Calculation-sheet'!U17</f>
        <v>518.53700479066026</v>
      </c>
      <c r="V31" s="2">
        <f>V9/'Output-Calculation-sheet'!V8*'Output-Calculation-sheet'!V17</f>
        <v>371.40345251312772</v>
      </c>
      <c r="W31" s="2">
        <f>W9/'Output-Calculation-sheet'!W8*'Output-Calculation-sheet'!W17</f>
        <v>206.76906501013983</v>
      </c>
      <c r="X31" s="2">
        <f>X9/'Output-Calculation-sheet'!X8*'Output-Calculation-sheet'!X17</f>
        <v>0</v>
      </c>
      <c r="Y31" s="2">
        <f>Y9/'Output-Calculation-sheet'!Y8*'Output-Calculation-sheet'!Y17</f>
        <v>199.78371384608005</v>
      </c>
      <c r="AA31" s="2">
        <f t="shared" si="1"/>
        <v>61.234201479761893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1728.5512811036533</v>
      </c>
      <c r="O32" s="2">
        <f>O10/'Output-Calculation-sheet'!O9*'Output-Calculation-sheet'!O18</f>
        <v>0</v>
      </c>
      <c r="P32" s="2">
        <f>P10/'Output-Calculation-sheet'!P9*'Output-Calculation-sheet'!P18</f>
        <v>2782.6183056609125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2000.9927048932504</v>
      </c>
      <c r="S32" s="2">
        <f>S10/'Output-Calculation-sheet'!S9*'Output-Calculation-sheet'!S18</f>
        <v>1307.7687476846384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645.9663231143644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68.156809813079335</v>
      </c>
    </row>
    <row r="33" spans="1:27" x14ac:dyDescent="0.25">
      <c r="A33" s="2">
        <v>2034</v>
      </c>
      <c r="B33" s="2">
        <f>B11/'Output-Calculation-sheet'!B10*'Output-Calculation-sheet'!B19</f>
        <v>22604.471478939413</v>
      </c>
      <c r="C33" s="2">
        <f>C11/'Output-Calculation-sheet'!C10*'Output-Calculation-sheet'!C19</f>
        <v>0</v>
      </c>
      <c r="D33" s="2">
        <f>D11/'Output-Calculation-sheet'!D10*'Output-Calculation-sheet'!D19</f>
        <v>6741.9962389082812</v>
      </c>
      <c r="E33" s="2">
        <f>E11/'Output-Calculation-sheet'!E10*'Output-Calculation-sheet'!E19</f>
        <v>8375.4748833077902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2295.2729786027253</v>
      </c>
      <c r="H33" s="2">
        <f>H11/'Output-Calculation-sheet'!H10*'Output-Calculation-sheet'!H19</f>
        <v>0</v>
      </c>
      <c r="I33" s="2">
        <f>I11/'Output-Calculation-sheet'!I10*'Output-Calculation-sheet'!I19</f>
        <v>2504.3191439669913</v>
      </c>
      <c r="J33" s="2">
        <f>J11/'Output-Calculation-sheet'!J10*'Output-Calculation-sheet'!J19</f>
        <v>2121.7665207349105</v>
      </c>
      <c r="K33" s="2">
        <f>K11/'Output-Calculation-sheet'!K10*'Output-Calculation-sheet'!K19</f>
        <v>2938.0236169469244</v>
      </c>
      <c r="L33" s="2">
        <f>L11/'Output-Calculation-sheet'!L10*'Output-Calculation-sheet'!L19</f>
        <v>2391.4956571246516</v>
      </c>
      <c r="M33" s="2">
        <f>M11/'Output-Calculation-sheet'!M10*'Output-Calculation-sheet'!M19</f>
        <v>0</v>
      </c>
      <c r="N33" s="2">
        <f>N11/'Output-Calculation-sheet'!N10*'Output-Calculation-sheet'!N19</f>
        <v>1351.2219225675958</v>
      </c>
      <c r="O33" s="2">
        <f>O11/'Output-Calculation-sheet'!O10*'Output-Calculation-sheet'!O19</f>
        <v>0</v>
      </c>
      <c r="P33" s="2">
        <f>P11/'Output-Calculation-sheet'!P10*'Output-Calculation-sheet'!P19</f>
        <v>2973.1672906064114</v>
      </c>
      <c r="Q33" s="2">
        <f>Q11/'Output-Calculation-sheet'!Q10*'Output-Calculation-sheet'!Q19</f>
        <v>2380.5799305216378</v>
      </c>
      <c r="R33" s="2">
        <f>R11/'Output-Calculation-sheet'!R10*'Output-Calculation-sheet'!R19</f>
        <v>2122.7024074778496</v>
      </c>
      <c r="S33" s="2">
        <f>S11/'Output-Calculation-sheet'!S10*'Output-Calculation-sheet'!S19</f>
        <v>992.1665039123634</v>
      </c>
      <c r="T33" s="2">
        <f>T11/'Output-Calculation-sheet'!T10*'Output-Calculation-sheet'!T19</f>
        <v>622.88915691788065</v>
      </c>
      <c r="U33" s="2">
        <f>U11/'Output-Calculation-sheet'!U10*'Output-Calculation-sheet'!U19</f>
        <v>716.89664764430154</v>
      </c>
      <c r="V33" s="2">
        <f>V11/'Output-Calculation-sheet'!V10*'Output-Calculation-sheet'!V19</f>
        <v>489.11843942646522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96.190760215817207</v>
      </c>
      <c r="Y33" s="2">
        <f>Y11/'Output-Calculation-sheet'!Y10*'Output-Calculation-sheet'!Y19</f>
        <v>274.14195158659368</v>
      </c>
      <c r="AA33" s="2">
        <f t="shared" si="1"/>
        <v>66.128657201190649</v>
      </c>
    </row>
    <row r="34" spans="1:27" x14ac:dyDescent="0.25">
      <c r="A34" s="2">
        <v>2035</v>
      </c>
      <c r="B34" s="2">
        <f>B12/'Output-Calculation-sheet'!B11*'Output-Calculation-sheet'!B20</f>
        <v>16238.433942823658</v>
      </c>
      <c r="C34" s="2">
        <f>C12/'Output-Calculation-sheet'!C11*'Output-Calculation-sheet'!C20</f>
        <v>0</v>
      </c>
      <c r="D34" s="2">
        <f>D12/'Output-Calculation-sheet'!D11*'Output-Calculation-sheet'!D20</f>
        <v>5610.3849587700997</v>
      </c>
      <c r="E34" s="2">
        <f>E12/'Output-Calculation-sheet'!E11*'Output-Calculation-sheet'!E20</f>
        <v>5449.9476200850986</v>
      </c>
      <c r="F34" s="2">
        <f>F12/'Output-Calculation-sheet'!F11*'Output-Calculation-sheet'!F20</f>
        <v>3570.1596228464896</v>
      </c>
      <c r="G34" s="2">
        <f>G12/'Output-Calculation-sheet'!G11*'Output-Calculation-sheet'!G20</f>
        <v>1894.3467377146142</v>
      </c>
      <c r="H34" s="2">
        <f>H12/'Output-Calculation-sheet'!H11*'Output-Calculation-sheet'!H20</f>
        <v>0</v>
      </c>
      <c r="I34" s="2">
        <f>I12/'Output-Calculation-sheet'!I11*'Output-Calculation-sheet'!I20</f>
        <v>2179.310288214991</v>
      </c>
      <c r="J34" s="2">
        <f>J12/'Output-Calculation-sheet'!J11*'Output-Calculation-sheet'!J20</f>
        <v>1849.2027997130137</v>
      </c>
      <c r="K34" s="2">
        <f>K12/'Output-Calculation-sheet'!K11*'Output-Calculation-sheet'!K20</f>
        <v>2604.6721986824928</v>
      </c>
      <c r="L34" s="2">
        <f>L12/'Output-Calculation-sheet'!L11*'Output-Calculation-sheet'!L20</f>
        <v>1901.1130342562335</v>
      </c>
      <c r="M34" s="2">
        <f>M12/'Output-Calculation-sheet'!M11*'Output-Calculation-sheet'!M20</f>
        <v>0</v>
      </c>
      <c r="N34" s="2">
        <f>N12/'Output-Calculation-sheet'!N11*'Output-Calculation-sheet'!N20</f>
        <v>1005.0711285845758</v>
      </c>
      <c r="O34" s="2">
        <f>O12/'Output-Calculation-sheet'!O11*'Output-Calculation-sheet'!O20</f>
        <v>0</v>
      </c>
      <c r="P34" s="2">
        <f>P12/'Output-Calculation-sheet'!P11*'Output-Calculation-sheet'!P20</f>
        <v>2268.4841113630159</v>
      </c>
      <c r="Q34" s="2">
        <f>Q12/'Output-Calculation-sheet'!Q11*'Output-Calculation-sheet'!Q20</f>
        <v>1681.5752052298103</v>
      </c>
      <c r="R34" s="2">
        <f>R12/'Output-Calculation-sheet'!R11*'Output-Calculation-sheet'!R20</f>
        <v>1909.3028151426138</v>
      </c>
      <c r="S34" s="2">
        <f>S12/'Output-Calculation-sheet'!S11*'Output-Calculation-sheet'!S20</f>
        <v>698.83811840182216</v>
      </c>
      <c r="T34" s="2">
        <f>T12/'Output-Calculation-sheet'!T11*'Output-Calculation-sheet'!T20</f>
        <v>570.36645595016591</v>
      </c>
      <c r="U34" s="2">
        <f>U12/'Output-Calculation-sheet'!U11*'Output-Calculation-sheet'!U20</f>
        <v>521.98660921060923</v>
      </c>
      <c r="V34" s="2">
        <f>V12/'Output-Calculation-sheet'!V11*'Output-Calculation-sheet'!V20</f>
        <v>504.48271857709778</v>
      </c>
      <c r="W34" s="2">
        <f>W12/'Output-Calculation-sheet'!W11*'Output-Calculation-sheet'!W20</f>
        <v>306.29684337884783</v>
      </c>
      <c r="X34" s="2">
        <f>X12/'Output-Calculation-sheet'!X11*'Output-Calculation-sheet'!X20</f>
        <v>64.806878694906516</v>
      </c>
      <c r="Y34" s="2">
        <f>Y12/'Output-Calculation-sheet'!Y11*'Output-Calculation-sheet'!Y20</f>
        <v>166.25945253103265</v>
      </c>
      <c r="AA34" s="2">
        <f t="shared" si="1"/>
        <v>50.995041540171187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1.1362552022145862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0.22074381793704256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1.3569990201516289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0.95708493685632223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0.18593585546620764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1.1652605283936825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1.4474900958075354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0.28120838483454302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6.9306431414156453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36321.492547317946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7858.566014377916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5407.462422607141</v>
      </c>
      <c r="N52" s="2">
        <f>N8/'Output-Calculation-sheet'!N7*'Output-Calculation-sheet'!N43</f>
        <v>172.83472734641936</v>
      </c>
      <c r="O52" s="2">
        <f>O8/'Output-Calculation-sheet'!O7*'Output-Calculation-sheet'!O43</f>
        <v>7358.7012512446008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699.31491012289132</v>
      </c>
      <c r="Y52" s="2">
        <f>Y8/'Output-Calculation-sheet'!Y7*'Output-Calculation-sheet'!Y43</f>
        <v>0</v>
      </c>
      <c r="AA52" s="2">
        <f t="shared" si="3"/>
        <v>57.818371873016915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61823.503163140558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14479.543627023435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9895.2562939871605</v>
      </c>
      <c r="N53" s="2">
        <f>N9/'Output-Calculation-sheet'!N8*'Output-Calculation-sheet'!N44</f>
        <v>3524.3600016083633</v>
      </c>
      <c r="O53" s="2">
        <f>O9/'Output-Calculation-sheet'!O8*'Output-Calculation-sheet'!O44</f>
        <v>12260.431550664065</v>
      </c>
      <c r="P53" s="2">
        <f>P9/'Output-Calculation-sheet'!P8*'Output-Calculation-sheet'!P44</f>
        <v>164.85435986675233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1099.6457142665145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1237.4091802653177</v>
      </c>
      <c r="Y53" s="2">
        <f>Y9/'Output-Calculation-sheet'!Y8*'Output-Calculation-sheet'!Y44</f>
        <v>0</v>
      </c>
      <c r="AA53" s="2">
        <f t="shared" si="3"/>
        <v>104.48500389082216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64686.809319058455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11947.275058522391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1316.1104575017775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475.64485956177435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153.5628524376165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55242.270916794732</v>
      </c>
      <c r="D55" s="2">
        <f>D11/'Output-Calculation-sheet'!D10*'Output-Calculation-sheet'!D46</f>
        <v>5949.5857825013791</v>
      </c>
      <c r="E55" s="2">
        <f>E11/'Output-Calculation-sheet'!E10*'Output-Calculation-sheet'!E46</f>
        <v>7269.8131401191067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19822.277429393667</v>
      </c>
      <c r="I55" s="2">
        <f>I11/'Output-Calculation-sheet'!I10*'Output-Calculation-sheet'!I46</f>
        <v>1439.7189594222261</v>
      </c>
      <c r="J55" s="2">
        <f>J11/'Output-Calculation-sheet'!J10*'Output-Calculation-sheet'!J46</f>
        <v>1021.1418446237832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13586.3171793234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10144.921236840451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4073.3462511981093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5089.6261093970516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1172.6132396995281</v>
      </c>
      <c r="V55" s="2">
        <f>V11/'Output-Calculation-sheet'!V10*'Output-Calculation-sheet'!V46</f>
        <v>470.93289476232337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1402.6640557156707</v>
      </c>
      <c r="Y55" s="2">
        <f>Y11/'Output-Calculation-sheet'!Y10*'Output-Calculation-sheet'!Y46</f>
        <v>359.57857375488879</v>
      </c>
      <c r="AA55" s="2">
        <f t="shared" si="3"/>
        <v>216.1173766656037</v>
      </c>
    </row>
    <row r="56" spans="1:27" x14ac:dyDescent="0.25">
      <c r="A56" s="2">
        <v>2035</v>
      </c>
      <c r="B56" s="2">
        <f>B12/'Output-Calculation-sheet'!B11*'Output-Calculation-sheet'!B47</f>
        <v>62868.119352272028</v>
      </c>
      <c r="C56" s="2">
        <f>C12/'Output-Calculation-sheet'!C11*'Output-Calculation-sheet'!C47</f>
        <v>42408.92035085235</v>
      </c>
      <c r="D56" s="2">
        <f>D12/'Output-Calculation-sheet'!D11*'Output-Calculation-sheet'!D47</f>
        <v>9166.8362213643231</v>
      </c>
      <c r="E56" s="2">
        <f>E12/'Output-Calculation-sheet'!E11*'Output-Calculation-sheet'!E47</f>
        <v>16581.628098308745</v>
      </c>
      <c r="F56" s="2">
        <f>F12/'Output-Calculation-sheet'!F11*'Output-Calculation-sheet'!F47</f>
        <v>1855.2416785388975</v>
      </c>
      <c r="G56" s="2">
        <f>G12/'Output-Calculation-sheet'!G11*'Output-Calculation-sheet'!G47</f>
        <v>4216.3392102571261</v>
      </c>
      <c r="H56" s="2">
        <f>H12/'Output-Calculation-sheet'!H11*'Output-Calculation-sheet'!H47</f>
        <v>15126.354384221531</v>
      </c>
      <c r="I56" s="2">
        <f>I12/'Output-Calculation-sheet'!I11*'Output-Calculation-sheet'!I47</f>
        <v>2721.7789851482771</v>
      </c>
      <c r="J56" s="2">
        <f>J12/'Output-Calculation-sheet'!J11*'Output-Calculation-sheet'!J47</f>
        <v>2675.7098048772914</v>
      </c>
      <c r="K56" s="2">
        <f>K12/'Output-Calculation-sheet'!K11*'Output-Calculation-sheet'!K47</f>
        <v>3709.4447000106707</v>
      </c>
      <c r="L56" s="2">
        <f>L12/'Output-Calculation-sheet'!L11*'Output-Calculation-sheet'!L47</f>
        <v>3460.0756381916171</v>
      </c>
      <c r="M56" s="2">
        <f>M12/'Output-Calculation-sheet'!M11*'Output-Calculation-sheet'!M47</f>
        <v>10758.048594183056</v>
      </c>
      <c r="N56" s="2">
        <f>N12/'Output-Calculation-sheet'!N11*'Output-Calculation-sheet'!N47</f>
        <v>8921.3362061225416</v>
      </c>
      <c r="O56" s="2">
        <f>O12/'Output-Calculation-sheet'!O11*'Output-Calculation-sheet'!O47</f>
        <v>7794.8990883961042</v>
      </c>
      <c r="P56" s="2">
        <f>P12/'Output-Calculation-sheet'!P11*'Output-Calculation-sheet'!P47</f>
        <v>4371.1572843961449</v>
      </c>
      <c r="Q56" s="2">
        <f>Q12/'Output-Calculation-sheet'!Q11*'Output-Calculation-sheet'!Q47</f>
        <v>4122.444465529129</v>
      </c>
      <c r="R56" s="2">
        <f>R12/'Output-Calculation-sheet'!R11*'Output-Calculation-sheet'!R47</f>
        <v>3353.2200310450503</v>
      </c>
      <c r="S56" s="2">
        <f>S12/'Output-Calculation-sheet'!S11*'Output-Calculation-sheet'!S47</f>
        <v>4462.4420179821473</v>
      </c>
      <c r="T56" s="2">
        <f>T12/'Output-Calculation-sheet'!T11*'Output-Calculation-sheet'!T47</f>
        <v>1202.3367376826588</v>
      </c>
      <c r="U56" s="2">
        <f>U12/'Output-Calculation-sheet'!U11*'Output-Calculation-sheet'!U47</f>
        <v>1141.6609728629548</v>
      </c>
      <c r="V56" s="2">
        <f>V12/'Output-Calculation-sheet'!V11*'Output-Calculation-sheet'!V47</f>
        <v>700.84058782318459</v>
      </c>
      <c r="W56" s="2">
        <f>W12/'Output-Calculation-sheet'!W11*'Output-Calculation-sheet'!W47</f>
        <v>407.05046881426148</v>
      </c>
      <c r="X56" s="2">
        <f>X12/'Output-Calculation-sheet'!X11*'Output-Calculation-sheet'!X47</f>
        <v>1084.2944648476278</v>
      </c>
      <c r="Y56" s="2">
        <f>Y12/'Output-Calculation-sheet'!Y11*'Output-Calculation-sheet'!Y47</f>
        <v>609.31143872794667</v>
      </c>
      <c r="AA56" s="2">
        <f t="shared" si="3"/>
        <v>213.71949078245572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8.4525310900621591</v>
      </c>
      <c r="C63" s="2">
        <f>C8*'Output-Calculation-sheet'!C52/10^9</f>
        <v>5.3302573911681508</v>
      </c>
      <c r="D63" s="2">
        <f>D8*'Output-Calculation-sheet'!D52/10^9</f>
        <v>2.8985344311188306</v>
      </c>
      <c r="E63" s="2">
        <f>E8*'Output-Calculation-sheet'!E52/10^9</f>
        <v>2.8819352072479685</v>
      </c>
      <c r="F63" s="2">
        <f>F8*'Output-Calculation-sheet'!F52/10^9</f>
        <v>1.220500293780368</v>
      </c>
      <c r="G63" s="2">
        <f>G8*'Output-Calculation-sheet'!G52/10^9</f>
        <v>0.87748350899474103</v>
      </c>
      <c r="H63" s="2">
        <f>H8*'Output-Calculation-sheet'!H52/10^9</f>
        <v>1.5327880762369459</v>
      </c>
      <c r="I63" s="2">
        <f>I8*'Output-Calculation-sheet'!I52/10^9</f>
        <v>0.81626349345038129</v>
      </c>
      <c r="J63" s="2">
        <f>J8*'Output-Calculation-sheet'!J52/10^9</f>
        <v>1.1232349919549025</v>
      </c>
      <c r="K63" s="2">
        <f>K8*'Output-Calculation-sheet'!K52/10^9</f>
        <v>0.98685928827043445</v>
      </c>
      <c r="L63" s="2">
        <f>L8*'Output-Calculation-sheet'!L52/10^9</f>
        <v>1.3273713546816268</v>
      </c>
      <c r="M63" s="2">
        <f>M8*'Output-Calculation-sheet'!M52/10^9</f>
        <v>1.2441080195576395</v>
      </c>
      <c r="N63" s="2">
        <f>N8*'Output-Calculation-sheet'!N52/10^9</f>
        <v>1.0383305543753252</v>
      </c>
      <c r="O63" s="2">
        <f>O8*'Output-Calculation-sheet'!O52/10^9</f>
        <v>1.1072311094688265</v>
      </c>
      <c r="P63" s="2">
        <f>P8*'Output-Calculation-sheet'!P52/10^9</f>
        <v>0.68189440055627093</v>
      </c>
      <c r="Q63" s="2">
        <f>Q8*'Output-Calculation-sheet'!Q52/10^9</f>
        <v>0.77170042635047309</v>
      </c>
      <c r="R63" s="2">
        <f>R8*'Output-Calculation-sheet'!R52/10^9</f>
        <v>0.69283457543085059</v>
      </c>
      <c r="S63" s="2">
        <f>S8*'Output-Calculation-sheet'!S52/10^9</f>
        <v>0.51341802509353385</v>
      </c>
      <c r="T63" s="2">
        <f>T8*'Output-Calculation-sheet'!T52/10^9</f>
        <v>0.26340688361260745</v>
      </c>
      <c r="U63" s="2">
        <f>U8*'Output-Calculation-sheet'!U52/10^9</f>
        <v>0.18090491885551507</v>
      </c>
      <c r="V63" s="2">
        <f>V8*'Output-Calculation-sheet'!V52/10^9</f>
        <v>0.32106372551180112</v>
      </c>
      <c r="W63" s="2">
        <f>W8*'Output-Calculation-sheet'!W52/10^9</f>
        <v>0.11621025119060319</v>
      </c>
      <c r="X63" s="2">
        <f>X8*'Output-Calculation-sheet'!X52/10^9</f>
        <v>0.13375531811177013</v>
      </c>
      <c r="Y63" s="2">
        <f>Y8*'Output-Calculation-sheet'!Y52/10^9</f>
        <v>7.582388297587353E-2</v>
      </c>
      <c r="AA63" s="2">
        <f t="shared" si="4"/>
        <v>34.588441218057604</v>
      </c>
    </row>
    <row r="64" spans="1:27" x14ac:dyDescent="0.25">
      <c r="A64" s="2">
        <v>2032</v>
      </c>
      <c r="B64" s="2">
        <f>B9*'Output-Calculation-sheet'!B53/10^9</f>
        <v>8.3273124427413627</v>
      </c>
      <c r="C64" s="2">
        <f>C9*'Output-Calculation-sheet'!C53/10^9</f>
        <v>5.6220574445699061</v>
      </c>
      <c r="D64" s="2">
        <f>D9*'Output-Calculation-sheet'!D53/10^9</f>
        <v>2.4643829672149433</v>
      </c>
      <c r="E64" s="2">
        <f>E9*'Output-Calculation-sheet'!E53/10^9</f>
        <v>2.5236483092816018</v>
      </c>
      <c r="F64" s="2">
        <f>F9*'Output-Calculation-sheet'!F53/10^9</f>
        <v>1.0644599259358898</v>
      </c>
      <c r="G64" s="2">
        <f>G9*'Output-Calculation-sheet'!G53/10^9</f>
        <v>0.75764920744445075</v>
      </c>
      <c r="H64" s="2">
        <f>H9*'Output-Calculation-sheet'!H53/10^9</f>
        <v>1.5568079869238149</v>
      </c>
      <c r="I64" s="2">
        <f>I9*'Output-Calculation-sheet'!I53/10^9</f>
        <v>0.70827829931527708</v>
      </c>
      <c r="J64" s="2">
        <f>J9*'Output-Calculation-sheet'!J53/10^9</f>
        <v>0.93761747250452288</v>
      </c>
      <c r="K64" s="2">
        <f>K9*'Output-Calculation-sheet'!K53/10^9</f>
        <v>0.86997921381693522</v>
      </c>
      <c r="L64" s="2">
        <f>L9*'Output-Calculation-sheet'!L53/10^9</f>
        <v>1.1192210519197527</v>
      </c>
      <c r="M64" s="2">
        <f>M9*'Output-Calculation-sheet'!M53/10^9</f>
        <v>1.2201434202522345</v>
      </c>
      <c r="N64" s="2">
        <f>N9*'Output-Calculation-sheet'!N53/10^9</f>
        <v>1.0271339396200936</v>
      </c>
      <c r="O64" s="2">
        <f>O9*'Output-Calculation-sheet'!O53/10^9</f>
        <v>1.1627842524385881</v>
      </c>
      <c r="P64" s="2">
        <f>P9*'Output-Calculation-sheet'!P53/10^9</f>
        <v>0.66328887875618237</v>
      </c>
      <c r="Q64" s="2">
        <f>Q9*'Output-Calculation-sheet'!Q53/10^9</f>
        <v>0.73304552167074577</v>
      </c>
      <c r="R64" s="2">
        <f>R9*'Output-Calculation-sheet'!R53/10^9</f>
        <v>0.62839226577575391</v>
      </c>
      <c r="S64" s="2">
        <f>S9*'Output-Calculation-sheet'!S53/10^9</f>
        <v>0.51919162206630542</v>
      </c>
      <c r="T64" s="2">
        <f>T9*'Output-Calculation-sheet'!T53/10^9</f>
        <v>0.22589066336001035</v>
      </c>
      <c r="U64" s="2">
        <f>U9*'Output-Calculation-sheet'!U53/10^9</f>
        <v>0.17002311095431194</v>
      </c>
      <c r="V64" s="2">
        <f>V9*'Output-Calculation-sheet'!V53/10^9</f>
        <v>0.26811703533834913</v>
      </c>
      <c r="W64" s="2">
        <f>W9*'Output-Calculation-sheet'!W53/10^9</f>
        <v>9.9627457721264343E-2</v>
      </c>
      <c r="X64" s="2">
        <f>X9*'Output-Calculation-sheet'!X53/10^9</f>
        <v>0.13523088672872027</v>
      </c>
      <c r="Y64" s="2">
        <f>Y9*'Output-Calculation-sheet'!Y53/10^9</f>
        <v>6.9802236688581543E-2</v>
      </c>
      <c r="AA64" s="2">
        <f t="shared" si="4"/>
        <v>32.874085613039597</v>
      </c>
    </row>
    <row r="65" spans="1:27" x14ac:dyDescent="0.25">
      <c r="A65" s="2">
        <v>2033</v>
      </c>
      <c r="B65" s="2">
        <f>B10*'Output-Calculation-sheet'!B54/10^9</f>
        <v>7.7059314891670398</v>
      </c>
      <c r="C65" s="2">
        <f>C10*'Output-Calculation-sheet'!C54/10^9</f>
        <v>5.3912952415046931</v>
      </c>
      <c r="D65" s="2">
        <f>D10*'Output-Calculation-sheet'!D54/10^9</f>
        <v>1.8205243675273333</v>
      </c>
      <c r="E65" s="2">
        <f>E10*'Output-Calculation-sheet'!E54/10^9</f>
        <v>2.0498896192058376</v>
      </c>
      <c r="F65" s="2">
        <f>F10*'Output-Calculation-sheet'!F54/10^9</f>
        <v>0.83222010560094639</v>
      </c>
      <c r="G65" s="2">
        <f>G10*'Output-Calculation-sheet'!G54/10^9</f>
        <v>0.57139438072276116</v>
      </c>
      <c r="H65" s="2">
        <f>H10*'Output-Calculation-sheet'!H54/10^9</f>
        <v>1.4120727445679893</v>
      </c>
      <c r="I65" s="2">
        <f>I10*'Output-Calculation-sheet'!I54/10^9</f>
        <v>0.55638207698762931</v>
      </c>
      <c r="J65" s="2">
        <f>J10*'Output-Calculation-sheet'!J54/10^9</f>
        <v>0.66500067610236457</v>
      </c>
      <c r="K65" s="2">
        <f>K10*'Output-Calculation-sheet'!K54/10^9</f>
        <v>0.70946763166827909</v>
      </c>
      <c r="L65" s="2">
        <f>L10*'Output-Calculation-sheet'!L54/10^9</f>
        <v>0.83803048281782089</v>
      </c>
      <c r="M65" s="2">
        <f>M10*'Output-Calculation-sheet'!M54/10^9</f>
        <v>1.0662175098647924</v>
      </c>
      <c r="N65" s="2">
        <f>N10*'Output-Calculation-sheet'!N54/10^9</f>
        <v>0.92069385805153237</v>
      </c>
      <c r="O65" s="2">
        <f>O10*'Output-Calculation-sheet'!O54/10^9</f>
        <v>1.1028224313372383</v>
      </c>
      <c r="P65" s="2">
        <f>P10*'Output-Calculation-sheet'!P54/10^9</f>
        <v>0.60031580133228235</v>
      </c>
      <c r="Q65" s="2">
        <f>Q10*'Output-Calculation-sheet'!Q54/10^9</f>
        <v>0.65504582292286406</v>
      </c>
      <c r="R65" s="2">
        <f>R10*'Output-Calculation-sheet'!R54/10^9</f>
        <v>0.52849143962257017</v>
      </c>
      <c r="S65" s="2">
        <f>S10*'Output-Calculation-sheet'!S54/10^9</f>
        <v>0.48005786994517108</v>
      </c>
      <c r="T65" s="2">
        <f>T10*'Output-Calculation-sheet'!T54/10^9</f>
        <v>0.17669764417120468</v>
      </c>
      <c r="U65" s="2">
        <f>U10*'Output-Calculation-sheet'!U54/10^9</f>
        <v>0.15257333740895138</v>
      </c>
      <c r="V65" s="2">
        <f>V10*'Output-Calculation-sheet'!V54/10^9</f>
        <v>0.19554261495569505</v>
      </c>
      <c r="W65" s="2">
        <f>W10*'Output-Calculation-sheet'!W54/10^9</f>
        <v>7.4450428200323174E-2</v>
      </c>
      <c r="X65" s="2">
        <f>X10*'Output-Calculation-sheet'!X54/10^9</f>
        <v>0.12262829560244556</v>
      </c>
      <c r="Y65" s="2">
        <f>Y10*'Output-Calculation-sheet'!Y54/10^9</f>
        <v>6.1276693019610806E-2</v>
      </c>
      <c r="AA65" s="2">
        <f t="shared" si="4"/>
        <v>28.689022562307379</v>
      </c>
    </row>
    <row r="66" spans="1:27" x14ac:dyDescent="0.25">
      <c r="A66" s="2">
        <v>2034</v>
      </c>
      <c r="B66" s="2">
        <f>B11*'Output-Calculation-sheet'!B55/10^9</f>
        <v>6.6583431669178132</v>
      </c>
      <c r="C66" s="2">
        <f>C11*'Output-Calculation-sheet'!C55/10^9</f>
        <v>4.7137133445664166</v>
      </c>
      <c r="D66" s="2">
        <f>D11*'Output-Calculation-sheet'!D55/10^9</f>
        <v>1.3928077307619824</v>
      </c>
      <c r="E66" s="2">
        <f>E11*'Output-Calculation-sheet'!E55/10^9</f>
        <v>1.6864648726098002</v>
      </c>
      <c r="F66" s="2">
        <f>F11*'Output-Calculation-sheet'!F55/10^9</f>
        <v>0.64813817214006431</v>
      </c>
      <c r="G66" s="2">
        <f>G11*'Output-Calculation-sheet'!G55/10^9</f>
        <v>0.46328016149522888</v>
      </c>
      <c r="H66" s="2">
        <f>H11*'Output-Calculation-sheet'!H55/10^9</f>
        <v>1.189730554619816</v>
      </c>
      <c r="I66" s="2">
        <f>I11*'Output-Calculation-sheet'!I55/10^9</f>
        <v>0.45307393713011196</v>
      </c>
      <c r="J66" s="2">
        <f>J11*'Output-Calculation-sheet'!J55/10^9</f>
        <v>0.46586490556069066</v>
      </c>
      <c r="K66" s="2">
        <f>K11*'Output-Calculation-sheet'!K55/10^9</f>
        <v>0.55723201173157011</v>
      </c>
      <c r="L66" s="2">
        <f>L11*'Output-Calculation-sheet'!L55/10^9</f>
        <v>0.59010171750750195</v>
      </c>
      <c r="M66" s="2">
        <f>M11*'Output-Calculation-sheet'!M55/10^9</f>
        <v>0.85806738277897976</v>
      </c>
      <c r="N66" s="2">
        <f>N11*'Output-Calculation-sheet'!N55/10^9</f>
        <v>0.74972206983578216</v>
      </c>
      <c r="O66" s="2">
        <f>O11*'Output-Calculation-sheet'!O55/10^9</f>
        <v>0.94621867428117967</v>
      </c>
      <c r="P66" s="2">
        <f>P11*'Output-Calculation-sheet'!P55/10^9</f>
        <v>0.51535971390326019</v>
      </c>
      <c r="Q66" s="2">
        <f>Q11*'Output-Calculation-sheet'!Q55/10^9</f>
        <v>0.56261128965420382</v>
      </c>
      <c r="R66" s="2">
        <f>R11*'Output-Calculation-sheet'!R55/10^9</f>
        <v>0.41741000331366634</v>
      </c>
      <c r="S66" s="2">
        <f>S11*'Output-Calculation-sheet'!S55/10^9</f>
        <v>0.41071451616390298</v>
      </c>
      <c r="T66" s="2">
        <f>T11*'Output-Calculation-sheet'!T55/10^9</f>
        <v>0.13083505114731139</v>
      </c>
      <c r="U66" s="2">
        <f>U11*'Output-Calculation-sheet'!U55/10^9</f>
        <v>0.13358320745802052</v>
      </c>
      <c r="V66" s="2">
        <f>V11*'Output-Calculation-sheet'!V55/10^9</f>
        <v>0.12411642161378394</v>
      </c>
      <c r="W66" s="2">
        <f>W11*'Output-Calculation-sheet'!W55/10^9</f>
        <v>5.619985120249197E-2</v>
      </c>
      <c r="X66" s="2">
        <f>X11*'Output-Calculation-sheet'!X55/10^9</f>
        <v>0.10660380159616629</v>
      </c>
      <c r="Y66" s="2">
        <f>Y11*'Output-Calculation-sheet'!Y55/10^9</f>
        <v>5.5147685113940283E-2</v>
      </c>
      <c r="AA66" s="2">
        <f t="shared" si="4"/>
        <v>23.885340243103684</v>
      </c>
    </row>
    <row r="67" spans="1:27" x14ac:dyDescent="0.25">
      <c r="A67" s="2">
        <v>2035</v>
      </c>
      <c r="B67" s="2">
        <f>B12*'Output-Calculation-sheet'!B56/10^9</f>
        <v>5.5055917783940567</v>
      </c>
      <c r="C67" s="2">
        <f>C12*'Output-Calculation-sheet'!C56/10^9</f>
        <v>3.6949368659936512</v>
      </c>
      <c r="D67" s="2">
        <f>D12*'Output-Calculation-sheet'!D56/10^9</f>
        <v>1.2081713516644641</v>
      </c>
      <c r="E67" s="2">
        <f>E12*'Output-Calculation-sheet'!E56/10^9</f>
        <v>1.5377048644595972</v>
      </c>
      <c r="F67" s="2">
        <f>F12*'Output-Calculation-sheet'!F56/10^9</f>
        <v>0.59786603244139902</v>
      </c>
      <c r="G67" s="2">
        <f>G12*'Output-Calculation-sheet'!G56/10^9</f>
        <v>0.43952120265438693</v>
      </c>
      <c r="H67" s="2">
        <f>H12*'Output-Calculation-sheet'!H56/10^9</f>
        <v>0.97118541497350197</v>
      </c>
      <c r="I67" s="2">
        <f>I12*'Output-Calculation-sheet'!I56/10^9</f>
        <v>0.41465840979712237</v>
      </c>
      <c r="J67" s="2">
        <f>J12*'Output-Calculation-sheet'!J56/10^9</f>
        <v>0.38533427886422605</v>
      </c>
      <c r="K67" s="2">
        <f>K12*'Output-Calculation-sheet'!K56/10^9</f>
        <v>0.47319838251380431</v>
      </c>
      <c r="L67" s="2">
        <f>L12*'Output-Calculation-sheet'!L56/10^9</f>
        <v>0.45352754189700345</v>
      </c>
      <c r="M67" s="2">
        <f>M12*'Output-Calculation-sheet'!M56/10^9</f>
        <v>0.6981353474511105</v>
      </c>
      <c r="N67" s="2">
        <f>N12*'Output-Calculation-sheet'!N56/10^9</f>
        <v>0.59653259244324874</v>
      </c>
      <c r="O67" s="2">
        <f>O12*'Output-Calculation-sheet'!O56/10^9</f>
        <v>0.72784301896727355</v>
      </c>
      <c r="P67" s="2">
        <f>P12*'Output-Calculation-sheet'!P56/10^9</f>
        <v>0.45692234957342054</v>
      </c>
      <c r="Q67" s="2">
        <f>Q12*'Output-Calculation-sheet'!Q56/10^9</f>
        <v>0.45919670217167102</v>
      </c>
      <c r="R67" s="2">
        <f>R12*'Output-Calculation-sheet'!R56/10^9</f>
        <v>0.34886857352347606</v>
      </c>
      <c r="S67" s="2">
        <f>S12*'Output-Calculation-sheet'!S56/10^9</f>
        <v>0.33250484443837347</v>
      </c>
      <c r="T67" s="2">
        <f>T12*'Output-Calculation-sheet'!T56/10^9</f>
        <v>0.10696628579829984</v>
      </c>
      <c r="U67" s="2">
        <f>U12*'Output-Calculation-sheet'!U56/10^9</f>
        <v>0.11490540879010125</v>
      </c>
      <c r="V67" s="2">
        <f>V12*'Output-Calculation-sheet'!V56/10^9</f>
        <v>8.2164693113095863E-2</v>
      </c>
      <c r="W67" s="2">
        <f>W12*'Output-Calculation-sheet'!W56/10^9</f>
        <v>5.4490714563195056E-2</v>
      </c>
      <c r="X67" s="2">
        <f>X12*'Output-Calculation-sheet'!X56/10^9</f>
        <v>8.7012166010462147E-2</v>
      </c>
      <c r="Y67" s="2">
        <f>Y12*'Output-Calculation-sheet'!Y56/10^9</f>
        <v>5.1563624866744082E-2</v>
      </c>
      <c r="AA67" s="2">
        <f t="shared" si="4"/>
        <v>19.798802445363684</v>
      </c>
    </row>
    <row r="68" spans="1:27" x14ac:dyDescent="0.25">
      <c r="B68" s="2">
        <f>SUM(B60:B67)</f>
        <v>56.494448406807329</v>
      </c>
      <c r="C68" s="2">
        <f t="shared" ref="C68:Y68" si="5">SUM(C60:C67)</f>
        <v>35.256628974023116</v>
      </c>
      <c r="D68" s="2">
        <f t="shared" si="5"/>
        <v>17.569690838977852</v>
      </c>
      <c r="E68" s="2">
        <f t="shared" si="5"/>
        <v>18.355263810292254</v>
      </c>
      <c r="F68" s="2">
        <f t="shared" si="5"/>
        <v>7.5443703099860535</v>
      </c>
      <c r="G68" s="2">
        <f t="shared" si="5"/>
        <v>5.4241673937936952</v>
      </c>
      <c r="H68" s="2">
        <f t="shared" si="5"/>
        <v>9.9341903525786961</v>
      </c>
      <c r="I68" s="2">
        <f t="shared" si="5"/>
        <v>5.0893544968675668</v>
      </c>
      <c r="J68" s="2">
        <f t="shared" si="5"/>
        <v>6.6569447493021068</v>
      </c>
      <c r="K68" s="2">
        <f t="shared" si="5"/>
        <v>6.1904724524097698</v>
      </c>
      <c r="L68" s="2">
        <f t="shared" si="5"/>
        <v>7.9811395416603137</v>
      </c>
      <c r="M68" s="2">
        <f t="shared" si="5"/>
        <v>7.8914561224270496</v>
      </c>
      <c r="N68" s="2">
        <f t="shared" si="5"/>
        <v>6.7663912458020068</v>
      </c>
      <c r="O68" s="2">
        <f t="shared" si="5"/>
        <v>7.2421358275887311</v>
      </c>
      <c r="P68" s="2">
        <f t="shared" si="5"/>
        <v>4.5649874111278868</v>
      </c>
      <c r="Q68" s="2">
        <f t="shared" si="5"/>
        <v>5.0619348754687987</v>
      </c>
      <c r="R68" s="2">
        <f t="shared" si="5"/>
        <v>4.4189632268611003</v>
      </c>
      <c r="S68" s="2">
        <f t="shared" si="5"/>
        <v>3.4352731591091379</v>
      </c>
      <c r="T68" s="2">
        <f t="shared" si="5"/>
        <v>1.6095732989198803</v>
      </c>
      <c r="U68" s="2">
        <f t="shared" si="5"/>
        <v>1.2136286529854177</v>
      </c>
      <c r="V68" s="2">
        <f t="shared" si="5"/>
        <v>1.8840260369448498</v>
      </c>
      <c r="W68" s="2">
        <f t="shared" si="5"/>
        <v>0.71012766473501632</v>
      </c>
      <c r="X68" s="2">
        <f t="shared" si="5"/>
        <v>0.87085289658895548</v>
      </c>
      <c r="Y68" s="2">
        <f t="shared" si="5"/>
        <v>0.50853354234423398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7006.4159123776326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1725.530257181395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1133.5228241730993</v>
      </c>
      <c r="N74" s="2">
        <f>N8/'Output-Calculation-sheet'!N7*'Output-Calculation-sheet'!N61</f>
        <v>47.507945679347017</v>
      </c>
      <c r="O74" s="2">
        <f>O8/'Output-Calculation-sheet'!O7*'Output-Calculation-sheet'!O61</f>
        <v>1400.8547883328215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140.8564914830977</v>
      </c>
      <c r="Y74" s="2">
        <f>Y8/'Output-Calculation-sheet'!Y7*'Output-Calculation-sheet'!Y61</f>
        <v>0</v>
      </c>
      <c r="AA74" s="2">
        <f t="shared" si="6"/>
        <v>11.454688219227393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11104.765496240989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2755.5330131572796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1869.7268331824409</v>
      </c>
      <c r="N75" s="2">
        <f>N9/'Output-Calculation-sheet'!N8*'Output-Calculation-sheet'!N62</f>
        <v>722.71686108930999</v>
      </c>
      <c r="O75" s="2">
        <f>O9/'Output-Calculation-sheet'!O8*'Output-Calculation-sheet'!O62</f>
        <v>2195.0543767073464</v>
      </c>
      <c r="P75" s="2">
        <f>P9/'Output-Calculation-sheet'!P8*'Output-Calculation-sheet'!P62</f>
        <v>48.384754620891805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242.16500212201765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225.25079667562085</v>
      </c>
      <c r="Y75" s="2">
        <f>Y9/'Output-Calculation-sheet'!Y8*'Output-Calculation-sheet'!Y62</f>
        <v>0</v>
      </c>
      <c r="AA75" s="2">
        <f t="shared" si="6"/>
        <v>19.163597133795896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11968.056439115477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3521.9861644998709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2397.9675718783956</v>
      </c>
      <c r="N76" s="2">
        <f>N10/'Output-Calculation-sheet'!N9*'Output-Calculation-sheet'!N63</f>
        <v>1372.2751659525234</v>
      </c>
      <c r="O76" s="2">
        <f>O10/'Output-Calculation-sheet'!O9*'Output-Calculation-sheet'!O63</f>
        <v>2118.8308363107844</v>
      </c>
      <c r="P76" s="2">
        <f>P10/'Output-Calculation-sheet'!P9*'Output-Calculation-sheet'!P63</f>
        <v>475.99007410989259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358.09021790274386</v>
      </c>
      <c r="S76" s="2">
        <f>S10/'Output-Calculation-sheet'!S9*'Output-Calculation-sheet'!S63</f>
        <v>608.50076485989371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126.82896163802678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282.41596818100805</v>
      </c>
      <c r="Y76" s="2">
        <f>Y10/'Output-Calculation-sheet'!Y9*'Output-Calculation-sheet'!Y63</f>
        <v>5.357397562569548</v>
      </c>
      <c r="AA76" s="2">
        <f t="shared" si="6"/>
        <v>28.967114561071742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10081.126758581882</v>
      </c>
      <c r="D77" s="2">
        <f>D11/'Output-Calculation-sheet'!D10*'Output-Calculation-sheet'!D64</f>
        <v>1376.6597802485378</v>
      </c>
      <c r="E77" s="2">
        <f>E11/'Output-Calculation-sheet'!E10*'Output-Calculation-sheet'!E64</f>
        <v>1673.3573140085541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714.99850178450458</v>
      </c>
      <c r="H77" s="2">
        <f>H11/'Output-Calculation-sheet'!H10*'Output-Calculation-sheet'!H64</f>
        <v>3799.390445537746</v>
      </c>
      <c r="I77" s="2">
        <f>I11/'Output-Calculation-sheet'!I10*'Output-Calculation-sheet'!I64</f>
        <v>426.37276983289223</v>
      </c>
      <c r="J77" s="2">
        <f>J11/'Output-Calculation-sheet'!J10*'Output-Calculation-sheet'!J64</f>
        <v>288.41320239432201</v>
      </c>
      <c r="K77" s="2">
        <f>K11/'Output-Calculation-sheet'!K10*'Output-Calculation-sheet'!K64</f>
        <v>648.64384495387037</v>
      </c>
      <c r="L77" s="2">
        <f>L11/'Output-Calculation-sheet'!L10*'Output-Calculation-sheet'!L64</f>
        <v>271.72464358488037</v>
      </c>
      <c r="M77" s="2">
        <f>M11/'Output-Calculation-sheet'!M10*'Output-Calculation-sheet'!M64</f>
        <v>2555.3301842482938</v>
      </c>
      <c r="N77" s="2">
        <f>N11/'Output-Calculation-sheet'!N10*'Output-Calculation-sheet'!N64</f>
        <v>1799.1124022948914</v>
      </c>
      <c r="O77" s="2">
        <f>O11/'Output-Calculation-sheet'!O10*'Output-Calculation-sheet'!O64</f>
        <v>1865.7847587895926</v>
      </c>
      <c r="P77" s="2">
        <f>P11/'Output-Calculation-sheet'!P10*'Output-Calculation-sheet'!P64</f>
        <v>794.08466170309771</v>
      </c>
      <c r="Q77" s="2">
        <f>Q11/'Output-Calculation-sheet'!Q10*'Output-Calculation-sheet'!Q64</f>
        <v>713.98409384252568</v>
      </c>
      <c r="R77" s="2">
        <f>R11/'Output-Calculation-sheet'!R10*'Output-Calculation-sheet'!R64</f>
        <v>679.74161154039234</v>
      </c>
      <c r="S77" s="2">
        <f>S11/'Output-Calculation-sheet'!S10*'Output-Calculation-sheet'!S64</f>
        <v>904.71109779242863</v>
      </c>
      <c r="T77" s="2">
        <f>T11/'Output-Calculation-sheet'!T10*'Output-Calculation-sheet'!T64</f>
        <v>186.94877418590104</v>
      </c>
      <c r="U77" s="2">
        <f>U11/'Output-Calculation-sheet'!U10*'Output-Calculation-sheet'!U64</f>
        <v>248.47185960383123</v>
      </c>
      <c r="V77" s="2">
        <f>V11/'Output-Calculation-sheet'!V10*'Output-Calculation-sheet'!V64</f>
        <v>96.661802247335444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265.87409387658676</v>
      </c>
      <c r="Y77" s="2">
        <f>Y11/'Output-Calculation-sheet'!Y10*'Output-Calculation-sheet'!Y64</f>
        <v>62.214623700930936</v>
      </c>
      <c r="AA77" s="2">
        <f t="shared" si="6"/>
        <v>40.605922980095578</v>
      </c>
    </row>
    <row r="78" spans="1:27" x14ac:dyDescent="0.25">
      <c r="A78" s="2">
        <v>2035</v>
      </c>
      <c r="B78" s="2">
        <f>B12/'Output-Calculation-sheet'!B11*'Output-Calculation-sheet'!B65</f>
        <v>10731.052925608559</v>
      </c>
      <c r="C78" s="2">
        <f>C12/'Output-Calculation-sheet'!C11*'Output-Calculation-sheet'!C65</f>
        <v>7841.7141076296111</v>
      </c>
      <c r="D78" s="2">
        <f>D12/'Output-Calculation-sheet'!D11*'Output-Calculation-sheet'!D65</f>
        <v>2014.6793913751872</v>
      </c>
      <c r="E78" s="2">
        <f>E12/'Output-Calculation-sheet'!E11*'Output-Calculation-sheet'!E65</f>
        <v>2521.7036089883495</v>
      </c>
      <c r="F78" s="2">
        <f>F12/'Output-Calculation-sheet'!F11*'Output-Calculation-sheet'!F65</f>
        <v>504.11976155934229</v>
      </c>
      <c r="G78" s="2">
        <f>G12/'Output-Calculation-sheet'!G11*'Output-Calculation-sheet'!G65</f>
        <v>926.66662815287464</v>
      </c>
      <c r="H78" s="2">
        <f>H12/'Output-Calculation-sheet'!H11*'Output-Calculation-sheet'!H65</f>
        <v>2929.8614942812969</v>
      </c>
      <c r="I78" s="2">
        <f>I12/'Output-Calculation-sheet'!I11*'Output-Calculation-sheet'!I65</f>
        <v>672.93263628806005</v>
      </c>
      <c r="J78" s="2">
        <f>J12/'Output-Calculation-sheet'!J11*'Output-Calculation-sheet'!J65</f>
        <v>650.73621610294242</v>
      </c>
      <c r="K78" s="2">
        <f>K12/'Output-Calculation-sheet'!K11*'Output-Calculation-sheet'!K65</f>
        <v>815.25747603984519</v>
      </c>
      <c r="L78" s="2">
        <f>L12/'Output-Calculation-sheet'!L11*'Output-Calculation-sheet'!L65</f>
        <v>601.0888776707634</v>
      </c>
      <c r="M78" s="2">
        <f>M12/'Output-Calculation-sheet'!M11*'Output-Calculation-sheet'!M65</f>
        <v>2139.2245153925583</v>
      </c>
      <c r="N78" s="2">
        <f>N12/'Output-Calculation-sheet'!N11*'Output-Calculation-sheet'!N65</f>
        <v>1525.3502393312631</v>
      </c>
      <c r="O78" s="2">
        <f>O12/'Output-Calculation-sheet'!O11*'Output-Calculation-sheet'!O65</f>
        <v>1439.8855999615741</v>
      </c>
      <c r="P78" s="2">
        <f>P12/'Output-Calculation-sheet'!P11*'Output-Calculation-sheet'!P65</f>
        <v>830.97165168756544</v>
      </c>
      <c r="Q78" s="2">
        <f>Q12/'Output-Calculation-sheet'!Q11*'Output-Calculation-sheet'!Q65</f>
        <v>705.57489811560492</v>
      </c>
      <c r="R78" s="2">
        <f>R12/'Output-Calculation-sheet'!R11*'Output-Calculation-sheet'!R65</f>
        <v>697.33196289445073</v>
      </c>
      <c r="S78" s="2">
        <f>S12/'Output-Calculation-sheet'!S11*'Output-Calculation-sheet'!S65</f>
        <v>806.80042528848696</v>
      </c>
      <c r="T78" s="2">
        <f>T12/'Output-Calculation-sheet'!T11*'Output-Calculation-sheet'!T65</f>
        <v>251.71748068629742</v>
      </c>
      <c r="U78" s="2">
        <f>U12/'Output-Calculation-sheet'!U11*'Output-Calculation-sheet'!U65</f>
        <v>210.61243397113228</v>
      </c>
      <c r="V78" s="2">
        <f>V12/'Output-Calculation-sheet'!V11*'Output-Calculation-sheet'!V65</f>
        <v>128.12277607961082</v>
      </c>
      <c r="W78" s="2">
        <f>W12/'Output-Calculation-sheet'!W11*'Output-Calculation-sheet'!W65</f>
        <v>89.462292127759881</v>
      </c>
      <c r="X78" s="2">
        <f>X12/'Output-Calculation-sheet'!X11*'Output-Calculation-sheet'!X65</f>
        <v>206.75946452551622</v>
      </c>
      <c r="Y78" s="2">
        <f>Y12/'Output-Calculation-sheet'!Y11*'Output-Calculation-sheet'!Y65</f>
        <v>97.002950495431847</v>
      </c>
      <c r="AA78" s="2">
        <f t="shared" si="6"/>
        <v>39.338629814254077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199.34301793238353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58.090478404484884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0.25743349633686841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503.7289141349064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97.86097656116192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1.9508540413291664</v>
      </c>
      <c r="Y88" s="2">
        <f>Y11/'Output-Calculation-sheet'!Y10*'Output-Calculation-sheet'!Y73</f>
        <v>0</v>
      </c>
      <c r="AA88" s="2">
        <f t="shared" si="7"/>
        <v>0.60354074473739749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634.86407710856815</v>
      </c>
      <c r="D89" s="2">
        <f>D12/'Output-Calculation-sheet'!D11*'Output-Calculation-sheet'!D74</f>
        <v>56.23825902677499</v>
      </c>
      <c r="E89" s="2">
        <f>E12/'Output-Calculation-sheet'!E11*'Output-Calculation-sheet'!E74</f>
        <v>89.388830718645522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58.62928055899819</v>
      </c>
      <c r="I89" s="2">
        <f>I12/'Output-Calculation-sheet'!I11*'Output-Calculation-sheet'!I74</f>
        <v>18.145193234321848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17.833868750051302</v>
      </c>
      <c r="L89" s="2">
        <f>L12/'Output-Calculation-sheet'!L11*'Output-Calculation-sheet'!L74</f>
        <v>14.180637861441054</v>
      </c>
      <c r="M89" s="2">
        <f>M12/'Output-Calculation-sheet'!M11*'Output-Calculation-sheet'!M74</f>
        <v>26.89512148545764</v>
      </c>
      <c r="N89" s="2">
        <f>N12/'Output-Calculation-sheet'!N11*'Output-Calculation-sheet'!N74</f>
        <v>26.433588758881605</v>
      </c>
      <c r="O89" s="2">
        <f>O12/'Output-Calculation-sheet'!O11*'Output-Calculation-sheet'!O74</f>
        <v>111.00330980310908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23.159800368141173</v>
      </c>
      <c r="R89" s="2">
        <f>R12/'Output-Calculation-sheet'!R11*'Output-Calculation-sheet'!R74</f>
        <v>11.483630243304967</v>
      </c>
      <c r="S89" s="2">
        <f>S12/'Output-Calculation-sheet'!S11*'Output-Calculation-sheet'!S74</f>
        <v>15.152604475321382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7.3893914101162128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5.9009222576741651</v>
      </c>
      <c r="Y89" s="2">
        <f>Y12/'Output-Calculation-sheet'!Y11*'Output-Calculation-sheet'!Y74</f>
        <v>2.8472497136819936</v>
      </c>
      <c r="AA89" s="2">
        <f t="shared" si="7"/>
        <v>1.5074692587016318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13691704300.164585</v>
      </c>
      <c r="C96" s="2">
        <f>C8/'Output-Calculation-sheet'!C7*'Output-Calculation-sheet'!C79</f>
        <v>4631965791.2971668</v>
      </c>
      <c r="D96" s="2">
        <f>D8/'Output-Calculation-sheet'!D7*'Output-Calculation-sheet'!D79</f>
        <v>4835467235.5070229</v>
      </c>
      <c r="E96" s="2">
        <f>E8/'Output-Calculation-sheet'!E7*'Output-Calculation-sheet'!E79</f>
        <v>8597049029.2497349</v>
      </c>
      <c r="F96" s="2">
        <f>F8/'Output-Calculation-sheet'!F7*'Output-Calculation-sheet'!F79</f>
        <v>3558233876.184689</v>
      </c>
      <c r="G96" s="2">
        <f>G8/'Output-Calculation-sheet'!G7*'Output-Calculation-sheet'!G79</f>
        <v>2771571604.9453769</v>
      </c>
      <c r="H96" s="2">
        <f>H8/'Output-Calculation-sheet'!H7*'Output-Calculation-sheet'!H79</f>
        <v>2372308768.4910727</v>
      </c>
      <c r="I96" s="2">
        <f>I8/'Output-Calculation-sheet'!I7*'Output-Calculation-sheet'!I79</f>
        <v>1930694276.2445085</v>
      </c>
      <c r="J96" s="2">
        <f>J8/'Output-Calculation-sheet'!J7*'Output-Calculation-sheet'!J79</f>
        <v>1305585338.3853245</v>
      </c>
      <c r="K96" s="2">
        <f>K8/'Output-Calculation-sheet'!K7*'Output-Calculation-sheet'!K79</f>
        <v>1867903156.6769674</v>
      </c>
      <c r="L96" s="2">
        <f>L8/'Output-Calculation-sheet'!L7*'Output-Calculation-sheet'!L79</f>
        <v>1317990842.0344157</v>
      </c>
      <c r="M96" s="2">
        <f>M8/'Output-Calculation-sheet'!M7*'Output-Calculation-sheet'!M79</f>
        <v>1770882614.8666067</v>
      </c>
      <c r="N96" s="2">
        <f>N8/'Output-Calculation-sheet'!N7*'Output-Calculation-sheet'!N79</f>
        <v>1317677702.4240952</v>
      </c>
      <c r="O96" s="2">
        <f>O8/'Output-Calculation-sheet'!O7*'Output-Calculation-sheet'!O79</f>
        <v>666131209.34578133</v>
      </c>
      <c r="P96" s="2">
        <f>P8/'Output-Calculation-sheet'!P7*'Output-Calculation-sheet'!P79</f>
        <v>2228069184.4845757</v>
      </c>
      <c r="Q96" s="2">
        <f>Q8/'Output-Calculation-sheet'!Q7*'Output-Calculation-sheet'!Q79</f>
        <v>1038375540.0636898</v>
      </c>
      <c r="R96" s="2">
        <f>R8/'Output-Calculation-sheet'!R7*'Output-Calculation-sheet'!R79</f>
        <v>1295496921.8902211</v>
      </c>
      <c r="S96" s="2">
        <f>S8/'Output-Calculation-sheet'!S7*'Output-Calculation-sheet'!S79</f>
        <v>754865073.65470183</v>
      </c>
      <c r="T96" s="2">
        <f>T8/'Output-Calculation-sheet'!T7*'Output-Calculation-sheet'!T79</f>
        <v>576543136.43016076</v>
      </c>
      <c r="U96" s="2">
        <f>U8/'Output-Calculation-sheet'!U7*'Output-Calculation-sheet'!U79</f>
        <v>362169580.635979</v>
      </c>
      <c r="V96" s="2">
        <f>V8/'Output-Calculation-sheet'!V7*'Output-Calculation-sheet'!V79</f>
        <v>187912464.65573713</v>
      </c>
      <c r="W96" s="2">
        <f>W8/'Output-Calculation-sheet'!W7*'Output-Calculation-sheet'!W79</f>
        <v>555266098.47102118</v>
      </c>
      <c r="X96" s="2">
        <f>X8/'Output-Calculation-sheet'!X7*'Output-Calculation-sheet'!X79</f>
        <v>195160319.85594884</v>
      </c>
      <c r="Y96" s="2">
        <f>Y8/'Output-Calculation-sheet'!Y7*'Output-Calculation-sheet'!Y79</f>
        <v>305228049.17192835</v>
      </c>
      <c r="AA96" s="2">
        <f t="shared" si="8"/>
        <v>58.134252115131311</v>
      </c>
    </row>
    <row r="97" spans="1:27" x14ac:dyDescent="0.25">
      <c r="A97" s="2">
        <v>2032</v>
      </c>
      <c r="B97" s="2">
        <f>B9/'Output-Calculation-sheet'!B8*'Output-Calculation-sheet'!B80</f>
        <v>17660623736.543411</v>
      </c>
      <c r="C97" s="2">
        <f>C9/'Output-Calculation-sheet'!C8*'Output-Calculation-sheet'!C80</f>
        <v>6015303639.3530598</v>
      </c>
      <c r="D97" s="2">
        <f>D9/'Output-Calculation-sheet'!D8*'Output-Calculation-sheet'!D80</f>
        <v>5993664528.7066088</v>
      </c>
      <c r="E97" s="2">
        <f>E9/'Output-Calculation-sheet'!E8*'Output-Calculation-sheet'!E80</f>
        <v>10961515760.744112</v>
      </c>
      <c r="F97" s="2">
        <f>F9/'Output-Calculation-sheet'!F8*'Output-Calculation-sheet'!F80</f>
        <v>4528203048.6307459</v>
      </c>
      <c r="G97" s="2">
        <f>G9/'Output-Calculation-sheet'!G8*'Output-Calculation-sheet'!G80</f>
        <v>3427600926.8265352</v>
      </c>
      <c r="H97" s="2">
        <f>H9/'Output-Calculation-sheet'!H8*'Output-Calculation-sheet'!H80</f>
        <v>3015596501.0936022</v>
      </c>
      <c r="I97" s="2">
        <f>I9/'Output-Calculation-sheet'!I8*'Output-Calculation-sheet'!I80</f>
        <v>2480607976.7857828</v>
      </c>
      <c r="J97" s="2">
        <f>J9/'Output-Calculation-sheet'!J8*'Output-Calculation-sheet'!J80</f>
        <v>1630770783.5632734</v>
      </c>
      <c r="K97" s="2">
        <f>K9/'Output-Calculation-sheet'!K8*'Output-Calculation-sheet'!K80</f>
        <v>2351099677.7929063</v>
      </c>
      <c r="L97" s="2">
        <f>L9/'Output-Calculation-sheet'!L8*'Output-Calculation-sheet'!L80</f>
        <v>1711211101.8984084</v>
      </c>
      <c r="M97" s="2">
        <f>M9/'Output-Calculation-sheet'!M8*'Output-Calculation-sheet'!M80</f>
        <v>2257751606.2284198</v>
      </c>
      <c r="N97" s="2">
        <f>N9/'Output-Calculation-sheet'!N8*'Output-Calculation-sheet'!N80</f>
        <v>1649589413.2160914</v>
      </c>
      <c r="O97" s="2">
        <f>O9/'Output-Calculation-sheet'!O8*'Output-Calculation-sheet'!O80</f>
        <v>853389523.72966456</v>
      </c>
      <c r="P97" s="2">
        <f>P9/'Output-Calculation-sheet'!P8*'Output-Calculation-sheet'!P80</f>
        <v>2792130050.345191</v>
      </c>
      <c r="Q97" s="2">
        <f>Q9/'Output-Calculation-sheet'!Q8*'Output-Calculation-sheet'!Q80</f>
        <v>1306051367.1374688</v>
      </c>
      <c r="R97" s="2">
        <f>R9/'Output-Calculation-sheet'!R8*'Output-Calculation-sheet'!R80</f>
        <v>1650192573.8303654</v>
      </c>
      <c r="S97" s="2">
        <f>S9/'Output-Calculation-sheet'!S8*'Output-Calculation-sheet'!S80</f>
        <v>957766994.76201499</v>
      </c>
      <c r="T97" s="2">
        <f>T9/'Output-Calculation-sheet'!T8*'Output-Calculation-sheet'!T80</f>
        <v>721232230.83186495</v>
      </c>
      <c r="U97" s="2">
        <f>U9/'Output-Calculation-sheet'!U8*'Output-Calculation-sheet'!U80</f>
        <v>461078592.60597378</v>
      </c>
      <c r="V97" s="2">
        <f>V9/'Output-Calculation-sheet'!V8*'Output-Calculation-sheet'!V80</f>
        <v>241762135.76575533</v>
      </c>
      <c r="W97" s="2">
        <f>W9/'Output-Calculation-sheet'!W8*'Output-Calculation-sheet'!W80</f>
        <v>700147816.52064228</v>
      </c>
      <c r="X97" s="2">
        <f>X9/'Output-Calculation-sheet'!X8*'Output-Calculation-sheet'!X80</f>
        <v>251420631.47193626</v>
      </c>
      <c r="Y97" s="2">
        <f>Y9/'Output-Calculation-sheet'!Y8*'Output-Calculation-sheet'!Y80</f>
        <v>384846560.39815825</v>
      </c>
      <c r="AA97" s="2">
        <f t="shared" si="8"/>
        <v>74.003557178782003</v>
      </c>
    </row>
    <row r="98" spans="1:27" x14ac:dyDescent="0.25">
      <c r="A98" s="2">
        <v>2033</v>
      </c>
      <c r="B98" s="2">
        <f>B10/'Output-Calculation-sheet'!B9*'Output-Calculation-sheet'!B81</f>
        <v>19705544651.967773</v>
      </c>
      <c r="C98" s="2">
        <f>C10/'Output-Calculation-sheet'!C9*'Output-Calculation-sheet'!C81</f>
        <v>6756037879.1157351</v>
      </c>
      <c r="D98" s="2">
        <f>D10/'Output-Calculation-sheet'!D9*'Output-Calculation-sheet'!D81</f>
        <v>6429690337.4403992</v>
      </c>
      <c r="E98" s="2">
        <f>E10/'Output-Calculation-sheet'!E9*'Output-Calculation-sheet'!E81</f>
        <v>12094652079.080534</v>
      </c>
      <c r="F98" s="2">
        <f>F10/'Output-Calculation-sheet'!F9*'Output-Calculation-sheet'!F81</f>
        <v>4988126858.2486219</v>
      </c>
      <c r="G98" s="2">
        <f>G10/'Output-Calculation-sheet'!G9*'Output-Calculation-sheet'!G81</f>
        <v>3662435356.6406198</v>
      </c>
      <c r="H98" s="2">
        <f>H10/'Output-Calculation-sheet'!H9*'Output-Calculation-sheet'!H81</f>
        <v>3318196356.1140523</v>
      </c>
      <c r="I98" s="2">
        <f>I10/'Output-Calculation-sheet'!I9*'Output-Calculation-sheet'!I81</f>
        <v>2758400789.8887687</v>
      </c>
      <c r="J98" s="2">
        <f>J10/'Output-Calculation-sheet'!J9*'Output-Calculation-sheet'!J81</f>
        <v>1763790989.6083765</v>
      </c>
      <c r="K98" s="2">
        <f>K10/'Output-Calculation-sheet'!K9*'Output-Calculation-sheet'!K81</f>
        <v>2561976358.7966857</v>
      </c>
      <c r="L98" s="2">
        <f>L10/'Output-Calculation-sheet'!L9*'Output-Calculation-sheet'!L81</f>
        <v>1921520618.9625647</v>
      </c>
      <c r="M98" s="2">
        <f>M10/'Output-Calculation-sheet'!M9*'Output-Calculation-sheet'!M81</f>
        <v>2491826144.8415394</v>
      </c>
      <c r="N98" s="2">
        <f>N10/'Output-Calculation-sheet'!N9*'Output-Calculation-sheet'!N81</f>
        <v>1787690833.727613</v>
      </c>
      <c r="O98" s="2">
        <f>O10/'Output-Calculation-sheet'!O9*'Output-Calculation-sheet'!O81</f>
        <v>946683293.04929674</v>
      </c>
      <c r="P98" s="2">
        <f>P10/'Output-Calculation-sheet'!P9*'Output-Calculation-sheet'!P81</f>
        <v>3025325128.7984257</v>
      </c>
      <c r="Q98" s="2">
        <f>Q10/'Output-Calculation-sheet'!Q9*'Output-Calculation-sheet'!Q81</f>
        <v>1422431181.7872026</v>
      </c>
      <c r="R98" s="2">
        <f>R10/'Output-Calculation-sheet'!R9*'Output-Calculation-sheet'!R81</f>
        <v>1819504678.5858307</v>
      </c>
      <c r="S98" s="2">
        <f>S10/'Output-Calculation-sheet'!S9*'Output-Calculation-sheet'!S81</f>
        <v>1051997646.6453902</v>
      </c>
      <c r="T98" s="2">
        <f>T10/'Output-Calculation-sheet'!T9*'Output-Calculation-sheet'!T81</f>
        <v>780625532.57040906</v>
      </c>
      <c r="U98" s="2">
        <f>U10/'Output-Calculation-sheet'!U9*'Output-Calculation-sheet'!U81</f>
        <v>507925600.0598771</v>
      </c>
      <c r="V98" s="2">
        <f>V10/'Output-Calculation-sheet'!V9*'Output-Calculation-sheet'!V81</f>
        <v>269005951.14014888</v>
      </c>
      <c r="W98" s="2">
        <f>W10/'Output-Calculation-sheet'!W9*'Output-Calculation-sheet'!W81</f>
        <v>762724678.6185751</v>
      </c>
      <c r="X98" s="2">
        <f>X10/'Output-Calculation-sheet'!X9*'Output-Calculation-sheet'!X81</f>
        <v>280278242.95481879</v>
      </c>
      <c r="Y98" s="2">
        <f>Y10/'Output-Calculation-sheet'!Y9*'Output-Calculation-sheet'!Y81</f>
        <v>419393262.90772855</v>
      </c>
      <c r="AA98" s="2">
        <f t="shared" si="8"/>
        <v>81.525784451550976</v>
      </c>
    </row>
    <row r="99" spans="1:27" x14ac:dyDescent="0.25">
      <c r="A99" s="2">
        <v>2034</v>
      </c>
      <c r="B99" s="2">
        <f>B11/'Output-Calculation-sheet'!B10*'Output-Calculation-sheet'!B82</f>
        <v>19358088004.812492</v>
      </c>
      <c r="C99" s="2">
        <f>C11/'Output-Calculation-sheet'!C10*'Output-Calculation-sheet'!C82</f>
        <v>6679334581.067749</v>
      </c>
      <c r="D99" s="2">
        <f>D11/'Output-Calculation-sheet'!D10*'Output-Calculation-sheet'!D82</f>
        <v>6076315678.1597719</v>
      </c>
      <c r="E99" s="2">
        <f>E11/'Output-Calculation-sheet'!E10*'Output-Calculation-sheet'!E82</f>
        <v>11754099853.717991</v>
      </c>
      <c r="F99" s="2">
        <f>F11/'Output-Calculation-sheet'!F10*'Output-Calculation-sheet'!F82</f>
        <v>4840911437.7916832</v>
      </c>
      <c r="G99" s="2">
        <f>G11/'Output-Calculation-sheet'!G10*'Output-Calculation-sheet'!G82</f>
        <v>3441543551.5841236</v>
      </c>
      <c r="H99" s="2">
        <f>H11/'Output-Calculation-sheet'!H10*'Output-Calculation-sheet'!H82</f>
        <v>3216747293.0443282</v>
      </c>
      <c r="I99" s="2">
        <f>I11/'Output-Calculation-sheet'!I10*'Output-Calculation-sheet'!I82</f>
        <v>2701843786.1365228</v>
      </c>
      <c r="J99" s="2">
        <f>J11/'Output-Calculation-sheet'!J10*'Output-Calculation-sheet'!J82</f>
        <v>1681356354.7683384</v>
      </c>
      <c r="K99" s="2">
        <f>K11/'Output-Calculation-sheet'!K10*'Output-Calculation-sheet'!K82</f>
        <v>2460044986.0853019</v>
      </c>
      <c r="L99" s="2">
        <f>L11/'Output-Calculation-sheet'!L10*'Output-Calculation-sheet'!L82</f>
        <v>1899334630.8385797</v>
      </c>
      <c r="M99" s="2">
        <f>M11/'Output-Calculation-sheet'!M10*'Output-Calculation-sheet'!M82</f>
        <v>2423116112.3047943</v>
      </c>
      <c r="N99" s="2">
        <f>N11/'Output-Calculation-sheet'!N10*'Output-Calculation-sheet'!N82</f>
        <v>1707087565.2171047</v>
      </c>
      <c r="O99" s="2">
        <f>O11/'Output-Calculation-sheet'!O10*'Output-Calculation-sheet'!O82</f>
        <v>925497840.90420735</v>
      </c>
      <c r="P99" s="2">
        <f>P11/'Output-Calculation-sheet'!P10*'Output-Calculation-sheet'!P82</f>
        <v>2884986433.2871938</v>
      </c>
      <c r="Q99" s="2">
        <f>Q11/'Output-Calculation-sheet'!Q10*'Output-Calculation-sheet'!Q82</f>
        <v>1365356874.3378758</v>
      </c>
      <c r="R99" s="2">
        <f>R11/'Output-Calculation-sheet'!R10*'Output-Calculation-sheet'!R82</f>
        <v>1767448159.5930803</v>
      </c>
      <c r="S99" s="2">
        <f>S11/'Output-Calculation-sheet'!S10*'Output-Calculation-sheet'!S82</f>
        <v>1018099551.5926062</v>
      </c>
      <c r="T99" s="2">
        <f>T11/'Output-Calculation-sheet'!T10*'Output-Calculation-sheet'!T82</f>
        <v>744111742.38278449</v>
      </c>
      <c r="U99" s="2">
        <f>U11/'Output-Calculation-sheet'!U10*'Output-Calculation-sheet'!U82</f>
        <v>492765795.95238304</v>
      </c>
      <c r="V99" s="2">
        <f>V11/'Output-Calculation-sheet'!V10*'Output-Calculation-sheet'!V82</f>
        <v>263475727.57930878</v>
      </c>
      <c r="W99" s="2">
        <f>W11/'Output-Calculation-sheet'!W10*'Output-Calculation-sheet'!W82</f>
        <v>730627417.34032166</v>
      </c>
      <c r="X99" s="2">
        <f>X11/'Output-Calculation-sheet'!X10*'Output-Calculation-sheet'!X82</f>
        <v>275174400.34781533</v>
      </c>
      <c r="Y99" s="2">
        <f>Y11/'Output-Calculation-sheet'!Y10*'Output-Calculation-sheet'!Y82</f>
        <v>402076807.69101572</v>
      </c>
      <c r="AA99" s="2">
        <f t="shared" si="8"/>
        <v>79.10944458653735</v>
      </c>
    </row>
    <row r="100" spans="1:27" x14ac:dyDescent="0.25">
      <c r="A100" s="2">
        <v>2035</v>
      </c>
      <c r="B100" s="2">
        <f>B12/'Output-Calculation-sheet'!B11*'Output-Calculation-sheet'!B83</f>
        <v>16725541482.043306</v>
      </c>
      <c r="C100" s="2">
        <f>C12/'Output-Calculation-sheet'!C11*'Output-Calculation-sheet'!C83</f>
        <v>5806836340.127841</v>
      </c>
      <c r="D100" s="2">
        <f>D12/'Output-Calculation-sheet'!D11*'Output-Calculation-sheet'!D83</f>
        <v>5054106469.1371164</v>
      </c>
      <c r="E100" s="2">
        <f>E12/'Output-Calculation-sheet'!E11*'Output-Calculation-sheet'!E83</f>
        <v>10051313661.833488</v>
      </c>
      <c r="F100" s="2">
        <f>F12/'Output-Calculation-sheet'!F11*'Output-Calculation-sheet'!F83</f>
        <v>4134709665.6258759</v>
      </c>
      <c r="G100" s="2">
        <f>G12/'Output-Calculation-sheet'!G11*'Output-Calculation-sheet'!G83</f>
        <v>2841350646.0486383</v>
      </c>
      <c r="H100" s="2">
        <f>H12/'Output-Calculation-sheet'!H11*'Output-Calculation-sheet'!H83</f>
        <v>2744532384.1249514</v>
      </c>
      <c r="I100" s="2">
        <f>I12/'Output-Calculation-sheet'!I11*'Output-Calculation-sheet'!I83</f>
        <v>2328681518.9199286</v>
      </c>
      <c r="J100" s="2">
        <f>J12/'Output-Calculation-sheet'!J11*'Output-Calculation-sheet'!J83</f>
        <v>1411281228.0861385</v>
      </c>
      <c r="K100" s="2">
        <f>K12/'Output-Calculation-sheet'!K11*'Output-Calculation-sheet'!K83</f>
        <v>2079418395.9347317</v>
      </c>
      <c r="L100" s="2">
        <f>L12/'Output-Calculation-sheet'!L11*'Output-Calculation-sheet'!L83</f>
        <v>1650939639.1684766</v>
      </c>
      <c r="M100" s="2">
        <f>M12/'Output-Calculation-sheet'!M11*'Output-Calculation-sheet'!M83</f>
        <v>2073946021.2791295</v>
      </c>
      <c r="N100" s="2">
        <f>N12/'Output-Calculation-sheet'!N11*'Output-Calculation-sheet'!N83</f>
        <v>1435006841.3505955</v>
      </c>
      <c r="O100" s="2">
        <f>O12/'Output-Calculation-sheet'!O11*'Output-Calculation-sheet'!O83</f>
        <v>796519913.29259253</v>
      </c>
      <c r="P100" s="2">
        <f>P12/'Output-Calculation-sheet'!P11*'Output-Calculation-sheet'!P83</f>
        <v>2419087573.7216315</v>
      </c>
      <c r="Q100" s="2">
        <f>Q12/'Output-Calculation-sheet'!Q11*'Output-Calculation-sheet'!Q83</f>
        <v>1153915862.1252971</v>
      </c>
      <c r="R100" s="2">
        <f>R12/'Output-Calculation-sheet'!R11*'Output-Calculation-sheet'!R83</f>
        <v>1510988506.7014837</v>
      </c>
      <c r="S100" s="2">
        <f>S12/'Output-Calculation-sheet'!S11*'Output-Calculation-sheet'!S83</f>
        <v>867229769.56629241</v>
      </c>
      <c r="T100" s="2">
        <f>T12/'Output-Calculation-sheet'!T11*'Output-Calculation-sheet'!T83</f>
        <v>624104960.16898799</v>
      </c>
      <c r="U100" s="2">
        <f>U12/'Output-Calculation-sheet'!U11*'Output-Calculation-sheet'!U83</f>
        <v>420576079.37645638</v>
      </c>
      <c r="V100" s="2">
        <f>V12/'Output-Calculation-sheet'!V11*'Output-Calculation-sheet'!V83</f>
        <v>226925230.91017851</v>
      </c>
      <c r="W100" s="2">
        <f>W12/'Output-Calculation-sheet'!W11*'Output-Calculation-sheet'!W83</f>
        <v>614796199.83986151</v>
      </c>
      <c r="X100" s="2">
        <f>X12/'Output-Calculation-sheet'!X11*'Output-Calculation-sheet'!X83</f>
        <v>237686050.55493009</v>
      </c>
      <c r="Y100" s="2">
        <f>Y12/'Output-Calculation-sheet'!Y11*'Output-Calculation-sheet'!Y83</f>
        <v>338789403.10650718</v>
      </c>
      <c r="AA100" s="2">
        <f t="shared" si="8"/>
        <v>67.548283843044445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1601996488.1314566</v>
      </c>
      <c r="C107" s="2">
        <f>C8/'Output-Calculation-sheet'!C7*'Output-Calculation-sheet'!C88</f>
        <v>26383153868.674316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8231649838.6409931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5679174220.4104118</v>
      </c>
      <c r="N107" s="2">
        <f>N8/'Output-Calculation-sheet'!N7*'Output-Calculation-sheet'!N88</f>
        <v>1725539789.3618603</v>
      </c>
      <c r="O107" s="2">
        <f>O8/'Output-Calculation-sheet'!O7*'Output-Calculation-sheet'!O88</f>
        <v>5126270883.7879133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569593658.76821864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615056385.74676383</v>
      </c>
      <c r="Y107" s="2">
        <f>Y8/'Output-Calculation-sheet'!Y7*'Output-Calculation-sheet'!Y88</f>
        <v>0</v>
      </c>
      <c r="AA107" s="2">
        <f t="shared" si="9"/>
        <v>49932.435133521933</v>
      </c>
    </row>
    <row r="108" spans="1:27" x14ac:dyDescent="0.25">
      <c r="A108" s="2">
        <v>2032</v>
      </c>
      <c r="B108" s="2">
        <f>B9/'Output-Calculation-sheet'!B8*'Output-Calculation-sheet'!B89</f>
        <v>6792783934.8942966</v>
      </c>
      <c r="C108" s="2">
        <f>C9/'Output-Calculation-sheet'!C8*'Output-Calculation-sheet'!C89</f>
        <v>34051699804.961033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10623895128.363331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7329563857.979022</v>
      </c>
      <c r="N108" s="2">
        <f>N9/'Output-Calculation-sheet'!N8*'Output-Calculation-sheet'!N89</f>
        <v>3453999946.2091656</v>
      </c>
      <c r="O108" s="2">
        <f>O9/'Output-Calculation-sheet'!O8*'Output-Calculation-sheet'!O89</f>
        <v>6616274235.3777647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1038051872.6290517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793813674.60868359</v>
      </c>
      <c r="Y108" s="2">
        <f>Y9/'Output-Calculation-sheet'!Y8*'Output-Calculation-sheet'!Y89</f>
        <v>0</v>
      </c>
      <c r="AA108" s="2">
        <f t="shared" si="9"/>
        <v>70700.082455022348</v>
      </c>
    </row>
    <row r="109" spans="1:27" x14ac:dyDescent="0.25">
      <c r="A109" s="2">
        <v>2033</v>
      </c>
      <c r="B109" s="2">
        <f>B10/'Output-Calculation-sheet'!B9*'Output-Calculation-sheet'!B90</f>
        <v>16141558943.964233</v>
      </c>
      <c r="C109" s="2">
        <f>C10/'Output-Calculation-sheet'!C9*'Output-Calculation-sheet'!C90</f>
        <v>35623334873.683289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11859634115.41766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8182116928.3996429</v>
      </c>
      <c r="N109" s="2">
        <f>N10/'Output-Calculation-sheet'!N9*'Output-Calculation-sheet'!N90</f>
        <v>4818809794.2374964</v>
      </c>
      <c r="O109" s="2">
        <f>O10/'Output-Calculation-sheet'!O9*'Output-Calculation-sheet'!O90</f>
        <v>6535744234.4943523</v>
      </c>
      <c r="P109" s="2">
        <f>P10/'Output-Calculation-sheet'!P9*'Output-Calculation-sheet'!P90</f>
        <v>0</v>
      </c>
      <c r="Q109" s="2">
        <f>Q10/'Output-Calculation-sheet'!Q9*'Output-Calculation-sheet'!Q90</f>
        <v>156913657.81934309</v>
      </c>
      <c r="R109" s="2">
        <f>R10/'Output-Calculation-sheet'!R9*'Output-Calculation-sheet'!R90</f>
        <v>0</v>
      </c>
      <c r="S109" s="2">
        <f>S10/'Output-Calculation-sheet'!S9*'Output-Calculation-sheet'!S90</f>
        <v>1944866360.327404</v>
      </c>
      <c r="T109" s="2">
        <f>T10/'Output-Calculation-sheet'!T9*'Output-Calculation-sheet'!T90</f>
        <v>1.4826250249287542E-7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886148018.68606889</v>
      </c>
      <c r="Y109" s="2">
        <f>Y10/'Output-Calculation-sheet'!Y9*'Output-Calculation-sheet'!Y90</f>
        <v>0</v>
      </c>
      <c r="AA109" s="2">
        <f t="shared" si="9"/>
        <v>86149.126927029502</v>
      </c>
    </row>
    <row r="110" spans="1:27" x14ac:dyDescent="0.25">
      <c r="A110" s="2">
        <v>2034</v>
      </c>
      <c r="B110" s="2">
        <f>B11/'Output-Calculation-sheet'!B10*'Output-Calculation-sheet'!B91</f>
        <v>31204111726.288265</v>
      </c>
      <c r="C110" s="2">
        <f>C11/'Output-Calculation-sheet'!C10*'Output-Calculation-sheet'!C91</f>
        <v>31553738695.566681</v>
      </c>
      <c r="D110" s="2">
        <f>D11/'Output-Calculation-sheet'!D10*'Output-Calculation-sheet'!D91</f>
        <v>0</v>
      </c>
      <c r="E110" s="2">
        <f>E11/'Output-Calculation-sheet'!E10*'Output-Calculation-sheet'!E91</f>
        <v>636546611.67398512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11654723811.243734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529707408.71434313</v>
      </c>
      <c r="M110" s="2">
        <f>M11/'Output-Calculation-sheet'!M10*'Output-Calculation-sheet'!M91</f>
        <v>8040745282.7320404</v>
      </c>
      <c r="N110" s="2">
        <f>N11/'Output-Calculation-sheet'!N10*'Output-Calculation-sheet'!N91</f>
        <v>5561381945.2216921</v>
      </c>
      <c r="O110" s="2">
        <f>O11/'Output-Calculation-sheet'!O10*'Output-Calculation-sheet'!O91</f>
        <v>5774417403.2934399</v>
      </c>
      <c r="P110" s="2">
        <f>P11/'Output-Calculation-sheet'!P10*'Output-Calculation-sheet'!P91</f>
        <v>0</v>
      </c>
      <c r="Q110" s="2">
        <f>Q11/'Output-Calculation-sheet'!Q10*'Output-Calculation-sheet'!Q91</f>
        <v>1415196256.4544151</v>
      </c>
      <c r="R110" s="2">
        <f>R11/'Output-Calculation-sheet'!R10*'Output-Calculation-sheet'!R91</f>
        <v>0</v>
      </c>
      <c r="S110" s="2">
        <f>S11/'Output-Calculation-sheet'!S10*'Output-Calculation-sheet'!S91</f>
        <v>2734890551.9864373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796623444.36059976</v>
      </c>
      <c r="Y110" s="2">
        <f>Y11/'Output-Calculation-sheet'!Y10*'Output-Calculation-sheet'!Y91</f>
        <v>34860935.63839975</v>
      </c>
      <c r="AA110" s="2">
        <f t="shared" si="9"/>
        <v>99936.944073174047</v>
      </c>
    </row>
    <row r="111" spans="1:27" x14ac:dyDescent="0.25">
      <c r="A111" s="2">
        <v>2035</v>
      </c>
      <c r="B111" s="2">
        <f>B12/'Output-Calculation-sheet'!B11*'Output-Calculation-sheet'!B92</f>
        <v>29980709271.058769</v>
      </c>
      <c r="C111" s="2">
        <f>C12/'Output-Calculation-sheet'!C11*'Output-Calculation-sheet'!C92</f>
        <v>25073702779.772053</v>
      </c>
      <c r="D111" s="2">
        <f>D12/'Output-Calculation-sheet'!D11*'Output-Calculation-sheet'!D92</f>
        <v>0</v>
      </c>
      <c r="E111" s="2">
        <f>E12/'Output-Calculation-sheet'!E11*'Output-Calculation-sheet'!E92</f>
        <v>3337275679.9172778</v>
      </c>
      <c r="F111" s="2">
        <f>F12/'Output-Calculation-sheet'!F11*'Output-Calculation-sheet'!F92</f>
        <v>0</v>
      </c>
      <c r="G111" s="2">
        <f>G12/'Output-Calculation-sheet'!G11*'Output-Calculation-sheet'!G92</f>
        <v>-3.6285129331830966E-7</v>
      </c>
      <c r="H111" s="2">
        <f>H12/'Output-Calculation-sheet'!H11*'Output-Calculation-sheet'!H92</f>
        <v>9280809910.0074558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1101285353.0849459</v>
      </c>
      <c r="M111" s="2">
        <f>M12/'Output-Calculation-sheet'!M11*'Output-Calculation-sheet'!M92</f>
        <v>6548775160.6146116</v>
      </c>
      <c r="N111" s="2">
        <f>N12/'Output-Calculation-sheet'!N11*'Output-Calculation-sheet'!N92</f>
        <v>4723108702.3360748</v>
      </c>
      <c r="O111" s="2">
        <f>O12/'Output-Calculation-sheet'!O11*'Output-Calculation-sheet'!O92</f>
        <v>4555602968.4619932</v>
      </c>
      <c r="P111" s="2">
        <f>P12/'Output-Calculation-sheet'!P11*'Output-Calculation-sheet'!P92</f>
        <v>229106883.09969479</v>
      </c>
      <c r="Q111" s="2">
        <f>Q12/'Output-Calculation-sheet'!Q11*'Output-Calculation-sheet'!Q92</f>
        <v>1575729127.5973129</v>
      </c>
      <c r="R111" s="2">
        <f>R12/'Output-Calculation-sheet'!R11*'Output-Calculation-sheet'!R92</f>
        <v>0</v>
      </c>
      <c r="S111" s="2">
        <f>S12/'Output-Calculation-sheet'!S11*'Output-Calculation-sheet'!S92</f>
        <v>2417541979.4009681</v>
      </c>
      <c r="T111" s="2">
        <f>T12/'Output-Calculation-sheet'!T11*'Output-Calculation-sheet'!T92</f>
        <v>0</v>
      </c>
      <c r="U111" s="2">
        <f>U12/'Output-Calculation-sheet'!U11*'Output-Calculation-sheet'!U92</f>
        <v>45713065.974316031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646224748.74354196</v>
      </c>
      <c r="Y111" s="2">
        <f>Y12/'Output-Calculation-sheet'!Y11*'Output-Calculation-sheet'!Y92</f>
        <v>155686760.16921732</v>
      </c>
      <c r="AA111" s="2">
        <f t="shared" si="9"/>
        <v>89671.272390238257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54396220261.19532</v>
      </c>
      <c r="C118" s="2">
        <f>C8/'Output-Calculation-sheet'!C7*'Output-Calculation-sheet'!C97</f>
        <v>0</v>
      </c>
      <c r="D118" s="2">
        <f>D8/'Output-Calculation-sheet'!D7*'Output-Calculation-sheet'!D97</f>
        <v>23519896297.849522</v>
      </c>
      <c r="E118" s="2">
        <f>E8/'Output-Calculation-sheet'!E7*'Output-Calculation-sheet'!E97</f>
        <v>18660650988.567005</v>
      </c>
      <c r="F118" s="2">
        <f>F8/'Output-Calculation-sheet'!F7*'Output-Calculation-sheet'!F97</f>
        <v>12012530672.318819</v>
      </c>
      <c r="G118" s="2">
        <f>G8/'Output-Calculation-sheet'!G7*'Output-Calculation-sheet'!G97</f>
        <v>8440333725.3771868</v>
      </c>
      <c r="H118" s="2">
        <f>H8/'Output-Calculation-sheet'!H7*'Output-Calculation-sheet'!H97</f>
        <v>0</v>
      </c>
      <c r="I118" s="2">
        <f>I8/'Output-Calculation-sheet'!I7*'Output-Calculation-sheet'!I97</f>
        <v>7689808423.2663708</v>
      </c>
      <c r="J118" s="2">
        <f>J8/'Output-Calculation-sheet'!J7*'Output-Calculation-sheet'!J97</f>
        <v>7484729877.4735413</v>
      </c>
      <c r="K118" s="2">
        <f>K8/'Output-Calculation-sheet'!K7*'Output-Calculation-sheet'!K97</f>
        <v>7412973862.4553099</v>
      </c>
      <c r="L118" s="2">
        <f>L8/'Output-Calculation-sheet'!L7*'Output-Calculation-sheet'!L97</f>
        <v>5946784021.666748</v>
      </c>
      <c r="M118" s="2">
        <f>M8/'Output-Calculation-sheet'!M7*'Output-Calculation-sheet'!M97</f>
        <v>0</v>
      </c>
      <c r="N118" s="2">
        <f>N8/'Output-Calculation-sheet'!N7*'Output-Calculation-sheet'!N97</f>
        <v>3849521956.9776964</v>
      </c>
      <c r="O118" s="2">
        <f>O8/'Output-Calculation-sheet'!O7*'Output-Calculation-sheet'!O97</f>
        <v>0</v>
      </c>
      <c r="P118" s="2">
        <f>P8/'Output-Calculation-sheet'!P7*'Output-Calculation-sheet'!P97</f>
        <v>5075273559.3558083</v>
      </c>
      <c r="Q118" s="2">
        <f>Q8/'Output-Calculation-sheet'!Q7*'Output-Calculation-sheet'!Q97</f>
        <v>4993247989.741663</v>
      </c>
      <c r="R118" s="2">
        <f>R8/'Output-Calculation-sheet'!R7*'Output-Calculation-sheet'!R97</f>
        <v>4803734206.9801512</v>
      </c>
      <c r="S118" s="2">
        <f>S8/'Output-Calculation-sheet'!S7*'Output-Calculation-sheet'!S97</f>
        <v>2623214550.8855624</v>
      </c>
      <c r="T118" s="2">
        <f>T8/'Output-Calculation-sheet'!T7*'Output-Calculation-sheet'!T97</f>
        <v>1765811733.5424507</v>
      </c>
      <c r="U118" s="2">
        <f>U8/'Output-Calculation-sheet'!U7*'Output-Calculation-sheet'!U97</f>
        <v>1537961382.6834366</v>
      </c>
      <c r="V118" s="2">
        <f>V8/'Output-Calculation-sheet'!V7*'Output-Calculation-sheet'!V97</f>
        <v>1184261489.26285</v>
      </c>
      <c r="W118" s="2">
        <f>W8/'Output-Calculation-sheet'!W7*'Output-Calculation-sheet'!W97</f>
        <v>1025307588.1416088</v>
      </c>
      <c r="X118" s="2">
        <f>X8/'Output-Calculation-sheet'!X7*'Output-Calculation-sheet'!X97</f>
        <v>0</v>
      </c>
      <c r="Y118" s="2">
        <f>Y8/'Output-Calculation-sheet'!Y7*'Output-Calculation-sheet'!Y97</f>
        <v>598261059.83715367</v>
      </c>
      <c r="AA118" s="2">
        <f t="shared" si="10"/>
        <v>173020.52364757823</v>
      </c>
    </row>
    <row r="119" spans="1:27" x14ac:dyDescent="0.25">
      <c r="A119" s="2">
        <v>2032</v>
      </c>
      <c r="B119" s="2">
        <f>B9/'Output-Calculation-sheet'!B8*'Output-Calculation-sheet'!B98</f>
        <v>65478599185.031548</v>
      </c>
      <c r="C119" s="2">
        <f>C9/'Output-Calculation-sheet'!C8*'Output-Calculation-sheet'!C98</f>
        <v>0</v>
      </c>
      <c r="D119" s="2">
        <f>D9/'Output-Calculation-sheet'!D8*'Output-Calculation-sheet'!D98</f>
        <v>30354815982.085598</v>
      </c>
      <c r="E119" s="2">
        <f>E9/'Output-Calculation-sheet'!E8*'Output-Calculation-sheet'!E98</f>
        <v>24083460518.077423</v>
      </c>
      <c r="F119" s="2">
        <f>F9/'Output-Calculation-sheet'!F8*'Output-Calculation-sheet'!F98</f>
        <v>15503392562.034065</v>
      </c>
      <c r="G119" s="2">
        <f>G9/'Output-Calculation-sheet'!G8*'Output-Calculation-sheet'!G98</f>
        <v>10893109128.922485</v>
      </c>
      <c r="H119" s="2">
        <f>H9/'Output-Calculation-sheet'!H8*'Output-Calculation-sheet'!H98</f>
        <v>1.4571767435532591E-6</v>
      </c>
      <c r="I119" s="2">
        <f>I9/'Output-Calculation-sheet'!I8*'Output-Calculation-sheet'!I98</f>
        <v>9924480637.2922134</v>
      </c>
      <c r="J119" s="2">
        <f>J9/'Output-Calculation-sheet'!J8*'Output-Calculation-sheet'!J98</f>
        <v>9659802144.8580685</v>
      </c>
      <c r="K119" s="2">
        <f>K9/'Output-Calculation-sheet'!K8*'Output-Calculation-sheet'!K98</f>
        <v>9567195239.1046734</v>
      </c>
      <c r="L119" s="2">
        <f>L9/'Output-Calculation-sheet'!L8*'Output-Calculation-sheet'!L98</f>
        <v>7674930215.8202362</v>
      </c>
      <c r="M119" s="2">
        <f>M9/'Output-Calculation-sheet'!M8*'Output-Calculation-sheet'!M98</f>
        <v>0</v>
      </c>
      <c r="N119" s="2">
        <f>N9/'Output-Calculation-sheet'!N8*'Output-Calculation-sheet'!N98</f>
        <v>3740581718.3146324</v>
      </c>
      <c r="O119" s="2">
        <f>O9/'Output-Calculation-sheet'!O8*'Output-Calculation-sheet'!O98</f>
        <v>0</v>
      </c>
      <c r="P119" s="2">
        <f>P9/'Output-Calculation-sheet'!P8*'Output-Calculation-sheet'!P98</f>
        <v>6550112945.6367073</v>
      </c>
      <c r="Q119" s="2">
        <f>Q9/'Output-Calculation-sheet'!Q8*'Output-Calculation-sheet'!Q98</f>
        <v>6444293869.5570965</v>
      </c>
      <c r="R119" s="2">
        <f>R9/'Output-Calculation-sheet'!R8*'Output-Calculation-sheet'!R98</f>
        <v>6199707576.3688059</v>
      </c>
      <c r="S119" s="2">
        <f>S9/'Output-Calculation-sheet'!S8*'Output-Calculation-sheet'!S98</f>
        <v>3082370869.9794044</v>
      </c>
      <c r="T119" s="2">
        <f>T9/'Output-Calculation-sheet'!T8*'Output-Calculation-sheet'!T98</f>
        <v>2278959105.3377366</v>
      </c>
      <c r="U119" s="2">
        <f>U9/'Output-Calculation-sheet'!U8*'Output-Calculation-sheet'!U98</f>
        <v>1984895901.9355478</v>
      </c>
      <c r="V119" s="2">
        <f>V9/'Output-Calculation-sheet'!V8*'Output-Calculation-sheet'!V98</f>
        <v>1528409542.658776</v>
      </c>
      <c r="W119" s="2">
        <f>W9/'Output-Calculation-sheet'!W8*'Output-Calculation-sheet'!W98</f>
        <v>1323263726.6905212</v>
      </c>
      <c r="X119" s="2">
        <f>X9/'Output-Calculation-sheet'!X8*'Output-Calculation-sheet'!X98</f>
        <v>0</v>
      </c>
      <c r="Y119" s="2">
        <f>Y9/'Output-Calculation-sheet'!Y8*'Output-Calculation-sheet'!Y98</f>
        <v>772116445.27569926</v>
      </c>
      <c r="AA119" s="2">
        <f t="shared" si="10"/>
        <v>217044.49731498127</v>
      </c>
    </row>
    <row r="120" spans="1:27" x14ac:dyDescent="0.25">
      <c r="A120" s="2">
        <v>2033</v>
      </c>
      <c r="B120" s="2">
        <f>B10/'Output-Calculation-sheet'!B9*'Output-Calculation-sheet'!B99</f>
        <v>64528893266.679794</v>
      </c>
      <c r="C120" s="2">
        <f>C10/'Output-Calculation-sheet'!C9*'Output-Calculation-sheet'!C99</f>
        <v>0</v>
      </c>
      <c r="D120" s="2">
        <f>D10/'Output-Calculation-sheet'!D9*'Output-Calculation-sheet'!D99</f>
        <v>33884580182.867886</v>
      </c>
      <c r="E120" s="2">
        <f>E10/'Output-Calculation-sheet'!E9*'Output-Calculation-sheet'!E99</f>
        <v>26883972373.847786</v>
      </c>
      <c r="F120" s="2">
        <f>F10/'Output-Calculation-sheet'!F9*'Output-Calculation-sheet'!F99</f>
        <v>17306177739.055286</v>
      </c>
      <c r="G120" s="2">
        <f>G10/'Output-Calculation-sheet'!G9*'Output-Calculation-sheet'!G99</f>
        <v>12159795434.68869</v>
      </c>
      <c r="H120" s="2">
        <f>H10/'Output-Calculation-sheet'!H9*'Output-Calculation-sheet'!H99</f>
        <v>0</v>
      </c>
      <c r="I120" s="2">
        <f>I10/'Output-Calculation-sheet'!I9*'Output-Calculation-sheet'!I99</f>
        <v>11078532250.431673</v>
      </c>
      <c r="J120" s="2">
        <f>J10/'Output-Calculation-sheet'!J9*'Output-Calculation-sheet'!J99</f>
        <v>10783076044.067907</v>
      </c>
      <c r="K120" s="2">
        <f>K10/'Output-Calculation-sheet'!K9*'Output-Calculation-sheet'!K99</f>
        <v>10679953603.560682</v>
      </c>
      <c r="L120" s="2">
        <f>L10/'Output-Calculation-sheet'!L9*'Output-Calculation-sheet'!L99</f>
        <v>8567396615.5787268</v>
      </c>
      <c r="M120" s="2">
        <f>M10/'Output-Calculation-sheet'!M9*'Output-Calculation-sheet'!M99</f>
        <v>0</v>
      </c>
      <c r="N120" s="2">
        <f>N10/'Output-Calculation-sheet'!N9*'Output-Calculation-sheet'!N99</f>
        <v>3211911140.2688484</v>
      </c>
      <c r="O120" s="2">
        <f>O10/'Output-Calculation-sheet'!O9*'Output-Calculation-sheet'!O99</f>
        <v>0</v>
      </c>
      <c r="P120" s="2">
        <f>P10/'Output-Calculation-sheet'!P9*'Output-Calculation-sheet'!P99</f>
        <v>7311398080.0434132</v>
      </c>
      <c r="Q120" s="2">
        <f>Q10/'Output-Calculation-sheet'!Q9*'Output-Calculation-sheet'!Q99</f>
        <v>7036674155.5138788</v>
      </c>
      <c r="R120" s="2">
        <f>R10/'Output-Calculation-sheet'!R9*'Output-Calculation-sheet'!R99</f>
        <v>6920305300.6674528</v>
      </c>
      <c r="S120" s="2">
        <f>S10/'Output-Calculation-sheet'!S9*'Output-Calculation-sheet'!S99</f>
        <v>2654386245.2834425</v>
      </c>
      <c r="T120" s="2">
        <f>T10/'Output-Calculation-sheet'!T9*'Output-Calculation-sheet'!T99</f>
        <v>2543942166.0143471</v>
      </c>
      <c r="U120" s="2">
        <f>U10/'Output-Calculation-sheet'!U9*'Output-Calculation-sheet'!U99</f>
        <v>2216181955.0861907</v>
      </c>
      <c r="V120" s="2">
        <f>V10/'Output-Calculation-sheet'!V9*'Output-Calculation-sheet'!V99</f>
        <v>1706138173.1559753</v>
      </c>
      <c r="W120" s="2">
        <f>W10/'Output-Calculation-sheet'!W9*'Output-Calculation-sheet'!W99</f>
        <v>1477137540.3018827</v>
      </c>
      <c r="X120" s="2">
        <f>X10/'Output-Calculation-sheet'!X9*'Output-Calculation-sheet'!X99</f>
        <v>0</v>
      </c>
      <c r="Y120" s="2">
        <f>Y10/'Output-Calculation-sheet'!Y9*'Output-Calculation-sheet'!Y99</f>
        <v>861902008.84063983</v>
      </c>
      <c r="AA120" s="2">
        <f t="shared" si="10"/>
        <v>231812.35427595454</v>
      </c>
    </row>
    <row r="121" spans="1:27" x14ac:dyDescent="0.25">
      <c r="A121" s="2">
        <v>2034</v>
      </c>
      <c r="B121" s="2">
        <f>B11/'Output-Calculation-sheet'!B10*'Output-Calculation-sheet'!B100</f>
        <v>48065607584.189804</v>
      </c>
      <c r="C121" s="2">
        <f>C11/'Output-Calculation-sheet'!C10*'Output-Calculation-sheet'!C100</f>
        <v>0</v>
      </c>
      <c r="D121" s="2">
        <f>D11/'Output-Calculation-sheet'!D10*'Output-Calculation-sheet'!D100</f>
        <v>33298403724.072414</v>
      </c>
      <c r="E121" s="2">
        <f>E11/'Output-Calculation-sheet'!E10*'Output-Calculation-sheet'!E100</f>
        <v>25781239770.080929</v>
      </c>
      <c r="F121" s="2">
        <f>F11/'Output-Calculation-sheet'!F10*'Output-Calculation-sheet'!F100</f>
        <v>17006702916.42374</v>
      </c>
      <c r="G121" s="2">
        <f>G11/'Output-Calculation-sheet'!G10*'Output-Calculation-sheet'!G100</f>
        <v>11948793196.765387</v>
      </c>
      <c r="H121" s="2">
        <f>H11/'Output-Calculation-sheet'!H10*'Output-Calculation-sheet'!H100</f>
        <v>0</v>
      </c>
      <c r="I121" s="2">
        <f>I11/'Output-Calculation-sheet'!I10*'Output-Calculation-sheet'!I100</f>
        <v>10886494899.96114</v>
      </c>
      <c r="J121" s="2">
        <f>J11/'Output-Calculation-sheet'!J10*'Output-Calculation-sheet'!J100</f>
        <v>10596277308.482632</v>
      </c>
      <c r="K121" s="2">
        <f>K11/'Output-Calculation-sheet'!K10*'Output-Calculation-sheet'!K100</f>
        <v>10494955530.121431</v>
      </c>
      <c r="L121" s="2">
        <f>L11/'Output-Calculation-sheet'!L10*'Output-Calculation-sheet'!L100</f>
        <v>7889235299.3825569</v>
      </c>
      <c r="M121" s="2">
        <f>M11/'Output-Calculation-sheet'!M10*'Output-Calculation-sheet'!M100</f>
        <v>5.385185777952199E-7</v>
      </c>
      <c r="N121" s="2">
        <f>N11/'Output-Calculation-sheet'!N10*'Output-Calculation-sheet'!N100</f>
        <v>2330584286.1860785</v>
      </c>
      <c r="O121" s="2">
        <f>O11/'Output-Calculation-sheet'!O10*'Output-Calculation-sheet'!O100</f>
        <v>0</v>
      </c>
      <c r="P121" s="2">
        <f>P11/'Output-Calculation-sheet'!P10*'Output-Calculation-sheet'!P100</f>
        <v>7184620643.9471407</v>
      </c>
      <c r="Q121" s="2">
        <f>Q11/'Output-Calculation-sheet'!Q10*'Output-Calculation-sheet'!Q100</f>
        <v>5653369698.0406675</v>
      </c>
      <c r="R121" s="2">
        <f>R11/'Output-Calculation-sheet'!R10*'Output-Calculation-sheet'!R100</f>
        <v>6800292348.3126106</v>
      </c>
      <c r="S121" s="2">
        <f>S11/'Output-Calculation-sheet'!S10*'Output-Calculation-sheet'!S100</f>
        <v>1784761554.4319637</v>
      </c>
      <c r="T121" s="2">
        <f>T11/'Output-Calculation-sheet'!T10*'Output-Calculation-sheet'!T100</f>
        <v>2499786306.5423717</v>
      </c>
      <c r="U121" s="2">
        <f>U11/'Output-Calculation-sheet'!U10*'Output-Calculation-sheet'!U100</f>
        <v>2178549279.1527658</v>
      </c>
      <c r="V121" s="2">
        <f>V11/'Output-Calculation-sheet'!V10*'Output-Calculation-sheet'!V100</f>
        <v>1677094513.2465339</v>
      </c>
      <c r="W121" s="2">
        <f>W11/'Output-Calculation-sheet'!W10*'Output-Calculation-sheet'!W100</f>
        <v>1451627343.7735806</v>
      </c>
      <c r="X121" s="2">
        <f>X11/'Output-Calculation-sheet'!X10*'Output-Calculation-sheet'!X100</f>
        <v>64442834.666792139</v>
      </c>
      <c r="Y121" s="2">
        <f>Y11/'Output-Calculation-sheet'!Y10*'Output-Calculation-sheet'!Y100</f>
        <v>812115551.00571811</v>
      </c>
      <c r="AA121" s="2">
        <f t="shared" si="10"/>
        <v>208404.95458878626</v>
      </c>
    </row>
    <row r="122" spans="1:27" x14ac:dyDescent="0.25">
      <c r="A122" s="2">
        <v>2035</v>
      </c>
      <c r="B122" s="2">
        <f>B12/'Output-Calculation-sheet'!B11*'Output-Calculation-sheet'!B101</f>
        <v>34499188147.058235</v>
      </c>
      <c r="C122" s="2">
        <f>C12/'Output-Calculation-sheet'!C11*'Output-Calculation-sheet'!C101</f>
        <v>0</v>
      </c>
      <c r="D122" s="2">
        <f>D12/'Output-Calculation-sheet'!D11*'Output-Calculation-sheet'!D101</f>
        <v>26805229443.919048</v>
      </c>
      <c r="E122" s="2">
        <f>E12/'Output-Calculation-sheet'!E11*'Output-Calculation-sheet'!E101</f>
        <v>18943924605.476532</v>
      </c>
      <c r="F122" s="2">
        <f>F12/'Output-Calculation-sheet'!F11*'Output-Calculation-sheet'!F101</f>
        <v>14097562680.353292</v>
      </c>
      <c r="G122" s="2">
        <f>G12/'Output-Calculation-sheet'!G11*'Output-Calculation-sheet'!G101</f>
        <v>9759298109.6485157</v>
      </c>
      <c r="H122" s="2">
        <f>H12/'Output-Calculation-sheet'!H11*'Output-Calculation-sheet'!H101</f>
        <v>0</v>
      </c>
      <c r="I122" s="2">
        <f>I12/'Output-Calculation-sheet'!I11*'Output-Calculation-sheet'!I101</f>
        <v>8915629808.5681</v>
      </c>
      <c r="J122" s="2">
        <f>J12/'Output-Calculation-sheet'!J11*'Output-Calculation-sheet'!J101</f>
        <v>8596989159.2702141</v>
      </c>
      <c r="K122" s="2">
        <f>K12/'Output-Calculation-sheet'!K11*'Output-Calculation-sheet'!K101</f>
        <v>8644866223.5354939</v>
      </c>
      <c r="L122" s="2">
        <f>L12/'Output-Calculation-sheet'!L11*'Output-Calculation-sheet'!L101</f>
        <v>5949178894.9260015</v>
      </c>
      <c r="M122" s="2">
        <f>M12/'Output-Calculation-sheet'!M11*'Output-Calculation-sheet'!M101</f>
        <v>0</v>
      </c>
      <c r="N122" s="2">
        <f>N12/'Output-Calculation-sheet'!N11*'Output-Calculation-sheet'!N101</f>
        <v>1674133015.340066</v>
      </c>
      <c r="O122" s="2">
        <f>O12/'Output-Calculation-sheet'!O11*'Output-Calculation-sheet'!O101</f>
        <v>0</v>
      </c>
      <c r="P122" s="2">
        <f>P12/'Output-Calculation-sheet'!P11*'Output-Calculation-sheet'!P101</f>
        <v>5761784808.7186546</v>
      </c>
      <c r="Q122" s="2">
        <f>Q12/'Output-Calculation-sheet'!Q11*'Output-Calculation-sheet'!Q101</f>
        <v>4087057448.5566278</v>
      </c>
      <c r="R122" s="2">
        <f>R12/'Output-Calculation-sheet'!R11*'Output-Calculation-sheet'!R101</f>
        <v>5634087186.3400393</v>
      </c>
      <c r="S122" s="2">
        <f>S12/'Output-Calculation-sheet'!S11*'Output-Calculation-sheet'!S101</f>
        <v>1235125914.6644104</v>
      </c>
      <c r="T122" s="2">
        <f>T12/'Output-Calculation-sheet'!T11*'Output-Calculation-sheet'!T101</f>
        <v>2101071978.043232</v>
      </c>
      <c r="U122" s="2">
        <f>U12/'Output-Calculation-sheet'!U11*'Output-Calculation-sheet'!U101</f>
        <v>1705753442.7371178</v>
      </c>
      <c r="V122" s="2">
        <f>V12/'Output-Calculation-sheet'!V11*'Output-Calculation-sheet'!V101</f>
        <v>1416942976.5771368</v>
      </c>
      <c r="W122" s="2">
        <f>W12/'Output-Calculation-sheet'!W11*'Output-Calculation-sheet'!W101</f>
        <v>1235565433.5893781</v>
      </c>
      <c r="X122" s="2">
        <f>X12/'Output-Calculation-sheet'!X11*'Output-Calculation-sheet'!X101</f>
        <v>45501170.647503771</v>
      </c>
      <c r="Y122" s="2">
        <f>Y12/'Output-Calculation-sheet'!Y11*'Output-Calculation-sheet'!Y101</f>
        <v>557806115.03229618</v>
      </c>
      <c r="AA122" s="2">
        <f t="shared" si="10"/>
        <v>161666.6965630019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55998217769.105721</v>
      </c>
      <c r="C129" s="2">
        <f>C8/'Output-Calculation-sheet'!C7*'Output-Calculation-sheet'!C106</f>
        <v>26389183236.437172</v>
      </c>
      <c r="D129" s="2">
        <f>D8/'Output-Calculation-sheet'!D7*'Output-Calculation-sheet'!D106</f>
        <v>23519896297.849522</v>
      </c>
      <c r="E129" s="2">
        <f>E8/'Output-Calculation-sheet'!E7*'Output-Calculation-sheet'!E106</f>
        <v>18660650988.567005</v>
      </c>
      <c r="F129" s="2">
        <f>F8/'Output-Calculation-sheet'!F7*'Output-Calculation-sheet'!F106</f>
        <v>12012530672.318819</v>
      </c>
      <c r="G129" s="2">
        <f>G8/'Output-Calculation-sheet'!G7*'Output-Calculation-sheet'!G106</f>
        <v>8440333725.3771868</v>
      </c>
      <c r="H129" s="2">
        <f>H8/'Output-Calculation-sheet'!H7*'Output-Calculation-sheet'!H106</f>
        <v>8233221551.8438683</v>
      </c>
      <c r="I129" s="2">
        <f>I8/'Output-Calculation-sheet'!I7*'Output-Calculation-sheet'!I106</f>
        <v>7689808423.2663708</v>
      </c>
      <c r="J129" s="2">
        <f>J8/'Output-Calculation-sheet'!J7*'Output-Calculation-sheet'!J106</f>
        <v>7484729877.4735413</v>
      </c>
      <c r="K129" s="2">
        <f>K8/'Output-Calculation-sheet'!K7*'Output-Calculation-sheet'!K106</f>
        <v>7412973862.4553099</v>
      </c>
      <c r="L129" s="2">
        <f>L8/'Output-Calculation-sheet'!L7*'Output-Calculation-sheet'!L106</f>
        <v>5946784021.666748</v>
      </c>
      <c r="M129" s="2">
        <f>M8/'Output-Calculation-sheet'!M7*'Output-Calculation-sheet'!M106</f>
        <v>5680205155.319437</v>
      </c>
      <c r="N129" s="2">
        <f>N8/'Output-Calculation-sheet'!N7*'Output-Calculation-sheet'!N106</f>
        <v>5575106035.2384386</v>
      </c>
      <c r="O129" s="2">
        <f>O8/'Output-Calculation-sheet'!O7*'Output-Calculation-sheet'!O106</f>
        <v>5127440211.6579742</v>
      </c>
      <c r="P129" s="2">
        <f>P8/'Output-Calculation-sheet'!P7*'Output-Calculation-sheet'!P106</f>
        <v>5075273559.3558083</v>
      </c>
      <c r="Q129" s="2">
        <f>Q8/'Output-Calculation-sheet'!Q7*'Output-Calculation-sheet'!Q106</f>
        <v>4993247989.741663</v>
      </c>
      <c r="R129" s="2">
        <f>R8/'Output-Calculation-sheet'!R7*'Output-Calculation-sheet'!R106</f>
        <v>4803734206.9801512</v>
      </c>
      <c r="S129" s="2">
        <f>S8/'Output-Calculation-sheet'!S7*'Output-Calculation-sheet'!S106</f>
        <v>3192807838.1241684</v>
      </c>
      <c r="T129" s="2">
        <f>T8/'Output-Calculation-sheet'!T7*'Output-Calculation-sheet'!T106</f>
        <v>1765811733.5424507</v>
      </c>
      <c r="U129" s="2">
        <f>U8/'Output-Calculation-sheet'!U7*'Output-Calculation-sheet'!U106</f>
        <v>1537961382.6834366</v>
      </c>
      <c r="V129" s="2">
        <f>V8/'Output-Calculation-sheet'!V7*'Output-Calculation-sheet'!V106</f>
        <v>1184261489.26285</v>
      </c>
      <c r="W129" s="2">
        <f>W8/'Output-Calculation-sheet'!W7*'Output-Calculation-sheet'!W106</f>
        <v>1025307588.1416088</v>
      </c>
      <c r="X129" s="2">
        <f>X8/'Output-Calculation-sheet'!X7*'Output-Calculation-sheet'!X106</f>
        <v>615184673.86131048</v>
      </c>
      <c r="Y129" s="2">
        <f>Y8/'Output-Calculation-sheet'!Y7*'Output-Calculation-sheet'!Y106</f>
        <v>598261059.83715367</v>
      </c>
      <c r="AA129" s="2">
        <f t="shared" si="11"/>
        <v>222962.93335010769</v>
      </c>
    </row>
    <row r="130" spans="1:27" x14ac:dyDescent="0.25">
      <c r="A130" s="2">
        <v>2032</v>
      </c>
      <c r="B130" s="2">
        <f>B9/'Output-Calculation-sheet'!B8*'Output-Calculation-sheet'!B107</f>
        <v>43362836192.983093</v>
      </c>
      <c r="C130" s="2">
        <f>C9/'Output-Calculation-sheet'!C8*'Output-Calculation-sheet'!C107</f>
        <v>20434746436.598827</v>
      </c>
      <c r="D130" s="2">
        <f>D9/'Output-Calculation-sheet'!D8*'Output-Calculation-sheet'!D107</f>
        <v>18212885792.703297</v>
      </c>
      <c r="E130" s="2">
        <f>E9/'Output-Calculation-sheet'!E8*'Output-Calculation-sheet'!E107</f>
        <v>14450074802.224928</v>
      </c>
      <c r="F130" s="2">
        <f>F9/'Output-Calculation-sheet'!F8*'Output-Calculation-sheet'!F107</f>
        <v>9302036486.0399265</v>
      </c>
      <c r="G130" s="2">
        <f>G9/'Output-Calculation-sheet'!G8*'Output-Calculation-sheet'!G107</f>
        <v>6535866158.305172</v>
      </c>
      <c r="H130" s="2">
        <f>H9/'Output-Calculation-sheet'!H8*'Output-Calculation-sheet'!H107</f>
        <v>6375484885.9433298</v>
      </c>
      <c r="I130" s="2">
        <f>I9/'Output-Calculation-sheet'!I8*'Output-Calculation-sheet'!I107</f>
        <v>5954687769.8999462</v>
      </c>
      <c r="J130" s="2">
        <f>J9/'Output-Calculation-sheet'!J8*'Output-Calculation-sheet'!J107</f>
        <v>5795880680.7653008</v>
      </c>
      <c r="K130" s="2">
        <f>K9/'Output-Calculation-sheet'!K8*'Output-Calculation-sheet'!K107</f>
        <v>5740317143.4628038</v>
      </c>
      <c r="L130" s="2">
        <f>L9/'Output-Calculation-sheet'!L8*'Output-Calculation-sheet'!L107</f>
        <v>4604957650.836916</v>
      </c>
      <c r="M130" s="2">
        <f>M9/'Output-Calculation-sheet'!M8*'Output-Calculation-sheet'!M107</f>
        <v>4398529935.2909317</v>
      </c>
      <c r="N130" s="2">
        <f>N9/'Output-Calculation-sheet'!N8*'Output-Calculation-sheet'!N107</f>
        <v>4317142477.8942051</v>
      </c>
      <c r="O130" s="2">
        <f>O9/'Output-Calculation-sheet'!O8*'Output-Calculation-sheet'!O107</f>
        <v>3970489759.2830682</v>
      </c>
      <c r="P130" s="2">
        <f>P9/'Output-Calculation-sheet'!P8*'Output-Calculation-sheet'!P107</f>
        <v>3930092907.6719041</v>
      </c>
      <c r="Q130" s="2">
        <f>Q9/'Output-Calculation-sheet'!Q8*'Output-Calculation-sheet'!Q107</f>
        <v>3866577494.3429508</v>
      </c>
      <c r="R130" s="2">
        <f>R9/'Output-Calculation-sheet'!R8*'Output-Calculation-sheet'!R107</f>
        <v>3719824933.4413385</v>
      </c>
      <c r="S130" s="2">
        <f>S9/'Output-Calculation-sheet'!S8*'Output-Calculation-sheet'!S107</f>
        <v>2472385884.3555031</v>
      </c>
      <c r="T130" s="2">
        <f>T9/'Output-Calculation-sheet'!T8*'Output-Calculation-sheet'!T107</f>
        <v>1367375750.0142446</v>
      </c>
      <c r="U130" s="2">
        <f>U9/'Output-Calculation-sheet'!U8*'Output-Calculation-sheet'!U107</f>
        <v>1190937167.0275075</v>
      </c>
      <c r="V130" s="2">
        <f>V9/'Output-Calculation-sheet'!V8*'Output-Calculation-sheet'!V107</f>
        <v>917045437.10415757</v>
      </c>
      <c r="W130" s="2">
        <f>W9/'Output-Calculation-sheet'!W8*'Output-Calculation-sheet'!W107</f>
        <v>793958319.28484762</v>
      </c>
      <c r="X130" s="2">
        <f>X9/'Output-Calculation-sheet'!X8*'Output-Calculation-sheet'!X107</f>
        <v>476374898.10053575</v>
      </c>
      <c r="Y130" s="2">
        <f>Y9/'Output-Calculation-sheet'!Y8*'Output-Calculation-sheet'!Y107</f>
        <v>463269915.21865135</v>
      </c>
      <c r="AA130" s="2">
        <f t="shared" si="11"/>
        <v>172653.77887879338</v>
      </c>
    </row>
    <row r="131" spans="1:27" x14ac:dyDescent="0.25">
      <c r="A131" s="2">
        <v>2033</v>
      </c>
      <c r="B131" s="2">
        <f>B10/'Output-Calculation-sheet'!B9*'Output-Calculation-sheet'!B108</f>
        <v>26891793650.483841</v>
      </c>
      <c r="C131" s="2">
        <f>C10/'Output-Calculation-sheet'!C9*'Output-Calculation-sheet'!C108</f>
        <v>15736925240.503189</v>
      </c>
      <c r="D131" s="2">
        <f>D10/'Output-Calculation-sheet'!D9*'Output-Calculation-sheet'!D108</f>
        <v>11294863004.028</v>
      </c>
      <c r="E131" s="2">
        <f>E10/'Output-Calculation-sheet'!E9*'Output-Calculation-sheet'!E108</f>
        <v>8961324124.6159286</v>
      </c>
      <c r="F131" s="2">
        <f>F10/'Output-Calculation-sheet'!F9*'Output-Calculation-sheet'!F108</f>
        <v>5768725913.0184288</v>
      </c>
      <c r="G131" s="2">
        <f>G10/'Output-Calculation-sheet'!G9*'Output-Calculation-sheet'!G108</f>
        <v>4053265144.8962297</v>
      </c>
      <c r="H131" s="2">
        <f>H10/'Output-Calculation-sheet'!H9*'Output-Calculation-sheet'!H108</f>
        <v>3953804557.0355549</v>
      </c>
      <c r="I131" s="2">
        <f>I10/'Output-Calculation-sheet'!I9*'Output-Calculation-sheet'!I108</f>
        <v>3692845033.0551758</v>
      </c>
      <c r="J131" s="2">
        <f>J10/'Output-Calculation-sheet'!J9*'Output-Calculation-sheet'!J108</f>
        <v>3594359621.1263785</v>
      </c>
      <c r="K131" s="2">
        <f>K10/'Output-Calculation-sheet'!K9*'Output-Calculation-sheet'!K108</f>
        <v>3559900538.811235</v>
      </c>
      <c r="L131" s="2">
        <f>L10/'Output-Calculation-sheet'!L9*'Output-Calculation-sheet'!L108</f>
        <v>2855799613.9636073</v>
      </c>
      <c r="M131" s="2">
        <f>M10/'Output-Calculation-sheet'!M9*'Output-Calculation-sheet'!M108</f>
        <v>2727780478.9510579</v>
      </c>
      <c r="N131" s="2">
        <f>N10/'Output-Calculation-sheet'!N9*'Output-Calculation-sheet'!N108</f>
        <v>2677308143.2761154</v>
      </c>
      <c r="O131" s="2">
        <f>O10/'Output-Calculation-sheet'!O9*'Output-Calculation-sheet'!O108</f>
        <v>3472983787.4455719</v>
      </c>
      <c r="P131" s="2">
        <f>P10/'Output-Calculation-sheet'!P9*'Output-Calculation-sheet'!P108</f>
        <v>2437277740.1935792</v>
      </c>
      <c r="Q131" s="2">
        <f>Q10/'Output-Calculation-sheet'!Q9*'Output-Calculation-sheet'!Q108</f>
        <v>2397886904.4095106</v>
      </c>
      <c r="R131" s="2">
        <f>R10/'Output-Calculation-sheet'!R9*'Output-Calculation-sheet'!R108</f>
        <v>2306876607.0180779</v>
      </c>
      <c r="S131" s="2">
        <f>S10/'Output-Calculation-sheet'!S9*'Output-Calculation-sheet'!S108</f>
        <v>1533268963.6908021</v>
      </c>
      <c r="T131" s="2">
        <f>T10/'Output-Calculation-sheet'!T9*'Output-Calculation-sheet'!T108</f>
        <v>847987836.73906291</v>
      </c>
      <c r="U131" s="2">
        <f>U10/'Output-Calculation-sheet'!U9*'Output-Calculation-sheet'!U108</f>
        <v>738568576.72397399</v>
      </c>
      <c r="V131" s="2">
        <f>V10/'Output-Calculation-sheet'!V9*'Output-Calculation-sheet'!V108</f>
        <v>568712575.29372942</v>
      </c>
      <c r="W131" s="2">
        <f>W10/'Output-Calculation-sheet'!W9*'Output-Calculation-sheet'!W108</f>
        <v>492379050.99851775</v>
      </c>
      <c r="X131" s="2">
        <f>X10/'Output-Calculation-sheet'!X9*'Output-Calculation-sheet'!X108</f>
        <v>295427372.89196026</v>
      </c>
      <c r="Y131" s="2">
        <f>Y10/'Output-Calculation-sheet'!Y9*'Output-Calculation-sheet'!Y108</f>
        <v>287300222.60498905</v>
      </c>
      <c r="AA131" s="2">
        <f t="shared" si="11"/>
        <v>111147.36470177452</v>
      </c>
    </row>
    <row r="132" spans="1:27" x14ac:dyDescent="0.25">
      <c r="A132" s="2">
        <v>2034</v>
      </c>
      <c r="B132" s="2">
        <f>B11/'Output-Calculation-sheet'!B10*'Output-Calculation-sheet'!B109</f>
        <v>11325678658.360886</v>
      </c>
      <c r="C132" s="2">
        <f>C11/'Output-Calculation-sheet'!C10*'Output-Calculation-sheet'!C109</f>
        <v>12791129548.254362</v>
      </c>
      <c r="D132" s="2">
        <f>D11/'Output-Calculation-sheet'!D10*'Output-Calculation-sheet'!D109</f>
        <v>4756915455.1802502</v>
      </c>
      <c r="E132" s="2">
        <f>E11/'Output-Calculation-sheet'!E10*'Output-Calculation-sheet'!E109</f>
        <v>3774129402.1100211</v>
      </c>
      <c r="F132" s="2">
        <f>F11/'Output-Calculation-sheet'!F10*'Output-Calculation-sheet'!F109</f>
        <v>2429542529.4607277</v>
      </c>
      <c r="G132" s="2">
        <f>G11/'Output-Calculation-sheet'!G10*'Output-Calculation-sheet'!G109</f>
        <v>1707063524.9746687</v>
      </c>
      <c r="H132" s="2">
        <f>H11/'Output-Calculation-sheet'!H10*'Output-Calculation-sheet'!H109</f>
        <v>1665174679.7010336</v>
      </c>
      <c r="I132" s="2">
        <f>I11/'Output-Calculation-sheet'!I10*'Output-Calculation-sheet'!I109</f>
        <v>1555269123.4333348</v>
      </c>
      <c r="J132" s="2">
        <f>J11/'Output-Calculation-sheet'!J10*'Output-Calculation-sheet'!J109</f>
        <v>1513791490.0876799</v>
      </c>
      <c r="K132" s="2">
        <f>K11/'Output-Calculation-sheet'!K10*'Output-Calculation-sheet'!K109</f>
        <v>1499279260.3732677</v>
      </c>
      <c r="L132" s="2">
        <f>L11/'Output-Calculation-sheet'!L10*'Output-Calculation-sheet'!L109</f>
        <v>1202741409.5546341</v>
      </c>
      <c r="M132" s="2">
        <f>M11/'Output-Calculation-sheet'!M10*'Output-Calculation-sheet'!M109</f>
        <v>1148825370.5533917</v>
      </c>
      <c r="N132" s="2">
        <f>N11/'Output-Calculation-sheet'!N10*'Output-Calculation-sheet'!N109</f>
        <v>1127568914.3757284</v>
      </c>
      <c r="O132" s="2">
        <f>O11/'Output-Calculation-sheet'!O10*'Output-Calculation-sheet'!O109</f>
        <v>2799358902.9877648</v>
      </c>
      <c r="P132" s="2">
        <f>P11/'Output-Calculation-sheet'!P10*'Output-Calculation-sheet'!P109</f>
        <v>1026477623.0139377</v>
      </c>
      <c r="Q132" s="2">
        <f>Q11/'Output-Calculation-sheet'!Q10*'Output-Calculation-sheet'!Q109</f>
        <v>1009888044.5279164</v>
      </c>
      <c r="R132" s="2">
        <f>R11/'Output-Calculation-sheet'!R10*'Output-Calculation-sheet'!R109</f>
        <v>971558674.74313629</v>
      </c>
      <c r="S132" s="2">
        <f>S11/'Output-Calculation-sheet'!S10*'Output-Calculation-sheet'!S109</f>
        <v>645747715.28261566</v>
      </c>
      <c r="T132" s="2">
        <f>T11/'Output-Calculation-sheet'!T10*'Output-Calculation-sheet'!T109</f>
        <v>357136600.54149967</v>
      </c>
      <c r="U132" s="2">
        <f>U11/'Output-Calculation-sheet'!U10*'Output-Calculation-sheet'!U109</f>
        <v>311053788.47663015</v>
      </c>
      <c r="V132" s="2">
        <f>V11/'Output-Calculation-sheet'!V10*'Output-Calculation-sheet'!V109</f>
        <v>239517638.18969667</v>
      </c>
      <c r="W132" s="2">
        <f>W11/'Output-Calculation-sheet'!W10*'Output-Calculation-sheet'!W109</f>
        <v>207369192.30505133</v>
      </c>
      <c r="X132" s="2">
        <f>X11/'Output-Calculation-sheet'!X10*'Output-Calculation-sheet'!X109</f>
        <v>140489017.52622312</v>
      </c>
      <c r="Y132" s="2">
        <f>Y11/'Output-Calculation-sheet'!Y10*'Output-Calculation-sheet'!Y109</f>
        <v>120998698.37331021</v>
      </c>
      <c r="AA132" s="2">
        <f t="shared" si="11"/>
        <v>54326.705262387761</v>
      </c>
    </row>
    <row r="133" spans="1:27" x14ac:dyDescent="0.25">
      <c r="A133" s="2">
        <v>2035</v>
      </c>
      <c r="B133" s="2">
        <f>B12/'Output-Calculation-sheet'!B11*'Output-Calculation-sheet'!B110</f>
        <v>5776366947.5322571</v>
      </c>
      <c r="C133" s="2">
        <f>C12/'Output-Calculation-sheet'!C11*'Output-Calculation-sheet'!C110</f>
        <v>9279281277.9119396</v>
      </c>
      <c r="D133" s="2">
        <f>D12/'Output-Calculation-sheet'!D11*'Output-Calculation-sheet'!D110</f>
        <v>2521329866.947403</v>
      </c>
      <c r="E133" s="2">
        <f>E12/'Output-Calculation-sheet'!E11*'Output-Calculation-sheet'!E110</f>
        <v>1207981439.733171</v>
      </c>
      <c r="F133" s="2">
        <f>F12/'Output-Calculation-sheet'!F11*'Output-Calculation-sheet'!F110</f>
        <v>921767832.87088263</v>
      </c>
      <c r="G133" s="2">
        <f>G12/'Output-Calculation-sheet'!G11*'Output-Calculation-sheet'!G110</f>
        <v>860535869.37396908</v>
      </c>
      <c r="H133" s="2">
        <f>H12/'Output-Calculation-sheet'!H11*'Output-Calculation-sheet'!H110</f>
        <v>1195550309.5130529</v>
      </c>
      <c r="I133" s="2">
        <f>I12/'Output-Calculation-sheet'!I11*'Output-Calculation-sheet'!I110</f>
        <v>711177985.87576962</v>
      </c>
      <c r="J133" s="2">
        <f>J12/'Output-Calculation-sheet'!J11*'Output-Calculation-sheet'!J110</f>
        <v>692603173.12434483</v>
      </c>
      <c r="K133" s="2">
        <f>K12/'Output-Calculation-sheet'!K11*'Output-Calculation-sheet'!K110</f>
        <v>599252587.70709884</v>
      </c>
      <c r="L133" s="2">
        <f>L12/'Output-Calculation-sheet'!L11*'Output-Calculation-sheet'!L110</f>
        <v>313213420.70079315</v>
      </c>
      <c r="M133" s="2">
        <f>M12/'Output-Calculation-sheet'!M11*'Output-Calculation-sheet'!M110</f>
        <v>635528627.76239324</v>
      </c>
      <c r="N133" s="2">
        <f>N12/'Output-Calculation-sheet'!N11*'Output-Calculation-sheet'!N110</f>
        <v>572685418.64443934</v>
      </c>
      <c r="O133" s="2">
        <f>O12/'Output-Calculation-sheet'!O11*'Output-Calculation-sheet'!O110</f>
        <v>2037989933.7323596</v>
      </c>
      <c r="P133" s="2">
        <f>P12/'Output-Calculation-sheet'!P11*'Output-Calculation-sheet'!P110</f>
        <v>422021682.77887887</v>
      </c>
      <c r="Q133" s="2">
        <f>Q12/'Output-Calculation-sheet'!Q11*'Output-Calculation-sheet'!Q110</f>
        <v>582405753.00374544</v>
      </c>
      <c r="R133" s="2">
        <f>R12/'Output-Calculation-sheet'!R11*'Output-Calculation-sheet'!R110</f>
        <v>356457854.23991269</v>
      </c>
      <c r="S133" s="2">
        <f>S12/'Output-Calculation-sheet'!S11*'Output-Calculation-sheet'!S110</f>
        <v>349635059.57770681</v>
      </c>
      <c r="T133" s="2">
        <f>T12/'Output-Calculation-sheet'!T11*'Output-Calculation-sheet'!T110</f>
        <v>92291410.469917998</v>
      </c>
      <c r="U133" s="2">
        <f>U12/'Output-Calculation-sheet'!U11*'Output-Calculation-sheet'!U110</f>
        <v>181823254.19644839</v>
      </c>
      <c r="V133" s="2">
        <f>V12/'Output-Calculation-sheet'!V11*'Output-Calculation-sheet'!V110</f>
        <v>39761222.108685531</v>
      </c>
      <c r="W133" s="2">
        <f>W12/'Output-Calculation-sheet'!W11*'Output-Calculation-sheet'!W110</f>
        <v>49311647.984858744</v>
      </c>
      <c r="X133" s="2">
        <f>X12/'Output-Calculation-sheet'!X11*'Output-Calculation-sheet'!X110</f>
        <v>100068149.44405702</v>
      </c>
      <c r="Y133" s="2">
        <f>Y12/'Output-Calculation-sheet'!Y11*'Output-Calculation-sheet'!Y110</f>
        <v>43222218.718595318</v>
      </c>
      <c r="AA133" s="2">
        <f t="shared" si="11"/>
        <v>29542.262943952686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1259.365531279843</v>
      </c>
      <c r="C19" s="2">
        <f>C8/'Output-Calculation-sheet'!C7*'Output-Calculation-sheet'!C25</f>
        <v>18982.715915695222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5663.1565984778481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3926.0848111080736</v>
      </c>
      <c r="N19" s="2">
        <f>N8/'Output-Calculation-sheet'!N7*'Output-Calculation-sheet'!N25</f>
        <v>1344.1469305408059</v>
      </c>
      <c r="O19" s="2">
        <f>O8/'Output-Calculation-sheet'!O7*'Output-Calculation-sheet'!O25</f>
        <v>3671.6413023780801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479.61284375721914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438.66159380105921</v>
      </c>
      <c r="Y19" s="2">
        <f>Y8/'Output-Calculation-sheet'!Y7*'Output-Calculation-sheet'!Y25</f>
        <v>0</v>
      </c>
      <c r="AA19" s="2">
        <f t="shared" si="0"/>
        <v>35.765385527038148</v>
      </c>
    </row>
    <row r="20" spans="1:27" x14ac:dyDescent="0.25">
      <c r="A20" s="2">
        <v>2032</v>
      </c>
      <c r="B20" s="2">
        <f>B9/'Output-Calculation-sheet'!B8*'Output-Calculation-sheet'!B26</f>
        <v>6958.2953931066086</v>
      </c>
      <c r="C20" s="2">
        <f>C9/'Output-Calculation-sheet'!C8*'Output-Calculation-sheet'!C26</f>
        <v>25482.264506807933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7561.0498948732047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5260.6648631306771</v>
      </c>
      <c r="N20" s="2">
        <f>N9/'Output-Calculation-sheet'!N8*'Output-Calculation-sheet'!N26</f>
        <v>2373.8505469149318</v>
      </c>
      <c r="O20" s="2">
        <f>O9/'Output-Calculation-sheet'!O8*'Output-Calculation-sheet'!O26</f>
        <v>4965.1081881384489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862.72173741257393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588.55652207687513</v>
      </c>
      <c r="Y20" s="2">
        <f>Y9/'Output-Calculation-sheet'!Y8*'Output-Calculation-sheet'!Y26</f>
        <v>0</v>
      </c>
      <c r="AA20" s="2">
        <f t="shared" si="0"/>
        <v>54.052511652461256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29352.101427630809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9031.824171268443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6273.3291937723761</v>
      </c>
      <c r="N21" s="2">
        <f>N10/'Output-Calculation-sheet'!N9*'Output-Calculation-sheet'!N27</f>
        <v>3431.3214240625216</v>
      </c>
      <c r="O21" s="2">
        <f>O10/'Output-Calculation-sheet'!O9*'Output-Calculation-sheet'!O27</f>
        <v>5177.7963142149365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1493.7692750496162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737.70657479437057</v>
      </c>
      <c r="Y21" s="2">
        <f>Y10/'Output-Calculation-sheet'!Y9*'Output-Calculation-sheet'!Y27</f>
        <v>0</v>
      </c>
      <c r="AA21" s="2">
        <f t="shared" si="0"/>
        <v>71.354348300855904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28152.393262266331</v>
      </c>
      <c r="D22" s="2">
        <f>D11/'Output-Calculation-sheet'!D10*'Output-Calculation-sheet'!D28</f>
        <v>0</v>
      </c>
      <c r="E22" s="2">
        <f>E11/'Output-Calculation-sheet'!E10*'Output-Calculation-sheet'!E28</f>
        <v>1387.2904726210588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11089.968943688136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840.97415887423529</v>
      </c>
      <c r="M22" s="2">
        <f>M11/'Output-Calculation-sheet'!M10*'Output-Calculation-sheet'!M28</f>
        <v>7642.0915719367349</v>
      </c>
      <c r="N22" s="2">
        <f>N11/'Output-Calculation-sheet'!N10*'Output-Calculation-sheet'!N28</f>
        <v>4398.0662685723319</v>
      </c>
      <c r="O22" s="2">
        <f>O11/'Output-Calculation-sheet'!O10*'Output-Calculation-sheet'!O28</f>
        <v>5038.1955725478902</v>
      </c>
      <c r="P22" s="2">
        <f>P11/'Output-Calculation-sheet'!P10*'Output-Calculation-sheet'!P28</f>
        <v>0</v>
      </c>
      <c r="Q22" s="2">
        <f>Q11/'Output-Calculation-sheet'!Q10*'Output-Calculation-sheet'!Q28</f>
        <v>1649.4488955252107</v>
      </c>
      <c r="R22" s="2">
        <f>R11/'Output-Calculation-sheet'!R10*'Output-Calculation-sheet'!R28</f>
        <v>0</v>
      </c>
      <c r="S22" s="2">
        <f>S11/'Output-Calculation-sheet'!S10*'Output-Calculation-sheet'!S28</f>
        <v>2230.444481327324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771.64156847550646</v>
      </c>
      <c r="Y22" s="2">
        <f>Y11/'Output-Calculation-sheet'!Y10*'Output-Calculation-sheet'!Y28</f>
        <v>76.759390547831089</v>
      </c>
      <c r="AA22" s="2">
        <f t="shared" si="0"/>
        <v>90.886791083750026</v>
      </c>
    </row>
    <row r="23" spans="1:27" x14ac:dyDescent="0.25">
      <c r="A23" s="2">
        <v>2035</v>
      </c>
      <c r="B23" s="2">
        <f>B12/'Output-Calculation-sheet'!B11*'Output-Calculation-sheet'!B29</f>
        <v>29840.155412890395</v>
      </c>
      <c r="C23" s="2">
        <f>C12/'Output-Calculation-sheet'!C11*'Output-Calculation-sheet'!C29</f>
        <v>25520.596757267289</v>
      </c>
      <c r="D23" s="2">
        <f>D12/'Output-Calculation-sheet'!D11*'Output-Calculation-sheet'!D29</f>
        <v>0</v>
      </c>
      <c r="E23" s="2">
        <f>E12/'Output-Calculation-sheet'!E11*'Output-Calculation-sheet'!E29</f>
        <v>5697.8735011895196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9901.6372482357965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1666.4790959262652</v>
      </c>
      <c r="M23" s="2">
        <f>M12/'Output-Calculation-sheet'!M11*'Output-Calculation-sheet'!M29</f>
        <v>7491.7453317354839</v>
      </c>
      <c r="N23" s="2">
        <f>N12/'Output-Calculation-sheet'!N11*'Output-Calculation-sheet'!N29</f>
        <v>4378.8755490000067</v>
      </c>
      <c r="O23" s="2">
        <f>O12/'Output-Calculation-sheet'!O11*'Output-Calculation-sheet'!O29</f>
        <v>4564.9887227669769</v>
      </c>
      <c r="P23" s="2">
        <f>P12/'Output-Calculation-sheet'!P11*'Output-Calculation-sheet'!P29</f>
        <v>601.51948057686877</v>
      </c>
      <c r="Q23" s="2">
        <f>Q12/'Output-Calculation-sheet'!Q11*'Output-Calculation-sheet'!Q29</f>
        <v>1916.3466106896087</v>
      </c>
      <c r="R23" s="2">
        <f>R12/'Output-Calculation-sheet'!R11*'Output-Calculation-sheet'!R29</f>
        <v>0</v>
      </c>
      <c r="S23" s="2">
        <f>S12/'Output-Calculation-sheet'!S11*'Output-Calculation-sheet'!S29</f>
        <v>2275.0771499729444</v>
      </c>
      <c r="T23" s="2">
        <f>T12/'Output-Calculation-sheet'!T11*'Output-Calculation-sheet'!T29</f>
        <v>0</v>
      </c>
      <c r="U23" s="2">
        <f>U12/'Output-Calculation-sheet'!U11*'Output-Calculation-sheet'!U29</f>
        <v>132.02759106683439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709.59725587202843</v>
      </c>
      <c r="Y23" s="2">
        <f>Y12/'Output-Calculation-sheet'!Y11*'Output-Calculation-sheet'!Y29</f>
        <v>227.40428191614117</v>
      </c>
      <c r="AA23" s="2">
        <f t="shared" si="0"/>
        <v>94.924323989106142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21950.332109903386</v>
      </c>
      <c r="C30" s="2">
        <f>C8/'Output-Calculation-sheet'!C7*'Output-Calculation-sheet'!C16</f>
        <v>0</v>
      </c>
      <c r="D30" s="2">
        <f>D8/'Output-Calculation-sheet'!D7*'Output-Calculation-sheet'!D16</f>
        <v>3696.1457514887516</v>
      </c>
      <c r="E30" s="2">
        <f>E8/'Output-Calculation-sheet'!E7*'Output-Calculation-sheet'!E16</f>
        <v>3976.8440042841335</v>
      </c>
      <c r="F30" s="2">
        <f>F8/'Output-Calculation-sheet'!F7*'Output-Calculation-sheet'!F16</f>
        <v>2006.3389620307237</v>
      </c>
      <c r="G30" s="2">
        <f>G8/'Output-Calculation-sheet'!G7*'Output-Calculation-sheet'!G16</f>
        <v>1313.9137240104303</v>
      </c>
      <c r="H30" s="2">
        <f>H8/'Output-Calculation-sheet'!H7*'Output-Calculation-sheet'!H16</f>
        <v>0</v>
      </c>
      <c r="I30" s="2">
        <f>I8/'Output-Calculation-sheet'!I7*'Output-Calculation-sheet'!I16</f>
        <v>1280.869146888876</v>
      </c>
      <c r="J30" s="2">
        <f>J8/'Output-Calculation-sheet'!J7*'Output-Calculation-sheet'!J16</f>
        <v>1140.2198311306033</v>
      </c>
      <c r="K30" s="2">
        <f>K8/'Output-Calculation-sheet'!K7*'Output-Calculation-sheet'!K16</f>
        <v>1522.4114159593273</v>
      </c>
      <c r="L30" s="2">
        <f>L8/'Output-Calculation-sheet'!L7*'Output-Calculation-sheet'!L16</f>
        <v>1285.9426906750323</v>
      </c>
      <c r="M30" s="2">
        <f>M8/'Output-Calculation-sheet'!M7*'Output-Calculation-sheet'!M16</f>
        <v>0</v>
      </c>
      <c r="N30" s="2">
        <f>N8/'Output-Calculation-sheet'!N7*'Output-Calculation-sheet'!N16</f>
        <v>1826.5732530111873</v>
      </c>
      <c r="O30" s="2">
        <f>O8/'Output-Calculation-sheet'!O7*'Output-Calculation-sheet'!O16</f>
        <v>0</v>
      </c>
      <c r="P30" s="2">
        <f>P8/'Output-Calculation-sheet'!P7*'Output-Calculation-sheet'!P16</f>
        <v>1641.6641051517749</v>
      </c>
      <c r="Q30" s="2">
        <f>Q8/'Output-Calculation-sheet'!Q7*'Output-Calculation-sheet'!Q16</f>
        <v>1805.2883399506482</v>
      </c>
      <c r="R30" s="2">
        <f>R8/'Output-Calculation-sheet'!R7*'Output-Calculation-sheet'!R16</f>
        <v>1145.4632981752941</v>
      </c>
      <c r="S30" s="2">
        <f>S8/'Output-Calculation-sheet'!S7*'Output-Calculation-sheet'!S16</f>
        <v>1152.0001907596945</v>
      </c>
      <c r="T30" s="2">
        <f>T8/'Output-Calculation-sheet'!T7*'Output-Calculation-sheet'!T16</f>
        <v>343.85161694706892</v>
      </c>
      <c r="U30" s="2">
        <f>U8/'Output-Calculation-sheet'!U7*'Output-Calculation-sheet'!U16</f>
        <v>343.23699090106425</v>
      </c>
      <c r="V30" s="2">
        <f>V8/'Output-Calculation-sheet'!V7*'Output-Calculation-sheet'!V16</f>
        <v>267.13482560756557</v>
      </c>
      <c r="W30" s="2">
        <f>W8/'Output-Calculation-sheet'!W7*'Output-Calculation-sheet'!W16</f>
        <v>162.03073867497511</v>
      </c>
      <c r="X30" s="2">
        <f>X8/'Output-Calculation-sheet'!X7*'Output-Calculation-sheet'!X16</f>
        <v>0</v>
      </c>
      <c r="Y30" s="2">
        <f>Y8/'Output-Calculation-sheet'!Y7*'Output-Calculation-sheet'!Y16</f>
        <v>137.14059944354372</v>
      </c>
      <c r="AA30" s="2">
        <f t="shared" si="1"/>
        <v>46.997401594994081</v>
      </c>
    </row>
    <row r="31" spans="1:27" x14ac:dyDescent="0.25">
      <c r="A31" s="2">
        <v>2032</v>
      </c>
      <c r="B31" s="2">
        <f>B9/'Output-Calculation-sheet'!B8*'Output-Calculation-sheet'!B17</f>
        <v>29463.72162817344</v>
      </c>
      <c r="C31" s="2">
        <f>C9/'Output-Calculation-sheet'!C8*'Output-Calculation-sheet'!C17</f>
        <v>0</v>
      </c>
      <c r="D31" s="2">
        <f>D9/'Output-Calculation-sheet'!D8*'Output-Calculation-sheet'!D17</f>
        <v>4941.4529650884469</v>
      </c>
      <c r="E31" s="2">
        <f>E9/'Output-Calculation-sheet'!E8*'Output-Calculation-sheet'!E17</f>
        <v>5808.0028185730052</v>
      </c>
      <c r="F31" s="2">
        <f>F9/'Output-Calculation-sheet'!F8*'Output-Calculation-sheet'!F17</f>
        <v>2682.3809900306542</v>
      </c>
      <c r="G31" s="2">
        <f>G9/'Output-Calculation-sheet'!G8*'Output-Calculation-sheet'!G17</f>
        <v>1756.6246829081938</v>
      </c>
      <c r="H31" s="2">
        <f>H9/'Output-Calculation-sheet'!H8*'Output-Calculation-sheet'!H17</f>
        <v>0</v>
      </c>
      <c r="I31" s="2">
        <f>I9/'Output-Calculation-sheet'!I8*'Output-Calculation-sheet'!I17</f>
        <v>1712.4540651353932</v>
      </c>
      <c r="J31" s="2">
        <f>J9/'Output-Calculation-sheet'!J8*'Output-Calculation-sheet'!J17</f>
        <v>1524.41419308786</v>
      </c>
      <c r="K31" s="2">
        <f>K9/'Output-Calculation-sheet'!K8*'Output-Calculation-sheet'!K17</f>
        <v>2170.3610569641205</v>
      </c>
      <c r="L31" s="2">
        <f>L9/'Output-Calculation-sheet'!L8*'Output-Calculation-sheet'!L17</f>
        <v>1850.9364417631803</v>
      </c>
      <c r="M31" s="2">
        <f>M9/'Output-Calculation-sheet'!M8*'Output-Calculation-sheet'!M17</f>
        <v>0</v>
      </c>
      <c r="N31" s="2">
        <f>N9/'Output-Calculation-sheet'!N8*'Output-Calculation-sheet'!N17</f>
        <v>2012.1572184914307</v>
      </c>
      <c r="O31" s="2">
        <f>O9/'Output-Calculation-sheet'!O8*'Output-Calculation-sheet'!O17</f>
        <v>0</v>
      </c>
      <c r="P31" s="2">
        <f>P9/'Output-Calculation-sheet'!P8*'Output-Calculation-sheet'!P17</f>
        <v>2497.3994172152679</v>
      </c>
      <c r="Q31" s="2">
        <f>Q9/'Output-Calculation-sheet'!Q8*'Output-Calculation-sheet'!Q17</f>
        <v>2662.4572321917562</v>
      </c>
      <c r="R31" s="2">
        <f>R9/'Output-Calculation-sheet'!R8*'Output-Calculation-sheet'!R17</f>
        <v>1741.9202305332074</v>
      </c>
      <c r="S31" s="2">
        <f>S9/'Output-Calculation-sheet'!S8*'Output-Calculation-sheet'!S17</f>
        <v>1498.8450557516435</v>
      </c>
      <c r="T31" s="2">
        <f>T9/'Output-Calculation-sheet'!T8*'Output-Calculation-sheet'!T17</f>
        <v>472.68278115162684</v>
      </c>
      <c r="U31" s="2">
        <f>U9/'Output-Calculation-sheet'!U8*'Output-Calculation-sheet'!U17</f>
        <v>543.26320755203756</v>
      </c>
      <c r="V31" s="2">
        <f>V9/'Output-Calculation-sheet'!V8*'Output-Calculation-sheet'!V17</f>
        <v>389.11365831960171</v>
      </c>
      <c r="W31" s="2">
        <f>W9/'Output-Calculation-sheet'!W8*'Output-Calculation-sheet'!W17</f>
        <v>216.62875444211224</v>
      </c>
      <c r="X31" s="2">
        <f>X9/'Output-Calculation-sheet'!X8*'Output-Calculation-sheet'!X17</f>
        <v>0</v>
      </c>
      <c r="Y31" s="2">
        <f>Y9/'Output-Calculation-sheet'!Y8*'Output-Calculation-sheet'!Y17</f>
        <v>209.31030996427501</v>
      </c>
      <c r="AA31" s="2">
        <f t="shared" si="1"/>
        <v>64.154126707337255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1930.6397573222582</v>
      </c>
      <c r="O32" s="2">
        <f>O10/'Output-Calculation-sheet'!O9*'Output-Calculation-sheet'!O18</f>
        <v>0</v>
      </c>
      <c r="P32" s="2">
        <f>P10/'Output-Calculation-sheet'!P9*'Output-Calculation-sheet'!P18</f>
        <v>3107.9399200303556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2234.932866852595</v>
      </c>
      <c r="S32" s="2">
        <f>S10/'Output-Calculation-sheet'!S9*'Output-Calculation-sheet'!S18</f>
        <v>1460.6626747292323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721.48757108299117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76.125162264996263</v>
      </c>
    </row>
    <row r="33" spans="1:27" x14ac:dyDescent="0.25">
      <c r="A33" s="2">
        <v>2034</v>
      </c>
      <c r="B33" s="2">
        <f>B11/'Output-Calculation-sheet'!B10*'Output-Calculation-sheet'!B19</f>
        <v>27848.579741568865</v>
      </c>
      <c r="C33" s="2">
        <f>C11/'Output-Calculation-sheet'!C10*'Output-Calculation-sheet'!C19</f>
        <v>0</v>
      </c>
      <c r="D33" s="2">
        <f>D11/'Output-Calculation-sheet'!D10*'Output-Calculation-sheet'!D19</f>
        <v>8306.1008549359794</v>
      </c>
      <c r="E33" s="2">
        <f>E11/'Output-Calculation-sheet'!E10*'Output-Calculation-sheet'!E19</f>
        <v>10318.537214135649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2827.7631986591964</v>
      </c>
      <c r="H33" s="2">
        <f>H11/'Output-Calculation-sheet'!H10*'Output-Calculation-sheet'!H19</f>
        <v>0</v>
      </c>
      <c r="I33" s="2">
        <f>I11/'Output-Calculation-sheet'!I10*'Output-Calculation-sheet'!I19</f>
        <v>3085.306880281656</v>
      </c>
      <c r="J33" s="2">
        <f>J11/'Output-Calculation-sheet'!J10*'Output-Calculation-sheet'!J19</f>
        <v>2614.0042336636689</v>
      </c>
      <c r="K33" s="2">
        <f>K11/'Output-Calculation-sheet'!K10*'Output-Calculation-sheet'!K19</f>
        <v>3619.6283136011602</v>
      </c>
      <c r="L33" s="2">
        <f>L11/'Output-Calculation-sheet'!L10*'Output-Calculation-sheet'!L19</f>
        <v>2946.3089889583348</v>
      </c>
      <c r="M33" s="2">
        <f>M11/'Output-Calculation-sheet'!M10*'Output-Calculation-sheet'!M19</f>
        <v>0</v>
      </c>
      <c r="N33" s="2">
        <f>N11/'Output-Calculation-sheet'!N10*'Output-Calculation-sheet'!N19</f>
        <v>1664.6976901998873</v>
      </c>
      <c r="O33" s="2">
        <f>O11/'Output-Calculation-sheet'!O10*'Output-Calculation-sheet'!O19</f>
        <v>0</v>
      </c>
      <c r="P33" s="2">
        <f>P11/'Output-Calculation-sheet'!P10*'Output-Calculation-sheet'!P19</f>
        <v>3662.9251188031644</v>
      </c>
      <c r="Q33" s="2">
        <f>Q11/'Output-Calculation-sheet'!Q10*'Output-Calculation-sheet'!Q19</f>
        <v>2932.8608761358596</v>
      </c>
      <c r="R33" s="2">
        <f>R11/'Output-Calculation-sheet'!R10*'Output-Calculation-sheet'!R19</f>
        <v>2615.1572407850304</v>
      </c>
      <c r="S33" s="2">
        <f>S11/'Output-Calculation-sheet'!S10*'Output-Calculation-sheet'!S19</f>
        <v>1222.3434654006537</v>
      </c>
      <c r="T33" s="2">
        <f>T11/'Output-Calculation-sheet'!T10*'Output-Calculation-sheet'!T19</f>
        <v>767.39588327681133</v>
      </c>
      <c r="U33" s="2">
        <f>U11/'Output-Calculation-sheet'!U10*'Output-Calculation-sheet'!U19</f>
        <v>883.21257486540674</v>
      </c>
      <c r="V33" s="2">
        <f>V11/'Output-Calculation-sheet'!V10*'Output-Calculation-sheet'!V19</f>
        <v>602.59112344787889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118.50646712833483</v>
      </c>
      <c r="Y33" s="2">
        <f>Y11/'Output-Calculation-sheet'!Y10*'Output-Calculation-sheet'!Y19</f>
        <v>337.74131841045676</v>
      </c>
      <c r="AA33" s="2">
        <f t="shared" si="1"/>
        <v>81.47012793402574</v>
      </c>
    </row>
    <row r="34" spans="1:27" x14ac:dyDescent="0.25">
      <c r="A34" s="2">
        <v>2035</v>
      </c>
      <c r="B34" s="2">
        <f>B12/'Output-Calculation-sheet'!B11*'Output-Calculation-sheet'!B20</f>
        <v>23134.920053990973</v>
      </c>
      <c r="C34" s="2">
        <f>C12/'Output-Calculation-sheet'!C11*'Output-Calculation-sheet'!C20</f>
        <v>0</v>
      </c>
      <c r="D34" s="2">
        <f>D12/'Output-Calculation-sheet'!D11*'Output-Calculation-sheet'!D20</f>
        <v>7993.1234717754951</v>
      </c>
      <c r="E34" s="2">
        <f>E12/'Output-Calculation-sheet'!E11*'Output-Calculation-sheet'!E20</f>
        <v>7764.548165978048</v>
      </c>
      <c r="F34" s="2">
        <f>F12/'Output-Calculation-sheet'!F11*'Output-Calculation-sheet'!F20</f>
        <v>5086.4115188301093</v>
      </c>
      <c r="G34" s="2">
        <f>G12/'Output-Calculation-sheet'!G11*'Output-Calculation-sheet'!G20</f>
        <v>2698.8785055183398</v>
      </c>
      <c r="H34" s="2">
        <f>H12/'Output-Calculation-sheet'!H11*'Output-Calculation-sheet'!H20</f>
        <v>0</v>
      </c>
      <c r="I34" s="2">
        <f>I12/'Output-Calculation-sheet'!I11*'Output-Calculation-sheet'!I20</f>
        <v>3104.8664833209132</v>
      </c>
      <c r="J34" s="2">
        <f>J12/'Output-Calculation-sheet'!J11*'Output-Calculation-sheet'!J20</f>
        <v>2634.5618725063919</v>
      </c>
      <c r="K34" s="2">
        <f>K12/'Output-Calculation-sheet'!K11*'Output-Calculation-sheet'!K20</f>
        <v>3710.8802052923884</v>
      </c>
      <c r="L34" s="2">
        <f>L12/'Output-Calculation-sheet'!L11*'Output-Calculation-sheet'!L20</f>
        <v>2708.5184578747762</v>
      </c>
      <c r="M34" s="2">
        <f>M12/'Output-Calculation-sheet'!M11*'Output-Calculation-sheet'!M20</f>
        <v>0</v>
      </c>
      <c r="N34" s="2">
        <f>N12/'Output-Calculation-sheet'!N11*'Output-Calculation-sheet'!N20</f>
        <v>1431.9262738174721</v>
      </c>
      <c r="O34" s="2">
        <f>O12/'Output-Calculation-sheet'!O11*'Output-Calculation-sheet'!O20</f>
        <v>0</v>
      </c>
      <c r="P34" s="2">
        <f>P12/'Output-Calculation-sheet'!P11*'Output-Calculation-sheet'!P20</f>
        <v>3231.9125566493085</v>
      </c>
      <c r="Q34" s="2">
        <f>Q12/'Output-Calculation-sheet'!Q11*'Output-Calculation-sheet'!Q20</f>
        <v>2395.7425989935309</v>
      </c>
      <c r="R34" s="2">
        <f>R12/'Output-Calculation-sheet'!R11*'Output-Calculation-sheet'!R20</f>
        <v>2720.1864504123109</v>
      </c>
      <c r="S34" s="2">
        <f>S12/'Output-Calculation-sheet'!S11*'Output-Calculation-sheet'!S20</f>
        <v>995.63566639704516</v>
      </c>
      <c r="T34" s="2">
        <f>T12/'Output-Calculation-sheet'!T11*'Output-Calculation-sheet'!T20</f>
        <v>812.6019052297072</v>
      </c>
      <c r="U34" s="2">
        <f>U12/'Output-Calculation-sheet'!U11*'Output-Calculation-sheet'!U20</f>
        <v>743.67506841250145</v>
      </c>
      <c r="V34" s="2">
        <f>V12/'Output-Calculation-sheet'!V11*'Output-Calculation-sheet'!V20</f>
        <v>718.73725040209831</v>
      </c>
      <c r="W34" s="2">
        <f>W12/'Output-Calculation-sheet'!W11*'Output-Calculation-sheet'!W20</f>
        <v>436.38155066616275</v>
      </c>
      <c r="X34" s="2">
        <f>X12/'Output-Calculation-sheet'!X11*'Output-Calculation-sheet'!X20</f>
        <v>92.330452729276132</v>
      </c>
      <c r="Y34" s="2">
        <f>Y12/'Output-Calculation-sheet'!Y11*'Output-Calculation-sheet'!Y20</f>
        <v>236.87007971760775</v>
      </c>
      <c r="AA34" s="2">
        <f t="shared" si="1"/>
        <v>72.652708588514457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1.2690971288159174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0.24655143052525075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1.5156485593411682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1.1791231751793321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0.22907191183796957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1.4355943148199062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2.0622412089344619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0.40063798790980054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9.8740971921280369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36734.510850657549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7947.9271990184488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5468.9516621324246</v>
      </c>
      <c r="N52" s="2">
        <f>N8/'Output-Calculation-sheet'!N7*'Output-Calculation-sheet'!N43</f>
        <v>174.80006249209887</v>
      </c>
      <c r="O52" s="2">
        <f>O8/'Output-Calculation-sheet'!O7*'Output-Calculation-sheet'!O43</f>
        <v>7442.3783826734007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707.26694726185997</v>
      </c>
      <c r="Y52" s="2">
        <f>Y8/'Output-Calculation-sheet'!Y7*'Output-Calculation-sheet'!Y43</f>
        <v>0</v>
      </c>
      <c r="AA52" s="2">
        <f t="shared" si="3"/>
        <v>58.475835104235777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64771.528975199231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15169.994121985754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10367.107118982183</v>
      </c>
      <c r="N53" s="2">
        <f>N9/'Output-Calculation-sheet'!N8*'Output-Calculation-sheet'!N44</f>
        <v>3692.4175157274135</v>
      </c>
      <c r="O53" s="2">
        <f>O9/'Output-Calculation-sheet'!O8*'Output-Calculation-sheet'!O44</f>
        <v>12845.064689018567</v>
      </c>
      <c r="P53" s="2">
        <f>P9/'Output-Calculation-sheet'!P8*'Output-Calculation-sheet'!P44</f>
        <v>172.71536552402068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1152.0818232528161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1296.4144778763957</v>
      </c>
      <c r="Y53" s="2">
        <f>Y9/'Output-Calculation-sheet'!Y8*'Output-Calculation-sheet'!Y44</f>
        <v>0</v>
      </c>
      <c r="AA53" s="2">
        <f t="shared" si="3"/>
        <v>109.4673240875664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72249.476894871084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13344.055494217517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1469.979630953251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531.25347582954191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171.51620053446098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68058.16221649127</v>
      </c>
      <c r="D55" s="2">
        <f>D11/'Output-Calculation-sheet'!D10*'Output-Calculation-sheet'!D46</f>
        <v>7329.8556990224288</v>
      </c>
      <c r="E55" s="2">
        <f>E11/'Output-Calculation-sheet'!E10*'Output-Calculation-sheet'!E46</f>
        <v>8956.3682622501692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24420.932564881656</v>
      </c>
      <c r="I55" s="2">
        <f>I11/'Output-Calculation-sheet'!I10*'Output-Calculation-sheet'!I46</f>
        <v>1773.7255340950621</v>
      </c>
      <c r="J55" s="2">
        <f>J11/'Output-Calculation-sheet'!J10*'Output-Calculation-sheet'!J46</f>
        <v>1258.0409196451785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16738.265157632744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12498.485014317286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5018.3393138477186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6270.3902939899644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1444.6528131488033</v>
      </c>
      <c r="V55" s="2">
        <f>V11/'Output-Calculation-sheet'!V10*'Output-Calculation-sheet'!V46</f>
        <v>580.18663630049878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1728.0741043923326</v>
      </c>
      <c r="Y55" s="2">
        <f>Y11/'Output-Calculation-sheet'!Y10*'Output-Calculation-sheet'!Y46</f>
        <v>442.9987488936618</v>
      </c>
      <c r="AA55" s="2">
        <f t="shared" si="3"/>
        <v>266.25537355377816</v>
      </c>
    </row>
    <row r="56" spans="1:27" x14ac:dyDescent="0.25">
      <c r="A56" s="2">
        <v>2035</v>
      </c>
      <c r="B56" s="2">
        <f>B12/'Output-Calculation-sheet'!B11*'Output-Calculation-sheet'!B47</f>
        <v>89568.299522032961</v>
      </c>
      <c r="C56" s="2">
        <f>C12/'Output-Calculation-sheet'!C11*'Output-Calculation-sheet'!C47</f>
        <v>60420.049454746513</v>
      </c>
      <c r="D56" s="2">
        <f>D12/'Output-Calculation-sheet'!D11*'Output-Calculation-sheet'!D47</f>
        <v>13060.004670155729</v>
      </c>
      <c r="E56" s="2">
        <f>E12/'Output-Calculation-sheet'!E11*'Output-Calculation-sheet'!E47</f>
        <v>23623.86925796598</v>
      </c>
      <c r="F56" s="2">
        <f>F12/'Output-Calculation-sheet'!F11*'Output-Calculation-sheet'!F47</f>
        <v>2643.1654718032501</v>
      </c>
      <c r="G56" s="2">
        <f>G12/'Output-Calculation-sheet'!G11*'Output-Calculation-sheet'!G47</f>
        <v>6007.0245008395332</v>
      </c>
      <c r="H56" s="2">
        <f>H12/'Output-Calculation-sheet'!H11*'Output-Calculation-sheet'!H47</f>
        <v>21550.538716940431</v>
      </c>
      <c r="I56" s="2">
        <f>I12/'Output-Calculation-sheet'!I11*'Output-Calculation-sheet'!I47</f>
        <v>3877.7224113945995</v>
      </c>
      <c r="J56" s="2">
        <f>J12/'Output-Calculation-sheet'!J11*'Output-Calculation-sheet'!J47</f>
        <v>3812.0875843986637</v>
      </c>
      <c r="K56" s="2">
        <f>K12/'Output-Calculation-sheet'!K11*'Output-Calculation-sheet'!K47</f>
        <v>5284.8511673980283</v>
      </c>
      <c r="L56" s="2">
        <f>L12/'Output-Calculation-sheet'!L11*'Output-Calculation-sheet'!L47</f>
        <v>4929.5747085082157</v>
      </c>
      <c r="M56" s="2">
        <f>M12/'Output-Calculation-sheet'!M11*'Output-Calculation-sheet'!M47</f>
        <v>15327.007212623899</v>
      </c>
      <c r="N56" s="2">
        <f>N12/'Output-Calculation-sheet'!N11*'Output-Calculation-sheet'!N47</f>
        <v>12710.240447456028</v>
      </c>
      <c r="O56" s="2">
        <f>O12/'Output-Calculation-sheet'!O11*'Output-Calculation-sheet'!O47</f>
        <v>11105.40387539447</v>
      </c>
      <c r="P56" s="2">
        <f>P12/'Output-Calculation-sheet'!P11*'Output-Calculation-sheet'!P47</f>
        <v>6227.5940324046096</v>
      </c>
      <c r="Q56" s="2">
        <f>Q12/'Output-Calculation-sheet'!Q11*'Output-Calculation-sheet'!Q47</f>
        <v>5873.2525237867776</v>
      </c>
      <c r="R56" s="2">
        <f>R12/'Output-Calculation-sheet'!R11*'Output-Calculation-sheet'!R47</f>
        <v>4777.3373722379283</v>
      </c>
      <c r="S56" s="2">
        <f>S12/'Output-Calculation-sheet'!S11*'Output-Calculation-sheet'!S47</f>
        <v>6357.6475228519039</v>
      </c>
      <c r="T56" s="2">
        <f>T12/'Output-Calculation-sheet'!T11*'Output-Calculation-sheet'!T47</f>
        <v>1712.9708691248204</v>
      </c>
      <c r="U56" s="2">
        <f>U12/'Output-Calculation-sheet'!U11*'Output-Calculation-sheet'!U47</f>
        <v>1626.5260202396869</v>
      </c>
      <c r="V56" s="2">
        <f>V12/'Output-Calculation-sheet'!V11*'Output-Calculation-sheet'!V47</f>
        <v>998.48858744453651</v>
      </c>
      <c r="W56" s="2">
        <f>W12/'Output-Calculation-sheet'!W11*'Output-Calculation-sheet'!W47</f>
        <v>579.92538486873161</v>
      </c>
      <c r="X56" s="2">
        <f>X12/'Output-Calculation-sheet'!X11*'Output-Calculation-sheet'!X47</f>
        <v>1544.7958742549044</v>
      </c>
      <c r="Y56" s="2">
        <f>Y12/'Output-Calculation-sheet'!Y11*'Output-Calculation-sheet'!Y47</f>
        <v>868.08687787180065</v>
      </c>
      <c r="AA56" s="2">
        <f t="shared" si="3"/>
        <v>304.48646406674402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8.5486463596974787</v>
      </c>
      <c r="C63" s="2">
        <f>C8*'Output-Calculation-sheet'!C52/10^9</f>
        <v>5.3908687182273463</v>
      </c>
      <c r="D63" s="2">
        <f>D8*'Output-Calculation-sheet'!D52/10^9</f>
        <v>2.9314941937539296</v>
      </c>
      <c r="E63" s="2">
        <f>E8*'Output-Calculation-sheet'!E52/10^9</f>
        <v>2.9147062170868829</v>
      </c>
      <c r="F63" s="2">
        <f>F8*'Output-Calculation-sheet'!F52/10^9</f>
        <v>1.2343788247880336</v>
      </c>
      <c r="G63" s="2">
        <f>G8*'Output-Calculation-sheet'!G52/10^9</f>
        <v>0.88746153370342695</v>
      </c>
      <c r="H63" s="2">
        <f>H8*'Output-Calculation-sheet'!H52/10^9</f>
        <v>1.5502176884645225</v>
      </c>
      <c r="I63" s="2">
        <f>I8*'Output-Calculation-sheet'!I52/10^9</f>
        <v>0.82554537421846186</v>
      </c>
      <c r="J63" s="2">
        <f>J8*'Output-Calculation-sheet'!J52/10^9</f>
        <v>1.1360075015103541</v>
      </c>
      <c r="K63" s="2">
        <f>K8*'Output-Calculation-sheet'!K52/10^9</f>
        <v>0.99808104487488547</v>
      </c>
      <c r="L63" s="2">
        <f>L8*'Output-Calculation-sheet'!L52/10^9</f>
        <v>1.342465135976489</v>
      </c>
      <c r="M63" s="2">
        <f>M8*'Output-Calculation-sheet'!M52/10^9</f>
        <v>1.2582549983124216</v>
      </c>
      <c r="N63" s="2">
        <f>N8*'Output-Calculation-sheet'!N52/10^9</f>
        <v>1.050137600115945</v>
      </c>
      <c r="O63" s="2">
        <f>O8*'Output-Calculation-sheet'!O52/10^9</f>
        <v>1.1198216359633502</v>
      </c>
      <c r="P63" s="2">
        <f>P8*'Output-Calculation-sheet'!P52/10^9</f>
        <v>0.68964834590991031</v>
      </c>
      <c r="Q63" s="2">
        <f>Q8*'Output-Calculation-sheet'!Q52/10^9</f>
        <v>0.78047557237076659</v>
      </c>
      <c r="R63" s="2">
        <f>R8*'Output-Calculation-sheet'!R52/10^9</f>
        <v>0.70071292350442371</v>
      </c>
      <c r="S63" s="2">
        <f>S8*'Output-Calculation-sheet'!S52/10^9</f>
        <v>0.51925619491411179</v>
      </c>
      <c r="T63" s="2">
        <f>T8*'Output-Calculation-sheet'!T52/10^9</f>
        <v>0.26640213123399631</v>
      </c>
      <c r="U63" s="2">
        <f>U8*'Output-Calculation-sheet'!U52/10^9</f>
        <v>0.1829620216178576</v>
      </c>
      <c r="V63" s="2">
        <f>V8*'Output-Calculation-sheet'!V52/10^9</f>
        <v>0.3247145995776734</v>
      </c>
      <c r="W63" s="2">
        <f>W8*'Output-Calculation-sheet'!W52/10^9</f>
        <v>0.1175316991105884</v>
      </c>
      <c r="X63" s="2">
        <f>X8*'Output-Calculation-sheet'!X52/10^9</f>
        <v>0.13527627418143615</v>
      </c>
      <c r="Y63" s="2">
        <f>Y8*'Output-Calculation-sheet'!Y52/10^9</f>
        <v>7.6686090151377603E-2</v>
      </c>
      <c r="AA63" s="2">
        <f t="shared" si="4"/>
        <v>34.981752679265675</v>
      </c>
    </row>
    <row r="64" spans="1:27" x14ac:dyDescent="0.25">
      <c r="A64" s="2">
        <v>2032</v>
      </c>
      <c r="B64" s="2">
        <f>B9*'Output-Calculation-sheet'!B53/10^9</f>
        <v>8.7243965736987832</v>
      </c>
      <c r="C64" s="2">
        <f>C9*'Output-Calculation-sheet'!C53/10^9</f>
        <v>5.8901427133670037</v>
      </c>
      <c r="D64" s="2">
        <f>D9*'Output-Calculation-sheet'!D53/10^9</f>
        <v>2.5818959554222971</v>
      </c>
      <c r="E64" s="2">
        <f>E9*'Output-Calculation-sheet'!E53/10^9</f>
        <v>2.6439873385450885</v>
      </c>
      <c r="F64" s="2">
        <f>F9*'Output-Calculation-sheet'!F53/10^9</f>
        <v>1.1152182165050983</v>
      </c>
      <c r="G64" s="2">
        <f>G9*'Output-Calculation-sheet'!G53/10^9</f>
        <v>0.79377736754139772</v>
      </c>
      <c r="H64" s="2">
        <f>H9*'Output-Calculation-sheet'!H53/10^9</f>
        <v>1.6310436723032034</v>
      </c>
      <c r="I64" s="2">
        <f>I9*'Output-Calculation-sheet'!I53/10^9</f>
        <v>0.74205222996738796</v>
      </c>
      <c r="J64" s="2">
        <f>J9*'Output-Calculation-sheet'!J53/10^9</f>
        <v>0.98232733799833938</v>
      </c>
      <c r="K64" s="2">
        <f>K9*'Output-Calculation-sheet'!K53/10^9</f>
        <v>0.91146377950903179</v>
      </c>
      <c r="L64" s="2">
        <f>L9*'Output-Calculation-sheet'!L53/10^9</f>
        <v>1.1725906020365129</v>
      </c>
      <c r="M64" s="2">
        <f>M9*'Output-Calculation-sheet'!M53/10^9</f>
        <v>1.2783254078989925</v>
      </c>
      <c r="N64" s="2">
        <f>N9*'Output-Calculation-sheet'!N53/10^9</f>
        <v>1.0761123573983811</v>
      </c>
      <c r="O64" s="2">
        <f>O9*'Output-Calculation-sheet'!O53/10^9</f>
        <v>1.2182310940871226</v>
      </c>
      <c r="P64" s="2">
        <f>P9*'Output-Calculation-sheet'!P53/10^9</f>
        <v>0.69491750921836704</v>
      </c>
      <c r="Q64" s="2">
        <f>Q9*'Output-Calculation-sheet'!Q53/10^9</f>
        <v>0.76800046612927664</v>
      </c>
      <c r="R64" s="2">
        <f>R9*'Output-Calculation-sheet'!R53/10^9</f>
        <v>0.65835686701674989</v>
      </c>
      <c r="S64" s="2">
        <f>S9*'Output-Calculation-sheet'!S53/10^9</f>
        <v>0.5439490399566691</v>
      </c>
      <c r="T64" s="2">
        <f>T9*'Output-Calculation-sheet'!T53/10^9</f>
        <v>0.23666215756879211</v>
      </c>
      <c r="U64" s="2">
        <f>U9*'Output-Calculation-sheet'!U53/10^9</f>
        <v>0.17813058617157954</v>
      </c>
      <c r="V64" s="2">
        <f>V9*'Output-Calculation-sheet'!V53/10^9</f>
        <v>0.28090207501402631</v>
      </c>
      <c r="W64" s="2">
        <f>W9*'Output-Calculation-sheet'!W53/10^9</f>
        <v>0.10437814802389959</v>
      </c>
      <c r="X64" s="2">
        <f>X9*'Output-Calculation-sheet'!X53/10^9</f>
        <v>0.14167931045540319</v>
      </c>
      <c r="Y64" s="2">
        <f>Y9*'Output-Calculation-sheet'!Y53/10^9</f>
        <v>7.3130724803439018E-2</v>
      </c>
      <c r="AA64" s="2">
        <f t="shared" si="4"/>
        <v>34.441671530636846</v>
      </c>
    </row>
    <row r="65" spans="1:27" x14ac:dyDescent="0.25">
      <c r="A65" s="2">
        <v>2033</v>
      </c>
      <c r="B65" s="2">
        <f>B10*'Output-Calculation-sheet'!B54/10^9</f>
        <v>8.6068477474896916</v>
      </c>
      <c r="C65" s="2">
        <f>C10*'Output-Calculation-sheet'!C54/10^9</f>
        <v>6.0216026278754686</v>
      </c>
      <c r="D65" s="2">
        <f>D10*'Output-Calculation-sheet'!D54/10^9</f>
        <v>2.0333656059530369</v>
      </c>
      <c r="E65" s="2">
        <f>E10*'Output-Calculation-sheet'!E54/10^9</f>
        <v>2.2895464197244459</v>
      </c>
      <c r="F65" s="2">
        <f>F10*'Output-Calculation-sheet'!F54/10^9</f>
        <v>0.92951666536051547</v>
      </c>
      <c r="G65" s="2">
        <f>G10*'Output-Calculation-sheet'!G54/10^9</f>
        <v>0.63819726992973269</v>
      </c>
      <c r="H65" s="2">
        <f>H10*'Output-Calculation-sheet'!H54/10^9</f>
        <v>1.577161065857114</v>
      </c>
      <c r="I65" s="2">
        <f>I10*'Output-Calculation-sheet'!I54/10^9</f>
        <v>0.62142984696873282</v>
      </c>
      <c r="J65" s="2">
        <f>J10*'Output-Calculation-sheet'!J54/10^9</f>
        <v>0.74274726932583146</v>
      </c>
      <c r="K65" s="2">
        <f>K10*'Output-Calculation-sheet'!K54/10^9</f>
        <v>0.79241294788633299</v>
      </c>
      <c r="L65" s="2">
        <f>L10*'Output-Calculation-sheet'!L54/10^9</f>
        <v>0.93600634569720487</v>
      </c>
      <c r="M65" s="2">
        <f>M10*'Output-Calculation-sheet'!M54/10^9</f>
        <v>1.1908711861784027</v>
      </c>
      <c r="N65" s="2">
        <f>N10*'Output-Calculation-sheet'!N54/10^9</f>
        <v>1.0283340657048829</v>
      </c>
      <c r="O65" s="2">
        <f>O10*'Output-Calculation-sheet'!O54/10^9</f>
        <v>1.2317556641114153</v>
      </c>
      <c r="P65" s="2">
        <f>P10*'Output-Calculation-sheet'!P54/10^9</f>
        <v>0.67049995315202615</v>
      </c>
      <c r="Q65" s="2">
        <f>Q10*'Output-Calculation-sheet'!Q54/10^9</f>
        <v>0.73162857383976054</v>
      </c>
      <c r="R65" s="2">
        <f>R10*'Output-Calculation-sheet'!R54/10^9</f>
        <v>0.59027845797455702</v>
      </c>
      <c r="S65" s="2">
        <f>S10*'Output-Calculation-sheet'!S54/10^9</f>
        <v>0.53618242030969754</v>
      </c>
      <c r="T65" s="2">
        <f>T10*'Output-Calculation-sheet'!T54/10^9</f>
        <v>0.19735572822826344</v>
      </c>
      <c r="U65" s="2">
        <f>U10*'Output-Calculation-sheet'!U54/10^9</f>
        <v>0.17041099927390649</v>
      </c>
      <c r="V65" s="2">
        <f>V10*'Output-Calculation-sheet'!V54/10^9</f>
        <v>0.2184039032056837</v>
      </c>
      <c r="W65" s="2">
        <f>W10*'Output-Calculation-sheet'!W54/10^9</f>
        <v>8.3154580488602178E-2</v>
      </c>
      <c r="X65" s="2">
        <f>X10*'Output-Calculation-sheet'!X54/10^9</f>
        <v>0.13696502120063556</v>
      </c>
      <c r="Y65" s="2">
        <f>Y10*'Output-Calculation-sheet'!Y54/10^9</f>
        <v>6.8440676903352912E-2</v>
      </c>
      <c r="AA65" s="2">
        <f t="shared" si="4"/>
        <v>32.043115042639293</v>
      </c>
    </row>
    <row r="66" spans="1:27" x14ac:dyDescent="0.25">
      <c r="A66" s="2">
        <v>2034</v>
      </c>
      <c r="B66" s="2">
        <f>B11*'Output-Calculation-sheet'!B55/10^9</f>
        <v>8.2030407480839251</v>
      </c>
      <c r="C66" s="2">
        <f>C11*'Output-Calculation-sheet'!C55/10^9</f>
        <v>5.8072679149945898</v>
      </c>
      <c r="D66" s="2">
        <f>D11*'Output-Calculation-sheet'!D55/10^9</f>
        <v>1.7159311683503486</v>
      </c>
      <c r="E66" s="2">
        <f>E11*'Output-Calculation-sheet'!E55/10^9</f>
        <v>2.0777150896886352</v>
      </c>
      <c r="F66" s="2">
        <f>F11*'Output-Calculation-sheet'!F55/10^9</f>
        <v>0.7985025258039854</v>
      </c>
      <c r="G66" s="2">
        <f>G11*'Output-Calculation-sheet'!G55/10^9</f>
        <v>0.57075851262911825</v>
      </c>
      <c r="H66" s="2">
        <f>H11*'Output-Calculation-sheet'!H55/10^9</f>
        <v>1.4657412473536606</v>
      </c>
      <c r="I66" s="2">
        <f>I11*'Output-Calculation-sheet'!I55/10^9</f>
        <v>0.55818450251093787</v>
      </c>
      <c r="J66" s="2">
        <f>J11*'Output-Calculation-sheet'!J55/10^9</f>
        <v>0.57394290255328095</v>
      </c>
      <c r="K66" s="2">
        <f>K11*'Output-Calculation-sheet'!K55/10^9</f>
        <v>0.68650665545176315</v>
      </c>
      <c r="L66" s="2">
        <f>L11*'Output-Calculation-sheet'!L55/10^9</f>
        <v>0.72700194521050832</v>
      </c>
      <c r="M66" s="2">
        <f>M11*'Output-Calculation-sheet'!M55/10^9</f>
        <v>1.0571341141607129</v>
      </c>
      <c r="N66" s="2">
        <f>N11*'Output-Calculation-sheet'!N55/10^9</f>
        <v>0.92365330750106311</v>
      </c>
      <c r="O66" s="2">
        <f>O11*'Output-Calculation-sheet'!O55/10^9</f>
        <v>1.1657360017566476</v>
      </c>
      <c r="P66" s="2">
        <f>P11*'Output-Calculation-sheet'!P55/10^9</f>
        <v>0.63492022370878465</v>
      </c>
      <c r="Q66" s="2">
        <f>Q11*'Output-Calculation-sheet'!Q55/10^9</f>
        <v>0.69313389512512158</v>
      </c>
      <c r="R66" s="2">
        <f>R11*'Output-Calculation-sheet'!R55/10^9</f>
        <v>0.51424673976737301</v>
      </c>
      <c r="S66" s="2">
        <f>S11*'Output-Calculation-sheet'!S55/10^9</f>
        <v>0.5059979378445959</v>
      </c>
      <c r="T66" s="2">
        <f>T11*'Output-Calculation-sheet'!T55/10^9</f>
        <v>0.16118803566200859</v>
      </c>
      <c r="U66" s="2">
        <f>U11*'Output-Calculation-sheet'!U55/10^9</f>
        <v>0.1645737485388783</v>
      </c>
      <c r="V66" s="2">
        <f>V11*'Output-Calculation-sheet'!V55/10^9</f>
        <v>0.15291072245462731</v>
      </c>
      <c r="W66" s="2">
        <f>W11*'Output-Calculation-sheet'!W55/10^9</f>
        <v>6.9237895658613088E-2</v>
      </c>
      <c r="X66" s="2">
        <f>X11*'Output-Calculation-sheet'!X55/10^9</f>
        <v>0.13133527462790809</v>
      </c>
      <c r="Y66" s="2">
        <f>Y11*'Output-Calculation-sheet'!Y55/10^9</f>
        <v>6.7941633047664346E-2</v>
      </c>
      <c r="AA66" s="2">
        <f t="shared" si="4"/>
        <v>29.426602742484754</v>
      </c>
    </row>
    <row r="67" spans="1:27" x14ac:dyDescent="0.25">
      <c r="A67" s="2">
        <v>2035</v>
      </c>
      <c r="B67" s="2">
        <f>B12*'Output-Calculation-sheet'!B56/10^9</f>
        <v>7.8438244778737678</v>
      </c>
      <c r="C67" s="2">
        <f>C12*'Output-Calculation-sheet'!C56/10^9</f>
        <v>5.2641818355325238</v>
      </c>
      <c r="D67" s="2">
        <f>D12*'Output-Calculation-sheet'!D56/10^9</f>
        <v>1.7212834520062881</v>
      </c>
      <c r="E67" s="2">
        <f>E12*'Output-Calculation-sheet'!E56/10^9</f>
        <v>2.1907703188106709</v>
      </c>
      <c r="F67" s="2">
        <f>F12*'Output-Calculation-sheet'!F56/10^9</f>
        <v>0.8517805911721682</v>
      </c>
      <c r="G67" s="2">
        <f>G12*'Output-Calculation-sheet'!G56/10^9</f>
        <v>0.62618648579328884</v>
      </c>
      <c r="H67" s="2">
        <f>H12*'Output-Calculation-sheet'!H56/10^9</f>
        <v>1.3836492491902859</v>
      </c>
      <c r="I67" s="2">
        <f>I12*'Output-Calculation-sheet'!I56/10^9</f>
        <v>0.59076442926388095</v>
      </c>
      <c r="J67" s="2">
        <f>J12*'Output-Calculation-sheet'!J56/10^9</f>
        <v>0.5489862979998662</v>
      </c>
      <c r="K67" s="2">
        <f>K12*'Output-Calculation-sheet'!K56/10^9</f>
        <v>0.67416641208635442</v>
      </c>
      <c r="L67" s="2">
        <f>L12*'Output-Calculation-sheet'!L56/10^9</f>
        <v>0.64614133733672918</v>
      </c>
      <c r="M67" s="2">
        <f>M12*'Output-Calculation-sheet'!M56/10^9</f>
        <v>0.99463442761883369</v>
      </c>
      <c r="N67" s="2">
        <f>N12*'Output-Calculation-sheet'!N56/10^9</f>
        <v>0.84988083730042052</v>
      </c>
      <c r="O67" s="2">
        <f>O12*'Output-Calculation-sheet'!O56/10^9</f>
        <v>1.0369589897001663</v>
      </c>
      <c r="P67" s="2">
        <f>P12*'Output-Calculation-sheet'!P56/10^9</f>
        <v>0.65097792468678539</v>
      </c>
      <c r="Q67" s="2">
        <f>Q12*'Output-Calculation-sheet'!Q56/10^9</f>
        <v>0.65421819808509329</v>
      </c>
      <c r="R67" s="2">
        <f>R12*'Output-Calculation-sheet'!R56/10^9</f>
        <v>0.49703355546686639</v>
      </c>
      <c r="S67" s="2">
        <f>S12*'Output-Calculation-sheet'!S56/10^9</f>
        <v>0.4737201272445396</v>
      </c>
      <c r="T67" s="2">
        <f>T12*'Output-Calculation-sheet'!T56/10^9</f>
        <v>0.15239502030364541</v>
      </c>
      <c r="U67" s="2">
        <f>U12*'Output-Calculation-sheet'!U56/10^9</f>
        <v>0.16370590018041445</v>
      </c>
      <c r="V67" s="2">
        <f>V12*'Output-Calculation-sheet'!V56/10^9</f>
        <v>0.11706015574686861</v>
      </c>
      <c r="W67" s="2">
        <f>W12*'Output-Calculation-sheet'!W56/10^9</f>
        <v>7.7632998942085807E-2</v>
      </c>
      <c r="X67" s="2">
        <f>X12*'Output-Calculation-sheet'!X56/10^9</f>
        <v>0.12396635731404734</v>
      </c>
      <c r="Y67" s="2">
        <f>Y12*'Output-Calculation-sheet'!Y56/10^9</f>
        <v>7.3462770066771058E-2</v>
      </c>
      <c r="AA67" s="2">
        <f t="shared" si="4"/>
        <v>28.20738214972237</v>
      </c>
    </row>
    <row r="68" spans="1:27" x14ac:dyDescent="0.25">
      <c r="B68" s="2">
        <f>SUM(B60:B67)</f>
        <v>61.771494346368542</v>
      </c>
      <c r="C68" s="2">
        <f t="shared" ref="C68:Y68" si="5">SUM(C60:C67)</f>
        <v>38.878432496217229</v>
      </c>
      <c r="D68" s="2">
        <f t="shared" si="5"/>
        <v>18.769240366176199</v>
      </c>
      <c r="E68" s="2">
        <f t="shared" si="5"/>
        <v>19.792346321343171</v>
      </c>
      <c r="F68" s="2">
        <f t="shared" si="5"/>
        <v>8.1105826037171891</v>
      </c>
      <c r="G68" s="2">
        <f t="shared" si="5"/>
        <v>5.831220102079091</v>
      </c>
      <c r="H68" s="2">
        <f t="shared" si="5"/>
        <v>10.879418498425416</v>
      </c>
      <c r="I68" s="2">
        <f t="shared" si="5"/>
        <v>5.4786746631164451</v>
      </c>
      <c r="J68" s="2">
        <f t="shared" si="5"/>
        <v>7.0639037337030715</v>
      </c>
      <c r="K68" s="2">
        <f t="shared" si="5"/>
        <v>6.6563667642171129</v>
      </c>
      <c r="L68" s="2">
        <f t="shared" si="5"/>
        <v>8.4770927590940524</v>
      </c>
      <c r="M68" s="2">
        <f t="shared" si="5"/>
        <v>8.5840045766916564</v>
      </c>
      <c r="N68" s="2">
        <f t="shared" si="5"/>
        <v>7.3620963994967186</v>
      </c>
      <c r="O68" s="2">
        <f t="shared" si="5"/>
        <v>7.9677397267143268</v>
      </c>
      <c r="P68" s="2">
        <f t="shared" si="5"/>
        <v>4.988170223682344</v>
      </c>
      <c r="Q68" s="2">
        <f t="shared" si="5"/>
        <v>5.5077918182488599</v>
      </c>
      <c r="R68" s="2">
        <f t="shared" si="5"/>
        <v>4.763594912924753</v>
      </c>
      <c r="S68" s="2">
        <f t="shared" si="5"/>
        <v>3.7584920016714647</v>
      </c>
      <c r="T68" s="2">
        <f t="shared" si="5"/>
        <v>1.7197798438271528</v>
      </c>
      <c r="U68" s="2">
        <f t="shared" si="5"/>
        <v>1.3214219253011537</v>
      </c>
      <c r="V68" s="2">
        <f t="shared" si="5"/>
        <v>1.987013002411004</v>
      </c>
      <c r="W68" s="2">
        <f t="shared" si="5"/>
        <v>0.76108428408092754</v>
      </c>
      <c r="X68" s="2">
        <f t="shared" si="5"/>
        <v>0.95484466631882137</v>
      </c>
      <c r="Y68" s="2">
        <f t="shared" si="5"/>
        <v>0.55458131465208871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7086.0871430918414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1745.1515758332582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1146.4123185413932</v>
      </c>
      <c r="N74" s="2">
        <f>N8/'Output-Calculation-sheet'!N7*'Output-Calculation-sheet'!N61</f>
        <v>48.048167177515673</v>
      </c>
      <c r="O74" s="2">
        <f>O8/'Output-Calculation-sheet'!O7*'Output-Calculation-sheet'!O61</f>
        <v>1416.7841631278864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142.45819628779228</v>
      </c>
      <c r="Y74" s="2">
        <f>Y8/'Output-Calculation-sheet'!Y7*'Output-Calculation-sheet'!Y61</f>
        <v>0</v>
      </c>
      <c r="AA74" s="2">
        <f t="shared" si="6"/>
        <v>11.584941564059688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11634.291221002815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2886.9293597430019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1958.8839123465807</v>
      </c>
      <c r="N75" s="2">
        <f>N9/'Output-Calculation-sheet'!N8*'Output-Calculation-sheet'!N62</f>
        <v>757.17928803524171</v>
      </c>
      <c r="O75" s="2">
        <f>O9/'Output-Calculation-sheet'!O8*'Output-Calculation-sheet'!O62</f>
        <v>2299.7245527782443</v>
      </c>
      <c r="P75" s="2">
        <f>P9/'Output-Calculation-sheet'!P8*'Output-Calculation-sheet'!P62</f>
        <v>50.691959781300071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253.7125308207568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235.99177913069497</v>
      </c>
      <c r="Y75" s="2">
        <f>Y9/'Output-Calculation-sheet'!Y8*'Output-Calculation-sheet'!Y62</f>
        <v>0</v>
      </c>
      <c r="AA75" s="2">
        <f t="shared" si="6"/>
        <v>20.077404603638634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13367.266468646603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3933.748791983126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2678.3188798899937</v>
      </c>
      <c r="N76" s="2">
        <f>N10/'Output-Calculation-sheet'!N9*'Output-Calculation-sheet'!N63</f>
        <v>1532.7106706850839</v>
      </c>
      <c r="O76" s="2">
        <f>O10/'Output-Calculation-sheet'!O9*'Output-Calculation-sheet'!O63</f>
        <v>2366.5476959469329</v>
      </c>
      <c r="P76" s="2">
        <f>P10/'Output-Calculation-sheet'!P9*'Output-Calculation-sheet'!P63</f>
        <v>531.63905011865279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399.95527986292427</v>
      </c>
      <c r="S76" s="2">
        <f>S10/'Output-Calculation-sheet'!S9*'Output-Calculation-sheet'!S63</f>
        <v>679.64183755625959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141.65679571966993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315.43379836829746</v>
      </c>
      <c r="Y76" s="2">
        <f>Y10/'Output-Calculation-sheet'!Y9*'Output-Calculation-sheet'!Y63</f>
        <v>5.9837419017584192</v>
      </c>
      <c r="AA76" s="2">
        <f t="shared" si="6"/>
        <v>32.35371934745627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12419.890581507356</v>
      </c>
      <c r="D77" s="2">
        <f>D11/'Output-Calculation-sheet'!D10*'Output-Calculation-sheet'!D64</f>
        <v>1696.0369855575523</v>
      </c>
      <c r="E77" s="2">
        <f>E11/'Output-Calculation-sheet'!E10*'Output-Calculation-sheet'!E64</f>
        <v>2061.5666523644459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880.87407000866051</v>
      </c>
      <c r="H77" s="2">
        <f>H11/'Output-Calculation-sheet'!H10*'Output-Calculation-sheet'!H64</f>
        <v>4680.8273261550812</v>
      </c>
      <c r="I77" s="2">
        <f>I11/'Output-Calculation-sheet'!I10*'Output-Calculation-sheet'!I64</f>
        <v>525.28881692225264</v>
      </c>
      <c r="J77" s="2">
        <f>J11/'Output-Calculation-sheet'!J10*'Output-Calculation-sheet'!J64</f>
        <v>355.32341788583011</v>
      </c>
      <c r="K77" s="2">
        <f>K11/'Output-Calculation-sheet'!K10*'Output-Calculation-sheet'!K64</f>
        <v>799.12551182210746</v>
      </c>
      <c r="L77" s="2">
        <f>L11/'Output-Calculation-sheet'!L10*'Output-Calculation-sheet'!L64</f>
        <v>334.76320876040955</v>
      </c>
      <c r="M77" s="2">
        <f>M11/'Output-Calculation-sheet'!M10*'Output-Calculation-sheet'!M64</f>
        <v>3148.1521905247109</v>
      </c>
      <c r="N77" s="2">
        <f>N11/'Output-Calculation-sheet'!N10*'Output-Calculation-sheet'!N64</f>
        <v>2216.4962027993224</v>
      </c>
      <c r="O77" s="2">
        <f>O11/'Output-Calculation-sheet'!O10*'Output-Calculation-sheet'!O64</f>
        <v>2298.6361651572538</v>
      </c>
      <c r="P77" s="2">
        <f>P11/'Output-Calculation-sheet'!P10*'Output-Calculation-sheet'!P64</f>
        <v>978.30776727512455</v>
      </c>
      <c r="Q77" s="2">
        <f>Q11/'Output-Calculation-sheet'!Q10*'Output-Calculation-sheet'!Q64</f>
        <v>879.62432521860853</v>
      </c>
      <c r="R77" s="2">
        <f>R11/'Output-Calculation-sheet'!R10*'Output-Calculation-sheet'!R64</f>
        <v>837.43778262110993</v>
      </c>
      <c r="S77" s="2">
        <f>S11/'Output-Calculation-sheet'!S10*'Output-Calculation-sheet'!S64</f>
        <v>1114.5989046206571</v>
      </c>
      <c r="T77" s="2">
        <f>T11/'Output-Calculation-sheet'!T10*'Output-Calculation-sheet'!T64</f>
        <v>230.31982191467236</v>
      </c>
      <c r="U77" s="2">
        <f>U11/'Output-Calculation-sheet'!U10*'Output-Calculation-sheet'!U64</f>
        <v>306.11591171950994</v>
      </c>
      <c r="V77" s="2">
        <f>V11/'Output-Calculation-sheet'!V10*'Output-Calculation-sheet'!V64</f>
        <v>119.08678822049519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327.55536493910074</v>
      </c>
      <c r="Y77" s="2">
        <f>Y11/'Output-Calculation-sheet'!Y10*'Output-Calculation-sheet'!Y64</f>
        <v>76.648061019313303</v>
      </c>
      <c r="AA77" s="2">
        <f t="shared" si="6"/>
        <v>50.026265163721192</v>
      </c>
    </row>
    <row r="78" spans="1:27" x14ac:dyDescent="0.25">
      <c r="A78" s="2">
        <v>2035</v>
      </c>
      <c r="B78" s="2">
        <f>B12/'Output-Calculation-sheet'!B11*'Output-Calculation-sheet'!B65</f>
        <v>15288.546445010837</v>
      </c>
      <c r="C78" s="2">
        <f>C12/'Output-Calculation-sheet'!C11*'Output-Calculation-sheet'!C65</f>
        <v>11172.101300226617</v>
      </c>
      <c r="D78" s="2">
        <f>D12/'Output-Calculation-sheet'!D11*'Output-Calculation-sheet'!D65</f>
        <v>2870.3166092249007</v>
      </c>
      <c r="E78" s="2">
        <f>E12/'Output-Calculation-sheet'!E11*'Output-Calculation-sheet'!E65</f>
        <v>3592.6747369371928</v>
      </c>
      <c r="F78" s="2">
        <f>F12/'Output-Calculation-sheet'!F11*'Output-Calculation-sheet'!F65</f>
        <v>718.22014501999229</v>
      </c>
      <c r="G78" s="2">
        <f>G12/'Output-Calculation-sheet'!G11*'Output-Calculation-sheet'!G65</f>
        <v>1320.223269959632</v>
      </c>
      <c r="H78" s="2">
        <f>H12/'Output-Calculation-sheet'!H11*'Output-Calculation-sheet'!H65</f>
        <v>4174.177859646351</v>
      </c>
      <c r="I78" s="2">
        <f>I12/'Output-Calculation-sheet'!I11*'Output-Calculation-sheet'!I65</f>
        <v>958.72808899320069</v>
      </c>
      <c r="J78" s="2">
        <f>J12/'Output-Calculation-sheet'!J11*'Output-Calculation-sheet'!J65</f>
        <v>927.10481742184152</v>
      </c>
      <c r="K78" s="2">
        <f>K12/'Output-Calculation-sheet'!K11*'Output-Calculation-sheet'!K65</f>
        <v>1161.4984916655453</v>
      </c>
      <c r="L78" s="2">
        <f>L12/'Output-Calculation-sheet'!L11*'Output-Calculation-sheet'!L65</f>
        <v>856.37218337805837</v>
      </c>
      <c r="M78" s="2">
        <f>M12/'Output-Calculation-sheet'!M11*'Output-Calculation-sheet'!M65</f>
        <v>3047.756225471247</v>
      </c>
      <c r="N78" s="2">
        <f>N12/'Output-Calculation-sheet'!N11*'Output-Calculation-sheet'!N65</f>
        <v>2173.1686667272597</v>
      </c>
      <c r="O78" s="2">
        <f>O12/'Output-Calculation-sheet'!O11*'Output-Calculation-sheet'!O65</f>
        <v>2051.4070728307784</v>
      </c>
      <c r="P78" s="2">
        <f>P12/'Output-Calculation-sheet'!P11*'Output-Calculation-sheet'!P65</f>
        <v>1183.8865001769848</v>
      </c>
      <c r="Q78" s="2">
        <f>Q12/'Output-Calculation-sheet'!Q11*'Output-Calculation-sheet'!Q65</f>
        <v>1005.2335660866632</v>
      </c>
      <c r="R78" s="2">
        <f>R12/'Output-Calculation-sheet'!R11*'Output-Calculation-sheet'!R65</f>
        <v>993.48984449238344</v>
      </c>
      <c r="S78" s="2">
        <f>S12/'Output-Calculation-sheet'!S11*'Output-Calculation-sheet'!S65</f>
        <v>1149.4497193692687</v>
      </c>
      <c r="T78" s="2">
        <f>T12/'Output-Calculation-sheet'!T11*'Output-Calculation-sheet'!T65</f>
        <v>358.62225460744651</v>
      </c>
      <c r="U78" s="2">
        <f>U12/'Output-Calculation-sheet'!U11*'Output-Calculation-sheet'!U65</f>
        <v>300.05983578557641</v>
      </c>
      <c r="V78" s="2">
        <f>V12/'Output-Calculation-sheet'!V11*'Output-Calculation-sheet'!V65</f>
        <v>182.53670225429147</v>
      </c>
      <c r="W78" s="2">
        <f>W12/'Output-Calculation-sheet'!W11*'Output-Calculation-sheet'!W65</f>
        <v>127.45705549624051</v>
      </c>
      <c r="X78" s="2">
        <f>X12/'Output-Calculation-sheet'!X11*'Output-Calculation-sheet'!X65</f>
        <v>294.57050470792092</v>
      </c>
      <c r="Y78" s="2">
        <f>Y12/'Output-Calculation-sheet'!Y11*'Output-Calculation-sheet'!Y65</f>
        <v>138.20024225333822</v>
      </c>
      <c r="AA78" s="2">
        <f t="shared" si="6"/>
        <v>56.045802137743578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222.6486190905118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64.881955401381774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0.28753057449189356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620.59114483122744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120.56416412524715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2.4034410353161788</v>
      </c>
      <c r="Y88" s="2">
        <f>Y11/'Output-Calculation-sheet'!Y10*'Output-Calculation-sheet'!Y73</f>
        <v>0</v>
      </c>
      <c r="AA88" s="2">
        <f t="shared" si="7"/>
        <v>0.74355874999179072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904.49175830458853</v>
      </c>
      <c r="D89" s="2">
        <f>D12/'Output-Calculation-sheet'!D11*'Output-Calculation-sheet'!D74</f>
        <v>80.122728037765214</v>
      </c>
      <c r="E89" s="2">
        <f>E12/'Output-Calculation-sheet'!E11*'Output-Calculation-sheet'!E74</f>
        <v>127.35239492164949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83.529219833102445</v>
      </c>
      <c r="I89" s="2">
        <f>I12/'Output-Calculation-sheet'!I11*'Output-Calculation-sheet'!I74</f>
        <v>25.851482742630662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25.407938304798211</v>
      </c>
      <c r="L89" s="2">
        <f>L12/'Output-Calculation-sheet'!L11*'Output-Calculation-sheet'!L74</f>
        <v>20.203175034869737</v>
      </c>
      <c r="M89" s="2">
        <f>M12/'Output-Calculation-sheet'!M11*'Output-Calculation-sheet'!M74</f>
        <v>38.31751803155975</v>
      </c>
      <c r="N89" s="2">
        <f>N12/'Output-Calculation-sheet'!N11*'Output-Calculation-sheet'!N74</f>
        <v>37.659971696166011</v>
      </c>
      <c r="O89" s="2">
        <f>O12/'Output-Calculation-sheet'!O11*'Output-Calculation-sheet'!O74</f>
        <v>158.14657417492126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32.995800695431335</v>
      </c>
      <c r="R89" s="2">
        <f>R12/'Output-Calculation-sheet'!R11*'Output-Calculation-sheet'!R74</f>
        <v>16.360744425472358</v>
      </c>
      <c r="S89" s="2">
        <f>S12/'Output-Calculation-sheet'!S11*'Output-Calculation-sheet'!S74</f>
        <v>21.587937259259437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10.52767650640574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8.4070523768974397</v>
      </c>
      <c r="Y89" s="2">
        <f>Y12/'Output-Calculation-sheet'!Y11*'Output-Calculation-sheet'!Y74</f>
        <v>4.0564807377186947</v>
      </c>
      <c r="AA89" s="2">
        <f t="shared" si="7"/>
        <v>2.1476936080602687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13847395162.05619</v>
      </c>
      <c r="C96" s="2">
        <f>C8/'Output-Calculation-sheet'!C7*'Output-Calculation-sheet'!C79</f>
        <v>4684636717.4645414</v>
      </c>
      <c r="D96" s="2">
        <f>D8/'Output-Calculation-sheet'!D7*'Output-Calculation-sheet'!D79</f>
        <v>4890452213.6397781</v>
      </c>
      <c r="E96" s="2">
        <f>E8/'Output-Calculation-sheet'!E7*'Output-Calculation-sheet'!E79</f>
        <v>8694807638.6780853</v>
      </c>
      <c r="F96" s="2">
        <f>F8/'Output-Calculation-sheet'!F7*'Output-Calculation-sheet'!F79</f>
        <v>3598695201.2944088</v>
      </c>
      <c r="G96" s="2">
        <f>G8/'Output-Calculation-sheet'!G7*'Output-Calculation-sheet'!G79</f>
        <v>2803087650.1730742</v>
      </c>
      <c r="H96" s="2">
        <f>H8/'Output-Calculation-sheet'!H7*'Output-Calculation-sheet'!H79</f>
        <v>2399284723.3278236</v>
      </c>
      <c r="I96" s="2">
        <f>I8/'Output-Calculation-sheet'!I7*'Output-Calculation-sheet'!I79</f>
        <v>1952648552.3030477</v>
      </c>
      <c r="J96" s="2">
        <f>J8/'Output-Calculation-sheet'!J7*'Output-Calculation-sheet'!J79</f>
        <v>1320431386.9231832</v>
      </c>
      <c r="K96" s="2">
        <f>K8/'Output-Calculation-sheet'!K7*'Output-Calculation-sheet'!K79</f>
        <v>1889143423.4850659</v>
      </c>
      <c r="L96" s="2">
        <f>L8/'Output-Calculation-sheet'!L7*'Output-Calculation-sheet'!L79</f>
        <v>1332977955.8124363</v>
      </c>
      <c r="M96" s="2">
        <f>M8/'Output-Calculation-sheet'!M7*'Output-Calculation-sheet'!M79</f>
        <v>1791019643.4331765</v>
      </c>
      <c r="N96" s="2">
        <f>N8/'Output-Calculation-sheet'!N7*'Output-Calculation-sheet'!N79</f>
        <v>1332661255.4346063</v>
      </c>
      <c r="O96" s="2">
        <f>O8/'Output-Calculation-sheet'!O7*'Output-Calculation-sheet'!O79</f>
        <v>673705908.58280027</v>
      </c>
      <c r="P96" s="2">
        <f>P8/'Output-Calculation-sheet'!P7*'Output-Calculation-sheet'!P79</f>
        <v>2253404964.7557254</v>
      </c>
      <c r="Q96" s="2">
        <f>Q8/'Output-Calculation-sheet'!Q7*'Output-Calculation-sheet'!Q79</f>
        <v>1050183097.3447608</v>
      </c>
      <c r="R96" s="2">
        <f>R8/'Output-Calculation-sheet'!R7*'Output-Calculation-sheet'!R79</f>
        <v>1310228253.2077246</v>
      </c>
      <c r="S96" s="2">
        <f>S8/'Output-Calculation-sheet'!S7*'Output-Calculation-sheet'!S79</f>
        <v>763448781.81496048</v>
      </c>
      <c r="T96" s="2">
        <f>T8/'Output-Calculation-sheet'!T7*'Output-Calculation-sheet'!T79</f>
        <v>583099113.38238144</v>
      </c>
      <c r="U96" s="2">
        <f>U8/'Output-Calculation-sheet'!U7*'Output-Calculation-sheet'!U79</f>
        <v>366287876.86294758</v>
      </c>
      <c r="V96" s="2">
        <f>V8/'Output-Calculation-sheet'!V7*'Output-Calculation-sheet'!V79</f>
        <v>190049251.49695432</v>
      </c>
      <c r="W96" s="2">
        <f>W8/'Output-Calculation-sheet'!W7*'Output-Calculation-sheet'!W79</f>
        <v>561580130.35155952</v>
      </c>
      <c r="X96" s="2">
        <f>X8/'Output-Calculation-sheet'!X7*'Output-Calculation-sheet'!X79</f>
        <v>197379523.37797123</v>
      </c>
      <c r="Y96" s="2">
        <f>Y8/'Output-Calculation-sheet'!Y7*'Output-Calculation-sheet'!Y79</f>
        <v>308698852.87957919</v>
      </c>
      <c r="AA96" s="2">
        <f t="shared" si="8"/>
        <v>58.795307278082781</v>
      </c>
    </row>
    <row r="97" spans="1:27" x14ac:dyDescent="0.25">
      <c r="A97" s="2">
        <v>2032</v>
      </c>
      <c r="B97" s="2">
        <f>B9/'Output-Calculation-sheet'!B8*'Output-Calculation-sheet'!B80</f>
        <v>18502762599.088924</v>
      </c>
      <c r="C97" s="2">
        <f>C9/'Output-Calculation-sheet'!C8*'Output-Calculation-sheet'!C80</f>
        <v>6302140675.2516661</v>
      </c>
      <c r="D97" s="2">
        <f>D9/'Output-Calculation-sheet'!D8*'Output-Calculation-sheet'!D80</f>
        <v>6279469713.3921347</v>
      </c>
      <c r="E97" s="2">
        <f>E9/'Output-Calculation-sheet'!E8*'Output-Calculation-sheet'!E80</f>
        <v>11484210686.599234</v>
      </c>
      <c r="F97" s="2">
        <f>F9/'Output-Calculation-sheet'!F8*'Output-Calculation-sheet'!F80</f>
        <v>4744128364.8390512</v>
      </c>
      <c r="G97" s="2">
        <f>G9/'Output-Calculation-sheet'!G8*'Output-Calculation-sheet'!G80</f>
        <v>3591044528.1872778</v>
      </c>
      <c r="H97" s="2">
        <f>H9/'Output-Calculation-sheet'!H8*'Output-Calculation-sheet'!H80</f>
        <v>3159393857.5863042</v>
      </c>
      <c r="I97" s="2">
        <f>I9/'Output-Calculation-sheet'!I8*'Output-Calculation-sheet'!I80</f>
        <v>2598894647.2429032</v>
      </c>
      <c r="J97" s="2">
        <f>J9/'Output-Calculation-sheet'!J8*'Output-Calculation-sheet'!J80</f>
        <v>1708533351.4787383</v>
      </c>
      <c r="K97" s="2">
        <f>K9/'Output-Calculation-sheet'!K8*'Output-Calculation-sheet'!K80</f>
        <v>2463210803.5336537</v>
      </c>
      <c r="L97" s="2">
        <f>L9/'Output-Calculation-sheet'!L8*'Output-Calculation-sheet'!L80</f>
        <v>1792809430.0450013</v>
      </c>
      <c r="M97" s="2">
        <f>M9/'Output-Calculation-sheet'!M8*'Output-Calculation-sheet'!M80</f>
        <v>2365411471.3579426</v>
      </c>
      <c r="N97" s="2">
        <f>N9/'Output-Calculation-sheet'!N8*'Output-Calculation-sheet'!N80</f>
        <v>1728249338.98295</v>
      </c>
      <c r="O97" s="2">
        <f>O9/'Output-Calculation-sheet'!O8*'Output-Calculation-sheet'!O80</f>
        <v>894083017.54635704</v>
      </c>
      <c r="P97" s="2">
        <f>P9/'Output-Calculation-sheet'!P8*'Output-Calculation-sheet'!P80</f>
        <v>2925271510.112062</v>
      </c>
      <c r="Q97" s="2">
        <f>Q9/'Output-Calculation-sheet'!Q8*'Output-Calculation-sheet'!Q80</f>
        <v>1368329836.4121013</v>
      </c>
      <c r="R97" s="2">
        <f>R9/'Output-Calculation-sheet'!R8*'Output-Calculation-sheet'!R80</f>
        <v>1728881261.0385647</v>
      </c>
      <c r="S97" s="2">
        <f>S9/'Output-Calculation-sheet'!S8*'Output-Calculation-sheet'!S80</f>
        <v>1003437681.1196864</v>
      </c>
      <c r="T97" s="2">
        <f>T9/'Output-Calculation-sheet'!T8*'Output-Calculation-sheet'!T80</f>
        <v>755623863.85483253</v>
      </c>
      <c r="U97" s="2">
        <f>U9/'Output-Calculation-sheet'!U8*'Output-Calculation-sheet'!U80</f>
        <v>483064916.94613999</v>
      </c>
      <c r="V97" s="2">
        <f>V9/'Output-Calculation-sheet'!V8*'Output-Calculation-sheet'!V80</f>
        <v>253290453.96433988</v>
      </c>
      <c r="W97" s="2">
        <f>W9/'Output-Calculation-sheet'!W8*'Output-Calculation-sheet'!W80</f>
        <v>733534048.77462375</v>
      </c>
      <c r="X97" s="2">
        <f>X9/'Output-Calculation-sheet'!X8*'Output-Calculation-sheet'!X80</f>
        <v>263409510.67387161</v>
      </c>
      <c r="Y97" s="2">
        <f>Y9/'Output-Calculation-sheet'!Y8*'Output-Calculation-sheet'!Y80</f>
        <v>403197794.72957325</v>
      </c>
      <c r="AA97" s="2">
        <f t="shared" si="8"/>
        <v>77.532383362757926</v>
      </c>
    </row>
    <row r="98" spans="1:27" x14ac:dyDescent="0.25">
      <c r="A98" s="2">
        <v>2033</v>
      </c>
      <c r="B98" s="2">
        <f>B10/'Output-Calculation-sheet'!B9*'Output-Calculation-sheet'!B81</f>
        <v>22009360301.122963</v>
      </c>
      <c r="C98" s="2">
        <f>C10/'Output-Calculation-sheet'!C9*'Output-Calculation-sheet'!C81</f>
        <v>7545900126.8784628</v>
      </c>
      <c r="D98" s="2">
        <f>D10/'Output-Calculation-sheet'!D9*'Output-Calculation-sheet'!D81</f>
        <v>7181398624.6375208</v>
      </c>
      <c r="E98" s="2">
        <f>E10/'Output-Calculation-sheet'!E9*'Output-Calculation-sheet'!E81</f>
        <v>13508662664.577881</v>
      </c>
      <c r="F98" s="2">
        <f>F10/'Output-Calculation-sheet'!F9*'Output-Calculation-sheet'!F81</f>
        <v>5571299001.874548</v>
      </c>
      <c r="G98" s="2">
        <f>G10/'Output-Calculation-sheet'!G9*'Output-Calculation-sheet'!G81</f>
        <v>4090618187.2940907</v>
      </c>
      <c r="H98" s="2">
        <f>H10/'Output-Calculation-sheet'!H9*'Output-Calculation-sheet'!H81</f>
        <v>3706133499.0451355</v>
      </c>
      <c r="I98" s="2">
        <f>I10/'Output-Calculation-sheet'!I9*'Output-Calculation-sheet'!I81</f>
        <v>3080891084.8095531</v>
      </c>
      <c r="J98" s="2">
        <f>J10/'Output-Calculation-sheet'!J9*'Output-Calculation-sheet'!J81</f>
        <v>1969999412.4388976</v>
      </c>
      <c r="K98" s="2">
        <f>K10/'Output-Calculation-sheet'!K9*'Output-Calculation-sheet'!K81</f>
        <v>2861502270.5340214</v>
      </c>
      <c r="L98" s="2">
        <f>L10/'Output-Calculation-sheet'!L9*'Output-Calculation-sheet'!L81</f>
        <v>2146169536.3269601</v>
      </c>
      <c r="M98" s="2">
        <f>M10/'Output-Calculation-sheet'!M9*'Output-Calculation-sheet'!M81</f>
        <v>2783150651.1594462</v>
      </c>
      <c r="N98" s="2">
        <f>N10/'Output-Calculation-sheet'!N9*'Output-Calculation-sheet'!N81</f>
        <v>1996693436.3621812</v>
      </c>
      <c r="O98" s="2">
        <f>O10/'Output-Calculation-sheet'!O9*'Output-Calculation-sheet'!O81</f>
        <v>1057361978.862883</v>
      </c>
      <c r="P98" s="2">
        <f>P10/'Output-Calculation-sheet'!P9*'Output-Calculation-sheet'!P81</f>
        <v>3379022095.7489047</v>
      </c>
      <c r="Q98" s="2">
        <f>Q10/'Output-Calculation-sheet'!Q9*'Output-Calculation-sheet'!Q81</f>
        <v>1588730529.2208915</v>
      </c>
      <c r="R98" s="2">
        <f>R10/'Output-Calculation-sheet'!R9*'Output-Calculation-sheet'!R81</f>
        <v>2032226703.0855963</v>
      </c>
      <c r="S98" s="2">
        <f>S10/'Output-Calculation-sheet'!S9*'Output-Calculation-sheet'!S81</f>
        <v>1174988849.5794363</v>
      </c>
      <c r="T98" s="2">
        <f>T10/'Output-Calculation-sheet'!T9*'Output-Calculation-sheet'!T81</f>
        <v>871890064.95602953</v>
      </c>
      <c r="U98" s="2">
        <f>U10/'Output-Calculation-sheet'!U9*'Output-Calculation-sheet'!U81</f>
        <v>567308223.91988957</v>
      </c>
      <c r="V98" s="2">
        <f>V10/'Output-Calculation-sheet'!V9*'Output-Calculation-sheet'!V81</f>
        <v>300455988.72592366</v>
      </c>
      <c r="W98" s="2">
        <f>W10/'Output-Calculation-sheet'!W9*'Output-Calculation-sheet'!W81</f>
        <v>851896385.44693029</v>
      </c>
      <c r="X98" s="2">
        <f>X10/'Output-Calculation-sheet'!X9*'Output-Calculation-sheet'!X81</f>
        <v>313046147.30059141</v>
      </c>
      <c r="Y98" s="2">
        <f>Y10/'Output-Calculation-sheet'!Y9*'Output-Calculation-sheet'!Y81</f>
        <v>468425389.61631942</v>
      </c>
      <c r="AA98" s="2">
        <f t="shared" si="8"/>
        <v>91.057131153525049</v>
      </c>
    </row>
    <row r="99" spans="1:27" x14ac:dyDescent="0.25">
      <c r="A99" s="2">
        <v>2034</v>
      </c>
      <c r="B99" s="2">
        <f>B11/'Output-Calculation-sheet'!B10*'Output-Calculation-sheet'!B82</f>
        <v>23849053845.324516</v>
      </c>
      <c r="C99" s="2">
        <f>C11/'Output-Calculation-sheet'!C10*'Output-Calculation-sheet'!C82</f>
        <v>8228902050.4102125</v>
      </c>
      <c r="D99" s="2">
        <f>D11/'Output-Calculation-sheet'!D10*'Output-Calculation-sheet'!D82</f>
        <v>7485986206.5714188</v>
      </c>
      <c r="E99" s="2">
        <f>E11/'Output-Calculation-sheet'!E10*'Output-Calculation-sheet'!E82</f>
        <v>14480983878.415668</v>
      </c>
      <c r="F99" s="2">
        <f>F11/'Output-Calculation-sheet'!F10*'Output-Calculation-sheet'!F82</f>
        <v>5963975239.2715445</v>
      </c>
      <c r="G99" s="2">
        <f>G11/'Output-Calculation-sheet'!G10*'Output-Calculation-sheet'!G82</f>
        <v>4239961996.8849387</v>
      </c>
      <c r="H99" s="2">
        <f>H11/'Output-Calculation-sheet'!H10*'Output-Calculation-sheet'!H82</f>
        <v>3963014290.437366</v>
      </c>
      <c r="I99" s="2">
        <f>I11/'Output-Calculation-sheet'!I10*'Output-Calculation-sheet'!I82</f>
        <v>3328656111.1410513</v>
      </c>
      <c r="J99" s="2">
        <f>J11/'Output-Calculation-sheet'!J10*'Output-Calculation-sheet'!J82</f>
        <v>2071421424.8886542</v>
      </c>
      <c r="K99" s="2">
        <f>K11/'Output-Calculation-sheet'!K10*'Output-Calculation-sheet'!K82</f>
        <v>3030761370.6727366</v>
      </c>
      <c r="L99" s="2">
        <f>L11/'Output-Calculation-sheet'!L10*'Output-Calculation-sheet'!L82</f>
        <v>2339969415.8791804</v>
      </c>
      <c r="M99" s="2">
        <f>M11/'Output-Calculation-sheet'!M10*'Output-Calculation-sheet'!M82</f>
        <v>2985265209.1189942</v>
      </c>
      <c r="N99" s="2">
        <f>N11/'Output-Calculation-sheet'!N10*'Output-Calculation-sheet'!N82</f>
        <v>2103122129.1805983</v>
      </c>
      <c r="O99" s="2">
        <f>O11/'Output-Calculation-sheet'!O10*'Output-Calculation-sheet'!O82</f>
        <v>1140208053.3970497</v>
      </c>
      <c r="P99" s="2">
        <f>P11/'Output-Calculation-sheet'!P10*'Output-Calculation-sheet'!P82</f>
        <v>3554286806.2895484</v>
      </c>
      <c r="Q99" s="2">
        <f>Q11/'Output-Calculation-sheet'!Q10*'Output-Calculation-sheet'!Q82</f>
        <v>1682111870.0396874</v>
      </c>
      <c r="R99" s="2">
        <f>R11/'Output-Calculation-sheet'!R10*'Output-Calculation-sheet'!R82</f>
        <v>2177486036.6620898</v>
      </c>
      <c r="S99" s="2">
        <f>S11/'Output-Calculation-sheet'!S10*'Output-Calculation-sheet'!S82</f>
        <v>1254292832.0088499</v>
      </c>
      <c r="T99" s="2">
        <f>T11/'Output-Calculation-sheet'!T10*'Output-Calculation-sheet'!T82</f>
        <v>916741416.12608969</v>
      </c>
      <c r="U99" s="2">
        <f>U11/'Output-Calculation-sheet'!U10*'Output-Calculation-sheet'!U82</f>
        <v>607084645.85350513</v>
      </c>
      <c r="V99" s="2">
        <f>V11/'Output-Calculation-sheet'!V10*'Output-Calculation-sheet'!V82</f>
        <v>324600591.36071968</v>
      </c>
      <c r="W99" s="2">
        <f>W11/'Output-Calculation-sheet'!W10*'Output-Calculation-sheet'!W82</f>
        <v>900128804.69847322</v>
      </c>
      <c r="X99" s="2">
        <f>X11/'Output-Calculation-sheet'!X10*'Output-Calculation-sheet'!X82</f>
        <v>339013289.38676357</v>
      </c>
      <c r="Y99" s="2">
        <f>Y11/'Output-Calculation-sheet'!Y10*'Output-Calculation-sheet'!Y82</f>
        <v>495356330.34601998</v>
      </c>
      <c r="AA99" s="2">
        <f t="shared" si="8"/>
        <v>97.462383844365661</v>
      </c>
    </row>
    <row r="100" spans="1:27" x14ac:dyDescent="0.25">
      <c r="A100" s="2">
        <v>2035</v>
      </c>
      <c r="B100" s="2">
        <f>B12/'Output-Calculation-sheet'!B11*'Output-Calculation-sheet'!B83</f>
        <v>23828902861.521687</v>
      </c>
      <c r="C100" s="2">
        <f>C12/'Output-Calculation-sheet'!C11*'Output-Calculation-sheet'!C83</f>
        <v>8273008035.6571007</v>
      </c>
      <c r="D100" s="2">
        <f>D12/'Output-Calculation-sheet'!D11*'Output-Calculation-sheet'!D83</f>
        <v>7200592712.2990627</v>
      </c>
      <c r="E100" s="2">
        <f>E12/'Output-Calculation-sheet'!E11*'Output-Calculation-sheet'!E83</f>
        <v>14320120944.105639</v>
      </c>
      <c r="F100" s="2">
        <f>F12/'Output-Calculation-sheet'!F11*'Output-Calculation-sheet'!F83</f>
        <v>5890726771.8998384</v>
      </c>
      <c r="G100" s="2">
        <f>G12/'Output-Calculation-sheet'!G11*'Output-Calculation-sheet'!G83</f>
        <v>4048076327.6277151</v>
      </c>
      <c r="H100" s="2">
        <f>H12/'Output-Calculation-sheet'!H11*'Output-Calculation-sheet'!H83</f>
        <v>3910139211.4465861</v>
      </c>
      <c r="I100" s="2">
        <f>I12/'Output-Calculation-sheet'!I11*'Output-Calculation-sheet'!I83</f>
        <v>3317675889.2582488</v>
      </c>
      <c r="J100" s="2">
        <f>J12/'Output-Calculation-sheet'!J11*'Output-Calculation-sheet'!J83</f>
        <v>2010654383.3249478</v>
      </c>
      <c r="K100" s="2">
        <f>K12/'Output-Calculation-sheet'!K11*'Output-Calculation-sheet'!K83</f>
        <v>2962550361.5764885</v>
      </c>
      <c r="L100" s="2">
        <f>L12/'Output-Calculation-sheet'!L11*'Output-Calculation-sheet'!L83</f>
        <v>2352096064.227108</v>
      </c>
      <c r="M100" s="2">
        <f>M12/'Output-Calculation-sheet'!M11*'Output-Calculation-sheet'!M83</f>
        <v>2954753861.5809464</v>
      </c>
      <c r="N100" s="2">
        <f>N12/'Output-Calculation-sheet'!N11*'Output-Calculation-sheet'!N83</f>
        <v>2044456298.4626882</v>
      </c>
      <c r="O100" s="2">
        <f>O12/'Output-Calculation-sheet'!O11*'Output-Calculation-sheet'!O83</f>
        <v>1134803059.2309477</v>
      </c>
      <c r="P100" s="2">
        <f>P12/'Output-Calculation-sheet'!P11*'Output-Calculation-sheet'!P83</f>
        <v>3446477524.785327</v>
      </c>
      <c r="Q100" s="2">
        <f>Q12/'Output-Calculation-sheet'!Q11*'Output-Calculation-sheet'!Q83</f>
        <v>1643985578.4922299</v>
      </c>
      <c r="R100" s="2">
        <f>R12/'Output-Calculation-sheet'!R11*'Output-Calculation-sheet'!R83</f>
        <v>2152707485.717032</v>
      </c>
      <c r="S100" s="2">
        <f>S12/'Output-Calculation-sheet'!S11*'Output-Calculation-sheet'!S83</f>
        <v>1235543492.5560584</v>
      </c>
      <c r="T100" s="2">
        <f>T12/'Output-Calculation-sheet'!T11*'Output-Calculation-sheet'!T83</f>
        <v>889163229.01874995</v>
      </c>
      <c r="U100" s="2">
        <f>U12/'Output-Calculation-sheet'!U11*'Output-Calculation-sheet'!U83</f>
        <v>599195341.57389033</v>
      </c>
      <c r="V100" s="2">
        <f>V12/'Output-Calculation-sheet'!V11*'Output-Calculation-sheet'!V83</f>
        <v>323300700.90660042</v>
      </c>
      <c r="W100" s="2">
        <f>W12/'Output-Calculation-sheet'!W11*'Output-Calculation-sheet'!W83</f>
        <v>875901024.86936057</v>
      </c>
      <c r="X100" s="2">
        <f>X12/'Output-Calculation-sheet'!X11*'Output-Calculation-sheet'!X83</f>
        <v>338631656.03893101</v>
      </c>
      <c r="Y100" s="2">
        <f>Y12/'Output-Calculation-sheet'!Y11*'Output-Calculation-sheet'!Y83</f>
        <v>482673746.96389335</v>
      </c>
      <c r="AA100" s="2">
        <f t="shared" si="8"/>
        <v>96.236136563141088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1620213081.8086596</v>
      </c>
      <c r="C107" s="2">
        <f>C8/'Output-Calculation-sheet'!C7*'Output-Calculation-sheet'!C88</f>
        <v>26683161513.827988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8325253427.3594923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5743753144.248086</v>
      </c>
      <c r="N107" s="2">
        <f>N8/'Output-Calculation-sheet'!N7*'Output-Calculation-sheet'!N88</f>
        <v>1745161216.4058826</v>
      </c>
      <c r="O107" s="2">
        <f>O8/'Output-Calculation-sheet'!O7*'Output-Calculation-sheet'!O88</f>
        <v>5184562643.1401224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576070611.94493544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622050303.86751223</v>
      </c>
      <c r="Y107" s="2">
        <f>Y8/'Output-Calculation-sheet'!Y7*'Output-Calculation-sheet'!Y88</f>
        <v>0</v>
      </c>
      <c r="AA107" s="2">
        <f t="shared" si="9"/>
        <v>50500.225942602687</v>
      </c>
    </row>
    <row r="108" spans="1:27" x14ac:dyDescent="0.25">
      <c r="A108" s="2">
        <v>2032</v>
      </c>
      <c r="B108" s="2">
        <f>B9/'Output-Calculation-sheet'!B8*'Output-Calculation-sheet'!B89</f>
        <v>7116694767.3646421</v>
      </c>
      <c r="C108" s="2">
        <f>C9/'Output-Calculation-sheet'!C8*'Output-Calculation-sheet'!C89</f>
        <v>35675439723.169823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11130490766.9245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7679070798.526144</v>
      </c>
      <c r="N108" s="2">
        <f>N9/'Output-Calculation-sheet'!N8*'Output-Calculation-sheet'!N89</f>
        <v>3618702372.8802052</v>
      </c>
      <c r="O108" s="2">
        <f>O9/'Output-Calculation-sheet'!O8*'Output-Calculation-sheet'!O89</f>
        <v>6931768282.5863581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1087550907.109369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831666320.98066688</v>
      </c>
      <c r="Y108" s="2">
        <f>Y9/'Output-Calculation-sheet'!Y8*'Output-Calculation-sheet'!Y89</f>
        <v>0</v>
      </c>
      <c r="AA108" s="2">
        <f t="shared" si="9"/>
        <v>74071.383939541716</v>
      </c>
    </row>
    <row r="109" spans="1:27" x14ac:dyDescent="0.25">
      <c r="A109" s="2">
        <v>2033</v>
      </c>
      <c r="B109" s="2">
        <f>B10/'Output-Calculation-sheet'!B9*'Output-Calculation-sheet'!B90</f>
        <v>18028701712.847416</v>
      </c>
      <c r="C109" s="2">
        <f>C10/'Output-Calculation-sheet'!C9*'Output-Calculation-sheet'!C90</f>
        <v>39788132031.365097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13246168268.668051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9138705003.268322</v>
      </c>
      <c r="N109" s="2">
        <f>N10/'Output-Calculation-sheet'!N9*'Output-Calculation-sheet'!N90</f>
        <v>5382186732.5733795</v>
      </c>
      <c r="O109" s="2">
        <f>O10/'Output-Calculation-sheet'!O9*'Output-Calculation-sheet'!O90</f>
        <v>7299851500.3546896</v>
      </c>
      <c r="P109" s="2">
        <f>P10/'Output-Calculation-sheet'!P9*'Output-Calculation-sheet'!P90</f>
        <v>0</v>
      </c>
      <c r="Q109" s="2">
        <f>Q10/'Output-Calculation-sheet'!Q9*'Output-Calculation-sheet'!Q90</f>
        <v>175258755.44719702</v>
      </c>
      <c r="R109" s="2">
        <f>R10/'Output-Calculation-sheet'!R9*'Output-Calculation-sheet'!R90</f>
        <v>0</v>
      </c>
      <c r="S109" s="2">
        <f>S10/'Output-Calculation-sheet'!S9*'Output-Calculation-sheet'!S90</f>
        <v>2172244676.2061448</v>
      </c>
      <c r="T109" s="2">
        <f>T10/'Output-Calculation-sheet'!T9*'Output-Calculation-sheet'!T90</f>
        <v>1.6559617580455861E-7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989749401.39197469</v>
      </c>
      <c r="Y109" s="2">
        <f>Y10/'Output-Calculation-sheet'!Y9*'Output-Calculation-sheet'!Y90</f>
        <v>0</v>
      </c>
      <c r="AA109" s="2">
        <f t="shared" si="9"/>
        <v>96220.998082122271</v>
      </c>
    </row>
    <row r="110" spans="1:27" x14ac:dyDescent="0.25">
      <c r="A110" s="2">
        <v>2034</v>
      </c>
      <c r="B110" s="2">
        <f>B11/'Output-Calculation-sheet'!B10*'Output-Calculation-sheet'!B91</f>
        <v>38443287403.733414</v>
      </c>
      <c r="C110" s="2">
        <f>C11/'Output-Calculation-sheet'!C10*'Output-Calculation-sheet'!C91</f>
        <v>38874025832.757286</v>
      </c>
      <c r="D110" s="2">
        <f>D11/'Output-Calculation-sheet'!D10*'Output-Calculation-sheet'!D91</f>
        <v>0</v>
      </c>
      <c r="E110" s="2">
        <f>E11/'Output-Calculation-sheet'!E10*'Output-Calculation-sheet'!E91</f>
        <v>784221789.52268887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14358553161.739794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652596501.7596302</v>
      </c>
      <c r="M110" s="2">
        <f>M11/'Output-Calculation-sheet'!M10*'Output-Calculation-sheet'!M91</f>
        <v>9906152258.2572346</v>
      </c>
      <c r="N110" s="2">
        <f>N11/'Output-Calculation-sheet'!N10*'Output-Calculation-sheet'!N91</f>
        <v>6851590788.9784622</v>
      </c>
      <c r="O110" s="2">
        <f>O11/'Output-Calculation-sheet'!O10*'Output-Calculation-sheet'!O91</f>
        <v>7114049256.4290409</v>
      </c>
      <c r="P110" s="2">
        <f>P11/'Output-Calculation-sheet'!P10*'Output-Calculation-sheet'!P91</f>
        <v>0</v>
      </c>
      <c r="Q110" s="2">
        <f>Q11/'Output-Calculation-sheet'!Q10*'Output-Calculation-sheet'!Q91</f>
        <v>1743513704.1164594</v>
      </c>
      <c r="R110" s="2">
        <f>R11/'Output-Calculation-sheet'!R10*'Output-Calculation-sheet'!R91</f>
        <v>0</v>
      </c>
      <c r="S110" s="2">
        <f>S11/'Output-Calculation-sheet'!S10*'Output-Calculation-sheet'!S91</f>
        <v>3369369537.8995466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981435533.00722039</v>
      </c>
      <c r="Y110" s="2">
        <f>Y11/'Output-Calculation-sheet'!Y10*'Output-Calculation-sheet'!Y91</f>
        <v>42948473.575070992</v>
      </c>
      <c r="AA110" s="2">
        <f t="shared" si="9"/>
        <v>123121.74424177584</v>
      </c>
    </row>
    <row r="111" spans="1:27" x14ac:dyDescent="0.25">
      <c r="A111" s="2">
        <v>2035</v>
      </c>
      <c r="B111" s="2">
        <f>B12/'Output-Calculation-sheet'!B11*'Output-Calculation-sheet'!B92</f>
        <v>42713559361.087135</v>
      </c>
      <c r="C111" s="2">
        <f>C12/'Output-Calculation-sheet'!C11*'Output-Calculation-sheet'!C92</f>
        <v>35722540197.5364</v>
      </c>
      <c r="D111" s="2">
        <f>D12/'Output-Calculation-sheet'!D11*'Output-Calculation-sheet'!D92</f>
        <v>0</v>
      </c>
      <c r="E111" s="2">
        <f>E12/'Output-Calculation-sheet'!E11*'Output-Calculation-sheet'!E92</f>
        <v>4754621432.3909836</v>
      </c>
      <c r="F111" s="2">
        <f>F12/'Output-Calculation-sheet'!F11*'Output-Calculation-sheet'!F92</f>
        <v>0</v>
      </c>
      <c r="G111" s="2">
        <f>G12/'Output-Calculation-sheet'!G11*'Output-Calculation-sheet'!G92</f>
        <v>-5.1695475634928237E-7</v>
      </c>
      <c r="H111" s="2">
        <f>H12/'Output-Calculation-sheet'!H11*'Output-Calculation-sheet'!H92</f>
        <v>13222383147.310701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1569002817.0180256</v>
      </c>
      <c r="M111" s="2">
        <f>M12/'Output-Calculation-sheet'!M11*'Output-Calculation-sheet'!M92</f>
        <v>9330049333.9344807</v>
      </c>
      <c r="N111" s="2">
        <f>N12/'Output-Calculation-sheet'!N11*'Output-Calculation-sheet'!N92</f>
        <v>6729019720.719059</v>
      </c>
      <c r="O111" s="2">
        <f>O12/'Output-Calculation-sheet'!O11*'Output-Calculation-sheet'!O92</f>
        <v>6490374062.1902332</v>
      </c>
      <c r="P111" s="2">
        <f>P12/'Output-Calculation-sheet'!P11*'Output-Calculation-sheet'!P92</f>
        <v>326408903.90005344</v>
      </c>
      <c r="Q111" s="2">
        <f>Q12/'Output-Calculation-sheet'!Q11*'Output-Calculation-sheet'!Q92</f>
        <v>2244943540.8652358</v>
      </c>
      <c r="R111" s="2">
        <f>R12/'Output-Calculation-sheet'!R11*'Output-Calculation-sheet'!R92</f>
        <v>0</v>
      </c>
      <c r="S111" s="2">
        <f>S12/'Output-Calculation-sheet'!S11*'Output-Calculation-sheet'!S92</f>
        <v>3444275514.3469839</v>
      </c>
      <c r="T111" s="2">
        <f>T12/'Output-Calculation-sheet'!T11*'Output-Calculation-sheet'!T92</f>
        <v>0</v>
      </c>
      <c r="U111" s="2">
        <f>U12/'Output-Calculation-sheet'!U11*'Output-Calculation-sheet'!U92</f>
        <v>65127470.448342897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920677323.42498088</v>
      </c>
      <c r="Y111" s="2">
        <f>Y12/'Output-Calculation-sheet'!Y11*'Output-Calculation-sheet'!Y92</f>
        <v>221807149.7942369</v>
      </c>
      <c r="AA111" s="2">
        <f t="shared" si="9"/>
        <v>127754.78997496686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55014769583.503525</v>
      </c>
      <c r="C118" s="2">
        <f>C8/'Output-Calculation-sheet'!C7*'Output-Calculation-sheet'!C97</f>
        <v>0</v>
      </c>
      <c r="D118" s="2">
        <f>D8/'Output-Calculation-sheet'!D7*'Output-Calculation-sheet'!D97</f>
        <v>23787345319.967926</v>
      </c>
      <c r="E118" s="2">
        <f>E8/'Output-Calculation-sheet'!E7*'Output-Calculation-sheet'!E97</f>
        <v>18872844647.74744</v>
      </c>
      <c r="F118" s="2">
        <f>F8/'Output-Calculation-sheet'!F7*'Output-Calculation-sheet'!F97</f>
        <v>12149127345.229013</v>
      </c>
      <c r="G118" s="2">
        <f>G8/'Output-Calculation-sheet'!G7*'Output-Calculation-sheet'!G97</f>
        <v>8536310296.5583925</v>
      </c>
      <c r="H118" s="2">
        <f>H8/'Output-Calculation-sheet'!H7*'Output-Calculation-sheet'!H97</f>
        <v>0</v>
      </c>
      <c r="I118" s="2">
        <f>I8/'Output-Calculation-sheet'!I7*'Output-Calculation-sheet'!I97</f>
        <v>7777250634.6195097</v>
      </c>
      <c r="J118" s="2">
        <f>J8/'Output-Calculation-sheet'!J7*'Output-Calculation-sheet'!J97</f>
        <v>7569840103.3521194</v>
      </c>
      <c r="K118" s="2">
        <f>K8/'Output-Calculation-sheet'!K7*'Output-Calculation-sheet'!K97</f>
        <v>7497268137.6254025</v>
      </c>
      <c r="L118" s="2">
        <f>L8/'Output-Calculation-sheet'!L7*'Output-Calculation-sheet'!L97</f>
        <v>6014405985.2673931</v>
      </c>
      <c r="M118" s="2">
        <f>M8/'Output-Calculation-sheet'!M7*'Output-Calculation-sheet'!M97</f>
        <v>0</v>
      </c>
      <c r="N118" s="2">
        <f>N8/'Output-Calculation-sheet'!N7*'Output-Calculation-sheet'!N97</f>
        <v>3893295571.8771443</v>
      </c>
      <c r="O118" s="2">
        <f>O8/'Output-Calculation-sheet'!O7*'Output-Calculation-sheet'!O97</f>
        <v>0</v>
      </c>
      <c r="P118" s="2">
        <f>P8/'Output-Calculation-sheet'!P7*'Output-Calculation-sheet'!P97</f>
        <v>5132985418.8488798</v>
      </c>
      <c r="Q118" s="2">
        <f>Q8/'Output-Calculation-sheet'!Q7*'Output-Calculation-sheet'!Q97</f>
        <v>5050027121.5515776</v>
      </c>
      <c r="R118" s="2">
        <f>R8/'Output-Calculation-sheet'!R7*'Output-Calculation-sheet'!R97</f>
        <v>4858358343.0691805</v>
      </c>
      <c r="S118" s="2">
        <f>S8/'Output-Calculation-sheet'!S7*'Output-Calculation-sheet'!S97</f>
        <v>2653043601.0461817</v>
      </c>
      <c r="T118" s="2">
        <f>T8/'Output-Calculation-sheet'!T7*'Output-Calculation-sheet'!T97</f>
        <v>1785891100.1944332</v>
      </c>
      <c r="U118" s="2">
        <f>U8/'Output-Calculation-sheet'!U7*'Output-Calculation-sheet'!U97</f>
        <v>1555449821.5203106</v>
      </c>
      <c r="V118" s="2">
        <f>V8/'Output-Calculation-sheet'!V7*'Output-Calculation-sheet'!V97</f>
        <v>1197727942.2278152</v>
      </c>
      <c r="W118" s="2">
        <f>W8/'Output-Calculation-sheet'!W7*'Output-Calculation-sheet'!W97</f>
        <v>1036966547.3626206</v>
      </c>
      <c r="X118" s="2">
        <f>X8/'Output-Calculation-sheet'!X7*'Output-Calculation-sheet'!X97</f>
        <v>0</v>
      </c>
      <c r="Y118" s="2">
        <f>Y8/'Output-Calculation-sheet'!Y7*'Output-Calculation-sheet'!Y97</f>
        <v>605063995.24973857</v>
      </c>
      <c r="AA118" s="2">
        <f t="shared" si="10"/>
        <v>174987.97151681856</v>
      </c>
    </row>
    <row r="119" spans="1:27" x14ac:dyDescent="0.25">
      <c r="A119" s="2">
        <v>2032</v>
      </c>
      <c r="B119" s="2">
        <f>B9/'Output-Calculation-sheet'!B8*'Output-Calculation-sheet'!B98</f>
        <v>68600916599.260582</v>
      </c>
      <c r="C119" s="2">
        <f>C9/'Output-Calculation-sheet'!C8*'Output-Calculation-sheet'!C98</f>
        <v>0</v>
      </c>
      <c r="D119" s="2">
        <f>D9/'Output-Calculation-sheet'!D8*'Output-Calculation-sheet'!D98</f>
        <v>31802271665.716805</v>
      </c>
      <c r="E119" s="2">
        <f>E9/'Output-Calculation-sheet'!E8*'Output-Calculation-sheet'!E98</f>
        <v>25231869450.253853</v>
      </c>
      <c r="F119" s="2">
        <f>F9/'Output-Calculation-sheet'!F8*'Output-Calculation-sheet'!F98</f>
        <v>16242664830.81427</v>
      </c>
      <c r="G119" s="2">
        <f>G9/'Output-Calculation-sheet'!G8*'Output-Calculation-sheet'!G98</f>
        <v>11412542115.450201</v>
      </c>
      <c r="H119" s="2">
        <f>H9/'Output-Calculation-sheet'!H8*'Output-Calculation-sheet'!H98</f>
        <v>1.5266615581130364E-6</v>
      </c>
      <c r="I119" s="2">
        <f>I9/'Output-Calculation-sheet'!I8*'Output-Calculation-sheet'!I98</f>
        <v>10397725011.89209</v>
      </c>
      <c r="J119" s="2">
        <f>J9/'Output-Calculation-sheet'!J8*'Output-Calculation-sheet'!J98</f>
        <v>10120425445.146877</v>
      </c>
      <c r="K119" s="2">
        <f>K9/'Output-Calculation-sheet'!K8*'Output-Calculation-sheet'!K98</f>
        <v>10023402620.939047</v>
      </c>
      <c r="L119" s="2">
        <f>L9/'Output-Calculation-sheet'!L8*'Output-Calculation-sheet'!L98</f>
        <v>8040905795.0798206</v>
      </c>
      <c r="M119" s="2">
        <f>M9/'Output-Calculation-sheet'!M8*'Output-Calculation-sheet'!M98</f>
        <v>0</v>
      </c>
      <c r="N119" s="2">
        <f>N9/'Output-Calculation-sheet'!N8*'Output-Calculation-sheet'!N98</f>
        <v>3918949667.2904019</v>
      </c>
      <c r="O119" s="2">
        <f>O9/'Output-Calculation-sheet'!O8*'Output-Calculation-sheet'!O98</f>
        <v>0</v>
      </c>
      <c r="P119" s="2">
        <f>P9/'Output-Calculation-sheet'!P8*'Output-Calculation-sheet'!P98</f>
        <v>6862452121.6403952</v>
      </c>
      <c r="Q119" s="2">
        <f>Q9/'Output-Calculation-sheet'!Q8*'Output-Calculation-sheet'!Q98</f>
        <v>6751587110.7345476</v>
      </c>
      <c r="R119" s="2">
        <f>R9/'Output-Calculation-sheet'!R8*'Output-Calculation-sheet'!R98</f>
        <v>6495337830.6771355</v>
      </c>
      <c r="S119" s="2">
        <f>S9/'Output-Calculation-sheet'!S8*'Output-Calculation-sheet'!S98</f>
        <v>3229352332.0789952</v>
      </c>
      <c r="T119" s="2">
        <f>T9/'Output-Calculation-sheet'!T8*'Output-Calculation-sheet'!T98</f>
        <v>2387630240.4792237</v>
      </c>
      <c r="U119" s="2">
        <f>U9/'Output-Calculation-sheet'!U8*'Output-Calculation-sheet'!U98</f>
        <v>2079544766.1015661</v>
      </c>
      <c r="V119" s="2">
        <f>V9/'Output-Calculation-sheet'!V8*'Output-Calculation-sheet'!V98</f>
        <v>1601291061.0558321</v>
      </c>
      <c r="W119" s="2">
        <f>W9/'Output-Calculation-sheet'!W8*'Output-Calculation-sheet'!W98</f>
        <v>1386362959.5526669</v>
      </c>
      <c r="X119" s="2">
        <f>X9/'Output-Calculation-sheet'!X8*'Output-Calculation-sheet'!X98</f>
        <v>0</v>
      </c>
      <c r="Y119" s="2">
        <f>Y9/'Output-Calculation-sheet'!Y8*'Output-Calculation-sheet'!Y98</f>
        <v>808934469.07129753</v>
      </c>
      <c r="AA119" s="2">
        <f t="shared" si="10"/>
        <v>227394.16609323563</v>
      </c>
    </row>
    <row r="120" spans="1:27" x14ac:dyDescent="0.25">
      <c r="A120" s="2">
        <v>2033</v>
      </c>
      <c r="B120" s="2">
        <f>B10/'Output-Calculation-sheet'!B9*'Output-Calculation-sheet'!B99</f>
        <v>72073098552.860321</v>
      </c>
      <c r="C120" s="2">
        <f>C10/'Output-Calculation-sheet'!C9*'Output-Calculation-sheet'!C99</f>
        <v>0</v>
      </c>
      <c r="D120" s="2">
        <f>D10/'Output-Calculation-sheet'!D9*'Output-Calculation-sheet'!D99</f>
        <v>37846095962.770439</v>
      </c>
      <c r="E120" s="2">
        <f>E10/'Output-Calculation-sheet'!E9*'Output-Calculation-sheet'!E99</f>
        <v>30027032733.772495</v>
      </c>
      <c r="F120" s="2">
        <f>F10/'Output-Calculation-sheet'!F9*'Output-Calculation-sheet'!F99</f>
        <v>19329478480.367973</v>
      </c>
      <c r="G120" s="2">
        <f>G10/'Output-Calculation-sheet'!G9*'Output-Calculation-sheet'!G99</f>
        <v>13581422063.525066</v>
      </c>
      <c r="H120" s="2">
        <f>H10/'Output-Calculation-sheet'!H9*'Output-Calculation-sheet'!H99</f>
        <v>0</v>
      </c>
      <c r="I120" s="2">
        <f>I10/'Output-Calculation-sheet'!I9*'Output-Calculation-sheet'!I99</f>
        <v>12373746182.296591</v>
      </c>
      <c r="J120" s="2">
        <f>J10/'Output-Calculation-sheet'!J9*'Output-Calculation-sheet'!J99</f>
        <v>12043747584.748884</v>
      </c>
      <c r="K120" s="2">
        <f>K10/'Output-Calculation-sheet'!K9*'Output-Calculation-sheet'!K99</f>
        <v>11928568888.176907</v>
      </c>
      <c r="L120" s="2">
        <f>L10/'Output-Calculation-sheet'!L9*'Output-Calculation-sheet'!L99</f>
        <v>9569028529.037077</v>
      </c>
      <c r="M120" s="2">
        <f>M10/'Output-Calculation-sheet'!M9*'Output-Calculation-sheet'!M99</f>
        <v>0</v>
      </c>
      <c r="N120" s="2">
        <f>N10/'Output-Calculation-sheet'!N9*'Output-Calculation-sheet'!N99</f>
        <v>3587422260.582305</v>
      </c>
      <c r="O120" s="2">
        <f>O10/'Output-Calculation-sheet'!O9*'Output-Calculation-sheet'!O99</f>
        <v>0</v>
      </c>
      <c r="P120" s="2">
        <f>P10/'Output-Calculation-sheet'!P9*'Output-Calculation-sheet'!P99</f>
        <v>8166188628.1608009</v>
      </c>
      <c r="Q120" s="2">
        <f>Q10/'Output-Calculation-sheet'!Q9*'Output-Calculation-sheet'!Q99</f>
        <v>7859346166.0467052</v>
      </c>
      <c r="R120" s="2">
        <f>R10/'Output-Calculation-sheet'!R9*'Output-Calculation-sheet'!R99</f>
        <v>7729372389.6614733</v>
      </c>
      <c r="S120" s="2">
        <f>S10/'Output-Calculation-sheet'!S9*'Output-Calculation-sheet'!S99</f>
        <v>2964715986.419302</v>
      </c>
      <c r="T120" s="2">
        <f>T10/'Output-Calculation-sheet'!T9*'Output-Calculation-sheet'!T99</f>
        <v>2841359663.2782111</v>
      </c>
      <c r="U120" s="2">
        <f>U10/'Output-Calculation-sheet'!U9*'Output-Calculation-sheet'!U99</f>
        <v>2475280333.7241569</v>
      </c>
      <c r="V120" s="2">
        <f>V10/'Output-Calculation-sheet'!V9*'Output-Calculation-sheet'!V99</f>
        <v>1905606286.9462361</v>
      </c>
      <c r="W120" s="2">
        <f>W10/'Output-Calculation-sheet'!W9*'Output-Calculation-sheet'!W99</f>
        <v>1649832720.3339784</v>
      </c>
      <c r="X120" s="2">
        <f>X10/'Output-Calculation-sheet'!X9*'Output-Calculation-sheet'!X99</f>
        <v>0</v>
      </c>
      <c r="Y120" s="2">
        <f>Y10/'Output-Calculation-sheet'!Y9*'Output-Calculation-sheet'!Y99</f>
        <v>962668740.79732633</v>
      </c>
      <c r="AA120" s="2">
        <f t="shared" si="10"/>
        <v>258914.01215350622</v>
      </c>
    </row>
    <row r="121" spans="1:27" x14ac:dyDescent="0.25">
      <c r="A121" s="2">
        <v>2034</v>
      </c>
      <c r="B121" s="2">
        <f>B11/'Output-Calculation-sheet'!B10*'Output-Calculation-sheet'!B100</f>
        <v>59216553985.011429</v>
      </c>
      <c r="C121" s="2">
        <f>C11/'Output-Calculation-sheet'!C10*'Output-Calculation-sheet'!C100</f>
        <v>0</v>
      </c>
      <c r="D121" s="2">
        <f>D11/'Output-Calculation-sheet'!D10*'Output-Calculation-sheet'!D100</f>
        <v>41023443182.060768</v>
      </c>
      <c r="E121" s="2">
        <f>E11/'Output-Calculation-sheet'!E10*'Output-Calculation-sheet'!E100</f>
        <v>31762340130.028652</v>
      </c>
      <c r="F121" s="2">
        <f>F11/'Output-Calculation-sheet'!F10*'Output-Calculation-sheet'!F100</f>
        <v>20952160847.930603</v>
      </c>
      <c r="G121" s="2">
        <f>G11/'Output-Calculation-sheet'!G10*'Output-Calculation-sheet'!G100</f>
        <v>14720844964.929441</v>
      </c>
      <c r="H121" s="2">
        <f>H11/'Output-Calculation-sheet'!H10*'Output-Calculation-sheet'!H100</f>
        <v>0</v>
      </c>
      <c r="I121" s="2">
        <f>I11/'Output-Calculation-sheet'!I10*'Output-Calculation-sheet'!I100</f>
        <v>13412099531.2904</v>
      </c>
      <c r="J121" s="2">
        <f>J11/'Output-Calculation-sheet'!J10*'Output-Calculation-sheet'!J100</f>
        <v>13054553116.359825</v>
      </c>
      <c r="K121" s="2">
        <f>K11/'Output-Calculation-sheet'!K10*'Output-Calculation-sheet'!K100</f>
        <v>12929725264.1856</v>
      </c>
      <c r="L121" s="2">
        <f>L11/'Output-Calculation-sheet'!L10*'Output-Calculation-sheet'!L100</f>
        <v>9719492824.220787</v>
      </c>
      <c r="M121" s="2">
        <f>M11/'Output-Calculation-sheet'!M10*'Output-Calculation-sheet'!M100</f>
        <v>6.6345181173641339E-7</v>
      </c>
      <c r="N121" s="2">
        <f>N11/'Output-Calculation-sheet'!N10*'Output-Calculation-sheet'!N100</f>
        <v>2871266527.89785</v>
      </c>
      <c r="O121" s="2">
        <f>O11/'Output-Calculation-sheet'!O10*'Output-Calculation-sheet'!O100</f>
        <v>0</v>
      </c>
      <c r="P121" s="2">
        <f>P11/'Output-Calculation-sheet'!P10*'Output-Calculation-sheet'!P100</f>
        <v>8851411593.5999527</v>
      </c>
      <c r="Q121" s="2">
        <f>Q11/'Output-Calculation-sheet'!Q10*'Output-Calculation-sheet'!Q100</f>
        <v>6964919175.002162</v>
      </c>
      <c r="R121" s="2">
        <f>R11/'Output-Calculation-sheet'!R10*'Output-Calculation-sheet'!R100</f>
        <v>8377921328.7250834</v>
      </c>
      <c r="S121" s="2">
        <f>S11/'Output-Calculation-sheet'!S10*'Output-Calculation-sheet'!S100</f>
        <v>2198816040.2066154</v>
      </c>
      <c r="T121" s="2">
        <f>T11/'Output-Calculation-sheet'!T10*'Output-Calculation-sheet'!T100</f>
        <v>3079722450.4668431</v>
      </c>
      <c r="U121" s="2">
        <f>U11/'Output-Calculation-sheet'!U10*'Output-Calculation-sheet'!U100</f>
        <v>2683960267.6819468</v>
      </c>
      <c r="V121" s="2">
        <f>V11/'Output-Calculation-sheet'!V10*'Output-Calculation-sheet'!V100</f>
        <v>2066170860.4781353</v>
      </c>
      <c r="W121" s="2">
        <f>W11/'Output-Calculation-sheet'!W10*'Output-Calculation-sheet'!W100</f>
        <v>1788396595.5932677</v>
      </c>
      <c r="X121" s="2">
        <f>X11/'Output-Calculation-sheet'!X10*'Output-Calculation-sheet'!X100</f>
        <v>79393204.201344281</v>
      </c>
      <c r="Y121" s="2">
        <f>Y11/'Output-Calculation-sheet'!Y10*'Output-Calculation-sheet'!Y100</f>
        <v>1000521719.9005272</v>
      </c>
      <c r="AA121" s="2">
        <f t="shared" si="10"/>
        <v>256753.71360977131</v>
      </c>
    </row>
    <row r="122" spans="1:27" x14ac:dyDescent="0.25">
      <c r="A122" s="2">
        <v>2035</v>
      </c>
      <c r="B122" s="2">
        <f>B12/'Output-Calculation-sheet'!B11*'Output-Calculation-sheet'!B101</f>
        <v>49151042675.670692</v>
      </c>
      <c r="C122" s="2">
        <f>C12/'Output-Calculation-sheet'!C11*'Output-Calculation-sheet'!C101</f>
        <v>0</v>
      </c>
      <c r="D122" s="2">
        <f>D12/'Output-Calculation-sheet'!D11*'Output-Calculation-sheet'!D101</f>
        <v>38189448711.463493</v>
      </c>
      <c r="E122" s="2">
        <f>E12/'Output-Calculation-sheet'!E11*'Output-Calculation-sheet'!E101</f>
        <v>26989436469.039394</v>
      </c>
      <c r="F122" s="2">
        <f>F12/'Output-Calculation-sheet'!F11*'Output-Calculation-sheet'!F101</f>
        <v>20084817705.603657</v>
      </c>
      <c r="G122" s="2">
        <f>G12/'Output-Calculation-sheet'!G11*'Output-Calculation-sheet'!G101</f>
        <v>13904085969.420967</v>
      </c>
      <c r="H122" s="2">
        <f>H12/'Output-Calculation-sheet'!H11*'Output-Calculation-sheet'!H101</f>
        <v>0</v>
      </c>
      <c r="I122" s="2">
        <f>I12/'Output-Calculation-sheet'!I11*'Output-Calculation-sheet'!I101</f>
        <v>12702110534.701931</v>
      </c>
      <c r="J122" s="2">
        <f>J12/'Output-Calculation-sheet'!J11*'Output-Calculation-sheet'!J101</f>
        <v>12248142746.095308</v>
      </c>
      <c r="K122" s="2">
        <f>K12/'Output-Calculation-sheet'!K11*'Output-Calculation-sheet'!K101</f>
        <v>12316353268.002596</v>
      </c>
      <c r="L122" s="2">
        <f>L12/'Output-Calculation-sheet'!L11*'Output-Calculation-sheet'!L101</f>
        <v>8475803676.9813414</v>
      </c>
      <c r="M122" s="2">
        <f>M12/'Output-Calculation-sheet'!M11*'Output-Calculation-sheet'!M101</f>
        <v>0</v>
      </c>
      <c r="N122" s="2">
        <f>N12/'Output-Calculation-sheet'!N11*'Output-Calculation-sheet'!N101</f>
        <v>2385139700.4177151</v>
      </c>
      <c r="O122" s="2">
        <f>O12/'Output-Calculation-sheet'!O11*'Output-Calculation-sheet'!O101</f>
        <v>0</v>
      </c>
      <c r="P122" s="2">
        <f>P12/'Output-Calculation-sheet'!P11*'Output-Calculation-sheet'!P101</f>
        <v>8208823054.4494743</v>
      </c>
      <c r="Q122" s="2">
        <f>Q12/'Output-Calculation-sheet'!Q11*'Output-Calculation-sheet'!Q101</f>
        <v>5822836590.114193</v>
      </c>
      <c r="R122" s="2">
        <f>R12/'Output-Calculation-sheet'!R11*'Output-Calculation-sheet'!R101</f>
        <v>8026892069.2808228</v>
      </c>
      <c r="S122" s="2">
        <f>S12/'Output-Calculation-sheet'!S11*'Output-Calculation-sheet'!S101</f>
        <v>1759685656.4485219</v>
      </c>
      <c r="T122" s="2">
        <f>T12/'Output-Calculation-sheet'!T11*'Output-Calculation-sheet'!T101</f>
        <v>2993400250.9640102</v>
      </c>
      <c r="U122" s="2">
        <f>U12/'Output-Calculation-sheet'!U11*'Output-Calculation-sheet'!U101</f>
        <v>2430189368.5371642</v>
      </c>
      <c r="V122" s="2">
        <f>V12/'Output-Calculation-sheet'!V11*'Output-Calculation-sheet'!V101</f>
        <v>2018720684.4945219</v>
      </c>
      <c r="W122" s="2">
        <f>W12/'Output-Calculation-sheet'!W11*'Output-Calculation-sheet'!W101</f>
        <v>1760311839.689292</v>
      </c>
      <c r="X122" s="2">
        <f>X12/'Output-Calculation-sheet'!X11*'Output-Calculation-sheet'!X101</f>
        <v>64825582.873292446</v>
      </c>
      <c r="Y122" s="2">
        <f>Y12/'Output-Calculation-sheet'!Y11*'Output-Calculation-sheet'!Y101</f>
        <v>794707169.56683838</v>
      </c>
      <c r="AA122" s="2">
        <f t="shared" si="10"/>
        <v>230326.77372381525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56634983696.687218</v>
      </c>
      <c r="C129" s="2">
        <f>C8/'Output-Calculation-sheet'!C7*'Output-Calculation-sheet'!C106</f>
        <v>26689259442.629196</v>
      </c>
      <c r="D129" s="2">
        <f>D8/'Output-Calculation-sheet'!D7*'Output-Calculation-sheet'!D106</f>
        <v>23787345319.967926</v>
      </c>
      <c r="E129" s="2">
        <f>E8/'Output-Calculation-sheet'!E7*'Output-Calculation-sheet'!E106</f>
        <v>18872844647.74744</v>
      </c>
      <c r="F129" s="2">
        <f>F8/'Output-Calculation-sheet'!F7*'Output-Calculation-sheet'!F106</f>
        <v>12149127345.229013</v>
      </c>
      <c r="G129" s="2">
        <f>G8/'Output-Calculation-sheet'!G7*'Output-Calculation-sheet'!G106</f>
        <v>8536310296.5583925</v>
      </c>
      <c r="H129" s="2">
        <f>H8/'Output-Calculation-sheet'!H7*'Output-Calculation-sheet'!H106</f>
        <v>8326843012.7992954</v>
      </c>
      <c r="I129" s="2">
        <f>I8/'Output-Calculation-sheet'!I7*'Output-Calculation-sheet'!I106</f>
        <v>7777250634.6195097</v>
      </c>
      <c r="J129" s="2">
        <f>J8/'Output-Calculation-sheet'!J7*'Output-Calculation-sheet'!J106</f>
        <v>7569840103.3521194</v>
      </c>
      <c r="K129" s="2">
        <f>K8/'Output-Calculation-sheet'!K7*'Output-Calculation-sheet'!K106</f>
        <v>7497268137.6254025</v>
      </c>
      <c r="L129" s="2">
        <f>L8/'Output-Calculation-sheet'!L7*'Output-Calculation-sheet'!L106</f>
        <v>6014405985.2673931</v>
      </c>
      <c r="M129" s="2">
        <f>M8/'Output-Calculation-sheet'!M7*'Output-Calculation-sheet'!M106</f>
        <v>5744795802.1056223</v>
      </c>
      <c r="N129" s="2">
        <f>N8/'Output-Calculation-sheet'!N7*'Output-Calculation-sheet'!N106</f>
        <v>5638501580.7990408</v>
      </c>
      <c r="O129" s="2">
        <f>O8/'Output-Calculation-sheet'!O7*'Output-Calculation-sheet'!O106</f>
        <v>5185745267.6502457</v>
      </c>
      <c r="P129" s="2">
        <f>P8/'Output-Calculation-sheet'!P7*'Output-Calculation-sheet'!P106</f>
        <v>5132985418.8488798</v>
      </c>
      <c r="Q129" s="2">
        <f>Q8/'Output-Calculation-sheet'!Q7*'Output-Calculation-sheet'!Q106</f>
        <v>5050027121.5515776</v>
      </c>
      <c r="R129" s="2">
        <f>R8/'Output-Calculation-sheet'!R7*'Output-Calculation-sheet'!R106</f>
        <v>4858358343.0691805</v>
      </c>
      <c r="S129" s="2">
        <f>S8/'Output-Calculation-sheet'!S7*'Output-Calculation-sheet'!S106</f>
        <v>3229113837.236774</v>
      </c>
      <c r="T129" s="2">
        <f>T8/'Output-Calculation-sheet'!T7*'Output-Calculation-sheet'!T106</f>
        <v>1785891100.1944332</v>
      </c>
      <c r="U129" s="2">
        <f>U8/'Output-Calculation-sheet'!U7*'Output-Calculation-sheet'!U106</f>
        <v>1555449821.5203106</v>
      </c>
      <c r="V129" s="2">
        <f>V8/'Output-Calculation-sheet'!V7*'Output-Calculation-sheet'!V106</f>
        <v>1197727942.2278152</v>
      </c>
      <c r="W129" s="2">
        <f>W8/'Output-Calculation-sheet'!W7*'Output-Calculation-sheet'!W106</f>
        <v>1036966547.3626206</v>
      </c>
      <c r="X129" s="2">
        <f>X8/'Output-Calculation-sheet'!X7*'Output-Calculation-sheet'!X106</f>
        <v>622180050.76956165</v>
      </c>
      <c r="Y129" s="2">
        <f>Y8/'Output-Calculation-sheet'!Y7*'Output-Calculation-sheet'!Y106</f>
        <v>605063995.24973857</v>
      </c>
      <c r="AA129" s="2">
        <f t="shared" si="11"/>
        <v>225498.28545106863</v>
      </c>
    </row>
    <row r="130" spans="1:27" x14ac:dyDescent="0.25">
      <c r="A130" s="2">
        <v>2032</v>
      </c>
      <c r="B130" s="2">
        <f>B9/'Output-Calculation-sheet'!B8*'Output-Calculation-sheet'!B107</f>
        <v>45430573442.41806</v>
      </c>
      <c r="C130" s="2">
        <f>C9/'Output-Calculation-sheet'!C8*'Output-Calculation-sheet'!C107</f>
        <v>21409168086.549652</v>
      </c>
      <c r="D130" s="2">
        <f>D9/'Output-Calculation-sheet'!D8*'Output-Calculation-sheet'!D107</f>
        <v>19081359021.845341</v>
      </c>
      <c r="E130" s="2">
        <f>E9/'Output-Calculation-sheet'!E8*'Output-Calculation-sheet'!E107</f>
        <v>15139120089.592852</v>
      </c>
      <c r="F130" s="2">
        <f>F9/'Output-Calculation-sheet'!F8*'Output-Calculation-sheet'!F107</f>
        <v>9745599892.5520763</v>
      </c>
      <c r="G130" s="2">
        <f>G9/'Output-Calculation-sheet'!G8*'Output-Calculation-sheet'!G107</f>
        <v>6847525982.6926737</v>
      </c>
      <c r="H130" s="2">
        <f>H9/'Output-Calculation-sheet'!H8*'Output-Calculation-sheet'!H107</f>
        <v>6679497001.8299732</v>
      </c>
      <c r="I130" s="2">
        <f>I9/'Output-Calculation-sheet'!I8*'Output-Calculation-sheet'!I107</f>
        <v>6238634365.4542618</v>
      </c>
      <c r="J130" s="2">
        <f>J9/'Output-Calculation-sheet'!J8*'Output-Calculation-sheet'!J107</f>
        <v>6072254632.0346184</v>
      </c>
      <c r="K130" s="2">
        <f>K9/'Output-Calculation-sheet'!K8*'Output-Calculation-sheet'!K107</f>
        <v>6014041572.5634279</v>
      </c>
      <c r="L130" s="2">
        <f>L9/'Output-Calculation-sheet'!L8*'Output-Calculation-sheet'!L107</f>
        <v>4824542975.5682077</v>
      </c>
      <c r="M130" s="2">
        <f>M9/'Output-Calculation-sheet'!M8*'Output-Calculation-sheet'!M107</f>
        <v>4608271847.6852045</v>
      </c>
      <c r="N130" s="2">
        <f>N9/'Output-Calculation-sheet'!N8*'Output-Calculation-sheet'!N107</f>
        <v>4523003466.1591835</v>
      </c>
      <c r="O130" s="2">
        <f>O9/'Output-Calculation-sheet'!O8*'Output-Calculation-sheet'!O107</f>
        <v>4159820769.3035388</v>
      </c>
      <c r="P130" s="2">
        <f>P9/'Output-Calculation-sheet'!P8*'Output-Calculation-sheet'!P107</f>
        <v>4117497612.0774794</v>
      </c>
      <c r="Q130" s="2">
        <f>Q9/'Output-Calculation-sheet'!Q8*'Output-Calculation-sheet'!Q107</f>
        <v>4050953494.9647379</v>
      </c>
      <c r="R130" s="2">
        <f>R9/'Output-Calculation-sheet'!R8*'Output-Calculation-sheet'!R107</f>
        <v>3897203104.5098238</v>
      </c>
      <c r="S130" s="2">
        <f>S9/'Output-Calculation-sheet'!S8*'Output-Calculation-sheet'!S107</f>
        <v>2590280488.050415</v>
      </c>
      <c r="T130" s="2">
        <f>T9/'Output-Calculation-sheet'!T8*'Output-Calculation-sheet'!T107</f>
        <v>1432578444.7756186</v>
      </c>
      <c r="U130" s="2">
        <f>U9/'Output-Calculation-sheet'!U8*'Output-Calculation-sheet'!U107</f>
        <v>1247726467.6867163</v>
      </c>
      <c r="V130" s="2">
        <f>V9/'Output-Calculation-sheet'!V8*'Output-Calculation-sheet'!V107</f>
        <v>960774334.38582313</v>
      </c>
      <c r="W130" s="2">
        <f>W9/'Output-Calculation-sheet'!W8*'Output-Calculation-sheet'!W107</f>
        <v>831817862.97285283</v>
      </c>
      <c r="X130" s="2">
        <f>X9/'Output-Calculation-sheet'!X8*'Output-Calculation-sheet'!X107</f>
        <v>499090619.85624647</v>
      </c>
      <c r="Y130" s="2">
        <f>Y9/'Output-Calculation-sheet'!Y8*'Output-Calculation-sheet'!Y107</f>
        <v>485360731.78740698</v>
      </c>
      <c r="AA130" s="2">
        <f t="shared" si="11"/>
        <v>180886.69630731616</v>
      </c>
    </row>
    <row r="131" spans="1:27" x14ac:dyDescent="0.25">
      <c r="A131" s="2">
        <v>2033</v>
      </c>
      <c r="B131" s="2">
        <f>B10/'Output-Calculation-sheet'!B9*'Output-Calculation-sheet'!B108</f>
        <v>30035768411.90461</v>
      </c>
      <c r="C131" s="2">
        <f>C10/'Output-Calculation-sheet'!C9*'Output-Calculation-sheet'!C108</f>
        <v>17576761453.050407</v>
      </c>
      <c r="D131" s="2">
        <f>D10/'Output-Calculation-sheet'!D9*'Output-Calculation-sheet'!D108</f>
        <v>12615368608.076107</v>
      </c>
      <c r="E131" s="2">
        <f>E10/'Output-Calculation-sheet'!E9*'Output-Calculation-sheet'!E108</f>
        <v>10009010911.257498</v>
      </c>
      <c r="F131" s="2">
        <f>F10/'Output-Calculation-sheet'!F9*'Output-Calculation-sheet'!F108</f>
        <v>6443159493.4559908</v>
      </c>
      <c r="G131" s="2">
        <f>G10/'Output-Calculation-sheet'!G9*'Output-Calculation-sheet'!G108</f>
        <v>4527140687.8416882</v>
      </c>
      <c r="H131" s="2">
        <f>H10/'Output-Calculation-sheet'!H9*'Output-Calculation-sheet'!H108</f>
        <v>4416051958.6210775</v>
      </c>
      <c r="I131" s="2">
        <f>I10/'Output-Calculation-sheet'!I9*'Output-Calculation-sheet'!I108</f>
        <v>4124583121.3605886</v>
      </c>
      <c r="J131" s="2">
        <f>J10/'Output-Calculation-sheet'!J9*'Output-Calculation-sheet'!J108</f>
        <v>4014583577.8905244</v>
      </c>
      <c r="K131" s="2">
        <f>K10/'Output-Calculation-sheet'!K9*'Output-Calculation-sheet'!K108</f>
        <v>3976095813.5726624</v>
      </c>
      <c r="L131" s="2">
        <f>L10/'Output-Calculation-sheet'!L9*'Output-Calculation-sheet'!L108</f>
        <v>3189677005.2106285</v>
      </c>
      <c r="M131" s="2">
        <f>M10/'Output-Calculation-sheet'!M9*'Output-Calculation-sheet'!M108</f>
        <v>3046690890.505703</v>
      </c>
      <c r="N131" s="2">
        <f>N10/'Output-Calculation-sheet'!N9*'Output-Calculation-sheet'!N108</f>
        <v>2990317730.5282092</v>
      </c>
      <c r="O131" s="2">
        <f>O10/'Output-Calculation-sheet'!O9*'Output-Calculation-sheet'!O108</f>
        <v>3879017446.5040836</v>
      </c>
      <c r="P131" s="2">
        <f>P10/'Output-Calculation-sheet'!P9*'Output-Calculation-sheet'!P108</f>
        <v>2722224880.6236629</v>
      </c>
      <c r="Q131" s="2">
        <f>Q10/'Output-Calculation-sheet'!Q9*'Output-Calculation-sheet'!Q108</f>
        <v>2678228781.4218397</v>
      </c>
      <c r="R131" s="2">
        <f>R10/'Output-Calculation-sheet'!R9*'Output-Calculation-sheet'!R108</f>
        <v>2576578283.4641309</v>
      </c>
      <c r="S131" s="2">
        <f>S10/'Output-Calculation-sheet'!S9*'Output-Calculation-sheet'!S108</f>
        <v>1712526583.5791256</v>
      </c>
      <c r="T131" s="2">
        <f>T10/'Output-Calculation-sheet'!T9*'Output-Calculation-sheet'!T108</f>
        <v>947127834.29186416</v>
      </c>
      <c r="U131" s="2">
        <f>U10/'Output-Calculation-sheet'!U9*'Output-Calculation-sheet'!U108</f>
        <v>824916144.12607825</v>
      </c>
      <c r="V131" s="2">
        <f>V10/'Output-Calculation-sheet'!V9*'Output-Calculation-sheet'!V108</f>
        <v>635201929.12654543</v>
      </c>
      <c r="W131" s="2">
        <f>W10/'Output-Calculation-sheet'!W9*'Output-Calculation-sheet'!W108</f>
        <v>549944095.91562378</v>
      </c>
      <c r="X131" s="2">
        <f>X10/'Output-Calculation-sheet'!X9*'Output-Calculation-sheet'!X108</f>
        <v>329966393.09556258</v>
      </c>
      <c r="Y131" s="2">
        <f>Y10/'Output-Calculation-sheet'!Y9*'Output-Calculation-sheet'!Y108</f>
        <v>320889080.99653041</v>
      </c>
      <c r="AA131" s="2">
        <f t="shared" si="11"/>
        <v>124141.83111642077</v>
      </c>
    </row>
    <row r="132" spans="1:27" x14ac:dyDescent="0.25">
      <c r="A132" s="2">
        <v>2034</v>
      </c>
      <c r="B132" s="2">
        <f>B11/'Output-Calculation-sheet'!B10*'Output-Calculation-sheet'!B109</f>
        <v>13953171412.94853</v>
      </c>
      <c r="C132" s="2">
        <f>C11/'Output-Calculation-sheet'!C10*'Output-Calculation-sheet'!C109</f>
        <v>15758598538.399128</v>
      </c>
      <c r="D132" s="2">
        <f>D11/'Output-Calculation-sheet'!D10*'Output-Calculation-sheet'!D109</f>
        <v>5860492668.4932203</v>
      </c>
      <c r="E132" s="2">
        <f>E11/'Output-Calculation-sheet'!E10*'Output-Calculation-sheet'!E109</f>
        <v>4649705864.9473886</v>
      </c>
      <c r="F132" s="2">
        <f>F11/'Output-Calculation-sheet'!F10*'Output-Calculation-sheet'!F109</f>
        <v>2993182518.3463449</v>
      </c>
      <c r="G132" s="2">
        <f>G11/'Output-Calculation-sheet'!G10*'Output-Calculation-sheet'!G109</f>
        <v>2103092511.7392399</v>
      </c>
      <c r="H132" s="2">
        <f>H11/'Output-Calculation-sheet'!H10*'Output-Calculation-sheet'!H109</f>
        <v>2051485693.6381421</v>
      </c>
      <c r="I132" s="2">
        <f>I11/'Output-Calculation-sheet'!I10*'Output-Calculation-sheet'!I109</f>
        <v>1916082676.1150753</v>
      </c>
      <c r="J132" s="2">
        <f>J11/'Output-Calculation-sheet'!J10*'Output-Calculation-sheet'!J109</f>
        <v>1864982468.7603393</v>
      </c>
      <c r="K132" s="2">
        <f>K11/'Output-Calculation-sheet'!K10*'Output-Calculation-sheet'!K109</f>
        <v>1847103484.6484427</v>
      </c>
      <c r="L132" s="2">
        <f>L11/'Output-Calculation-sheet'!L10*'Output-Calculation-sheet'!L109</f>
        <v>1481770546.3131983</v>
      </c>
      <c r="M132" s="2">
        <f>M11/'Output-Calculation-sheet'!M10*'Output-Calculation-sheet'!M109</f>
        <v>1415346294.2410114</v>
      </c>
      <c r="N132" s="2">
        <f>N11/'Output-Calculation-sheet'!N10*'Output-Calculation-sheet'!N109</f>
        <v>1389158461.6505275</v>
      </c>
      <c r="O132" s="2">
        <f>O11/'Output-Calculation-sheet'!O10*'Output-Calculation-sheet'!O109</f>
        <v>3448794178.0792861</v>
      </c>
      <c r="P132" s="2">
        <f>P11/'Output-Calculation-sheet'!P10*'Output-Calculation-sheet'!P109</f>
        <v>1264614568.1429992</v>
      </c>
      <c r="Q132" s="2">
        <f>Q11/'Output-Calculation-sheet'!Q10*'Output-Calculation-sheet'!Q109</f>
        <v>1244176302.2106404</v>
      </c>
      <c r="R132" s="2">
        <f>R11/'Output-Calculation-sheet'!R10*'Output-Calculation-sheet'!R109</f>
        <v>1196954737.5794992</v>
      </c>
      <c r="S132" s="2">
        <f>S11/'Output-Calculation-sheet'!S10*'Output-Calculation-sheet'!S109</f>
        <v>795557496.61029398</v>
      </c>
      <c r="T132" s="2">
        <f>T11/'Output-Calculation-sheet'!T10*'Output-Calculation-sheet'!T109</f>
        <v>439990251.84372181</v>
      </c>
      <c r="U132" s="2">
        <f>U11/'Output-Calculation-sheet'!U10*'Output-Calculation-sheet'!U109</f>
        <v>383216490.61245662</v>
      </c>
      <c r="V132" s="2">
        <f>V11/'Output-Calculation-sheet'!V10*'Output-Calculation-sheet'!V109</f>
        <v>295084362.08529174</v>
      </c>
      <c r="W132" s="2">
        <f>W11/'Output-Calculation-sheet'!W10*'Output-Calculation-sheet'!W109</f>
        <v>255477660.39265552</v>
      </c>
      <c r="X132" s="2">
        <f>X11/'Output-Calculation-sheet'!X10*'Output-Calculation-sheet'!X109</f>
        <v>173081667.09577319</v>
      </c>
      <c r="Y132" s="2">
        <f>Y11/'Output-Calculation-sheet'!Y10*'Output-Calculation-sheet'!Y109</f>
        <v>149069705.23131511</v>
      </c>
      <c r="AA132" s="2">
        <f t="shared" si="11"/>
        <v>66930.190560124509</v>
      </c>
    </row>
    <row r="133" spans="1:27" x14ac:dyDescent="0.25">
      <c r="A133" s="2">
        <v>2035</v>
      </c>
      <c r="B133" s="2">
        <f>B12/'Output-Calculation-sheet'!B11*'Output-Calculation-sheet'!B110</f>
        <v>8229598248.4649038</v>
      </c>
      <c r="C133" s="2">
        <f>C12/'Output-Calculation-sheet'!C11*'Output-Calculation-sheet'!C110</f>
        <v>13220205302.978779</v>
      </c>
      <c r="D133" s="2">
        <f>D12/'Output-Calculation-sheet'!D11*'Output-Calculation-sheet'!D110</f>
        <v>3592142266.1171279</v>
      </c>
      <c r="E133" s="2">
        <f>E12/'Output-Calculation-sheet'!E11*'Output-Calculation-sheet'!E110</f>
        <v>1721012884.2062631</v>
      </c>
      <c r="F133" s="2">
        <f>F12/'Output-Calculation-sheet'!F11*'Output-Calculation-sheet'!F110</f>
        <v>1313243949.3177028</v>
      </c>
      <c r="G133" s="2">
        <f>G12/'Output-Calculation-sheet'!G11*'Output-Calculation-sheet'!G110</f>
        <v>1226006683.3819671</v>
      </c>
      <c r="H133" s="2">
        <f>H12/'Output-Calculation-sheet'!H11*'Output-Calculation-sheet'!H110</f>
        <v>1703302235.2092094</v>
      </c>
      <c r="I133" s="2">
        <f>I12/'Output-Calculation-sheet'!I11*'Output-Calculation-sheet'!I110</f>
        <v>1013216293.229153</v>
      </c>
      <c r="J133" s="2">
        <f>J12/'Output-Calculation-sheet'!J11*'Output-Calculation-sheet'!J110</f>
        <v>986752730.94629037</v>
      </c>
      <c r="K133" s="2">
        <f>K12/'Output-Calculation-sheet'!K11*'Output-Calculation-sheet'!K110</f>
        <v>853756018.44153118</v>
      </c>
      <c r="L133" s="2">
        <f>L12/'Output-Calculation-sheet'!L11*'Output-Calculation-sheet'!L110</f>
        <v>446235608.26518184</v>
      </c>
      <c r="M133" s="2">
        <f>M12/'Output-Calculation-sheet'!M11*'Output-Calculation-sheet'!M110</f>
        <v>905438544.57118332</v>
      </c>
      <c r="N133" s="2">
        <f>N12/'Output-Calculation-sheet'!N11*'Output-Calculation-sheet'!N110</f>
        <v>815905734.69559681</v>
      </c>
      <c r="O133" s="2">
        <f>O12/'Output-Calculation-sheet'!O11*'Output-Calculation-sheet'!O110</f>
        <v>2903527172.2476168</v>
      </c>
      <c r="P133" s="2">
        <f>P12/'Output-Calculation-sheet'!P11*'Output-Calculation-sheet'!P110</f>
        <v>601254894.80806184</v>
      </c>
      <c r="Q133" s="2">
        <f>Q12/'Output-Calculation-sheet'!Q11*'Output-Calculation-sheet'!Q110</f>
        <v>829754308.95419955</v>
      </c>
      <c r="R133" s="2">
        <f>R12/'Output-Calculation-sheet'!R11*'Output-Calculation-sheet'!R110</f>
        <v>507846014.55376327</v>
      </c>
      <c r="S133" s="2">
        <f>S12/'Output-Calculation-sheet'!S11*'Output-Calculation-sheet'!S110</f>
        <v>498125569.24415338</v>
      </c>
      <c r="T133" s="2">
        <f>T12/'Output-Calculation-sheet'!T11*'Output-Calculation-sheet'!T110</f>
        <v>131487704.44302718</v>
      </c>
      <c r="U133" s="2">
        <f>U12/'Output-Calculation-sheet'!U11*'Output-Calculation-sheet'!U110</f>
        <v>259043850.20147204</v>
      </c>
      <c r="V133" s="2">
        <f>V12/'Output-Calculation-sheet'!V11*'Output-Calculation-sheet'!V110</f>
        <v>56647869.983788826</v>
      </c>
      <c r="W133" s="2">
        <f>W12/'Output-Calculation-sheet'!W11*'Output-Calculation-sheet'!W110</f>
        <v>70254375.383558556</v>
      </c>
      <c r="X133" s="2">
        <f>X12/'Output-Calculation-sheet'!X11*'Output-Calculation-sheet'!X110</f>
        <v>142567235.57767656</v>
      </c>
      <c r="Y133" s="2">
        <f>Y12/'Output-Calculation-sheet'!Y11*'Output-Calculation-sheet'!Y110</f>
        <v>61578756.802020609</v>
      </c>
      <c r="AA133" s="2">
        <f t="shared" si="11"/>
        <v>42088.904252024222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12126.010367588817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2346.6025565676314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21.827241069630539</v>
      </c>
    </row>
    <row r="19" spans="1:27" x14ac:dyDescent="0.25">
      <c r="A19" s="2">
        <v>2031</v>
      </c>
      <c r="B19" s="2">
        <f>B8/'Output-Calculation-sheet'!B7*'Output-Calculation-sheet'!B25</f>
        <v>1268.3828005854234</v>
      </c>
      <c r="C19" s="2">
        <f>C8/'Output-Calculation-sheet'!C7*'Output-Calculation-sheet'!C25</f>
        <v>19118.635358709667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5703.7057535085187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3954.196239584548</v>
      </c>
      <c r="N19" s="2">
        <f>N8/'Output-Calculation-sheet'!N7*'Output-Calculation-sheet'!N25</f>
        <v>1353.7712489439289</v>
      </c>
      <c r="O19" s="2">
        <f>O8/'Output-Calculation-sheet'!O7*'Output-Calculation-sheet'!O25</f>
        <v>3697.9308724788175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483.04695249463953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441.80248469180748</v>
      </c>
      <c r="Y19" s="2">
        <f>Y8/'Output-Calculation-sheet'!Y7*'Output-Calculation-sheet'!Y25</f>
        <v>0</v>
      </c>
      <c r="AA19" s="2">
        <f t="shared" si="0"/>
        <v>36.021471710997346</v>
      </c>
    </row>
    <row r="20" spans="1:27" x14ac:dyDescent="0.25">
      <c r="A20" s="2">
        <v>2032</v>
      </c>
      <c r="B20" s="2">
        <f>B9/'Output-Calculation-sheet'!B8*'Output-Calculation-sheet'!B26</f>
        <v>7137.9463409638593</v>
      </c>
      <c r="C20" s="2">
        <f>C9/'Output-Calculation-sheet'!C8*'Output-Calculation-sheet'!C26</f>
        <v>26140.171754714138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7756.2629037597808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5396.4859767265489</v>
      </c>
      <c r="N20" s="2">
        <f>N9/'Output-Calculation-sheet'!N8*'Output-Calculation-sheet'!N26</f>
        <v>2435.1391925862854</v>
      </c>
      <c r="O20" s="2">
        <f>O9/'Output-Calculation-sheet'!O8*'Output-Calculation-sheet'!O26</f>
        <v>5093.2985482511476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884.99569520067917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603.75201624394163</v>
      </c>
      <c r="Y20" s="2">
        <f>Y9/'Output-Calculation-sheet'!Y8*'Output-Calculation-sheet'!Y26</f>
        <v>0</v>
      </c>
      <c r="AA20" s="2">
        <f t="shared" si="0"/>
        <v>55.448052428446381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31014.899129258753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9543.4773662030821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6628.7135396148406</v>
      </c>
      <c r="N21" s="2">
        <f>N10/'Output-Calculation-sheet'!N9*'Output-Calculation-sheet'!N27</f>
        <v>3625.7059178455424</v>
      </c>
      <c r="O21" s="2">
        <f>O10/'Output-Calculation-sheet'!O9*'Output-Calculation-sheet'!O27</f>
        <v>5471.1186792933531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1578.3913632990379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779.49768130401162</v>
      </c>
      <c r="Y21" s="2">
        <f>Y10/'Output-Calculation-sheet'!Y9*'Output-Calculation-sheet'!Y27</f>
        <v>0</v>
      </c>
      <c r="AA21" s="2">
        <f t="shared" si="0"/>
        <v>75.396574941710071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31048.925172139017</v>
      </c>
      <c r="D22" s="2">
        <f>D11/'Output-Calculation-sheet'!D10*'Output-Calculation-sheet'!D28</f>
        <v>0</v>
      </c>
      <c r="E22" s="2">
        <f>E11/'Output-Calculation-sheet'!E10*'Output-Calculation-sheet'!E28</f>
        <v>1530.0254466879053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12230.989127146029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927.49996376282036</v>
      </c>
      <c r="M22" s="2">
        <f>M11/'Output-Calculation-sheet'!M10*'Output-Calculation-sheet'!M28</f>
        <v>8428.3679602377251</v>
      </c>
      <c r="N22" s="2">
        <f>N11/'Output-Calculation-sheet'!N10*'Output-Calculation-sheet'!N28</f>
        <v>4850.5727098534435</v>
      </c>
      <c r="O22" s="2">
        <f>O11/'Output-Calculation-sheet'!O10*'Output-Calculation-sheet'!O28</f>
        <v>5556.5633755305307</v>
      </c>
      <c r="P22" s="2">
        <f>P11/'Output-Calculation-sheet'!P10*'Output-Calculation-sheet'!P28</f>
        <v>0</v>
      </c>
      <c r="Q22" s="2">
        <f>Q11/'Output-Calculation-sheet'!Q10*'Output-Calculation-sheet'!Q28</f>
        <v>1819.1567180568295</v>
      </c>
      <c r="R22" s="2">
        <f>R11/'Output-Calculation-sheet'!R10*'Output-Calculation-sheet'!R28</f>
        <v>0</v>
      </c>
      <c r="S22" s="2">
        <f>S11/'Output-Calculation-sheet'!S10*'Output-Calculation-sheet'!S28</f>
        <v>2459.9295397796491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851.03391019407979</v>
      </c>
      <c r="Y22" s="2">
        <f>Y11/'Output-Calculation-sheet'!Y10*'Output-Calculation-sheet'!Y28</f>
        <v>84.656979290390268</v>
      </c>
      <c r="AA22" s="2">
        <f t="shared" si="0"/>
        <v>100.23791402763366</v>
      </c>
    </row>
    <row r="23" spans="1:27" x14ac:dyDescent="0.25">
      <c r="A23" s="2">
        <v>2035</v>
      </c>
      <c r="B23" s="2">
        <f>B12/'Output-Calculation-sheet'!B11*'Output-Calculation-sheet'!B29</f>
        <v>34912.910052388201</v>
      </c>
      <c r="C23" s="2">
        <f>C12/'Output-Calculation-sheet'!C11*'Output-Calculation-sheet'!C29</f>
        <v>29859.03681603642</v>
      </c>
      <c r="D23" s="2">
        <f>D12/'Output-Calculation-sheet'!D11*'Output-Calculation-sheet'!D29</f>
        <v>0</v>
      </c>
      <c r="E23" s="2">
        <f>E12/'Output-Calculation-sheet'!E11*'Output-Calculation-sheet'!E29</f>
        <v>6666.4982901188951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11584.891761981215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1949.7765335071113</v>
      </c>
      <c r="M23" s="2">
        <f>M12/'Output-Calculation-sheet'!M11*'Output-Calculation-sheet'!M29</f>
        <v>8765.32401668698</v>
      </c>
      <c r="N23" s="2">
        <f>N12/'Output-Calculation-sheet'!N11*'Output-Calculation-sheet'!N29</f>
        <v>5123.2738589155679</v>
      </c>
      <c r="O23" s="2">
        <f>O12/'Output-Calculation-sheet'!O11*'Output-Calculation-sheet'!O29</f>
        <v>5341.0258245264367</v>
      </c>
      <c r="P23" s="2">
        <f>P12/'Output-Calculation-sheet'!P11*'Output-Calculation-sheet'!P29</f>
        <v>703.77634531579997</v>
      </c>
      <c r="Q23" s="2">
        <f>Q12/'Output-Calculation-sheet'!Q11*'Output-Calculation-sheet'!Q29</f>
        <v>2242.1209247222446</v>
      </c>
      <c r="R23" s="2">
        <f>R12/'Output-Calculation-sheet'!R11*'Output-Calculation-sheet'!R29</f>
        <v>0</v>
      </c>
      <c r="S23" s="2">
        <f>S12/'Output-Calculation-sheet'!S11*'Output-Calculation-sheet'!S29</f>
        <v>2661.834792755034</v>
      </c>
      <c r="T23" s="2">
        <f>T12/'Output-Calculation-sheet'!T11*'Output-Calculation-sheet'!T29</f>
        <v>0</v>
      </c>
      <c r="U23" s="2">
        <f>U12/'Output-Calculation-sheet'!U11*'Output-Calculation-sheet'!U29</f>
        <v>154.47196395494228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830.22708242932504</v>
      </c>
      <c r="Y23" s="2">
        <f>Y12/'Output-Calculation-sheet'!Y11*'Output-Calculation-sheet'!Y29</f>
        <v>266.06246281936302</v>
      </c>
      <c r="AA23" s="2">
        <f t="shared" si="0"/>
        <v>111.06123072615753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22107.500184672572</v>
      </c>
      <c r="C30" s="2">
        <f>C8/'Output-Calculation-sheet'!C7*'Output-Calculation-sheet'!C16</f>
        <v>0</v>
      </c>
      <c r="D30" s="2">
        <f>D8/'Output-Calculation-sheet'!D7*'Output-Calculation-sheet'!D16</f>
        <v>3722.6107775721471</v>
      </c>
      <c r="E30" s="2">
        <f>E8/'Output-Calculation-sheet'!E7*'Output-Calculation-sheet'!E16</f>
        <v>4005.3188771325836</v>
      </c>
      <c r="F30" s="2">
        <f>F8/'Output-Calculation-sheet'!F7*'Output-Calculation-sheet'!F16</f>
        <v>2020.7046869053145</v>
      </c>
      <c r="G30" s="2">
        <f>G8/'Output-Calculation-sheet'!G7*'Output-Calculation-sheet'!G16</f>
        <v>1323.3215675629369</v>
      </c>
      <c r="H30" s="2">
        <f>H8/'Output-Calculation-sheet'!H7*'Output-Calculation-sheet'!H16</f>
        <v>0</v>
      </c>
      <c r="I30" s="2">
        <f>I8/'Output-Calculation-sheet'!I7*'Output-Calculation-sheet'!I16</f>
        <v>1290.0403857038434</v>
      </c>
      <c r="J30" s="2">
        <f>J8/'Output-Calculation-sheet'!J7*'Output-Calculation-sheet'!J16</f>
        <v>1148.3839971566651</v>
      </c>
      <c r="K30" s="2">
        <f>K8/'Output-Calculation-sheet'!K7*'Output-Calculation-sheet'!K16</f>
        <v>1533.3121381012493</v>
      </c>
      <c r="L30" s="2">
        <f>L8/'Output-Calculation-sheet'!L7*'Output-Calculation-sheet'!L16</f>
        <v>1295.150256917992</v>
      </c>
      <c r="M30" s="2">
        <f>M8/'Output-Calculation-sheet'!M7*'Output-Calculation-sheet'!M16</f>
        <v>0</v>
      </c>
      <c r="N30" s="2">
        <f>N8/'Output-Calculation-sheet'!N7*'Output-Calculation-sheet'!N16</f>
        <v>1839.6518251331611</v>
      </c>
      <c r="O30" s="2">
        <f>O8/'Output-Calculation-sheet'!O7*'Output-Calculation-sheet'!O16</f>
        <v>0</v>
      </c>
      <c r="P30" s="2">
        <f>P8/'Output-Calculation-sheet'!P7*'Output-Calculation-sheet'!P16</f>
        <v>1653.4186966327834</v>
      </c>
      <c r="Q30" s="2">
        <f>Q8/'Output-Calculation-sheet'!Q7*'Output-Calculation-sheet'!Q16</f>
        <v>1818.2145085103157</v>
      </c>
      <c r="R30" s="2">
        <f>R8/'Output-Calculation-sheet'!R7*'Output-Calculation-sheet'!R16</f>
        <v>1153.6650083084974</v>
      </c>
      <c r="S30" s="2">
        <f>S8/'Output-Calculation-sheet'!S7*'Output-Calculation-sheet'!S16</f>
        <v>1160.2487061447423</v>
      </c>
      <c r="T30" s="2">
        <f>T8/'Output-Calculation-sheet'!T7*'Output-Calculation-sheet'!T16</f>
        <v>346.31365243570099</v>
      </c>
      <c r="U30" s="2">
        <f>U8/'Output-Calculation-sheet'!U7*'Output-Calculation-sheet'!U16</f>
        <v>345.69462556369194</v>
      </c>
      <c r="V30" s="2">
        <f>V8/'Output-Calculation-sheet'!V7*'Output-Calculation-sheet'!V16</f>
        <v>269.04755594960898</v>
      </c>
      <c r="W30" s="2">
        <f>W8/'Output-Calculation-sheet'!W7*'Output-Calculation-sheet'!W16</f>
        <v>163.19090605301153</v>
      </c>
      <c r="X30" s="2">
        <f>X8/'Output-Calculation-sheet'!X7*'Output-Calculation-sheet'!X16</f>
        <v>0</v>
      </c>
      <c r="Y30" s="2">
        <f>Y8/'Output-Calculation-sheet'!Y7*'Output-Calculation-sheet'!Y16</f>
        <v>138.12254923270021</v>
      </c>
      <c r="AA30" s="2">
        <f t="shared" si="1"/>
        <v>47.333910905689507</v>
      </c>
    </row>
    <row r="31" spans="1:27" x14ac:dyDescent="0.25">
      <c r="A31" s="2">
        <v>2032</v>
      </c>
      <c r="B31" s="2">
        <f>B9/'Output-Calculation-sheet'!B8*'Output-Calculation-sheet'!B17</f>
        <v>30224.423095827049</v>
      </c>
      <c r="C31" s="2">
        <f>C9/'Output-Calculation-sheet'!C8*'Output-Calculation-sheet'!C17</f>
        <v>0</v>
      </c>
      <c r="D31" s="2">
        <f>D9/'Output-Calculation-sheet'!D8*'Output-Calculation-sheet'!D17</f>
        <v>5069.0325889500064</v>
      </c>
      <c r="E31" s="2">
        <f>E9/'Output-Calculation-sheet'!E8*'Output-Calculation-sheet'!E17</f>
        <v>5957.9552354462385</v>
      </c>
      <c r="F31" s="2">
        <f>F9/'Output-Calculation-sheet'!F8*'Output-Calculation-sheet'!F17</f>
        <v>2751.6353490581068</v>
      </c>
      <c r="G31" s="2">
        <f>G9/'Output-Calculation-sheet'!G8*'Output-Calculation-sheet'!G17</f>
        <v>1801.9776424313748</v>
      </c>
      <c r="H31" s="2">
        <f>H9/'Output-Calculation-sheet'!H8*'Output-Calculation-sheet'!H17</f>
        <v>0</v>
      </c>
      <c r="I31" s="2">
        <f>I9/'Output-Calculation-sheet'!I8*'Output-Calculation-sheet'!I17</f>
        <v>1756.6666170009478</v>
      </c>
      <c r="J31" s="2">
        <f>J9/'Output-Calculation-sheet'!J8*'Output-Calculation-sheet'!J17</f>
        <v>1563.7718862071531</v>
      </c>
      <c r="K31" s="2">
        <f>K9/'Output-Calculation-sheet'!K8*'Output-Calculation-sheet'!K17</f>
        <v>2226.3959619298307</v>
      </c>
      <c r="L31" s="2">
        <f>L9/'Output-Calculation-sheet'!L8*'Output-Calculation-sheet'!L17</f>
        <v>1898.7243650116966</v>
      </c>
      <c r="M31" s="2">
        <f>M9/'Output-Calculation-sheet'!M8*'Output-Calculation-sheet'!M17</f>
        <v>0</v>
      </c>
      <c r="N31" s="2">
        <f>N9/'Output-Calculation-sheet'!N8*'Output-Calculation-sheet'!N17</f>
        <v>2064.1075786181232</v>
      </c>
      <c r="O31" s="2">
        <f>O9/'Output-Calculation-sheet'!O8*'Output-Calculation-sheet'!O17</f>
        <v>0</v>
      </c>
      <c r="P31" s="2">
        <f>P9/'Output-Calculation-sheet'!P8*'Output-Calculation-sheet'!P17</f>
        <v>2561.8778774032821</v>
      </c>
      <c r="Q31" s="2">
        <f>Q9/'Output-Calculation-sheet'!Q8*'Output-Calculation-sheet'!Q17</f>
        <v>2731.1971948364135</v>
      </c>
      <c r="R31" s="2">
        <f>R9/'Output-Calculation-sheet'!R8*'Output-Calculation-sheet'!R17</f>
        <v>1786.8935469602488</v>
      </c>
      <c r="S31" s="2">
        <f>S9/'Output-Calculation-sheet'!S8*'Output-Calculation-sheet'!S17</f>
        <v>1537.5425987193787</v>
      </c>
      <c r="T31" s="2">
        <f>T9/'Output-Calculation-sheet'!T8*'Output-Calculation-sheet'!T17</f>
        <v>484.88661914243954</v>
      </c>
      <c r="U31" s="2">
        <f>U9/'Output-Calculation-sheet'!U8*'Output-Calculation-sheet'!U17</f>
        <v>557.28930800609146</v>
      </c>
      <c r="V31" s="2">
        <f>V9/'Output-Calculation-sheet'!V8*'Output-Calculation-sheet'!V17</f>
        <v>399.15988855158793</v>
      </c>
      <c r="W31" s="2">
        <f>W9/'Output-Calculation-sheet'!W8*'Output-Calculation-sheet'!W17</f>
        <v>222.22172784580181</v>
      </c>
      <c r="X31" s="2">
        <f>X9/'Output-Calculation-sheet'!X8*'Output-Calculation-sheet'!X17</f>
        <v>0</v>
      </c>
      <c r="Y31" s="2">
        <f>Y9/'Output-Calculation-sheet'!Y8*'Output-Calculation-sheet'!Y17</f>
        <v>214.71433400421861</v>
      </c>
      <c r="AA31" s="2">
        <f t="shared" si="1"/>
        <v>65.810473415950014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2040.0105755944039</v>
      </c>
      <c r="O32" s="2">
        <f>O10/'Output-Calculation-sheet'!O9*'Output-Calculation-sheet'!O18</f>
        <v>0</v>
      </c>
      <c r="P32" s="2">
        <f>P10/'Output-Calculation-sheet'!P9*'Output-Calculation-sheet'!P18</f>
        <v>3284.0048388766572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2361.5419017613171</v>
      </c>
      <c r="S32" s="2">
        <f>S10/'Output-Calculation-sheet'!S9*'Output-Calculation-sheet'!S18</f>
        <v>1543.4092727669165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762.35987039375186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80.437655704772013</v>
      </c>
    </row>
    <row r="33" spans="1:27" x14ac:dyDescent="0.25">
      <c r="A33" s="2">
        <v>2034</v>
      </c>
      <c r="B33" s="2">
        <f>B11/'Output-Calculation-sheet'!B10*'Output-Calculation-sheet'!B19</f>
        <v>30713.853010332328</v>
      </c>
      <c r="C33" s="2">
        <f>C11/'Output-Calculation-sheet'!C10*'Output-Calculation-sheet'!C19</f>
        <v>0</v>
      </c>
      <c r="D33" s="2">
        <f>D11/'Output-Calculation-sheet'!D10*'Output-Calculation-sheet'!D19</f>
        <v>9160.6955584416974</v>
      </c>
      <c r="E33" s="2">
        <f>E11/'Output-Calculation-sheet'!E10*'Output-Calculation-sheet'!E19</f>
        <v>11380.186645696147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3118.704940704919</v>
      </c>
      <c r="H33" s="2">
        <f>H11/'Output-Calculation-sheet'!H10*'Output-Calculation-sheet'!H19</f>
        <v>0</v>
      </c>
      <c r="I33" s="2">
        <f>I11/'Output-Calculation-sheet'!I10*'Output-Calculation-sheet'!I19</f>
        <v>3402.7466711808456</v>
      </c>
      <c r="J33" s="2">
        <f>J11/'Output-Calculation-sheet'!J10*'Output-Calculation-sheet'!J19</f>
        <v>2882.952830850877</v>
      </c>
      <c r="K33" s="2">
        <f>K11/'Output-Calculation-sheet'!K10*'Output-Calculation-sheet'!K19</f>
        <v>3992.0431493329775</v>
      </c>
      <c r="L33" s="2">
        <f>L11/'Output-Calculation-sheet'!L10*'Output-Calculation-sheet'!L19</f>
        <v>3249.4476217331585</v>
      </c>
      <c r="M33" s="2">
        <f>M11/'Output-Calculation-sheet'!M10*'Output-Calculation-sheet'!M19</f>
        <v>0</v>
      </c>
      <c r="N33" s="2">
        <f>N11/'Output-Calculation-sheet'!N10*'Output-Calculation-sheet'!N19</f>
        <v>1835.9744244737808</v>
      </c>
      <c r="O33" s="2">
        <f>O11/'Output-Calculation-sheet'!O10*'Output-Calculation-sheet'!O19</f>
        <v>0</v>
      </c>
      <c r="P33" s="2">
        <f>P11/'Output-Calculation-sheet'!P10*'Output-Calculation-sheet'!P19</f>
        <v>4039.79465849904</v>
      </c>
      <c r="Q33" s="2">
        <f>Q11/'Output-Calculation-sheet'!Q10*'Output-Calculation-sheet'!Q19</f>
        <v>3234.6158649854578</v>
      </c>
      <c r="R33" s="2">
        <f>R11/'Output-Calculation-sheet'!R10*'Output-Calculation-sheet'!R19</f>
        <v>2884.2244680967965</v>
      </c>
      <c r="S33" s="2">
        <f>S11/'Output-Calculation-sheet'!S10*'Output-Calculation-sheet'!S19</f>
        <v>1348.1074393325928</v>
      </c>
      <c r="T33" s="2">
        <f>T11/'Output-Calculation-sheet'!T10*'Output-Calculation-sheet'!T19</f>
        <v>846.35139667522299</v>
      </c>
      <c r="U33" s="2">
        <f>U11/'Output-Calculation-sheet'!U10*'Output-Calculation-sheet'!U19</f>
        <v>974.08418860232439</v>
      </c>
      <c r="V33" s="2">
        <f>V11/'Output-Calculation-sheet'!V10*'Output-Calculation-sheet'!V19</f>
        <v>664.59027220274777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130.69931199114018</v>
      </c>
      <c r="Y33" s="2">
        <f>Y11/'Output-Calculation-sheet'!Y10*'Output-Calculation-sheet'!Y19</f>
        <v>372.49070887771717</v>
      </c>
      <c r="AA33" s="2">
        <f t="shared" si="1"/>
        <v>89.85239309578057</v>
      </c>
    </row>
    <row r="34" spans="1:27" x14ac:dyDescent="0.25">
      <c r="A34" s="2">
        <v>2035</v>
      </c>
      <c r="B34" s="2">
        <f>B12/'Output-Calculation-sheet'!B11*'Output-Calculation-sheet'!B20</f>
        <v>27067.800811964404</v>
      </c>
      <c r="C34" s="2">
        <f>C12/'Output-Calculation-sheet'!C11*'Output-Calculation-sheet'!C20</f>
        <v>0</v>
      </c>
      <c r="D34" s="2">
        <f>D12/'Output-Calculation-sheet'!D11*'Output-Calculation-sheet'!D20</f>
        <v>9351.935234465318</v>
      </c>
      <c r="E34" s="2">
        <f>E12/'Output-Calculation-sheet'!E11*'Output-Calculation-sheet'!E20</f>
        <v>9084.5026765217353</v>
      </c>
      <c r="F34" s="2">
        <f>F12/'Output-Calculation-sheet'!F11*'Output-Calculation-sheet'!F20</f>
        <v>5951.0892416342758</v>
      </c>
      <c r="G34" s="2">
        <f>G12/'Output-Calculation-sheet'!G11*'Output-Calculation-sheet'!G20</f>
        <v>3157.681359286149</v>
      </c>
      <c r="H34" s="2">
        <f>H12/'Output-Calculation-sheet'!H11*'Output-Calculation-sheet'!H20</f>
        <v>0</v>
      </c>
      <c r="I34" s="2">
        <f>I12/'Output-Calculation-sheet'!I11*'Output-Calculation-sheet'!I20</f>
        <v>3632.6863167083616</v>
      </c>
      <c r="J34" s="2">
        <f>J12/'Output-Calculation-sheet'!J11*'Output-Calculation-sheet'!J20</f>
        <v>3082.4310533762609</v>
      </c>
      <c r="K34" s="2">
        <f>K12/'Output-Calculation-sheet'!K11*'Output-Calculation-sheet'!K20</f>
        <v>4341.7209136449237</v>
      </c>
      <c r="L34" s="2">
        <f>L12/'Output-Calculation-sheet'!L11*'Output-Calculation-sheet'!L20</f>
        <v>3168.9600803542098</v>
      </c>
      <c r="M34" s="2">
        <f>M12/'Output-Calculation-sheet'!M11*'Output-Calculation-sheet'!M20</f>
        <v>0</v>
      </c>
      <c r="N34" s="2">
        <f>N12/'Output-Calculation-sheet'!N11*'Output-Calculation-sheet'!N20</f>
        <v>1675.3502958582071</v>
      </c>
      <c r="O34" s="2">
        <f>O12/'Output-Calculation-sheet'!O11*'Output-Calculation-sheet'!O20</f>
        <v>0</v>
      </c>
      <c r="P34" s="2">
        <f>P12/'Output-Calculation-sheet'!P11*'Output-Calculation-sheet'!P20</f>
        <v>3781.329916892405</v>
      </c>
      <c r="Q34" s="2">
        <f>Q12/'Output-Calculation-sheet'!Q11*'Output-Calculation-sheet'!Q20</f>
        <v>2803.013077847575</v>
      </c>
      <c r="R34" s="2">
        <f>R12/'Output-Calculation-sheet'!R11*'Output-Calculation-sheet'!R20</f>
        <v>3182.6116035556911</v>
      </c>
      <c r="S34" s="2">
        <f>S12/'Output-Calculation-sheet'!S11*'Output-Calculation-sheet'!S20</f>
        <v>1164.8913346762836</v>
      </c>
      <c r="T34" s="2">
        <f>T12/'Output-Calculation-sheet'!T11*'Output-Calculation-sheet'!T20</f>
        <v>950.7422743994357</v>
      </c>
      <c r="U34" s="2">
        <f>U12/'Output-Calculation-sheet'!U11*'Output-Calculation-sheet'!U20</f>
        <v>870.09804112727227</v>
      </c>
      <c r="V34" s="2">
        <f>V12/'Output-Calculation-sheet'!V11*'Output-Calculation-sheet'!V20</f>
        <v>840.92085404318891</v>
      </c>
      <c r="W34" s="2">
        <f>W12/'Output-Calculation-sheet'!W11*'Output-Calculation-sheet'!W20</f>
        <v>510.56536456066965</v>
      </c>
      <c r="X34" s="2">
        <f>X12/'Output-Calculation-sheet'!X11*'Output-Calculation-sheet'!X20</f>
        <v>108.02640759173109</v>
      </c>
      <c r="Y34" s="2">
        <f>Y12/'Output-Calculation-sheet'!Y11*'Output-Calculation-sheet'!Y20</f>
        <v>277.13742347703896</v>
      </c>
      <c r="AA34" s="2">
        <f t="shared" si="1"/>
        <v>85.003494281985141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1.3409915311346294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0.26051857877258355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1.6015101099072129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1.3004403175892132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0.2526405689007265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1.5832991548230162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2.4128172537182899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0.46874548211710521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11.552669962582923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12297.274600714089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2545.9731825698291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18.537357160860772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36997.536135153394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8004.8356963487367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5508.1102771109781</v>
      </c>
      <c r="N52" s="2">
        <f>N8/'Output-Calculation-sheet'!N7*'Output-Calculation-sheet'!N43</f>
        <v>176.05166037926801</v>
      </c>
      <c r="O52" s="2">
        <f>O8/'Output-Calculation-sheet'!O7*'Output-Calculation-sheet'!O43</f>
        <v>7495.6670653344163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712.33109772174623</v>
      </c>
      <c r="Y52" s="2">
        <f>Y8/'Output-Calculation-sheet'!Y7*'Output-Calculation-sheet'!Y43</f>
        <v>0</v>
      </c>
      <c r="AA52" s="2">
        <f t="shared" si="3"/>
        <v>58.894531932048551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66443.815924397393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15561.656687174285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10634.767589721598</v>
      </c>
      <c r="N53" s="2">
        <f>N9/'Output-Calculation-sheet'!N8*'Output-Calculation-sheet'!N44</f>
        <v>3787.7492412592592</v>
      </c>
      <c r="O53" s="2">
        <f>O9/'Output-Calculation-sheet'!O8*'Output-Calculation-sheet'!O44</f>
        <v>13176.701665648792</v>
      </c>
      <c r="P53" s="2">
        <f>P9/'Output-Calculation-sheet'!P8*'Output-Calculation-sheet'!P44</f>
        <v>177.17457246666368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1181.82654949159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1329.8856193857209</v>
      </c>
      <c r="Y53" s="2">
        <f>Y9/'Output-Calculation-sheet'!Y8*'Output-Calculation-sheet'!Y44</f>
        <v>0</v>
      </c>
      <c r="AA53" s="2">
        <f t="shared" si="3"/>
        <v>112.2935778495453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76342.412605822319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14099.996763393337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1553.2540349278856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561.34900615363858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181.23260004826838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75060.502541552836</v>
      </c>
      <c r="D55" s="2">
        <f>D11/'Output-Calculation-sheet'!D10*'Output-Calculation-sheet'!D46</f>
        <v>8084.0068906881679</v>
      </c>
      <c r="E55" s="2">
        <f>E11/'Output-Calculation-sheet'!E10*'Output-Calculation-sheet'!E46</f>
        <v>9877.8674124822774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26933.543474513946</v>
      </c>
      <c r="I55" s="2">
        <f>I11/'Output-Calculation-sheet'!I10*'Output-Calculation-sheet'!I46</f>
        <v>1956.2198805259395</v>
      </c>
      <c r="J55" s="2">
        <f>J11/'Output-Calculation-sheet'!J10*'Output-Calculation-sheet'!J46</f>
        <v>1387.4777186317135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18460.424929035798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13784.424022478235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5534.6641542161342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6915.5356429021513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1593.2896602186211</v>
      </c>
      <c r="V55" s="2">
        <f>V11/'Output-Calculation-sheet'!V10*'Output-Calculation-sheet'!V46</f>
        <v>639.88064135613911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1905.8714852177134</v>
      </c>
      <c r="Y55" s="2">
        <f>Y11/'Output-Calculation-sheet'!Y10*'Output-Calculation-sheet'!Y46</f>
        <v>488.57782276671827</v>
      </c>
      <c r="AA55" s="2">
        <f t="shared" si="3"/>
        <v>293.64974739933257</v>
      </c>
    </row>
    <row r="56" spans="1:27" x14ac:dyDescent="0.25">
      <c r="A56" s="2">
        <v>2035</v>
      </c>
      <c r="B56" s="2">
        <f>B12/'Output-Calculation-sheet'!B11*'Output-Calculation-sheet'!B47</f>
        <v>104794.69498363457</v>
      </c>
      <c r="C56" s="2">
        <f>C12/'Output-Calculation-sheet'!C11*'Output-Calculation-sheet'!C47</f>
        <v>70691.312521220068</v>
      </c>
      <c r="D56" s="2">
        <f>D12/'Output-Calculation-sheet'!D11*'Output-Calculation-sheet'!D47</f>
        <v>15280.174048153556</v>
      </c>
      <c r="E56" s="2">
        <f>E12/'Output-Calculation-sheet'!E11*'Output-Calculation-sheet'!E47</f>
        <v>27639.870204444585</v>
      </c>
      <c r="F56" s="2">
        <f>F12/'Output-Calculation-sheet'!F11*'Output-Calculation-sheet'!F47</f>
        <v>3092.4972438575696</v>
      </c>
      <c r="G56" s="2">
        <f>G12/'Output-Calculation-sheet'!G11*'Output-Calculation-sheet'!G47</f>
        <v>7028.2042160446126</v>
      </c>
      <c r="H56" s="2">
        <f>H12/'Output-Calculation-sheet'!H11*'Output-Calculation-sheet'!H47</f>
        <v>25214.078458855191</v>
      </c>
      <c r="I56" s="2">
        <f>I12/'Output-Calculation-sheet'!I11*'Output-Calculation-sheet'!I47</f>
        <v>4536.925893444467</v>
      </c>
      <c r="J56" s="2">
        <f>J12/'Output-Calculation-sheet'!J11*'Output-Calculation-sheet'!J47</f>
        <v>4460.1333037442382</v>
      </c>
      <c r="K56" s="2">
        <f>K12/'Output-Calculation-sheet'!K11*'Output-Calculation-sheet'!K47</f>
        <v>6183.2631531108382</v>
      </c>
      <c r="L56" s="2">
        <f>L12/'Output-Calculation-sheet'!L11*'Output-Calculation-sheet'!L47</f>
        <v>5767.5905508296573</v>
      </c>
      <c r="M56" s="2">
        <f>M12/'Output-Calculation-sheet'!M11*'Output-Calculation-sheet'!M47</f>
        <v>17932.561569551533</v>
      </c>
      <c r="N56" s="2">
        <f>N12/'Output-Calculation-sheet'!N11*'Output-Calculation-sheet'!N47</f>
        <v>14870.950748955089</v>
      </c>
      <c r="O56" s="2">
        <f>O12/'Output-Calculation-sheet'!O11*'Output-Calculation-sheet'!O47</f>
        <v>12993.295820088179</v>
      </c>
      <c r="P56" s="2">
        <f>P12/'Output-Calculation-sheet'!P11*'Output-Calculation-sheet'!P47</f>
        <v>7286.270037394268</v>
      </c>
      <c r="Q56" s="2">
        <f>Q12/'Output-Calculation-sheet'!Q11*'Output-Calculation-sheet'!Q47</f>
        <v>6871.691324682276</v>
      </c>
      <c r="R56" s="2">
        <f>R12/'Output-Calculation-sheet'!R11*'Output-Calculation-sheet'!R47</f>
        <v>5589.4732336013531</v>
      </c>
      <c r="S56" s="2">
        <f>S12/'Output-Calculation-sheet'!S11*'Output-Calculation-sheet'!S47</f>
        <v>7438.4323083730596</v>
      </c>
      <c r="T56" s="2">
        <f>T12/'Output-Calculation-sheet'!T11*'Output-Calculation-sheet'!T47</f>
        <v>2004.1717963131493</v>
      </c>
      <c r="U56" s="2">
        <f>U12/'Output-Calculation-sheet'!U11*'Output-Calculation-sheet'!U47</f>
        <v>1903.0315310612057</v>
      </c>
      <c r="V56" s="2">
        <f>V12/'Output-Calculation-sheet'!V11*'Output-Calculation-sheet'!V47</f>
        <v>1168.2292454391279</v>
      </c>
      <c r="W56" s="2">
        <f>W12/'Output-Calculation-sheet'!W11*'Output-Calculation-sheet'!W47</f>
        <v>678.51130528202134</v>
      </c>
      <c r="X56" s="2">
        <f>X12/'Output-Calculation-sheet'!X11*'Output-Calculation-sheet'!X47</f>
        <v>1807.4074568614237</v>
      </c>
      <c r="Y56" s="2">
        <f>Y12/'Output-Calculation-sheet'!Y11*'Output-Calculation-sheet'!Y47</f>
        <v>1015.659558921212</v>
      </c>
      <c r="AA56" s="2">
        <f t="shared" si="3"/>
        <v>356.24843051386324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4.476039682380164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1.3405423526548819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0.93398080255154281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0.11738536637553271</v>
      </c>
      <c r="Y62" s="2">
        <f>Y7*'Output-Calculation-sheet'!Y51/10^9</f>
        <v>7.5069750087670473E-2</v>
      </c>
      <c r="AA62" s="2">
        <f t="shared" si="4"/>
        <v>32.625066851598994</v>
      </c>
    </row>
    <row r="63" spans="1:27" x14ac:dyDescent="0.25">
      <c r="A63" s="2">
        <v>2031</v>
      </c>
      <c r="B63" s="2">
        <f>B8*'Output-Calculation-sheet'!B52/10^9</f>
        <v>8.6098561073910034</v>
      </c>
      <c r="C63" s="2">
        <f>C8*'Output-Calculation-sheet'!C52/10^9</f>
        <v>5.4294682461768558</v>
      </c>
      <c r="D63" s="2">
        <f>D8*'Output-Calculation-sheet'!D52/10^9</f>
        <v>2.9524841859017692</v>
      </c>
      <c r="E63" s="2">
        <f>E8*'Output-Calculation-sheet'!E52/10^9</f>
        <v>2.935576004494366</v>
      </c>
      <c r="F63" s="2">
        <f>F8*'Output-Calculation-sheet'!F52/10^9</f>
        <v>1.2432171850668856</v>
      </c>
      <c r="G63" s="2">
        <f>G8*'Output-Calculation-sheet'!G52/10^9</f>
        <v>0.89381590775050335</v>
      </c>
      <c r="H63" s="2">
        <f>H8*'Output-Calculation-sheet'!H52/10^9</f>
        <v>1.5613175082006974</v>
      </c>
      <c r="I63" s="2">
        <f>I8*'Output-Calculation-sheet'!I52/10^9</f>
        <v>0.83145641813574178</v>
      </c>
      <c r="J63" s="2">
        <f>J8*'Output-Calculation-sheet'!J52/10^9</f>
        <v>1.1441415065468967</v>
      </c>
      <c r="K63" s="2">
        <f>K8*'Output-Calculation-sheet'!K52/10^9</f>
        <v>1.0052274732524238</v>
      </c>
      <c r="L63" s="2">
        <f>L8*'Output-Calculation-sheet'!L52/10^9</f>
        <v>1.3520774124472847</v>
      </c>
      <c r="M63" s="2">
        <f>M8*'Output-Calculation-sheet'!M52/10^9</f>
        <v>1.26726431601492</v>
      </c>
      <c r="N63" s="2">
        <f>N8*'Output-Calculation-sheet'!N52/10^9</f>
        <v>1.0576567621963442</v>
      </c>
      <c r="O63" s="2">
        <f>O8*'Output-Calculation-sheet'!O52/10^9</f>
        <v>1.1278397474765616</v>
      </c>
      <c r="P63" s="2">
        <f>P8*'Output-Calculation-sheet'!P52/10^9</f>
        <v>0.69458634421680199</v>
      </c>
      <c r="Q63" s="2">
        <f>Q8*'Output-Calculation-sheet'!Q52/10^9</f>
        <v>0.78606390891618705</v>
      </c>
      <c r="R63" s="2">
        <f>R8*'Output-Calculation-sheet'!R52/10^9</f>
        <v>0.70573014605038176</v>
      </c>
      <c r="S63" s="2">
        <f>S8*'Output-Calculation-sheet'!S52/10^9</f>
        <v>0.5229741567225259</v>
      </c>
      <c r="T63" s="2">
        <f>T8*'Output-Calculation-sheet'!T52/10^9</f>
        <v>0.26830961536092512</v>
      </c>
      <c r="U63" s="2">
        <f>U8*'Output-Calculation-sheet'!U52/10^9</f>
        <v>0.18427206050699965</v>
      </c>
      <c r="V63" s="2">
        <f>V8*'Output-Calculation-sheet'!V52/10^9</f>
        <v>0.3270396107988951</v>
      </c>
      <c r="W63" s="2">
        <f>W8*'Output-Calculation-sheet'!W52/10^9</f>
        <v>0.11837324587084121</v>
      </c>
      <c r="X63" s="2">
        <f>X8*'Output-Calculation-sheet'!X52/10^9</f>
        <v>0.13624487508772731</v>
      </c>
      <c r="Y63" s="2">
        <f>Y8*'Output-Calculation-sheet'!Y52/10^9</f>
        <v>7.7235175472288559E-2</v>
      </c>
      <c r="AA63" s="2">
        <f t="shared" si="4"/>
        <v>35.232227920055827</v>
      </c>
    </row>
    <row r="64" spans="1:27" x14ac:dyDescent="0.25">
      <c r="A64" s="2">
        <v>2032</v>
      </c>
      <c r="B64" s="2">
        <f>B9*'Output-Calculation-sheet'!B53/10^9</f>
        <v>8.9496451475808652</v>
      </c>
      <c r="C64" s="2">
        <f>C9*'Output-Calculation-sheet'!C53/10^9</f>
        <v>6.042215837845041</v>
      </c>
      <c r="D64" s="2">
        <f>D9*'Output-Calculation-sheet'!D53/10^9</f>
        <v>2.6485559676028565</v>
      </c>
      <c r="E64" s="2">
        <f>E9*'Output-Calculation-sheet'!E53/10^9</f>
        <v>2.7122504410231398</v>
      </c>
      <c r="F64" s="2">
        <f>F9*'Output-Calculation-sheet'!F53/10^9</f>
        <v>1.1440111892583524</v>
      </c>
      <c r="G64" s="2">
        <f>G9*'Output-Calculation-sheet'!G53/10^9</f>
        <v>0.81427130296812855</v>
      </c>
      <c r="H64" s="2">
        <f>H9*'Output-Calculation-sheet'!H53/10^9</f>
        <v>1.6731543510214606</v>
      </c>
      <c r="I64" s="2">
        <f>I9*'Output-Calculation-sheet'!I53/10^9</f>
        <v>0.76121071332313839</v>
      </c>
      <c r="J64" s="2">
        <f>J9*'Output-Calculation-sheet'!J53/10^9</f>
        <v>1.0076893020150326</v>
      </c>
      <c r="K64" s="2">
        <f>K9*'Output-Calculation-sheet'!K53/10^9</f>
        <v>0.93499617108995936</v>
      </c>
      <c r="L64" s="2">
        <f>L9*'Output-Calculation-sheet'!L53/10^9</f>
        <v>1.2028648288698629</v>
      </c>
      <c r="M64" s="2">
        <f>M9*'Output-Calculation-sheet'!M53/10^9</f>
        <v>1.3113295214390084</v>
      </c>
      <c r="N64" s="2">
        <f>N9*'Output-Calculation-sheet'!N53/10^9</f>
        <v>1.1038956856541833</v>
      </c>
      <c r="O64" s="2">
        <f>O9*'Output-Calculation-sheet'!O53/10^9</f>
        <v>1.2496836781465377</v>
      </c>
      <c r="P64" s="2">
        <f>P9*'Output-Calculation-sheet'!P53/10^9</f>
        <v>0.71285905699131125</v>
      </c>
      <c r="Q64" s="2">
        <f>Q9*'Output-Calculation-sheet'!Q53/10^9</f>
        <v>0.78782888730145306</v>
      </c>
      <c r="R64" s="2">
        <f>R9*'Output-Calculation-sheet'!R53/10^9</f>
        <v>0.67535448331585957</v>
      </c>
      <c r="S64" s="2">
        <f>S9*'Output-Calculation-sheet'!S53/10^9</f>
        <v>0.55799284739707555</v>
      </c>
      <c r="T64" s="2">
        <f>T9*'Output-Calculation-sheet'!T53/10^9</f>
        <v>0.24277235820374871</v>
      </c>
      <c r="U64" s="2">
        <f>U9*'Output-Calculation-sheet'!U53/10^9</f>
        <v>0.18272960458631871</v>
      </c>
      <c r="V64" s="2">
        <f>V9*'Output-Calculation-sheet'!V53/10^9</f>
        <v>0.28815447250225762</v>
      </c>
      <c r="W64" s="2">
        <f>W9*'Output-Calculation-sheet'!W53/10^9</f>
        <v>0.10707300821144708</v>
      </c>
      <c r="X64" s="2">
        <f>X9*'Output-Calculation-sheet'!X53/10^9</f>
        <v>0.14533722104659338</v>
      </c>
      <c r="Y64" s="2">
        <f>Y9*'Output-Calculation-sheet'!Y53/10^9</f>
        <v>7.5018831485636081E-2</v>
      </c>
      <c r="AA64" s="2">
        <f t="shared" si="4"/>
        <v>35.330894908879266</v>
      </c>
    </row>
    <row r="65" spans="1:27" x14ac:dyDescent="0.25">
      <c r="A65" s="2">
        <v>2033</v>
      </c>
      <c r="B65" s="2">
        <f>B10*'Output-Calculation-sheet'!B54/10^9</f>
        <v>9.0944260112836215</v>
      </c>
      <c r="C65" s="2">
        <f>C10*'Output-Calculation-sheet'!C54/10^9</f>
        <v>6.3627266538480205</v>
      </c>
      <c r="D65" s="2">
        <f>D10*'Output-Calculation-sheet'!D54/10^9</f>
        <v>2.1485558475949942</v>
      </c>
      <c r="E65" s="2">
        <f>E10*'Output-Calculation-sheet'!E54/10^9</f>
        <v>2.419249314553793</v>
      </c>
      <c r="F65" s="2">
        <f>F10*'Output-Calculation-sheet'!F54/10^9</f>
        <v>0.98217382105334039</v>
      </c>
      <c r="G65" s="2">
        <f>G10*'Output-Calculation-sheet'!G54/10^9</f>
        <v>0.6743511704005668</v>
      </c>
      <c r="H65" s="2">
        <f>H10*'Output-Calculation-sheet'!H54/10^9</f>
        <v>1.6665073023393708</v>
      </c>
      <c r="I65" s="2">
        <f>I10*'Output-Calculation-sheet'!I54/10^9</f>
        <v>0.65663387226860115</v>
      </c>
      <c r="J65" s="2">
        <f>J10*'Output-Calculation-sheet'!J54/10^9</f>
        <v>0.78482393137915962</v>
      </c>
      <c r="K65" s="2">
        <f>K10*'Output-Calculation-sheet'!K54/10^9</f>
        <v>0.83730317258572273</v>
      </c>
      <c r="L65" s="2">
        <f>L10*'Output-Calculation-sheet'!L54/10^9</f>
        <v>0.98903114203663745</v>
      </c>
      <c r="M65" s="2">
        <f>M10*'Output-Calculation-sheet'!M54/10^9</f>
        <v>1.2583340857665168</v>
      </c>
      <c r="N65" s="2">
        <f>N10*'Output-Calculation-sheet'!N54/10^9</f>
        <v>1.0865892310181975</v>
      </c>
      <c r="O65" s="2">
        <f>O10*'Output-Calculation-sheet'!O54/10^9</f>
        <v>1.3015346709842799</v>
      </c>
      <c r="P65" s="2">
        <f>P10*'Output-Calculation-sheet'!P54/10^9</f>
        <v>0.70848380189933646</v>
      </c>
      <c r="Q65" s="2">
        <f>Q10*'Output-Calculation-sheet'!Q54/10^9</f>
        <v>0.77307536135599897</v>
      </c>
      <c r="R65" s="2">
        <f>R10*'Output-Calculation-sheet'!R54/10^9</f>
        <v>0.62371775586130507</v>
      </c>
      <c r="S65" s="2">
        <f>S10*'Output-Calculation-sheet'!S54/10^9</f>
        <v>0.56655717553267448</v>
      </c>
      <c r="T65" s="2">
        <f>T10*'Output-Calculation-sheet'!T54/10^9</f>
        <v>0.20853593800336834</v>
      </c>
      <c r="U65" s="2">
        <f>U10*'Output-Calculation-sheet'!U54/10^9</f>
        <v>0.18006478909278578</v>
      </c>
      <c r="V65" s="2">
        <f>V10*'Output-Calculation-sheet'!V54/10^9</f>
        <v>0.23077649292204111</v>
      </c>
      <c r="W65" s="2">
        <f>W10*'Output-Calculation-sheet'!W54/10^9</f>
        <v>8.7865290747531827E-2</v>
      </c>
      <c r="X65" s="2">
        <f>X10*'Output-Calculation-sheet'!X54/10^9</f>
        <v>0.14472409504471306</v>
      </c>
      <c r="Y65" s="2">
        <f>Y10*'Output-Calculation-sheet'!Y54/10^9</f>
        <v>7.2317843944811375E-2</v>
      </c>
      <c r="AA65" s="2">
        <f t="shared" si="4"/>
        <v>33.858358771517381</v>
      </c>
    </row>
    <row r="66" spans="1:27" x14ac:dyDescent="0.25">
      <c r="A66" s="2">
        <v>2034</v>
      </c>
      <c r="B66" s="2">
        <f>B11*'Output-Calculation-sheet'!B55/10^9</f>
        <v>9.0470318455178305</v>
      </c>
      <c r="C66" s="2">
        <f>C11*'Output-Calculation-sheet'!C55/10^9</f>
        <v>6.4047637182202219</v>
      </c>
      <c r="D66" s="2">
        <f>D11*'Output-Calculation-sheet'!D55/10^9</f>
        <v>1.8924791917446411</v>
      </c>
      <c r="E66" s="2">
        <f>E11*'Output-Calculation-sheet'!E55/10^9</f>
        <v>2.2914861890350449</v>
      </c>
      <c r="F66" s="2">
        <f>F11*'Output-Calculation-sheet'!F55/10^9</f>
        <v>0.88065852670090494</v>
      </c>
      <c r="G66" s="2">
        <f>G11*'Output-Calculation-sheet'!G55/10^9</f>
        <v>0.62948248075717028</v>
      </c>
      <c r="H66" s="2">
        <f>H11*'Output-Calculation-sheet'!H55/10^9</f>
        <v>1.6165478326064664</v>
      </c>
      <c r="I66" s="2">
        <f>I11*'Output-Calculation-sheet'!I55/10^9</f>
        <v>0.61561476103486956</v>
      </c>
      <c r="J66" s="2">
        <f>J11*'Output-Calculation-sheet'!J55/10^9</f>
        <v>0.63299450488787767</v>
      </c>
      <c r="K66" s="2">
        <f>K11*'Output-Calculation-sheet'!K55/10^9</f>
        <v>0.75713967110096037</v>
      </c>
      <c r="L66" s="2">
        <f>L11*'Output-Calculation-sheet'!L55/10^9</f>
        <v>0.8018014236500276</v>
      </c>
      <c r="M66" s="2">
        <f>M11*'Output-Calculation-sheet'!M55/10^9</f>
        <v>1.1659000960136887</v>
      </c>
      <c r="N66" s="2">
        <f>N11*'Output-Calculation-sheet'!N55/10^9</f>
        <v>1.0186857707773633</v>
      </c>
      <c r="O66" s="2">
        <f>O11*'Output-Calculation-sheet'!O55/10^9</f>
        <v>1.285675770149316</v>
      </c>
      <c r="P66" s="2">
        <f>P11*'Output-Calculation-sheet'!P55/10^9</f>
        <v>0.70024563569288656</v>
      </c>
      <c r="Q66" s="2">
        <f>Q11*'Output-Calculation-sheet'!Q55/10^9</f>
        <v>0.7644487714960494</v>
      </c>
      <c r="R66" s="2">
        <f>R11*'Output-Calculation-sheet'!R55/10^9</f>
        <v>0.56715634775017509</v>
      </c>
      <c r="S66" s="2">
        <f>S11*'Output-Calculation-sheet'!S55/10^9</f>
        <v>0.55805884647296111</v>
      </c>
      <c r="T66" s="2">
        <f>T11*'Output-Calculation-sheet'!T55/10^9</f>
        <v>0.17777228427047378</v>
      </c>
      <c r="U66" s="2">
        <f>U11*'Output-Calculation-sheet'!U55/10^9</f>
        <v>0.18150634498740664</v>
      </c>
      <c r="V66" s="2">
        <f>V11*'Output-Calculation-sheet'!V55/10^9</f>
        <v>0.16864333825128019</v>
      </c>
      <c r="W66" s="2">
        <f>W11*'Output-Calculation-sheet'!W55/10^9</f>
        <v>7.6361615914979822E-2</v>
      </c>
      <c r="X66" s="2">
        <f>X11*'Output-Calculation-sheet'!X55/10^9</f>
        <v>0.14484804458347397</v>
      </c>
      <c r="Y66" s="2">
        <f>Y11*'Output-Calculation-sheet'!Y55/10^9</f>
        <v>7.4931983967321064E-2</v>
      </c>
      <c r="AA66" s="2">
        <f t="shared" si="4"/>
        <v>32.454234995583398</v>
      </c>
    </row>
    <row r="67" spans="1:27" x14ac:dyDescent="0.25">
      <c r="A67" s="2">
        <v>2035</v>
      </c>
      <c r="B67" s="2">
        <f>B12*'Output-Calculation-sheet'!B56/10^9</f>
        <v>9.1772557707400289</v>
      </c>
      <c r="C67" s="2">
        <f>C12*'Output-Calculation-sheet'!C56/10^9</f>
        <v>6.1590800845484139</v>
      </c>
      <c r="D67" s="2">
        <f>D12*'Output-Calculation-sheet'!D56/10^9</f>
        <v>2.0138974982884923</v>
      </c>
      <c r="E67" s="2">
        <f>E12*'Output-Calculation-sheet'!E56/10^9</f>
        <v>2.5631960030958201</v>
      </c>
      <c r="F67" s="2">
        <f>F12*'Output-Calculation-sheet'!F56/10^9</f>
        <v>0.99658124270752368</v>
      </c>
      <c r="G67" s="2">
        <f>G12*'Output-Calculation-sheet'!G56/10^9</f>
        <v>0.73263668208236543</v>
      </c>
      <c r="H67" s="2">
        <f>H12*'Output-Calculation-sheet'!H56/10^9</f>
        <v>1.6188662931751054</v>
      </c>
      <c r="I67" s="2">
        <f>I12*'Output-Calculation-sheet'!I56/10^9</f>
        <v>0.69119296115095219</v>
      </c>
      <c r="J67" s="2">
        <f>J12*'Output-Calculation-sheet'!J56/10^9</f>
        <v>0.64231264806962929</v>
      </c>
      <c r="K67" s="2">
        <f>K12*'Output-Calculation-sheet'!K56/10^9</f>
        <v>0.78877308042921834</v>
      </c>
      <c r="L67" s="2">
        <f>L12*'Output-Calculation-sheet'!L56/10^9</f>
        <v>0.75598381038666163</v>
      </c>
      <c r="M67" s="2">
        <f>M12*'Output-Calculation-sheet'!M56/10^9</f>
        <v>1.1637198877142629</v>
      </c>
      <c r="N67" s="2">
        <f>N12*'Output-Calculation-sheet'!N56/10^9</f>
        <v>0.99435853524744977</v>
      </c>
      <c r="O67" s="2">
        <f>O12*'Output-Calculation-sheet'!O56/10^9</f>
        <v>1.2132395235374043</v>
      </c>
      <c r="P67" s="2">
        <f>P12*'Output-Calculation-sheet'!P56/10^9</f>
        <v>0.76164260595178412</v>
      </c>
      <c r="Q67" s="2">
        <f>Q12*'Output-Calculation-sheet'!Q56/10^9</f>
        <v>0.76543371803330507</v>
      </c>
      <c r="R67" s="2">
        <f>R12*'Output-Calculation-sheet'!R56/10^9</f>
        <v>0.58152806427868942</v>
      </c>
      <c r="S67" s="2">
        <f>S12*'Output-Calculation-sheet'!S56/10^9</f>
        <v>0.55425140933917461</v>
      </c>
      <c r="T67" s="2">
        <f>T12*'Output-Calculation-sheet'!T56/10^9</f>
        <v>0.1783018071680238</v>
      </c>
      <c r="U67" s="2">
        <f>U12*'Output-Calculation-sheet'!U56/10^9</f>
        <v>0.19153550941544634</v>
      </c>
      <c r="V67" s="2">
        <f>V12*'Output-Calculation-sheet'!V56/10^9</f>
        <v>0.13696010063484818</v>
      </c>
      <c r="W67" s="2">
        <f>W12*'Output-Calculation-sheet'!W56/10^9</f>
        <v>9.0830422015541853E-2</v>
      </c>
      <c r="X67" s="2">
        <f>X12*'Output-Calculation-sheet'!X56/10^9</f>
        <v>0.14504033985553319</v>
      </c>
      <c r="Y67" s="2">
        <f>Y12*'Output-Calculation-sheet'!Y56/10^9</f>
        <v>8.595126426293706E-2</v>
      </c>
      <c r="AA67" s="2">
        <f t="shared" si="4"/>
        <v>33.002569262128617</v>
      </c>
    </row>
    <row r="68" spans="1:27" x14ac:dyDescent="0.25">
      <c r="B68" s="2">
        <f>SUM(B60:B67)</f>
        <v>64.722953322038251</v>
      </c>
      <c r="C68" s="2">
        <f t="shared" ref="C68:Y68" si="5">SUM(C60:C67)</f>
        <v>40.90262322685885</v>
      </c>
      <c r="D68" s="2">
        <f t="shared" si="5"/>
        <v>19.441242681823052</v>
      </c>
      <c r="E68" s="2">
        <f t="shared" si="5"/>
        <v>20.597378889689615</v>
      </c>
      <c r="F68" s="2">
        <f t="shared" si="5"/>
        <v>8.4278277448743939</v>
      </c>
      <c r="G68" s="2">
        <f t="shared" si="5"/>
        <v>6.0593964764408605</v>
      </c>
      <c r="H68" s="2">
        <f t="shared" si="5"/>
        <v>11.40799886259973</v>
      </c>
      <c r="I68" s="2">
        <f t="shared" si="5"/>
        <v>5.6968070061003484</v>
      </c>
      <c r="J68" s="2">
        <f t="shared" si="5"/>
        <v>7.2918543172139962</v>
      </c>
      <c r="K68" s="2">
        <f t="shared" si="5"/>
        <v>6.917175492867031</v>
      </c>
      <c r="L68" s="2">
        <f t="shared" si="5"/>
        <v>8.7546460102270824</v>
      </c>
      <c r="M68" s="2">
        <f t="shared" si="5"/>
        <v>8.9713323494706891</v>
      </c>
      <c r="N68" s="2">
        <f t="shared" si="5"/>
        <v>7.6951642163695633</v>
      </c>
      <c r="O68" s="2">
        <f t="shared" si="5"/>
        <v>8.3732097313897249</v>
      </c>
      <c r="P68" s="2">
        <f t="shared" si="5"/>
        <v>5.2250237117585909</v>
      </c>
      <c r="Q68" s="2">
        <f t="shared" si="5"/>
        <v>5.7571857598018337</v>
      </c>
      <c r="R68" s="2">
        <f t="shared" si="5"/>
        <v>4.9564531664511948</v>
      </c>
      <c r="S68" s="2">
        <f t="shared" si="5"/>
        <v>3.939220716866263</v>
      </c>
      <c r="T68" s="2">
        <f t="shared" si="5"/>
        <v>1.7814687738369868</v>
      </c>
      <c r="U68" s="2">
        <f t="shared" si="5"/>
        <v>1.3817469781074745</v>
      </c>
      <c r="V68" s="2">
        <f t="shared" si="5"/>
        <v>2.0445955615214464</v>
      </c>
      <c r="W68" s="2">
        <f t="shared" si="5"/>
        <v>0.78965254461748025</v>
      </c>
      <c r="X68" s="2">
        <f t="shared" si="5"/>
        <v>1.0018170041574319</v>
      </c>
      <c r="Y68" s="2">
        <f t="shared" si="5"/>
        <v>0.58037451881247792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2793.2765569315457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569.26914071912381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4.309946740898484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7136.8247204710897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1757.6471550336464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1154.6208238202514</v>
      </c>
      <c r="N74" s="2">
        <f>N8/'Output-Calculation-sheet'!N7*'Output-Calculation-sheet'!N61</f>
        <v>48.392200146751293</v>
      </c>
      <c r="O74" s="2">
        <f>O8/'Output-Calculation-sheet'!O7*'Output-Calculation-sheet'!O61</f>
        <v>1426.9285763498535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143.47822096594015</v>
      </c>
      <c r="Y74" s="2">
        <f>Y8/'Output-Calculation-sheet'!Y7*'Output-Calculation-sheet'!Y61</f>
        <v>0</v>
      </c>
      <c r="AA74" s="2">
        <f t="shared" si="6"/>
        <v>11.667891696787532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11934.6681563613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2961.4647978890398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2009.4588494129225</v>
      </c>
      <c r="N75" s="2">
        <f>N9/'Output-Calculation-sheet'!N8*'Output-Calculation-sheet'!N62</f>
        <v>776.72832542278479</v>
      </c>
      <c r="O75" s="2">
        <f>O9/'Output-Calculation-sheet'!O8*'Output-Calculation-sheet'!O62</f>
        <v>2359.0993956638308</v>
      </c>
      <c r="P75" s="2">
        <f>P9/'Output-Calculation-sheet'!P8*'Output-Calculation-sheet'!P62</f>
        <v>52.000737018965786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260.26294210257237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242.08467177353231</v>
      </c>
      <c r="Y75" s="2">
        <f>Y9/'Output-Calculation-sheet'!Y8*'Output-Calculation-sheet'!Y62</f>
        <v>0</v>
      </c>
      <c r="AA75" s="2">
        <f t="shared" si="6"/>
        <v>20.595767875644952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14124.522640437774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4156.5958159421598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2830.0457498958153</v>
      </c>
      <c r="N76" s="2">
        <f>N10/'Output-Calculation-sheet'!N9*'Output-Calculation-sheet'!N63</f>
        <v>1619.5387905305904</v>
      </c>
      <c r="O76" s="2">
        <f>O10/'Output-Calculation-sheet'!O9*'Output-Calculation-sheet'!O63</f>
        <v>2500.6127161062441</v>
      </c>
      <c r="P76" s="2">
        <f>P10/'Output-Calculation-sheet'!P9*'Output-Calculation-sheet'!P63</f>
        <v>561.75642324140972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422.61276221558438</v>
      </c>
      <c r="S76" s="2">
        <f>S10/'Output-Calculation-sheet'!S9*'Output-Calculation-sheet'!S63</f>
        <v>718.14357441503557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149.68165877499155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333.3031354662142</v>
      </c>
      <c r="Y76" s="2">
        <f>Y10/'Output-Calculation-sheet'!Y9*'Output-Calculation-sheet'!Y63</f>
        <v>6.3227211161056562</v>
      </c>
      <c r="AA76" s="2">
        <f t="shared" si="6"/>
        <v>34.186558822432438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13697.743197848908</v>
      </c>
      <c r="D77" s="2">
        <f>D11/'Output-Calculation-sheet'!D10*'Output-Calculation-sheet'!D64</f>
        <v>1870.5381444191082</v>
      </c>
      <c r="E77" s="2">
        <f>E11/'Output-Calculation-sheet'!E10*'Output-Calculation-sheet'!E64</f>
        <v>2273.6762779040509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971.50508061546941</v>
      </c>
      <c r="H77" s="2">
        <f>H11/'Output-Calculation-sheet'!H10*'Output-Calculation-sheet'!H64</f>
        <v>5162.4263713412247</v>
      </c>
      <c r="I77" s="2">
        <f>I11/'Output-Calculation-sheet'!I10*'Output-Calculation-sheet'!I64</f>
        <v>579.334517617757</v>
      </c>
      <c r="J77" s="2">
        <f>J11/'Output-Calculation-sheet'!J10*'Output-Calculation-sheet'!J64</f>
        <v>391.88178820423627</v>
      </c>
      <c r="K77" s="2">
        <f>K11/'Output-Calculation-sheet'!K10*'Output-Calculation-sheet'!K64</f>
        <v>881.34561024935363</v>
      </c>
      <c r="L77" s="2">
        <f>L11/'Output-Calculation-sheet'!L10*'Output-Calculation-sheet'!L64</f>
        <v>369.206188701499</v>
      </c>
      <c r="M77" s="2">
        <f>M11/'Output-Calculation-sheet'!M10*'Output-Calculation-sheet'!M64</f>
        <v>3472.0579839697248</v>
      </c>
      <c r="N77" s="2">
        <f>N11/'Output-Calculation-sheet'!N10*'Output-Calculation-sheet'!N64</f>
        <v>2444.5461564821253</v>
      </c>
      <c r="O77" s="2">
        <f>O11/'Output-Calculation-sheet'!O10*'Output-Calculation-sheet'!O64</f>
        <v>2535.1373016517286</v>
      </c>
      <c r="P77" s="2">
        <f>P11/'Output-Calculation-sheet'!P10*'Output-Calculation-sheet'!P64</f>
        <v>1078.9634962282582</v>
      </c>
      <c r="Q77" s="2">
        <f>Q11/'Output-Calculation-sheet'!Q10*'Output-Calculation-sheet'!Q64</f>
        <v>970.12675259521529</v>
      </c>
      <c r="R77" s="2">
        <f>R11/'Output-Calculation-sheet'!R10*'Output-Calculation-sheet'!R64</f>
        <v>923.59973827787042</v>
      </c>
      <c r="S77" s="2">
        <f>S11/'Output-Calculation-sheet'!S10*'Output-Calculation-sheet'!S64</f>
        <v>1229.2773003032762</v>
      </c>
      <c r="T77" s="2">
        <f>T11/'Output-Calculation-sheet'!T10*'Output-Calculation-sheet'!T64</f>
        <v>254.01687343839561</v>
      </c>
      <c r="U77" s="2">
        <f>U11/'Output-Calculation-sheet'!U10*'Output-Calculation-sheet'!U64</f>
        <v>337.61144029340824</v>
      </c>
      <c r="V77" s="2">
        <f>V11/'Output-Calculation-sheet'!V10*'Output-Calculation-sheet'!V64</f>
        <v>131.33934092219567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361.25674719663601</v>
      </c>
      <c r="Y77" s="2">
        <f>Y11/'Output-Calculation-sheet'!Y10*'Output-Calculation-sheet'!Y64</f>
        <v>84.534195334930558</v>
      </c>
      <c r="AA77" s="2">
        <f t="shared" si="6"/>
        <v>55.173347048680824</v>
      </c>
    </row>
    <row r="78" spans="1:27" x14ac:dyDescent="0.25">
      <c r="A78" s="2">
        <v>2035</v>
      </c>
      <c r="B78" s="2">
        <f>B12/'Output-Calculation-sheet'!B11*'Output-Calculation-sheet'!B65</f>
        <v>17887.562563961881</v>
      </c>
      <c r="C78" s="2">
        <f>C12/'Output-Calculation-sheet'!C11*'Output-Calculation-sheet'!C65</f>
        <v>13071.33164670069</v>
      </c>
      <c r="D78" s="2">
        <f>D12/'Output-Calculation-sheet'!D11*'Output-Calculation-sheet'!D65</f>
        <v>3358.2635282273191</v>
      </c>
      <c r="E78" s="2">
        <f>E12/'Output-Calculation-sheet'!E11*'Output-Calculation-sheet'!E65</f>
        <v>4203.4208000133904</v>
      </c>
      <c r="F78" s="2">
        <f>F12/'Output-Calculation-sheet'!F11*'Output-Calculation-sheet'!F65</f>
        <v>840.31584199002509</v>
      </c>
      <c r="G78" s="2">
        <f>G12/'Output-Calculation-sheet'!G11*'Output-Calculation-sheet'!G65</f>
        <v>1544.6580500468576</v>
      </c>
      <c r="H78" s="2">
        <f>H12/'Output-Calculation-sheet'!H11*'Output-Calculation-sheet'!H65</f>
        <v>4883.7780547734528</v>
      </c>
      <c r="I78" s="2">
        <f>I12/'Output-Calculation-sheet'!I11*'Output-Calculation-sheet'!I65</f>
        <v>1121.7095578952099</v>
      </c>
      <c r="J78" s="2">
        <f>J12/'Output-Calculation-sheet'!J11*'Output-Calculation-sheet'!J65</f>
        <v>1084.710406226711</v>
      </c>
      <c r="K78" s="2">
        <f>K12/'Output-Calculation-sheet'!K11*'Output-Calculation-sheet'!K65</f>
        <v>1358.9504412562926</v>
      </c>
      <c r="L78" s="2">
        <f>L12/'Output-Calculation-sheet'!L11*'Output-Calculation-sheet'!L65</f>
        <v>1001.9533945433095</v>
      </c>
      <c r="M78" s="2">
        <f>M12/'Output-Calculation-sheet'!M11*'Output-Calculation-sheet'!M65</f>
        <v>3565.8674524033604</v>
      </c>
      <c r="N78" s="2">
        <f>N12/'Output-Calculation-sheet'!N11*'Output-Calculation-sheet'!N65</f>
        <v>2542.6021124991212</v>
      </c>
      <c r="O78" s="2">
        <f>O12/'Output-Calculation-sheet'!O11*'Output-Calculation-sheet'!O65</f>
        <v>2400.141340538567</v>
      </c>
      <c r="P78" s="2">
        <f>P12/'Output-Calculation-sheet'!P11*'Output-Calculation-sheet'!P65</f>
        <v>1385.1443573601725</v>
      </c>
      <c r="Q78" s="2">
        <f>Q12/'Output-Calculation-sheet'!Q11*'Output-Calculation-sheet'!Q65</f>
        <v>1176.120854225325</v>
      </c>
      <c r="R78" s="2">
        <f>R12/'Output-Calculation-sheet'!R11*'Output-Calculation-sheet'!R65</f>
        <v>1162.3807282096184</v>
      </c>
      <c r="S78" s="2">
        <f>S12/'Output-Calculation-sheet'!S11*'Output-Calculation-sheet'!S65</f>
        <v>1344.8534066530513</v>
      </c>
      <c r="T78" s="2">
        <f>T12/'Output-Calculation-sheet'!T11*'Output-Calculation-sheet'!T65</f>
        <v>419.58717522247872</v>
      </c>
      <c r="U78" s="2">
        <f>U12/'Output-Calculation-sheet'!U11*'Output-Calculation-sheet'!U65</f>
        <v>351.0692860731811</v>
      </c>
      <c r="V78" s="2">
        <f>V12/'Output-Calculation-sheet'!V11*'Output-Calculation-sheet'!V65</f>
        <v>213.56750254426206</v>
      </c>
      <c r="W78" s="2">
        <f>W12/'Output-Calculation-sheet'!W11*'Output-Calculation-sheet'!W65</f>
        <v>149.12444833180135</v>
      </c>
      <c r="X78" s="2">
        <f>X12/'Output-Calculation-sheet'!X11*'Output-Calculation-sheet'!X65</f>
        <v>344.64678191694691</v>
      </c>
      <c r="Y78" s="2">
        <f>Y12/'Output-Calculation-sheet'!Y11*'Output-Calculation-sheet'!Y65</f>
        <v>161.69395099479803</v>
      </c>
      <c r="AA78" s="2">
        <f t="shared" si="6"/>
        <v>65.573453682607791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235.26167212888234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68.557520729627242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0.30381919285850961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684.44227241537533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132.96872047406657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2.6507252923751228</v>
      </c>
      <c r="Y88" s="2">
        <f>Y11/'Output-Calculation-sheet'!Y10*'Output-Calculation-sheet'!Y73</f>
        <v>0</v>
      </c>
      <c r="AA88" s="2">
        <f t="shared" si="7"/>
        <v>0.82006171818181706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1058.2531814553904</v>
      </c>
      <c r="D89" s="2">
        <f>D12/'Output-Calculation-sheet'!D11*'Output-Calculation-sheet'!D74</f>
        <v>93.743399068426726</v>
      </c>
      <c r="E89" s="2">
        <f>E12/'Output-Calculation-sheet'!E11*'Output-Calculation-sheet'!E74</f>
        <v>149.00199571129156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97.728986274632518</v>
      </c>
      <c r="I89" s="2">
        <f>I12/'Output-Calculation-sheet'!I11*'Output-Calculation-sheet'!I74</f>
        <v>30.246172622963112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29.727226697648263</v>
      </c>
      <c r="L89" s="2">
        <f>L12/'Output-Calculation-sheet'!L11*'Output-Calculation-sheet'!L74</f>
        <v>23.637666191924826</v>
      </c>
      <c r="M89" s="2">
        <f>M12/'Output-Calculation-sheet'!M11*'Output-Calculation-sheet'!M74</f>
        <v>44.831403923878831</v>
      </c>
      <c r="N89" s="2">
        <f>N12/'Output-Calculation-sheet'!N11*'Output-Calculation-sheet'!N74</f>
        <v>44.062076293200263</v>
      </c>
      <c r="O89" s="2">
        <f>O12/'Output-Calculation-sheet'!O11*'Output-Calculation-sheet'!O74</f>
        <v>185.0311113620152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38.605007442035259</v>
      </c>
      <c r="R89" s="2">
        <f>R12/'Output-Calculation-sheet'!R11*'Output-Calculation-sheet'!R74</f>
        <v>19.142031621922442</v>
      </c>
      <c r="S89" s="2">
        <f>S12/'Output-Calculation-sheet'!S11*'Output-Calculation-sheet'!S74</f>
        <v>25.257834663405976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12.317356188098419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9.8362310577492451</v>
      </c>
      <c r="Y89" s="2">
        <f>Y12/'Output-Calculation-sheet'!Y11*'Output-Calculation-sheet'!Y74</f>
        <v>4.7460727052393086</v>
      </c>
      <c r="AA89" s="2">
        <f t="shared" si="7"/>
        <v>2.5127963551391663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ref="AA94:AA100" si="8">SUM(B94:Y94)/10^9</f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13946544843.586823</v>
      </c>
      <c r="C96" s="2">
        <f>C8/'Output-Calculation-sheet'!C7*'Output-Calculation-sheet'!C79</f>
        <v>4718179505.3454018</v>
      </c>
      <c r="D96" s="2">
        <f>D8/'Output-Calculation-sheet'!D7*'Output-Calculation-sheet'!D79</f>
        <v>4925468675.1365805</v>
      </c>
      <c r="E96" s="2">
        <f>E8/'Output-Calculation-sheet'!E7*'Output-Calculation-sheet'!E79</f>
        <v>8757063925.7455139</v>
      </c>
      <c r="F96" s="2">
        <f>F8/'Output-Calculation-sheet'!F7*'Output-Calculation-sheet'!F79</f>
        <v>3624462465.025847</v>
      </c>
      <c r="G96" s="2">
        <f>G8/'Output-Calculation-sheet'!G7*'Output-Calculation-sheet'!G79</f>
        <v>2823158229.84272</v>
      </c>
      <c r="H96" s="2">
        <f>H8/'Output-Calculation-sheet'!H7*'Output-Calculation-sheet'!H79</f>
        <v>2416464006.0330005</v>
      </c>
      <c r="I96" s="2">
        <f>I8/'Output-Calculation-sheet'!I7*'Output-Calculation-sheet'!I79</f>
        <v>1966629844.8014805</v>
      </c>
      <c r="J96" s="2">
        <f>J8/'Output-Calculation-sheet'!J7*'Output-Calculation-sheet'!J79</f>
        <v>1329885898.0398462</v>
      </c>
      <c r="K96" s="2">
        <f>K8/'Output-Calculation-sheet'!K7*'Output-Calculation-sheet'!K79</f>
        <v>1902670008.5656652</v>
      </c>
      <c r="L96" s="2">
        <f>L8/'Output-Calculation-sheet'!L7*'Output-Calculation-sheet'!L79</f>
        <v>1342522302.4754322</v>
      </c>
      <c r="M96" s="2">
        <f>M8/'Output-Calculation-sheet'!M7*'Output-Calculation-sheet'!M79</f>
        <v>1803843645.7226539</v>
      </c>
      <c r="N96" s="2">
        <f>N8/'Output-Calculation-sheet'!N7*'Output-Calculation-sheet'!N79</f>
        <v>1342203334.469558</v>
      </c>
      <c r="O96" s="2">
        <f>O8/'Output-Calculation-sheet'!O7*'Output-Calculation-sheet'!O79</f>
        <v>678529756.35341358</v>
      </c>
      <c r="P96" s="2">
        <f>P8/'Output-Calculation-sheet'!P7*'Output-Calculation-sheet'!P79</f>
        <v>2269539723.8205409</v>
      </c>
      <c r="Q96" s="2">
        <f>Q8/'Output-Calculation-sheet'!Q7*'Output-Calculation-sheet'!Q79</f>
        <v>1057702585.1929808</v>
      </c>
      <c r="R96" s="2">
        <f>R8/'Output-Calculation-sheet'!R7*'Output-Calculation-sheet'!R79</f>
        <v>1319609708.1685789</v>
      </c>
      <c r="S96" s="2">
        <f>S8/'Output-Calculation-sheet'!S7*'Output-Calculation-sheet'!S79</f>
        <v>768915203.67235947</v>
      </c>
      <c r="T96" s="2">
        <f>T8/'Output-Calculation-sheet'!T7*'Output-Calculation-sheet'!T79</f>
        <v>587274201.23941576</v>
      </c>
      <c r="U96" s="2">
        <f>U8/'Output-Calculation-sheet'!U7*'Output-Calculation-sheet'!U79</f>
        <v>368910559.75127923</v>
      </c>
      <c r="V96" s="2">
        <f>V8/'Output-Calculation-sheet'!V7*'Output-Calculation-sheet'!V79</f>
        <v>191410036.14565784</v>
      </c>
      <c r="W96" s="2">
        <f>W8/'Output-Calculation-sheet'!W7*'Output-Calculation-sheet'!W79</f>
        <v>565601138.66587842</v>
      </c>
      <c r="X96" s="2">
        <f>X8/'Output-Calculation-sheet'!X7*'Output-Calculation-sheet'!X79</f>
        <v>198792794.00790301</v>
      </c>
      <c r="Y96" s="2">
        <f>Y8/'Output-Calculation-sheet'!Y7*'Output-Calculation-sheet'!Y79</f>
        <v>310909188.65707982</v>
      </c>
      <c r="AA96" s="2">
        <f t="shared" si="8"/>
        <v>59.216291580465622</v>
      </c>
    </row>
    <row r="97" spans="1:27" x14ac:dyDescent="0.25">
      <c r="A97" s="2">
        <v>2032</v>
      </c>
      <c r="B97" s="2">
        <f>B9/'Output-Calculation-sheet'!B8*'Output-Calculation-sheet'!B80</f>
        <v>18980471384.231483</v>
      </c>
      <c r="C97" s="2">
        <f>C9/'Output-Calculation-sheet'!C8*'Output-Calculation-sheet'!C80</f>
        <v>6464850862.4277258</v>
      </c>
      <c r="D97" s="2">
        <f>D9/'Output-Calculation-sheet'!D8*'Output-Calculation-sheet'!D80</f>
        <v>6441594576.2097416</v>
      </c>
      <c r="E97" s="2">
        <f>E9/'Output-Calculation-sheet'!E8*'Output-Calculation-sheet'!E80</f>
        <v>11780712806.541401</v>
      </c>
      <c r="F97" s="2">
        <f>F9/'Output-Calculation-sheet'!F8*'Output-Calculation-sheet'!F80</f>
        <v>4866613414.6034136</v>
      </c>
      <c r="G97" s="2">
        <f>G9/'Output-Calculation-sheet'!G8*'Output-Calculation-sheet'!G80</f>
        <v>3683758981.4893832</v>
      </c>
      <c r="H97" s="2">
        <f>H9/'Output-Calculation-sheet'!H8*'Output-Calculation-sheet'!H80</f>
        <v>3240963849.8191795</v>
      </c>
      <c r="I97" s="2">
        <f>I9/'Output-Calculation-sheet'!I8*'Output-Calculation-sheet'!I80</f>
        <v>2665993535.7466683</v>
      </c>
      <c r="J97" s="2">
        <f>J9/'Output-Calculation-sheet'!J8*'Output-Calculation-sheet'!J80</f>
        <v>1752644677.4139607</v>
      </c>
      <c r="K97" s="2">
        <f>K9/'Output-Calculation-sheet'!K8*'Output-Calculation-sheet'!K80</f>
        <v>2526806573.8519745</v>
      </c>
      <c r="L97" s="2">
        <f>L9/'Output-Calculation-sheet'!L8*'Output-Calculation-sheet'!L80</f>
        <v>1839096616.0926185</v>
      </c>
      <c r="M97" s="2">
        <f>M9/'Output-Calculation-sheet'!M8*'Output-Calculation-sheet'!M80</f>
        <v>2426482234.942204</v>
      </c>
      <c r="N97" s="2">
        <f>N9/'Output-Calculation-sheet'!N8*'Output-Calculation-sheet'!N80</f>
        <v>1772869697.0363808</v>
      </c>
      <c r="O97" s="2">
        <f>O9/'Output-Calculation-sheet'!O8*'Output-Calculation-sheet'!O80</f>
        <v>917166668.42504764</v>
      </c>
      <c r="P97" s="2">
        <f>P9/'Output-Calculation-sheet'!P8*'Output-Calculation-sheet'!P80</f>
        <v>3000796875.1392593</v>
      </c>
      <c r="Q97" s="2">
        <f>Q9/'Output-Calculation-sheet'!Q8*'Output-Calculation-sheet'!Q80</f>
        <v>1403657705.9843414</v>
      </c>
      <c r="R97" s="2">
        <f>R9/'Output-Calculation-sheet'!R8*'Output-Calculation-sheet'!R80</f>
        <v>1773517934.2079608</v>
      </c>
      <c r="S97" s="2">
        <f>S9/'Output-Calculation-sheet'!S8*'Output-Calculation-sheet'!S80</f>
        <v>1029344677.0640409</v>
      </c>
      <c r="T97" s="2">
        <f>T9/'Output-Calculation-sheet'!T8*'Output-Calculation-sheet'!T80</f>
        <v>775132742.92592824</v>
      </c>
      <c r="U97" s="2">
        <f>U9/'Output-Calculation-sheet'!U8*'Output-Calculation-sheet'!U80</f>
        <v>495536803.42165983</v>
      </c>
      <c r="V97" s="2">
        <f>V9/'Output-Calculation-sheet'!V8*'Output-Calculation-sheet'!V80</f>
        <v>259829967.9641287</v>
      </c>
      <c r="W97" s="2">
        <f>W9/'Output-Calculation-sheet'!W8*'Output-Calculation-sheet'!W80</f>
        <v>752472607.67490828</v>
      </c>
      <c r="X97" s="2">
        <f>X9/'Output-Calculation-sheet'!X8*'Output-Calculation-sheet'!X80</f>
        <v>270210280.91913253</v>
      </c>
      <c r="Y97" s="2">
        <f>Y9/'Output-Calculation-sheet'!Y8*'Output-Calculation-sheet'!Y80</f>
        <v>413607652.5905776</v>
      </c>
      <c r="AA97" s="2">
        <f t="shared" si="8"/>
        <v>79.534133126723148</v>
      </c>
    </row>
    <row r="98" spans="1:27" x14ac:dyDescent="0.25">
      <c r="A98" s="2">
        <v>2033</v>
      </c>
      <c r="B98" s="2">
        <f>B10/'Output-Calculation-sheet'!B9*'Output-Calculation-sheet'!B81</f>
        <v>23256191428.81039</v>
      </c>
      <c r="C98" s="2">
        <f>C10/'Output-Calculation-sheet'!C9*'Output-Calculation-sheet'!C81</f>
        <v>7973375666.1894579</v>
      </c>
      <c r="D98" s="2">
        <f>D10/'Output-Calculation-sheet'!D9*'Output-Calculation-sheet'!D81</f>
        <v>7588225139.4941511</v>
      </c>
      <c r="E98" s="2">
        <f>E10/'Output-Calculation-sheet'!E9*'Output-Calculation-sheet'!E81</f>
        <v>14273928936.436104</v>
      </c>
      <c r="F98" s="2">
        <f>F10/'Output-Calculation-sheet'!F9*'Output-Calculation-sheet'!F81</f>
        <v>5886913309.7032347</v>
      </c>
      <c r="G98" s="2">
        <f>G10/'Output-Calculation-sheet'!G9*'Output-Calculation-sheet'!G81</f>
        <v>4322351868.6742964</v>
      </c>
      <c r="H98" s="2">
        <f>H10/'Output-Calculation-sheet'!H9*'Output-Calculation-sheet'!H81</f>
        <v>3916086107.696774</v>
      </c>
      <c r="I98" s="2">
        <f>I10/'Output-Calculation-sheet'!I9*'Output-Calculation-sheet'!I81</f>
        <v>3255423686.0755353</v>
      </c>
      <c r="J98" s="2">
        <f>J10/'Output-Calculation-sheet'!J9*'Output-Calculation-sheet'!J81</f>
        <v>2081599956.7232056</v>
      </c>
      <c r="K98" s="2">
        <f>K10/'Output-Calculation-sheet'!K9*'Output-Calculation-sheet'!K81</f>
        <v>3023606486.8327589</v>
      </c>
      <c r="L98" s="2">
        <f>L10/'Output-Calculation-sheet'!L9*'Output-Calculation-sheet'!L81</f>
        <v>2267750125.0663075</v>
      </c>
      <c r="M98" s="2">
        <f>M10/'Output-Calculation-sheet'!M9*'Output-Calculation-sheet'!M81</f>
        <v>2940816245.1354823</v>
      </c>
      <c r="N98" s="2">
        <f>N10/'Output-Calculation-sheet'!N9*'Output-Calculation-sheet'!N81</f>
        <v>2109806198.1528327</v>
      </c>
      <c r="O98" s="2">
        <f>O10/'Output-Calculation-sheet'!O9*'Output-Calculation-sheet'!O81</f>
        <v>1117261576.5995855</v>
      </c>
      <c r="P98" s="2">
        <f>P10/'Output-Calculation-sheet'!P9*'Output-Calculation-sheet'!P81</f>
        <v>3570443830.5236492</v>
      </c>
      <c r="Q98" s="2">
        <f>Q10/'Output-Calculation-sheet'!Q9*'Output-Calculation-sheet'!Q81</f>
        <v>1678732176.2582598</v>
      </c>
      <c r="R98" s="2">
        <f>R10/'Output-Calculation-sheet'!R9*'Output-Calculation-sheet'!R81</f>
        <v>2147352425.8352685</v>
      </c>
      <c r="S98" s="2">
        <f>S10/'Output-Calculation-sheet'!S9*'Output-Calculation-sheet'!S81</f>
        <v>1241552014.1738448</v>
      </c>
      <c r="T98" s="2">
        <f>T10/'Output-Calculation-sheet'!T9*'Output-Calculation-sheet'!T81</f>
        <v>921282671.46686625</v>
      </c>
      <c r="U98" s="2">
        <f>U10/'Output-Calculation-sheet'!U9*'Output-Calculation-sheet'!U81</f>
        <v>599446257.14297688</v>
      </c>
      <c r="V98" s="2">
        <f>V10/'Output-Calculation-sheet'!V9*'Output-Calculation-sheet'!V81</f>
        <v>317476832.31784177</v>
      </c>
      <c r="W98" s="2">
        <f>W10/'Output-Calculation-sheet'!W9*'Output-Calculation-sheet'!W81</f>
        <v>900156349.22631598</v>
      </c>
      <c r="X98" s="2">
        <f>X10/'Output-Calculation-sheet'!X9*'Output-Calculation-sheet'!X81</f>
        <v>330780223.8715077</v>
      </c>
      <c r="Y98" s="2">
        <f>Y10/'Output-Calculation-sheet'!Y9*'Output-Calculation-sheet'!Y81</f>
        <v>494961706.38255167</v>
      </c>
      <c r="AA98" s="2">
        <f t="shared" si="8"/>
        <v>96.215521218789206</v>
      </c>
    </row>
    <row r="99" spans="1:27" x14ac:dyDescent="0.25">
      <c r="A99" s="2">
        <v>2034</v>
      </c>
      <c r="B99" s="2">
        <f>B11/'Output-Calculation-sheet'!B10*'Output-Calculation-sheet'!B82</f>
        <v>26302825531.437054</v>
      </c>
      <c r="C99" s="2">
        <f>C11/'Output-Calculation-sheet'!C10*'Output-Calculation-sheet'!C82</f>
        <v>9075553954.9279461</v>
      </c>
      <c r="D99" s="2">
        <f>D11/'Output-Calculation-sheet'!D10*'Output-Calculation-sheet'!D82</f>
        <v>8256201289.9641323</v>
      </c>
      <c r="E99" s="2">
        <f>E11/'Output-Calculation-sheet'!E10*'Output-Calculation-sheet'!E82</f>
        <v>15970897417.894487</v>
      </c>
      <c r="F99" s="2">
        <f>F11/'Output-Calculation-sheet'!F10*'Output-Calculation-sheet'!F82</f>
        <v>6577594281.5074577</v>
      </c>
      <c r="G99" s="2">
        <f>G11/'Output-Calculation-sheet'!G10*'Output-Calculation-sheet'!G82</f>
        <v>4676201470.6026373</v>
      </c>
      <c r="H99" s="2">
        <f>H11/'Output-Calculation-sheet'!H10*'Output-Calculation-sheet'!H82</f>
        <v>4370759281.9411268</v>
      </c>
      <c r="I99" s="2">
        <f>I11/'Output-Calculation-sheet'!I10*'Output-Calculation-sheet'!I82</f>
        <v>3671133518.0560694</v>
      </c>
      <c r="J99" s="2">
        <f>J11/'Output-Calculation-sheet'!J10*'Output-Calculation-sheet'!J82</f>
        <v>2284544984.2283101</v>
      </c>
      <c r="K99" s="2">
        <f>K11/'Output-Calculation-sheet'!K10*'Output-Calculation-sheet'!K82</f>
        <v>3342589105.5150695</v>
      </c>
      <c r="L99" s="2">
        <f>L11/'Output-Calculation-sheet'!L10*'Output-Calculation-sheet'!L82</f>
        <v>2580723230.9484215</v>
      </c>
      <c r="M99" s="2">
        <f>M11/'Output-Calculation-sheet'!M10*'Output-Calculation-sheet'!M82</f>
        <v>3292411953.521564</v>
      </c>
      <c r="N99" s="2">
        <f>N11/'Output-Calculation-sheet'!N10*'Output-Calculation-sheet'!N82</f>
        <v>2319507297.602354</v>
      </c>
      <c r="O99" s="2">
        <f>O11/'Output-Calculation-sheet'!O10*'Output-Calculation-sheet'!O82</f>
        <v>1257521312.6923096</v>
      </c>
      <c r="P99" s="2">
        <f>P11/'Output-Calculation-sheet'!P10*'Output-Calculation-sheet'!P82</f>
        <v>3919978811.7737169</v>
      </c>
      <c r="Q99" s="2">
        <f>Q11/'Output-Calculation-sheet'!Q10*'Output-Calculation-sheet'!Q82</f>
        <v>1855180307.318023</v>
      </c>
      <c r="R99" s="2">
        <f>R11/'Output-Calculation-sheet'!R10*'Output-Calculation-sheet'!R82</f>
        <v>2401522328.3455992</v>
      </c>
      <c r="S99" s="2">
        <f>S11/'Output-Calculation-sheet'!S10*'Output-Calculation-sheet'!S82</f>
        <v>1383343999.2894588</v>
      </c>
      <c r="T99" s="2">
        <f>T11/'Output-Calculation-sheet'!T10*'Output-Calculation-sheet'!T82</f>
        <v>1011062731.552945</v>
      </c>
      <c r="U99" s="2">
        <f>U11/'Output-Calculation-sheet'!U10*'Output-Calculation-sheet'!U82</f>
        <v>669546122.30159593</v>
      </c>
      <c r="V99" s="2">
        <f>V11/'Output-Calculation-sheet'!V10*'Output-Calculation-sheet'!V82</f>
        <v>357997964.08426988</v>
      </c>
      <c r="W99" s="2">
        <f>W11/'Output-Calculation-sheet'!W10*'Output-Calculation-sheet'!W82</f>
        <v>992740888.56344557</v>
      </c>
      <c r="X99" s="2">
        <f>X11/'Output-Calculation-sheet'!X10*'Output-Calculation-sheet'!X82</f>
        <v>373893549.88297588</v>
      </c>
      <c r="Y99" s="2">
        <f>Y11/'Output-Calculation-sheet'!Y10*'Output-Calculation-sheet'!Y82</f>
        <v>546322349.61969304</v>
      </c>
      <c r="AA99" s="2">
        <f t="shared" si="8"/>
        <v>107.49005368357068</v>
      </c>
    </row>
    <row r="100" spans="1:27" x14ac:dyDescent="0.25">
      <c r="A100" s="2">
        <v>2035</v>
      </c>
      <c r="B100" s="2">
        <f>B12/'Output-Calculation-sheet'!B11*'Output-Calculation-sheet'!B83</f>
        <v>27879759027.39505</v>
      </c>
      <c r="C100" s="2">
        <f>C12/'Output-Calculation-sheet'!C11*'Output-Calculation-sheet'!C83</f>
        <v>9679399500.942606</v>
      </c>
      <c r="D100" s="2">
        <f>D12/'Output-Calculation-sheet'!D11*'Output-Calculation-sheet'!D83</f>
        <v>8424676152.315938</v>
      </c>
      <c r="E100" s="2">
        <f>E12/'Output-Calculation-sheet'!E11*'Output-Calculation-sheet'!E83</f>
        <v>16754507057.456821</v>
      </c>
      <c r="F100" s="2">
        <f>F12/'Output-Calculation-sheet'!F11*'Output-Calculation-sheet'!F83</f>
        <v>6892136152.940134</v>
      </c>
      <c r="G100" s="2">
        <f>G12/'Output-Calculation-sheet'!G11*'Output-Calculation-sheet'!G83</f>
        <v>4736239565.6497278</v>
      </c>
      <c r="H100" s="2">
        <f>H12/'Output-Calculation-sheet'!H11*'Output-Calculation-sheet'!H83</f>
        <v>4574853471.5264635</v>
      </c>
      <c r="I100" s="2">
        <f>I12/'Output-Calculation-sheet'!I11*'Output-Calculation-sheet'!I83</f>
        <v>3881672809.7405939</v>
      </c>
      <c r="J100" s="2">
        <f>J12/'Output-Calculation-sheet'!J11*'Output-Calculation-sheet'!J83</f>
        <v>2352460791.8476124</v>
      </c>
      <c r="K100" s="2">
        <f>K12/'Output-Calculation-sheet'!K11*'Output-Calculation-sheet'!K83</f>
        <v>3466176796.6097689</v>
      </c>
      <c r="L100" s="2">
        <f>L12/'Output-Calculation-sheet'!L11*'Output-Calculation-sheet'!L83</f>
        <v>2751946737.1628914</v>
      </c>
      <c r="M100" s="2">
        <f>M12/'Output-Calculation-sheet'!M11*'Output-Calculation-sheet'!M83</f>
        <v>3457054910.3695178</v>
      </c>
      <c r="N100" s="2">
        <f>N12/'Output-Calculation-sheet'!N11*'Output-Calculation-sheet'!N83</f>
        <v>2392008951.2480359</v>
      </c>
      <c r="O100" s="2">
        <f>O12/'Output-Calculation-sheet'!O11*'Output-Calculation-sheet'!O83</f>
        <v>1327716849.5238545</v>
      </c>
      <c r="P100" s="2">
        <f>P12/'Output-Calculation-sheet'!P11*'Output-Calculation-sheet'!P83</f>
        <v>4032370413.4740801</v>
      </c>
      <c r="Q100" s="2">
        <f>Q12/'Output-Calculation-sheet'!Q11*'Output-Calculation-sheet'!Q83</f>
        <v>1923459172.2175972</v>
      </c>
      <c r="R100" s="2">
        <f>R12/'Output-Calculation-sheet'!R11*'Output-Calculation-sheet'!R83</f>
        <v>2518662579.9366622</v>
      </c>
      <c r="S100" s="2">
        <f>S12/'Output-Calculation-sheet'!S11*'Output-Calculation-sheet'!S83</f>
        <v>1445582914.1824474</v>
      </c>
      <c r="T100" s="2">
        <f>T12/'Output-Calculation-sheet'!T11*'Output-Calculation-sheet'!T83</f>
        <v>1040318839.063839</v>
      </c>
      <c r="U100" s="2">
        <f>U12/'Output-Calculation-sheet'!U11*'Output-Calculation-sheet'!U83</f>
        <v>701057108.27304721</v>
      </c>
      <c r="V100" s="2">
        <f>V12/'Output-Calculation-sheet'!V11*'Output-Calculation-sheet'!V83</f>
        <v>378261042.35872269</v>
      </c>
      <c r="W100" s="2">
        <f>W12/'Output-Calculation-sheet'!W11*'Output-Calculation-sheet'!W83</f>
        <v>1024802092.1113744</v>
      </c>
      <c r="X100" s="2">
        <f>X12/'Output-Calculation-sheet'!X11*'Output-Calculation-sheet'!X83</f>
        <v>396198222.98483425</v>
      </c>
      <c r="Y100" s="2">
        <f>Y12/'Output-Calculation-sheet'!Y11*'Output-Calculation-sheet'!Y83</f>
        <v>564727122.87282646</v>
      </c>
      <c r="AA100" s="2">
        <f t="shared" si="8"/>
        <v>112.59604828220444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17116513683.94401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1189148276.4638481</v>
      </c>
      <c r="O106" s="2">
        <f>O7/'Output-Calculation-sheet'!O6*'Output-Calculation-sheet'!O87</f>
        <v>3325729784.249289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31306.607757083577</v>
      </c>
    </row>
    <row r="107" spans="1:27" x14ac:dyDescent="0.25">
      <c r="A107" s="2">
        <v>2031</v>
      </c>
      <c r="B107" s="2">
        <f>B8/'Output-Calculation-sheet'!B7*'Output-Calculation-sheet'!B88</f>
        <v>1631814080.3497627</v>
      </c>
      <c r="C107" s="2">
        <f>C8/'Output-Calculation-sheet'!C7*'Output-Calculation-sheet'!C88</f>
        <v>26874217444.229671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8384863644.0337677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5784879384.1204948</v>
      </c>
      <c r="N107" s="2">
        <f>N8/'Output-Calculation-sheet'!N7*'Output-Calculation-sheet'!N88</f>
        <v>1757656864.6343944</v>
      </c>
      <c r="O107" s="2">
        <f>O8/'Output-Calculation-sheet'!O7*'Output-Calculation-sheet'!O88</f>
        <v>5221684984.846056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580195374.54794157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626504288.80855715</v>
      </c>
      <c r="Y107" s="2">
        <f>Y8/'Output-Calculation-sheet'!Y7*'Output-Calculation-sheet'!Y88</f>
        <v>0</v>
      </c>
      <c r="AA107" s="2">
        <f t="shared" si="9"/>
        <v>50861.816065570645</v>
      </c>
    </row>
    <row r="108" spans="1:27" x14ac:dyDescent="0.25">
      <c r="A108" s="2">
        <v>2032</v>
      </c>
      <c r="B108" s="2">
        <f>B9/'Output-Calculation-sheet'!B8*'Output-Calculation-sheet'!B89</f>
        <v>7300435308.4509535</v>
      </c>
      <c r="C108" s="2">
        <f>C9/'Output-Calculation-sheet'!C8*'Output-Calculation-sheet'!C89</f>
        <v>36596516826.02478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11417860460.711189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7877330899.5538816</v>
      </c>
      <c r="N108" s="2">
        <f>N9/'Output-Calculation-sheet'!N8*'Output-Calculation-sheet'!N89</f>
        <v>3712130903.0839171</v>
      </c>
      <c r="O108" s="2">
        <f>O9/'Output-Calculation-sheet'!O8*'Output-Calculation-sheet'!O89</f>
        <v>7110734347.1094532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1115629558.5990384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853138482.54097438</v>
      </c>
      <c r="Y108" s="2">
        <f>Y9/'Output-Calculation-sheet'!Y8*'Output-Calculation-sheet'!Y89</f>
        <v>0</v>
      </c>
      <c r="AA108" s="2">
        <f t="shared" si="9"/>
        <v>75983.776786074188</v>
      </c>
    </row>
    <row r="109" spans="1:27" x14ac:dyDescent="0.25">
      <c r="A109" s="2">
        <v>2033</v>
      </c>
      <c r="B109" s="2">
        <f>B10/'Output-Calculation-sheet'!B9*'Output-Calculation-sheet'!B90</f>
        <v>19050028374.768749</v>
      </c>
      <c r="C109" s="2">
        <f>C10/'Output-Calculation-sheet'!C9*'Output-Calculation-sheet'!C90</f>
        <v>42042131277.618149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13996564222.662138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9656413001.544241</v>
      </c>
      <c r="N109" s="2">
        <f>N10/'Output-Calculation-sheet'!N9*'Output-Calculation-sheet'!N90</f>
        <v>5687087822.8997707</v>
      </c>
      <c r="O109" s="2">
        <f>O10/'Output-Calculation-sheet'!O9*'Output-Calculation-sheet'!O90</f>
        <v>7713388375.2848339</v>
      </c>
      <c r="P109" s="2">
        <f>P10/'Output-Calculation-sheet'!P9*'Output-Calculation-sheet'!P90</f>
        <v>0</v>
      </c>
      <c r="Q109" s="2">
        <f>Q10/'Output-Calculation-sheet'!Q9*'Output-Calculation-sheet'!Q90</f>
        <v>185187170.8441759</v>
      </c>
      <c r="R109" s="2">
        <f>R10/'Output-Calculation-sheet'!R9*'Output-Calculation-sheet'!R90</f>
        <v>0</v>
      </c>
      <c r="S109" s="2">
        <f>S10/'Output-Calculation-sheet'!S9*'Output-Calculation-sheet'!S90</f>
        <v>2295302422.646369</v>
      </c>
      <c r="T109" s="2">
        <f>T10/'Output-Calculation-sheet'!T9*'Output-Calculation-sheet'!T90</f>
        <v>1.7497720568431347E-7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1045818743.9526736</v>
      </c>
      <c r="Y109" s="2">
        <f>Y10/'Output-Calculation-sheet'!Y9*'Output-Calculation-sheet'!Y90</f>
        <v>0</v>
      </c>
      <c r="AA109" s="2">
        <f t="shared" si="9"/>
        <v>101671.92141222108</v>
      </c>
    </row>
    <row r="110" spans="1:27" x14ac:dyDescent="0.25">
      <c r="A110" s="2">
        <v>2034</v>
      </c>
      <c r="B110" s="2">
        <f>B11/'Output-Calculation-sheet'!B10*'Output-Calculation-sheet'!B91</f>
        <v>42398624616.025421</v>
      </c>
      <c r="C110" s="2">
        <f>C11/'Output-Calculation-sheet'!C10*'Output-Calculation-sheet'!C91</f>
        <v>42873680684.152046</v>
      </c>
      <c r="D110" s="2">
        <f>D11/'Output-Calculation-sheet'!D10*'Output-Calculation-sheet'!D91</f>
        <v>0</v>
      </c>
      <c r="E110" s="2">
        <f>E11/'Output-Calculation-sheet'!E10*'Output-Calculation-sheet'!E91</f>
        <v>864908479.87290251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15835870099.775303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719740583.40158606</v>
      </c>
      <c r="M110" s="2">
        <f>M11/'Output-Calculation-sheet'!M10*'Output-Calculation-sheet'!M91</f>
        <v>10925372395.344423</v>
      </c>
      <c r="N110" s="2">
        <f>N11/'Output-Calculation-sheet'!N10*'Output-Calculation-sheet'!N91</f>
        <v>7556534456.4238176</v>
      </c>
      <c r="O110" s="2">
        <f>O11/'Output-Calculation-sheet'!O10*'Output-Calculation-sheet'!O91</f>
        <v>7845996643.1995964</v>
      </c>
      <c r="P110" s="2">
        <f>P11/'Output-Calculation-sheet'!P10*'Output-Calculation-sheet'!P91</f>
        <v>0</v>
      </c>
      <c r="Q110" s="2">
        <f>Q11/'Output-Calculation-sheet'!Q10*'Output-Calculation-sheet'!Q91</f>
        <v>1922899628.15591</v>
      </c>
      <c r="R110" s="2">
        <f>R11/'Output-Calculation-sheet'!R10*'Output-Calculation-sheet'!R91</f>
        <v>0</v>
      </c>
      <c r="S110" s="2">
        <f>S11/'Output-Calculation-sheet'!S10*'Output-Calculation-sheet'!S91</f>
        <v>3716035851.1951919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1082413070.240212</v>
      </c>
      <c r="Y110" s="2">
        <f>Y11/'Output-Calculation-sheet'!Y10*'Output-Calculation-sheet'!Y91</f>
        <v>47367338.537335411</v>
      </c>
      <c r="AA110" s="2">
        <f t="shared" si="9"/>
        <v>135789.44384632376</v>
      </c>
    </row>
    <row r="111" spans="1:27" x14ac:dyDescent="0.25">
      <c r="A111" s="2">
        <v>2035</v>
      </c>
      <c r="B111" s="2">
        <f>B12/'Output-Calculation-sheet'!B11*'Output-Calculation-sheet'!B92</f>
        <v>49974761704.719017</v>
      </c>
      <c r="C111" s="2">
        <f>C12/'Output-Calculation-sheet'!C11*'Output-Calculation-sheet'!C92</f>
        <v>41795286100.30806</v>
      </c>
      <c r="D111" s="2">
        <f>D12/'Output-Calculation-sheet'!D11*'Output-Calculation-sheet'!D92</f>
        <v>0</v>
      </c>
      <c r="E111" s="2">
        <f>E12/'Output-Calculation-sheet'!E11*'Output-Calculation-sheet'!E92</f>
        <v>5562895638.6237717</v>
      </c>
      <c r="F111" s="2">
        <f>F12/'Output-Calculation-sheet'!F11*'Output-Calculation-sheet'!F92</f>
        <v>0</v>
      </c>
      <c r="G111" s="2">
        <f>G12/'Output-Calculation-sheet'!G11*'Output-Calculation-sheet'!G92</f>
        <v>-6.0483582139053411E-7</v>
      </c>
      <c r="H111" s="2">
        <f>H12/'Output-Calculation-sheet'!H11*'Output-Calculation-sheet'!H92</f>
        <v>15470156475.822367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1835729521.6643124</v>
      </c>
      <c r="M111" s="2">
        <f>M12/'Output-Calculation-sheet'!M11*'Output-Calculation-sheet'!M92</f>
        <v>10916135277.207224</v>
      </c>
      <c r="N111" s="2">
        <f>N12/'Output-Calculation-sheet'!N11*'Output-Calculation-sheet'!N92</f>
        <v>7872936886.5393248</v>
      </c>
      <c r="O111" s="2">
        <f>O12/'Output-Calculation-sheet'!O11*'Output-Calculation-sheet'!O92</f>
        <v>7593722040.1243258</v>
      </c>
      <c r="P111" s="2">
        <f>P12/'Output-Calculation-sheet'!P11*'Output-Calculation-sheet'!P92</f>
        <v>381897632.38425958</v>
      </c>
      <c r="Q111" s="2">
        <f>Q12/'Output-Calculation-sheet'!Q11*'Output-Calculation-sheet'!Q92</f>
        <v>2626578542.5856133</v>
      </c>
      <c r="R111" s="2">
        <f>R12/'Output-Calculation-sheet'!R11*'Output-Calculation-sheet'!R92</f>
        <v>0</v>
      </c>
      <c r="S111" s="2">
        <f>S12/'Output-Calculation-sheet'!S11*'Output-Calculation-sheet'!S92</f>
        <v>4029794066.5581689</v>
      </c>
      <c r="T111" s="2">
        <f>T12/'Output-Calculation-sheet'!T11*'Output-Calculation-sheet'!T92</f>
        <v>0</v>
      </c>
      <c r="U111" s="2">
        <f>U12/'Output-Calculation-sheet'!U11*'Output-Calculation-sheet'!U92</f>
        <v>76198983.759995133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1077190253.7117641</v>
      </c>
      <c r="Y111" s="2">
        <f>Y12/'Output-Calculation-sheet'!Y11*'Output-Calculation-sheet'!Y92</f>
        <v>259513831.70067382</v>
      </c>
      <c r="AA111" s="2">
        <f t="shared" si="9"/>
        <v>149472.79695570885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2427505482.4962296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113328.86600018125</v>
      </c>
    </row>
    <row r="118" spans="1:27" x14ac:dyDescent="0.25">
      <c r="A118" s="2">
        <v>2031</v>
      </c>
      <c r="B118" s="2">
        <f>B8/'Output-Calculation-sheet'!B7*'Output-Calculation-sheet'!B97</f>
        <v>55408684599.277184</v>
      </c>
      <c r="C118" s="2">
        <f>C8/'Output-Calculation-sheet'!C7*'Output-Calculation-sheet'!C97</f>
        <v>0</v>
      </c>
      <c r="D118" s="2">
        <f>D8/'Output-Calculation-sheet'!D7*'Output-Calculation-sheet'!D97</f>
        <v>23957666718.709877</v>
      </c>
      <c r="E118" s="2">
        <f>E8/'Output-Calculation-sheet'!E7*'Output-Calculation-sheet'!E97</f>
        <v>19007977393.978931</v>
      </c>
      <c r="F118" s="2">
        <f>F8/'Output-Calculation-sheet'!F7*'Output-Calculation-sheet'!F97</f>
        <v>12236117143.169874</v>
      </c>
      <c r="G118" s="2">
        <f>G8/'Output-Calculation-sheet'!G7*'Output-Calculation-sheet'!G97</f>
        <v>8597431715.9622097</v>
      </c>
      <c r="H118" s="2">
        <f>H8/'Output-Calculation-sheet'!H7*'Output-Calculation-sheet'!H97</f>
        <v>0</v>
      </c>
      <c r="I118" s="2">
        <f>I8/'Output-Calculation-sheet'!I7*'Output-Calculation-sheet'!I97</f>
        <v>7832937059.0034523</v>
      </c>
      <c r="J118" s="2">
        <f>J8/'Output-Calculation-sheet'!J7*'Output-Calculation-sheet'!J97</f>
        <v>7624041433.4002275</v>
      </c>
      <c r="K118" s="2">
        <f>K8/'Output-Calculation-sheet'!K7*'Output-Calculation-sheet'!K97</f>
        <v>7550949840.1763783</v>
      </c>
      <c r="L118" s="2">
        <f>L8/'Output-Calculation-sheet'!L7*'Output-Calculation-sheet'!L97</f>
        <v>6057470145.0646954</v>
      </c>
      <c r="M118" s="2">
        <f>M8/'Output-Calculation-sheet'!M7*'Output-Calculation-sheet'!M97</f>
        <v>0</v>
      </c>
      <c r="N118" s="2">
        <f>N8/'Output-Calculation-sheet'!N7*'Output-Calculation-sheet'!N97</f>
        <v>3921172223.8783798</v>
      </c>
      <c r="O118" s="2">
        <f>O8/'Output-Calculation-sheet'!O7*'Output-Calculation-sheet'!O97</f>
        <v>0</v>
      </c>
      <c r="P118" s="2">
        <f>P8/'Output-Calculation-sheet'!P7*'Output-Calculation-sheet'!P97</f>
        <v>5169738458.9422817</v>
      </c>
      <c r="Q118" s="2">
        <f>Q8/'Output-Calculation-sheet'!Q7*'Output-Calculation-sheet'!Q97</f>
        <v>5086186166.2645416</v>
      </c>
      <c r="R118" s="2">
        <f>R8/'Output-Calculation-sheet'!R7*'Output-Calculation-sheet'!R97</f>
        <v>4893145007.0474663</v>
      </c>
      <c r="S118" s="2">
        <f>S8/'Output-Calculation-sheet'!S7*'Output-Calculation-sheet'!S97</f>
        <v>2672039840.0537462</v>
      </c>
      <c r="T118" s="2">
        <f>T8/'Output-Calculation-sheet'!T7*'Output-Calculation-sheet'!T97</f>
        <v>1798678381.2505748</v>
      </c>
      <c r="U118" s="2">
        <f>U8/'Output-Calculation-sheet'!U7*'Output-Calculation-sheet'!U97</f>
        <v>1566587104.2103579</v>
      </c>
      <c r="V118" s="2">
        <f>V8/'Output-Calculation-sheet'!V7*'Output-Calculation-sheet'!V97</f>
        <v>1206303876.0148153</v>
      </c>
      <c r="W118" s="2">
        <f>W8/'Output-Calculation-sheet'!W7*'Output-Calculation-sheet'!W97</f>
        <v>1044391402.4870452</v>
      </c>
      <c r="X118" s="2">
        <f>X8/'Output-Calculation-sheet'!X7*'Output-Calculation-sheet'!X97</f>
        <v>0</v>
      </c>
      <c r="Y118" s="2">
        <f>Y8/'Output-Calculation-sheet'!Y7*'Output-Calculation-sheet'!Y97</f>
        <v>609396355.36025608</v>
      </c>
      <c r="AA118" s="2">
        <f t="shared" si="10"/>
        <v>176240.91486425229</v>
      </c>
    </row>
    <row r="119" spans="1:27" x14ac:dyDescent="0.25">
      <c r="A119" s="2">
        <v>2032</v>
      </c>
      <c r="B119" s="2">
        <f>B9/'Output-Calculation-sheet'!B8*'Output-Calculation-sheet'!B98</f>
        <v>70372071601.26619</v>
      </c>
      <c r="C119" s="2">
        <f>C9/'Output-Calculation-sheet'!C8*'Output-Calculation-sheet'!C98</f>
        <v>0</v>
      </c>
      <c r="D119" s="2">
        <f>D9/'Output-Calculation-sheet'!D8*'Output-Calculation-sheet'!D98</f>
        <v>32623350381.98111</v>
      </c>
      <c r="E119" s="2">
        <f>E9/'Output-Calculation-sheet'!E8*'Output-Calculation-sheet'!E98</f>
        <v>25883311938.228588</v>
      </c>
      <c r="F119" s="2">
        <f>F9/'Output-Calculation-sheet'!F8*'Output-Calculation-sheet'!F98</f>
        <v>16662021866.946165</v>
      </c>
      <c r="G119" s="2">
        <f>G9/'Output-Calculation-sheet'!G8*'Output-Calculation-sheet'!G98</f>
        <v>11707193878.945694</v>
      </c>
      <c r="H119" s="2">
        <f>H9/'Output-Calculation-sheet'!H8*'Output-Calculation-sheet'!H98</f>
        <v>1.5660772742443096E-6</v>
      </c>
      <c r="I119" s="2">
        <f>I9/'Output-Calculation-sheet'!I8*'Output-Calculation-sheet'!I98</f>
        <v>10666175982.771538</v>
      </c>
      <c r="J119" s="2">
        <f>J9/'Output-Calculation-sheet'!J8*'Output-Calculation-sheet'!J98</f>
        <v>10381717028.965015</v>
      </c>
      <c r="K119" s="2">
        <f>K9/'Output-Calculation-sheet'!K8*'Output-Calculation-sheet'!K98</f>
        <v>10282189246.093027</v>
      </c>
      <c r="L119" s="2">
        <f>L9/'Output-Calculation-sheet'!L8*'Output-Calculation-sheet'!L98</f>
        <v>8248507839.2741556</v>
      </c>
      <c r="M119" s="2">
        <f>M9/'Output-Calculation-sheet'!M8*'Output-Calculation-sheet'!M98</f>
        <v>0</v>
      </c>
      <c r="N119" s="2">
        <f>N9/'Output-Calculation-sheet'!N8*'Output-Calculation-sheet'!N98</f>
        <v>4020130054.5201612</v>
      </c>
      <c r="O119" s="2">
        <f>O9/'Output-Calculation-sheet'!O8*'Output-Calculation-sheet'!O98</f>
        <v>0</v>
      </c>
      <c r="P119" s="2">
        <f>P9/'Output-Calculation-sheet'!P8*'Output-Calculation-sheet'!P98</f>
        <v>7039628564.8105192</v>
      </c>
      <c r="Q119" s="2">
        <f>Q9/'Output-Calculation-sheet'!Q8*'Output-Calculation-sheet'!Q98</f>
        <v>6925901214.327486</v>
      </c>
      <c r="R119" s="2">
        <f>R9/'Output-Calculation-sheet'!R8*'Output-Calculation-sheet'!R98</f>
        <v>6663036028.5849457</v>
      </c>
      <c r="S119" s="2">
        <f>S9/'Output-Calculation-sheet'!S8*'Output-Calculation-sheet'!S98</f>
        <v>3312728529.0708275</v>
      </c>
      <c r="T119" s="2">
        <f>T9/'Output-Calculation-sheet'!T8*'Output-Calculation-sheet'!T98</f>
        <v>2449274653.6008148</v>
      </c>
      <c r="U119" s="2">
        <f>U9/'Output-Calculation-sheet'!U8*'Output-Calculation-sheet'!U98</f>
        <v>2133234954.1772029</v>
      </c>
      <c r="V119" s="2">
        <f>V9/'Output-Calculation-sheet'!V8*'Output-Calculation-sheet'!V98</f>
        <v>1642633579.6846058</v>
      </c>
      <c r="W119" s="2">
        <f>W9/'Output-Calculation-sheet'!W8*'Output-Calculation-sheet'!W98</f>
        <v>1422156412.6452963</v>
      </c>
      <c r="X119" s="2">
        <f>X9/'Output-Calculation-sheet'!X8*'Output-Calculation-sheet'!X98</f>
        <v>0</v>
      </c>
      <c r="Y119" s="2">
        <f>Y9/'Output-Calculation-sheet'!Y8*'Output-Calculation-sheet'!Y98</f>
        <v>829819734.19916654</v>
      </c>
      <c r="AA119" s="2">
        <f t="shared" si="10"/>
        <v>233265.08349009251</v>
      </c>
    </row>
    <row r="120" spans="1:27" x14ac:dyDescent="0.25">
      <c r="A120" s="2">
        <v>2033</v>
      </c>
      <c r="B120" s="2">
        <f>B10/'Output-Calculation-sheet'!B9*'Output-Calculation-sheet'!B99</f>
        <v>76156042423.791687</v>
      </c>
      <c r="C120" s="2">
        <f>C10/'Output-Calculation-sheet'!C9*'Output-Calculation-sheet'!C99</f>
        <v>0</v>
      </c>
      <c r="D120" s="2">
        <f>D10/'Output-Calculation-sheet'!D9*'Output-Calculation-sheet'!D99</f>
        <v>39990078789.269035</v>
      </c>
      <c r="E120" s="2">
        <f>E10/'Output-Calculation-sheet'!E9*'Output-Calculation-sheet'!E99</f>
        <v>31728065320.469112</v>
      </c>
      <c r="F120" s="2">
        <f>F10/'Output-Calculation-sheet'!F9*'Output-Calculation-sheet'!F99</f>
        <v>20424494197.388039</v>
      </c>
      <c r="G120" s="2">
        <f>G10/'Output-Calculation-sheet'!G9*'Output-Calculation-sheet'!G99</f>
        <v>14350810158.198578</v>
      </c>
      <c r="H120" s="2">
        <f>H10/'Output-Calculation-sheet'!H9*'Output-Calculation-sheet'!H99</f>
        <v>0</v>
      </c>
      <c r="I120" s="2">
        <f>I10/'Output-Calculation-sheet'!I9*'Output-Calculation-sheet'!I99</f>
        <v>13074719390.745712</v>
      </c>
      <c r="J120" s="2">
        <f>J10/'Output-Calculation-sheet'!J9*'Output-Calculation-sheet'!J99</f>
        <v>12726026359.65308</v>
      </c>
      <c r="K120" s="2">
        <f>K10/'Output-Calculation-sheet'!K9*'Output-Calculation-sheet'!K99</f>
        <v>12604322785.385084</v>
      </c>
      <c r="L120" s="2">
        <f>L10/'Output-Calculation-sheet'!L9*'Output-Calculation-sheet'!L99</f>
        <v>10111114371.991983</v>
      </c>
      <c r="M120" s="2">
        <f>M10/'Output-Calculation-sheet'!M9*'Output-Calculation-sheet'!M99</f>
        <v>0</v>
      </c>
      <c r="N120" s="2">
        <f>N10/'Output-Calculation-sheet'!N9*'Output-Calculation-sheet'!N99</f>
        <v>3790649872.9007149</v>
      </c>
      <c r="O120" s="2">
        <f>O10/'Output-Calculation-sheet'!O9*'Output-Calculation-sheet'!O99</f>
        <v>0</v>
      </c>
      <c r="P120" s="2">
        <f>P10/'Output-Calculation-sheet'!P9*'Output-Calculation-sheet'!P99</f>
        <v>8628803535.4935913</v>
      </c>
      <c r="Q120" s="2">
        <f>Q10/'Output-Calculation-sheet'!Q9*'Output-Calculation-sheet'!Q99</f>
        <v>8304578435.8186684</v>
      </c>
      <c r="R120" s="2">
        <f>R10/'Output-Calculation-sheet'!R9*'Output-Calculation-sheet'!R99</f>
        <v>8167241639.8834352</v>
      </c>
      <c r="S120" s="2">
        <f>S10/'Output-Calculation-sheet'!S9*'Output-Calculation-sheet'!S99</f>
        <v>3132667263.7870283</v>
      </c>
      <c r="T120" s="2">
        <f>T10/'Output-Calculation-sheet'!T9*'Output-Calculation-sheet'!T99</f>
        <v>3002322800.0827827</v>
      </c>
      <c r="U120" s="2">
        <f>U10/'Output-Calculation-sheet'!U9*'Output-Calculation-sheet'!U99</f>
        <v>2615505062.0949469</v>
      </c>
      <c r="V120" s="2">
        <f>V10/'Output-Calculation-sheet'!V9*'Output-Calculation-sheet'!V99</f>
        <v>2013558958.1358755</v>
      </c>
      <c r="W120" s="2">
        <f>W10/'Output-Calculation-sheet'!W9*'Output-Calculation-sheet'!W99</f>
        <v>1743295808.9038303</v>
      </c>
      <c r="X120" s="2">
        <f>X10/'Output-Calculation-sheet'!X9*'Output-Calculation-sheet'!X99</f>
        <v>0</v>
      </c>
      <c r="Y120" s="2">
        <f>Y10/'Output-Calculation-sheet'!Y9*'Output-Calculation-sheet'!Y99</f>
        <v>1017203962.8690248</v>
      </c>
      <c r="AA120" s="2">
        <f t="shared" si="10"/>
        <v>273581.50113686221</v>
      </c>
    </row>
    <row r="121" spans="1:27" x14ac:dyDescent="0.25">
      <c r="A121" s="2">
        <v>2034</v>
      </c>
      <c r="B121" s="2">
        <f>B11/'Output-Calculation-sheet'!B10*'Output-Calculation-sheet'!B100</f>
        <v>65309202542.893806</v>
      </c>
      <c r="C121" s="2">
        <f>C11/'Output-Calculation-sheet'!C10*'Output-Calculation-sheet'!C100</f>
        <v>0</v>
      </c>
      <c r="D121" s="2">
        <f>D11/'Output-Calculation-sheet'!D10*'Output-Calculation-sheet'!D100</f>
        <v>45244246405.527908</v>
      </c>
      <c r="E121" s="2">
        <f>E11/'Output-Calculation-sheet'!E10*'Output-Calculation-sheet'!E100</f>
        <v>35030290774.998131</v>
      </c>
      <c r="F121" s="2">
        <f>F11/'Output-Calculation-sheet'!F10*'Output-Calculation-sheet'!F100</f>
        <v>23107878193.573093</v>
      </c>
      <c r="G121" s="2">
        <f>G11/'Output-Calculation-sheet'!G10*'Output-Calculation-sheet'!G100</f>
        <v>16235437233.657017</v>
      </c>
      <c r="H121" s="2">
        <f>H11/'Output-Calculation-sheet'!H10*'Output-Calculation-sheet'!H100</f>
        <v>0</v>
      </c>
      <c r="I121" s="2">
        <f>I11/'Output-Calculation-sheet'!I10*'Output-Calculation-sheet'!I100</f>
        <v>14792038135.758581</v>
      </c>
      <c r="J121" s="2">
        <f>J11/'Output-Calculation-sheet'!J10*'Output-Calculation-sheet'!J100</f>
        <v>14397704631.699953</v>
      </c>
      <c r="K121" s="2">
        <f>K11/'Output-Calculation-sheet'!K10*'Output-Calculation-sheet'!K100</f>
        <v>14260033542.586857</v>
      </c>
      <c r="L121" s="2">
        <f>L11/'Output-Calculation-sheet'!L10*'Output-Calculation-sheet'!L100</f>
        <v>10719508021.893818</v>
      </c>
      <c r="M121" s="2">
        <f>M11/'Output-Calculation-sheet'!M10*'Output-Calculation-sheet'!M100</f>
        <v>7.3171277006613058E-7</v>
      </c>
      <c r="N121" s="2">
        <f>N11/'Output-Calculation-sheet'!N10*'Output-Calculation-sheet'!N100</f>
        <v>3166684222.6681447</v>
      </c>
      <c r="O121" s="2">
        <f>O11/'Output-Calculation-sheet'!O10*'Output-Calculation-sheet'!O100</f>
        <v>0</v>
      </c>
      <c r="P121" s="2">
        <f>P11/'Output-Calculation-sheet'!P10*'Output-Calculation-sheet'!P100</f>
        <v>9762112005.0865803</v>
      </c>
      <c r="Q121" s="2">
        <f>Q11/'Output-Calculation-sheet'!Q10*'Output-Calculation-sheet'!Q100</f>
        <v>7681522927.0219955</v>
      </c>
      <c r="R121" s="2">
        <f>R11/'Output-Calculation-sheet'!R10*'Output-Calculation-sheet'!R100</f>
        <v>9239905467.7283211</v>
      </c>
      <c r="S121" s="2">
        <f>S11/'Output-Calculation-sheet'!S10*'Output-Calculation-sheet'!S100</f>
        <v>2425046924.5604119</v>
      </c>
      <c r="T121" s="2">
        <f>T11/'Output-Calculation-sheet'!T10*'Output-Calculation-sheet'!T100</f>
        <v>3396587672.8380089</v>
      </c>
      <c r="U121" s="2">
        <f>U11/'Output-Calculation-sheet'!U10*'Output-Calculation-sheet'!U100</f>
        <v>2960106472.6510005</v>
      </c>
      <c r="V121" s="2">
        <f>V11/'Output-Calculation-sheet'!V10*'Output-Calculation-sheet'!V100</f>
        <v>2278754201.8967705</v>
      </c>
      <c r="W121" s="2">
        <f>W11/'Output-Calculation-sheet'!W10*'Output-Calculation-sheet'!W100</f>
        <v>1972400412.1919341</v>
      </c>
      <c r="X121" s="2">
        <f>X11/'Output-Calculation-sheet'!X10*'Output-Calculation-sheet'!X100</f>
        <v>87561779.68456836</v>
      </c>
      <c r="Y121" s="2">
        <f>Y11/'Output-Calculation-sheet'!Y10*'Output-Calculation-sheet'!Y100</f>
        <v>1103462988.9150143</v>
      </c>
      <c r="AA121" s="2">
        <f t="shared" si="10"/>
        <v>283170.48455783201</v>
      </c>
    </row>
    <row r="122" spans="1:27" x14ac:dyDescent="0.25">
      <c r="A122" s="2">
        <v>2035</v>
      </c>
      <c r="B122" s="2">
        <f>B12/'Output-Calculation-sheet'!B11*'Output-Calculation-sheet'!B101</f>
        <v>57506601697.372589</v>
      </c>
      <c r="C122" s="2">
        <f>C12/'Output-Calculation-sheet'!C11*'Output-Calculation-sheet'!C101</f>
        <v>0</v>
      </c>
      <c r="D122" s="2">
        <f>D12/'Output-Calculation-sheet'!D11*'Output-Calculation-sheet'!D101</f>
        <v>44681563127.437805</v>
      </c>
      <c r="E122" s="2">
        <f>E12/'Output-Calculation-sheet'!E11*'Output-Calculation-sheet'!E101</f>
        <v>31577575745.506027</v>
      </c>
      <c r="F122" s="2">
        <f>F12/'Output-Calculation-sheet'!F11*'Output-Calculation-sheet'!F101</f>
        <v>23499188401.39286</v>
      </c>
      <c r="G122" s="2">
        <f>G12/'Output-Calculation-sheet'!G11*'Output-Calculation-sheet'!G101</f>
        <v>16267747137.850674</v>
      </c>
      <c r="H122" s="2">
        <f>H12/'Output-Calculation-sheet'!H11*'Output-Calculation-sheet'!H101</f>
        <v>0</v>
      </c>
      <c r="I122" s="2">
        <f>I12/'Output-Calculation-sheet'!I11*'Output-Calculation-sheet'!I101</f>
        <v>14861438770.589352</v>
      </c>
      <c r="J122" s="2">
        <f>J12/'Output-Calculation-sheet'!J11*'Output-Calculation-sheet'!J101</f>
        <v>14330297549.942156</v>
      </c>
      <c r="K122" s="2">
        <f>K12/'Output-Calculation-sheet'!K11*'Output-Calculation-sheet'!K101</f>
        <v>14410103696.492819</v>
      </c>
      <c r="L122" s="2">
        <f>L12/'Output-Calculation-sheet'!L11*'Output-Calculation-sheet'!L101</f>
        <v>9916669913.4656963</v>
      </c>
      <c r="M122" s="2">
        <f>M12/'Output-Calculation-sheet'!M11*'Output-Calculation-sheet'!M101</f>
        <v>0</v>
      </c>
      <c r="N122" s="2">
        <f>N12/'Output-Calculation-sheet'!N11*'Output-Calculation-sheet'!N101</f>
        <v>2790607712.0192137</v>
      </c>
      <c r="O122" s="2">
        <f>O12/'Output-Calculation-sheet'!O11*'Output-Calculation-sheet'!O101</f>
        <v>0</v>
      </c>
      <c r="P122" s="2">
        <f>P12/'Output-Calculation-sheet'!P11*'Output-Calculation-sheet'!P101</f>
        <v>9604303227.3270874</v>
      </c>
      <c r="Q122" s="2">
        <f>Q12/'Output-Calculation-sheet'!Q11*'Output-Calculation-sheet'!Q101</f>
        <v>6812704803.5612183</v>
      </c>
      <c r="R122" s="2">
        <f>R12/'Output-Calculation-sheet'!R11*'Output-Calculation-sheet'!R101</f>
        <v>9391444412.3159657</v>
      </c>
      <c r="S122" s="2">
        <f>S12/'Output-Calculation-sheet'!S11*'Output-Calculation-sheet'!S101</f>
        <v>2058827985.1091464</v>
      </c>
      <c r="T122" s="2">
        <f>T12/'Output-Calculation-sheet'!T11*'Output-Calculation-sheet'!T101</f>
        <v>3502271092.9835534</v>
      </c>
      <c r="U122" s="2">
        <f>U12/'Output-Calculation-sheet'!U11*'Output-Calculation-sheet'!U101</f>
        <v>2843315715.3516912</v>
      </c>
      <c r="V122" s="2">
        <f>V12/'Output-Calculation-sheet'!V11*'Output-Calculation-sheet'!V101</f>
        <v>2361898344.8124733</v>
      </c>
      <c r="W122" s="2">
        <f>W12/'Output-Calculation-sheet'!W11*'Output-Calculation-sheet'!W101</f>
        <v>2059560617.9945598</v>
      </c>
      <c r="X122" s="2">
        <f>X12/'Output-Calculation-sheet'!X11*'Output-Calculation-sheet'!X101</f>
        <v>75845776.0233787</v>
      </c>
      <c r="Y122" s="2">
        <f>Y12/'Output-Calculation-sheet'!Y11*'Output-Calculation-sheet'!Y101</f>
        <v>929805476.71978557</v>
      </c>
      <c r="AA122" s="2">
        <f t="shared" si="10"/>
        <v>269481.77120426815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57040499718.386803</v>
      </c>
      <c r="C129" s="2">
        <f>C8/'Output-Calculation-sheet'!C7*'Output-Calculation-sheet'!C106</f>
        <v>26880359035.228107</v>
      </c>
      <c r="D129" s="2">
        <f>D8/'Output-Calculation-sheet'!D7*'Output-Calculation-sheet'!D106</f>
        <v>23957666718.709877</v>
      </c>
      <c r="E129" s="2">
        <f>E8/'Output-Calculation-sheet'!E7*'Output-Calculation-sheet'!E106</f>
        <v>19007977393.978931</v>
      </c>
      <c r="F129" s="2">
        <f>F8/'Output-Calculation-sheet'!F7*'Output-Calculation-sheet'!F106</f>
        <v>12236117143.169874</v>
      </c>
      <c r="G129" s="2">
        <f>G8/'Output-Calculation-sheet'!G7*'Output-Calculation-sheet'!G106</f>
        <v>8597431715.9622097</v>
      </c>
      <c r="H129" s="2">
        <f>H8/'Output-Calculation-sheet'!H7*'Output-Calculation-sheet'!H106</f>
        <v>8386464611.1730375</v>
      </c>
      <c r="I129" s="2">
        <f>I8/'Output-Calculation-sheet'!I7*'Output-Calculation-sheet'!I106</f>
        <v>7832937059.0034523</v>
      </c>
      <c r="J129" s="2">
        <f>J8/'Output-Calculation-sheet'!J7*'Output-Calculation-sheet'!J106</f>
        <v>7624041433.4002275</v>
      </c>
      <c r="K129" s="2">
        <f>K8/'Output-Calculation-sheet'!K7*'Output-Calculation-sheet'!K106</f>
        <v>7550949840.1763783</v>
      </c>
      <c r="L129" s="2">
        <f>L8/'Output-Calculation-sheet'!L7*'Output-Calculation-sheet'!L106</f>
        <v>6057470145.0646954</v>
      </c>
      <c r="M129" s="2">
        <f>M8/'Output-Calculation-sheet'!M7*'Output-Calculation-sheet'!M106</f>
        <v>5785929507.5838957</v>
      </c>
      <c r="N129" s="2">
        <f>N8/'Output-Calculation-sheet'!N7*'Output-Calculation-sheet'!N106</f>
        <v>5678874201.7507458</v>
      </c>
      <c r="O129" s="2">
        <f>O8/'Output-Calculation-sheet'!O7*'Output-Calculation-sheet'!O106</f>
        <v>5222876077.1468487</v>
      </c>
      <c r="P129" s="2">
        <f>P8/'Output-Calculation-sheet'!P7*'Output-Calculation-sheet'!P106</f>
        <v>5169738458.9422817</v>
      </c>
      <c r="Q129" s="2">
        <f>Q8/'Output-Calculation-sheet'!Q7*'Output-Calculation-sheet'!Q106</f>
        <v>5086186166.2645416</v>
      </c>
      <c r="R129" s="2">
        <f>R8/'Output-Calculation-sheet'!R7*'Output-Calculation-sheet'!R106</f>
        <v>4893145007.0474663</v>
      </c>
      <c r="S129" s="2">
        <f>S8/'Output-Calculation-sheet'!S7*'Output-Calculation-sheet'!S106</f>
        <v>3252234836.1568804</v>
      </c>
      <c r="T129" s="2">
        <f>T8/'Output-Calculation-sheet'!T7*'Output-Calculation-sheet'!T106</f>
        <v>1798678381.2505748</v>
      </c>
      <c r="U129" s="2">
        <f>U8/'Output-Calculation-sheet'!U7*'Output-Calculation-sheet'!U106</f>
        <v>1566587104.2103579</v>
      </c>
      <c r="V129" s="2">
        <f>V8/'Output-Calculation-sheet'!V7*'Output-Calculation-sheet'!V106</f>
        <v>1206303876.0148153</v>
      </c>
      <c r="W129" s="2">
        <f>W8/'Output-Calculation-sheet'!W7*'Output-Calculation-sheet'!W106</f>
        <v>1044391402.4870452</v>
      </c>
      <c r="X129" s="2">
        <f>X8/'Output-Calculation-sheet'!X7*'Output-Calculation-sheet'!X106</f>
        <v>626634964.72027707</v>
      </c>
      <c r="Y129" s="2">
        <f>Y8/'Output-Calculation-sheet'!Y7*'Output-Calculation-sheet'!Y106</f>
        <v>609396355.36025608</v>
      </c>
      <c r="AA129" s="2">
        <f t="shared" si="11"/>
        <v>227112.89115318962</v>
      </c>
    </row>
    <row r="130" spans="1:27" x14ac:dyDescent="0.25">
      <c r="A130" s="2">
        <v>2032</v>
      </c>
      <c r="B130" s="2">
        <f>B9/'Output-Calculation-sheet'!B8*'Output-Calculation-sheet'!B107</f>
        <v>46603510939.253044</v>
      </c>
      <c r="C130" s="2">
        <f>C9/'Output-Calculation-sheet'!C8*'Output-Calculation-sheet'!C107</f>
        <v>21961915149.198666</v>
      </c>
      <c r="D130" s="2">
        <f>D9/'Output-Calculation-sheet'!D8*'Output-Calculation-sheet'!D107</f>
        <v>19574006148.909683</v>
      </c>
      <c r="E130" s="2">
        <f>E9/'Output-Calculation-sheet'!E8*'Output-Calculation-sheet'!E107</f>
        <v>15529985541.570429</v>
      </c>
      <c r="F130" s="2">
        <f>F9/'Output-Calculation-sheet'!F8*'Output-Calculation-sheet'!F107</f>
        <v>9997214139.8961849</v>
      </c>
      <c r="G130" s="2">
        <f>G9/'Output-Calculation-sheet'!G8*'Output-Calculation-sheet'!G107</f>
        <v>7024317059.2092857</v>
      </c>
      <c r="H130" s="2">
        <f>H9/'Output-Calculation-sheet'!H8*'Output-Calculation-sheet'!H107</f>
        <v>6851949865.6128492</v>
      </c>
      <c r="I130" s="2">
        <f>I9/'Output-Calculation-sheet'!I8*'Output-Calculation-sheet'!I107</f>
        <v>6399704931.414855</v>
      </c>
      <c r="J130" s="2">
        <f>J9/'Output-Calculation-sheet'!J8*'Output-Calculation-sheet'!J107</f>
        <v>6229029565.9295368</v>
      </c>
      <c r="K130" s="2">
        <f>K9/'Output-Calculation-sheet'!K8*'Output-Calculation-sheet'!K107</f>
        <v>6169313547.6558161</v>
      </c>
      <c r="L130" s="2">
        <f>L9/'Output-Calculation-sheet'!L8*'Output-Calculation-sheet'!L107</f>
        <v>4949104189.1374855</v>
      </c>
      <c r="M130" s="2">
        <f>M9/'Output-Calculation-sheet'!M8*'Output-Calculation-sheet'!M107</f>
        <v>4727249321.1395063</v>
      </c>
      <c r="N130" s="2">
        <f>N9/'Output-Calculation-sheet'!N8*'Output-Calculation-sheet'!N107</f>
        <v>4639779459.984066</v>
      </c>
      <c r="O130" s="2">
        <f>O9/'Output-Calculation-sheet'!O8*'Output-Calculation-sheet'!O107</f>
        <v>4267220024.7105465</v>
      </c>
      <c r="P130" s="2">
        <f>P9/'Output-Calculation-sheet'!P8*'Output-Calculation-sheet'!P107</f>
        <v>4223804158.0086131</v>
      </c>
      <c r="Q130" s="2">
        <f>Q9/'Output-Calculation-sheet'!Q8*'Output-Calculation-sheet'!Q107</f>
        <v>4155541988.8388295</v>
      </c>
      <c r="R130" s="2">
        <f>R9/'Output-Calculation-sheet'!R8*'Output-Calculation-sheet'!R107</f>
        <v>3997822033.7393894</v>
      </c>
      <c r="S130" s="2">
        <f>S9/'Output-Calculation-sheet'!S8*'Output-Calculation-sheet'!S107</f>
        <v>2657156974.1155806</v>
      </c>
      <c r="T130" s="2">
        <f>T9/'Output-Calculation-sheet'!T8*'Output-Calculation-sheet'!T107</f>
        <v>1469565100.4066472</v>
      </c>
      <c r="U130" s="2">
        <f>U9/'Output-Calculation-sheet'!U8*'Output-Calculation-sheet'!U107</f>
        <v>1279940570.4120135</v>
      </c>
      <c r="V130" s="2">
        <f>V9/'Output-Calculation-sheet'!V8*'Output-Calculation-sheet'!V107</f>
        <v>985579837.75958395</v>
      </c>
      <c r="W130" s="2">
        <f>W9/'Output-Calculation-sheet'!W8*'Output-Calculation-sheet'!W107</f>
        <v>853293937.08084607</v>
      </c>
      <c r="X130" s="2">
        <f>X9/'Output-Calculation-sheet'!X8*'Output-Calculation-sheet'!X107</f>
        <v>511976261.79272753</v>
      </c>
      <c r="Y130" s="2">
        <f>Y9/'Output-Calculation-sheet'!Y8*'Output-Calculation-sheet'!Y107</f>
        <v>497891892.16393811</v>
      </c>
      <c r="AA130" s="2">
        <f t="shared" si="11"/>
        <v>185556.87263794011</v>
      </c>
    </row>
    <row r="131" spans="1:27" x14ac:dyDescent="0.25">
      <c r="A131" s="2">
        <v>2033</v>
      </c>
      <c r="B131" s="2">
        <f>B10/'Output-Calculation-sheet'!B9*'Output-Calculation-sheet'!B108</f>
        <v>31737295875.111378</v>
      </c>
      <c r="C131" s="2">
        <f>C10/'Output-Calculation-sheet'!C9*'Output-Calculation-sheet'!C108</f>
        <v>18572485681.458881</v>
      </c>
      <c r="D131" s="2">
        <f>D10/'Output-Calculation-sheet'!D9*'Output-Calculation-sheet'!D108</f>
        <v>13330029736.459631</v>
      </c>
      <c r="E131" s="2">
        <f>E10/'Output-Calculation-sheet'!E9*'Output-Calculation-sheet'!E108</f>
        <v>10576021773.489704</v>
      </c>
      <c r="F131" s="2">
        <f>F10/'Output-Calculation-sheet'!F9*'Output-Calculation-sheet'!F108</f>
        <v>6808164732.4626799</v>
      </c>
      <c r="G131" s="2">
        <f>G10/'Output-Calculation-sheet'!G9*'Output-Calculation-sheet'!G108</f>
        <v>4783603386.0661926</v>
      </c>
      <c r="H131" s="2">
        <f>H10/'Output-Calculation-sheet'!H9*'Output-Calculation-sheet'!H108</f>
        <v>4666221475.9610634</v>
      </c>
      <c r="I131" s="2">
        <f>I10/'Output-Calculation-sheet'!I9*'Output-Calculation-sheet'!I108</f>
        <v>4358240917.5930471</v>
      </c>
      <c r="J131" s="2">
        <f>J10/'Output-Calculation-sheet'!J9*'Output-Calculation-sheet'!J108</f>
        <v>4242009895.6541204</v>
      </c>
      <c r="K131" s="2">
        <f>K10/'Output-Calculation-sheet'!K9*'Output-Calculation-sheet'!K108</f>
        <v>4201341797.9721785</v>
      </c>
      <c r="L131" s="2">
        <f>L10/'Output-Calculation-sheet'!L9*'Output-Calculation-sheet'!L108</f>
        <v>3370372333.1508288</v>
      </c>
      <c r="M131" s="2">
        <f>M10/'Output-Calculation-sheet'!M9*'Output-Calculation-sheet'!M108</f>
        <v>3219286049.4177241</v>
      </c>
      <c r="N131" s="2">
        <f>N10/'Output-Calculation-sheet'!N9*'Output-Calculation-sheet'!N108</f>
        <v>3159719347.7077856</v>
      </c>
      <c r="O131" s="2">
        <f>O10/'Output-Calculation-sheet'!O9*'Output-Calculation-sheet'!O108</f>
        <v>4098763937.586658</v>
      </c>
      <c r="P131" s="2">
        <f>P10/'Output-Calculation-sheet'!P9*'Output-Calculation-sheet'!P108</f>
        <v>2876439027.2998662</v>
      </c>
      <c r="Q131" s="2">
        <f>Q10/'Output-Calculation-sheet'!Q9*'Output-Calculation-sheet'!Q108</f>
        <v>2829950547.3458934</v>
      </c>
      <c r="R131" s="2">
        <f>R10/'Output-Calculation-sheet'!R9*'Output-Calculation-sheet'!R108</f>
        <v>2722541544.6763444</v>
      </c>
      <c r="S131" s="2">
        <f>S10/'Output-Calculation-sheet'!S9*'Output-Calculation-sheet'!S108</f>
        <v>1809541281.9704149</v>
      </c>
      <c r="T131" s="2">
        <f>T10/'Output-Calculation-sheet'!T9*'Output-Calculation-sheet'!T108</f>
        <v>1000782663.3980981</v>
      </c>
      <c r="U131" s="2">
        <f>U10/'Output-Calculation-sheet'!U9*'Output-Calculation-sheet'!U108</f>
        <v>871647676.17227805</v>
      </c>
      <c r="V131" s="2">
        <f>V10/'Output-Calculation-sheet'!V9*'Output-Calculation-sheet'!V108</f>
        <v>671186143.42293596</v>
      </c>
      <c r="W131" s="2">
        <f>W10/'Output-Calculation-sheet'!W9*'Output-Calculation-sheet'!W108</f>
        <v>581098450.60354888</v>
      </c>
      <c r="X131" s="2">
        <f>X10/'Output-Calculation-sheet'!X9*'Output-Calculation-sheet'!X108</f>
        <v>348659002.25700659</v>
      </c>
      <c r="Y131" s="2">
        <f>Y10/'Output-Calculation-sheet'!Y9*'Output-Calculation-sheet'!Y108</f>
        <v>339067460.07014084</v>
      </c>
      <c r="AA131" s="2">
        <f t="shared" si="11"/>
        <v>131174.47073730838</v>
      </c>
    </row>
    <row r="132" spans="1:27" x14ac:dyDescent="0.25">
      <c r="A132" s="2">
        <v>2034</v>
      </c>
      <c r="B132" s="2">
        <f>B11/'Output-Calculation-sheet'!B10*'Output-Calculation-sheet'!B109</f>
        <v>15388779599.613768</v>
      </c>
      <c r="C132" s="2">
        <f>C11/'Output-Calculation-sheet'!C10*'Output-Calculation-sheet'!C109</f>
        <v>17379962771.845181</v>
      </c>
      <c r="D132" s="2">
        <f>D11/'Output-Calculation-sheet'!D10*'Output-Calculation-sheet'!D109</f>
        <v>6463464638.3618679</v>
      </c>
      <c r="E132" s="2">
        <f>E11/'Output-Calculation-sheet'!E10*'Output-Calculation-sheet'!E109</f>
        <v>5128102897.9766893</v>
      </c>
      <c r="F132" s="2">
        <f>F11/'Output-Calculation-sheet'!F10*'Output-Calculation-sheet'!F109</f>
        <v>3301143855.6186471</v>
      </c>
      <c r="G132" s="2">
        <f>G11/'Output-Calculation-sheet'!G10*'Output-Calculation-sheet'!G109</f>
        <v>2319474632.8938169</v>
      </c>
      <c r="H132" s="2">
        <f>H11/'Output-Calculation-sheet'!H10*'Output-Calculation-sheet'!H109</f>
        <v>2262558113.6243582</v>
      </c>
      <c r="I132" s="2">
        <f>I11/'Output-Calculation-sheet'!I10*'Output-Calculation-sheet'!I109</f>
        <v>2113223805.8804243</v>
      </c>
      <c r="J132" s="2">
        <f>J11/'Output-Calculation-sheet'!J10*'Output-Calculation-sheet'!J109</f>
        <v>2056866021.3163469</v>
      </c>
      <c r="K132" s="2">
        <f>K11/'Output-Calculation-sheet'!K10*'Output-Calculation-sheet'!K109</f>
        <v>2037147511.6083927</v>
      </c>
      <c r="L132" s="2">
        <f>L11/'Output-Calculation-sheet'!L10*'Output-Calculation-sheet'!L109</f>
        <v>1634226347.5135314</v>
      </c>
      <c r="M132" s="2">
        <f>M11/'Output-Calculation-sheet'!M10*'Output-Calculation-sheet'!M109</f>
        <v>1560967864.1941416</v>
      </c>
      <c r="N132" s="2">
        <f>N11/'Output-Calculation-sheet'!N10*'Output-Calculation-sheet'!N109</f>
        <v>1532085628.6077175</v>
      </c>
      <c r="O132" s="2">
        <f>O11/'Output-Calculation-sheet'!O10*'Output-Calculation-sheet'!O109</f>
        <v>3803632301.2302289</v>
      </c>
      <c r="P132" s="2">
        <f>P11/'Output-Calculation-sheet'!P10*'Output-Calculation-sheet'!P109</f>
        <v>1394727713.9843409</v>
      </c>
      <c r="Q132" s="2">
        <f>Q11/'Output-Calculation-sheet'!Q10*'Output-Calculation-sheet'!Q109</f>
        <v>1372186604.1159787</v>
      </c>
      <c r="R132" s="2">
        <f>R11/'Output-Calculation-sheet'!R10*'Output-Calculation-sheet'!R109</f>
        <v>1320106526.47978</v>
      </c>
      <c r="S132" s="2">
        <f>S11/'Output-Calculation-sheet'!S10*'Output-Calculation-sheet'!S109</f>
        <v>877410490.54948997</v>
      </c>
      <c r="T132" s="2">
        <f>T11/'Output-Calculation-sheet'!T10*'Output-Calculation-sheet'!T109</f>
        <v>485259788.7042504</v>
      </c>
      <c r="U132" s="2">
        <f>U11/'Output-Calculation-sheet'!U10*'Output-Calculation-sheet'!U109</f>
        <v>422644711.97565347</v>
      </c>
      <c r="V132" s="2">
        <f>V11/'Output-Calculation-sheet'!V10*'Output-Calculation-sheet'!V109</f>
        <v>325444881.09772289</v>
      </c>
      <c r="W132" s="2">
        <f>W11/'Output-Calculation-sheet'!W10*'Output-Calculation-sheet'!W109</f>
        <v>281763141.29984337</v>
      </c>
      <c r="X132" s="2">
        <f>X11/'Output-Calculation-sheet'!X10*'Output-Calculation-sheet'!X109</f>
        <v>190889622.78488424</v>
      </c>
      <c r="Y132" s="2">
        <f>Y11/'Output-Calculation-sheet'!Y10*'Output-Calculation-sheet'!Y109</f>
        <v>164407128.02075016</v>
      </c>
      <c r="AA132" s="2">
        <f t="shared" si="11"/>
        <v>73816.476599297806</v>
      </c>
    </row>
    <row r="133" spans="1:27" x14ac:dyDescent="0.25">
      <c r="A133" s="2">
        <v>2035</v>
      </c>
      <c r="B133" s="2">
        <f>B12/'Output-Calculation-sheet'!B11*'Output-Calculation-sheet'!B110</f>
        <v>9628610154.3502693</v>
      </c>
      <c r="C133" s="2">
        <f>C12/'Output-Calculation-sheet'!C11*'Output-Calculation-sheet'!C110</f>
        <v>15467608403.192831</v>
      </c>
      <c r="D133" s="2">
        <f>D12/'Output-Calculation-sheet'!D11*'Output-Calculation-sheet'!D110</f>
        <v>4202797810.4347754</v>
      </c>
      <c r="E133" s="2">
        <f>E12/'Output-Calculation-sheet'!E11*'Output-Calculation-sheet'!E110</f>
        <v>2013580934.6133161</v>
      </c>
      <c r="F133" s="2">
        <f>F12/'Output-Calculation-sheet'!F11*'Output-Calculation-sheet'!F110</f>
        <v>1536492261.6846027</v>
      </c>
      <c r="G133" s="2">
        <f>G12/'Output-Calculation-sheet'!G11*'Output-Calculation-sheet'!G110</f>
        <v>1434424870.3896191</v>
      </c>
      <c r="H133" s="2">
        <f>H12/'Output-Calculation-sheet'!H11*'Output-Calculation-sheet'!H110</f>
        <v>1992859517.8898489</v>
      </c>
      <c r="I133" s="2">
        <f>I12/'Output-Calculation-sheet'!I11*'Output-Calculation-sheet'!I110</f>
        <v>1185460625.7795343</v>
      </c>
      <c r="J133" s="2">
        <f>J12/'Output-Calculation-sheet'!J11*'Output-Calculation-sheet'!J110</f>
        <v>1154498321.5668612</v>
      </c>
      <c r="K133" s="2">
        <f>K12/'Output-Calculation-sheet'!K11*'Output-Calculation-sheet'!K110</f>
        <v>998892487.86077511</v>
      </c>
      <c r="L133" s="2">
        <f>L12/'Output-Calculation-sheet'!L11*'Output-Calculation-sheet'!L110</f>
        <v>522094588.24752039</v>
      </c>
      <c r="M133" s="2">
        <f>M12/'Output-Calculation-sheet'!M11*'Output-Calculation-sheet'!M110</f>
        <v>1059360919.1098056</v>
      </c>
      <c r="N133" s="2">
        <f>N12/'Output-Calculation-sheet'!N11*'Output-Calculation-sheet'!N110</f>
        <v>954607746.92714274</v>
      </c>
      <c r="O133" s="2">
        <f>O12/'Output-Calculation-sheet'!O11*'Output-Calculation-sheet'!O110</f>
        <v>3397119807.075665</v>
      </c>
      <c r="P133" s="2">
        <f>P12/'Output-Calculation-sheet'!P11*'Output-Calculation-sheet'!P110</f>
        <v>703466780.60275877</v>
      </c>
      <c r="Q133" s="2">
        <f>Q12/'Output-Calculation-sheet'!Q11*'Output-Calculation-sheet'!Q110</f>
        <v>970810545.49687004</v>
      </c>
      <c r="R133" s="2">
        <f>R12/'Output-Calculation-sheet'!R11*'Output-Calculation-sheet'!R110</f>
        <v>594178615.40091598</v>
      </c>
      <c r="S133" s="2">
        <f>S12/'Output-Calculation-sheet'!S11*'Output-Calculation-sheet'!S110</f>
        <v>582805717.77126861</v>
      </c>
      <c r="T133" s="2">
        <f>T12/'Output-Calculation-sheet'!T11*'Output-Calculation-sheet'!T110</f>
        <v>153840297.90378875</v>
      </c>
      <c r="U133" s="2">
        <f>U12/'Output-Calculation-sheet'!U11*'Output-Calculation-sheet'!U110</f>
        <v>303080681.60400689</v>
      </c>
      <c r="V133" s="2">
        <f>V12/'Output-Calculation-sheet'!V11*'Output-Calculation-sheet'!V110</f>
        <v>66277871.614202552</v>
      </c>
      <c r="W133" s="2">
        <f>W12/'Output-Calculation-sheet'!W11*'Output-Calculation-sheet'!W110</f>
        <v>82197450.201393321</v>
      </c>
      <c r="X133" s="2">
        <f>X12/'Output-Calculation-sheet'!X11*'Output-Calculation-sheet'!X110</f>
        <v>166803322.67944223</v>
      </c>
      <c r="Y133" s="2">
        <f>Y12/'Output-Calculation-sheet'!Y11*'Output-Calculation-sheet'!Y110</f>
        <v>72046997.330252483</v>
      </c>
      <c r="AA133" s="2">
        <f t="shared" si="11"/>
        <v>49243.916729727469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23.391999999999999</v>
      </c>
      <c r="C13" s="7">
        <v>0</v>
      </c>
      <c r="D13" s="7">
        <v>9.9390000000000001</v>
      </c>
      <c r="E13" s="7">
        <v>13.455</v>
      </c>
      <c r="F13" s="7">
        <v>10.794</v>
      </c>
      <c r="G13" s="7">
        <v>9.8490000000000002</v>
      </c>
      <c r="H13" s="7">
        <v>0</v>
      </c>
      <c r="I13" s="7">
        <v>10.675000000000001</v>
      </c>
      <c r="J13" s="7">
        <v>9.6020000000000003</v>
      </c>
      <c r="K13" s="7">
        <v>12.909000000000001</v>
      </c>
      <c r="L13" s="7">
        <v>13.712999999999999</v>
      </c>
      <c r="M13" s="7">
        <v>0</v>
      </c>
      <c r="N13" s="7">
        <v>28.24</v>
      </c>
      <c r="O13" s="7">
        <v>0</v>
      </c>
      <c r="P13" s="7">
        <v>18.675000000000001</v>
      </c>
      <c r="Q13" s="7">
        <v>21.914000000000001</v>
      </c>
      <c r="R13" s="7">
        <v>14.939</v>
      </c>
      <c r="S13" s="7">
        <v>26.134</v>
      </c>
      <c r="T13" s="7">
        <v>12.239000000000001</v>
      </c>
      <c r="U13" s="7">
        <v>14.048999999999999</v>
      </c>
      <c r="V13" s="7">
        <v>14.18</v>
      </c>
      <c r="W13" s="7">
        <v>9.9320000000000004</v>
      </c>
      <c r="X13" s="7">
        <v>0</v>
      </c>
      <c r="Y13" s="7">
        <v>14.552</v>
      </c>
    </row>
    <row r="14" spans="1:25" ht="28.5" customHeight="1" x14ac:dyDescent="0.25">
      <c r="A14" s="4"/>
      <c r="B14" s="7">
        <v>46.784999999999997</v>
      </c>
      <c r="C14" s="7">
        <v>0</v>
      </c>
      <c r="D14" s="7">
        <v>19.876999999999999</v>
      </c>
      <c r="E14" s="7">
        <v>26.911000000000001</v>
      </c>
      <c r="F14" s="7">
        <v>21.587</v>
      </c>
      <c r="G14" s="7">
        <v>19.698</v>
      </c>
      <c r="H14" s="7">
        <v>0</v>
      </c>
      <c r="I14" s="7">
        <v>21.35</v>
      </c>
      <c r="J14" s="7">
        <v>19.202999999999999</v>
      </c>
      <c r="K14" s="7">
        <v>25.818000000000001</v>
      </c>
      <c r="L14" s="7">
        <v>27.425999999999998</v>
      </c>
      <c r="M14" s="7">
        <v>0</v>
      </c>
      <c r="N14" s="7">
        <v>56.481000000000002</v>
      </c>
      <c r="O14" s="7">
        <v>0</v>
      </c>
      <c r="P14" s="7">
        <v>37.35</v>
      </c>
      <c r="Q14" s="7">
        <v>43.829000000000001</v>
      </c>
      <c r="R14" s="7">
        <v>29.878</v>
      </c>
      <c r="S14" s="7">
        <v>52.268999999999998</v>
      </c>
      <c r="T14" s="7">
        <v>24.478000000000002</v>
      </c>
      <c r="U14" s="7">
        <v>28.097000000000001</v>
      </c>
      <c r="V14" s="7">
        <v>28.359000000000002</v>
      </c>
      <c r="W14" s="7">
        <v>19.864999999999998</v>
      </c>
      <c r="X14" s="7">
        <v>0</v>
      </c>
      <c r="Y14" s="7">
        <v>29.103999999999999</v>
      </c>
    </row>
    <row r="15" spans="1:25" ht="28.5" customHeight="1" x14ac:dyDescent="0.25">
      <c r="A15" s="4"/>
      <c r="B15" s="7">
        <v>71.661000000000001</v>
      </c>
      <c r="C15" s="7">
        <v>0</v>
      </c>
      <c r="D15" s="7">
        <v>29.815999999999999</v>
      </c>
      <c r="E15" s="7">
        <v>40.366</v>
      </c>
      <c r="F15" s="7">
        <v>32.381</v>
      </c>
      <c r="G15" s="7">
        <v>29.547000000000001</v>
      </c>
      <c r="H15" s="7">
        <v>0</v>
      </c>
      <c r="I15" s="7">
        <v>32.024999999999999</v>
      </c>
      <c r="J15" s="7">
        <v>28.805</v>
      </c>
      <c r="K15" s="7">
        <v>38.728000000000002</v>
      </c>
      <c r="L15" s="7">
        <v>41.14</v>
      </c>
      <c r="M15" s="7">
        <v>0</v>
      </c>
      <c r="N15" s="7">
        <v>56.948999999999998</v>
      </c>
      <c r="O15" s="7">
        <v>0</v>
      </c>
      <c r="P15" s="7">
        <v>56.024999999999999</v>
      </c>
      <c r="Q15" s="7">
        <v>66.563999999999993</v>
      </c>
      <c r="R15" s="7">
        <v>44.817</v>
      </c>
      <c r="S15" s="7">
        <v>70.165000000000006</v>
      </c>
      <c r="T15" s="7">
        <v>36.716999999999999</v>
      </c>
      <c r="U15" s="7">
        <v>42.146000000000001</v>
      </c>
      <c r="V15" s="7">
        <v>42.539000000000001</v>
      </c>
      <c r="W15" s="7">
        <v>29.797000000000001</v>
      </c>
      <c r="X15" s="7">
        <v>0</v>
      </c>
      <c r="Y15" s="7">
        <v>43.655999999999999</v>
      </c>
    </row>
    <row r="16" spans="1:25" ht="28.5" customHeight="1" x14ac:dyDescent="0.25">
      <c r="A16" s="4"/>
      <c r="B16" s="7">
        <v>99.262</v>
      </c>
      <c r="C16" s="7">
        <v>0</v>
      </c>
      <c r="D16" s="7">
        <v>39.755000000000003</v>
      </c>
      <c r="E16" s="7">
        <v>53.822000000000003</v>
      </c>
      <c r="F16" s="7">
        <v>43.173999999999999</v>
      </c>
      <c r="G16" s="7">
        <v>39.396000000000001</v>
      </c>
      <c r="H16" s="7">
        <v>0</v>
      </c>
      <c r="I16" s="7">
        <v>42.698999999999998</v>
      </c>
      <c r="J16" s="7">
        <v>38.406999999999996</v>
      </c>
      <c r="K16" s="7">
        <v>51.637</v>
      </c>
      <c r="L16" s="7">
        <v>54.853000000000002</v>
      </c>
      <c r="M16" s="7">
        <v>0</v>
      </c>
      <c r="N16" s="7">
        <v>83.596000000000004</v>
      </c>
      <c r="O16" s="7">
        <v>0</v>
      </c>
      <c r="P16" s="7">
        <v>81.328999999999994</v>
      </c>
      <c r="Q16" s="7">
        <v>94.301000000000002</v>
      </c>
      <c r="R16" s="7">
        <v>60.335999999999999</v>
      </c>
      <c r="S16" s="7">
        <v>91.974999999999994</v>
      </c>
      <c r="T16" s="7">
        <v>48.956000000000003</v>
      </c>
      <c r="U16" s="7">
        <v>56.194000000000003</v>
      </c>
      <c r="V16" s="7">
        <v>56.718000000000004</v>
      </c>
      <c r="W16" s="7">
        <v>39.728999999999999</v>
      </c>
      <c r="X16" s="7">
        <v>0</v>
      </c>
      <c r="Y16" s="7">
        <v>58.27</v>
      </c>
    </row>
    <row r="17" spans="1:25" ht="28.5" customHeight="1" x14ac:dyDescent="0.25">
      <c r="A17" s="4"/>
      <c r="B17" s="7">
        <v>124.574</v>
      </c>
      <c r="C17" s="7">
        <v>0</v>
      </c>
      <c r="D17" s="7">
        <v>49.692999999999998</v>
      </c>
      <c r="E17" s="7">
        <v>73.492999999999995</v>
      </c>
      <c r="F17" s="7">
        <v>53.968000000000004</v>
      </c>
      <c r="G17" s="7">
        <v>49.244999999999997</v>
      </c>
      <c r="H17" s="7">
        <v>0</v>
      </c>
      <c r="I17" s="7">
        <v>53.374000000000002</v>
      </c>
      <c r="J17" s="7">
        <v>48.009</v>
      </c>
      <c r="K17" s="7">
        <v>68.826999999999998</v>
      </c>
      <c r="L17" s="7">
        <v>73.819000000000003</v>
      </c>
      <c r="M17" s="7">
        <v>0</v>
      </c>
      <c r="N17" s="7">
        <v>86.100999999999999</v>
      </c>
      <c r="O17" s="7">
        <v>0</v>
      </c>
      <c r="P17" s="7">
        <v>115.67700000000001</v>
      </c>
      <c r="Q17" s="7">
        <v>130.03200000000001</v>
      </c>
      <c r="R17" s="7">
        <v>85.787000000000006</v>
      </c>
      <c r="S17" s="7">
        <v>111.88500000000001</v>
      </c>
      <c r="T17" s="7">
        <v>62.921999999999997</v>
      </c>
      <c r="U17" s="7">
        <v>83.158000000000001</v>
      </c>
      <c r="V17" s="7">
        <v>77.244</v>
      </c>
      <c r="W17" s="7">
        <v>49.661999999999999</v>
      </c>
      <c r="X17" s="7">
        <v>0</v>
      </c>
      <c r="Y17" s="7">
        <v>83.150999999999996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83.304000000000002</v>
      </c>
      <c r="O18" s="7">
        <v>0</v>
      </c>
      <c r="P18" s="7">
        <v>145.161</v>
      </c>
      <c r="Q18" s="7">
        <v>166.798</v>
      </c>
      <c r="R18" s="7">
        <v>110.988</v>
      </c>
      <c r="S18" s="7">
        <v>109.947</v>
      </c>
      <c r="T18" s="7">
        <v>87.435000000000002</v>
      </c>
      <c r="U18" s="7">
        <v>111.363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127.79</v>
      </c>
      <c r="C19" s="7">
        <v>0</v>
      </c>
      <c r="D19" s="7">
        <v>90.655000000000001</v>
      </c>
      <c r="E19" s="7">
        <v>141.70699999999999</v>
      </c>
      <c r="F19" s="7">
        <v>103.09099999999999</v>
      </c>
      <c r="G19" s="7">
        <v>86.036000000000001</v>
      </c>
      <c r="H19" s="7">
        <v>0</v>
      </c>
      <c r="I19" s="7">
        <v>104.367</v>
      </c>
      <c r="J19" s="7">
        <v>89.346999999999994</v>
      </c>
      <c r="K19" s="7">
        <v>124.57899999999999</v>
      </c>
      <c r="L19" s="7">
        <v>127.529</v>
      </c>
      <c r="M19" s="7">
        <v>0</v>
      </c>
      <c r="N19" s="7">
        <v>77.31</v>
      </c>
      <c r="O19" s="7">
        <v>0</v>
      </c>
      <c r="P19" s="7">
        <v>184.137</v>
      </c>
      <c r="Q19" s="7">
        <v>155.458</v>
      </c>
      <c r="R19" s="7">
        <v>139.78</v>
      </c>
      <c r="S19" s="7">
        <v>99.028999999999996</v>
      </c>
      <c r="T19" s="7">
        <v>110.86799999999999</v>
      </c>
      <c r="U19" s="7">
        <v>146.72800000000001</v>
      </c>
      <c r="V19" s="7">
        <v>129.827</v>
      </c>
      <c r="W19" s="7">
        <v>93.373000000000005</v>
      </c>
      <c r="X19" s="7">
        <v>49.307000000000002</v>
      </c>
      <c r="Y19" s="7">
        <v>145.61799999999999</v>
      </c>
    </row>
    <row r="20" spans="1:25" ht="28.5" customHeight="1" x14ac:dyDescent="0.25">
      <c r="A20" s="4"/>
      <c r="B20" s="7">
        <v>121.398</v>
      </c>
      <c r="C20" s="7">
        <v>0</v>
      </c>
      <c r="D20" s="7">
        <v>99.760999999999996</v>
      </c>
      <c r="E20" s="7">
        <v>121.938</v>
      </c>
      <c r="F20" s="7">
        <v>127.008</v>
      </c>
      <c r="G20" s="7">
        <v>93.900999999999996</v>
      </c>
      <c r="H20" s="7">
        <v>0</v>
      </c>
      <c r="I20" s="7">
        <v>120.104</v>
      </c>
      <c r="J20" s="7">
        <v>102.97499999999999</v>
      </c>
      <c r="K20" s="7">
        <v>146.05199999999999</v>
      </c>
      <c r="L20" s="7">
        <v>134.06399999999999</v>
      </c>
      <c r="M20" s="7">
        <v>0</v>
      </c>
      <c r="N20" s="7">
        <v>76.045000000000002</v>
      </c>
      <c r="O20" s="7">
        <v>0</v>
      </c>
      <c r="P20" s="7">
        <v>185.79</v>
      </c>
      <c r="Q20" s="7">
        <v>145.215</v>
      </c>
      <c r="R20" s="7">
        <v>166.26300000000001</v>
      </c>
      <c r="S20" s="7">
        <v>92.24</v>
      </c>
      <c r="T20" s="7">
        <v>134.25</v>
      </c>
      <c r="U20" s="7">
        <v>141.28</v>
      </c>
      <c r="V20" s="7">
        <v>177.077</v>
      </c>
      <c r="W20" s="7">
        <v>124.15900000000001</v>
      </c>
      <c r="X20" s="7">
        <v>43.93</v>
      </c>
      <c r="Y20" s="7">
        <v>116.786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39.040999999999997</v>
      </c>
      <c r="D22" s="7">
        <v>0</v>
      </c>
      <c r="E22" s="7">
        <v>0</v>
      </c>
      <c r="F22" s="7">
        <v>0</v>
      </c>
      <c r="G22" s="7">
        <v>0</v>
      </c>
      <c r="H22" s="7">
        <v>39.567999999999998</v>
      </c>
      <c r="I22" s="7">
        <v>0</v>
      </c>
      <c r="J22" s="7">
        <v>0</v>
      </c>
      <c r="K22" s="7">
        <v>0</v>
      </c>
      <c r="L22" s="7">
        <v>0</v>
      </c>
      <c r="M22" s="7">
        <v>39.673000000000002</v>
      </c>
      <c r="N22" s="7">
        <v>0</v>
      </c>
      <c r="O22" s="7">
        <v>39.045999999999999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39.167000000000002</v>
      </c>
      <c r="Y22" s="7">
        <v>0</v>
      </c>
    </row>
    <row r="23" spans="1:25" x14ac:dyDescent="0.25">
      <c r="B23" s="7">
        <v>0</v>
      </c>
      <c r="C23" s="7">
        <v>83.481999999999999</v>
      </c>
      <c r="D23" s="7">
        <v>0</v>
      </c>
      <c r="E23" s="7">
        <v>0</v>
      </c>
      <c r="F23" s="7">
        <v>0</v>
      </c>
      <c r="G23" s="7">
        <v>0</v>
      </c>
      <c r="H23" s="7">
        <v>79.972999999999999</v>
      </c>
      <c r="I23" s="7">
        <v>0</v>
      </c>
      <c r="J23" s="7">
        <v>0</v>
      </c>
      <c r="K23" s="7">
        <v>0</v>
      </c>
      <c r="L23" s="7">
        <v>0</v>
      </c>
      <c r="M23" s="7">
        <v>80.228999999999999</v>
      </c>
      <c r="N23" s="7">
        <v>0</v>
      </c>
      <c r="O23" s="7">
        <v>84.019000000000005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81.319999999999993</v>
      </c>
      <c r="Y23" s="7">
        <v>0</v>
      </c>
    </row>
    <row r="24" spans="1:25" x14ac:dyDescent="0.25">
      <c r="B24" s="7">
        <v>0</v>
      </c>
      <c r="C24" s="7">
        <v>135.09200000000001</v>
      </c>
      <c r="D24" s="7">
        <v>0</v>
      </c>
      <c r="E24" s="7">
        <v>0</v>
      </c>
      <c r="F24" s="7">
        <v>0</v>
      </c>
      <c r="G24" s="7">
        <v>0</v>
      </c>
      <c r="H24" s="7">
        <v>131.28100000000001</v>
      </c>
      <c r="I24" s="7">
        <v>0</v>
      </c>
      <c r="J24" s="7">
        <v>0</v>
      </c>
      <c r="K24" s="7">
        <v>0</v>
      </c>
      <c r="L24" s="7">
        <v>0</v>
      </c>
      <c r="M24" s="7">
        <v>131.584</v>
      </c>
      <c r="N24" s="7">
        <v>41.491999999999997</v>
      </c>
      <c r="O24" s="7">
        <v>134.56700000000001</v>
      </c>
      <c r="P24" s="7">
        <v>0</v>
      </c>
      <c r="Q24" s="7">
        <v>0</v>
      </c>
      <c r="R24" s="7">
        <v>0</v>
      </c>
      <c r="S24" s="7">
        <v>15.824</v>
      </c>
      <c r="T24" s="7">
        <v>0</v>
      </c>
      <c r="U24" s="7">
        <v>0</v>
      </c>
      <c r="V24" s="7">
        <v>0</v>
      </c>
      <c r="W24" s="7">
        <v>0</v>
      </c>
      <c r="X24" s="7">
        <v>134.48400000000001</v>
      </c>
      <c r="Y24" s="7">
        <v>0</v>
      </c>
    </row>
    <row r="25" spans="1:25" x14ac:dyDescent="0.25">
      <c r="B25" s="7">
        <v>5.6950000000000003</v>
      </c>
      <c r="C25" s="7">
        <v>180.864</v>
      </c>
      <c r="D25" s="7">
        <v>0</v>
      </c>
      <c r="E25" s="7">
        <v>0</v>
      </c>
      <c r="F25" s="7">
        <v>0</v>
      </c>
      <c r="G25" s="7">
        <v>0</v>
      </c>
      <c r="H25" s="7">
        <v>175.28299999999999</v>
      </c>
      <c r="I25" s="7">
        <v>0</v>
      </c>
      <c r="J25" s="7">
        <v>0</v>
      </c>
      <c r="K25" s="7">
        <v>0</v>
      </c>
      <c r="L25" s="7">
        <v>0</v>
      </c>
      <c r="M25" s="7">
        <v>176.6</v>
      </c>
      <c r="N25" s="7">
        <v>61.517000000000003</v>
      </c>
      <c r="O25" s="7">
        <v>180.07</v>
      </c>
      <c r="P25" s="7">
        <v>0</v>
      </c>
      <c r="Q25" s="7">
        <v>0</v>
      </c>
      <c r="R25" s="7">
        <v>0</v>
      </c>
      <c r="S25" s="7">
        <v>38.292000000000002</v>
      </c>
      <c r="T25" s="7">
        <v>0</v>
      </c>
      <c r="U25" s="7">
        <v>0</v>
      </c>
      <c r="V25" s="7">
        <v>0</v>
      </c>
      <c r="W25" s="7">
        <v>0</v>
      </c>
      <c r="X25" s="7">
        <v>179.864</v>
      </c>
      <c r="Y25" s="7">
        <v>0</v>
      </c>
    </row>
    <row r="26" spans="1:25" x14ac:dyDescent="0.25">
      <c r="B26" s="7">
        <v>29.42</v>
      </c>
      <c r="C26" s="7">
        <v>227.00200000000001</v>
      </c>
      <c r="D26" s="7">
        <v>0</v>
      </c>
      <c r="E26" s="7">
        <v>0</v>
      </c>
      <c r="F26" s="7">
        <v>0</v>
      </c>
      <c r="G26" s="7">
        <v>0</v>
      </c>
      <c r="H26" s="7">
        <v>218.80699999999999</v>
      </c>
      <c r="I26" s="7">
        <v>0</v>
      </c>
      <c r="J26" s="7">
        <v>0</v>
      </c>
      <c r="K26" s="7">
        <v>0</v>
      </c>
      <c r="L26" s="7">
        <v>0</v>
      </c>
      <c r="M26" s="7">
        <v>221.24299999999999</v>
      </c>
      <c r="N26" s="7">
        <v>101.578</v>
      </c>
      <c r="O26" s="7">
        <v>227.67099999999999</v>
      </c>
      <c r="P26" s="7">
        <v>0</v>
      </c>
      <c r="Q26" s="7">
        <v>0</v>
      </c>
      <c r="R26" s="7">
        <v>0</v>
      </c>
      <c r="S26" s="7">
        <v>64.400000000000006</v>
      </c>
      <c r="T26" s="7">
        <v>0</v>
      </c>
      <c r="U26" s="7">
        <v>0</v>
      </c>
      <c r="V26" s="7">
        <v>0</v>
      </c>
      <c r="W26" s="7">
        <v>0</v>
      </c>
      <c r="X26" s="7">
        <v>225.63200000000001</v>
      </c>
      <c r="Y26" s="7">
        <v>0</v>
      </c>
    </row>
    <row r="27" spans="1:25" x14ac:dyDescent="0.25">
      <c r="B27" s="7">
        <v>66.608999999999995</v>
      </c>
      <c r="C27" s="7">
        <v>263.66300000000001</v>
      </c>
      <c r="D27" s="7">
        <v>0</v>
      </c>
      <c r="E27" s="7">
        <v>0</v>
      </c>
      <c r="F27" s="7">
        <v>0</v>
      </c>
      <c r="G27" s="7">
        <v>0</v>
      </c>
      <c r="H27" s="7">
        <v>263.55599999999998</v>
      </c>
      <c r="I27" s="7">
        <v>0</v>
      </c>
      <c r="J27" s="7">
        <v>0</v>
      </c>
      <c r="K27" s="7">
        <v>0</v>
      </c>
      <c r="L27" s="7">
        <v>0</v>
      </c>
      <c r="M27" s="7">
        <v>266.03899999999999</v>
      </c>
      <c r="N27" s="7">
        <v>148.05600000000001</v>
      </c>
      <c r="O27" s="7">
        <v>239.41</v>
      </c>
      <c r="P27" s="7">
        <v>0</v>
      </c>
      <c r="Q27" s="7">
        <v>11.481</v>
      </c>
      <c r="R27" s="7">
        <v>0</v>
      </c>
      <c r="S27" s="7">
        <v>112.43899999999999</v>
      </c>
      <c r="T27" s="7">
        <v>0</v>
      </c>
      <c r="U27" s="7">
        <v>0</v>
      </c>
      <c r="V27" s="7">
        <v>0</v>
      </c>
      <c r="W27" s="7">
        <v>0</v>
      </c>
      <c r="X27" s="7">
        <v>285.17700000000002</v>
      </c>
      <c r="Y27" s="7">
        <v>0</v>
      </c>
    </row>
    <row r="28" spans="1:25" x14ac:dyDescent="0.25">
      <c r="B28" s="7">
        <v>126.693</v>
      </c>
      <c r="C28" s="7">
        <v>272.18299999999999</v>
      </c>
      <c r="D28" s="7">
        <v>0</v>
      </c>
      <c r="E28" s="7">
        <v>19.052</v>
      </c>
      <c r="F28" s="7">
        <v>0</v>
      </c>
      <c r="G28" s="7">
        <v>0</v>
      </c>
      <c r="H28" s="7">
        <v>348.30799999999999</v>
      </c>
      <c r="I28" s="7">
        <v>0</v>
      </c>
      <c r="J28" s="7">
        <v>0</v>
      </c>
      <c r="K28" s="7">
        <v>0</v>
      </c>
      <c r="L28" s="7">
        <v>36.401000000000003</v>
      </c>
      <c r="M28" s="7">
        <v>348.815</v>
      </c>
      <c r="N28" s="7">
        <v>204.25</v>
      </c>
      <c r="O28" s="7">
        <v>250.73099999999999</v>
      </c>
      <c r="P28" s="7">
        <v>0</v>
      </c>
      <c r="Q28" s="7">
        <v>87.43</v>
      </c>
      <c r="R28" s="7">
        <v>0</v>
      </c>
      <c r="S28" s="7">
        <v>180.70099999999999</v>
      </c>
      <c r="T28" s="7">
        <v>0</v>
      </c>
      <c r="U28" s="7">
        <v>0</v>
      </c>
      <c r="V28" s="7">
        <v>0</v>
      </c>
      <c r="W28" s="7">
        <v>0</v>
      </c>
      <c r="X28" s="7">
        <v>321.05700000000002</v>
      </c>
      <c r="Y28" s="7">
        <v>33.094999999999999</v>
      </c>
    </row>
    <row r="29" spans="1:25" x14ac:dyDescent="0.25">
      <c r="B29" s="7">
        <v>156.583</v>
      </c>
      <c r="C29" s="7">
        <v>282.154</v>
      </c>
      <c r="D29" s="7">
        <v>0</v>
      </c>
      <c r="E29" s="7">
        <v>89.481999999999999</v>
      </c>
      <c r="F29" s="7">
        <v>0</v>
      </c>
      <c r="G29" s="7">
        <v>0</v>
      </c>
      <c r="H29" s="7">
        <v>355.62299999999999</v>
      </c>
      <c r="I29" s="7">
        <v>0</v>
      </c>
      <c r="J29" s="7">
        <v>0</v>
      </c>
      <c r="K29" s="7">
        <v>0</v>
      </c>
      <c r="L29" s="7">
        <v>82.486000000000004</v>
      </c>
      <c r="M29" s="7">
        <v>391.03500000000003</v>
      </c>
      <c r="N29" s="7">
        <v>232.548</v>
      </c>
      <c r="O29" s="7">
        <v>259.79000000000002</v>
      </c>
      <c r="P29" s="7">
        <v>34.579000000000001</v>
      </c>
      <c r="Q29" s="7">
        <v>116.157</v>
      </c>
      <c r="R29" s="7">
        <v>0</v>
      </c>
      <c r="S29" s="7">
        <v>210.773</v>
      </c>
      <c r="T29" s="7">
        <v>0</v>
      </c>
      <c r="U29" s="7">
        <v>25.082000000000001</v>
      </c>
      <c r="V29" s="7">
        <v>0</v>
      </c>
      <c r="W29" s="7">
        <v>0</v>
      </c>
      <c r="X29" s="7">
        <v>337.62</v>
      </c>
      <c r="Y29" s="7">
        <v>112.119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2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2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137</v>
      </c>
      <c r="D42" s="7">
        <v>0</v>
      </c>
      <c r="E42" s="7">
        <v>0</v>
      </c>
      <c r="F42" s="7">
        <v>0</v>
      </c>
      <c r="G42" s="7">
        <v>0</v>
      </c>
      <c r="H42" s="7">
        <v>74</v>
      </c>
      <c r="I42" s="7">
        <v>0</v>
      </c>
      <c r="J42" s="7">
        <v>0</v>
      </c>
      <c r="K42" s="7">
        <v>0</v>
      </c>
      <c r="L42" s="7">
        <v>0</v>
      </c>
      <c r="M42" s="7">
        <v>76</v>
      </c>
      <c r="N42" s="7">
        <v>0</v>
      </c>
      <c r="O42" s="7">
        <v>146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98</v>
      </c>
      <c r="Y42" s="7">
        <v>0</v>
      </c>
    </row>
    <row r="43" spans="1:25" x14ac:dyDescent="0.25">
      <c r="B43" s="7">
        <v>0</v>
      </c>
      <c r="C43" s="7">
        <v>350</v>
      </c>
      <c r="D43" s="7">
        <v>0</v>
      </c>
      <c r="E43" s="7">
        <v>0</v>
      </c>
      <c r="F43" s="7">
        <v>0</v>
      </c>
      <c r="G43" s="7">
        <v>0</v>
      </c>
      <c r="H43" s="7">
        <v>246</v>
      </c>
      <c r="I43" s="7">
        <v>0</v>
      </c>
      <c r="J43" s="7">
        <v>0</v>
      </c>
      <c r="K43" s="7">
        <v>0</v>
      </c>
      <c r="L43" s="7">
        <v>0</v>
      </c>
      <c r="M43" s="7">
        <v>246</v>
      </c>
      <c r="N43" s="7">
        <v>8</v>
      </c>
      <c r="O43" s="7">
        <v>365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290</v>
      </c>
      <c r="Y43" s="7">
        <v>0</v>
      </c>
    </row>
    <row r="44" spans="1:25" x14ac:dyDescent="0.25">
      <c r="B44" s="7">
        <v>0</v>
      </c>
      <c r="C44" s="7">
        <v>577</v>
      </c>
      <c r="D44" s="7">
        <v>0</v>
      </c>
      <c r="E44" s="7">
        <v>0</v>
      </c>
      <c r="F44" s="7">
        <v>0</v>
      </c>
      <c r="G44" s="7">
        <v>0</v>
      </c>
      <c r="H44" s="7">
        <v>439</v>
      </c>
      <c r="I44" s="7">
        <v>0</v>
      </c>
      <c r="J44" s="7">
        <v>0</v>
      </c>
      <c r="K44" s="7">
        <v>0</v>
      </c>
      <c r="L44" s="7">
        <v>0</v>
      </c>
      <c r="M44" s="7">
        <v>436</v>
      </c>
      <c r="N44" s="7">
        <v>158</v>
      </c>
      <c r="O44" s="7">
        <v>589</v>
      </c>
      <c r="P44" s="7">
        <v>8</v>
      </c>
      <c r="Q44" s="7">
        <v>0</v>
      </c>
      <c r="R44" s="7">
        <v>0</v>
      </c>
      <c r="S44" s="7">
        <v>86</v>
      </c>
      <c r="T44" s="7">
        <v>0</v>
      </c>
      <c r="U44" s="7">
        <v>0</v>
      </c>
      <c r="V44" s="7">
        <v>0</v>
      </c>
      <c r="W44" s="7">
        <v>0</v>
      </c>
      <c r="X44" s="7">
        <v>497</v>
      </c>
      <c r="Y44" s="7">
        <v>0</v>
      </c>
    </row>
    <row r="45" spans="1:25" x14ac:dyDescent="0.25">
      <c r="B45" s="7">
        <v>128</v>
      </c>
      <c r="C45" s="7">
        <v>649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617</v>
      </c>
      <c r="P45" s="7">
        <v>106</v>
      </c>
      <c r="Q45" s="7">
        <v>43</v>
      </c>
      <c r="R45" s="7">
        <v>73</v>
      </c>
      <c r="S45" s="7">
        <v>269</v>
      </c>
      <c r="T45" s="7">
        <v>10</v>
      </c>
      <c r="U45" s="7">
        <v>82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658</v>
      </c>
      <c r="D46" s="7">
        <v>80</v>
      </c>
      <c r="E46" s="7">
        <v>123</v>
      </c>
      <c r="F46" s="7">
        <v>6</v>
      </c>
      <c r="G46" s="7">
        <v>99</v>
      </c>
      <c r="H46" s="7">
        <v>767</v>
      </c>
      <c r="I46" s="7">
        <v>60</v>
      </c>
      <c r="J46" s="7">
        <v>43</v>
      </c>
      <c r="K46" s="7">
        <v>119</v>
      </c>
      <c r="L46" s="7">
        <v>55</v>
      </c>
      <c r="M46" s="7">
        <v>764</v>
      </c>
      <c r="N46" s="7">
        <v>589</v>
      </c>
      <c r="O46" s="7">
        <v>622</v>
      </c>
      <c r="P46" s="7">
        <v>237</v>
      </c>
      <c r="Q46" s="7">
        <v>266</v>
      </c>
      <c r="R46" s="7">
        <v>204</v>
      </c>
      <c r="S46" s="7">
        <v>508</v>
      </c>
      <c r="T46" s="7">
        <v>125</v>
      </c>
      <c r="U46" s="7">
        <v>240</v>
      </c>
      <c r="V46" s="7">
        <v>125</v>
      </c>
      <c r="W46" s="7">
        <v>19</v>
      </c>
      <c r="X46" s="7">
        <v>719</v>
      </c>
      <c r="Y46" s="7">
        <v>191</v>
      </c>
    </row>
    <row r="47" spans="1:25" x14ac:dyDescent="0.25">
      <c r="B47" s="7">
        <v>470</v>
      </c>
      <c r="C47" s="7">
        <v>668</v>
      </c>
      <c r="D47" s="7">
        <v>163</v>
      </c>
      <c r="E47" s="7">
        <v>371</v>
      </c>
      <c r="F47" s="7">
        <v>66</v>
      </c>
      <c r="G47" s="7">
        <v>209</v>
      </c>
      <c r="H47" s="7">
        <v>774</v>
      </c>
      <c r="I47" s="7">
        <v>150</v>
      </c>
      <c r="J47" s="7">
        <v>149</v>
      </c>
      <c r="K47" s="7">
        <v>208</v>
      </c>
      <c r="L47" s="7">
        <v>244</v>
      </c>
      <c r="M47" s="7">
        <v>800</v>
      </c>
      <c r="N47" s="7">
        <v>675</v>
      </c>
      <c r="O47" s="7">
        <v>632</v>
      </c>
      <c r="P47" s="7">
        <v>358</v>
      </c>
      <c r="Q47" s="7">
        <v>356</v>
      </c>
      <c r="R47" s="7">
        <v>292</v>
      </c>
      <c r="S47" s="7">
        <v>589</v>
      </c>
      <c r="T47" s="7">
        <v>283</v>
      </c>
      <c r="U47" s="7">
        <v>309</v>
      </c>
      <c r="V47" s="7">
        <v>246</v>
      </c>
      <c r="W47" s="7">
        <v>165</v>
      </c>
      <c r="X47" s="7">
        <v>735</v>
      </c>
      <c r="Y47" s="7">
        <v>428</v>
      </c>
    </row>
    <row r="49" spans="1:25" x14ac:dyDescent="0.25">
      <c r="A49" s="6" t="s">
        <v>20</v>
      </c>
      <c r="B49" s="7">
        <v>9.5657912889317395E-2</v>
      </c>
      <c r="C49" s="7">
        <v>0.10000233173683891</v>
      </c>
      <c r="D49" s="7">
        <v>9.4040053512198338E-2</v>
      </c>
      <c r="E49" s="7">
        <v>0.11642956256913538</v>
      </c>
      <c r="F49" s="7">
        <v>7.4242586411923564E-2</v>
      </c>
      <c r="G49" s="7">
        <v>7.7304732944776286E-2</v>
      </c>
      <c r="H49" s="7">
        <v>0.10439500559953117</v>
      </c>
      <c r="I49" s="7">
        <v>7.8260583516947951E-2</v>
      </c>
      <c r="J49" s="7">
        <v>0.11794077378506367</v>
      </c>
      <c r="K49" s="7">
        <v>9.8459974066722217E-2</v>
      </c>
      <c r="L49" s="7">
        <v>0.17632792121137481</v>
      </c>
      <c r="M49" s="7">
        <v>0.13278691822444375</v>
      </c>
      <c r="N49" s="7">
        <v>0.11813893831005577</v>
      </c>
      <c r="O49" s="7">
        <v>0.1076224601673309</v>
      </c>
      <c r="P49" s="7">
        <v>8.8764453544232638E-2</v>
      </c>
      <c r="Q49" s="7">
        <v>0.10310408474662643</v>
      </c>
      <c r="R49" s="7">
        <v>0.10523558115604668</v>
      </c>
      <c r="S49" s="7">
        <v>9.8909925632854806E-2</v>
      </c>
      <c r="T49" s="7">
        <v>0.11343306324723364</v>
      </c>
      <c r="U49" s="7">
        <v>8.3335055712589756E-2</v>
      </c>
      <c r="V49" s="7">
        <v>0.21742200866251901</v>
      </c>
      <c r="W49" s="7">
        <v>8.5303715440778319E-2</v>
      </c>
      <c r="X49" s="7">
        <v>0.12167946319836349</v>
      </c>
      <c r="Y49" s="7">
        <v>9.0774791340358291E-2</v>
      </c>
    </row>
    <row r="50" spans="1:25" x14ac:dyDescent="0.25">
      <c r="B50" s="7">
        <v>8.8306753797435231E-2</v>
      </c>
      <c r="C50" s="7">
        <v>9.5706537822767876E-2</v>
      </c>
      <c r="D50" s="7">
        <v>8.3291216075501218E-2</v>
      </c>
      <c r="E50" s="7">
        <v>0.10343855929070542</v>
      </c>
      <c r="F50" s="7">
        <v>6.649068286798808E-2</v>
      </c>
      <c r="G50" s="7">
        <v>6.8921370193574014E-2</v>
      </c>
      <c r="H50" s="7">
        <v>9.7029798141116383E-2</v>
      </c>
      <c r="I50" s="7">
        <v>6.9926918617346734E-2</v>
      </c>
      <c r="J50" s="7">
        <v>0.10369534705777043</v>
      </c>
      <c r="K50" s="7">
        <v>8.7903766106684822E-2</v>
      </c>
      <c r="L50" s="7">
        <v>0.15483345559496564</v>
      </c>
      <c r="M50" s="7">
        <v>0.1214190563094333</v>
      </c>
      <c r="N50" s="7">
        <v>0.10882739767851227</v>
      </c>
      <c r="O50" s="7">
        <v>0.10309840343565853</v>
      </c>
      <c r="P50" s="7">
        <v>8.1160803265702464E-2</v>
      </c>
      <c r="Q50" s="7">
        <v>9.4117999343844239E-2</v>
      </c>
      <c r="R50" s="7">
        <v>9.4237540761637179E-2</v>
      </c>
      <c r="S50" s="7">
        <v>9.1787809232338688E-2</v>
      </c>
      <c r="T50" s="7">
        <v>0.100555963470095</v>
      </c>
      <c r="U50" s="7">
        <v>7.524382830047735E-2</v>
      </c>
      <c r="V50" s="7">
        <v>0.19021640966199374</v>
      </c>
      <c r="W50" s="7">
        <v>7.5818024703584147E-2</v>
      </c>
      <c r="X50" s="7">
        <v>0.11316494869978429</v>
      </c>
      <c r="Y50" s="7">
        <v>8.1720017345190618E-2</v>
      </c>
    </row>
    <row r="51" spans="1:25" x14ac:dyDescent="0.25">
      <c r="B51" s="7">
        <v>8.1095377111205902E-2</v>
      </c>
      <c r="C51" s="7">
        <v>9.8049486163457628E-2</v>
      </c>
      <c r="D51" s="7">
        <v>7.2453456197205279E-2</v>
      </c>
      <c r="E51" s="7">
        <v>9.0326970082955302E-2</v>
      </c>
      <c r="F51" s="7">
        <v>5.8644268163766528E-2</v>
      </c>
      <c r="G51" s="7">
        <v>6.0449944242507332E-2</v>
      </c>
      <c r="H51" s="7">
        <v>9.4121335308940166E-2</v>
      </c>
      <c r="I51" s="7">
        <v>6.1499015796443582E-2</v>
      </c>
      <c r="J51" s="7">
        <v>8.9363736446465336E-2</v>
      </c>
      <c r="K51" s="7">
        <v>7.7231339115697267E-2</v>
      </c>
      <c r="L51" s="7">
        <v>0.13321665447216377</v>
      </c>
      <c r="M51" s="7">
        <v>0.11455845109846191</v>
      </c>
      <c r="N51" s="7">
        <v>9.9709322226620073E-2</v>
      </c>
      <c r="O51" s="7">
        <v>0.10529666152586852</v>
      </c>
      <c r="P51" s="7">
        <v>7.3389060663361788E-2</v>
      </c>
      <c r="Q51" s="7">
        <v>8.5128958007109332E-2</v>
      </c>
      <c r="R51" s="7">
        <v>8.3105876468037868E-2</v>
      </c>
      <c r="S51" s="7">
        <v>8.5185344462964427E-2</v>
      </c>
      <c r="T51" s="7">
        <v>8.7568670864290959E-2</v>
      </c>
      <c r="U51" s="7">
        <v>6.7026324972138923E-2</v>
      </c>
      <c r="V51" s="7">
        <v>0.16288320930662636</v>
      </c>
      <c r="W51" s="7">
        <v>6.624291804498908E-2</v>
      </c>
      <c r="X51" s="7">
        <v>0.11030261157498428</v>
      </c>
      <c r="Y51" s="7">
        <v>7.2535675723920806E-2</v>
      </c>
    </row>
    <row r="52" spans="1:25" x14ac:dyDescent="0.25">
      <c r="B52" s="7">
        <v>7.5471414775547349E-2</v>
      </c>
      <c r="C52" s="7">
        <v>0.10099322406857095</v>
      </c>
      <c r="D52" s="7">
        <v>6.1618775746554853E-2</v>
      </c>
      <c r="E52" s="7">
        <v>7.7219578486668841E-2</v>
      </c>
      <c r="F52" s="7">
        <v>5.0801131213460228E-2</v>
      </c>
      <c r="G52" s="7">
        <v>5.1981564802138648E-2</v>
      </c>
      <c r="H52" s="7">
        <v>9.3085559922389732E-2</v>
      </c>
      <c r="I52" s="7">
        <v>5.3074371201542896E-2</v>
      </c>
      <c r="J52" s="7">
        <v>7.5035120211466674E-2</v>
      </c>
      <c r="K52" s="7">
        <v>6.6562968691132873E-2</v>
      </c>
      <c r="L52" s="7">
        <v>0.11160411166344311</v>
      </c>
      <c r="M52" s="7">
        <v>0.1095125955435385</v>
      </c>
      <c r="N52" s="7">
        <v>9.3122063418745168E-2</v>
      </c>
      <c r="O52" s="7">
        <v>0.10797111678383833</v>
      </c>
      <c r="P52" s="7">
        <v>6.717809321817346E-2</v>
      </c>
      <c r="Q52" s="7">
        <v>7.7274379488651138E-2</v>
      </c>
      <c r="R52" s="7">
        <v>7.2114152262687442E-2</v>
      </c>
      <c r="S52" s="7">
        <v>8.0402259006987761E-2</v>
      </c>
      <c r="T52" s="7">
        <v>7.4585211608085358E-2</v>
      </c>
      <c r="U52" s="7">
        <v>5.8813207331721955E-2</v>
      </c>
      <c r="V52" s="7">
        <v>0.13555443267782863</v>
      </c>
      <c r="W52" s="7">
        <v>5.6670910116074578E-2</v>
      </c>
      <c r="X52" s="7">
        <v>0.10871151687852713</v>
      </c>
      <c r="Y52" s="7">
        <v>6.3370243203899987E-2</v>
      </c>
    </row>
    <row r="53" spans="1:25" x14ac:dyDescent="0.25">
      <c r="B53" s="7">
        <v>7.2014246229522239E-2</v>
      </c>
      <c r="C53" s="7">
        <v>0.10317089059730314</v>
      </c>
      <c r="D53" s="7">
        <v>5.0741189662266151E-2</v>
      </c>
      <c r="E53" s="7">
        <v>6.5492247059326714E-2</v>
      </c>
      <c r="F53" s="7">
        <v>4.2912385327157902E-2</v>
      </c>
      <c r="G53" s="7">
        <v>4.3470677017186765E-2</v>
      </c>
      <c r="H53" s="7">
        <v>9.1569975545483531E-2</v>
      </c>
      <c r="I53" s="7">
        <v>4.4604252423540561E-2</v>
      </c>
      <c r="J53" s="7">
        <v>6.066490125884854E-2</v>
      </c>
      <c r="K53" s="7">
        <v>5.6833469803254932E-2</v>
      </c>
      <c r="L53" s="7">
        <v>9.1142611730088113E-2</v>
      </c>
      <c r="M53" s="7">
        <v>0.10402427796792799</v>
      </c>
      <c r="N53" s="7">
        <v>8.9219930706321809E-2</v>
      </c>
      <c r="O53" s="7">
        <v>0.10982122925010883</v>
      </c>
      <c r="P53" s="7">
        <v>6.3289419047375686E-2</v>
      </c>
      <c r="Q53" s="7">
        <v>7.1094429927353306E-2</v>
      </c>
      <c r="R53" s="7">
        <v>6.3348979919597134E-2</v>
      </c>
      <c r="S53" s="7">
        <v>7.8748567090714872E-2</v>
      </c>
      <c r="T53" s="7">
        <v>6.1950060079768811E-2</v>
      </c>
      <c r="U53" s="7">
        <v>5.3536539000088673E-2</v>
      </c>
      <c r="V53" s="7">
        <v>0.10963891691203444</v>
      </c>
      <c r="W53" s="7">
        <v>4.7055743591299916E-2</v>
      </c>
      <c r="X53" s="7">
        <v>0.10645308159480392</v>
      </c>
      <c r="Y53" s="7">
        <v>5.650235336955603E-2</v>
      </c>
    </row>
    <row r="54" spans="1:25" x14ac:dyDescent="0.25">
      <c r="B54" s="7">
        <v>7.1638332252391676E-2</v>
      </c>
      <c r="C54" s="7">
        <v>0.10635594729444263</v>
      </c>
      <c r="D54" s="7">
        <v>4.0295421875238102E-2</v>
      </c>
      <c r="E54" s="7">
        <v>5.7187129678051153E-2</v>
      </c>
      <c r="F54" s="7">
        <v>3.6066027323418778E-2</v>
      </c>
      <c r="G54" s="7">
        <v>3.5242844984015337E-2</v>
      </c>
      <c r="H54" s="7">
        <v>8.9285694588475031E-2</v>
      </c>
      <c r="I54" s="7">
        <v>3.7666236100454865E-2</v>
      </c>
      <c r="J54" s="7">
        <v>4.6253079588610919E-2</v>
      </c>
      <c r="K54" s="7">
        <v>4.9823547345959479E-2</v>
      </c>
      <c r="L54" s="7">
        <v>7.3362171670528706E-2</v>
      </c>
      <c r="M54" s="7">
        <v>9.7718412285397349E-2</v>
      </c>
      <c r="N54" s="7">
        <v>8.5971956755582793E-2</v>
      </c>
      <c r="O54" s="7">
        <v>0.11196944200569693</v>
      </c>
      <c r="P54" s="7">
        <v>6.157649039198651E-2</v>
      </c>
      <c r="Q54" s="7">
        <v>6.8294082789859725E-2</v>
      </c>
      <c r="R54" s="7">
        <v>5.7273472577265401E-2</v>
      </c>
      <c r="S54" s="7">
        <v>7.8273606003939136E-2</v>
      </c>
      <c r="T54" s="7">
        <v>5.2093192562087887E-2</v>
      </c>
      <c r="U54" s="7">
        <v>5.1644935981714712E-2</v>
      </c>
      <c r="V54" s="7">
        <v>8.5958437092611917E-2</v>
      </c>
      <c r="W54" s="7">
        <v>3.7801371427476152E-2</v>
      </c>
      <c r="X54" s="7">
        <v>0.10377190706263481</v>
      </c>
      <c r="Y54" s="7">
        <v>5.3321122192760674E-2</v>
      </c>
    </row>
    <row r="55" spans="1:25" x14ac:dyDescent="0.25">
      <c r="B55" s="7">
        <v>7.3487234052674891E-2</v>
      </c>
      <c r="C55" s="7">
        <v>0.11039699097346339</v>
      </c>
      <c r="D55" s="7">
        <v>3.6599553133777954E-2</v>
      </c>
      <c r="E55" s="7">
        <v>5.5856089342979996E-2</v>
      </c>
      <c r="F55" s="7">
        <v>3.3346718789685481E-2</v>
      </c>
      <c r="G55" s="7">
        <v>3.3923769320748705E-2</v>
      </c>
      <c r="H55" s="7">
        <v>8.9309740978152294E-2</v>
      </c>
      <c r="I55" s="7">
        <v>3.641443506903836E-2</v>
      </c>
      <c r="J55" s="7">
        <v>3.8468386075767913E-2</v>
      </c>
      <c r="K55" s="7">
        <v>4.6458322054002479E-2</v>
      </c>
      <c r="L55" s="7">
        <v>6.1328825113731812E-2</v>
      </c>
      <c r="M55" s="7">
        <v>9.3363556896124134E-2</v>
      </c>
      <c r="N55" s="7">
        <v>8.3112675801429461E-2</v>
      </c>
      <c r="O55" s="7">
        <v>0.11405408409213068</v>
      </c>
      <c r="P55" s="7">
        <v>6.2758279245668722E-2</v>
      </c>
      <c r="Q55" s="7">
        <v>6.9637831890185825E-2</v>
      </c>
      <c r="R55" s="7">
        <v>5.3703651392069028E-2</v>
      </c>
      <c r="S55" s="7">
        <v>7.9503675037204055E-2</v>
      </c>
      <c r="T55" s="7">
        <v>4.5793066524747544E-2</v>
      </c>
      <c r="U55" s="7">
        <v>5.3681713244267189E-2</v>
      </c>
      <c r="V55" s="7">
        <v>6.4774152788488859E-2</v>
      </c>
      <c r="W55" s="7">
        <v>3.3876686531547143E-2</v>
      </c>
      <c r="X55" s="7">
        <v>0.10709944043364403</v>
      </c>
      <c r="Y55" s="7">
        <v>5.6971368587670226E-2</v>
      </c>
    </row>
    <row r="56" spans="1:25" x14ac:dyDescent="0.25">
      <c r="B56" s="7">
        <v>8.0355315299315125E-2</v>
      </c>
      <c r="C56" s="7">
        <v>0.11443686878406471</v>
      </c>
      <c r="D56" s="7">
        <v>4.1983440298469558E-2</v>
      </c>
      <c r="E56" s="7">
        <v>6.7348990530093134E-2</v>
      </c>
      <c r="F56" s="7">
        <v>4.0677500860216223E-2</v>
      </c>
      <c r="G56" s="7">
        <v>4.2560341539236837E-2</v>
      </c>
      <c r="H56" s="7">
        <v>9.640892540214277E-2</v>
      </c>
      <c r="I56" s="7">
        <v>4.407170478216723E-2</v>
      </c>
      <c r="J56" s="7">
        <v>4.2077166988721396E-2</v>
      </c>
      <c r="K56" s="7">
        <v>5.2171772270749296E-2</v>
      </c>
      <c r="L56" s="7">
        <v>6.2331317731334893E-2</v>
      </c>
      <c r="M56" s="7">
        <v>0.10045244189434661</v>
      </c>
      <c r="N56" s="7">
        <v>8.7451250095410618E-2</v>
      </c>
      <c r="O56" s="7">
        <v>0.11601707801036101</v>
      </c>
      <c r="P56" s="7">
        <v>7.3581364670107841E-2</v>
      </c>
      <c r="Q56" s="7">
        <v>7.5162364679422028E-2</v>
      </c>
      <c r="R56" s="7">
        <v>5.9356418422450846E-2</v>
      </c>
      <c r="S56" s="7">
        <v>8.5115764577710584E-2</v>
      </c>
      <c r="T56" s="7">
        <v>4.9509371182123556E-2</v>
      </c>
      <c r="U56" s="7">
        <v>6.1063240662950158E-2</v>
      </c>
      <c r="V56" s="7">
        <v>5.6705163734577048E-2</v>
      </c>
      <c r="W56" s="7">
        <v>4.3436331487406221E-2</v>
      </c>
      <c r="X56" s="7">
        <v>0.1156004075362365</v>
      </c>
      <c r="Y56" s="7">
        <v>7.044297373656952E-2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31.119</v>
      </c>
      <c r="D60" s="7">
        <v>0</v>
      </c>
      <c r="E60" s="7">
        <v>0</v>
      </c>
      <c r="F60" s="7">
        <v>0</v>
      </c>
      <c r="G60" s="7">
        <v>0</v>
      </c>
      <c r="H60" s="7">
        <v>19.317</v>
      </c>
      <c r="I60" s="7">
        <v>0</v>
      </c>
      <c r="J60" s="7">
        <v>0</v>
      </c>
      <c r="K60" s="7">
        <v>0</v>
      </c>
      <c r="L60" s="7">
        <v>0</v>
      </c>
      <c r="M60" s="7">
        <v>19.196999999999999</v>
      </c>
      <c r="N60" s="7">
        <v>0</v>
      </c>
      <c r="O60" s="7">
        <v>32.645000000000003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23.327000000000002</v>
      </c>
      <c r="Y60" s="7">
        <v>0</v>
      </c>
    </row>
    <row r="61" spans="1:25" x14ac:dyDescent="0.25">
      <c r="B61" s="7">
        <v>0</v>
      </c>
      <c r="C61" s="7">
        <v>67.515000000000001</v>
      </c>
      <c r="D61" s="7">
        <v>0</v>
      </c>
      <c r="E61" s="7">
        <v>0</v>
      </c>
      <c r="F61" s="7">
        <v>0</v>
      </c>
      <c r="G61" s="7">
        <v>0</v>
      </c>
      <c r="H61" s="7">
        <v>54.015000000000001</v>
      </c>
      <c r="I61" s="7">
        <v>0</v>
      </c>
      <c r="J61" s="7">
        <v>0</v>
      </c>
      <c r="K61" s="7">
        <v>0</v>
      </c>
      <c r="L61" s="7">
        <v>0</v>
      </c>
      <c r="M61" s="7">
        <v>51.567</v>
      </c>
      <c r="N61" s="7">
        <v>2.1989999999999998</v>
      </c>
      <c r="O61" s="7">
        <v>69.483999999999995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58.411999999999999</v>
      </c>
      <c r="Y61" s="7">
        <v>0</v>
      </c>
    </row>
    <row r="62" spans="1:25" x14ac:dyDescent="0.25">
      <c r="B62" s="7">
        <v>0</v>
      </c>
      <c r="C62" s="7">
        <v>103.64100000000001</v>
      </c>
      <c r="D62" s="7">
        <v>0</v>
      </c>
      <c r="E62" s="7">
        <v>0</v>
      </c>
      <c r="F62" s="7">
        <v>0</v>
      </c>
      <c r="G62" s="7">
        <v>0</v>
      </c>
      <c r="H62" s="7">
        <v>83.543999999999997</v>
      </c>
      <c r="I62" s="7">
        <v>0</v>
      </c>
      <c r="J62" s="7">
        <v>0</v>
      </c>
      <c r="K62" s="7">
        <v>0</v>
      </c>
      <c r="L62" s="7">
        <v>0</v>
      </c>
      <c r="M62" s="7">
        <v>82.382999999999996</v>
      </c>
      <c r="N62" s="7">
        <v>32.4</v>
      </c>
      <c r="O62" s="7">
        <v>105.452</v>
      </c>
      <c r="P62" s="7">
        <v>2.3479999999999999</v>
      </c>
      <c r="Q62" s="7">
        <v>0</v>
      </c>
      <c r="R62" s="7">
        <v>0</v>
      </c>
      <c r="S62" s="7">
        <v>18.939</v>
      </c>
      <c r="T62" s="7">
        <v>0</v>
      </c>
      <c r="U62" s="7">
        <v>0</v>
      </c>
      <c r="V62" s="7">
        <v>0</v>
      </c>
      <c r="W62" s="7">
        <v>0</v>
      </c>
      <c r="X62" s="7">
        <v>90.471000000000004</v>
      </c>
      <c r="Y62" s="7">
        <v>0</v>
      </c>
    </row>
    <row r="63" spans="1:25" x14ac:dyDescent="0.25">
      <c r="B63" s="7">
        <v>25.687999999999999</v>
      </c>
      <c r="C63" s="7">
        <v>120.075</v>
      </c>
      <c r="D63" s="7">
        <v>0</v>
      </c>
      <c r="E63" s="7">
        <v>0</v>
      </c>
      <c r="F63" s="7">
        <v>0</v>
      </c>
      <c r="G63" s="7">
        <v>0</v>
      </c>
      <c r="H63" s="7">
        <v>114.79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113.58199999999999</v>
      </c>
      <c r="N63" s="7">
        <v>66.134</v>
      </c>
      <c r="O63" s="7">
        <v>109.42400000000001</v>
      </c>
      <c r="P63" s="7">
        <v>24.831</v>
      </c>
      <c r="Q63" s="7">
        <v>11.523</v>
      </c>
      <c r="R63" s="7">
        <v>19.861999999999998</v>
      </c>
      <c r="S63" s="7">
        <v>51.158000000000001</v>
      </c>
      <c r="T63" s="7">
        <v>3.6970000000000001</v>
      </c>
      <c r="U63" s="7">
        <v>21.864999999999998</v>
      </c>
      <c r="V63" s="7">
        <v>2.198</v>
      </c>
      <c r="W63" s="7">
        <v>0</v>
      </c>
      <c r="X63" s="7">
        <v>121.938</v>
      </c>
      <c r="Y63" s="7">
        <v>2.3969999999999998</v>
      </c>
    </row>
    <row r="64" spans="1:25" x14ac:dyDescent="0.25">
      <c r="B64" s="7">
        <v>62.338000000000001</v>
      </c>
      <c r="C64" s="7">
        <v>120.078</v>
      </c>
      <c r="D64" s="7">
        <v>18.510999999999999</v>
      </c>
      <c r="E64" s="7">
        <v>28.312000000000001</v>
      </c>
      <c r="F64" s="7">
        <v>2.8130000000000002</v>
      </c>
      <c r="G64" s="7">
        <v>26.800999999999998</v>
      </c>
      <c r="H64" s="7">
        <v>147.01300000000001</v>
      </c>
      <c r="I64" s="7">
        <v>17.768999999999998</v>
      </c>
      <c r="J64" s="7">
        <v>12.145</v>
      </c>
      <c r="K64" s="7">
        <v>27.504000000000001</v>
      </c>
      <c r="L64" s="7">
        <v>14.49</v>
      </c>
      <c r="M64" s="7">
        <v>143.69399999999999</v>
      </c>
      <c r="N64" s="7">
        <v>102.93600000000001</v>
      </c>
      <c r="O64" s="7">
        <v>114.39400000000001</v>
      </c>
      <c r="P64" s="7">
        <v>49.18</v>
      </c>
      <c r="Q64" s="7">
        <v>46.625</v>
      </c>
      <c r="R64" s="7">
        <v>44.761000000000003</v>
      </c>
      <c r="S64" s="7">
        <v>90.3</v>
      </c>
      <c r="T64" s="7">
        <v>33.274999999999999</v>
      </c>
      <c r="U64" s="7">
        <v>50.854999999999997</v>
      </c>
      <c r="V64" s="7">
        <v>25.657</v>
      </c>
      <c r="W64" s="7">
        <v>6.415</v>
      </c>
      <c r="X64" s="7">
        <v>136.286</v>
      </c>
      <c r="Y64" s="7">
        <v>33.046999999999997</v>
      </c>
    </row>
    <row r="65" spans="1:25" x14ac:dyDescent="0.25">
      <c r="B65" s="7">
        <v>80.224999999999994</v>
      </c>
      <c r="C65" s="7">
        <v>123.518</v>
      </c>
      <c r="D65" s="7">
        <v>35.823999999999998</v>
      </c>
      <c r="E65" s="7">
        <v>56.420999999999999</v>
      </c>
      <c r="F65" s="7">
        <v>17.934000000000001</v>
      </c>
      <c r="G65" s="7">
        <v>45.933999999999997</v>
      </c>
      <c r="H65" s="7">
        <v>149.91800000000001</v>
      </c>
      <c r="I65" s="7">
        <v>37.085999999999999</v>
      </c>
      <c r="J65" s="7">
        <v>36.237000000000002</v>
      </c>
      <c r="K65" s="7">
        <v>45.713999999999999</v>
      </c>
      <c r="L65" s="7">
        <v>42.387999999999998</v>
      </c>
      <c r="M65" s="7">
        <v>159.07900000000001</v>
      </c>
      <c r="N65" s="7">
        <v>115.41</v>
      </c>
      <c r="O65" s="7">
        <v>116.744</v>
      </c>
      <c r="P65" s="7">
        <v>68.057000000000002</v>
      </c>
      <c r="Q65" s="7">
        <v>60.930999999999997</v>
      </c>
      <c r="R65" s="7">
        <v>60.723999999999997</v>
      </c>
      <c r="S65" s="7">
        <v>106.49</v>
      </c>
      <c r="T65" s="7">
        <v>59.247999999999998</v>
      </c>
      <c r="U65" s="7">
        <v>57.003999999999998</v>
      </c>
      <c r="V65" s="7">
        <v>44.972000000000001</v>
      </c>
      <c r="W65" s="7">
        <v>36.264000000000003</v>
      </c>
      <c r="X65" s="7">
        <v>140.154</v>
      </c>
      <c r="Y65" s="7">
        <v>68.138000000000005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2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3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6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6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</row>
    <row r="74" spans="1:25" x14ac:dyDescent="0.25">
      <c r="B74" s="7">
        <v>2</v>
      </c>
      <c r="C74" s="7">
        <v>10</v>
      </c>
      <c r="D74" s="7">
        <v>1</v>
      </c>
      <c r="E74" s="7">
        <v>2</v>
      </c>
      <c r="F74" s="7">
        <v>1</v>
      </c>
      <c r="G74" s="7">
        <v>2</v>
      </c>
      <c r="H74" s="7">
        <v>3</v>
      </c>
      <c r="I74" s="7">
        <v>1</v>
      </c>
      <c r="J74" s="7">
        <v>1</v>
      </c>
      <c r="K74" s="7">
        <v>1</v>
      </c>
      <c r="L74" s="7">
        <v>1</v>
      </c>
      <c r="M74" s="7">
        <v>2</v>
      </c>
      <c r="N74" s="7">
        <v>2</v>
      </c>
      <c r="O74" s="7">
        <v>9</v>
      </c>
      <c r="P74" s="7">
        <v>2</v>
      </c>
      <c r="Q74" s="7">
        <v>2</v>
      </c>
      <c r="R74" s="7">
        <v>1</v>
      </c>
      <c r="S74" s="7">
        <v>2</v>
      </c>
      <c r="T74" s="7">
        <v>1</v>
      </c>
      <c r="U74" s="7">
        <v>2</v>
      </c>
      <c r="V74" s="7">
        <v>1</v>
      </c>
      <c r="W74" s="7">
        <v>1</v>
      </c>
      <c r="X74" s="7">
        <v>4</v>
      </c>
      <c r="Y74" s="7">
        <v>2</v>
      </c>
    </row>
    <row r="76" spans="1:25" ht="45" x14ac:dyDescent="0.25">
      <c r="A76" s="5" t="s">
        <v>11</v>
      </c>
      <c r="B76" s="7">
        <v>16312830</v>
      </c>
      <c r="C76" s="7">
        <v>11386630</v>
      </c>
      <c r="D76" s="7">
        <v>14228420</v>
      </c>
      <c r="E76" s="7">
        <v>29957880</v>
      </c>
      <c r="F76" s="7">
        <v>20466850</v>
      </c>
      <c r="G76" s="7">
        <v>22179930</v>
      </c>
      <c r="H76" s="7">
        <v>19367260</v>
      </c>
      <c r="I76" s="7">
        <v>17116590</v>
      </c>
      <c r="J76" s="7">
        <v>11736340</v>
      </c>
      <c r="K76" s="7">
        <v>17272540</v>
      </c>
      <c r="L76" s="7">
        <v>14499800</v>
      </c>
      <c r="M76" s="7">
        <v>20562600</v>
      </c>
      <c r="N76" s="7">
        <v>15798280</v>
      </c>
      <c r="O76" s="7">
        <v>8263050.5</v>
      </c>
      <c r="P76" s="7">
        <v>29630200</v>
      </c>
      <c r="Q76" s="7">
        <v>14343230</v>
      </c>
      <c r="R76" s="7">
        <v>18097770</v>
      </c>
      <c r="S76" s="7">
        <v>16160780</v>
      </c>
      <c r="T76" s="7">
        <v>22160920</v>
      </c>
      <c r="U76" s="7">
        <v>16520420</v>
      </c>
      <c r="V76" s="7">
        <v>10981660</v>
      </c>
      <c r="W76" s="7">
        <v>35523980</v>
      </c>
      <c r="X76" s="7">
        <v>20618100</v>
      </c>
      <c r="Y76" s="7">
        <v>33653110</v>
      </c>
    </row>
    <row r="77" spans="1:25" x14ac:dyDescent="0.25">
      <c r="B77" s="7">
        <v>31996470</v>
      </c>
      <c r="C77" s="7">
        <v>22485780</v>
      </c>
      <c r="D77" s="7">
        <v>27928870</v>
      </c>
      <c r="E77" s="7">
        <v>59769350</v>
      </c>
      <c r="F77" s="7">
        <v>40124700</v>
      </c>
      <c r="G77" s="7">
        <v>44088810</v>
      </c>
      <c r="H77" s="7">
        <v>38252260</v>
      </c>
      <c r="I77" s="7">
        <v>33475750</v>
      </c>
      <c r="J77" s="7">
        <v>23237590</v>
      </c>
      <c r="K77" s="7">
        <v>33713180</v>
      </c>
      <c r="L77" s="7">
        <v>28654330</v>
      </c>
      <c r="M77" s="7">
        <v>40973560</v>
      </c>
      <c r="N77" s="7">
        <v>31537960</v>
      </c>
      <c r="O77" s="7">
        <v>16598730</v>
      </c>
      <c r="P77" s="7">
        <v>58383120</v>
      </c>
      <c r="Q77" s="7">
        <v>28438170</v>
      </c>
      <c r="R77" s="7">
        <v>35603470</v>
      </c>
      <c r="S77" s="7">
        <v>31686360</v>
      </c>
      <c r="T77" s="7">
        <v>43588360</v>
      </c>
      <c r="U77" s="7">
        <v>31728270</v>
      </c>
      <c r="V77" s="7">
        <v>21105480</v>
      </c>
      <c r="W77" s="7">
        <v>70724340</v>
      </c>
      <c r="X77" s="7">
        <v>40900060</v>
      </c>
      <c r="Y77" s="7">
        <v>67198450</v>
      </c>
    </row>
    <row r="78" spans="1:25" x14ac:dyDescent="0.25">
      <c r="B78" s="7">
        <v>47020430</v>
      </c>
      <c r="C78" s="7">
        <v>33265330</v>
      </c>
      <c r="D78" s="7">
        <v>41110480</v>
      </c>
      <c r="E78" s="7">
        <v>89425850</v>
      </c>
      <c r="F78" s="7">
        <v>58953380</v>
      </c>
      <c r="G78" s="7">
        <v>65718290</v>
      </c>
      <c r="H78" s="7">
        <v>56617730</v>
      </c>
      <c r="I78" s="7">
        <v>49075350</v>
      </c>
      <c r="J78" s="7">
        <v>34505710</v>
      </c>
      <c r="K78" s="7">
        <v>49320150</v>
      </c>
      <c r="L78" s="7">
        <v>42448940</v>
      </c>
      <c r="M78" s="7">
        <v>61219690</v>
      </c>
      <c r="N78" s="7">
        <v>47215600</v>
      </c>
      <c r="O78" s="7">
        <v>24999050</v>
      </c>
      <c r="P78" s="7">
        <v>86194480</v>
      </c>
      <c r="Q78" s="7">
        <v>42278540</v>
      </c>
      <c r="R78" s="7">
        <v>52490110</v>
      </c>
      <c r="S78" s="7">
        <v>46552290</v>
      </c>
      <c r="T78" s="7">
        <v>64260860</v>
      </c>
      <c r="U78" s="7">
        <v>45616700</v>
      </c>
      <c r="V78" s="7">
        <v>30361230</v>
      </c>
      <c r="W78" s="7">
        <v>105586400</v>
      </c>
      <c r="X78" s="7">
        <v>60840190</v>
      </c>
      <c r="Y78" s="7">
        <v>100625000</v>
      </c>
    </row>
    <row r="79" spans="1:25" x14ac:dyDescent="0.25">
      <c r="B79" s="7">
        <v>62619560</v>
      </c>
      <c r="C79" s="7">
        <v>44634400</v>
      </c>
      <c r="D79" s="7">
        <v>52600720</v>
      </c>
      <c r="E79" s="7">
        <v>117674200</v>
      </c>
      <c r="F79" s="7">
        <v>77439590</v>
      </c>
      <c r="G79" s="7">
        <v>84046950</v>
      </c>
      <c r="H79" s="7">
        <v>74261380</v>
      </c>
      <c r="I79" s="7">
        <v>65093410</v>
      </c>
      <c r="J79" s="7">
        <v>44477220</v>
      </c>
      <c r="K79" s="7">
        <v>64075780</v>
      </c>
      <c r="L79" s="7">
        <v>56859330</v>
      </c>
      <c r="M79" s="7">
        <v>80562210</v>
      </c>
      <c r="N79" s="7">
        <v>60991340</v>
      </c>
      <c r="O79" s="7">
        <v>33040870</v>
      </c>
      <c r="P79" s="7">
        <v>111635000</v>
      </c>
      <c r="Q79" s="7">
        <v>54857340</v>
      </c>
      <c r="R79" s="7">
        <v>69014810</v>
      </c>
      <c r="S79" s="7">
        <v>60953290</v>
      </c>
      <c r="T79" s="7">
        <v>83018950</v>
      </c>
      <c r="U79" s="7">
        <v>59967840</v>
      </c>
      <c r="V79" s="7">
        <v>40351210</v>
      </c>
      <c r="W79" s="7">
        <v>137696200</v>
      </c>
      <c r="X79" s="7">
        <v>80931340</v>
      </c>
      <c r="Y79" s="7">
        <v>131163800</v>
      </c>
    </row>
    <row r="80" spans="1:25" x14ac:dyDescent="0.25">
      <c r="B80" s="7">
        <v>78230550</v>
      </c>
      <c r="C80" s="7">
        <v>56140950</v>
      </c>
      <c r="D80" s="7">
        <v>63148570</v>
      </c>
      <c r="E80" s="7">
        <v>145318300</v>
      </c>
      <c r="F80" s="7">
        <v>95449200</v>
      </c>
      <c r="G80" s="7">
        <v>100670900</v>
      </c>
      <c r="H80" s="7">
        <v>91428770</v>
      </c>
      <c r="I80" s="7">
        <v>81002700</v>
      </c>
      <c r="J80" s="7">
        <v>53807540</v>
      </c>
      <c r="K80" s="7">
        <v>78113920</v>
      </c>
      <c r="L80" s="7">
        <v>71500780</v>
      </c>
      <c r="M80" s="7">
        <v>99479960</v>
      </c>
      <c r="N80" s="7">
        <v>73952470</v>
      </c>
      <c r="O80" s="7">
        <v>40997450</v>
      </c>
      <c r="P80" s="7">
        <v>135495600</v>
      </c>
      <c r="Q80" s="7">
        <v>66827990</v>
      </c>
      <c r="R80" s="7">
        <v>85144850</v>
      </c>
      <c r="S80" s="7">
        <v>74904090</v>
      </c>
      <c r="T80" s="7">
        <v>100586200</v>
      </c>
      <c r="U80" s="7">
        <v>73943370</v>
      </c>
      <c r="V80" s="7">
        <v>50281370</v>
      </c>
      <c r="W80" s="7">
        <v>168162200</v>
      </c>
      <c r="X80" s="7">
        <v>100982000</v>
      </c>
      <c r="Y80" s="7">
        <v>160175100</v>
      </c>
    </row>
    <row r="81" spans="1:25" x14ac:dyDescent="0.25">
      <c r="B81" s="7">
        <v>93835150</v>
      </c>
      <c r="C81" s="7">
        <v>67783040</v>
      </c>
      <c r="D81" s="7">
        <v>72822890</v>
      </c>
      <c r="E81" s="7">
        <v>172365300</v>
      </c>
      <c r="F81" s="7">
        <v>113029200</v>
      </c>
      <c r="G81" s="7">
        <v>115635300</v>
      </c>
      <c r="H81" s="7">
        <v>108148000</v>
      </c>
      <c r="I81" s="7">
        <v>96829010</v>
      </c>
      <c r="J81" s="7">
        <v>62561060</v>
      </c>
      <c r="K81" s="7">
        <v>91503830</v>
      </c>
      <c r="L81" s="7">
        <v>86309580</v>
      </c>
      <c r="M81" s="7">
        <v>118027700</v>
      </c>
      <c r="N81" s="7">
        <v>86154110</v>
      </c>
      <c r="O81" s="7">
        <v>48890110</v>
      </c>
      <c r="P81" s="7">
        <v>157822300</v>
      </c>
      <c r="Q81" s="7">
        <v>78241320</v>
      </c>
      <c r="R81" s="7">
        <v>100921500</v>
      </c>
      <c r="S81" s="7">
        <v>88443760</v>
      </c>
      <c r="T81" s="7">
        <v>117034200</v>
      </c>
      <c r="U81" s="7">
        <v>87565120</v>
      </c>
      <c r="V81" s="7">
        <v>60143330</v>
      </c>
      <c r="W81" s="7">
        <v>196930600</v>
      </c>
      <c r="X81" s="7">
        <v>121015000</v>
      </c>
      <c r="Y81" s="7">
        <v>187644400</v>
      </c>
    </row>
    <row r="82" spans="1:25" x14ac:dyDescent="0.25">
      <c r="B82" s="7">
        <v>109437200</v>
      </c>
      <c r="C82" s="7">
        <v>79558680</v>
      </c>
      <c r="D82" s="7">
        <v>81704050</v>
      </c>
      <c r="E82" s="7">
        <v>198870900</v>
      </c>
      <c r="F82" s="7">
        <v>130228400</v>
      </c>
      <c r="G82" s="7">
        <v>129002800</v>
      </c>
      <c r="H82" s="7">
        <v>124468300</v>
      </c>
      <c r="I82" s="7">
        <v>112598800</v>
      </c>
      <c r="J82" s="7">
        <v>70801450</v>
      </c>
      <c r="K82" s="7">
        <v>104311600</v>
      </c>
      <c r="L82" s="7">
        <v>101284000</v>
      </c>
      <c r="M82" s="7">
        <v>136259200</v>
      </c>
      <c r="N82" s="7">
        <v>97670810</v>
      </c>
      <c r="O82" s="7">
        <v>56743630</v>
      </c>
      <c r="P82" s="7">
        <v>178675700</v>
      </c>
      <c r="Q82" s="7">
        <v>89161320</v>
      </c>
      <c r="R82" s="7">
        <v>116386500</v>
      </c>
      <c r="S82" s="7">
        <v>101617400</v>
      </c>
      <c r="T82" s="7">
        <v>132444400</v>
      </c>
      <c r="U82" s="7">
        <v>100854900</v>
      </c>
      <c r="V82" s="7">
        <v>69934520</v>
      </c>
      <c r="W82" s="7">
        <v>223958100</v>
      </c>
      <c r="X82" s="7">
        <v>141053300</v>
      </c>
      <c r="Y82" s="7">
        <v>213574100</v>
      </c>
    </row>
    <row r="83" spans="1:25" x14ac:dyDescent="0.25">
      <c r="B83" s="7">
        <v>125039600</v>
      </c>
      <c r="C83" s="7">
        <v>91465820</v>
      </c>
      <c r="D83" s="7">
        <v>89869540</v>
      </c>
      <c r="E83" s="7">
        <v>224889700</v>
      </c>
      <c r="F83" s="7">
        <v>147091800</v>
      </c>
      <c r="G83" s="7">
        <v>140843100</v>
      </c>
      <c r="H83" s="7">
        <v>140434900</v>
      </c>
      <c r="I83" s="7">
        <v>128336000</v>
      </c>
      <c r="J83" s="7">
        <v>78588830</v>
      </c>
      <c r="K83" s="7">
        <v>116599400</v>
      </c>
      <c r="L83" s="7">
        <v>116422100</v>
      </c>
      <c r="M83" s="7">
        <v>154224700</v>
      </c>
      <c r="N83" s="7">
        <v>108574500</v>
      </c>
      <c r="O83" s="7">
        <v>64580770</v>
      </c>
      <c r="P83" s="7">
        <v>198124500</v>
      </c>
      <c r="Q83" s="7">
        <v>99648170</v>
      </c>
      <c r="R83" s="7">
        <v>131577600</v>
      </c>
      <c r="S83" s="7">
        <v>114466100</v>
      </c>
      <c r="T83" s="7">
        <v>146898700</v>
      </c>
      <c r="U83" s="7">
        <v>113832400</v>
      </c>
      <c r="V83" s="7">
        <v>79652360</v>
      </c>
      <c r="W83" s="7">
        <v>249210800</v>
      </c>
      <c r="X83" s="7">
        <v>161117900</v>
      </c>
      <c r="Y83" s="7">
        <v>237976600</v>
      </c>
    </row>
    <row r="85" spans="1:25" ht="45" x14ac:dyDescent="0.25">
      <c r="A85" s="6" t="s">
        <v>46</v>
      </c>
      <c r="B85" s="7">
        <v>0</v>
      </c>
      <c r="C85" s="7">
        <v>63572640</v>
      </c>
      <c r="D85" s="7">
        <v>0</v>
      </c>
      <c r="E85" s="7">
        <v>0</v>
      </c>
      <c r="F85" s="7">
        <v>0</v>
      </c>
      <c r="G85" s="7">
        <v>0</v>
      </c>
      <c r="H85" s="7">
        <v>64432000</v>
      </c>
      <c r="I85" s="7">
        <v>0</v>
      </c>
      <c r="J85" s="7">
        <v>0</v>
      </c>
      <c r="K85" s="7">
        <v>0</v>
      </c>
      <c r="L85" s="7">
        <v>0</v>
      </c>
      <c r="M85" s="7">
        <v>64601950</v>
      </c>
      <c r="N85" s="7">
        <v>0</v>
      </c>
      <c r="O85" s="7">
        <v>63581730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63777970</v>
      </c>
      <c r="Y85" s="7">
        <v>0</v>
      </c>
    </row>
    <row r="86" spans="1:25" x14ac:dyDescent="0.25">
      <c r="B86" s="7">
        <v>0</v>
      </c>
      <c r="C86" s="7">
        <v>127145300</v>
      </c>
      <c r="D86" s="7">
        <v>0</v>
      </c>
      <c r="E86" s="7">
        <v>0</v>
      </c>
      <c r="F86" s="7">
        <v>0</v>
      </c>
      <c r="G86" s="7">
        <v>0</v>
      </c>
      <c r="H86" s="7">
        <v>128864000</v>
      </c>
      <c r="I86" s="7">
        <v>0</v>
      </c>
      <c r="J86" s="7">
        <v>0</v>
      </c>
      <c r="K86" s="7">
        <v>0</v>
      </c>
      <c r="L86" s="7">
        <v>0</v>
      </c>
      <c r="M86" s="7">
        <v>129203900</v>
      </c>
      <c r="N86" s="7">
        <v>0</v>
      </c>
      <c r="O86" s="7">
        <v>127163500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127555900</v>
      </c>
      <c r="Y86" s="7">
        <v>0</v>
      </c>
    </row>
    <row r="87" spans="1:25" x14ac:dyDescent="0.25">
      <c r="B87" s="7">
        <v>0</v>
      </c>
      <c r="C87" s="7">
        <v>190689600</v>
      </c>
      <c r="D87" s="7">
        <v>0</v>
      </c>
      <c r="E87" s="7">
        <v>0</v>
      </c>
      <c r="F87" s="7">
        <v>0</v>
      </c>
      <c r="G87" s="7">
        <v>0</v>
      </c>
      <c r="H87" s="7">
        <v>193278400</v>
      </c>
      <c r="I87" s="7">
        <v>0</v>
      </c>
      <c r="J87" s="7">
        <v>0</v>
      </c>
      <c r="K87" s="7">
        <v>0</v>
      </c>
      <c r="L87" s="7">
        <v>0</v>
      </c>
      <c r="M87" s="7">
        <v>193788400</v>
      </c>
      <c r="N87" s="7">
        <v>63635920</v>
      </c>
      <c r="O87" s="7">
        <v>190715500</v>
      </c>
      <c r="P87" s="7">
        <v>0</v>
      </c>
      <c r="Q87" s="7">
        <v>0</v>
      </c>
      <c r="R87" s="7">
        <v>0</v>
      </c>
      <c r="S87" s="7">
        <v>23446030</v>
      </c>
      <c r="T87" s="7">
        <v>0</v>
      </c>
      <c r="U87" s="7">
        <v>0</v>
      </c>
      <c r="V87" s="7">
        <v>0</v>
      </c>
      <c r="W87" s="7">
        <v>0</v>
      </c>
      <c r="X87" s="7">
        <v>191312700</v>
      </c>
      <c r="Y87" s="7">
        <v>0</v>
      </c>
    </row>
    <row r="88" spans="1:25" x14ac:dyDescent="0.25">
      <c r="B88" s="7">
        <v>7326795.3360000001</v>
      </c>
      <c r="C88" s="7">
        <v>254232500</v>
      </c>
      <c r="D88" s="7">
        <v>0</v>
      </c>
      <c r="E88" s="7">
        <v>0</v>
      </c>
      <c r="F88" s="7">
        <v>0</v>
      </c>
      <c r="G88" s="7">
        <v>0</v>
      </c>
      <c r="H88" s="7">
        <v>257678800</v>
      </c>
      <c r="I88" s="7">
        <v>0</v>
      </c>
      <c r="J88" s="7">
        <v>0</v>
      </c>
      <c r="K88" s="7">
        <v>0</v>
      </c>
      <c r="L88" s="7">
        <v>0</v>
      </c>
      <c r="M88" s="7">
        <v>258360900</v>
      </c>
      <c r="N88" s="7">
        <v>79870050</v>
      </c>
      <c r="O88" s="7">
        <v>254268900</v>
      </c>
      <c r="P88" s="7">
        <v>0</v>
      </c>
      <c r="Q88" s="7">
        <v>0</v>
      </c>
      <c r="R88" s="7">
        <v>0</v>
      </c>
      <c r="S88" s="7">
        <v>45993130</v>
      </c>
      <c r="T88" s="7">
        <v>0</v>
      </c>
      <c r="U88" s="7">
        <v>0</v>
      </c>
      <c r="V88" s="7">
        <v>0</v>
      </c>
      <c r="W88" s="7">
        <v>0</v>
      </c>
      <c r="X88" s="7">
        <v>255058700</v>
      </c>
      <c r="Y88" s="7">
        <v>0</v>
      </c>
    </row>
    <row r="89" spans="1:25" x14ac:dyDescent="0.25">
      <c r="B89" s="7">
        <v>30089720</v>
      </c>
      <c r="C89" s="7">
        <v>317805200</v>
      </c>
      <c r="D89" s="7">
        <v>0</v>
      </c>
      <c r="E89" s="7">
        <v>0</v>
      </c>
      <c r="F89" s="7">
        <v>0</v>
      </c>
      <c r="G89" s="7">
        <v>0</v>
      </c>
      <c r="H89" s="7">
        <v>322102000</v>
      </c>
      <c r="I89" s="7">
        <v>0</v>
      </c>
      <c r="J89" s="7">
        <v>0</v>
      </c>
      <c r="K89" s="7">
        <v>0</v>
      </c>
      <c r="L89" s="7">
        <v>0</v>
      </c>
      <c r="M89" s="7">
        <v>322951700</v>
      </c>
      <c r="N89" s="7">
        <v>154845700</v>
      </c>
      <c r="O89" s="7">
        <v>317850600</v>
      </c>
      <c r="P89" s="7">
        <v>0</v>
      </c>
      <c r="Q89" s="7">
        <v>0</v>
      </c>
      <c r="R89" s="7">
        <v>0</v>
      </c>
      <c r="S89" s="7">
        <v>81182930</v>
      </c>
      <c r="T89" s="7">
        <v>0</v>
      </c>
      <c r="U89" s="7">
        <v>0</v>
      </c>
      <c r="V89" s="7">
        <v>0</v>
      </c>
      <c r="W89" s="7">
        <v>0</v>
      </c>
      <c r="X89" s="7">
        <v>318831800</v>
      </c>
      <c r="Y89" s="7">
        <v>0</v>
      </c>
    </row>
    <row r="90" spans="1:25" x14ac:dyDescent="0.25">
      <c r="B90" s="7">
        <v>76863930</v>
      </c>
      <c r="C90" s="7">
        <v>357407400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232232700</v>
      </c>
      <c r="O90" s="7">
        <v>337529200</v>
      </c>
      <c r="P90" s="7">
        <v>0</v>
      </c>
      <c r="Q90" s="7">
        <v>8631090.1160000004</v>
      </c>
      <c r="R90" s="7">
        <v>0</v>
      </c>
      <c r="S90" s="7">
        <v>163509200</v>
      </c>
      <c r="T90" s="7">
        <v>2.2228050000000002E-8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176406400</v>
      </c>
      <c r="C91" s="7">
        <v>375841900</v>
      </c>
      <c r="D91" s="7">
        <v>0</v>
      </c>
      <c r="E91" s="7">
        <v>10769910</v>
      </c>
      <c r="F91" s="7">
        <v>0</v>
      </c>
      <c r="G91" s="7">
        <v>0</v>
      </c>
      <c r="H91" s="7">
        <v>450966000</v>
      </c>
      <c r="I91" s="7">
        <v>0</v>
      </c>
      <c r="J91" s="7">
        <v>0</v>
      </c>
      <c r="K91" s="7">
        <v>0</v>
      </c>
      <c r="L91" s="7">
        <v>28247200</v>
      </c>
      <c r="M91" s="7">
        <v>452155600</v>
      </c>
      <c r="N91" s="7">
        <v>318193800</v>
      </c>
      <c r="O91" s="7">
        <v>354038000</v>
      </c>
      <c r="P91" s="7">
        <v>0</v>
      </c>
      <c r="Q91" s="7">
        <v>92415960</v>
      </c>
      <c r="R91" s="7">
        <v>0</v>
      </c>
      <c r="S91" s="7">
        <v>272971800</v>
      </c>
      <c r="T91" s="7">
        <v>0</v>
      </c>
      <c r="U91" s="7">
        <v>0</v>
      </c>
      <c r="V91" s="7">
        <v>0</v>
      </c>
      <c r="W91" s="7">
        <v>0</v>
      </c>
      <c r="X91" s="7">
        <v>408346000</v>
      </c>
      <c r="Y91" s="7">
        <v>18517340</v>
      </c>
    </row>
    <row r="92" spans="1:25" x14ac:dyDescent="0.25">
      <c r="B92" s="7">
        <v>224134800</v>
      </c>
      <c r="C92" s="7">
        <v>394946000</v>
      </c>
      <c r="D92" s="7">
        <v>0</v>
      </c>
      <c r="E92" s="7">
        <v>74668740</v>
      </c>
      <c r="F92" s="7">
        <v>0</v>
      </c>
      <c r="G92" s="7">
        <v>-1.7986200000000001E-8</v>
      </c>
      <c r="H92" s="7">
        <v>474889500</v>
      </c>
      <c r="I92" s="7">
        <v>0</v>
      </c>
      <c r="J92" s="7">
        <v>0</v>
      </c>
      <c r="K92" s="7">
        <v>0</v>
      </c>
      <c r="L92" s="7">
        <v>77661200</v>
      </c>
      <c r="M92" s="7">
        <v>486986100</v>
      </c>
      <c r="N92" s="7">
        <v>357356600</v>
      </c>
      <c r="O92" s="7">
        <v>369362200</v>
      </c>
      <c r="P92" s="7">
        <v>18763970</v>
      </c>
      <c r="Q92" s="7">
        <v>136074500</v>
      </c>
      <c r="R92" s="7">
        <v>0</v>
      </c>
      <c r="S92" s="7">
        <v>319092600</v>
      </c>
      <c r="T92" s="7">
        <v>0</v>
      </c>
      <c r="U92" s="7">
        <v>12372620</v>
      </c>
      <c r="V92" s="7">
        <v>0</v>
      </c>
      <c r="W92" s="7">
        <v>0</v>
      </c>
      <c r="X92" s="7">
        <v>438050000</v>
      </c>
      <c r="Y92" s="7">
        <v>109359400</v>
      </c>
    </row>
    <row r="94" spans="1:25" ht="45" x14ac:dyDescent="0.25">
      <c r="A94" s="6" t="s">
        <v>47</v>
      </c>
      <c r="B94" s="7">
        <v>64027530</v>
      </c>
      <c r="C94" s="7">
        <v>0</v>
      </c>
      <c r="D94" s="7">
        <v>63962980</v>
      </c>
      <c r="E94" s="7">
        <v>63855550</v>
      </c>
      <c r="F94" s="7">
        <v>65358650</v>
      </c>
      <c r="G94" s="7">
        <v>63987560</v>
      </c>
      <c r="H94" s="7">
        <v>0</v>
      </c>
      <c r="I94" s="7">
        <v>64815530</v>
      </c>
      <c r="J94" s="7">
        <v>63745340</v>
      </c>
      <c r="K94" s="7">
        <v>63572910</v>
      </c>
      <c r="L94" s="7">
        <v>64137440</v>
      </c>
      <c r="M94" s="7">
        <v>0</v>
      </c>
      <c r="N94" s="7">
        <v>64513720</v>
      </c>
      <c r="O94" s="7">
        <v>0</v>
      </c>
      <c r="P94" s="7">
        <v>63572780</v>
      </c>
      <c r="Q94" s="7">
        <v>65948290</v>
      </c>
      <c r="R94" s="7">
        <v>63977160</v>
      </c>
      <c r="S94" s="7">
        <v>64452640</v>
      </c>
      <c r="T94" s="7">
        <v>63566720</v>
      </c>
      <c r="U94" s="7">
        <v>63663710</v>
      </c>
      <c r="V94" s="7">
        <v>63575310</v>
      </c>
      <c r="W94" s="7">
        <v>63564560</v>
      </c>
      <c r="X94" s="7">
        <v>0</v>
      </c>
      <c r="Y94" s="7">
        <v>64271770</v>
      </c>
    </row>
    <row r="95" spans="1:25" x14ac:dyDescent="0.25">
      <c r="B95" s="7">
        <v>128055100</v>
      </c>
      <c r="C95" s="7">
        <v>0</v>
      </c>
      <c r="D95" s="7">
        <v>127926000</v>
      </c>
      <c r="E95" s="7">
        <v>127711100</v>
      </c>
      <c r="F95" s="7">
        <v>130717300</v>
      </c>
      <c r="G95" s="7">
        <v>127975100</v>
      </c>
      <c r="H95" s="7">
        <v>0</v>
      </c>
      <c r="I95" s="7">
        <v>129631100</v>
      </c>
      <c r="J95" s="7">
        <v>127490700</v>
      </c>
      <c r="K95" s="7">
        <v>127145800</v>
      </c>
      <c r="L95" s="7">
        <v>128274900</v>
      </c>
      <c r="M95" s="7">
        <v>0</v>
      </c>
      <c r="N95" s="7">
        <v>129027400</v>
      </c>
      <c r="O95" s="7">
        <v>0</v>
      </c>
      <c r="P95" s="7">
        <v>127145600</v>
      </c>
      <c r="Q95" s="7">
        <v>131896600</v>
      </c>
      <c r="R95" s="7">
        <v>127954300</v>
      </c>
      <c r="S95" s="7">
        <v>128905300</v>
      </c>
      <c r="T95" s="7">
        <v>127133400</v>
      </c>
      <c r="U95" s="7">
        <v>127327400</v>
      </c>
      <c r="V95" s="7">
        <v>127150600</v>
      </c>
      <c r="W95" s="7">
        <v>127129100</v>
      </c>
      <c r="X95" s="7">
        <v>0</v>
      </c>
      <c r="Y95" s="7">
        <v>128543500</v>
      </c>
    </row>
    <row r="96" spans="1:25" x14ac:dyDescent="0.25">
      <c r="B96" s="7">
        <v>192082600</v>
      </c>
      <c r="C96" s="7">
        <v>0</v>
      </c>
      <c r="D96" s="7">
        <v>191888900</v>
      </c>
      <c r="E96" s="7">
        <v>191566600</v>
      </c>
      <c r="F96" s="7">
        <v>196076000</v>
      </c>
      <c r="G96" s="7">
        <v>191962700</v>
      </c>
      <c r="H96" s="7">
        <v>0</v>
      </c>
      <c r="I96" s="7">
        <v>194446600</v>
      </c>
      <c r="J96" s="7">
        <v>191236000</v>
      </c>
      <c r="K96" s="7">
        <v>190718700</v>
      </c>
      <c r="L96" s="7">
        <v>192412300</v>
      </c>
      <c r="M96" s="7">
        <v>0</v>
      </c>
      <c r="N96" s="7">
        <v>129905200</v>
      </c>
      <c r="O96" s="7">
        <v>0</v>
      </c>
      <c r="P96" s="7">
        <v>190718300</v>
      </c>
      <c r="Q96" s="7">
        <v>197844900</v>
      </c>
      <c r="R96" s="7">
        <v>191931500</v>
      </c>
      <c r="S96" s="7">
        <v>169911900</v>
      </c>
      <c r="T96" s="7">
        <v>190700200</v>
      </c>
      <c r="U96" s="7">
        <v>190991100</v>
      </c>
      <c r="V96" s="7">
        <v>190725900</v>
      </c>
      <c r="W96" s="7">
        <v>190693700</v>
      </c>
      <c r="X96" s="7">
        <v>0</v>
      </c>
      <c r="Y96" s="7">
        <v>192815300</v>
      </c>
    </row>
    <row r="97" spans="1:25" x14ac:dyDescent="0.25">
      <c r="B97" s="7">
        <v>248783300</v>
      </c>
      <c r="C97" s="7">
        <v>0</v>
      </c>
      <c r="D97" s="7">
        <v>255851900</v>
      </c>
      <c r="E97" s="7">
        <v>255422200</v>
      </c>
      <c r="F97" s="7">
        <v>261434600</v>
      </c>
      <c r="G97" s="7">
        <v>255950200</v>
      </c>
      <c r="H97" s="7">
        <v>0</v>
      </c>
      <c r="I97" s="7">
        <v>259262100</v>
      </c>
      <c r="J97" s="7">
        <v>254981400</v>
      </c>
      <c r="K97" s="7">
        <v>254291600</v>
      </c>
      <c r="L97" s="7">
        <v>256549700</v>
      </c>
      <c r="M97" s="7">
        <v>0</v>
      </c>
      <c r="N97" s="7">
        <v>178182800</v>
      </c>
      <c r="O97" s="7">
        <v>0</v>
      </c>
      <c r="P97" s="7">
        <v>254291100</v>
      </c>
      <c r="Q97" s="7">
        <v>263793100</v>
      </c>
      <c r="R97" s="7">
        <v>255908600</v>
      </c>
      <c r="S97" s="7">
        <v>211817400</v>
      </c>
      <c r="T97" s="7">
        <v>254266900</v>
      </c>
      <c r="U97" s="7">
        <v>254654800</v>
      </c>
      <c r="V97" s="7">
        <v>254301300</v>
      </c>
      <c r="W97" s="7">
        <v>254258200</v>
      </c>
      <c r="X97" s="7">
        <v>0</v>
      </c>
      <c r="Y97" s="7">
        <v>257087100</v>
      </c>
    </row>
    <row r="98" spans="1:25" x14ac:dyDescent="0.25">
      <c r="B98" s="7">
        <v>290047900</v>
      </c>
      <c r="C98" s="7">
        <v>0</v>
      </c>
      <c r="D98" s="7">
        <v>319814900</v>
      </c>
      <c r="E98" s="7">
        <v>319277700</v>
      </c>
      <c r="F98" s="7">
        <v>326793300</v>
      </c>
      <c r="G98" s="7">
        <v>319937800</v>
      </c>
      <c r="H98" s="7">
        <v>4.4179609999999997E-8</v>
      </c>
      <c r="I98" s="7">
        <v>324077700</v>
      </c>
      <c r="J98" s="7">
        <v>318726700</v>
      </c>
      <c r="K98" s="7">
        <v>317864500</v>
      </c>
      <c r="L98" s="7">
        <v>320687200</v>
      </c>
      <c r="M98" s="7">
        <v>0</v>
      </c>
      <c r="N98" s="7">
        <v>167693400</v>
      </c>
      <c r="O98" s="7">
        <v>0</v>
      </c>
      <c r="P98" s="7">
        <v>317861800</v>
      </c>
      <c r="Q98" s="7">
        <v>329741400</v>
      </c>
      <c r="R98" s="7">
        <v>319885800</v>
      </c>
      <c r="S98" s="7">
        <v>241063000</v>
      </c>
      <c r="T98" s="7">
        <v>317833600</v>
      </c>
      <c r="U98" s="7">
        <v>318318600</v>
      </c>
      <c r="V98" s="7">
        <v>317876600</v>
      </c>
      <c r="W98" s="7">
        <v>317822800</v>
      </c>
      <c r="X98" s="7">
        <v>0</v>
      </c>
      <c r="Y98" s="7">
        <v>321358800</v>
      </c>
    </row>
    <row r="99" spans="1:25" x14ac:dyDescent="0.25">
      <c r="B99" s="7">
        <v>307277900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381446400</v>
      </c>
      <c r="L99" s="7">
        <v>384824600</v>
      </c>
      <c r="M99" s="7">
        <v>0</v>
      </c>
      <c r="N99" s="7">
        <v>154791500</v>
      </c>
      <c r="O99" s="7">
        <v>0</v>
      </c>
      <c r="P99" s="7">
        <v>381414100</v>
      </c>
      <c r="Q99" s="7">
        <v>387054700</v>
      </c>
      <c r="R99" s="7">
        <v>383844900</v>
      </c>
      <c r="S99" s="7">
        <v>223160100</v>
      </c>
      <c r="T99" s="7">
        <v>381397000</v>
      </c>
      <c r="U99" s="7">
        <v>382064300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271729600</v>
      </c>
      <c r="C100" s="7">
        <v>0</v>
      </c>
      <c r="D100" s="7">
        <v>447740800</v>
      </c>
      <c r="E100" s="7">
        <v>436200000</v>
      </c>
      <c r="F100" s="7">
        <v>457508000</v>
      </c>
      <c r="G100" s="7">
        <v>447888500</v>
      </c>
      <c r="H100" s="7">
        <v>0</v>
      </c>
      <c r="I100" s="7">
        <v>453692500</v>
      </c>
      <c r="J100" s="7">
        <v>446206300</v>
      </c>
      <c r="K100" s="7">
        <v>445010400</v>
      </c>
      <c r="L100" s="7">
        <v>420701700</v>
      </c>
      <c r="M100" s="7">
        <v>3.028254E-8</v>
      </c>
      <c r="N100" s="7">
        <v>133344100</v>
      </c>
      <c r="O100" s="7">
        <v>0</v>
      </c>
      <c r="P100" s="7">
        <v>444964700</v>
      </c>
      <c r="Q100" s="7">
        <v>369179600</v>
      </c>
      <c r="R100" s="7">
        <v>447799400</v>
      </c>
      <c r="S100" s="7">
        <v>178138600</v>
      </c>
      <c r="T100" s="7">
        <v>444936800</v>
      </c>
      <c r="U100" s="7">
        <v>445886000</v>
      </c>
      <c r="V100" s="7">
        <v>445152200</v>
      </c>
      <c r="W100" s="7">
        <v>444965100</v>
      </c>
      <c r="X100" s="7">
        <v>33033140</v>
      </c>
      <c r="Y100" s="7">
        <v>431377400</v>
      </c>
    </row>
    <row r="101" spans="1:25" x14ac:dyDescent="0.25">
      <c r="B101" s="7">
        <v>257914800</v>
      </c>
      <c r="C101" s="7">
        <v>0</v>
      </c>
      <c r="D101" s="7">
        <v>476636900</v>
      </c>
      <c r="E101" s="7">
        <v>423854400</v>
      </c>
      <c r="F101" s="7">
        <v>501519100</v>
      </c>
      <c r="G101" s="7">
        <v>483759300</v>
      </c>
      <c r="H101" s="7">
        <v>0</v>
      </c>
      <c r="I101" s="7">
        <v>491349400</v>
      </c>
      <c r="J101" s="7">
        <v>478733300</v>
      </c>
      <c r="K101" s="7">
        <v>484744300</v>
      </c>
      <c r="L101" s="7">
        <v>419528300</v>
      </c>
      <c r="M101" s="7">
        <v>0</v>
      </c>
      <c r="N101" s="7">
        <v>126667100</v>
      </c>
      <c r="O101" s="7">
        <v>0</v>
      </c>
      <c r="P101" s="7">
        <v>471893100</v>
      </c>
      <c r="Q101" s="7">
        <v>352944100</v>
      </c>
      <c r="R101" s="7">
        <v>490619000</v>
      </c>
      <c r="S101" s="7">
        <v>163024900</v>
      </c>
      <c r="T101" s="7">
        <v>494539800</v>
      </c>
      <c r="U101" s="7">
        <v>461676300</v>
      </c>
      <c r="V101" s="7">
        <v>497357000</v>
      </c>
      <c r="W101" s="7">
        <v>500842800</v>
      </c>
      <c r="X101" s="7">
        <v>30843430</v>
      </c>
      <c r="Y101" s="7">
        <v>391821000</v>
      </c>
    </row>
    <row r="103" spans="1:25" ht="45" x14ac:dyDescent="0.25">
      <c r="A103" s="6" t="s">
        <v>49</v>
      </c>
      <c r="B103" s="7">
        <v>448192700</v>
      </c>
      <c r="C103" s="7">
        <v>445008500</v>
      </c>
      <c r="D103" s="7">
        <v>447740800</v>
      </c>
      <c r="E103" s="7">
        <v>446988800</v>
      </c>
      <c r="F103" s="7">
        <v>457510600</v>
      </c>
      <c r="G103" s="7">
        <v>447912900</v>
      </c>
      <c r="H103" s="7">
        <v>451024000</v>
      </c>
      <c r="I103" s="7">
        <v>453708700</v>
      </c>
      <c r="J103" s="7">
        <v>446217400</v>
      </c>
      <c r="K103" s="7">
        <v>445010400</v>
      </c>
      <c r="L103" s="7">
        <v>448962100</v>
      </c>
      <c r="M103" s="7">
        <v>452213700</v>
      </c>
      <c r="N103" s="7">
        <v>451596000</v>
      </c>
      <c r="O103" s="7">
        <v>445072100</v>
      </c>
      <c r="P103" s="7">
        <v>445009400</v>
      </c>
      <c r="Q103" s="7">
        <v>461638000</v>
      </c>
      <c r="R103" s="7">
        <v>447840100</v>
      </c>
      <c r="S103" s="7">
        <v>451168500</v>
      </c>
      <c r="T103" s="7">
        <v>444967000</v>
      </c>
      <c r="U103" s="7">
        <v>445646000</v>
      </c>
      <c r="V103" s="7">
        <v>445027200</v>
      </c>
      <c r="W103" s="7">
        <v>444951900</v>
      </c>
      <c r="X103" s="7">
        <v>446445800</v>
      </c>
      <c r="Y103" s="7">
        <v>449902400</v>
      </c>
    </row>
    <row r="104" spans="1:25" x14ac:dyDescent="0.25">
      <c r="B104" s="7">
        <v>384165200</v>
      </c>
      <c r="C104" s="7">
        <v>381435900</v>
      </c>
      <c r="D104" s="7">
        <v>383777900</v>
      </c>
      <c r="E104" s="7">
        <v>383133300</v>
      </c>
      <c r="F104" s="7">
        <v>392151900</v>
      </c>
      <c r="G104" s="7">
        <v>383925300</v>
      </c>
      <c r="H104" s="7">
        <v>386592000</v>
      </c>
      <c r="I104" s="7">
        <v>388893200</v>
      </c>
      <c r="J104" s="7">
        <v>382472000</v>
      </c>
      <c r="K104" s="7">
        <v>381437400</v>
      </c>
      <c r="L104" s="7">
        <v>384824600</v>
      </c>
      <c r="M104" s="7">
        <v>387611700</v>
      </c>
      <c r="N104" s="7">
        <v>387082300</v>
      </c>
      <c r="O104" s="7">
        <v>381490400</v>
      </c>
      <c r="P104" s="7">
        <v>381436700</v>
      </c>
      <c r="Q104" s="7">
        <v>395689700</v>
      </c>
      <c r="R104" s="7">
        <v>383862900</v>
      </c>
      <c r="S104" s="7">
        <v>386715800</v>
      </c>
      <c r="T104" s="7">
        <v>381400300</v>
      </c>
      <c r="U104" s="7">
        <v>381982300</v>
      </c>
      <c r="V104" s="7">
        <v>381451900</v>
      </c>
      <c r="W104" s="7">
        <v>381387400</v>
      </c>
      <c r="X104" s="7">
        <v>382667800</v>
      </c>
      <c r="Y104" s="7">
        <v>385630600</v>
      </c>
    </row>
    <row r="105" spans="1:25" x14ac:dyDescent="0.25">
      <c r="B105" s="7">
        <v>320137700</v>
      </c>
      <c r="C105" s="7">
        <v>317863200</v>
      </c>
      <c r="D105" s="7">
        <v>319814900</v>
      </c>
      <c r="E105" s="7">
        <v>319277700</v>
      </c>
      <c r="F105" s="7">
        <v>326793300</v>
      </c>
      <c r="G105" s="7">
        <v>319937800</v>
      </c>
      <c r="H105" s="7">
        <v>322160000</v>
      </c>
      <c r="I105" s="7">
        <v>324077700</v>
      </c>
      <c r="J105" s="7">
        <v>318726700</v>
      </c>
      <c r="K105" s="7">
        <v>317864500</v>
      </c>
      <c r="L105" s="7">
        <v>320687200</v>
      </c>
      <c r="M105" s="7">
        <v>323009800</v>
      </c>
      <c r="N105" s="7">
        <v>322568600</v>
      </c>
      <c r="O105" s="7">
        <v>317908700</v>
      </c>
      <c r="P105" s="7">
        <v>317863900</v>
      </c>
      <c r="Q105" s="7">
        <v>329741400</v>
      </c>
      <c r="R105" s="7">
        <v>319885800</v>
      </c>
      <c r="S105" s="7">
        <v>322263200</v>
      </c>
      <c r="T105" s="7">
        <v>317833600</v>
      </c>
      <c r="U105" s="7">
        <v>318318600</v>
      </c>
      <c r="V105" s="7">
        <v>317876600</v>
      </c>
      <c r="W105" s="7">
        <v>317822800</v>
      </c>
      <c r="X105" s="7">
        <v>318889900</v>
      </c>
      <c r="Y105" s="7">
        <v>321358800</v>
      </c>
    </row>
    <row r="106" spans="1:25" x14ac:dyDescent="0.25">
      <c r="B106" s="7">
        <v>256110100</v>
      </c>
      <c r="C106" s="7">
        <v>254290600</v>
      </c>
      <c r="D106" s="7">
        <v>255851900</v>
      </c>
      <c r="E106" s="7">
        <v>255422200</v>
      </c>
      <c r="F106" s="7">
        <v>261434600</v>
      </c>
      <c r="G106" s="7">
        <v>255950200</v>
      </c>
      <c r="H106" s="7">
        <v>257728000</v>
      </c>
      <c r="I106" s="7">
        <v>259262100</v>
      </c>
      <c r="J106" s="7">
        <v>254981400</v>
      </c>
      <c r="K106" s="7">
        <v>254291600</v>
      </c>
      <c r="L106" s="7">
        <v>256549700</v>
      </c>
      <c r="M106" s="7">
        <v>258407800</v>
      </c>
      <c r="N106" s="7">
        <v>258054900</v>
      </c>
      <c r="O106" s="7">
        <v>254326900</v>
      </c>
      <c r="P106" s="7">
        <v>254291100</v>
      </c>
      <c r="Q106" s="7">
        <v>263793100</v>
      </c>
      <c r="R106" s="7">
        <v>255908600</v>
      </c>
      <c r="S106" s="7">
        <v>257810500</v>
      </c>
      <c r="T106" s="7">
        <v>254266900</v>
      </c>
      <c r="U106" s="7">
        <v>254654800</v>
      </c>
      <c r="V106" s="7">
        <v>254301300</v>
      </c>
      <c r="W106" s="7">
        <v>254258200</v>
      </c>
      <c r="X106" s="7">
        <v>255111900</v>
      </c>
      <c r="Y106" s="7">
        <v>257087100</v>
      </c>
    </row>
    <row r="107" spans="1:25" x14ac:dyDescent="0.25">
      <c r="B107" s="7">
        <v>192082600</v>
      </c>
      <c r="C107" s="7">
        <v>190717900</v>
      </c>
      <c r="D107" s="7">
        <v>191888900</v>
      </c>
      <c r="E107" s="7">
        <v>191566600</v>
      </c>
      <c r="F107" s="7">
        <v>196076000</v>
      </c>
      <c r="G107" s="7">
        <v>191962700</v>
      </c>
      <c r="H107" s="7">
        <v>193296000</v>
      </c>
      <c r="I107" s="7">
        <v>194446600</v>
      </c>
      <c r="J107" s="7">
        <v>191236000</v>
      </c>
      <c r="K107" s="7">
        <v>190718700</v>
      </c>
      <c r="L107" s="7">
        <v>192412300</v>
      </c>
      <c r="M107" s="7">
        <v>193805900</v>
      </c>
      <c r="N107" s="7">
        <v>193541100</v>
      </c>
      <c r="O107" s="7">
        <v>190745200</v>
      </c>
      <c r="P107" s="7">
        <v>190718300</v>
      </c>
      <c r="Q107" s="7">
        <v>197844900</v>
      </c>
      <c r="R107" s="7">
        <v>191931500</v>
      </c>
      <c r="S107" s="7">
        <v>193357900</v>
      </c>
      <c r="T107" s="7">
        <v>190700200</v>
      </c>
      <c r="U107" s="7">
        <v>190991100</v>
      </c>
      <c r="V107" s="7">
        <v>190725900</v>
      </c>
      <c r="W107" s="7">
        <v>190693700</v>
      </c>
      <c r="X107" s="7">
        <v>191333900</v>
      </c>
      <c r="Y107" s="7">
        <v>192815300</v>
      </c>
    </row>
    <row r="108" spans="1:25" x14ac:dyDescent="0.25">
      <c r="B108" s="7">
        <v>128055100</v>
      </c>
      <c r="C108" s="7">
        <v>157887900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179357300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152357300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64432000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64601950</v>
      </c>
      <c r="N109" s="7">
        <v>64513720</v>
      </c>
      <c r="O109" s="7">
        <v>171632800</v>
      </c>
      <c r="P109" s="7">
        <v>63572780</v>
      </c>
      <c r="Q109" s="7">
        <v>65948290</v>
      </c>
      <c r="R109" s="7">
        <v>63977160</v>
      </c>
      <c r="S109" s="7">
        <v>64452640</v>
      </c>
      <c r="T109" s="7">
        <v>63566720</v>
      </c>
      <c r="U109" s="7">
        <v>63663710</v>
      </c>
      <c r="V109" s="7">
        <v>63575310</v>
      </c>
      <c r="W109" s="7">
        <v>63564560</v>
      </c>
      <c r="X109" s="7">
        <v>72014110</v>
      </c>
      <c r="Y109" s="7">
        <v>64271770</v>
      </c>
    </row>
    <row r="110" spans="1:25" x14ac:dyDescent="0.25">
      <c r="B110" s="7">
        <v>43183930</v>
      </c>
      <c r="C110" s="7">
        <v>146161700</v>
      </c>
      <c r="D110" s="7">
        <v>44833000</v>
      </c>
      <c r="E110" s="7">
        <v>27027570</v>
      </c>
      <c r="F110" s="7">
        <v>32791780</v>
      </c>
      <c r="G110" s="7">
        <v>42655960</v>
      </c>
      <c r="H110" s="7">
        <v>61175080</v>
      </c>
      <c r="I110" s="7">
        <v>39193740</v>
      </c>
      <c r="J110" s="7">
        <v>38568410</v>
      </c>
      <c r="K110" s="7">
        <v>33601940</v>
      </c>
      <c r="L110" s="7">
        <v>22087400</v>
      </c>
      <c r="M110" s="7">
        <v>47259770</v>
      </c>
      <c r="N110" s="7">
        <v>43330130</v>
      </c>
      <c r="O110" s="7">
        <v>165237500</v>
      </c>
      <c r="P110" s="7">
        <v>34563790</v>
      </c>
      <c r="Q110" s="7">
        <v>50294540</v>
      </c>
      <c r="R110" s="7">
        <v>31040520</v>
      </c>
      <c r="S110" s="7">
        <v>46148510</v>
      </c>
      <c r="T110" s="7">
        <v>21723090</v>
      </c>
      <c r="U110" s="7">
        <v>49211970</v>
      </c>
      <c r="V110" s="7">
        <v>13956470</v>
      </c>
      <c r="W110" s="7">
        <v>19988730</v>
      </c>
      <c r="X110" s="7">
        <v>67832210</v>
      </c>
      <c r="Y110" s="7">
        <v>30360680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J133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B102" s="1"/>
      <c r="C102" s="1"/>
      <c r="E102" s="1"/>
      <c r="F102" s="1"/>
      <c r="G102" s="1"/>
      <c r="H102" s="1"/>
      <c r="J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25">
      <c r="B103" s="1"/>
      <c r="C103" s="1"/>
      <c r="E103" s="1"/>
      <c r="F103" s="1"/>
      <c r="G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x14ac:dyDescent="0.25">
      <c r="B104" s="1"/>
      <c r="C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x14ac:dyDescent="0.25">
      <c r="B105" s="1"/>
      <c r="C105" s="1"/>
      <c r="E105" s="1"/>
      <c r="F105" s="1"/>
      <c r="G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x14ac:dyDescent="0.25">
      <c r="B106" s="1"/>
      <c r="C106" s="1"/>
      <c r="E106" s="1"/>
      <c r="F106" s="1"/>
      <c r="G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x14ac:dyDescent="0.25">
      <c r="B107" s="1"/>
      <c r="C107" s="1"/>
      <c r="F107" s="1"/>
      <c r="G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x14ac:dyDescent="0.25">
      <c r="B108" s="1"/>
      <c r="C108" s="1"/>
      <c r="E108" s="1"/>
      <c r="F108" s="1"/>
      <c r="G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x14ac:dyDescent="0.25">
      <c r="B109" s="1"/>
      <c r="C109" s="1"/>
      <c r="D109" s="1"/>
      <c r="E109" s="1"/>
      <c r="F109" s="1"/>
      <c r="G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2026-02-10T15:45:51Z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