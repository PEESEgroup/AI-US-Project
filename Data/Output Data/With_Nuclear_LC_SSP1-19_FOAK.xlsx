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LC\SSP1-19\FOAK\"/>
    </mc:Choice>
  </mc:AlternateContent>
  <xr:revisionPtr revIDLastSave="0" documentId="13_ncr:1_{AC552BA7-B161-4579-BE23-28EE0E4D46B4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<sst xmlns="http://schemas.openxmlformats.org/spreadsheetml/2006/main" count="1079" uniqueCount="55">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</sst>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5893.8908311746363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3714.0049093716184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2578.0358450885519</v>
      </c>
      <c r="N19" s="2">
        <f>N8/'Output-Calculation-sheet'!N7*'Output-Calculation-sheet'!N25</f>
        <v>880.72607093898364</v>
      </c>
      <c r="O19" s="2">
        <f>O8/'Output-Calculation-sheet'!O7*'Output-Calculation-sheet'!O25</f>
        <v>760.72343343788702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136.10370818254626</v>
      </c>
      <c r="Y19" s="2">
        <f>Y8/'Output-Calculation-sheet'!Y7*'Output-Calculation-sheet'!Y25</f>
        <v>0</v>
      </c>
      <c r="AA19" s="2">
        <f t="shared" si="0"/>
        <v>15.104948887907304</v>
      </c>
    </row>
    <row r="20" spans="1:27" x14ac:dyDescent="0.25">
      <c r="A20" s="2">
        <v>2032</v>
      </c>
      <c r="B20" s="2">
        <f>B9/'Output-Calculation-sheet'!B8*'Output-Calculation-sheet'!B26</f>
        <v>4283.4873560730548</v>
      </c>
      <c r="C20" s="2">
        <f>C9/'Output-Calculation-sheet'!C8*'Output-Calculation-sheet'!C26</f>
        <v>4134.5865510540689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4658.6811642720932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3238.2876803606682</v>
      </c>
      <c r="N20" s="2">
        <f>N9/'Output-Calculation-sheet'!N8*'Output-Calculation-sheet'!N26</f>
        <v>1458.0867007196318</v>
      </c>
      <c r="O20" s="2">
        <f>O9/'Output-Calculation-sheet'!O8*'Output-Calculation-sheet'!O26</f>
        <v>795.45090860654989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530.04701047755555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173.02420132774833</v>
      </c>
      <c r="Y20" s="2">
        <f>Y9/'Output-Calculation-sheet'!Y8*'Output-Calculation-sheet'!Y26</f>
        <v>0</v>
      </c>
      <c r="AA20" s="2">
        <f t="shared" si="0"/>
        <v>19.271651572891368</v>
      </c>
    </row>
    <row r="21" spans="1:27" x14ac:dyDescent="0.25">
      <c r="A21" s="2">
        <v>2033</v>
      </c>
      <c r="B21" s="2">
        <f>B10/'Output-Calculation-sheet'!B9*'Output-Calculation-sheet'!B27</f>
        <v>9630.4592008747968</v>
      </c>
      <c r="C21" s="2">
        <f>C10/'Output-Calculation-sheet'!C9*'Output-Calculation-sheet'!C27</f>
        <v>4001.6212640350764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5595.0094169844078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3887.736288920139</v>
      </c>
      <c r="N21" s="2">
        <f>N10/'Output-Calculation-sheet'!N9*'Output-Calculation-sheet'!N27</f>
        <v>2123.3116960312946</v>
      </c>
      <c r="O21" s="2">
        <f>O10/'Output-Calculation-sheet'!O9*'Output-Calculation-sheet'!O27</f>
        <v>769.55738902521068</v>
      </c>
      <c r="P21" s="2">
        <f>P10/'Output-Calculation-sheet'!P9*'Output-Calculation-sheet'!P27</f>
        <v>0</v>
      </c>
      <c r="Q21" s="2">
        <f>Q10/'Output-Calculation-sheet'!Q9*'Output-Calculation-sheet'!Q27</f>
        <v>142.30813560791694</v>
      </c>
      <c r="R21" s="2">
        <f>R10/'Output-Calculation-sheet'!R9*'Output-Calculation-sheet'!R27</f>
        <v>0</v>
      </c>
      <c r="S21" s="2">
        <f>S10/'Output-Calculation-sheet'!S9*'Output-Calculation-sheet'!S27</f>
        <v>924.31437799927266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246.35797124161934</v>
      </c>
      <c r="Y21" s="2">
        <f>Y10/'Output-Calculation-sheet'!Y9*'Output-Calculation-sheet'!Y27</f>
        <v>0</v>
      </c>
      <c r="AA21" s="2">
        <f t="shared" si="0"/>
        <v>27.320675740719729</v>
      </c>
    </row>
    <row r="22" spans="1:27" x14ac:dyDescent="0.25">
      <c r="A22" s="2">
        <v>2034</v>
      </c>
      <c r="B22" s="2">
        <f>B11/'Output-Calculation-sheet'!B10*'Output-Calculation-sheet'!B28</f>
        <v>17968.544768605581</v>
      </c>
      <c r="C22" s="2">
        <f>C11/'Output-Calculation-sheet'!C10*'Output-Calculation-sheet'!C28</f>
        <v>3911.6504498318195</v>
      </c>
      <c r="D22" s="2">
        <f>D11/'Output-Calculation-sheet'!D10*'Output-Calculation-sheet'!D28</f>
        <v>0</v>
      </c>
      <c r="E22" s="2">
        <f>E11/'Output-Calculation-sheet'!E10*'Output-Calculation-sheet'!E28</f>
        <v>923.22011401679561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6862.6262403626542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559.89874386503209</v>
      </c>
      <c r="M22" s="2">
        <f>M11/'Output-Calculation-sheet'!M10*'Output-Calculation-sheet'!M28</f>
        <v>5091.6855485111491</v>
      </c>
      <c r="N22" s="2">
        <f>N11/'Output-Calculation-sheet'!N10*'Output-Calculation-sheet'!N28</f>
        <v>2931.9453784668581</v>
      </c>
      <c r="O22" s="2">
        <f>O11/'Output-Calculation-sheet'!O10*'Output-Calculation-sheet'!O28</f>
        <v>416.06077883279886</v>
      </c>
      <c r="P22" s="2">
        <f>P11/'Output-Calculation-sheet'!P10*'Output-Calculation-sheet'!P28</f>
        <v>0</v>
      </c>
      <c r="Q22" s="2">
        <f>Q11/'Output-Calculation-sheet'!Q10*'Output-Calculation-sheet'!Q28</f>
        <v>846.20417581757863</v>
      </c>
      <c r="R22" s="2">
        <f>R11/'Output-Calculation-sheet'!R10*'Output-Calculation-sheet'!R28</f>
        <v>0</v>
      </c>
      <c r="S22" s="2">
        <f>S11/'Output-Calculation-sheet'!S10*'Output-Calculation-sheet'!S28</f>
        <v>1398.577517927778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50.965047844300841</v>
      </c>
      <c r="AA22" s="2">
        <f t="shared" si="0"/>
        <v>41.169871607012531</v>
      </c>
    </row>
    <row r="23" spans="1:27" x14ac:dyDescent="0.25">
      <c r="A23" s="2">
        <v>2035</v>
      </c>
      <c r="B23" s="2">
        <f>B12/'Output-Calculation-sheet'!B11*'Output-Calculation-sheet'!B29</f>
        <v>18845.740969656141</v>
      </c>
      <c r="C23" s="2">
        <f>C12/'Output-Calculation-sheet'!C11*'Output-Calculation-sheet'!C29</f>
        <v>7086.8442833920144</v>
      </c>
      <c r="D23" s="2">
        <f>D12/'Output-Calculation-sheet'!D11*'Output-Calculation-sheet'!D29</f>
        <v>0</v>
      </c>
      <c r="E23" s="2">
        <f>E12/'Output-Calculation-sheet'!E11*'Output-Calculation-sheet'!E29</f>
        <v>3197.7902574500113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6877.3511228206007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1149.4520942116403</v>
      </c>
      <c r="M23" s="2">
        <f>M12/'Output-Calculation-sheet'!M11*'Output-Calculation-sheet'!M29</f>
        <v>5285.039947091047</v>
      </c>
      <c r="N23" s="2">
        <f>N12/'Output-Calculation-sheet'!N11*'Output-Calculation-sheet'!N29</f>
        <v>3144.3058333242893</v>
      </c>
      <c r="O23" s="2">
        <f>O12/'Output-Calculation-sheet'!O11*'Output-Calculation-sheet'!O29</f>
        <v>19.257507824891366</v>
      </c>
      <c r="P23" s="2">
        <f>P12/'Output-Calculation-sheet'!P11*'Output-Calculation-sheet'!P29</f>
        <v>356.42530288923939</v>
      </c>
      <c r="Q23" s="2">
        <f>Q12/'Output-Calculation-sheet'!Q11*'Output-Calculation-sheet'!Q29</f>
        <v>971.61709969394644</v>
      </c>
      <c r="R23" s="2">
        <f>R12/'Output-Calculation-sheet'!R11*'Output-Calculation-sheet'!R29</f>
        <v>0</v>
      </c>
      <c r="S23" s="2">
        <f>S12/'Output-Calculation-sheet'!S11*'Output-Calculation-sheet'!S29</f>
        <v>1502.1801073675999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51.465844854167138</v>
      </c>
      <c r="Y23" s="2">
        <f>Y12/'Output-Calculation-sheet'!Y11*'Output-Calculation-sheet'!Y29</f>
        <v>75.496840823458768</v>
      </c>
      <c r="AA23" s="2">
        <f t="shared" si="0"/>
        <v>48.562967211399062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1200.3967495931329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30.851986835558485</v>
      </c>
    </row>
    <row r="31" spans="1:27" x14ac:dyDescent="0.25">
      <c r="A31" s="2">
        <v>2032</v>
      </c>
      <c r="B31" s="2">
        <f>B9/'Output-Calculation-sheet'!B8*'Output-Calculation-sheet'!B17</f>
        <v>18137.52129962029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1242.3486304224032</v>
      </c>
      <c r="O31" s="2">
        <f>O9/'Output-Calculation-sheet'!O8*'Output-Calculation-sheet'!O17</f>
        <v>0</v>
      </c>
      <c r="P31" s="2">
        <f>P9/'Output-Calculation-sheet'!P8*'Output-Calculation-sheet'!P17</f>
        <v>1537.9425910697457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923.99128572809104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39.498060107887532</v>
      </c>
    </row>
    <row r="32" spans="1:27" x14ac:dyDescent="0.25">
      <c r="A32" s="2">
        <v>2033</v>
      </c>
      <c r="B32" s="2">
        <f>B10/'Output-Calculation-sheet'!B9*'Output-Calculation-sheet'!B18</f>
        <v>19665.408454246997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1871.5817684761612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1199.1243802330323</v>
      </c>
      <c r="O32" s="2">
        <f>O10/'Output-Calculation-sheet'!O9*'Output-Calculation-sheet'!O18</f>
        <v>0</v>
      </c>
      <c r="P32" s="2">
        <f>P10/'Output-Calculation-sheet'!P9*'Output-Calculation-sheet'!P18</f>
        <v>1926.2314583124353</v>
      </c>
      <c r="Q32" s="2">
        <f>Q10/'Output-Calculation-sheet'!Q9*'Output-Calculation-sheet'!Q18</f>
        <v>2099.9407111343485</v>
      </c>
      <c r="R32" s="2">
        <f>R10/'Output-Calculation-sheet'!R9*'Output-Calculation-sheet'!R18</f>
        <v>1383.183107598165</v>
      </c>
      <c r="S32" s="2">
        <f>S10/'Output-Calculation-sheet'!S9*'Output-Calculation-sheet'!S18</f>
        <v>905.83790801842804</v>
      </c>
      <c r="T32" s="2">
        <f>T10/'Output-Calculation-sheet'!T9*'Output-Calculation-sheet'!T18</f>
        <v>403.85103142453681</v>
      </c>
      <c r="U32" s="2">
        <f>U10/'Output-Calculation-sheet'!U9*'Output-Calculation-sheet'!U18</f>
        <v>446.44803501046738</v>
      </c>
      <c r="V32" s="2">
        <f>V10/'Output-Calculation-sheet'!V9*'Output-Calculation-sheet'!V18</f>
        <v>329.5423703308474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190.80728240055967</v>
      </c>
      <c r="AA32" s="2">
        <f t="shared" si="1"/>
        <v>47.212486522343177</v>
      </c>
    </row>
    <row r="33" spans="1:27" x14ac:dyDescent="0.25">
      <c r="A33" s="2">
        <v>2034</v>
      </c>
      <c r="B33" s="2">
        <f>B11/'Output-Calculation-sheet'!B10*'Output-Calculation-sheet'!B19</f>
        <v>18308.22075715386</v>
      </c>
      <c r="C33" s="2">
        <f>C11/'Output-Calculation-sheet'!C10*'Output-Calculation-sheet'!C19</f>
        <v>0</v>
      </c>
      <c r="D33" s="2">
        <f>D11/'Output-Calculation-sheet'!D10*'Output-Calculation-sheet'!D19</f>
        <v>5540.3773963451076</v>
      </c>
      <c r="E33" s="2">
        <f>E11/'Output-Calculation-sheet'!E10*'Output-Calculation-sheet'!E19</f>
        <v>6869.1861606827188</v>
      </c>
      <c r="F33" s="2">
        <f>F11/'Output-Calculation-sheet'!F10*'Output-Calculation-sheet'!F19</f>
        <v>3145.1340361035332</v>
      </c>
      <c r="G33" s="2">
        <f>G11/'Output-Calculation-sheet'!G10*'Output-Calculation-sheet'!G19</f>
        <v>1873.6971345375086</v>
      </c>
      <c r="H33" s="2">
        <f>H11/'Output-Calculation-sheet'!H10*'Output-Calculation-sheet'!H19</f>
        <v>0</v>
      </c>
      <c r="I33" s="2">
        <f>I11/'Output-Calculation-sheet'!I10*'Output-Calculation-sheet'!I19</f>
        <v>2058.1509105608543</v>
      </c>
      <c r="J33" s="2">
        <f>J11/'Output-Calculation-sheet'!J10*'Output-Calculation-sheet'!J19</f>
        <v>1740.225931479561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1963.3589110158518</v>
      </c>
      <c r="M33" s="2">
        <f>M11/'Output-Calculation-sheet'!M10*'Output-Calculation-sheet'!M19</f>
        <v>0</v>
      </c>
      <c r="N33" s="2">
        <f>N11/'Output-Calculation-sheet'!N10*'Output-Calculation-sheet'!N19</f>
        <v>1108.8102101225697</v>
      </c>
      <c r="O33" s="2">
        <f>O11/'Output-Calculation-sheet'!O10*'Output-Calculation-sheet'!O19</f>
        <v>0</v>
      </c>
      <c r="P33" s="2">
        <f>P11/'Output-Calculation-sheet'!P10*'Output-Calculation-sheet'!P19</f>
        <v>2443.1496617717917</v>
      </c>
      <c r="Q33" s="2">
        <f>Q11/'Output-Calculation-sheet'!Q10*'Output-Calculation-sheet'!Q19</f>
        <v>1989.172981735758</v>
      </c>
      <c r="R33" s="2">
        <f>R11/'Output-Calculation-sheet'!R10*'Output-Calculation-sheet'!R19</f>
        <v>1743.8454263001843</v>
      </c>
      <c r="S33" s="2">
        <f>S11/'Output-Calculation-sheet'!S10*'Output-Calculation-sheet'!S19</f>
        <v>809.3334253721639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547.37003710036652</v>
      </c>
      <c r="V33" s="2">
        <f>V11/'Output-Calculation-sheet'!V10*'Output-Calculation-sheet'!V19</f>
        <v>401.29362492396081</v>
      </c>
      <c r="W33" s="2">
        <f>W11/'Output-Calculation-sheet'!W10*'Output-Calculation-sheet'!W19</f>
        <v>249.84091054518456</v>
      </c>
      <c r="X33" s="2">
        <f>X11/'Output-Calculation-sheet'!X10*'Output-Calculation-sheet'!X19</f>
        <v>0</v>
      </c>
      <c r="Y33" s="2">
        <f>Y11/'Output-Calculation-sheet'!Y10*'Output-Calculation-sheet'!Y19</f>
        <v>225.21398031046346</v>
      </c>
      <c r="AA33" s="2">
        <f t="shared" si="1"/>
        <v>53.942079768900342</v>
      </c>
    </row>
    <row r="34" spans="1:27" x14ac:dyDescent="0.25">
      <c r="A34" s="2">
        <v>2035</v>
      </c>
      <c r="B34" s="2">
        <f>B12/'Output-Calculation-sheet'!B11*'Output-Calculation-sheet'!B20</f>
        <v>17434.087972484005</v>
      </c>
      <c r="C34" s="2">
        <f>C12/'Output-Calculation-sheet'!C11*'Output-Calculation-sheet'!C20</f>
        <v>0</v>
      </c>
      <c r="D34" s="2">
        <f>D12/'Output-Calculation-sheet'!D11*'Output-Calculation-sheet'!D20</f>
        <v>5559.9741304120116</v>
      </c>
      <c r="E34" s="2">
        <f>E12/'Output-Calculation-sheet'!E11*'Output-Calculation-sheet'!E20</f>
        <v>6161.7191237696561</v>
      </c>
      <c r="F34" s="2">
        <f>F12/'Output-Calculation-sheet'!F11*'Output-Calculation-sheet'!F20</f>
        <v>3460.9455975512251</v>
      </c>
      <c r="G34" s="2">
        <f>G12/'Output-Calculation-sheet'!G11*'Output-Calculation-sheet'!G20</f>
        <v>1865.1537883397218</v>
      </c>
      <c r="H34" s="2">
        <f>H12/'Output-Calculation-sheet'!H11*'Output-Calculation-sheet'!H20</f>
        <v>0</v>
      </c>
      <c r="I34" s="2">
        <f>I12/'Output-Calculation-sheet'!I11*'Output-Calculation-sheet'!I20</f>
        <v>2070.5436133360768</v>
      </c>
      <c r="J34" s="2">
        <f>J12/'Output-Calculation-sheet'!J11*'Output-Calculation-sheet'!J20</f>
        <v>1915.3133162894715</v>
      </c>
      <c r="K34" s="2">
        <f>K12/'Output-Calculation-sheet'!K11*'Output-Calculation-sheet'!K20</f>
        <v>2549.5967218882474</v>
      </c>
      <c r="L34" s="2">
        <f>L12/'Output-Calculation-sheet'!L11*'Output-Calculation-sheet'!L20</f>
        <v>2039.8533111155898</v>
      </c>
      <c r="M34" s="2">
        <f>M12/'Output-Calculation-sheet'!M11*'Output-Calculation-sheet'!M20</f>
        <v>0</v>
      </c>
      <c r="N34" s="2">
        <f>N12/'Output-Calculation-sheet'!N11*'Output-Calculation-sheet'!N20</f>
        <v>1090.4099744096036</v>
      </c>
      <c r="O34" s="2">
        <f>O12/'Output-Calculation-sheet'!O11*'Output-Calculation-sheet'!O20</f>
        <v>0</v>
      </c>
      <c r="P34" s="2">
        <f>P12/'Output-Calculation-sheet'!P11*'Output-Calculation-sheet'!P20</f>
        <v>2339.264184119289</v>
      </c>
      <c r="Q34" s="2">
        <f>Q12/'Output-Calculation-sheet'!Q11*'Output-Calculation-sheet'!Q20</f>
        <v>1913.8391221098839</v>
      </c>
      <c r="R34" s="2">
        <f>R12/'Output-Calculation-sheet'!R11*'Output-Calculation-sheet'!R20</f>
        <v>1957.3097765157088</v>
      </c>
      <c r="S34" s="2">
        <f>S12/'Output-Calculation-sheet'!S11*'Output-Calculation-sheet'!S20</f>
        <v>755.08096832725721</v>
      </c>
      <c r="T34" s="2">
        <f>T12/'Output-Calculation-sheet'!T11*'Output-Calculation-sheet'!T20</f>
        <v>593.84748931490344</v>
      </c>
      <c r="U34" s="2">
        <f>U12/'Output-Calculation-sheet'!U11*'Output-Calculation-sheet'!U20</f>
        <v>546.56987318780409</v>
      </c>
      <c r="V34" s="2">
        <f>V12/'Output-Calculation-sheet'!V11*'Output-Calculation-sheet'!V20</f>
        <v>537.88355218709546</v>
      </c>
      <c r="W34" s="2">
        <f>W12/'Output-Calculation-sheet'!W11*'Output-Calculation-sheet'!W20</f>
        <v>291.69926516422117</v>
      </c>
      <c r="X34" s="2">
        <f>X12/'Output-Calculation-sheet'!X11*'Output-Calculation-sheet'!X20</f>
        <v>0.64714409235411519</v>
      </c>
      <c r="Y34" s="2">
        <f>Y12/'Output-Calculation-sheet'!Y11*'Output-Calculation-sheet'!Y20</f>
        <v>211.23209634202422</v>
      </c>
      <c r="AA34" s="2">
        <f t="shared" si="1"/>
        <v>53.294971020956162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8.274865948906715E-2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1.248008944804474E-2</v>
      </c>
      <c r="H44" s="2">
        <f>H11/'Output-Calculation-sheet'!H10*'Output-Calculation-sheet'!H37*0.0114</f>
        <v>1.2089887354771303E-2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7.1636438738387782E-3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4.6869068212929878E-3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2.2856331250791376E-3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0.12145482011209409</v>
      </c>
    </row>
    <row r="45" spans="1:27" x14ac:dyDescent="0.25">
      <c r="A45" s="2">
        <v>2035</v>
      </c>
      <c r="B45" s="2">
        <f>B12/'Output-Calculation-sheet'!B11*'Output-Calculation-sheet'!B38*0.0114</f>
        <v>0.33094802561900027</v>
      </c>
      <c r="C45" s="2">
        <f>C12/'Output-Calculation-sheet'!C11*'Output-Calculation-sheet'!C38*0.0114</f>
        <v>0.19634449110524727</v>
      </c>
      <c r="D45" s="2">
        <f>D12/'Output-Calculation-sheet'!D11*'Output-Calculation-sheet'!D38*0.0114</f>
        <v>3.4785462900984637E-2</v>
      </c>
      <c r="E45" s="2">
        <f>E12/'Output-Calculation-sheet'!E11*'Output-Calculation-sheet'!E38*0.0114</f>
        <v>0.11058078782567587</v>
      </c>
      <c r="F45" s="2">
        <f>F12/'Output-Calculation-sheet'!F11*'Output-Calculation-sheet'!F38*0.0114</f>
        <v>3.4773853945546926E-2</v>
      </c>
      <c r="G45" s="2">
        <f>G12/'Output-Calculation-sheet'!G11*'Output-Calculation-sheet'!G38*0.0114</f>
        <v>2.4956663877585959E-2</v>
      </c>
      <c r="H45" s="2">
        <f>H12/'Output-Calculation-sheet'!H11*'Output-Calculation-sheet'!H38*0.0114</f>
        <v>7.2529108774498877E-2</v>
      </c>
      <c r="I45" s="2">
        <f>I12/'Output-Calculation-sheet'!I11*'Output-Calculation-sheet'!I38*0.0114</f>
        <v>2.2446976965062905E-2</v>
      </c>
      <c r="J45" s="2">
        <f>J12/'Output-Calculation-sheet'!J11*'Output-Calculation-sheet'!J38*0.0114</f>
        <v>1.1107535775614718E-2</v>
      </c>
      <c r="K45" s="2">
        <f>K12/'Output-Calculation-sheet'!K11*'Output-Calculation-sheet'!K38*0.0114</f>
        <v>2.2061805315729186E-2</v>
      </c>
      <c r="L45" s="2">
        <f>L12/'Output-Calculation-sheet'!L11*'Output-Calculation-sheet'!L38*0.0114</f>
        <v>8.7712659830694109E-3</v>
      </c>
      <c r="M45" s="2">
        <f>M12/'Output-Calculation-sheet'!M11*'Output-Calculation-sheet'!M38*0.0114</f>
        <v>4.1589237779271968E-2</v>
      </c>
      <c r="N45" s="2">
        <f>N12/'Output-Calculation-sheet'!N11*'Output-Calculation-sheet'!N38*0.0114</f>
        <v>2.4525285603016034E-2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3.0209408007920505E-2</v>
      </c>
      <c r="Q45" s="2">
        <f>Q12/'Output-Calculation-sheet'!Q11*'Output-Calculation-sheet'!Q38*0.0114</f>
        <v>2.1487905159942401E-2</v>
      </c>
      <c r="R45" s="2">
        <f>R12/'Output-Calculation-sheet'!R11*'Output-Calculation-sheet'!R38*0.0114</f>
        <v>1.4206205263519876E-2</v>
      </c>
      <c r="S45" s="2">
        <f>S12/'Output-Calculation-sheet'!S11*'Output-Calculation-sheet'!S38*0.0114</f>
        <v>1.8744987149575214E-2</v>
      </c>
      <c r="T45" s="2">
        <f>T12/'Output-Calculation-sheet'!T11*'Output-Calculation-sheet'!T38*0.0114</f>
        <v>2.6278803937436917E-3</v>
      </c>
      <c r="U45" s="2">
        <f>U12/'Output-Calculation-sheet'!U11*'Output-Calculation-sheet'!U38*0.0114</f>
        <v>6.8559337520228882E-3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3.0518454010361545E-3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4.4028282481741333E-3</v>
      </c>
      <c r="AA45" s="2">
        <f t="shared" si="2"/>
        <v>1.0473110106426973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2277.0354001589976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5244.8709792209229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3587.0913567768207</v>
      </c>
      <c r="N52" s="2">
        <f>N8/'Output-Calculation-sheet'!N7*'Output-Calculation-sheet'!N43</f>
        <v>113.31033210922648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24.254261363498777</v>
      </c>
      <c r="Y52" s="2">
        <f>Y8/'Output-Calculation-sheet'!Y7*'Output-Calculation-sheet'!Y43</f>
        <v>0</v>
      </c>
      <c r="AA52" s="2">
        <f t="shared" si="3"/>
        <v>11.246562329629468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359.3369779629823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9318.2557579285785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6378.9328972722242</v>
      </c>
      <c r="N53" s="2">
        <f>N9/'Output-Calculation-sheet'!N8*'Output-Calculation-sheet'!N44</f>
        <v>2263.6507245966645</v>
      </c>
      <c r="O53" s="2">
        <f>O9/'Output-Calculation-sheet'!O8*'Output-Calculation-sheet'!O44</f>
        <v>125.52229742669661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705.49675527120951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194.77646071708955</v>
      </c>
      <c r="Y53" s="2">
        <f>Y9/'Output-Calculation-sheet'!Y8*'Output-Calculation-sheet'!Y44</f>
        <v>0</v>
      </c>
      <c r="AA53" s="2">
        <f t="shared" si="3"/>
        <v>19.446313010102948</v>
      </c>
    </row>
    <row r="54" spans="1:27" x14ac:dyDescent="0.25">
      <c r="A54" s="2">
        <v>2033</v>
      </c>
      <c r="B54" s="2">
        <f>B10/'Output-Calculation-sheet'!B9*'Output-Calculation-sheet'!B45</f>
        <v>18495.540115991298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9239.4182712238071</v>
      </c>
      <c r="N54" s="2">
        <f>N10/'Output-Calculation-sheet'!N9*'Output-Calculation-sheet'!N45</f>
        <v>5171.0095376279151</v>
      </c>
      <c r="O54" s="2">
        <f>O10/'Output-Calculation-sheet'!O9*'Output-Calculation-sheet'!O45</f>
        <v>688.59100939433495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537.70955557368484</v>
      </c>
      <c r="R54" s="2">
        <f>R10/'Output-Calculation-sheet'!R9*'Output-Calculation-sheet'!R45</f>
        <v>918.0465769191743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56.478641292389682</v>
      </c>
    </row>
    <row r="55" spans="1:27" x14ac:dyDescent="0.25">
      <c r="A55" s="2">
        <v>2034</v>
      </c>
      <c r="B55" s="2">
        <f>B11/'Output-Calculation-sheet'!B10*'Output-Calculation-sheet'!B46</f>
        <v>51158.995796398704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181.52067755017811</v>
      </c>
      <c r="G55" s="2">
        <f>G11/'Output-Calculation-sheet'!G10*'Output-Calculation-sheet'!G46</f>
        <v>2046.0778226662824</v>
      </c>
      <c r="H55" s="2">
        <f>H11/'Output-Calculation-sheet'!H10*'Output-Calculation-sheet'!H46</f>
        <v>15830.328819708004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11146.75583156959</v>
      </c>
      <c r="N55" s="2">
        <f>N11/'Output-Calculation-sheet'!N10*'Output-Calculation-sheet'!N46</f>
        <v>8443.0504584833016</v>
      </c>
      <c r="O55" s="2">
        <f>O11/'Output-Calculation-sheet'!O10*'Output-Calculation-sheet'!O46</f>
        <v>323.93739968933073</v>
      </c>
      <c r="P55" s="2">
        <f>P11/'Output-Calculation-sheet'!P10*'Output-Calculation-sheet'!P46</f>
        <v>3124.7288156555105</v>
      </c>
      <c r="Q55" s="2">
        <f>Q11/'Output-Calculation-sheet'!Q10*'Output-Calculation-sheet'!Q46</f>
        <v>2438.1524763591628</v>
      </c>
      <c r="R55" s="2">
        <f>R11/'Output-Calculation-sheet'!R10*'Output-Calculation-sheet'!R46</f>
        <v>2532.5504268514233</v>
      </c>
      <c r="S55" s="2">
        <f>S11/'Output-Calculation-sheet'!S10*'Output-Calculation-sheet'!S46</f>
        <v>3955.9138100422042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748.04361312897038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126.4084288015257</v>
      </c>
    </row>
    <row r="56" spans="1:27" x14ac:dyDescent="0.25">
      <c r="A56" s="2">
        <v>2035</v>
      </c>
      <c r="B56" s="2">
        <f>B12/'Output-Calculation-sheet'!B11*'Output-Calculation-sheet'!B47</f>
        <v>53750.02363452447</v>
      </c>
      <c r="C56" s="2">
        <f>C12/'Output-Calculation-sheet'!C11*'Output-Calculation-sheet'!C47</f>
        <v>16751.285267452939</v>
      </c>
      <c r="D56" s="2">
        <f>D12/'Output-Calculation-sheet'!D11*'Output-Calculation-sheet'!D47</f>
        <v>5510.7496490507237</v>
      </c>
      <c r="E56" s="2">
        <f>E12/'Output-Calculation-sheet'!E11*'Output-Calculation-sheet'!E47</f>
        <v>13938.999307499669</v>
      </c>
      <c r="F56" s="2">
        <f>F12/'Output-Calculation-sheet'!F11*'Output-Calculation-sheet'!F47</f>
        <v>800.71374216719892</v>
      </c>
      <c r="G56" s="2">
        <f>G12/'Output-Calculation-sheet'!G11*'Output-Calculation-sheet'!G47</f>
        <v>2039.2221405238001</v>
      </c>
      <c r="H56" s="2">
        <f>H12/'Output-Calculation-sheet'!H11*'Output-Calculation-sheet'!H47</f>
        <v>15898.083740585696</v>
      </c>
      <c r="I56" s="2">
        <f>I12/'Output-Calculation-sheet'!I11*'Output-Calculation-sheet'!I47</f>
        <v>1299.5618242931155</v>
      </c>
      <c r="J56" s="2">
        <f>J12/'Output-Calculation-sheet'!J11*'Output-Calculation-sheet'!J47</f>
        <v>2143.5595356449453</v>
      </c>
      <c r="K56" s="2">
        <f>K12/'Output-Calculation-sheet'!K11*'Output-Calculation-sheet'!K47</f>
        <v>2930.9301886554254</v>
      </c>
      <c r="L56" s="2">
        <f>L12/'Output-Calculation-sheet'!L11*'Output-Calculation-sheet'!L47</f>
        <v>3138.4205214859762</v>
      </c>
      <c r="M56" s="2">
        <f>M12/'Output-Calculation-sheet'!M11*'Output-Calculation-sheet'!M47</f>
        <v>11205.745856386997</v>
      </c>
      <c r="N56" s="2">
        <f>N12/'Output-Calculation-sheet'!N11*'Output-Calculation-sheet'!N47</f>
        <v>9068.6187642029454</v>
      </c>
      <c r="O56" s="2">
        <f>O12/'Output-Calculation-sheet'!O11*'Output-Calculation-sheet'!O47</f>
        <v>40.821071596009773</v>
      </c>
      <c r="P56" s="2">
        <f>P12/'Output-Calculation-sheet'!P11*'Output-Calculation-sheet'!P47</f>
        <v>3887.4738199666122</v>
      </c>
      <c r="Q56" s="2">
        <f>Q12/'Output-Calculation-sheet'!Q11*'Output-Calculation-sheet'!Q47</f>
        <v>2734.3673466686937</v>
      </c>
      <c r="R56" s="2">
        <f>R12/'Output-Calculation-sheet'!R11*'Output-Calculation-sheet'!R47</f>
        <v>3195.150025935523</v>
      </c>
      <c r="S56" s="2">
        <f>S12/'Output-Calculation-sheet'!S11*'Output-Calculation-sheet'!S47</f>
        <v>4216.7999600952307</v>
      </c>
      <c r="T56" s="2">
        <f>T12/'Output-Calculation-sheet'!T11*'Output-Calculation-sheet'!T47</f>
        <v>1079.505603851027</v>
      </c>
      <c r="U56" s="2">
        <f>U12/'Output-Calculation-sheet'!U11*'Output-Calculation-sheet'!U47</f>
        <v>753.55131502497181</v>
      </c>
      <c r="V56" s="2">
        <f>V12/'Output-Calculation-sheet'!V11*'Output-Calculation-sheet'!V47</f>
        <v>744.59606390206761</v>
      </c>
      <c r="W56" s="2">
        <f>W12/'Output-Calculation-sheet'!W11*'Output-Calculation-sheet'!W47</f>
        <v>263.55629801053453</v>
      </c>
      <c r="X56" s="2">
        <f>X12/'Output-Calculation-sheet'!X11*'Output-Calculation-sheet'!X47</f>
        <v>88.447028083029963</v>
      </c>
      <c r="Y56" s="2">
        <f>Y12/'Output-Calculation-sheet'!Y11*'Output-Calculation-sheet'!Y47</f>
        <v>350.99037824040812</v>
      </c>
      <c r="AA56" s="2">
        <f t="shared" si="3"/>
        <v>155.83117308384803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5.6116038644282495</v>
      </c>
      <c r="C63" s="2">
        <f>C8*'Output-Calculation-sheet'!C52/10^9</f>
        <v>3.3942646895389821</v>
      </c>
      <c r="D63" s="2">
        <f>D8*'Output-Calculation-sheet'!D52/10^9</f>
        <v>1.9243392230108394</v>
      </c>
      <c r="E63" s="2">
        <f>E8*'Output-Calculation-sheet'!E52/10^9</f>
        <v>1.9133093691004135</v>
      </c>
      <c r="F63" s="2">
        <f>F8*'Output-Calculation-sheet'!F52/10^9</f>
        <v>0.81028635964155082</v>
      </c>
      <c r="G63" s="2">
        <f>G8*'Output-Calculation-sheet'!G52/10^9</f>
        <v>0.58255928697040749</v>
      </c>
      <c r="H63" s="2">
        <f>H8*'Output-Calculation-sheet'!H52/10^9</f>
        <v>1.0175542643543531</v>
      </c>
      <c r="I63" s="2">
        <f>I8*'Output-Calculation-sheet'!I52/10^9</f>
        <v>0.54191538528642691</v>
      </c>
      <c r="J63" s="2">
        <f>J8*'Output-Calculation-sheet'!J52/10^9</f>
        <v>0.7457123022257055</v>
      </c>
      <c r="K63" s="2">
        <f>K8*'Output-Calculation-sheet'!K52/10^9</f>
        <v>0.6551745826890556</v>
      </c>
      <c r="L63" s="2">
        <f>L8*'Output-Calculation-sheet'!L52/10^9</f>
        <v>0.88124133691699424</v>
      </c>
      <c r="M63" s="2">
        <f>M8*'Output-Calculation-sheet'!M52/10^9</f>
        <v>0.82595931420119162</v>
      </c>
      <c r="N63" s="2">
        <f>N8*'Output-Calculation-sheet'!N52/10^9</f>
        <v>0.6893729490340087</v>
      </c>
      <c r="O63" s="2">
        <f>O8*'Output-Calculation-sheet'!O52/10^9</f>
        <v>0.69278982051089022</v>
      </c>
      <c r="P63" s="2">
        <f>P8*'Output-Calculation-sheet'!P52/10^9</f>
        <v>0.45270796330726731</v>
      </c>
      <c r="Q63" s="2">
        <f>Q8*'Output-Calculation-sheet'!Q52/10^9</f>
        <v>0.51233275024873171</v>
      </c>
      <c r="R63" s="2">
        <f>R8*'Output-Calculation-sheet'!R52/10^9</f>
        <v>0.45997311154048232</v>
      </c>
      <c r="S63" s="2">
        <f>S8*'Output-Calculation-sheet'!S52/10^9</f>
        <v>0.34085637330813484</v>
      </c>
      <c r="T63" s="2">
        <f>T8*'Output-Calculation-sheet'!T52/10^9</f>
        <v>0.1748752063107154</v>
      </c>
      <c r="U63" s="2">
        <f>U8*'Output-Calculation-sheet'!U52/10^9</f>
        <v>0.12010241779043568</v>
      </c>
      <c r="V63" s="2">
        <f>V8*'Output-Calculation-sheet'!V52/10^9</f>
        <v>0.21315340915134098</v>
      </c>
      <c r="W63" s="2">
        <f>W8*'Output-Calculation-sheet'!W52/10^9</f>
        <v>7.7151547774583801E-2</v>
      </c>
      <c r="X63" s="2">
        <f>X8*'Output-Calculation-sheet'!X52/10^9</f>
        <v>8.7826277618254275E-2</v>
      </c>
      <c r="Y63" s="2">
        <f>Y8*'Output-Calculation-sheet'!Y52/10^9</f>
        <v>5.0339238755217168E-2</v>
      </c>
      <c r="AA63" s="2">
        <f t="shared" si="4"/>
        <v>22.775401043714236</v>
      </c>
    </row>
    <row r="64" spans="1:27" x14ac:dyDescent="0.25">
      <c r="A64" s="2">
        <v>2032</v>
      </c>
      <c r="B64" s="2">
        <f>B9*'Output-Calculation-sheet'!B53/10^9</f>
        <v>5.3706052003397984</v>
      </c>
      <c r="C64" s="2">
        <f>C9*'Output-Calculation-sheet'!C53/10^9</f>
        <v>3.4264444659872231</v>
      </c>
      <c r="D64" s="2">
        <f>D9*'Output-Calculation-sheet'!D53/10^9</f>
        <v>1.5893860347804516</v>
      </c>
      <c r="E64" s="2">
        <f>E9*'Output-Calculation-sheet'!E53/10^9</f>
        <v>1.6276012292636879</v>
      </c>
      <c r="F64" s="2">
        <f>F9*'Output-Calculation-sheet'!F53/10^9</f>
        <v>0.68651199260575502</v>
      </c>
      <c r="G64" s="2">
        <f>G9*'Output-Calculation-sheet'!G53/10^9</f>
        <v>0.48863823517908089</v>
      </c>
      <c r="H64" s="2">
        <f>H9*'Output-Calculation-sheet'!H53/10^9</f>
        <v>1.0040096190337533</v>
      </c>
      <c r="I64" s="2">
        <f>I9*'Output-Calculation-sheet'!I53/10^9</f>
        <v>0.45679688864056084</v>
      </c>
      <c r="J64" s="2">
        <f>J9*'Output-Calculation-sheet'!J53/10^9</f>
        <v>0.60470626626943702</v>
      </c>
      <c r="K64" s="2">
        <f>K9*'Output-Calculation-sheet'!K53/10^9</f>
        <v>0.56108514268735565</v>
      </c>
      <c r="L64" s="2">
        <f>L9*'Output-Calculation-sheet'!L53/10^9</f>
        <v>0.72183435902377358</v>
      </c>
      <c r="M64" s="2">
        <f>M9*'Output-Calculation-sheet'!M53/10^9</f>
        <v>0.78684794289303661</v>
      </c>
      <c r="N64" s="2">
        <f>N9*'Output-Calculation-sheet'!N53/10^9</f>
        <v>0.66243766278697014</v>
      </c>
      <c r="O64" s="2">
        <f>O9*'Output-Calculation-sheet'!O53/10^9</f>
        <v>0.69230457920799904</v>
      </c>
      <c r="P64" s="2">
        <f>P9*'Output-Calculation-sheet'!P53/10^9</f>
        <v>0.42778926028912184</v>
      </c>
      <c r="Q64" s="2">
        <f>Q9*'Output-Calculation-sheet'!Q53/10^9</f>
        <v>0.47277155562732137</v>
      </c>
      <c r="R64" s="2">
        <f>R9*'Output-Calculation-sheet'!R53/10^9</f>
        <v>0.40527686902422283</v>
      </c>
      <c r="S64" s="2">
        <f>S9*'Output-Calculation-sheet'!S53/10^9</f>
        <v>0.33484926591002045</v>
      </c>
      <c r="T64" s="2">
        <f>T9*'Output-Calculation-sheet'!T53/10^9</f>
        <v>0.14568590656576547</v>
      </c>
      <c r="U64" s="2">
        <f>U9*'Output-Calculation-sheet'!U53/10^9</f>
        <v>0.10965474438459225</v>
      </c>
      <c r="V64" s="2">
        <f>V9*'Output-Calculation-sheet'!V53/10^9</f>
        <v>0.17291931951029449</v>
      </c>
      <c r="W64" s="2">
        <f>W9*'Output-Calculation-sheet'!W53/10^9</f>
        <v>6.425359128216096E-2</v>
      </c>
      <c r="X64" s="2">
        <f>X9*'Output-Calculation-sheet'!X53/10^9</f>
        <v>8.6265612178668863E-2</v>
      </c>
      <c r="Y64" s="2">
        <f>Y9*'Output-Calculation-sheet'!Y53/10^9</f>
        <v>4.5018186377112836E-2</v>
      </c>
      <c r="AA64" s="2">
        <f t="shared" si="4"/>
        <v>20.943693929848166</v>
      </c>
    </row>
    <row r="65" spans="1:27" x14ac:dyDescent="0.25">
      <c r="A65" s="2">
        <v>2033</v>
      </c>
      <c r="B65" s="2">
        <f>B10*'Output-Calculation-sheet'!B54/10^9</f>
        <v>5.3316470758464378</v>
      </c>
      <c r="C65" s="2">
        <f>C10*'Output-Calculation-sheet'!C54/10^9</f>
        <v>3.4612162889551215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0.97695652228173668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0.49088000223138617</v>
      </c>
      <c r="L65" s="2">
        <f>L10*'Output-Calculation-sheet'!L54/10^9</f>
        <v>0.57979646202074064</v>
      </c>
      <c r="M65" s="2">
        <f>M10*'Output-Calculation-sheet'!M54/10^9</f>
        <v>0.7376534870598449</v>
      </c>
      <c r="N65" s="2">
        <f>N10*'Output-Calculation-sheet'!N54/10^9</f>
        <v>0.63697041180658376</v>
      </c>
      <c r="O65" s="2">
        <f>O10*'Output-Calculation-sheet'!O54/10^9</f>
        <v>0.69187668051907369</v>
      </c>
      <c r="P65" s="2">
        <f>P10*'Output-Calculation-sheet'!P54/10^9</f>
        <v>0.41531600563737064</v>
      </c>
      <c r="Q65" s="2">
        <f>Q10*'Output-Calculation-sheet'!Q54/10^9</f>
        <v>0.45323520160257824</v>
      </c>
      <c r="R65" s="2">
        <f>R10*'Output-Calculation-sheet'!R54/10^9</f>
        <v>0.36563838278410127</v>
      </c>
      <c r="S65" s="2">
        <f>S10*'Output-Calculation-sheet'!S54/10^9</f>
        <v>0.3321216233166448</v>
      </c>
      <c r="T65" s="2">
        <f>T10*'Output-Calculation-sheet'!T54/10^9</f>
        <v>0.12224893314144293</v>
      </c>
      <c r="U65" s="2">
        <f>U10*'Output-Calculation-sheet'!U54/10^9</f>
        <v>0.10555907656815161</v>
      </c>
      <c r="V65" s="2">
        <f>V10*'Output-Calculation-sheet'!V54/10^9</f>
        <v>0.13529204539210307</v>
      </c>
      <c r="W65" s="2">
        <f>W10*'Output-Calculation-sheet'!W54/10^9</f>
        <v>5.1508793106956323E-2</v>
      </c>
      <c r="X65" s="2">
        <f>X10*'Output-Calculation-sheet'!X54/10^9</f>
        <v>8.4224308013132784E-2</v>
      </c>
      <c r="Y65" s="2">
        <f>Y10*'Output-Calculation-sheet'!Y54/10^9</f>
        <v>4.2398323042804865E-2</v>
      </c>
      <c r="AA65" s="2">
        <f t="shared" si="4"/>
        <v>19.508425803944426</v>
      </c>
    </row>
    <row r="66" spans="1:27" x14ac:dyDescent="0.25">
      <c r="A66" s="2">
        <v>2034</v>
      </c>
      <c r="B66" s="2">
        <f>B11*'Output-Calculation-sheet'!B55/10^9</f>
        <v>5.4629720561713011</v>
      </c>
      <c r="C66" s="2">
        <f>C11*'Output-Calculation-sheet'!C55/10^9</f>
        <v>3.5097003295226723</v>
      </c>
      <c r="D66" s="2">
        <f>D11*'Output-Calculation-sheet'!D55/10^9</f>
        <v>1.1430177891091766</v>
      </c>
      <c r="E66" s="2">
        <f>E11*'Output-Calculation-sheet'!E55/10^9</f>
        <v>1.3841111979403122</v>
      </c>
      <c r="F66" s="2">
        <f>F11*'Output-Calculation-sheet'!F55/10^9</f>
        <v>0.53193640318289759</v>
      </c>
      <c r="G66" s="2">
        <f>G11*'Output-Calculation-sheet'!G55/10^9</f>
        <v>0.38024117849566441</v>
      </c>
      <c r="H66" s="2">
        <f>H11*'Output-Calculation-sheet'!H55/10^9</f>
        <v>0.97146063693935092</v>
      </c>
      <c r="I66" s="2">
        <f>I11*'Output-Calculation-sheet'!I55/10^9</f>
        <v>0.37181437188482869</v>
      </c>
      <c r="J66" s="2">
        <f>J11*'Output-Calculation-sheet'!J55/10^9</f>
        <v>0.3823390491787641</v>
      </c>
      <c r="K66" s="2">
        <f>K11*'Output-Calculation-sheet'!K55/10^9</f>
        <v>0.45730816917499212</v>
      </c>
      <c r="L66" s="2">
        <f>L11*'Output-Calculation-sheet'!L55/10^9</f>
        <v>0.48432092724094195</v>
      </c>
      <c r="M66" s="2">
        <f>M11*'Output-Calculation-sheet'!M55/10^9</f>
        <v>0.70422389672476526</v>
      </c>
      <c r="N66" s="2">
        <f>N11*'Output-Calculation-sheet'!N55/10^9</f>
        <v>0.61530101972535878</v>
      </c>
      <c r="O66" s="2">
        <f>O11*'Output-Calculation-sheet'!O55/10^9</f>
        <v>0.692484142842683</v>
      </c>
      <c r="P66" s="2">
        <f>P11*'Output-Calculation-sheet'!P55/10^9</f>
        <v>0.42299622480579968</v>
      </c>
      <c r="Q66" s="2">
        <f>Q11*'Output-Calculation-sheet'!Q55/10^9</f>
        <v>0.46024278797679957</v>
      </c>
      <c r="R66" s="2">
        <f>R11*'Output-Calculation-sheet'!R55/10^9</f>
        <v>0.34259919888048412</v>
      </c>
      <c r="S66" s="2">
        <f>S11*'Output-Calculation-sheet'!S55/10^9</f>
        <v>0.33682114250245671</v>
      </c>
      <c r="T66" s="2">
        <f>T11*'Output-Calculation-sheet'!T55/10^9</f>
        <v>0.10737820965781038</v>
      </c>
      <c r="U66" s="2">
        <f>U11*'Output-Calculation-sheet'!U55/10^9</f>
        <v>0.10905594402471981</v>
      </c>
      <c r="V66" s="2">
        <f>V11*'Output-Calculation-sheet'!V55/10^9</f>
        <v>0.10186338040450081</v>
      </c>
      <c r="W66" s="2">
        <f>W11*'Output-Calculation-sheet'!W55/10^9</f>
        <v>4.6123532107944613E-2</v>
      </c>
      <c r="X66" s="2">
        <f>X11*'Output-Calculation-sheet'!X55/10^9</f>
        <v>8.2306706063910051E-2</v>
      </c>
      <c r="Y66" s="2">
        <f>Y11*'Output-Calculation-sheet'!Y55/10^9</f>
        <v>4.5259631683517383E-2</v>
      </c>
      <c r="AA66" s="2">
        <f t="shared" si="4"/>
        <v>19.14587792624166</v>
      </c>
    </row>
    <row r="67" spans="1:27" x14ac:dyDescent="0.25">
      <c r="A67" s="2">
        <v>2035</v>
      </c>
      <c r="B67" s="2">
        <f>B12*'Output-Calculation-sheet'!B56/10^9</f>
        <v>5.6728948148154341</v>
      </c>
      <c r="C67" s="2">
        <f>C12*'Output-Calculation-sheet'!C56/10^9</f>
        <v>3.5628693081323046</v>
      </c>
      <c r="D67" s="2">
        <f>D12*'Output-Calculation-sheet'!D56/10^9</f>
        <v>1.180326966205308</v>
      </c>
      <c r="E67" s="2">
        <f>E12*'Output-Calculation-sheet'!E56/10^9</f>
        <v>1.6025021735461979</v>
      </c>
      <c r="F67" s="2">
        <f>F12*'Output-Calculation-sheet'!F56/10^9</f>
        <v>0.58531997005816183</v>
      </c>
      <c r="G67" s="2">
        <f>G12*'Output-Calculation-sheet'!G56/10^9</f>
        <v>0.41002236445781376</v>
      </c>
      <c r="H67" s="2">
        <f>H12*'Output-Calculation-sheet'!H56/10^9</f>
        <v>0.99045282203743057</v>
      </c>
      <c r="I67" s="2">
        <f>I12*'Output-Calculation-sheet'!I56/10^9</f>
        <v>0.39830165231405296</v>
      </c>
      <c r="J67" s="2">
        <f>J12*'Output-Calculation-sheet'!J56/10^9</f>
        <v>0.39431232285620021</v>
      </c>
      <c r="K67" s="2">
        <f>K12*'Output-Calculation-sheet'!K56/10^9</f>
        <v>0.47515061414550752</v>
      </c>
      <c r="L67" s="2">
        <f>L12*'Output-Calculation-sheet'!L56/10^9</f>
        <v>0.47732459178999542</v>
      </c>
      <c r="M67" s="2">
        <f>M12*'Output-Calculation-sheet'!M56/10^9</f>
        <v>0.72452941269416227</v>
      </c>
      <c r="N67" s="2">
        <f>N12*'Output-Calculation-sheet'!N56/10^9</f>
        <v>0.6223088975547052</v>
      </c>
      <c r="O67" s="2">
        <f>O12*'Output-Calculation-sheet'!O56/10^9</f>
        <v>0.69808852250529552</v>
      </c>
      <c r="P67" s="2">
        <f>P12*'Output-Calculation-sheet'!P56/10^9</f>
        <v>0.46021670814482901</v>
      </c>
      <c r="Q67" s="2">
        <f>Q12*'Output-Calculation-sheet'!Q56/10^9</f>
        <v>0.47369692629208593</v>
      </c>
      <c r="R67" s="2">
        <f>R12*'Output-Calculation-sheet'!R56/10^9</f>
        <v>0.36043214696231002</v>
      </c>
      <c r="S67" s="2">
        <f>S12*'Output-Calculation-sheet'!S56/10^9</f>
        <v>0.3434515540431915</v>
      </c>
      <c r="T67" s="2">
        <f>T12*'Output-Calculation-sheet'!T56/10^9</f>
        <v>0.10922565112094199</v>
      </c>
      <c r="U67" s="2">
        <f>U12*'Output-Calculation-sheet'!U56/10^9</f>
        <v>0.11421564776302408</v>
      </c>
      <c r="V67" s="2">
        <f>V12*'Output-Calculation-sheet'!V56/10^9</f>
        <v>8.7613685632017907E-2</v>
      </c>
      <c r="W67" s="2">
        <f>W12*'Output-Calculation-sheet'!W56/10^9</f>
        <v>5.2898378349679781E-2</v>
      </c>
      <c r="X67" s="2">
        <f>X12*'Output-Calculation-sheet'!X56/10^9</f>
        <v>8.3741033500565373E-2</v>
      </c>
      <c r="Y67" s="2">
        <f>Y12*'Output-Calculation-sheet'!Y56/10^9</f>
        <v>5.111799199212741E-2</v>
      </c>
      <c r="AA67" s="2">
        <f t="shared" si="4"/>
        <v>19.931014156913349</v>
      </c>
    </row>
    <row r="68" spans="1:27" x14ac:dyDescent="0.25">
      <c r="B68" s="2">
        <f>SUM(B60:B67)</f>
        <v>27.449723011601222</v>
      </c>
      <c r="C68" s="2">
        <f t="shared" ref="C68:Y68" si="5">SUM(C60:C67)</f>
        <v>17.354495082136303</v>
      </c>
      <c r="D68" s="2">
        <f t="shared" si="5"/>
        <v>7.0966146651944824</v>
      </c>
      <c r="E68" s="2">
        <f t="shared" si="5"/>
        <v>7.9457497802384696</v>
      </c>
      <c r="F68" s="2">
        <f t="shared" si="5"/>
        <v>3.1898295366311342</v>
      </c>
      <c r="G68" s="2">
        <f t="shared" si="5"/>
        <v>2.2567828848510927</v>
      </c>
      <c r="H68" s="2">
        <f t="shared" si="5"/>
        <v>4.9604338646466246</v>
      </c>
      <c r="I68" s="2">
        <f t="shared" si="5"/>
        <v>2.1537639597054525</v>
      </c>
      <c r="J68" s="2">
        <f t="shared" si="5"/>
        <v>2.5871533662012784</v>
      </c>
      <c r="K68" s="2">
        <f t="shared" si="5"/>
        <v>2.6395985109282973</v>
      </c>
      <c r="L68" s="2">
        <f t="shared" si="5"/>
        <v>3.1445176769924461</v>
      </c>
      <c r="M68" s="2">
        <f t="shared" si="5"/>
        <v>3.7792140535730008</v>
      </c>
      <c r="N68" s="2">
        <f t="shared" si="5"/>
        <v>3.2263909409076263</v>
      </c>
      <c r="O68" s="2">
        <f t="shared" si="5"/>
        <v>3.4675437455859415</v>
      </c>
      <c r="P68" s="2">
        <f t="shared" si="5"/>
        <v>2.1790261621843885</v>
      </c>
      <c r="Q68" s="2">
        <f t="shared" si="5"/>
        <v>2.372279221747517</v>
      </c>
      <c r="R68" s="2">
        <f t="shared" si="5"/>
        <v>1.9339197091916005</v>
      </c>
      <c r="S68" s="2">
        <f t="shared" si="5"/>
        <v>1.6880999590804484</v>
      </c>
      <c r="T68" s="2">
        <f t="shared" si="5"/>
        <v>0.65941390679667611</v>
      </c>
      <c r="U68" s="2">
        <f t="shared" si="5"/>
        <v>0.55858783053092342</v>
      </c>
      <c r="V68" s="2">
        <f t="shared" si="5"/>
        <v>0.71084184009025719</v>
      </c>
      <c r="W68" s="2">
        <f t="shared" si="5"/>
        <v>0.29193584262132549</v>
      </c>
      <c r="X68" s="2">
        <f t="shared" si="5"/>
        <v>0.42436393737453137</v>
      </c>
      <c r="Y68" s="2">
        <f t="shared" si="5"/>
        <v>0.23413337185077965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610.56241198817065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1113.4831396935469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750.89657455721056</v>
      </c>
      <c r="N74" s="2">
        <f>N8/'Output-Calculation-sheet'!N7*'Output-Calculation-sheet'!N61</f>
        <v>33.722015420506629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6.663277968384044</v>
      </c>
      <c r="Y74" s="2">
        <f>Y8/'Output-Calculation-sheet'!Y7*'Output-Calculation-sheet'!Y61</f>
        <v>0</v>
      </c>
      <c r="AA74" s="2">
        <f t="shared" si="6"/>
        <v>2.5153274196278188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98.717469205580471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1777.445852055969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1204.8871847294279</v>
      </c>
      <c r="N75" s="2">
        <f>N9/'Output-Calculation-sheet'!N8*'Output-Calculation-sheet'!N62</f>
        <v>464.35482218663719</v>
      </c>
      <c r="O75" s="2">
        <f>O9/'Output-Calculation-sheet'!O8*'Output-Calculation-sheet'!O62</f>
        <v>34.484398438497927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155.7717043795316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42.524133221462151</v>
      </c>
      <c r="Y75" s="2">
        <f>Y9/'Output-Calculation-sheet'!Y8*'Output-Calculation-sheet'!Y62</f>
        <v>0</v>
      </c>
      <c r="AA75" s="2">
        <f t="shared" si="6"/>
        <v>3.8149403240529942</v>
      </c>
    </row>
    <row r="76" spans="1:27" x14ac:dyDescent="0.25">
      <c r="A76" s="2">
        <v>2033</v>
      </c>
      <c r="B76" s="2">
        <f>B10/'Output-Calculation-sheet'!B9*'Output-Calculation-sheet'!B63</f>
        <v>3714.981061357506</v>
      </c>
      <c r="C76" s="2">
        <f>C10/'Output-Calculation-sheet'!C9*'Output-Calculation-sheet'!C63</f>
        <v>765.73538095268361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2435.9963232529835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1654.9813107163177</v>
      </c>
      <c r="N76" s="2">
        <f>N10/'Output-Calculation-sheet'!N9*'Output-Calculation-sheet'!N63</f>
        <v>946.52802940863592</v>
      </c>
      <c r="O76" s="2">
        <f>O10/'Output-Calculation-sheet'!O9*'Output-Calculation-sheet'!O63</f>
        <v>157.06506386752125</v>
      </c>
      <c r="P76" s="2">
        <f>P10/'Output-Calculation-sheet'!P9*'Output-Calculation-sheet'!P63</f>
        <v>326.85500838298066</v>
      </c>
      <c r="Q76" s="2">
        <f>Q10/'Output-Calculation-sheet'!Q9*'Output-Calculation-sheet'!Q63</f>
        <v>147.72233626748866</v>
      </c>
      <c r="R76" s="2">
        <f>R10/'Output-Calculation-sheet'!R9*'Output-Calculation-sheet'!R63</f>
        <v>248.73137341519995</v>
      </c>
      <c r="S76" s="2">
        <f>S10/'Output-Calculation-sheet'!S9*'Output-Calculation-sheet'!S63</f>
        <v>422.0197078073943</v>
      </c>
      <c r="T76" s="2">
        <f>T10/'Output-Calculation-sheet'!T9*'Output-Calculation-sheet'!T63</f>
        <v>16.34622546616329</v>
      </c>
      <c r="U76" s="2">
        <f>U10/'Output-Calculation-sheet'!U9*'Output-Calculation-sheet'!U63</f>
        <v>88.367106810556336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95.022542487296477</v>
      </c>
      <c r="Y76" s="2">
        <f>Y10/'Output-Calculation-sheet'!Y9*'Output-Calculation-sheet'!Y63</f>
        <v>4.1914663640721646</v>
      </c>
      <c r="AA76" s="2">
        <f t="shared" si="6"/>
        <v>11.093160122618684</v>
      </c>
    </row>
    <row r="77" spans="1:27" x14ac:dyDescent="0.25">
      <c r="A77" s="2">
        <v>2034</v>
      </c>
      <c r="B77" s="2">
        <f>B11/'Output-Calculation-sheet'!B10*'Output-Calculation-sheet'!B64</f>
        <v>8675.1444425492246</v>
      </c>
      <c r="C77" s="2">
        <f>C11/'Output-Calculation-sheet'!C10*'Output-Calculation-sheet'!C64</f>
        <v>1302.8533907961917</v>
      </c>
      <c r="D77" s="2">
        <f>D11/'Output-Calculation-sheet'!D10*'Output-Calculation-sheet'!D64</f>
        <v>1114.6343780900465</v>
      </c>
      <c r="E77" s="2">
        <f>E11/'Output-Calculation-sheet'!E10*'Output-Calculation-sheet'!E64</f>
        <v>1374.4823775848351</v>
      </c>
      <c r="F77" s="2">
        <f>F11/'Output-Calculation-sheet'!F10*'Output-Calculation-sheet'!F64</f>
        <v>88.505821452238933</v>
      </c>
      <c r="G77" s="2">
        <f>G11/'Output-Calculation-sheet'!G10*'Output-Calculation-sheet'!G64</f>
        <v>555.32894860796125</v>
      </c>
      <c r="H77" s="2">
        <f>H11/'Output-Calculation-sheet'!H10*'Output-Calculation-sheet'!H64</f>
        <v>2959.3944421939582</v>
      </c>
      <c r="I77" s="2">
        <f>I11/'Output-Calculation-sheet'!I10*'Output-Calculation-sheet'!I64</f>
        <v>345.31266989354174</v>
      </c>
      <c r="J77" s="2">
        <f>J11/'Output-Calculation-sheet'!J10*'Output-Calculation-sheet'!J64</f>
        <v>242.30701637884292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221.13167403388286</v>
      </c>
      <c r="M77" s="2">
        <f>M11/'Output-Calculation-sheet'!M10*'Output-Calculation-sheet'!M64</f>
        <v>2097.6618239819459</v>
      </c>
      <c r="N77" s="2">
        <f>N11/'Output-Calculation-sheet'!N10*'Output-Calculation-sheet'!N64</f>
        <v>1471.8147608873178</v>
      </c>
      <c r="O77" s="2">
        <f>O11/'Output-Calculation-sheet'!O10*'Output-Calculation-sheet'!O64</f>
        <v>70.301777946214074</v>
      </c>
      <c r="P77" s="2">
        <f>P11/'Output-Calculation-sheet'!P10*'Output-Calculation-sheet'!P64</f>
        <v>646.45047017964214</v>
      </c>
      <c r="Q77" s="2">
        <f>Q11/'Output-Calculation-sheet'!Q10*'Output-Calculation-sheet'!Q64</f>
        <v>460.97734133245791</v>
      </c>
      <c r="R77" s="2">
        <f>R11/'Output-Calculation-sheet'!R10*'Output-Calculation-sheet'!R64</f>
        <v>557.47330054211932</v>
      </c>
      <c r="S77" s="2">
        <f>S11/'Output-Calculation-sheet'!S10*'Output-Calculation-sheet'!S64</f>
        <v>690.44715592482623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163.97853818199334</v>
      </c>
      <c r="V77" s="2">
        <f>V11/'Output-Calculation-sheet'!V10*'Output-Calculation-sheet'!V64</f>
        <v>79.571843884387405</v>
      </c>
      <c r="W77" s="2">
        <f>W11/'Output-Calculation-sheet'!W10*'Output-Calculation-sheet'!W64</f>
        <v>17.464770844541995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50.984052200398189</v>
      </c>
      <c r="AA77" s="2">
        <f t="shared" si="6"/>
        <v>23.953266982730305</v>
      </c>
    </row>
    <row r="78" spans="1:27" x14ac:dyDescent="0.25">
      <c r="A78" s="2">
        <v>2035</v>
      </c>
      <c r="B78" s="2">
        <f>B12/'Output-Calculation-sheet'!B11*'Output-Calculation-sheet'!B65</f>
        <v>9315.73694798213</v>
      </c>
      <c r="C78" s="2">
        <f>C12/'Output-Calculation-sheet'!C11*'Output-Calculation-sheet'!C65</f>
        <v>3061.3826374718465</v>
      </c>
      <c r="D78" s="2">
        <f>D12/'Output-Calculation-sheet'!D11*'Output-Calculation-sheet'!D65</f>
        <v>1250.9615298292779</v>
      </c>
      <c r="E78" s="2">
        <f>E12/'Output-Calculation-sheet'!E11*'Output-Calculation-sheet'!E65</f>
        <v>2176.9525595578111</v>
      </c>
      <c r="F78" s="2">
        <f>F12/'Output-Calculation-sheet'!F11*'Output-Calculation-sheet'!F65</f>
        <v>281.10085407876591</v>
      </c>
      <c r="G78" s="2">
        <f>G12/'Output-Calculation-sheet'!G11*'Output-Calculation-sheet'!G65</f>
        <v>548.05928465699708</v>
      </c>
      <c r="H78" s="2">
        <f>H12/'Output-Calculation-sheet'!H11*'Output-Calculation-sheet'!H65</f>
        <v>2965.3621555491727</v>
      </c>
      <c r="I78" s="2">
        <f>I12/'Output-Calculation-sheet'!I11*'Output-Calculation-sheet'!I65</f>
        <v>364.38236778378626</v>
      </c>
      <c r="J78" s="2">
        <f>J12/'Output-Calculation-sheet'!J11*'Output-Calculation-sheet'!J65</f>
        <v>530.76580227580143</v>
      </c>
      <c r="K78" s="2">
        <f>K12/'Output-Calculation-sheet'!K11*'Output-Calculation-sheet'!K65</f>
        <v>652.63948526039792</v>
      </c>
      <c r="L78" s="2">
        <f>L12/'Output-Calculation-sheet'!L11*'Output-Calculation-sheet'!L65</f>
        <v>557.50012706529822</v>
      </c>
      <c r="M78" s="2">
        <f>M12/'Output-Calculation-sheet'!M11*'Output-Calculation-sheet'!M65</f>
        <v>2165.3961987518319</v>
      </c>
      <c r="N78" s="2">
        <f>N12/'Output-Calculation-sheet'!N11*'Output-Calculation-sheet'!N65</f>
        <v>1559.9601924380138</v>
      </c>
      <c r="O78" s="2">
        <f>O12/'Output-Calculation-sheet'!O11*'Output-Calculation-sheet'!O65</f>
        <v>7.3103178051608317</v>
      </c>
      <c r="P78" s="2">
        <f>P12/'Output-Calculation-sheet'!P11*'Output-Calculation-sheet'!P65</f>
        <v>753.26032639819653</v>
      </c>
      <c r="Q78" s="2">
        <f>Q12/'Output-Calculation-sheet'!Q11*'Output-Calculation-sheet'!Q65</f>
        <v>506.93172609038498</v>
      </c>
      <c r="R78" s="2">
        <f>R12/'Output-Calculation-sheet'!R11*'Output-Calculation-sheet'!R65</f>
        <v>701.66317034059341</v>
      </c>
      <c r="S78" s="2">
        <f>S12/'Output-Calculation-sheet'!S11*'Output-Calculation-sheet'!S65</f>
        <v>737.3739437336618</v>
      </c>
      <c r="T78" s="2">
        <f>T12/'Output-Calculation-sheet'!T11*'Output-Calculation-sheet'!T65</f>
        <v>242.06443627981199</v>
      </c>
      <c r="U78" s="2">
        <f>U12/'Output-Calculation-sheet'!U11*'Output-Calculation-sheet'!U65</f>
        <v>165.61570447276949</v>
      </c>
      <c r="V78" s="2">
        <f>V12/'Output-Calculation-sheet'!V11*'Output-Calculation-sheet'!V65</f>
        <v>136.52664250034445</v>
      </c>
      <c r="W78" s="2">
        <f>W12/'Output-Calculation-sheet'!W11*'Output-Calculation-sheet'!W65</f>
        <v>64.558576990076645</v>
      </c>
      <c r="X78" s="2">
        <f>X12/'Output-Calculation-sheet'!X11*'Output-Calculation-sheet'!X65</f>
        <v>17.797062858933302</v>
      </c>
      <c r="Y78" s="2">
        <f>Y12/'Output-Calculation-sheet'!Y11*'Output-Calculation-sheet'!Y65</f>
        <v>60.415300251042083</v>
      </c>
      <c r="AA78" s="2">
        <f t="shared" si="6"/>
        <v>28.823717350422108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14.517308682292482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1.0947446884249772</v>
      </c>
      <c r="H88" s="2">
        <f>H11/'Output-Calculation-sheet'!H10*'Output-Calculation-sheet'!H73</f>
        <v>7.4236150424034317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3.1419490674731483</v>
      </c>
      <c r="R88" s="2">
        <f>R11/'Output-Calculation-sheet'!R10*'Output-Calculation-sheet'!R73</f>
        <v>0</v>
      </c>
      <c r="S88" s="2">
        <f>S11/'Output-Calculation-sheet'!S10*'Output-Calculation-sheet'!S73</f>
        <v>1.6445287092256098</v>
      </c>
      <c r="T88" s="2">
        <f>T11/'Output-Calculation-sheet'!T10*'Output-Calculation-sheet'!T73</f>
        <v>0</v>
      </c>
      <c r="U88" s="2">
        <f>U11/'Output-Calculation-sheet'!U10*'Output-Calculation-sheet'!U73</f>
        <v>1.0024706688943585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2.882461685871401E-2</v>
      </c>
    </row>
    <row r="89" spans="1:27" x14ac:dyDescent="0.25">
      <c r="A89" s="2">
        <v>2035</v>
      </c>
      <c r="B89" s="2">
        <f>B12/'Output-Calculation-sheet'!B11*'Output-Calculation-sheet'!B74</f>
        <v>203.2136999414914</v>
      </c>
      <c r="C89" s="2">
        <f>C12/'Output-Calculation-sheet'!C11*'Output-Calculation-sheet'!C74</f>
        <v>110.22848623452478</v>
      </c>
      <c r="D89" s="2">
        <f>D12/'Output-Calculation-sheet'!D11*'Output-Calculation-sheet'!D74</f>
        <v>18.308138368939282</v>
      </c>
      <c r="E89" s="2">
        <f>E12/'Output-Calculation-sheet'!E11*'Output-Calculation-sheet'!E74</f>
        <v>60.625431921971419</v>
      </c>
      <c r="F89" s="2">
        <f>F12/'Output-Calculation-sheet'!F11*'Output-Calculation-sheet'!F74</f>
        <v>18.302028392393119</v>
      </c>
      <c r="G89" s="2">
        <f>G12/'Output-Calculation-sheet'!G11*'Output-Calculation-sheet'!G74</f>
        <v>13.135086251361031</v>
      </c>
      <c r="H89" s="2">
        <f>H12/'Output-Calculation-sheet'!H11*'Output-Calculation-sheet'!H74</f>
        <v>45.595784755898414</v>
      </c>
      <c r="I89" s="2">
        <f>I12/'Output-Calculation-sheet'!I11*'Output-Calculation-sheet'!I74</f>
        <v>11.814198402664687</v>
      </c>
      <c r="J89" s="2">
        <f>J12/'Output-Calculation-sheet'!J11*'Output-Calculation-sheet'!J74</f>
        <v>5.846071460849851</v>
      </c>
      <c r="K89" s="2">
        <f>K12/'Output-Calculation-sheet'!K11*'Output-Calculation-sheet'!K74</f>
        <v>8.7086073614720458</v>
      </c>
      <c r="L89" s="2">
        <f>L12/'Output-Calculation-sheet'!L11*'Output-Calculation-sheet'!L74</f>
        <v>4.6164557805628483</v>
      </c>
      <c r="M89" s="2">
        <f>M12/'Output-Calculation-sheet'!M11*'Output-Calculation-sheet'!M74</f>
        <v>24.077979766946928</v>
      </c>
      <c r="N89" s="2">
        <f>N12/'Output-Calculation-sheet'!N11*'Output-Calculation-sheet'!N74</f>
        <v>12.190931440095689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16.562175442938873</v>
      </c>
      <c r="Q89" s="2">
        <f>Q12/'Output-Calculation-sheet'!Q11*'Output-Calculation-sheet'!Q74</f>
        <v>13.822629050255346</v>
      </c>
      <c r="R89" s="2">
        <f>R12/'Output-Calculation-sheet'!R11*'Output-Calculation-sheet'!R74</f>
        <v>7.4769501386946713</v>
      </c>
      <c r="S89" s="2">
        <f>S12/'Output-Calculation-sheet'!S11*'Output-Calculation-sheet'!S74</f>
        <v>10.687931269494639</v>
      </c>
      <c r="T89" s="2">
        <f>T12/'Output-Calculation-sheet'!T11*'Output-Calculation-sheet'!T74</f>
        <v>1.3830949440756273</v>
      </c>
      <c r="U89" s="2">
        <f>U12/'Output-Calculation-sheet'!U11*'Output-Calculation-sheet'!U74</f>
        <v>4.0093179836391162</v>
      </c>
      <c r="V89" s="2">
        <f>V12/'Output-Calculation-sheet'!V11*'Output-Calculation-sheet'!V74</f>
        <v>0.30915344152047647</v>
      </c>
      <c r="W89" s="2">
        <f>W12/'Output-Calculation-sheet'!W11*'Output-Calculation-sheet'!W74</f>
        <v>1.8739401585309718</v>
      </c>
      <c r="X89" s="2">
        <f>X12/'Output-Calculation-sheet'!X11*'Output-Calculation-sheet'!X74</f>
        <v>0.24012767805347501</v>
      </c>
      <c r="Y89" s="2">
        <f>Y12/'Output-Calculation-sheet'!Y11*'Output-Calculation-sheet'!Y74</f>
        <v>2.5490058278902881</v>
      </c>
      <c r="AA89" s="2">
        <f t="shared" si="7"/>
        <v>0.59624642390928151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6405822766.2025089</v>
      </c>
      <c r="C96" s="2">
        <f>C8/'Output-Calculation-sheet'!C7*'Output-Calculation-sheet'!C79</f>
        <v>1546901415.4723721</v>
      </c>
      <c r="D96" s="2">
        <f>D8/'Output-Calculation-sheet'!D7*'Output-Calculation-sheet'!D79</f>
        <v>1255847598.4843476</v>
      </c>
      <c r="E96" s="2">
        <f>E8/'Output-Calculation-sheet'!E7*'Output-Calculation-sheet'!E79</f>
        <v>4705210744.2907181</v>
      </c>
      <c r="F96" s="2">
        <f>F8/'Output-Calculation-sheet'!F7*'Output-Calculation-sheet'!F79</f>
        <v>1372581485.0371218</v>
      </c>
      <c r="G96" s="2">
        <f>G8/'Output-Calculation-sheet'!G7*'Output-Calculation-sheet'!G79</f>
        <v>881001678.33538306</v>
      </c>
      <c r="H96" s="2">
        <f>H8/'Output-Calculation-sheet'!H7*'Output-Calculation-sheet'!H79</f>
        <v>1085364862.5231018</v>
      </c>
      <c r="I96" s="2">
        <f>I8/'Output-Calculation-sheet'!I7*'Output-Calculation-sheet'!I79</f>
        <v>633524415.7059015</v>
      </c>
      <c r="J96" s="2">
        <f>J8/'Output-Calculation-sheet'!J7*'Output-Calculation-sheet'!J79</f>
        <v>480085963.18299347</v>
      </c>
      <c r="K96" s="2">
        <f>K8/'Output-Calculation-sheet'!K7*'Output-Calculation-sheet'!K79</f>
        <v>602090800.85098076</v>
      </c>
      <c r="L96" s="2">
        <f>L8/'Output-Calculation-sheet'!L7*'Output-Calculation-sheet'!L79</f>
        <v>546595755.94687021</v>
      </c>
      <c r="M96" s="2">
        <f>M8/'Output-Calculation-sheet'!M7*'Output-Calculation-sheet'!M79</f>
        <v>837461786.74419558</v>
      </c>
      <c r="N96" s="2">
        <f>N8/'Output-Calculation-sheet'!N7*'Output-Calculation-sheet'!N79</f>
        <v>544406016.72018492</v>
      </c>
      <c r="O96" s="2">
        <f>O8/'Output-Calculation-sheet'!O7*'Output-Calculation-sheet'!O79</f>
        <v>204272583.9523153</v>
      </c>
      <c r="P96" s="2">
        <f>P8/'Output-Calculation-sheet'!P7*'Output-Calculation-sheet'!P79</f>
        <v>1036831359.8210155</v>
      </c>
      <c r="Q96" s="2">
        <f>Q8/'Output-Calculation-sheet'!Q7*'Output-Calculation-sheet'!Q79</f>
        <v>440204715.84523785</v>
      </c>
      <c r="R96" s="2">
        <f>R8/'Output-Calculation-sheet'!R7*'Output-Calculation-sheet'!R79</f>
        <v>584276117.35961044</v>
      </c>
      <c r="S96" s="2">
        <f>S8/'Output-Calculation-sheet'!S7*'Output-Calculation-sheet'!S79</f>
        <v>329508033.48860097</v>
      </c>
      <c r="T96" s="2">
        <f>T8/'Output-Calculation-sheet'!T7*'Output-Calculation-sheet'!T79</f>
        <v>198785289.32142934</v>
      </c>
      <c r="U96" s="2">
        <f>U8/'Output-Calculation-sheet'!U7*'Output-Calculation-sheet'!U79</f>
        <v>156468957.76305959</v>
      </c>
      <c r="V96" s="2">
        <f>V8/'Output-Calculation-sheet'!V7*'Output-Calculation-sheet'!V79</f>
        <v>71813803.695311189</v>
      </c>
      <c r="W96" s="2">
        <f>W8/'Output-Calculation-sheet'!W7*'Output-Calculation-sheet'!W79</f>
        <v>221108210.50268465</v>
      </c>
      <c r="X96" s="2">
        <f>X8/'Output-Calculation-sheet'!X7*'Output-Calculation-sheet'!X79</f>
        <v>99724157.219843835</v>
      </c>
      <c r="Y96" s="2">
        <f>Y8/'Output-Calculation-sheet'!Y7*'Output-Calculation-sheet'!Y79</f>
        <v>137238787.09397408</v>
      </c>
      <c r="AA96" s="2">
        <f t="shared" si="8"/>
        <v>24.37712730555976</v>
      </c>
    </row>
    <row r="97" spans="1:27" x14ac:dyDescent="0.25">
      <c r="A97" s="2">
        <v>2032</v>
      </c>
      <c r="B97" s="2">
        <f>B9/'Output-Calculation-sheet'!B8*'Output-Calculation-sheet'!B80</f>
        <v>7364613241.8059368</v>
      </c>
      <c r="C97" s="2">
        <f>C9/'Output-Calculation-sheet'!C8*'Output-Calculation-sheet'!C80</f>
        <v>1739391372.8093138</v>
      </c>
      <c r="D97" s="2">
        <f>D9/'Output-Calculation-sheet'!D8*'Output-Calculation-sheet'!D80</f>
        <v>1328700310.9453161</v>
      </c>
      <c r="E97" s="2">
        <f>E9/'Output-Calculation-sheet'!E8*'Output-Calculation-sheet'!E80</f>
        <v>5593639684.7537203</v>
      </c>
      <c r="F97" s="2">
        <f>F9/'Output-Calculation-sheet'!F8*'Output-Calculation-sheet'!F80</f>
        <v>1533967997.3063486</v>
      </c>
      <c r="G97" s="2">
        <f>G9/'Output-Calculation-sheet'!G8*'Output-Calculation-sheet'!G80</f>
        <v>939933838.50592637</v>
      </c>
      <c r="H97" s="2">
        <f>H9/'Output-Calculation-sheet'!H8*'Output-Calculation-sheet'!H80</f>
        <v>1230710676.6707561</v>
      </c>
      <c r="I97" s="2">
        <f>I9/'Output-Calculation-sheet'!I8*'Output-Calculation-sheet'!I80</f>
        <v>708886698.59043849</v>
      </c>
      <c r="J97" s="2">
        <f>J9/'Output-Calculation-sheet'!J8*'Output-Calculation-sheet'!J80</f>
        <v>529733813.71804565</v>
      </c>
      <c r="K97" s="2">
        <f>K9/'Output-Calculation-sheet'!K8*'Output-Calculation-sheet'!K80</f>
        <v>653341688.54693675</v>
      </c>
      <c r="L97" s="2">
        <f>L9/'Output-Calculation-sheet'!L8*'Output-Calculation-sheet'!L80</f>
        <v>630193406.13866901</v>
      </c>
      <c r="M97" s="2">
        <f>M9/'Output-Calculation-sheet'!M8*'Output-Calculation-sheet'!M80</f>
        <v>970947358.92858243</v>
      </c>
      <c r="N97" s="2">
        <f>N9/'Output-Calculation-sheet'!N8*'Output-Calculation-sheet'!N80</f>
        <v>610051064.99191642</v>
      </c>
      <c r="O97" s="2">
        <f>O9/'Output-Calculation-sheet'!O8*'Output-Calculation-sheet'!O80</f>
        <v>226766635.92859665</v>
      </c>
      <c r="P97" s="2">
        <f>P9/'Output-Calculation-sheet'!P8*'Output-Calculation-sheet'!P80</f>
        <v>1143698269.1584692</v>
      </c>
      <c r="Q97" s="2">
        <f>Q9/'Output-Calculation-sheet'!Q8*'Output-Calculation-sheet'!Q80</f>
        <v>494689172.18492413</v>
      </c>
      <c r="R97" s="2">
        <f>R9/'Output-Calculation-sheet'!R8*'Output-Calculation-sheet'!R80</f>
        <v>662887198.4021796</v>
      </c>
      <c r="S97" s="2">
        <f>S9/'Output-Calculation-sheet'!S8*'Output-Calculation-sheet'!S80</f>
        <v>368937445.90220922</v>
      </c>
      <c r="T97" s="2">
        <f>T9/'Output-Calculation-sheet'!T8*'Output-Calculation-sheet'!T80</f>
        <v>215124917.80976704</v>
      </c>
      <c r="U97" s="2">
        <f>U9/'Output-Calculation-sheet'!U8*'Output-Calculation-sheet'!U80</f>
        <v>171179850.18147087</v>
      </c>
      <c r="V97" s="2">
        <f>V9/'Output-Calculation-sheet'!V8*'Output-Calculation-sheet'!V80</f>
        <v>78958067.107006326</v>
      </c>
      <c r="W97" s="2">
        <f>W9/'Output-Calculation-sheet'!W8*'Output-Calculation-sheet'!W80</f>
        <v>244334951.35836017</v>
      </c>
      <c r="X97" s="2">
        <f>X9/'Output-Calculation-sheet'!X8*'Output-Calculation-sheet'!X80</f>
        <v>118338823.23500052</v>
      </c>
      <c r="Y97" s="2">
        <f>Y9/'Output-Calculation-sheet'!Y8*'Output-Calculation-sheet'!Y80</f>
        <v>155344145.04229</v>
      </c>
      <c r="AA97" s="2">
        <f t="shared" si="8"/>
        <v>27.714370630022181</v>
      </c>
    </row>
    <row r="98" spans="1:27" x14ac:dyDescent="0.25">
      <c r="A98" s="2">
        <v>2033</v>
      </c>
      <c r="B98" s="2">
        <f>B10/'Output-Calculation-sheet'!B9*'Output-Calculation-sheet'!B81</f>
        <v>8044789908.3304119</v>
      </c>
      <c r="C98" s="2">
        <f>C10/'Output-Calculation-sheet'!C9*'Output-Calculation-sheet'!C81</f>
        <v>1862860620.3204279</v>
      </c>
      <c r="D98" s="2">
        <f>D10/'Output-Calculation-sheet'!D9*'Output-Calculation-sheet'!D81</f>
        <v>1340129891.1115234</v>
      </c>
      <c r="E98" s="2">
        <f>E10/'Output-Calculation-sheet'!E9*'Output-Calculation-sheet'!E81</f>
        <v>6325930455.1323442</v>
      </c>
      <c r="F98" s="2">
        <f>F10/'Output-Calculation-sheet'!F9*'Output-Calculation-sheet'!F81</f>
        <v>1629880143.708195</v>
      </c>
      <c r="G98" s="2">
        <f>G10/'Output-Calculation-sheet'!G9*'Output-Calculation-sheet'!G81</f>
        <v>952211234.27585769</v>
      </c>
      <c r="H98" s="2">
        <f>H10/'Output-Calculation-sheet'!H9*'Output-Calculation-sheet'!H81</f>
        <v>1325625562.2735949</v>
      </c>
      <c r="I98" s="2">
        <f>I10/'Output-Calculation-sheet'!I9*'Output-Calculation-sheet'!I81</f>
        <v>755462115.96183372</v>
      </c>
      <c r="J98" s="2">
        <f>J10/'Output-Calculation-sheet'!J9*'Output-Calculation-sheet'!J81</f>
        <v>557297950.0253073</v>
      </c>
      <c r="K98" s="2">
        <f>K10/'Output-Calculation-sheet'!K9*'Output-Calculation-sheet'!K81</f>
        <v>674860560.86874688</v>
      </c>
      <c r="L98" s="2">
        <f>L10/'Output-Calculation-sheet'!L9*'Output-Calculation-sheet'!L81</f>
        <v>691666067.52110744</v>
      </c>
      <c r="M98" s="2">
        <f>M10/'Output-Calculation-sheet'!M9*'Output-Calculation-sheet'!M81</f>
        <v>1071837518.9265208</v>
      </c>
      <c r="N98" s="2">
        <f>N10/'Output-Calculation-sheet'!N9*'Output-Calculation-sheet'!N81</f>
        <v>651370982.5793339</v>
      </c>
      <c r="O98" s="2">
        <f>O10/'Output-Calculation-sheet'!O9*'Output-Calculation-sheet'!O81</f>
        <v>240244848.29552016</v>
      </c>
      <c r="P98" s="2">
        <f>P10/'Output-Calculation-sheet'!P9*'Output-Calculation-sheet'!P81</f>
        <v>1191865031.6434932</v>
      </c>
      <c r="Q98" s="2">
        <f>Q10/'Output-Calculation-sheet'!Q9*'Output-Calculation-sheet'!Q81</f>
        <v>529584229.62391114</v>
      </c>
      <c r="R98" s="2">
        <f>R10/'Output-Calculation-sheet'!R9*'Output-Calculation-sheet'!R81</f>
        <v>714820876.35610116</v>
      </c>
      <c r="S98" s="2">
        <f>S10/'Output-Calculation-sheet'!S9*'Output-Calculation-sheet'!S81</f>
        <v>392578738.31275237</v>
      </c>
      <c r="T98" s="2">
        <f>T10/'Output-Calculation-sheet'!T9*'Output-Calculation-sheet'!T81</f>
        <v>221184015.38607487</v>
      </c>
      <c r="U98" s="2">
        <f>U10/'Output-Calculation-sheet'!U9*'Output-Calculation-sheet'!U81</f>
        <v>177728127.61570546</v>
      </c>
      <c r="V98" s="2">
        <f>V10/'Output-Calculation-sheet'!V9*'Output-Calculation-sheet'!V81</f>
        <v>82545128.525739491</v>
      </c>
      <c r="W98" s="2">
        <f>W10/'Output-Calculation-sheet'!W9*'Output-Calculation-sheet'!W81</f>
        <v>255271161.20245281</v>
      </c>
      <c r="X98" s="2">
        <f>X10/'Output-Calculation-sheet'!X9*'Output-Calculation-sheet'!X81</f>
        <v>133821851.68563044</v>
      </c>
      <c r="Y98" s="2">
        <f>Y10/'Output-Calculation-sheet'!Y9*'Output-Calculation-sheet'!Y81</f>
        <v>166605298.52097484</v>
      </c>
      <c r="AA98" s="2">
        <f t="shared" si="8"/>
        <v>29.990172318203555</v>
      </c>
    </row>
    <row r="99" spans="1:27" x14ac:dyDescent="0.25">
      <c r="A99" s="2">
        <v>2034</v>
      </c>
      <c r="B99" s="2">
        <f>B11/'Output-Calculation-sheet'!B10*'Output-Calculation-sheet'!B82</f>
        <v>8509618088.9537249</v>
      </c>
      <c r="C99" s="2">
        <f>C11/'Output-Calculation-sheet'!C10*'Output-Calculation-sheet'!C82</f>
        <v>1937072029.5596576</v>
      </c>
      <c r="D99" s="2">
        <f>D11/'Output-Calculation-sheet'!D10*'Output-Calculation-sheet'!D82</f>
        <v>1313966368.9906011</v>
      </c>
      <c r="E99" s="2">
        <f>E11/'Output-Calculation-sheet'!E10*'Output-Calculation-sheet'!E82</f>
        <v>6934896407.4141436</v>
      </c>
      <c r="F99" s="2">
        <f>F11/'Output-Calculation-sheet'!F10*'Output-Calculation-sheet'!F82</f>
        <v>1678634583.711024</v>
      </c>
      <c r="G99" s="2">
        <f>G11/'Output-Calculation-sheet'!G10*'Output-Calculation-sheet'!G82</f>
        <v>934263108.73810101</v>
      </c>
      <c r="H99" s="2">
        <f>H11/'Output-Calculation-sheet'!H10*'Output-Calculation-sheet'!H82</f>
        <v>1382468013.8537521</v>
      </c>
      <c r="I99" s="2">
        <f>I11/'Output-Calculation-sheet'!I10*'Output-Calculation-sheet'!I82</f>
        <v>781723275.50352776</v>
      </c>
      <c r="J99" s="2">
        <f>J11/'Output-Calculation-sheet'!J10*'Output-Calculation-sheet'!J82</f>
        <v>569870822.35951293</v>
      </c>
      <c r="K99" s="2">
        <f>K11/'Output-Calculation-sheet'!K10*'Output-Calculation-sheet'!K82</f>
        <v>676639609.98932886</v>
      </c>
      <c r="L99" s="2">
        <f>L11/'Output-Calculation-sheet'!L10*'Output-Calculation-sheet'!L82</f>
        <v>736582769.81193578</v>
      </c>
      <c r="M99" s="2">
        <f>M11/'Output-Calculation-sheet'!M10*'Output-Calculation-sheet'!M82</f>
        <v>1148223851.9520326</v>
      </c>
      <c r="N99" s="2">
        <f>N11/'Output-Calculation-sheet'!N10*'Output-Calculation-sheet'!N82</f>
        <v>675580809.50591791</v>
      </c>
      <c r="O99" s="2">
        <f>O11/'Output-Calculation-sheet'!O10*'Output-Calculation-sheet'!O82</f>
        <v>247598807.35473266</v>
      </c>
      <c r="P99" s="2">
        <f>P11/'Output-Calculation-sheet'!P10*'Output-Calculation-sheet'!P82</f>
        <v>1196806915.7336442</v>
      </c>
      <c r="Q99" s="2">
        <f>Q11/'Output-Calculation-sheet'!Q10*'Output-Calculation-sheet'!Q82</f>
        <v>550517045.73017704</v>
      </c>
      <c r="R99" s="2">
        <f>R11/'Output-Calculation-sheet'!R10*'Output-Calculation-sheet'!R82</f>
        <v>746763373.10812676</v>
      </c>
      <c r="S99" s="2">
        <f>S11/'Output-Calculation-sheet'!S10*'Output-Calculation-sheet'!S82</f>
        <v>404682089.02951324</v>
      </c>
      <c r="T99" s="2">
        <f>T11/'Output-Calculation-sheet'!T10*'Output-Calculation-sheet'!T82</f>
        <v>220365411.01660964</v>
      </c>
      <c r="U99" s="2">
        <f>U11/'Output-Calculation-sheet'!U10*'Output-Calculation-sheet'!U82</f>
        <v>178591974.16014737</v>
      </c>
      <c r="V99" s="2">
        <f>V11/'Output-Calculation-sheet'!V10*'Output-Calculation-sheet'!V82</f>
        <v>83656181.44720386</v>
      </c>
      <c r="W99" s="2">
        <f>W11/'Output-Calculation-sheet'!W10*'Output-Calculation-sheet'!W82</f>
        <v>257159008.17138812</v>
      </c>
      <c r="X99" s="2">
        <f>X11/'Output-Calculation-sheet'!X10*'Output-Calculation-sheet'!X82</f>
        <v>146976355.6023812</v>
      </c>
      <c r="Y99" s="2">
        <f>Y11/'Output-Calculation-sheet'!Y10*'Output-Calculation-sheet'!Y82</f>
        <v>172605673.69158199</v>
      </c>
      <c r="AA99" s="2">
        <f t="shared" si="8"/>
        <v>31.48526257538877</v>
      </c>
    </row>
    <row r="100" spans="1:27" x14ac:dyDescent="0.25">
      <c r="A100" s="2">
        <v>2035</v>
      </c>
      <c r="B100" s="2">
        <f>B12/'Output-Calculation-sheet'!B11*'Output-Calculation-sheet'!B83</f>
        <v>8776959368.3801098</v>
      </c>
      <c r="C100" s="2">
        <f>C12/'Output-Calculation-sheet'!C11*'Output-Calculation-sheet'!C83</f>
        <v>1969578781.8474045</v>
      </c>
      <c r="D100" s="2">
        <f>D12/'Output-Calculation-sheet'!D11*'Output-Calculation-sheet'!D83</f>
        <v>1261673316.4533048</v>
      </c>
      <c r="E100" s="2">
        <f>E12/'Output-Calculation-sheet'!E11*'Output-Calculation-sheet'!E83</f>
        <v>7419364608.7836313</v>
      </c>
      <c r="F100" s="2">
        <f>F12/'Output-Calculation-sheet'!F11*'Output-Calculation-sheet'!F83</f>
        <v>1687994553.4613845</v>
      </c>
      <c r="G100" s="2">
        <f>G12/'Output-Calculation-sheet'!G11*'Output-Calculation-sheet'!G83</f>
        <v>894583547.72874701</v>
      </c>
      <c r="H100" s="2">
        <f>H12/'Output-Calculation-sheet'!H11*'Output-Calculation-sheet'!H83</f>
        <v>1405754096.5053179</v>
      </c>
      <c r="I100" s="2">
        <f>I12/'Output-Calculation-sheet'!I11*'Output-Calculation-sheet'!I83</f>
        <v>791085813.56146896</v>
      </c>
      <c r="J100" s="2">
        <f>J12/'Output-Calculation-sheet'!J11*'Output-Calculation-sheet'!J83</f>
        <v>570466278.69738412</v>
      </c>
      <c r="K100" s="2">
        <f>K12/'Output-Calculation-sheet'!K11*'Output-Calculation-sheet'!K83</f>
        <v>663398969.6554966</v>
      </c>
      <c r="L100" s="2">
        <f>L12/'Output-Calculation-sheet'!L11*'Output-Calculation-sheet'!L83</f>
        <v>766457534.9343828</v>
      </c>
      <c r="M100" s="2">
        <f>M12/'Output-Calculation-sheet'!M11*'Output-Calculation-sheet'!M83</f>
        <v>1201982964.8664978</v>
      </c>
      <c r="N100" s="2">
        <f>N12/'Output-Calculation-sheet'!N11*'Output-Calculation-sheet'!N83</f>
        <v>685518663.9554255</v>
      </c>
      <c r="O100" s="2">
        <f>O12/'Output-Calculation-sheet'!O11*'Output-Calculation-sheet'!O83</f>
        <v>249987104.81754234</v>
      </c>
      <c r="P100" s="2">
        <f>P12/'Output-Calculation-sheet'!P11*'Output-Calculation-sheet'!P83</f>
        <v>1167077542.1193254</v>
      </c>
      <c r="Q100" s="2">
        <f>Q12/'Output-Calculation-sheet'!Q11*'Output-Calculation-sheet'!Q83</f>
        <v>559613598.03896296</v>
      </c>
      <c r="R100" s="2">
        <f>R12/'Output-Calculation-sheet'!R11*'Output-Calculation-sheet'!R83</f>
        <v>761116139.36842406</v>
      </c>
      <c r="S100" s="2">
        <f>S12/'Output-Calculation-sheet'!S11*'Output-Calculation-sheet'!S83</f>
        <v>407005589.69879085</v>
      </c>
      <c r="T100" s="2">
        <f>T12/'Output-Calculation-sheet'!T11*'Output-Calculation-sheet'!T83</f>
        <v>214370242.13135532</v>
      </c>
      <c r="U100" s="2">
        <f>U12/'Output-Calculation-sheet'!U11*'Output-Calculation-sheet'!U83</f>
        <v>175002981.27353269</v>
      </c>
      <c r="V100" s="2">
        <f>V12/'Output-Calculation-sheet'!V11*'Output-Calculation-sheet'!V83</f>
        <v>82788277.393128768</v>
      </c>
      <c r="W100" s="2">
        <f>W12/'Output-Calculation-sheet'!W11*'Output-Calculation-sheet'!W83</f>
        <v>251734011.10896805</v>
      </c>
      <c r="X100" s="2">
        <f>X12/'Output-Calculation-sheet'!X11*'Output-Calculation-sheet'!X83</f>
        <v>157864898.19103426</v>
      </c>
      <c r="Y100" s="2">
        <f>Y12/'Output-Calculation-sheet'!Y11*'Output-Calculation-sheet'!Y83</f>
        <v>174015143.64540994</v>
      </c>
      <c r="AA100" s="2">
        <f t="shared" si="8"/>
        <v>32.295394026617025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1061.0089307851306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257.65569947663334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24.65449669953011</v>
      </c>
      <c r="Y107" s="2">
        <f>Y8/'Output-Calculation-sheet'!Y7*'Output-Calculation-sheet'!Y88</f>
        <v>0</v>
      </c>
      <c r="AA107" s="2">
        <f t="shared" si="9"/>
        <v>1.3433191269612939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1862.3329915581487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361.79956317106672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30.91052653589426</v>
      </c>
      <c r="Y108" s="2">
        <f>Y9/'Output-Calculation-sheet'!Y8*'Output-Calculation-sheet'!Y89</f>
        <v>0</v>
      </c>
      <c r="AA108" s="2">
        <f t="shared" si="9"/>
        <v>2.2550430812651099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464.19607929014995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2.8844523254834984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618.42594486144958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3.5857602814555856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2387.1356550164273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86.285878980548688</v>
      </c>
      <c r="Y111" s="2">
        <f>Y12/'Output-Calculation-sheet'!Y11*'Output-Calculation-sheet'!Y92</f>
        <v>0</v>
      </c>
      <c r="AA111" s="2">
        <f t="shared" si="9"/>
        <v>3.2463451027410954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8781595433.1817226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5465019825.7171183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3770400773.1009607</v>
      </c>
      <c r="N118" s="2">
        <f>N8/'Output-Calculation-sheet'!N7*'Output-Calculation-sheet'!N97</f>
        <v>1264567689.574991</v>
      </c>
      <c r="O118" s="2">
        <f>O8/'Output-Calculation-sheet'!O7*'Output-Calculation-sheet'!O97</f>
        <v>1212427336.3995783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378483879.22121352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205299835.09953296</v>
      </c>
      <c r="Y118" s="2">
        <f>Y8/'Output-Calculation-sheet'!Y7*'Output-Calculation-sheet'!Y97</f>
        <v>0</v>
      </c>
      <c r="AA118" s="2">
        <f t="shared" si="10"/>
        <v>22141.358324552897</v>
      </c>
    </row>
    <row r="119" spans="1:27" x14ac:dyDescent="0.25">
      <c r="A119" s="2">
        <v>2032</v>
      </c>
      <c r="B119" s="2">
        <f>B9/'Output-Calculation-sheet'!B8*'Output-Calculation-sheet'!B98</f>
        <v>4380944997.8595943</v>
      </c>
      <c r="C119" s="2">
        <f>C9/'Output-Calculation-sheet'!C8*'Output-Calculation-sheet'!C98</f>
        <v>6463826118.0263681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6851793973.8101196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4727139108.2147551</v>
      </c>
      <c r="N119" s="2">
        <f>N9/'Output-Calculation-sheet'!N8*'Output-Calculation-sheet'!N98</f>
        <v>2224509060.2084684</v>
      </c>
      <c r="O119" s="2">
        <f>O9/'Output-Calculation-sheet'!O8*'Output-Calculation-sheet'!O98</f>
        <v>1246578716.8003297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666435490.44531381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259983782.04265577</v>
      </c>
      <c r="Y119" s="2">
        <f>Y9/'Output-Calculation-sheet'!Y8*'Output-Calculation-sheet'!Y98</f>
        <v>0</v>
      </c>
      <c r="AA119" s="2">
        <f t="shared" si="10"/>
        <v>26821.211247407609</v>
      </c>
    </row>
    <row r="120" spans="1:27" x14ac:dyDescent="0.25">
      <c r="A120" s="2">
        <v>2033</v>
      </c>
      <c r="B120" s="2">
        <f>B10/'Output-Calculation-sheet'!B9*'Output-Calculation-sheet'!B99</f>
        <v>11053874805.873749</v>
      </c>
      <c r="C120" s="2">
        <f>C10/'Output-Calculation-sheet'!C9*'Output-Calculation-sheet'!C99</f>
        <v>6408816143.9246855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3318760955.6601272</v>
      </c>
      <c r="O120" s="2">
        <f>O10/'Output-Calculation-sheet'!O9*'Output-Calculation-sheet'!O99</f>
        <v>1230124298.968183</v>
      </c>
      <c r="P120" s="2">
        <f>P10/'Output-Calculation-sheet'!P9*'Output-Calculation-sheet'!P99</f>
        <v>0</v>
      </c>
      <c r="Q120" s="2">
        <f>Q10/'Output-Calculation-sheet'!Q9*'Output-Calculation-sheet'!Q99</f>
        <v>106931123.37161045</v>
      </c>
      <c r="R120" s="2">
        <f>R10/'Output-Calculation-sheet'!R9*'Output-Calculation-sheet'!R99</f>
        <v>0</v>
      </c>
      <c r="S120" s="2">
        <f>S10/'Output-Calculation-sheet'!S9*'Output-Calculation-sheet'!S99</f>
        <v>1338703037.0745997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364060794.32699287</v>
      </c>
      <c r="Y120" s="2">
        <f>Y10/'Output-Calculation-sheet'!Y9*'Output-Calculation-sheet'!Y99</f>
        <v>0</v>
      </c>
      <c r="AA120" s="2">
        <f t="shared" si="10"/>
        <v>37687.289847343069</v>
      </c>
    </row>
    <row r="121" spans="1:27" x14ac:dyDescent="0.25">
      <c r="A121" s="2">
        <v>2034</v>
      </c>
      <c r="B121" s="2">
        <f>B11/'Output-Calculation-sheet'!B10*'Output-Calculation-sheet'!B100</f>
        <v>24611745066.820374</v>
      </c>
      <c r="C121" s="2">
        <f>C11/'Output-Calculation-sheet'!C10*'Output-Calculation-sheet'!C100</f>
        <v>6344325810.4799824</v>
      </c>
      <c r="D121" s="2">
        <f>D11/'Output-Calculation-sheet'!D10*'Output-Calculation-sheet'!D100</f>
        <v>0</v>
      </c>
      <c r="E121" s="2">
        <f>E11/'Output-Calculation-sheet'!E10*'Output-Calculation-sheet'!E100</f>
        <v>521518360.35109061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9349401533.4641705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437225085.06543404</v>
      </c>
      <c r="M121" s="2">
        <f>M11/'Output-Calculation-sheet'!M10*'Output-Calculation-sheet'!M100</f>
        <v>6599107130.7061825</v>
      </c>
      <c r="N121" s="2">
        <f>N11/'Output-Calculation-sheet'!N10*'Output-Calculation-sheet'!N100</f>
        <v>4558124806.7070847</v>
      </c>
      <c r="O121" s="2">
        <f>O11/'Output-Calculation-sheet'!O10*'Output-Calculation-sheet'!O100</f>
        <v>677501016.31512475</v>
      </c>
      <c r="P121" s="2">
        <f>P11/'Output-Calculation-sheet'!P10*'Output-Calculation-sheet'!P100</f>
        <v>0</v>
      </c>
      <c r="Q121" s="2">
        <f>Q11/'Output-Calculation-sheet'!Q10*'Output-Calculation-sheet'!Q100</f>
        <v>765356799.19298661</v>
      </c>
      <c r="R121" s="2">
        <f>R11/'Output-Calculation-sheet'!R10*'Output-Calculation-sheet'!R100</f>
        <v>0</v>
      </c>
      <c r="S121" s="2">
        <f>S11/'Output-Calculation-sheet'!S10*'Output-Calculation-sheet'!S100</f>
        <v>2107209461.1870437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28533225.223396294</v>
      </c>
      <c r="AA121" s="2">
        <f t="shared" si="10"/>
        <v>56316.191368830761</v>
      </c>
    </row>
    <row r="122" spans="1:27" x14ac:dyDescent="0.25">
      <c r="A122" s="2">
        <v>2035</v>
      </c>
      <c r="B122" s="2">
        <f>B12/'Output-Calculation-sheet'!B11*'Output-Calculation-sheet'!B101</f>
        <v>26552816496.005001</v>
      </c>
      <c r="C122" s="2">
        <f>C12/'Output-Calculation-sheet'!C11*'Output-Calculation-sheet'!C101</f>
        <v>11041993933.655336</v>
      </c>
      <c r="D122" s="2">
        <f>D12/'Output-Calculation-sheet'!D11*'Output-Calculation-sheet'!D101</f>
        <v>0</v>
      </c>
      <c r="E122" s="2">
        <f>E12/'Output-Calculation-sheet'!E11*'Output-Calculation-sheet'!E101</f>
        <v>2162937657.2095451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9573332321.6648369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1095840423.8226671</v>
      </c>
      <c r="M122" s="2">
        <f>M12/'Output-Calculation-sheet'!M11*'Output-Calculation-sheet'!M101</f>
        <v>6849161564.73843</v>
      </c>
      <c r="N122" s="2">
        <f>N12/'Output-Calculation-sheet'!N11*'Output-Calculation-sheet'!N101</f>
        <v>4863942128.651063</v>
      </c>
      <c r="O122" s="2">
        <f>O12/'Output-Calculation-sheet'!O11*'Output-Calculation-sheet'!O101</f>
        <v>31358251.993612397</v>
      </c>
      <c r="P122" s="2">
        <f>P12/'Output-Calculation-sheet'!P11*'Output-Calculation-sheet'!P101</f>
        <v>207853248.09912792</v>
      </c>
      <c r="Q122" s="2">
        <f>Q12/'Output-Calculation-sheet'!Q11*'Output-Calculation-sheet'!Q101</f>
        <v>936246876.85830438</v>
      </c>
      <c r="R122" s="2">
        <f>R12/'Output-Calculation-sheet'!R11*'Output-Calculation-sheet'!R101</f>
        <v>0</v>
      </c>
      <c r="S122" s="2">
        <f>S12/'Output-Calculation-sheet'!S11*'Output-Calculation-sheet'!S101</f>
        <v>2308458732.9214144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83805440.10881564</v>
      </c>
      <c r="Y122" s="2">
        <f>Y12/'Output-Calculation-sheet'!Y11*'Output-Calculation-sheet'!Y101</f>
        <v>49432391.116151117</v>
      </c>
      <c r="AA122" s="2">
        <f t="shared" si="10"/>
        <v>65757.179466844318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2436702834.3088808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1741221255.4702296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114748.69317170196</v>
      </c>
    </row>
    <row r="130" spans="1:27" x14ac:dyDescent="0.25">
      <c r="A130" s="2">
        <v>2032</v>
      </c>
      <c r="B130" s="2">
        <f>B9/'Output-Calculation-sheet'!B8*'Output-Calculation-sheet'!B107</f>
        <v>42229841809.492737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2415567798.9642577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1990998845.0208015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139986.91427651604</v>
      </c>
    </row>
    <row r="131" spans="1:27" x14ac:dyDescent="0.25">
      <c r="A131" s="2">
        <v>2033</v>
      </c>
      <c r="B131" s="2">
        <f>B10/'Output-Calculation-sheet'!B9*'Output-Calculation-sheet'!B108</f>
        <v>44758480625.863281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2237335901.7615566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4870006515.4278736</v>
      </c>
      <c r="R131" s="2">
        <f>R10/'Output-Calculation-sheet'!R9*'Output-Calculation-sheet'!R108</f>
        <v>4787872346.5791445</v>
      </c>
      <c r="S131" s="2">
        <f>S10/'Output-Calculation-sheet'!S9*'Output-Calculation-sheet'!S108</f>
        <v>1843321255.8586264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160517.84750686391</v>
      </c>
    </row>
    <row r="132" spans="1:27" x14ac:dyDescent="0.25">
      <c r="A132" s="2">
        <v>2034</v>
      </c>
      <c r="B132" s="2">
        <f>B11/'Output-Calculation-sheet'!B10*'Output-Calculation-sheet'!B109</f>
        <v>39915282152.728447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21159730225.020752</v>
      </c>
      <c r="F132" s="2">
        <f>F11/'Output-Calculation-sheet'!F10*'Output-Calculation-sheet'!F109</f>
        <v>13957684712.704294</v>
      </c>
      <c r="G132" s="2">
        <f>G11/'Output-Calculation-sheet'!G10*'Output-Calculation-sheet'!G109</f>
        <v>9779608282.4680367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8696399519.4640541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6472258399.9126825</v>
      </c>
      <c r="M132" s="2">
        <f>M11/'Output-Calculation-sheet'!M10*'Output-Calculation-sheet'!M109</f>
        <v>3.5680156085193417E-9</v>
      </c>
      <c r="N132" s="2">
        <f>N11/'Output-Calculation-sheet'!N10*'Output-Calculation-sheet'!N109</f>
        <v>1918868258.0612347</v>
      </c>
      <c r="O132" s="2">
        <f>O11/'Output-Calculation-sheet'!O10*'Output-Calculation-sheet'!O109</f>
        <v>0</v>
      </c>
      <c r="P132" s="2">
        <f>P11/'Output-Calculation-sheet'!P10*'Output-Calculation-sheet'!P109</f>
        <v>5896501754.4300041</v>
      </c>
      <c r="Q132" s="2">
        <f>Q11/'Output-Calculation-sheet'!Q10*'Output-Calculation-sheet'!Q109</f>
        <v>4852193635.5745373</v>
      </c>
      <c r="R132" s="2">
        <f>R11/'Output-Calculation-sheet'!R10*'Output-Calculation-sheet'!R109</f>
        <v>5581075598.493165</v>
      </c>
      <c r="S132" s="2">
        <f>S11/'Output-Calculation-sheet'!S10*'Output-Calculation-sheet'!S109</f>
        <v>1534102306.5907059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1728954546.3356855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666585515.46272016</v>
      </c>
      <c r="AA132" s="2">
        <f t="shared" si="11"/>
        <v>171654.27233115508</v>
      </c>
    </row>
    <row r="133" spans="1:27" x14ac:dyDescent="0.25">
      <c r="A133" s="2">
        <v>2035</v>
      </c>
      <c r="B133" s="2">
        <f>B12/'Output-Calculation-sheet'!B11*'Output-Calculation-sheet'!B110</f>
        <v>39391320993.530014</v>
      </c>
      <c r="C133" s="2">
        <f>C12/'Output-Calculation-sheet'!C11*'Output-Calculation-sheet'!C110</f>
        <v>0</v>
      </c>
      <c r="D133" s="2">
        <f>D12/'Output-Calculation-sheet'!D11*'Output-Calculation-sheet'!D110</f>
        <v>27641236735.805988</v>
      </c>
      <c r="E133" s="2">
        <f>E12/'Output-Calculation-sheet'!E11*'Output-Calculation-sheet'!E110</f>
        <v>21444122227.262844</v>
      </c>
      <c r="F133" s="2">
        <f>F12/'Output-Calculation-sheet'!F11*'Output-Calculation-sheet'!F110</f>
        <v>14632162090.404659</v>
      </c>
      <c r="G133" s="2">
        <f>G12/'Output-Calculation-sheet'!G11*'Output-Calculation-sheet'!G110</f>
        <v>9908115179.8337421</v>
      </c>
      <c r="H133" s="2">
        <f>H12/'Output-Calculation-sheet'!H11*'Output-Calculation-sheet'!H110</f>
        <v>0</v>
      </c>
      <c r="I133" s="2">
        <f>I12/'Output-Calculation-sheet'!I11*'Output-Calculation-sheet'!I110</f>
        <v>9088266071.0069199</v>
      </c>
      <c r="J133" s="2">
        <f>J12/'Output-Calculation-sheet'!J11*'Output-Calculation-sheet'!J110</f>
        <v>9098412499.2834759</v>
      </c>
      <c r="K133" s="2">
        <f>K12/'Output-Calculation-sheet'!K11*'Output-Calculation-sheet'!K110</f>
        <v>8927649156.6969109</v>
      </c>
      <c r="L133" s="2">
        <f>L12/'Output-Calculation-sheet'!L11*'Output-Calculation-sheet'!L110</f>
        <v>6417379806.2996273</v>
      </c>
      <c r="M133" s="2">
        <f>M12/'Output-Calculation-sheet'!M11*'Output-Calculation-sheet'!M110</f>
        <v>0</v>
      </c>
      <c r="N133" s="2">
        <f>N12/'Output-Calculation-sheet'!N11*'Output-Calculation-sheet'!N110</f>
        <v>1864937138.7068169</v>
      </c>
      <c r="O133" s="2">
        <f>O12/'Output-Calculation-sheet'!O11*'Output-Calculation-sheet'!O110</f>
        <v>0</v>
      </c>
      <c r="P133" s="2">
        <f>P12/'Output-Calculation-sheet'!P11*'Output-Calculation-sheet'!P110</f>
        <v>6010322045.0340719</v>
      </c>
      <c r="Q133" s="2">
        <f>Q12/'Output-Calculation-sheet'!Q11*'Output-Calculation-sheet'!Q110</f>
        <v>4801027570.6542397</v>
      </c>
      <c r="R133" s="2">
        <f>R12/'Output-Calculation-sheet'!R11*'Output-Calculation-sheet'!R110</f>
        <v>5942703024.1641188</v>
      </c>
      <c r="S133" s="2">
        <f>S12/'Output-Calculation-sheet'!S11*'Output-Calculation-sheet'!S110</f>
        <v>1432345164.4527221</v>
      </c>
      <c r="T133" s="2">
        <f>T12/'Output-Calculation-sheet'!T11*'Output-Calculation-sheet'!T110</f>
        <v>2221041863.3647261</v>
      </c>
      <c r="U133" s="2">
        <f>U12/'Output-Calculation-sheet'!U11*'Output-Calculation-sheet'!U110</f>
        <v>1754832775.2138274</v>
      </c>
      <c r="V133" s="2">
        <f>V12/'Output-Calculation-sheet'!V11*'Output-Calculation-sheet'!V110</f>
        <v>1528180704.9280486</v>
      </c>
      <c r="W133" s="2">
        <f>W12/'Output-Calculation-sheet'!W11*'Output-Calculation-sheet'!W110</f>
        <v>1286908727.4994805</v>
      </c>
      <c r="X133" s="2">
        <f>X12/'Output-Calculation-sheet'!X11*'Output-Calculation-sheet'!X110</f>
        <v>600623.59386524023</v>
      </c>
      <c r="Y133" s="2">
        <f>Y12/'Output-Calculation-sheet'!Y11*'Output-Calculation-sheet'!Y110</f>
        <v>677832556.66379547</v>
      </c>
      <c r="AA133" s="2">
        <f t="shared" si="11"/>
        <v>174069.39695439988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8737629014.4037647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2191664887.7678914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203113349.45879379</v>
      </c>
      <c r="Y140" s="2">
        <f>Y8/'Output-Calculation-sheet'!Y7*'Output-Calculation-sheet'!Y115</f>
        <v>0</v>
      </c>
      <c r="AA140" s="2">
        <f t="shared" si="12"/>
        <v>11132.40725163045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15501472443.977591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3021264643.4708481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252032229.73723125</v>
      </c>
      <c r="Y141" s="2">
        <f>Y9/'Output-Calculation-sheet'!Y8*'Output-Calculation-sheet'!Y116</f>
        <v>0</v>
      </c>
      <c r="AA141" s="2">
        <f t="shared" si="12"/>
        <v>18774.769317185674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19893714585.739773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3880449469.2506514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249039708.937556</v>
      </c>
      <c r="Y142" s="2">
        <f>Y10/'Output-Calculation-sheet'!Y9*'Output-Calculation-sheet'!Y117</f>
        <v>0</v>
      </c>
      <c r="AA142" s="2">
        <f t="shared" si="12"/>
        <v>24023.203763927981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24316693840.445648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5280100638.4626131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29995.37706943788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19620808335.353203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6764520001.9853315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727160557.83092499</v>
      </c>
      <c r="Y144" s="2">
        <f>Y12/'Output-Calculation-sheet'!Y11*'Output-Calculation-sheet'!Y119</f>
        <v>0</v>
      </c>
      <c r="AA144" s="2">
        <f t="shared" si="12"/>
        <v>27112.488895169459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9928416442.4371929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1431494723.0526307</v>
      </c>
      <c r="H154" s="2">
        <f>H11/'Output-Calculation-sheet'!H10*'Output-Calculation-sheet'!H127</f>
        <v>1629454867.8638182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1037518082.9258322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608617051.88246906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322382938.45666653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38290.421653734207</v>
      </c>
    </row>
    <row r="155" spans="1:27" x14ac:dyDescent="0.25">
      <c r="A155" s="2">
        <v>2035</v>
      </c>
      <c r="B155" s="2">
        <f>B12/'Output-Calculation-sheet'!B11*'Output-Calculation-sheet'!B128</f>
        <v>9837952611.0389175</v>
      </c>
      <c r="C155" s="2">
        <f>C12/'Output-Calculation-sheet'!C11*'Output-Calculation-sheet'!C128</f>
        <v>4699663848.0530558</v>
      </c>
      <c r="D155" s="2">
        <f>D12/'Output-Calculation-sheet'!D11*'Output-Calculation-sheet'!D128</f>
        <v>3775788070.5873771</v>
      </c>
      <c r="E155" s="2">
        <f>E12/'Output-Calculation-sheet'!E11*'Output-Calculation-sheet'!E128</f>
        <v>1856704050.4680061</v>
      </c>
      <c r="F155" s="2">
        <f>F12/'Output-Calculation-sheet'!F11*'Output-Calculation-sheet'!F128</f>
        <v>1516137439.2384903</v>
      </c>
      <c r="G155" s="2">
        <f>G12/'Output-Calculation-sheet'!G11*'Output-Calculation-sheet'!G128</f>
        <v>1441275798.2841337</v>
      </c>
      <c r="H155" s="2">
        <f>H12/'Output-Calculation-sheet'!H11*'Output-Calculation-sheet'!H128</f>
        <v>1614281646.4345262</v>
      </c>
      <c r="I155" s="2">
        <f>I12/'Output-Calculation-sheet'!I11*'Output-Calculation-sheet'!I128</f>
        <v>1240534151.0072684</v>
      </c>
      <c r="J155" s="2">
        <f>J12/'Output-Calculation-sheet'!J11*'Output-Calculation-sheet'!J128</f>
        <v>903091473.25417459</v>
      </c>
      <c r="K155" s="2">
        <f>K12/'Output-Calculation-sheet'!K11*'Output-Calculation-sheet'!K128</f>
        <v>998133162.24295795</v>
      </c>
      <c r="L155" s="2">
        <f>L12/'Output-Calculation-sheet'!L11*'Output-Calculation-sheet'!L128</f>
        <v>434542981.69603771</v>
      </c>
      <c r="M155" s="2">
        <f>M12/'Output-Calculation-sheet'!M11*'Output-Calculation-sheet'!M128</f>
        <v>862107687.74103165</v>
      </c>
      <c r="N155" s="2">
        <f>N12/'Output-Calculation-sheet'!N11*'Output-Calculation-sheet'!N128</f>
        <v>759716616.82472551</v>
      </c>
      <c r="O155" s="2">
        <f>O12/'Output-Calculation-sheet'!O11*'Output-Calculation-sheet'!O128</f>
        <v>12450748.051772589</v>
      </c>
      <c r="P155" s="2">
        <f>P12/'Output-Calculation-sheet'!P11*'Output-Calculation-sheet'!P128</f>
        <v>661908534.053684</v>
      </c>
      <c r="Q155" s="2">
        <f>Q12/'Output-Calculation-sheet'!Q11*'Output-Calculation-sheet'!Q128</f>
        <v>996593333.78511691</v>
      </c>
      <c r="R155" s="2">
        <f>R12/'Output-Calculation-sheet'!R11*'Output-Calculation-sheet'!R128</f>
        <v>510231999.79003233</v>
      </c>
      <c r="S155" s="2">
        <f>S12/'Output-Calculation-sheet'!S11*'Output-Calculation-sheet'!S128</f>
        <v>565172461.56524181</v>
      </c>
      <c r="T155" s="2">
        <f>T12/'Output-Calculation-sheet'!T11*'Output-Calculation-sheet'!T128</f>
        <v>139003669.75999427</v>
      </c>
      <c r="U155" s="2">
        <f>U12/'Output-Calculation-sheet'!U11*'Output-Calculation-sheet'!U128</f>
        <v>322148900.45130211</v>
      </c>
      <c r="V155" s="2">
        <f>V12/'Output-Calculation-sheet'!V11*'Output-Calculation-sheet'!V128</f>
        <v>48064935.725152656</v>
      </c>
      <c r="W155" s="2">
        <f>W12/'Output-Calculation-sheet'!W11*'Output-Calculation-sheet'!W128</f>
        <v>96903761.252261028</v>
      </c>
      <c r="X155" s="2">
        <f>X12/'Output-Calculation-sheet'!X11*'Output-Calculation-sheet'!X128</f>
        <v>6852110.5290057641</v>
      </c>
      <c r="Y155" s="2">
        <f>Y12/'Output-Calculation-sheet'!Y11*'Output-Calculation-sheet'!Y128</f>
        <v>92047844.634353802</v>
      </c>
      <c r="AA155" s="2">
        <f t="shared" si="13"/>
        <v>33391.307836468615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7467.581542636698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4705.6579948492436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3266.3809772673144</v>
      </c>
      <c r="N19" s="2">
        <f>N8/'Output-Calculation-sheet'!N7*'Output-Calculation-sheet'!N25</f>
        <v>1115.8831983578045</v>
      </c>
      <c r="O19" s="2">
        <f>O8/'Output-Calculation-sheet'!O7*'Output-Calculation-sheet'!O25</f>
        <v>963.83941157251138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172.44390305509523</v>
      </c>
      <c r="Y19" s="2">
        <f>Y8/'Output-Calculation-sheet'!Y7*'Output-Calculation-sheet'!Y25</f>
        <v>0</v>
      </c>
      <c r="AA19" s="2">
        <f t="shared" si="0"/>
        <v>19.138026262920636</v>
      </c>
    </row>
    <row r="20" spans="1:27" x14ac:dyDescent="0.25">
      <c r="A20" s="2">
        <v>2032</v>
      </c>
      <c r="B20" s="2">
        <f>B9/'Output-Calculation-sheet'!B8*'Output-Calculation-sheet'!B26</f>
        <v>5708.1202200295884</v>
      </c>
      <c r="C20" s="2">
        <f>C9/'Output-Calculation-sheet'!C8*'Output-Calculation-sheet'!C26</f>
        <v>5509.6969202146556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6208.0986686584683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4315.300560029058</v>
      </c>
      <c r="N20" s="2">
        <f>N9/'Output-Calculation-sheet'!N8*'Output-Calculation-sheet'!N26</f>
        <v>1943.0276050970126</v>
      </c>
      <c r="O20" s="2">
        <f>O9/'Output-Calculation-sheet'!O8*'Output-Calculation-sheet'!O26</f>
        <v>1060.0076615191756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706.33383656042918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230.56982781871119</v>
      </c>
      <c r="Y20" s="2">
        <f>Y9/'Output-Calculation-sheet'!Y8*'Output-Calculation-sheet'!Y26</f>
        <v>0</v>
      </c>
      <c r="AA20" s="2">
        <f t="shared" si="0"/>
        <v>25.681155299927099</v>
      </c>
    </row>
    <row r="21" spans="1:27" x14ac:dyDescent="0.25">
      <c r="A21" s="2">
        <v>2033</v>
      </c>
      <c r="B21" s="2">
        <f>B10/'Output-Calculation-sheet'!B9*'Output-Calculation-sheet'!B27</f>
        <v>12948.243082729317</v>
      </c>
      <c r="C21" s="2">
        <f>C10/'Output-Calculation-sheet'!C9*'Output-Calculation-sheet'!C27</f>
        <v>5380.2174715654382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7522.5428476653587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5227.0980501026661</v>
      </c>
      <c r="N21" s="2">
        <f>N10/'Output-Calculation-sheet'!N9*'Output-Calculation-sheet'!N27</f>
        <v>2854.8125699050865</v>
      </c>
      <c r="O21" s="2">
        <f>O10/'Output-Calculation-sheet'!O9*'Output-Calculation-sheet'!O27</f>
        <v>1034.6771562361002</v>
      </c>
      <c r="P21" s="2">
        <f>P10/'Output-Calculation-sheet'!P9*'Output-Calculation-sheet'!P27</f>
        <v>0</v>
      </c>
      <c r="Q21" s="2">
        <f>Q10/'Output-Calculation-sheet'!Q9*'Output-Calculation-sheet'!Q27</f>
        <v>191.33462839798307</v>
      </c>
      <c r="R21" s="2">
        <f>R10/'Output-Calculation-sheet'!R9*'Output-Calculation-sheet'!R27</f>
        <v>0</v>
      </c>
      <c r="S21" s="2">
        <f>S10/'Output-Calculation-sheet'!S9*'Output-Calculation-sheet'!S27</f>
        <v>1242.7493852119926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331.23061221366959</v>
      </c>
      <c r="Y21" s="2">
        <f>Y10/'Output-Calculation-sheet'!Y9*'Output-Calculation-sheet'!Y27</f>
        <v>0</v>
      </c>
      <c r="AA21" s="2">
        <f t="shared" si="0"/>
        <v>36.732905804027624</v>
      </c>
    </row>
    <row r="22" spans="1:27" x14ac:dyDescent="0.25">
      <c r="A22" s="2">
        <v>2034</v>
      </c>
      <c r="B22" s="2">
        <f>B11/'Output-Calculation-sheet'!B10*'Output-Calculation-sheet'!B28</f>
        <v>23254.619755061627</v>
      </c>
      <c r="C22" s="2">
        <f>C11/'Output-Calculation-sheet'!C10*'Output-Calculation-sheet'!C28</f>
        <v>5062.3990421575936</v>
      </c>
      <c r="D22" s="2">
        <f>D11/'Output-Calculation-sheet'!D10*'Output-Calculation-sheet'!D28</f>
        <v>0</v>
      </c>
      <c r="E22" s="2">
        <f>E11/'Output-Calculation-sheet'!E10*'Output-Calculation-sheet'!E28</f>
        <v>1194.8175535726089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8881.5074228810918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724.61251356686137</v>
      </c>
      <c r="M22" s="2">
        <f>M11/'Output-Calculation-sheet'!M10*'Output-Calculation-sheet'!M28</f>
        <v>6589.5826772708551</v>
      </c>
      <c r="N22" s="2">
        <f>N11/'Output-Calculation-sheet'!N10*'Output-Calculation-sheet'!N28</f>
        <v>3794.4795083229292</v>
      </c>
      <c r="O22" s="2">
        <f>O11/'Output-Calculation-sheet'!O10*'Output-Calculation-sheet'!O28</f>
        <v>538.45958764875377</v>
      </c>
      <c r="P22" s="2">
        <f>P11/'Output-Calculation-sheet'!P10*'Output-Calculation-sheet'!P28</f>
        <v>0</v>
      </c>
      <c r="Q22" s="2">
        <f>Q11/'Output-Calculation-sheet'!Q10*'Output-Calculation-sheet'!Q28</f>
        <v>1095.1446874075491</v>
      </c>
      <c r="R22" s="2">
        <f>R11/'Output-Calculation-sheet'!R10*'Output-Calculation-sheet'!R28</f>
        <v>0</v>
      </c>
      <c r="S22" s="2">
        <f>S11/'Output-Calculation-sheet'!S10*'Output-Calculation-sheet'!S28</f>
        <v>1810.0179394723616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65.958196597448364</v>
      </c>
      <c r="AA22" s="2">
        <f t="shared" si="0"/>
        <v>53.28142717814989</v>
      </c>
    </row>
    <row r="23" spans="1:27" x14ac:dyDescent="0.25">
      <c r="A23" s="2">
        <v>2035</v>
      </c>
      <c r="B23" s="2">
        <f>B12/'Output-Calculation-sheet'!B11*'Output-Calculation-sheet'!B29</f>
        <v>22323.394682098831</v>
      </c>
      <c r="C23" s="2">
        <f>C12/'Output-Calculation-sheet'!C11*'Output-Calculation-sheet'!C29</f>
        <v>8394.5981345843793</v>
      </c>
      <c r="D23" s="2">
        <f>D12/'Output-Calculation-sheet'!D11*'Output-Calculation-sheet'!D29</f>
        <v>0</v>
      </c>
      <c r="E23" s="2">
        <f>E12/'Output-Calculation-sheet'!E11*'Output-Calculation-sheet'!E29</f>
        <v>3787.8868303754225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8146.4466549388781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1361.5634858065062</v>
      </c>
      <c r="M23" s="2">
        <f>M12/'Output-Calculation-sheet'!M11*'Output-Calculation-sheet'!M29</f>
        <v>6260.302146757399</v>
      </c>
      <c r="N23" s="2">
        <f>N12/'Output-Calculation-sheet'!N11*'Output-Calculation-sheet'!N29</f>
        <v>3724.5327860305665</v>
      </c>
      <c r="O23" s="2">
        <f>O12/'Output-Calculation-sheet'!O11*'Output-Calculation-sheet'!O29</f>
        <v>22.811145948616968</v>
      </c>
      <c r="P23" s="2">
        <f>P12/'Output-Calculation-sheet'!P11*'Output-Calculation-sheet'!P29</f>
        <v>422.19739324095622</v>
      </c>
      <c r="Q23" s="2">
        <f>Q12/'Output-Calculation-sheet'!Q11*'Output-Calculation-sheet'!Q29</f>
        <v>1150.9121361302405</v>
      </c>
      <c r="R23" s="2">
        <f>R12/'Output-Calculation-sheet'!R11*'Output-Calculation-sheet'!R29</f>
        <v>0</v>
      </c>
      <c r="S23" s="2">
        <f>S12/'Output-Calculation-sheet'!S11*'Output-Calculation-sheet'!S29</f>
        <v>1779.381318800775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60.962971377834918</v>
      </c>
      <c r="Y23" s="2">
        <f>Y12/'Output-Calculation-sheet'!Y11*'Output-Calculation-sheet'!Y29</f>
        <v>89.428469682739816</v>
      </c>
      <c r="AA23" s="2">
        <f t="shared" si="0"/>
        <v>57.524418155773148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1520.9071338222009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39.089581745946731</v>
      </c>
    </row>
    <row r="31" spans="1:27" x14ac:dyDescent="0.25">
      <c r="A31" s="2">
        <v>2032</v>
      </c>
      <c r="B31" s="2">
        <f>B9/'Output-Calculation-sheet'!B8*'Output-Calculation-sheet'!B17</f>
        <v>24169.827868126005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1655.5378242417394</v>
      </c>
      <c r="O31" s="2">
        <f>O9/'Output-Calculation-sheet'!O8*'Output-Calculation-sheet'!O17</f>
        <v>0</v>
      </c>
      <c r="P31" s="2">
        <f>P9/'Output-Calculation-sheet'!P8*'Output-Calculation-sheet'!P17</f>
        <v>2049.44253865569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1231.2989166917716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52.634607461633792</v>
      </c>
    </row>
    <row r="32" spans="1:27" x14ac:dyDescent="0.25">
      <c r="A32" s="2">
        <v>2033</v>
      </c>
      <c r="B32" s="2">
        <f>B10/'Output-Calculation-sheet'!B9*'Output-Calculation-sheet'!B18</f>
        <v>26440.326850003206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2516.3593118417916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1612.2340210188588</v>
      </c>
      <c r="O32" s="2">
        <f>O10/'Output-Calculation-sheet'!O9*'Output-Calculation-sheet'!O18</f>
        <v>0</v>
      </c>
      <c r="P32" s="2">
        <f>P10/'Output-Calculation-sheet'!P9*'Output-Calculation-sheet'!P18</f>
        <v>2589.8363344464419</v>
      </c>
      <c r="Q32" s="2">
        <f>Q10/'Output-Calculation-sheet'!Q9*'Output-Calculation-sheet'!Q18</f>
        <v>2823.3900606335701</v>
      </c>
      <c r="R32" s="2">
        <f>R10/'Output-Calculation-sheet'!R9*'Output-Calculation-sheet'!R18</f>
        <v>1859.7027131872503</v>
      </c>
      <c r="S32" s="2">
        <f>S10/'Output-Calculation-sheet'!S9*'Output-Calculation-sheet'!S18</f>
        <v>1217.907597335357</v>
      </c>
      <c r="T32" s="2">
        <f>T10/'Output-Calculation-sheet'!T9*'Output-Calculation-sheet'!T18</f>
        <v>542.98151469463255</v>
      </c>
      <c r="U32" s="2">
        <f>U10/'Output-Calculation-sheet'!U9*'Output-Calculation-sheet'!U18</f>
        <v>600.25358713915546</v>
      </c>
      <c r="V32" s="2">
        <f>V10/'Output-Calculation-sheet'!V9*'Output-Calculation-sheet'!V18</f>
        <v>443.07282011173669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256.54218796264706</v>
      </c>
      <c r="AA32" s="2">
        <f t="shared" si="1"/>
        <v>63.477632715151451</v>
      </c>
    </row>
    <row r="33" spans="1:27" x14ac:dyDescent="0.25">
      <c r="A33" s="2">
        <v>2034</v>
      </c>
      <c r="B33" s="2">
        <f>B11/'Output-Calculation-sheet'!B10*'Output-Calculation-sheet'!B19</f>
        <v>23694.223298661662</v>
      </c>
      <c r="C33" s="2">
        <f>C11/'Output-Calculation-sheet'!C10*'Output-Calculation-sheet'!C19</f>
        <v>0</v>
      </c>
      <c r="D33" s="2">
        <f>D11/'Output-Calculation-sheet'!D10*'Output-Calculation-sheet'!D19</f>
        <v>7170.2729024918262</v>
      </c>
      <c r="E33" s="2">
        <f>E11/'Output-Calculation-sheet'!E10*'Output-Calculation-sheet'!E19</f>
        <v>8889.99717286536</v>
      </c>
      <c r="F33" s="2">
        <f>F11/'Output-Calculation-sheet'!F10*'Output-Calculation-sheet'!F19</f>
        <v>4070.3850551146074</v>
      </c>
      <c r="G33" s="2">
        <f>G11/'Output-Calculation-sheet'!G10*'Output-Calculation-sheet'!G19</f>
        <v>2424.9105846315929</v>
      </c>
      <c r="H33" s="2">
        <f>H11/'Output-Calculation-sheet'!H10*'Output-Calculation-sheet'!H19</f>
        <v>0</v>
      </c>
      <c r="I33" s="2">
        <f>I11/'Output-Calculation-sheet'!I10*'Output-Calculation-sheet'!I19</f>
        <v>2663.6278808314833</v>
      </c>
      <c r="J33" s="2">
        <f>J11/'Output-Calculation-sheet'!J10*'Output-Calculation-sheet'!J19</f>
        <v>2252.1741657766752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2540.9495040553952</v>
      </c>
      <c r="M33" s="2">
        <f>M11/'Output-Calculation-sheet'!M10*'Output-Calculation-sheet'!M19</f>
        <v>0</v>
      </c>
      <c r="N33" s="2">
        <f>N11/'Output-Calculation-sheet'!N10*'Output-Calculation-sheet'!N19</f>
        <v>1435.0054580926057</v>
      </c>
      <c r="O33" s="2">
        <f>O11/'Output-Calculation-sheet'!O10*'Output-Calculation-sheet'!O19</f>
        <v>0</v>
      </c>
      <c r="P33" s="2">
        <f>P11/'Output-Calculation-sheet'!P10*'Output-Calculation-sheet'!P19</f>
        <v>3161.8874606070526</v>
      </c>
      <c r="Q33" s="2">
        <f>Q11/'Output-Calculation-sheet'!Q10*'Output-Calculation-sheet'!Q19</f>
        <v>2574.3576852215469</v>
      </c>
      <c r="R33" s="2">
        <f>R11/'Output-Calculation-sheet'!R10*'Output-Calculation-sheet'!R19</f>
        <v>2256.8584614078982</v>
      </c>
      <c r="S33" s="2">
        <f>S11/'Output-Calculation-sheet'!S10*'Output-Calculation-sheet'!S19</f>
        <v>1047.4271180254161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708.39805014832075</v>
      </c>
      <c r="V33" s="2">
        <f>V11/'Output-Calculation-sheet'!V10*'Output-Calculation-sheet'!V19</f>
        <v>519.34815968189389</v>
      </c>
      <c r="W33" s="2">
        <f>W11/'Output-Calculation-sheet'!W10*'Output-Calculation-sheet'!W19</f>
        <v>323.34033995550465</v>
      </c>
      <c r="X33" s="2">
        <f>X11/'Output-Calculation-sheet'!X10*'Output-Calculation-sheet'!X19</f>
        <v>0</v>
      </c>
      <c r="Y33" s="2">
        <f>Y11/'Output-Calculation-sheet'!Y10*'Output-Calculation-sheet'!Y19</f>
        <v>291.46853810856453</v>
      </c>
      <c r="AA33" s="2">
        <f t="shared" si="1"/>
        <v>69.811026434074762</v>
      </c>
    </row>
    <row r="34" spans="1:27" x14ac:dyDescent="0.25">
      <c r="A34" s="2">
        <v>2035</v>
      </c>
      <c r="B34" s="2">
        <f>B12/'Output-Calculation-sheet'!B11*'Output-Calculation-sheet'!B20</f>
        <v>20651.245677144303</v>
      </c>
      <c r="C34" s="2">
        <f>C12/'Output-Calculation-sheet'!C11*'Output-Calculation-sheet'!C20</f>
        <v>0</v>
      </c>
      <c r="D34" s="2">
        <f>D12/'Output-Calculation-sheet'!D11*'Output-Calculation-sheet'!D20</f>
        <v>6585.9706516867845</v>
      </c>
      <c r="E34" s="2">
        <f>E12/'Output-Calculation-sheet'!E11*'Output-Calculation-sheet'!E20</f>
        <v>7298.7572174327715</v>
      </c>
      <c r="F34" s="2">
        <f>F12/'Output-Calculation-sheet'!F11*'Output-Calculation-sheet'!F20</f>
        <v>4099.6029114379835</v>
      </c>
      <c r="G34" s="2">
        <f>G12/'Output-Calculation-sheet'!G11*'Output-Calculation-sheet'!G20</f>
        <v>2209.335479404031</v>
      </c>
      <c r="H34" s="2">
        <f>H12/'Output-Calculation-sheet'!H11*'Output-Calculation-sheet'!H20</f>
        <v>0</v>
      </c>
      <c r="I34" s="2">
        <f>I12/'Output-Calculation-sheet'!I11*'Output-Calculation-sheet'!I20</f>
        <v>2452.6264242633088</v>
      </c>
      <c r="J34" s="2">
        <f>J12/'Output-Calculation-sheet'!J11*'Output-Calculation-sheet'!J20</f>
        <v>2268.7510758134763</v>
      </c>
      <c r="K34" s="2">
        <f>K12/'Output-Calculation-sheet'!K11*'Output-Calculation-sheet'!K20</f>
        <v>3020.0804518398936</v>
      </c>
      <c r="L34" s="2">
        <f>L12/'Output-Calculation-sheet'!L11*'Output-Calculation-sheet'!L20</f>
        <v>2416.2727605636996</v>
      </c>
      <c r="M34" s="2">
        <f>M12/'Output-Calculation-sheet'!M11*'Output-Calculation-sheet'!M20</f>
        <v>0</v>
      </c>
      <c r="N34" s="2">
        <f>N12/'Output-Calculation-sheet'!N11*'Output-Calculation-sheet'!N20</f>
        <v>1291.6261697131351</v>
      </c>
      <c r="O34" s="2">
        <f>O12/'Output-Calculation-sheet'!O11*'Output-Calculation-sheet'!O20</f>
        <v>0</v>
      </c>
      <c r="P34" s="2">
        <f>P12/'Output-Calculation-sheet'!P11*'Output-Calculation-sheet'!P20</f>
        <v>2770.93470253431</v>
      </c>
      <c r="Q34" s="2">
        <f>Q12/'Output-Calculation-sheet'!Q11*'Output-Calculation-sheet'!Q20</f>
        <v>2267.0048447386685</v>
      </c>
      <c r="R34" s="2">
        <f>R12/'Output-Calculation-sheet'!R11*'Output-Calculation-sheet'!R20</f>
        <v>2318.4972523310698</v>
      </c>
      <c r="S34" s="2">
        <f>S12/'Output-Calculation-sheet'!S11*'Output-Calculation-sheet'!S20</f>
        <v>894.41802792741498</v>
      </c>
      <c r="T34" s="2">
        <f>T12/'Output-Calculation-sheet'!T11*'Output-Calculation-sheet'!T20</f>
        <v>703.43171469325046</v>
      </c>
      <c r="U34" s="2">
        <f>U12/'Output-Calculation-sheet'!U11*'Output-Calculation-sheet'!U20</f>
        <v>647.42983680830491</v>
      </c>
      <c r="V34" s="2">
        <f>V12/'Output-Calculation-sheet'!V11*'Output-Calculation-sheet'!V20</f>
        <v>637.14060634788223</v>
      </c>
      <c r="W34" s="2">
        <f>W12/'Output-Calculation-sheet'!W11*'Output-Calculation-sheet'!W20</f>
        <v>345.52729103216183</v>
      </c>
      <c r="X34" s="2">
        <f>X12/'Output-Calculation-sheet'!X11*'Output-Calculation-sheet'!X20</f>
        <v>0.76656327883684805</v>
      </c>
      <c r="Y34" s="2">
        <f>Y12/'Output-Calculation-sheet'!Y11*'Output-Calculation-sheet'!Y20</f>
        <v>250.21130576730883</v>
      </c>
      <c r="AA34" s="2">
        <f t="shared" si="1"/>
        <v>63.129630964758583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0.10709206763484944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1.6151543620299497E-2</v>
      </c>
      <c r="H44" s="2">
        <f>H11/'Output-Calculation-sheet'!H10*'Output-Calculation-sheet'!H37*0.0114</f>
        <v>1.5646549953669524E-2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9.271079906140069E-3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6.0657241507394008E-3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2.9580319334570854E-3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0.15718499719915499</v>
      </c>
    </row>
    <row r="45" spans="1:27" x14ac:dyDescent="0.25">
      <c r="A45" s="2">
        <v>2035</v>
      </c>
      <c r="B45" s="2">
        <f>B12/'Output-Calculation-sheet'!B11*'Output-Calculation-sheet'!B38*0.0114</f>
        <v>0.39201872757614886</v>
      </c>
      <c r="C45" s="2">
        <f>C12/'Output-Calculation-sheet'!C11*'Output-Calculation-sheet'!C38*0.0114</f>
        <v>0.23257645192383503</v>
      </c>
      <c r="D45" s="2">
        <f>D12/'Output-Calculation-sheet'!D11*'Output-Calculation-sheet'!D38*0.0114</f>
        <v>4.1204515056664032E-2</v>
      </c>
      <c r="E45" s="2">
        <f>E12/'Output-Calculation-sheet'!E11*'Output-Calculation-sheet'!E38*0.0114</f>
        <v>0.13098654888999214</v>
      </c>
      <c r="F45" s="2">
        <f>F12/'Output-Calculation-sheet'!F11*'Output-Calculation-sheet'!F38*0.0114</f>
        <v>4.1190763870414572E-2</v>
      </c>
      <c r="G45" s="2">
        <f>G12/'Output-Calculation-sheet'!G11*'Output-Calculation-sheet'!G38*0.0114</f>
        <v>2.9561982125555854E-2</v>
      </c>
      <c r="H45" s="2">
        <f>H12/'Output-Calculation-sheet'!H11*'Output-Calculation-sheet'!H38*0.0114</f>
        <v>8.5913094301834608E-2</v>
      </c>
      <c r="I45" s="2">
        <f>I12/'Output-Calculation-sheet'!I11*'Output-Calculation-sheet'!I38*0.0114</f>
        <v>2.6589176144249171E-2</v>
      </c>
      <c r="J45" s="2">
        <f>J12/'Output-Calculation-sheet'!J11*'Output-Calculation-sheet'!J38*0.0114</f>
        <v>1.3157238309908935E-2</v>
      </c>
      <c r="K45" s="2">
        <f>K12/'Output-Calculation-sheet'!K11*'Output-Calculation-sheet'!K38*0.0114</f>
        <v>2.6132927766311896E-2</v>
      </c>
      <c r="L45" s="2">
        <f>L12/'Output-Calculation-sheet'!L11*'Output-Calculation-sheet'!L38*0.0114</f>
        <v>1.0389850561832208E-2</v>
      </c>
      <c r="M45" s="2">
        <f>M12/'Output-Calculation-sheet'!M11*'Output-Calculation-sheet'!M38*0.0114</f>
        <v>4.9263808250850839E-2</v>
      </c>
      <c r="N45" s="2">
        <f>N12/'Output-Calculation-sheet'!N11*'Output-Calculation-sheet'!N38*0.0114</f>
        <v>2.905100049336572E-2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3.5784028824294684E-2</v>
      </c>
      <c r="Q45" s="2">
        <f>Q12/'Output-Calculation-sheet'!Q11*'Output-Calculation-sheet'!Q38*0.0114</f>
        <v>2.5453124318605906E-2</v>
      </c>
      <c r="R45" s="2">
        <f>R12/'Output-Calculation-sheet'!R11*'Output-Calculation-sheet'!R38*0.0114</f>
        <v>1.6827713356725102E-2</v>
      </c>
      <c r="S45" s="2">
        <f>S12/'Output-Calculation-sheet'!S11*'Output-Calculation-sheet'!S38*0.0114</f>
        <v>2.2204048496930678E-2</v>
      </c>
      <c r="T45" s="2">
        <f>T12/'Output-Calculation-sheet'!T11*'Output-Calculation-sheet'!T38*0.0114</f>
        <v>3.1128100137502892E-3</v>
      </c>
      <c r="U45" s="2">
        <f>U12/'Output-Calculation-sheet'!U11*'Output-Calculation-sheet'!U38*0.0114</f>
        <v>8.1210770808722507E-3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3.6150103891256728E-3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5.2152936230916644E-3</v>
      </c>
      <c r="AA45" s="2">
        <f t="shared" si="2"/>
        <v>1.2405740418022591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2885.0122971770174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6645.2709830961103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4544.8580530087056</v>
      </c>
      <c r="N52" s="2">
        <f>N8/'Output-Calculation-sheet'!N7*'Output-Calculation-sheet'!N43</f>
        <v>143.56461103305807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30.730239102893762</v>
      </c>
      <c r="Y52" s="2">
        <f>Y8/'Output-Calculation-sheet'!Y7*'Output-Calculation-sheet'!Y43</f>
        <v>0</v>
      </c>
      <c r="AA52" s="2">
        <f t="shared" si="3"/>
        <v>14.249436183417785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478.84784037164405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12417.387909836543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8500.4840276947707</v>
      </c>
      <c r="N53" s="2">
        <f>N9/'Output-Calculation-sheet'!N8*'Output-Calculation-sheet'!N44</f>
        <v>3016.5118741007618</v>
      </c>
      <c r="O53" s="2">
        <f>O9/'Output-Calculation-sheet'!O8*'Output-Calculation-sheet'!O44</f>
        <v>167.26940094501705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940.13591244044653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259.55660922605881</v>
      </c>
      <c r="Y53" s="2">
        <f>Y9/'Output-Calculation-sheet'!Y8*'Output-Calculation-sheet'!Y44</f>
        <v>0</v>
      </c>
      <c r="AA53" s="2">
        <f t="shared" si="3"/>
        <v>25.913906887250761</v>
      </c>
    </row>
    <row r="54" spans="1:27" x14ac:dyDescent="0.25">
      <c r="A54" s="2">
        <v>2033</v>
      </c>
      <c r="B54" s="2">
        <f>B10/'Output-Calculation-sheet'!B9*'Output-Calculation-sheet'!B45</f>
        <v>24867.42785291827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12422.484870498112</v>
      </c>
      <c r="N54" s="2">
        <f>N10/'Output-Calculation-sheet'!N9*'Output-Calculation-sheet'!N45</f>
        <v>6952.4710171905381</v>
      </c>
      <c r="O54" s="2">
        <f>O10/'Output-Calculation-sheet'!O9*'Output-Calculation-sheet'!O45</f>
        <v>925.81709638621339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722.9555609188377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75.936065060086236</v>
      </c>
    </row>
    <row r="55" spans="1:27" x14ac:dyDescent="0.25">
      <c r="A55" s="2">
        <v>2034</v>
      </c>
      <c r="B55" s="2">
        <f>B11/'Output-Calculation-sheet'!B10*'Output-Calculation-sheet'!B46</f>
        <v>66209.201113194635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234.9213243737891</v>
      </c>
      <c r="G55" s="2">
        <f>G11/'Output-Calculation-sheet'!G10*'Output-Calculation-sheet'!G46</f>
        <v>2648.0030724859434</v>
      </c>
      <c r="H55" s="2">
        <f>H11/'Output-Calculation-sheet'!H10*'Output-Calculation-sheet'!H46</f>
        <v>20487.372908633773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14425.963354503885</v>
      </c>
      <c r="N55" s="2">
        <f>N11/'Output-Calculation-sheet'!N10*'Output-Calculation-sheet'!N46</f>
        <v>10926.868620316467</v>
      </c>
      <c r="O55" s="2">
        <f>O11/'Output-Calculation-sheet'!O10*'Output-Calculation-sheet'!O46</f>
        <v>419.23489916559311</v>
      </c>
      <c r="P55" s="2">
        <f>P11/'Output-Calculation-sheet'!P10*'Output-Calculation-sheet'!P46</f>
        <v>4043.9769264293041</v>
      </c>
      <c r="Q55" s="2">
        <f>Q11/'Output-Calculation-sheet'!Q10*'Output-Calculation-sheet'!Q46</f>
        <v>3155.420178581006</v>
      </c>
      <c r="R55" s="2">
        <f>R11/'Output-Calculation-sheet'!R10*'Output-Calculation-sheet'!R46</f>
        <v>3277.5885830135139</v>
      </c>
      <c r="S55" s="2">
        <f>S11/'Output-Calculation-sheet'!S10*'Output-Calculation-sheet'!S46</f>
        <v>5119.6840156503958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968.106766993718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163.59588288698035</v>
      </c>
    </row>
    <row r="56" spans="1:27" x14ac:dyDescent="0.25">
      <c r="A56" s="2">
        <v>2035</v>
      </c>
      <c r="B56" s="2">
        <f>B12/'Output-Calculation-sheet'!B11*'Output-Calculation-sheet'!B47</f>
        <v>63668.655623442071</v>
      </c>
      <c r="C56" s="2">
        <f>C12/'Output-Calculation-sheet'!C11*'Output-Calculation-sheet'!C47</f>
        <v>19842.443608870344</v>
      </c>
      <c r="D56" s="2">
        <f>D12/'Output-Calculation-sheet'!D11*'Output-Calculation-sheet'!D47</f>
        <v>6527.6626484504595</v>
      </c>
      <c r="E56" s="2">
        <f>E12/'Output-Calculation-sheet'!E11*'Output-Calculation-sheet'!E47</f>
        <v>16511.199189027957</v>
      </c>
      <c r="F56" s="2">
        <f>F12/'Output-Calculation-sheet'!F11*'Output-Calculation-sheet'!F47</f>
        <v>948.47153648980918</v>
      </c>
      <c r="G56" s="2">
        <f>G12/'Output-Calculation-sheet'!G11*'Output-Calculation-sheet'!G47</f>
        <v>2415.5251184171298</v>
      </c>
      <c r="H56" s="2">
        <f>H12/'Output-Calculation-sheet'!H11*'Output-Calculation-sheet'!H47</f>
        <v>18831.798579932842</v>
      </c>
      <c r="I56" s="2">
        <f>I12/'Output-Calculation-sheet'!I11*'Output-Calculation-sheet'!I47</f>
        <v>1539.3733557196888</v>
      </c>
      <c r="J56" s="2">
        <f>J12/'Output-Calculation-sheet'!J11*'Output-Calculation-sheet'!J47</f>
        <v>2539.1161650701456</v>
      </c>
      <c r="K56" s="2">
        <f>K12/'Output-Calculation-sheet'!K11*'Output-Calculation-sheet'!K47</f>
        <v>3471.7823773753826</v>
      </c>
      <c r="L56" s="2">
        <f>L12/'Output-Calculation-sheet'!L11*'Output-Calculation-sheet'!L47</f>
        <v>3717.5614422555764</v>
      </c>
      <c r="M56" s="2">
        <f>M12/'Output-Calculation-sheet'!M11*'Output-Calculation-sheet'!M47</f>
        <v>13273.57135292223</v>
      </c>
      <c r="N56" s="2">
        <f>N12/'Output-Calculation-sheet'!N11*'Output-Calculation-sheet'!N47</f>
        <v>10742.074626874353</v>
      </c>
      <c r="O56" s="2">
        <f>O12/'Output-Calculation-sheet'!O11*'Output-Calculation-sheet'!O47</f>
        <v>48.353890359163053</v>
      </c>
      <c r="P56" s="2">
        <f>P12/'Output-Calculation-sheet'!P11*'Output-Calculation-sheet'!P47</f>
        <v>4604.8394987052889</v>
      </c>
      <c r="Q56" s="2">
        <f>Q12/'Output-Calculation-sheet'!Q11*'Output-Calculation-sheet'!Q47</f>
        <v>3238.9472817126575</v>
      </c>
      <c r="R56" s="2">
        <f>R12/'Output-Calculation-sheet'!R11*'Output-Calculation-sheet'!R47</f>
        <v>3784.7593900564175</v>
      </c>
      <c r="S56" s="2">
        <f>S12/'Output-Calculation-sheet'!S11*'Output-Calculation-sheet'!S47</f>
        <v>4994.9370500332216</v>
      </c>
      <c r="T56" s="2">
        <f>T12/'Output-Calculation-sheet'!T11*'Output-Calculation-sheet'!T47</f>
        <v>1278.7095872274213</v>
      </c>
      <c r="U56" s="2">
        <f>U12/'Output-Calculation-sheet'!U11*'Output-Calculation-sheet'!U47</f>
        <v>892.60610371341488</v>
      </c>
      <c r="V56" s="2">
        <f>V12/'Output-Calculation-sheet'!V11*'Output-Calculation-sheet'!V47</f>
        <v>881.99831675424036</v>
      </c>
      <c r="W56" s="2">
        <f>W12/'Output-Calculation-sheet'!W11*'Output-Calculation-sheet'!W47</f>
        <v>312.19102878019515</v>
      </c>
      <c r="X56" s="2">
        <f>X12/'Output-Calculation-sheet'!X11*'Output-Calculation-sheet'!X47</f>
        <v>104.76838875877762</v>
      </c>
      <c r="Y56" s="2">
        <f>Y12/'Output-Calculation-sheet'!Y11*'Output-Calculation-sheet'!Y47</f>
        <v>415.75954777769334</v>
      </c>
      <c r="AA56" s="2">
        <f t="shared" si="3"/>
        <v>184.58710570872651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7.1099229088098976</v>
      </c>
      <c r="C63" s="2">
        <f>C8*'Output-Calculation-sheet'!C52/10^9</f>
        <v>4.3005459504537855</v>
      </c>
      <c r="D63" s="2">
        <f>D8*'Output-Calculation-sheet'!D52/10^9</f>
        <v>2.4381449326341955</v>
      </c>
      <c r="E63" s="2">
        <f>E8*'Output-Calculation-sheet'!E52/10^9</f>
        <v>2.424170066821647</v>
      </c>
      <c r="F63" s="2">
        <f>F8*'Output-Calculation-sheet'!F52/10^9</f>
        <v>1.0266358228938559</v>
      </c>
      <c r="G63" s="2">
        <f>G8*'Output-Calculation-sheet'!G52/10^9</f>
        <v>0.7381047772146816</v>
      </c>
      <c r="H63" s="2">
        <f>H8*'Output-Calculation-sheet'!H52/10^9</f>
        <v>1.2892450268898916</v>
      </c>
      <c r="I63" s="2">
        <f>I8*'Output-Calculation-sheet'!I52/10^9</f>
        <v>0.68660880303907179</v>
      </c>
      <c r="J63" s="2">
        <f>J8*'Output-Calculation-sheet'!J52/10^9</f>
        <v>0.94482025265269076</v>
      </c>
      <c r="K63" s="2">
        <f>K8*'Output-Calculation-sheet'!K52/10^9</f>
        <v>0.83010862620921932</v>
      </c>
      <c r="L63" s="2">
        <f>L8*'Output-Calculation-sheet'!L52/10^9</f>
        <v>1.1165360422629866</v>
      </c>
      <c r="M63" s="2">
        <f>M8*'Output-Calculation-sheet'!M52/10^9</f>
        <v>1.0464935144495091</v>
      </c>
      <c r="N63" s="2">
        <f>N8*'Output-Calculation-sheet'!N52/10^9</f>
        <v>0.87343808320477845</v>
      </c>
      <c r="O63" s="2">
        <f>O8*'Output-Calculation-sheet'!O52/10^9</f>
        <v>0.87776727203864013</v>
      </c>
      <c r="P63" s="2">
        <f>P8*'Output-Calculation-sheet'!P52/10^9</f>
        <v>0.57358266853481055</v>
      </c>
      <c r="Q63" s="2">
        <f>Q8*'Output-Calculation-sheet'!Q52/10^9</f>
        <v>0.6491274947288489</v>
      </c>
      <c r="R63" s="2">
        <f>R8*'Output-Calculation-sheet'!R52/10^9</f>
        <v>0.58278763829161606</v>
      </c>
      <c r="S63" s="2">
        <f>S8*'Output-Calculation-sheet'!S52/10^9</f>
        <v>0.43186628916549269</v>
      </c>
      <c r="T63" s="2">
        <f>T8*'Output-Calculation-sheet'!T52/10^9</f>
        <v>0.22156753498103413</v>
      </c>
      <c r="U63" s="2">
        <f>U8*'Output-Calculation-sheet'!U52/10^9</f>
        <v>0.1521702087819557</v>
      </c>
      <c r="V63" s="2">
        <f>V8*'Output-Calculation-sheet'!V52/10^9</f>
        <v>0.27006615994809879</v>
      </c>
      <c r="W63" s="2">
        <f>W8*'Output-Calculation-sheet'!W52/10^9</f>
        <v>9.775129717367248E-2</v>
      </c>
      <c r="X63" s="2">
        <f>X8*'Output-Calculation-sheet'!X52/10^9</f>
        <v>0.11127621947654111</v>
      </c>
      <c r="Y63" s="2">
        <f>Y8*'Output-Calculation-sheet'!Y52/10^9</f>
        <v>6.3780002203387143E-2</v>
      </c>
      <c r="AA63" s="2">
        <f t="shared" si="4"/>
        <v>28.856517592860303</v>
      </c>
    </row>
    <row r="64" spans="1:27" x14ac:dyDescent="0.25">
      <c r="A64" s="2">
        <v>2032</v>
      </c>
      <c r="B64" s="2">
        <f>B9*'Output-Calculation-sheet'!B53/10^9</f>
        <v>7.1567994929159822</v>
      </c>
      <c r="C64" s="2">
        <f>C9*'Output-Calculation-sheet'!C53/10^9</f>
        <v>4.5660358752735348</v>
      </c>
      <c r="D64" s="2">
        <f>D9*'Output-Calculation-sheet'!D53/10^9</f>
        <v>2.1179954108421128</v>
      </c>
      <c r="E64" s="2">
        <f>E9*'Output-Calculation-sheet'!E53/10^9</f>
        <v>2.1689204880535242</v>
      </c>
      <c r="F64" s="2">
        <f>F9*'Output-Calculation-sheet'!F53/10^9</f>
        <v>0.91483706161286016</v>
      </c>
      <c r="G64" s="2">
        <f>G9*'Output-Calculation-sheet'!G53/10^9</f>
        <v>0.65115303458309426</v>
      </c>
      <c r="H64" s="2">
        <f>H9*'Output-Calculation-sheet'!H53/10^9</f>
        <v>1.3379303196460814</v>
      </c>
      <c r="I64" s="2">
        <f>I9*'Output-Calculation-sheet'!I53/10^9</f>
        <v>0.60872166525692895</v>
      </c>
      <c r="J64" s="2">
        <f>J9*'Output-Calculation-sheet'!J53/10^9</f>
        <v>0.80582380166883361</v>
      </c>
      <c r="K64" s="2">
        <f>K9*'Output-Calculation-sheet'!K53/10^9</f>
        <v>0.74769485279117009</v>
      </c>
      <c r="L64" s="2">
        <f>L9*'Output-Calculation-sheet'!L53/10^9</f>
        <v>0.96190719330920471</v>
      </c>
      <c r="M64" s="2">
        <f>M9*'Output-Calculation-sheet'!M53/10^9</f>
        <v>1.048543459933077</v>
      </c>
      <c r="N64" s="2">
        <f>N9*'Output-Calculation-sheet'!N53/10^9</f>
        <v>0.88275591898326045</v>
      </c>
      <c r="O64" s="2">
        <f>O9*'Output-Calculation-sheet'!O53/10^9</f>
        <v>0.92255618810068873</v>
      </c>
      <c r="P64" s="2">
        <f>P9*'Output-Calculation-sheet'!P53/10^9</f>
        <v>0.57006647238161967</v>
      </c>
      <c r="Q64" s="2">
        <f>Q9*'Output-Calculation-sheet'!Q53/10^9</f>
        <v>0.63000930125428645</v>
      </c>
      <c r="R64" s="2">
        <f>R9*'Output-Calculation-sheet'!R53/10^9</f>
        <v>0.540066749002444</v>
      </c>
      <c r="S64" s="2">
        <f>S9*'Output-Calculation-sheet'!S53/10^9</f>
        <v>0.44621582988757019</v>
      </c>
      <c r="T64" s="2">
        <f>T9*'Output-Calculation-sheet'!T53/10^9</f>
        <v>0.19413916743850529</v>
      </c>
      <c r="U64" s="2">
        <f>U9*'Output-Calculation-sheet'!U53/10^9</f>
        <v>0.14612450361419765</v>
      </c>
      <c r="V64" s="2">
        <f>V9*'Output-Calculation-sheet'!V53/10^9</f>
        <v>0.23043006365620627</v>
      </c>
      <c r="W64" s="2">
        <f>W9*'Output-Calculation-sheet'!W53/10^9</f>
        <v>8.5623510266050765E-2</v>
      </c>
      <c r="X64" s="2">
        <f>X9*'Output-Calculation-sheet'!X53/10^9</f>
        <v>0.1149564465206495</v>
      </c>
      <c r="Y64" s="2">
        <f>Y9*'Output-Calculation-sheet'!Y53/10^9</f>
        <v>5.9990656810024613E-2</v>
      </c>
      <c r="AA64" s="2">
        <f t="shared" si="4"/>
        <v>27.909297463801909</v>
      </c>
    </row>
    <row r="65" spans="1:27" x14ac:dyDescent="0.25">
      <c r="A65" s="2">
        <v>2033</v>
      </c>
      <c r="B65" s="2">
        <f>B10*'Output-Calculation-sheet'!B54/10^9</f>
        <v>7.1684497000009806</v>
      </c>
      <c r="C65" s="2">
        <f>C10*'Output-Calculation-sheet'!C54/10^9</f>
        <v>4.6536378937384617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1.3135272439150893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0.65999278547022333</v>
      </c>
      <c r="L65" s="2">
        <f>L10*'Output-Calculation-sheet'!L54/10^9</f>
        <v>0.77954180295671094</v>
      </c>
      <c r="M65" s="2">
        <f>M10*'Output-Calculation-sheet'!M54/10^9</f>
        <v>0.99178205961416532</v>
      </c>
      <c r="N65" s="2">
        <f>N10*'Output-Calculation-sheet'!N54/10^9</f>
        <v>0.85641271683375764</v>
      </c>
      <c r="O65" s="2">
        <f>O10*'Output-Calculation-sheet'!O54/10^9</f>
        <v>0.93023471215360665</v>
      </c>
      <c r="P65" s="2">
        <f>P10*'Output-Calculation-sheet'!P54/10^9</f>
        <v>0.55839628048601986</v>
      </c>
      <c r="Q65" s="2">
        <f>Q10*'Output-Calculation-sheet'!Q54/10^9</f>
        <v>0.60937899653496574</v>
      </c>
      <c r="R65" s="2">
        <f>R10*'Output-Calculation-sheet'!R54/10^9</f>
        <v>0.49160424876048692</v>
      </c>
      <c r="S65" s="2">
        <f>S10*'Output-Calculation-sheet'!S54/10^9</f>
        <v>0.44654065003919491</v>
      </c>
      <c r="T65" s="2">
        <f>T10*'Output-Calculation-sheet'!T54/10^9</f>
        <v>0.1643648417903002</v>
      </c>
      <c r="U65" s="2">
        <f>U10*'Output-Calculation-sheet'!U54/10^9</f>
        <v>0.14192517246412378</v>
      </c>
      <c r="V65" s="2">
        <f>V10*'Output-Calculation-sheet'!V54/10^9</f>
        <v>0.18190142903439874</v>
      </c>
      <c r="W65" s="2">
        <f>W10*'Output-Calculation-sheet'!W54/10^9</f>
        <v>6.9254057375197575E-2</v>
      </c>
      <c r="X65" s="2">
        <f>X10*'Output-Calculation-sheet'!X54/10^9</f>
        <v>0.11324037523876823</v>
      </c>
      <c r="Y65" s="2">
        <f>Y10*'Output-Calculation-sheet'!Y54/10^9</f>
        <v>5.7004944583374947E-2</v>
      </c>
      <c r="AA65" s="2">
        <f t="shared" si="4"/>
        <v>26.229262198412748</v>
      </c>
    </row>
    <row r="66" spans="1:27" x14ac:dyDescent="0.25">
      <c r="A66" s="2">
        <v>2034</v>
      </c>
      <c r="B66" s="2">
        <f>B11*'Output-Calculation-sheet'!B55/10^9</f>
        <v>7.070096078161674</v>
      </c>
      <c r="C66" s="2">
        <f>C11*'Output-Calculation-sheet'!C55/10^9</f>
        <v>4.5422012560451757</v>
      </c>
      <c r="D66" s="2">
        <f>D11*'Output-Calculation-sheet'!D55/10^9</f>
        <v>1.4792763911213416</v>
      </c>
      <c r="E66" s="2">
        <f>E11*'Output-Calculation-sheet'!E55/10^9</f>
        <v>1.7912958462313253</v>
      </c>
      <c r="F66" s="2">
        <f>F11*'Output-Calculation-sheet'!F55/10^9</f>
        <v>0.68842407380179771</v>
      </c>
      <c r="G66" s="2">
        <f>G11*'Output-Calculation-sheet'!G55/10^9</f>
        <v>0.49210240089016344</v>
      </c>
      <c r="H66" s="2">
        <f>H11*'Output-Calculation-sheet'!H55/10^9</f>
        <v>1.2572497110898597</v>
      </c>
      <c r="I66" s="2">
        <f>I11*'Output-Calculation-sheet'!I55/10^9</f>
        <v>0.48119655481258855</v>
      </c>
      <c r="J66" s="2">
        <f>J11*'Output-Calculation-sheet'!J55/10^9</f>
        <v>0.49481743350181984</v>
      </c>
      <c r="K66" s="2">
        <f>K11*'Output-Calculation-sheet'!K55/10^9</f>
        <v>0.59184133840534214</v>
      </c>
      <c r="L66" s="2">
        <f>L11*'Output-Calculation-sheet'!L55/10^9</f>
        <v>0.62680084266395475</v>
      </c>
      <c r="M66" s="2">
        <f>M11*'Output-Calculation-sheet'!M55/10^9</f>
        <v>0.91139595062672818</v>
      </c>
      <c r="N66" s="2">
        <f>N11*'Output-Calculation-sheet'!N55/10^9</f>
        <v>0.79631330376930054</v>
      </c>
      <c r="O66" s="2">
        <f>O11*'Output-Calculation-sheet'!O55/10^9</f>
        <v>0.89620253813498196</v>
      </c>
      <c r="P66" s="2">
        <f>P11*'Output-Calculation-sheet'!P55/10^9</f>
        <v>0.54743533727182248</v>
      </c>
      <c r="Q66" s="2">
        <f>Q11*'Output-Calculation-sheet'!Q55/10^9</f>
        <v>0.59563927781784931</v>
      </c>
      <c r="R66" s="2">
        <f>R11*'Output-Calculation-sheet'!R55/10^9</f>
        <v>0.44338671834317167</v>
      </c>
      <c r="S66" s="2">
        <f>S11*'Output-Calculation-sheet'!S55/10^9</f>
        <v>0.43590884488571169</v>
      </c>
      <c r="T66" s="2">
        <f>T11*'Output-Calculation-sheet'!T55/10^9</f>
        <v>0.13896726016090422</v>
      </c>
      <c r="U66" s="2">
        <f>U11*'Output-Calculation-sheet'!U55/10^9</f>
        <v>0.14113855868590472</v>
      </c>
      <c r="V66" s="2">
        <f>V11*'Output-Calculation-sheet'!V55/10^9</f>
        <v>0.13183005127997843</v>
      </c>
      <c r="W66" s="2">
        <f>W11*'Output-Calculation-sheet'!W55/10^9</f>
        <v>5.9692379919637988E-2</v>
      </c>
      <c r="X66" s="2">
        <f>X11*'Output-Calculation-sheet'!X55/10^9</f>
        <v>0.10652009817467187</v>
      </c>
      <c r="Y66" s="2">
        <f>Y11*'Output-Calculation-sheet'!Y55/10^9</f>
        <v>5.8574333014059309E-2</v>
      </c>
      <c r="AA66" s="2">
        <f t="shared" si="4"/>
        <v>24.778306578809769</v>
      </c>
    </row>
    <row r="67" spans="1:27" x14ac:dyDescent="0.25">
      <c r="A67" s="2">
        <v>2035</v>
      </c>
      <c r="B67" s="2">
        <f>B12*'Output-Calculation-sheet'!B56/10^9</f>
        <v>6.7197288843701823</v>
      </c>
      <c r="C67" s="2">
        <f>C12*'Output-Calculation-sheet'!C56/10^9</f>
        <v>4.2203348700502197</v>
      </c>
      <c r="D67" s="2">
        <f>D12*'Output-Calculation-sheet'!D56/10^9</f>
        <v>1.3981357784207187</v>
      </c>
      <c r="E67" s="2">
        <f>E12*'Output-Calculation-sheet'!E56/10^9</f>
        <v>1.8982160773934129</v>
      </c>
      <c r="F67" s="2">
        <f>F12*'Output-Calculation-sheet'!F56/10^9</f>
        <v>0.69333059007660902</v>
      </c>
      <c r="G67" s="2">
        <f>G12*'Output-Calculation-sheet'!G56/10^9</f>
        <v>0.48568486030964247</v>
      </c>
      <c r="H67" s="2">
        <f>H12*'Output-Calculation-sheet'!H56/10^9</f>
        <v>1.1732236634229605</v>
      </c>
      <c r="I67" s="2">
        <f>I12*'Output-Calculation-sheet'!I56/10^9</f>
        <v>0.47180129459780751</v>
      </c>
      <c r="J67" s="2">
        <f>J12*'Output-Calculation-sheet'!J56/10^9</f>
        <v>0.46707580377481689</v>
      </c>
      <c r="K67" s="2">
        <f>K12*'Output-Calculation-sheet'!K56/10^9</f>
        <v>0.56283139570316143</v>
      </c>
      <c r="L67" s="2">
        <f>L12*'Output-Calculation-sheet'!L56/10^9</f>
        <v>0.56540654311000016</v>
      </c>
      <c r="M67" s="2">
        <f>M12*'Output-Calculation-sheet'!M56/10^9</f>
        <v>0.85822871408468504</v>
      </c>
      <c r="N67" s="2">
        <f>N12*'Output-Calculation-sheet'!N56/10^9</f>
        <v>0.7371451807951368</v>
      </c>
      <c r="O67" s="2">
        <f>O12*'Output-Calculation-sheet'!O56/10^9</f>
        <v>0.82690861749721289</v>
      </c>
      <c r="P67" s="2">
        <f>P12*'Output-Calculation-sheet'!P56/10^9</f>
        <v>0.54514169709511606</v>
      </c>
      <c r="Q67" s="2">
        <f>Q12*'Output-Calculation-sheet'!Q56/10^9</f>
        <v>0.56110945504034793</v>
      </c>
      <c r="R67" s="2">
        <f>R12*'Output-Calculation-sheet'!R56/10^9</f>
        <v>0.42694363069677205</v>
      </c>
      <c r="S67" s="2">
        <f>S12*'Output-Calculation-sheet'!S56/10^9</f>
        <v>0.40682956469746351</v>
      </c>
      <c r="T67" s="2">
        <f>T12*'Output-Calculation-sheet'!T56/10^9</f>
        <v>0.12938134527625886</v>
      </c>
      <c r="U67" s="2">
        <f>U12*'Output-Calculation-sheet'!U56/10^9</f>
        <v>0.13529215900774885</v>
      </c>
      <c r="V67" s="2">
        <f>V12*'Output-Calculation-sheet'!V56/10^9</f>
        <v>0.10378126745273598</v>
      </c>
      <c r="W67" s="2">
        <f>W12*'Output-Calculation-sheet'!W56/10^9</f>
        <v>6.2659854013924723E-2</v>
      </c>
      <c r="X67" s="2">
        <f>X12*'Output-Calculation-sheet'!X56/10^9</f>
        <v>9.9193984727366777E-2</v>
      </c>
      <c r="Y67" s="2">
        <f>Y12*'Output-Calculation-sheet'!Y56/10^9</f>
        <v>6.0550928320302004E-2</v>
      </c>
      <c r="AA67" s="2">
        <f t="shared" si="4"/>
        <v>23.608936159934604</v>
      </c>
    </row>
    <row r="68" spans="1:27" x14ac:dyDescent="0.25">
      <c r="B68" s="2">
        <f>SUM(B60:B67)</f>
        <v>35.224997064258716</v>
      </c>
      <c r="C68" s="2">
        <f t="shared" ref="C68:Y68" si="5">SUM(C60:C67)</f>
        <v>22.282755845561176</v>
      </c>
      <c r="D68" s="2">
        <f t="shared" si="5"/>
        <v>9.1270221585068061</v>
      </c>
      <c r="E68" s="2">
        <f t="shared" si="5"/>
        <v>10.189420435574551</v>
      </c>
      <c r="F68" s="2">
        <f t="shared" si="5"/>
        <v>4.0973622038657176</v>
      </c>
      <c r="G68" s="2">
        <f t="shared" si="5"/>
        <v>2.8985589822762461</v>
      </c>
      <c r="H68" s="2">
        <f t="shared" si="5"/>
        <v>6.3711759649638822</v>
      </c>
      <c r="I68" s="2">
        <f t="shared" si="5"/>
        <v>2.7658779395241107</v>
      </c>
      <c r="J68" s="2">
        <f t="shared" si="5"/>
        <v>3.331123789881028</v>
      </c>
      <c r="K68" s="2">
        <f t="shared" si="5"/>
        <v>3.3924689985791163</v>
      </c>
      <c r="L68" s="2">
        <f t="shared" si="5"/>
        <v>4.0501924243028569</v>
      </c>
      <c r="M68" s="2">
        <f t="shared" si="5"/>
        <v>4.8564436987081647</v>
      </c>
      <c r="N68" s="2">
        <f t="shared" si="5"/>
        <v>4.1460652035862333</v>
      </c>
      <c r="O68" s="2">
        <f t="shared" si="5"/>
        <v>4.4536693279251303</v>
      </c>
      <c r="P68" s="2">
        <f t="shared" si="5"/>
        <v>2.7946224557693884</v>
      </c>
      <c r="Q68" s="2">
        <f t="shared" si="5"/>
        <v>3.0452645253762984</v>
      </c>
      <c r="R68" s="2">
        <f t="shared" si="5"/>
        <v>2.4847889850944909</v>
      </c>
      <c r="S68" s="2">
        <f t="shared" si="5"/>
        <v>2.1673611786754332</v>
      </c>
      <c r="T68" s="2">
        <f t="shared" si="5"/>
        <v>0.84842014964700274</v>
      </c>
      <c r="U68" s="2">
        <f t="shared" si="5"/>
        <v>0.71665060255393065</v>
      </c>
      <c r="V68" s="2">
        <f t="shared" si="5"/>
        <v>0.91800897137141824</v>
      </c>
      <c r="W68" s="2">
        <f t="shared" si="5"/>
        <v>0.37498109874848351</v>
      </c>
      <c r="X68" s="2">
        <f t="shared" si="5"/>
        <v>0.54518712413799741</v>
      </c>
      <c r="Y68" s="2">
        <f t="shared" si="5"/>
        <v>0.29990086493114798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773.58484047148966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1410.7872677301571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951.38874492437981</v>
      </c>
      <c r="N74" s="2">
        <f>N8/'Output-Calculation-sheet'!N7*'Output-Calculation-sheet'!N61</f>
        <v>42.72591860757251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8.4423978990200741</v>
      </c>
      <c r="Y74" s="2">
        <f>Y8/'Output-Calculation-sheet'!Y7*'Output-Calculation-sheet'!Y61</f>
        <v>0</v>
      </c>
      <c r="AA74" s="2">
        <f t="shared" si="6"/>
        <v>3.1869291696326192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131.54963122363696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2368.601507307766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1605.6171829846942</v>
      </c>
      <c r="N75" s="2">
        <f>N9/'Output-Calculation-sheet'!N8*'Output-Calculation-sheet'!N62</f>
        <v>618.79327040240298</v>
      </c>
      <c r="O75" s="2">
        <f>O9/'Output-Calculation-sheet'!O8*'Output-Calculation-sheet'!O62</f>
        <v>45.95346633234923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207.57937203121077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56.667113616319568</v>
      </c>
      <c r="Y75" s="2">
        <f>Y9/'Output-Calculation-sheet'!Y8*'Output-Calculation-sheet'!Y62</f>
        <v>0</v>
      </c>
      <c r="AA75" s="2">
        <f t="shared" si="6"/>
        <v>5.0837404646611803</v>
      </c>
    </row>
    <row r="76" spans="1:27" x14ac:dyDescent="0.25">
      <c r="A76" s="2">
        <v>2033</v>
      </c>
      <c r="B76" s="2">
        <f>B10/'Output-Calculation-sheet'!B9*'Output-Calculation-sheet'!B63</f>
        <v>4994.8270198604123</v>
      </c>
      <c r="C76" s="2">
        <f>C10/'Output-Calculation-sheet'!C9*'Output-Calculation-sheet'!C63</f>
        <v>1029.5384303918802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3275.2199956622362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2225.1379567219715</v>
      </c>
      <c r="N76" s="2">
        <f>N10/'Output-Calculation-sheet'!N9*'Output-Calculation-sheet'!N63</f>
        <v>1272.6158487111913</v>
      </c>
      <c r="O76" s="2">
        <f>O10/'Output-Calculation-sheet'!O9*'Output-Calculation-sheet'!O63</f>
        <v>211.17545740459968</v>
      </c>
      <c r="P76" s="2">
        <f>P10/'Output-Calculation-sheet'!P9*'Output-Calculation-sheet'!P63</f>
        <v>439.45963666674629</v>
      </c>
      <c r="Q76" s="2">
        <f>Q10/'Output-Calculation-sheet'!Q9*'Output-Calculation-sheet'!Q63</f>
        <v>198.61407216868511</v>
      </c>
      <c r="R76" s="2">
        <f>R10/'Output-Calculation-sheet'!R9*'Output-Calculation-sheet'!R63</f>
        <v>334.42167378566688</v>
      </c>
      <c r="S76" s="2">
        <f>S10/'Output-Calculation-sheet'!S9*'Output-Calculation-sheet'!S63</f>
        <v>567.40947118037445</v>
      </c>
      <c r="T76" s="2">
        <f>T10/'Output-Calculation-sheet'!T9*'Output-Calculation-sheet'!T63</f>
        <v>21.977654066771457</v>
      </c>
      <c r="U76" s="2">
        <f>U10/'Output-Calculation-sheet'!U9*'Output-Calculation-sheet'!U63</f>
        <v>118.81040723340108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127.75870317302487</v>
      </c>
      <c r="Y76" s="2">
        <f>Y10/'Output-Calculation-sheet'!Y9*'Output-Calculation-sheet'!Y63</f>
        <v>5.6354659962798159</v>
      </c>
      <c r="AA76" s="2">
        <f t="shared" si="6"/>
        <v>14.914858245830958</v>
      </c>
    </row>
    <row r="77" spans="1:27" x14ac:dyDescent="0.25">
      <c r="A77" s="2">
        <v>2034</v>
      </c>
      <c r="B77" s="2">
        <f>B11/'Output-Calculation-sheet'!B10*'Output-Calculation-sheet'!B64</f>
        <v>11227.241155565976</v>
      </c>
      <c r="C77" s="2">
        <f>C11/'Output-Calculation-sheet'!C10*'Output-Calculation-sheet'!C64</f>
        <v>1686.1332172259893</v>
      </c>
      <c r="D77" s="2">
        <f>D11/'Output-Calculation-sheet'!D10*'Output-Calculation-sheet'!D64</f>
        <v>1442.5430084739767</v>
      </c>
      <c r="E77" s="2">
        <f>E11/'Output-Calculation-sheet'!E10*'Output-Calculation-sheet'!E64</f>
        <v>1778.8343720863722</v>
      </c>
      <c r="F77" s="2">
        <f>F11/'Output-Calculation-sheet'!F10*'Output-Calculation-sheet'!F64</f>
        <v>114.54289985559656</v>
      </c>
      <c r="G77" s="2">
        <f>G11/'Output-Calculation-sheet'!G10*'Output-Calculation-sheet'!G64</f>
        <v>718.69835343702493</v>
      </c>
      <c r="H77" s="2">
        <f>H11/'Output-Calculation-sheet'!H10*'Output-Calculation-sheet'!H64</f>
        <v>3830.0036727906836</v>
      </c>
      <c r="I77" s="2">
        <f>I11/'Output-Calculation-sheet'!I10*'Output-Calculation-sheet'!I64</f>
        <v>446.89845162138823</v>
      </c>
      <c r="J77" s="2">
        <f>J11/'Output-Calculation-sheet'!J10*'Output-Calculation-sheet'!J64</f>
        <v>313.59008770250881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286.18527886814752</v>
      </c>
      <c r="M77" s="2">
        <f>M11/'Output-Calculation-sheet'!M10*'Output-Calculation-sheet'!M64</f>
        <v>2714.762309335008</v>
      </c>
      <c r="N77" s="2">
        <f>N11/'Output-Calculation-sheet'!N10*'Output-Calculation-sheet'!N64</f>
        <v>1904.800475223883</v>
      </c>
      <c r="O77" s="2">
        <f>O11/'Output-Calculation-sheet'!O10*'Output-Calculation-sheet'!O64</f>
        <v>90.983501184823822</v>
      </c>
      <c r="P77" s="2">
        <f>P11/'Output-Calculation-sheet'!P10*'Output-Calculation-sheet'!P64</f>
        <v>836.62645295426398</v>
      </c>
      <c r="Q77" s="2">
        <f>Q11/'Output-Calculation-sheet'!Q10*'Output-Calculation-sheet'!Q64</f>
        <v>596.58992569699672</v>
      </c>
      <c r="R77" s="2">
        <f>R11/'Output-Calculation-sheet'!R10*'Output-Calculation-sheet'!R64</f>
        <v>721.47354138307389</v>
      </c>
      <c r="S77" s="2">
        <f>S11/'Output-Calculation-sheet'!S10*'Output-Calculation-sheet'!S64</f>
        <v>893.56630037445041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212.21855205968538</v>
      </c>
      <c r="V77" s="2">
        <f>V11/'Output-Calculation-sheet'!V10*'Output-Calculation-sheet'!V64</f>
        <v>102.98068077129838</v>
      </c>
      <c r="W77" s="2">
        <f>W11/'Output-Calculation-sheet'!W10*'Output-Calculation-sheet'!W64</f>
        <v>22.602643137173104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65.982791748609728</v>
      </c>
      <c r="AA77" s="2">
        <f t="shared" si="6"/>
        <v>30.999957022011678</v>
      </c>
    </row>
    <row r="78" spans="1:27" x14ac:dyDescent="0.25">
      <c r="A78" s="2">
        <v>2035</v>
      </c>
      <c r="B78" s="2">
        <f>B12/'Output-Calculation-sheet'!B11*'Output-Calculation-sheet'!B65</f>
        <v>11034.794173349517</v>
      </c>
      <c r="C78" s="2">
        <f>C12/'Output-Calculation-sheet'!C11*'Output-Calculation-sheet'!C65</f>
        <v>3626.3075566646544</v>
      </c>
      <c r="D78" s="2">
        <f>D12/'Output-Calculation-sheet'!D11*'Output-Calculation-sheet'!D65</f>
        <v>1481.8047222162716</v>
      </c>
      <c r="E78" s="2">
        <f>E12/'Output-Calculation-sheet'!E11*'Output-Calculation-sheet'!E65</f>
        <v>2578.6712907420897</v>
      </c>
      <c r="F78" s="2">
        <f>F12/'Output-Calculation-sheet'!F11*'Output-Calculation-sheet'!F65</f>
        <v>332.97312751878809</v>
      </c>
      <c r="G78" s="2">
        <f>G12/'Output-Calculation-sheet'!G11*'Output-Calculation-sheet'!G65</f>
        <v>649.19409325884055</v>
      </c>
      <c r="H78" s="2">
        <f>H12/'Output-Calculation-sheet'!H11*'Output-Calculation-sheet'!H65</f>
        <v>3512.5681648850214</v>
      </c>
      <c r="I78" s="2">
        <f>I12/'Output-Calculation-sheet'!I11*'Output-Calculation-sheet'!I65</f>
        <v>431.62279606475846</v>
      </c>
      <c r="J78" s="2">
        <f>J12/'Output-Calculation-sheet'!J11*'Output-Calculation-sheet'!J65</f>
        <v>628.70939948930732</v>
      </c>
      <c r="K78" s="2">
        <f>K12/'Output-Calculation-sheet'!K11*'Output-Calculation-sheet'!K65</f>
        <v>773.07275092275199</v>
      </c>
      <c r="L78" s="2">
        <f>L12/'Output-Calculation-sheet'!L11*'Output-Calculation-sheet'!L65</f>
        <v>660.37707892925471</v>
      </c>
      <c r="M78" s="2">
        <f>M12/'Output-Calculation-sheet'!M11*'Output-Calculation-sheet'!M65</f>
        <v>2564.9824045488658</v>
      </c>
      <c r="N78" s="2">
        <f>N12/'Output-Calculation-sheet'!N11*'Output-Calculation-sheet'!N65</f>
        <v>1847.8237136033401</v>
      </c>
      <c r="O78" s="2">
        <f>O12/'Output-Calculation-sheet'!O11*'Output-Calculation-sheet'!O65</f>
        <v>8.6593098079261832</v>
      </c>
      <c r="P78" s="2">
        <f>P12/'Output-Calculation-sheet'!P11*'Output-Calculation-sheet'!P65</f>
        <v>892.26141819672614</v>
      </c>
      <c r="Q78" s="2">
        <f>Q12/'Output-Calculation-sheet'!Q11*'Output-Calculation-sheet'!Q65</f>
        <v>600.47715908937084</v>
      </c>
      <c r="R78" s="2">
        <f>R12/'Output-Calculation-sheet'!R11*'Output-Calculation-sheet'!R65</f>
        <v>831.14290441675382</v>
      </c>
      <c r="S78" s="2">
        <f>S12/'Output-Calculation-sheet'!S11*'Output-Calculation-sheet'!S65</f>
        <v>873.44347992291296</v>
      </c>
      <c r="T78" s="2">
        <f>T12/'Output-Calculation-sheet'!T11*'Output-Calculation-sheet'!T65</f>
        <v>286.73321777448808</v>
      </c>
      <c r="U78" s="2">
        <f>U12/'Output-Calculation-sheet'!U11*'Output-Calculation-sheet'!U65</f>
        <v>196.17720218336063</v>
      </c>
      <c r="V78" s="2">
        <f>V12/'Output-Calculation-sheet'!V11*'Output-Calculation-sheet'!V65</f>
        <v>161.72025976926116</v>
      </c>
      <c r="W78" s="2">
        <f>W12/'Output-Calculation-sheet'!W11*'Output-Calculation-sheet'!W65</f>
        <v>76.471739507859795</v>
      </c>
      <c r="X78" s="2">
        <f>X12/'Output-Calculation-sheet'!X11*'Output-Calculation-sheet'!X65</f>
        <v>21.081201265674579</v>
      </c>
      <c r="Y78" s="2">
        <f>Y12/'Output-Calculation-sheet'!Y11*'Output-Calculation-sheet'!Y65</f>
        <v>71.563893110546402</v>
      </c>
      <c r="AA78" s="2">
        <f t="shared" si="6"/>
        <v>34.142633057238342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18.788082041201655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1.4168020719560961</v>
      </c>
      <c r="H88" s="2">
        <f>H11/'Output-Calculation-sheet'!H10*'Output-Calculation-sheet'!H73</f>
        <v>9.607530673305849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4.0662631167281003</v>
      </c>
      <c r="R88" s="2">
        <f>R11/'Output-Calculation-sheet'!R10*'Output-Calculation-sheet'!R73</f>
        <v>0</v>
      </c>
      <c r="S88" s="2">
        <f>S11/'Output-Calculation-sheet'!S10*'Output-Calculation-sheet'!S73</f>
        <v>2.1283242634173334</v>
      </c>
      <c r="T88" s="2">
        <f>T11/'Output-Calculation-sheet'!T10*'Output-Calculation-sheet'!T73</f>
        <v>0</v>
      </c>
      <c r="U88" s="2">
        <f>U11/'Output-Calculation-sheet'!U10*'Output-Calculation-sheet'!U73</f>
        <v>1.2973824269548619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3.7304384593563895E-2</v>
      </c>
    </row>
    <row r="89" spans="1:27" x14ac:dyDescent="0.25">
      <c r="A89" s="2">
        <v>2035</v>
      </c>
      <c r="B89" s="2">
        <f>B12/'Output-Calculation-sheet'!B11*'Output-Calculation-sheet'!B74</f>
        <v>240.71325377482825</v>
      </c>
      <c r="C89" s="2">
        <f>C12/'Output-Calculation-sheet'!C11*'Output-Calculation-sheet'!C74</f>
        <v>130.56923616776703</v>
      </c>
      <c r="D89" s="2">
        <f>D12/'Output-Calculation-sheet'!D11*'Output-Calculation-sheet'!D74</f>
        <v>21.686586871928437</v>
      </c>
      <c r="E89" s="2">
        <f>E12/'Output-Calculation-sheet'!E11*'Output-Calculation-sheet'!E74</f>
        <v>71.812800926530784</v>
      </c>
      <c r="F89" s="2">
        <f>F12/'Output-Calculation-sheet'!F11*'Output-Calculation-sheet'!F74</f>
        <v>21.679349405481354</v>
      </c>
      <c r="G89" s="2">
        <f>G12/'Output-Calculation-sheet'!G11*'Output-Calculation-sheet'!G74</f>
        <v>15.55893796081887</v>
      </c>
      <c r="H89" s="2">
        <f>H12/'Output-Calculation-sheet'!H11*'Output-Calculation-sheet'!H74</f>
        <v>54.009693786241058</v>
      </c>
      <c r="I89" s="2">
        <f>I12/'Output-Calculation-sheet'!I11*'Output-Calculation-sheet'!I74</f>
        <v>13.994303233815351</v>
      </c>
      <c r="J89" s="2">
        <f>J12/'Output-Calculation-sheet'!J11*'Output-Calculation-sheet'!J74</f>
        <v>6.9248622683731238</v>
      </c>
      <c r="K89" s="2">
        <f>K12/'Output-Calculation-sheet'!K11*'Output-Calculation-sheet'!K74</f>
        <v>10.315629381438905</v>
      </c>
      <c r="L89" s="2">
        <f>L12/'Output-Calculation-sheet'!L11*'Output-Calculation-sheet'!L74</f>
        <v>5.4683424009643193</v>
      </c>
      <c r="M89" s="2">
        <f>M12/'Output-Calculation-sheet'!M11*'Output-Calculation-sheet'!M74</f>
        <v>28.521152145229433</v>
      </c>
      <c r="N89" s="2">
        <f>N12/'Output-Calculation-sheet'!N11*'Output-Calculation-sheet'!N74</f>
        <v>14.440555800795826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19.618436855424715</v>
      </c>
      <c r="Q89" s="2">
        <f>Q12/'Output-Calculation-sheet'!Q11*'Output-Calculation-sheet'!Q74</f>
        <v>16.373354824834205</v>
      </c>
      <c r="R89" s="2">
        <f>R12/'Output-Calculation-sheet'!R11*'Output-Calculation-sheet'!R74</f>
        <v>8.8566912403816325</v>
      </c>
      <c r="S89" s="2">
        <f>S12/'Output-Calculation-sheet'!S11*'Output-Calculation-sheet'!S74</f>
        <v>12.660203090355211</v>
      </c>
      <c r="T89" s="2">
        <f>T12/'Output-Calculation-sheet'!T11*'Output-Calculation-sheet'!T74</f>
        <v>1.6383210598685731</v>
      </c>
      <c r="U89" s="2">
        <f>U12/'Output-Calculation-sheet'!U11*'Output-Calculation-sheet'!U74</f>
        <v>4.7491678835510234</v>
      </c>
      <c r="V89" s="2">
        <f>V12/'Output-Calculation-sheet'!V11*'Output-Calculation-sheet'!V74</f>
        <v>0.36620233205490571</v>
      </c>
      <c r="W89" s="2">
        <f>W12/'Output-Calculation-sheet'!W11*'Output-Calculation-sheet'!W74</f>
        <v>2.2197432213929567</v>
      </c>
      <c r="X89" s="2">
        <f>X12/'Output-Calculation-sheet'!X11*'Output-Calculation-sheet'!X74</f>
        <v>0.28443906450346862</v>
      </c>
      <c r="Y89" s="2">
        <f>Y12/'Output-Calculation-sheet'!Y11*'Output-Calculation-sheet'!Y74</f>
        <v>3.019380518632016</v>
      </c>
      <c r="AA89" s="2">
        <f t="shared" si="7"/>
        <v>0.70627333094241052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8116201202.9941559</v>
      </c>
      <c r="C96" s="2">
        <f>C8/'Output-Calculation-sheet'!C7*'Output-Calculation-sheet'!C79</f>
        <v>1959929830.6239347</v>
      </c>
      <c r="D96" s="2">
        <f>D8/'Output-Calculation-sheet'!D7*'Output-Calculation-sheet'!D79</f>
        <v>1591163565.0260761</v>
      </c>
      <c r="E96" s="2">
        <f>E8/'Output-Calculation-sheet'!E7*'Output-Calculation-sheet'!E79</f>
        <v>5961519463.9223785</v>
      </c>
      <c r="F96" s="2">
        <f>F8/'Output-Calculation-sheet'!F7*'Output-Calculation-sheet'!F79</f>
        <v>1739065832.2365479</v>
      </c>
      <c r="G96" s="2">
        <f>G8/'Output-Calculation-sheet'!G7*'Output-Calculation-sheet'!G79</f>
        <v>1116232393.9512284</v>
      </c>
      <c r="H96" s="2">
        <f>H8/'Output-Calculation-sheet'!H7*'Output-Calculation-sheet'!H79</f>
        <v>1375161306.2688196</v>
      </c>
      <c r="I96" s="2">
        <f>I8/'Output-Calculation-sheet'!I7*'Output-Calculation-sheet'!I79</f>
        <v>802677784.34440982</v>
      </c>
      <c r="J96" s="2">
        <f>J8/'Output-Calculation-sheet'!J7*'Output-Calculation-sheet'!J79</f>
        <v>608270695.91816425</v>
      </c>
      <c r="K96" s="2">
        <f>K8/'Output-Calculation-sheet'!K7*'Output-Calculation-sheet'!K79</f>
        <v>762851277.74076164</v>
      </c>
      <c r="L96" s="2">
        <f>L8/'Output-Calculation-sheet'!L7*'Output-Calculation-sheet'!L79</f>
        <v>692538850.02463126</v>
      </c>
      <c r="M96" s="2">
        <f>M8/'Output-Calculation-sheet'!M7*'Output-Calculation-sheet'!M79</f>
        <v>1061067189.8224043</v>
      </c>
      <c r="N96" s="2">
        <f>N8/'Output-Calculation-sheet'!N7*'Output-Calculation-sheet'!N79</f>
        <v>689764442.30301356</v>
      </c>
      <c r="O96" s="2">
        <f>O8/'Output-Calculation-sheet'!O7*'Output-Calculation-sheet'!O79</f>
        <v>258814121.48331264</v>
      </c>
      <c r="P96" s="2">
        <f>P8/'Output-Calculation-sheet'!P7*'Output-Calculation-sheet'!P79</f>
        <v>1313669178.3419476</v>
      </c>
      <c r="Q96" s="2">
        <f>Q8/'Output-Calculation-sheet'!Q7*'Output-Calculation-sheet'!Q79</f>
        <v>557741007.62778926</v>
      </c>
      <c r="R96" s="2">
        <f>R8/'Output-Calculation-sheet'!R7*'Output-Calculation-sheet'!R79</f>
        <v>740280007.68526268</v>
      </c>
      <c r="S96" s="2">
        <f>S8/'Output-Calculation-sheet'!S7*'Output-Calculation-sheet'!S79</f>
        <v>417487900.52488881</v>
      </c>
      <c r="T96" s="2">
        <f>T8/'Output-Calculation-sheet'!T7*'Output-Calculation-sheet'!T79</f>
        <v>251861698.83444473</v>
      </c>
      <c r="U96" s="2">
        <f>U8/'Output-Calculation-sheet'!U7*'Output-Calculation-sheet'!U79</f>
        <v>198246749.80519736</v>
      </c>
      <c r="V96" s="2">
        <f>V8/'Output-Calculation-sheet'!V7*'Output-Calculation-sheet'!V79</f>
        <v>90988355.628358752</v>
      </c>
      <c r="W96" s="2">
        <f>W8/'Output-Calculation-sheet'!W7*'Output-Calculation-sheet'!W79</f>
        <v>280144922.76339108</v>
      </c>
      <c r="X96" s="2">
        <f>X8/'Output-Calculation-sheet'!X7*'Output-Calculation-sheet'!X79</f>
        <v>126350877.05916832</v>
      </c>
      <c r="Y96" s="2">
        <f>Y8/'Output-Calculation-sheet'!Y7*'Output-Calculation-sheet'!Y79</f>
        <v>173882052.24570811</v>
      </c>
      <c r="AA96" s="2">
        <f t="shared" si="8"/>
        <v>30.885910707175992</v>
      </c>
    </row>
    <row r="97" spans="1:27" x14ac:dyDescent="0.25">
      <c r="A97" s="2">
        <v>2032</v>
      </c>
      <c r="B97" s="2">
        <f>B9/'Output-Calculation-sheet'!B8*'Output-Calculation-sheet'!B80</f>
        <v>9813988991.6213303</v>
      </c>
      <c r="C97" s="2">
        <f>C9/'Output-Calculation-sheet'!C8*'Output-Calculation-sheet'!C80</f>
        <v>2317890597.1558876</v>
      </c>
      <c r="D97" s="2">
        <f>D9/'Output-Calculation-sheet'!D8*'Output-Calculation-sheet'!D80</f>
        <v>1770608964.3321941</v>
      </c>
      <c r="E97" s="2">
        <f>E9/'Output-Calculation-sheet'!E8*'Output-Calculation-sheet'!E80</f>
        <v>7454012381.4849167</v>
      </c>
      <c r="F97" s="2">
        <f>F9/'Output-Calculation-sheet'!F8*'Output-Calculation-sheet'!F80</f>
        <v>2044146046.0688531</v>
      </c>
      <c r="G97" s="2">
        <f>G9/'Output-Calculation-sheet'!G8*'Output-Calculation-sheet'!G80</f>
        <v>1252543757.706892</v>
      </c>
      <c r="H97" s="2">
        <f>H9/'Output-Calculation-sheet'!H8*'Output-Calculation-sheet'!H80</f>
        <v>1640029236.5870187</v>
      </c>
      <c r="I97" s="2">
        <f>I9/'Output-Calculation-sheet'!I8*'Output-Calculation-sheet'!I80</f>
        <v>944653307.3564862</v>
      </c>
      <c r="J97" s="2">
        <f>J9/'Output-Calculation-sheet'!J8*'Output-Calculation-sheet'!J80</f>
        <v>705916474.58239686</v>
      </c>
      <c r="K97" s="2">
        <f>K9/'Output-Calculation-sheet'!K8*'Output-Calculation-sheet'!K80</f>
        <v>870634740.56848359</v>
      </c>
      <c r="L97" s="2">
        <f>L9/'Output-Calculation-sheet'!L8*'Output-Calculation-sheet'!L80</f>
        <v>839787636.82105374</v>
      </c>
      <c r="M97" s="2">
        <f>M9/'Output-Calculation-sheet'!M8*'Output-Calculation-sheet'!M80</f>
        <v>1293871976.5862768</v>
      </c>
      <c r="N97" s="2">
        <f>N9/'Output-Calculation-sheet'!N8*'Output-Calculation-sheet'!N80</f>
        <v>812946211.78089285</v>
      </c>
      <c r="O97" s="2">
        <f>O9/'Output-Calculation-sheet'!O8*'Output-Calculation-sheet'!O80</f>
        <v>302186305.72982001</v>
      </c>
      <c r="P97" s="2">
        <f>P9/'Output-Calculation-sheet'!P8*'Output-Calculation-sheet'!P80</f>
        <v>1524077620.1989937</v>
      </c>
      <c r="Q97" s="2">
        <f>Q9/'Output-Calculation-sheet'!Q8*'Output-Calculation-sheet'!Q80</f>
        <v>659216435.49968839</v>
      </c>
      <c r="R97" s="2">
        <f>R9/'Output-Calculation-sheet'!R8*'Output-Calculation-sheet'!R80</f>
        <v>883354964.36882961</v>
      </c>
      <c r="S97" s="2">
        <f>S9/'Output-Calculation-sheet'!S8*'Output-Calculation-sheet'!S80</f>
        <v>491641300.60865211</v>
      </c>
      <c r="T97" s="2">
        <f>T9/'Output-Calculation-sheet'!T8*'Output-Calculation-sheet'!T80</f>
        <v>286672701.72775352</v>
      </c>
      <c r="U97" s="2">
        <f>U9/'Output-Calculation-sheet'!U8*'Output-Calculation-sheet'!U80</f>
        <v>228112069.17586732</v>
      </c>
      <c r="V97" s="2">
        <f>V9/'Output-Calculation-sheet'!V8*'Output-Calculation-sheet'!V80</f>
        <v>105218505.83939697</v>
      </c>
      <c r="W97" s="2">
        <f>W9/'Output-Calculation-sheet'!W8*'Output-Calculation-sheet'!W80</f>
        <v>325597617.16845727</v>
      </c>
      <c r="X97" s="2">
        <f>X9/'Output-Calculation-sheet'!X8*'Output-Calculation-sheet'!X80</f>
        <v>157696795.52444869</v>
      </c>
      <c r="Y97" s="2">
        <f>Y9/'Output-Calculation-sheet'!Y8*'Output-Calculation-sheet'!Y80</f>
        <v>207009611.9513284</v>
      </c>
      <c r="AA97" s="2">
        <f t="shared" si="8"/>
        <v>36.931814250445917</v>
      </c>
    </row>
    <row r="98" spans="1:27" x14ac:dyDescent="0.25">
      <c r="A98" s="2">
        <v>2033</v>
      </c>
      <c r="B98" s="2">
        <f>B10/'Output-Calculation-sheet'!B9*'Output-Calculation-sheet'!B81</f>
        <v>10816295787.130049</v>
      </c>
      <c r="C98" s="2">
        <f>C10/'Output-Calculation-sheet'!C9*'Output-Calculation-sheet'!C81</f>
        <v>2504633646.0219646</v>
      </c>
      <c r="D98" s="2">
        <f>D10/'Output-Calculation-sheet'!D9*'Output-Calculation-sheet'!D81</f>
        <v>1801817258.2017014</v>
      </c>
      <c r="E98" s="2">
        <f>E10/'Output-Calculation-sheet'!E9*'Output-Calculation-sheet'!E81</f>
        <v>8505273066.3200064</v>
      </c>
      <c r="F98" s="2">
        <f>F10/'Output-Calculation-sheet'!F9*'Output-Calculation-sheet'!F81</f>
        <v>2191389201.3093705</v>
      </c>
      <c r="G98" s="2">
        <f>G10/'Output-Calculation-sheet'!G9*'Output-Calculation-sheet'!G81</f>
        <v>1280256971.1722109</v>
      </c>
      <c r="H98" s="2">
        <f>H10/'Output-Calculation-sheet'!H9*'Output-Calculation-sheet'!H81</f>
        <v>1782316051.4961812</v>
      </c>
      <c r="I98" s="2">
        <f>I10/'Output-Calculation-sheet'!I9*'Output-Calculation-sheet'!I81</f>
        <v>1015725928.8714201</v>
      </c>
      <c r="J98" s="2">
        <f>J10/'Output-Calculation-sheet'!J9*'Output-Calculation-sheet'!J81</f>
        <v>749292341.7170943</v>
      </c>
      <c r="K98" s="2">
        <f>K10/'Output-Calculation-sheet'!K9*'Output-Calculation-sheet'!K81</f>
        <v>907356379.04803407</v>
      </c>
      <c r="L98" s="2">
        <f>L10/'Output-Calculation-sheet'!L9*'Output-Calculation-sheet'!L81</f>
        <v>929951540.9945612</v>
      </c>
      <c r="M98" s="2">
        <f>M10/'Output-Calculation-sheet'!M9*'Output-Calculation-sheet'!M81</f>
        <v>1441095637.3699615</v>
      </c>
      <c r="N98" s="2">
        <f>N10/'Output-Calculation-sheet'!N9*'Output-Calculation-sheet'!N81</f>
        <v>875774419.8435868</v>
      </c>
      <c r="O98" s="2">
        <f>O10/'Output-Calculation-sheet'!O9*'Output-Calculation-sheet'!O81</f>
        <v>323011460.84718931</v>
      </c>
      <c r="P98" s="2">
        <f>P10/'Output-Calculation-sheet'!P9*'Output-Calculation-sheet'!P81</f>
        <v>1602473758.4811096</v>
      </c>
      <c r="Q98" s="2">
        <f>Q10/'Output-Calculation-sheet'!Q9*'Output-Calculation-sheet'!Q81</f>
        <v>712030983.66560352</v>
      </c>
      <c r="R98" s="2">
        <f>R10/'Output-Calculation-sheet'!R9*'Output-Calculation-sheet'!R81</f>
        <v>961083399.51511776</v>
      </c>
      <c r="S98" s="2">
        <f>S10/'Output-Calculation-sheet'!S9*'Output-Calculation-sheet'!S81</f>
        <v>527825810.45802653</v>
      </c>
      <c r="T98" s="2">
        <f>T10/'Output-Calculation-sheet'!T9*'Output-Calculation-sheet'!T81</f>
        <v>297383991.51027894</v>
      </c>
      <c r="U98" s="2">
        <f>U10/'Output-Calculation-sheet'!U9*'Output-Calculation-sheet'!U81</f>
        <v>238957141.19192293</v>
      </c>
      <c r="V98" s="2">
        <f>V10/'Output-Calculation-sheet'!V9*'Output-Calculation-sheet'!V81</f>
        <v>110982702.60563707</v>
      </c>
      <c r="W98" s="2">
        <f>W10/'Output-Calculation-sheet'!W9*'Output-Calculation-sheet'!W81</f>
        <v>343214480.0488534</v>
      </c>
      <c r="X98" s="2">
        <f>X10/'Output-Calculation-sheet'!X9*'Output-Calculation-sheet'!X81</f>
        <v>179924739.75167203</v>
      </c>
      <c r="Y98" s="2">
        <f>Y10/'Output-Calculation-sheet'!Y9*'Output-Calculation-sheet'!Y81</f>
        <v>224002392.73370355</v>
      </c>
      <c r="AA98" s="2">
        <f t="shared" si="8"/>
        <v>40.322069090305263</v>
      </c>
    </row>
    <row r="99" spans="1:27" x14ac:dyDescent="0.25">
      <c r="A99" s="2">
        <v>2034</v>
      </c>
      <c r="B99" s="2">
        <f>B11/'Output-Calculation-sheet'!B10*'Output-Calculation-sheet'!B82</f>
        <v>11013019444.132195</v>
      </c>
      <c r="C99" s="2">
        <f>C11/'Output-Calculation-sheet'!C10*'Output-Calculation-sheet'!C82</f>
        <v>2506929418.3621888</v>
      </c>
      <c r="D99" s="2">
        <f>D11/'Output-Calculation-sheet'!D10*'Output-Calculation-sheet'!D82</f>
        <v>1700515466.0716944</v>
      </c>
      <c r="E99" s="2">
        <f>E11/'Output-Calculation-sheet'!E10*'Output-Calculation-sheet'!E82</f>
        <v>8975038383.5715485</v>
      </c>
      <c r="F99" s="2">
        <f>F11/'Output-Calculation-sheet'!F10*'Output-Calculation-sheet'!F82</f>
        <v>2172463572.0138702</v>
      </c>
      <c r="G99" s="2">
        <f>G11/'Output-Calculation-sheet'!G10*'Output-Calculation-sheet'!G82</f>
        <v>1209109230.8624578</v>
      </c>
      <c r="H99" s="2">
        <f>H11/'Output-Calculation-sheet'!H10*'Output-Calculation-sheet'!H82</f>
        <v>1789169262.1582913</v>
      </c>
      <c r="I99" s="2">
        <f>I11/'Output-Calculation-sheet'!I10*'Output-Calculation-sheet'!I82</f>
        <v>1011694478.3017365</v>
      </c>
      <c r="J99" s="2">
        <f>J11/'Output-Calculation-sheet'!J10*'Output-Calculation-sheet'!J82</f>
        <v>737518227.22053134</v>
      </c>
      <c r="K99" s="2">
        <f>K11/'Output-Calculation-sheet'!K10*'Output-Calculation-sheet'!K82</f>
        <v>875696782.58013582</v>
      </c>
      <c r="L99" s="2">
        <f>L11/'Output-Calculation-sheet'!L10*'Output-Calculation-sheet'!L82</f>
        <v>953274316.35054541</v>
      </c>
      <c r="M99" s="2">
        <f>M11/'Output-Calculation-sheet'!M10*'Output-Calculation-sheet'!M82</f>
        <v>1486013999.1686606</v>
      </c>
      <c r="N99" s="2">
        <f>N11/'Output-Calculation-sheet'!N10*'Output-Calculation-sheet'!N82</f>
        <v>874326498.95643306</v>
      </c>
      <c r="O99" s="2">
        <f>O11/'Output-Calculation-sheet'!O10*'Output-Calculation-sheet'!O82</f>
        <v>320438643.80720747</v>
      </c>
      <c r="P99" s="2">
        <f>P11/'Output-Calculation-sheet'!P10*'Output-Calculation-sheet'!P82</f>
        <v>1548889467.9017339</v>
      </c>
      <c r="Q99" s="2">
        <f>Q11/'Output-Calculation-sheet'!Q10*'Output-Calculation-sheet'!Q82</f>
        <v>712470861.27435052</v>
      </c>
      <c r="R99" s="2">
        <f>R11/'Output-Calculation-sheet'!R10*'Output-Calculation-sheet'!R82</f>
        <v>966449899.65897691</v>
      </c>
      <c r="S99" s="2">
        <f>S11/'Output-Calculation-sheet'!S10*'Output-Calculation-sheet'!S82</f>
        <v>523733458.84457105</v>
      </c>
      <c r="T99" s="2">
        <f>T11/'Output-Calculation-sheet'!T10*'Output-Calculation-sheet'!T82</f>
        <v>285193592.82297647</v>
      </c>
      <c r="U99" s="2">
        <f>U11/'Output-Calculation-sheet'!U10*'Output-Calculation-sheet'!U82</f>
        <v>231131040.59802571</v>
      </c>
      <c r="V99" s="2">
        <f>V11/'Output-Calculation-sheet'!V10*'Output-Calculation-sheet'!V82</f>
        <v>108266568.87173927</v>
      </c>
      <c r="W99" s="2">
        <f>W11/'Output-Calculation-sheet'!W10*'Output-Calculation-sheet'!W82</f>
        <v>332811311.57949048</v>
      </c>
      <c r="X99" s="2">
        <f>X11/'Output-Calculation-sheet'!X10*'Output-Calculation-sheet'!X82</f>
        <v>190214583.68124351</v>
      </c>
      <c r="Y99" s="2">
        <f>Y11/'Output-Calculation-sheet'!Y10*'Output-Calculation-sheet'!Y82</f>
        <v>223383660.77797148</v>
      </c>
      <c r="AA99" s="2">
        <f t="shared" si="8"/>
        <v>40.747752169568571</v>
      </c>
    </row>
    <row r="100" spans="1:27" x14ac:dyDescent="0.25">
      <c r="A100" s="2">
        <v>2035</v>
      </c>
      <c r="B100" s="2">
        <f>B12/'Output-Calculation-sheet'!B11*'Output-Calculation-sheet'!B83</f>
        <v>10396594562.377085</v>
      </c>
      <c r="C100" s="2">
        <f>C12/'Output-Calculation-sheet'!C11*'Output-Calculation-sheet'!C83</f>
        <v>2333030289.2022233</v>
      </c>
      <c r="D100" s="2">
        <f>D12/'Output-Calculation-sheet'!D11*'Output-Calculation-sheet'!D83</f>
        <v>1494493182.7519224</v>
      </c>
      <c r="E100" s="2">
        <f>E12/'Output-Calculation-sheet'!E11*'Output-Calculation-sheet'!E83</f>
        <v>8788479302.5092087</v>
      </c>
      <c r="F100" s="2">
        <f>F12/'Output-Calculation-sheet'!F11*'Output-Calculation-sheet'!F83</f>
        <v>1999484589.0550947</v>
      </c>
      <c r="G100" s="2">
        <f>G12/'Output-Calculation-sheet'!G11*'Output-Calculation-sheet'!G83</f>
        <v>1059663381.9925306</v>
      </c>
      <c r="H100" s="2">
        <f>H12/'Output-Calculation-sheet'!H11*'Output-Calculation-sheet'!H83</f>
        <v>1665161564.7690847</v>
      </c>
      <c r="I100" s="2">
        <f>I12/'Output-Calculation-sheet'!I11*'Output-Calculation-sheet'!I83</f>
        <v>937066941.11821628</v>
      </c>
      <c r="J100" s="2">
        <f>J12/'Output-Calculation-sheet'!J11*'Output-Calculation-sheet'!J83</f>
        <v>675735908.32508695</v>
      </c>
      <c r="K100" s="2">
        <f>K12/'Output-Calculation-sheet'!K11*'Output-Calculation-sheet'!K83</f>
        <v>785817711.02351987</v>
      </c>
      <c r="L100" s="2">
        <f>L12/'Output-Calculation-sheet'!L11*'Output-Calculation-sheet'!L83</f>
        <v>907893942.0295434</v>
      </c>
      <c r="M100" s="2">
        <f>M12/'Output-Calculation-sheet'!M11*'Output-Calculation-sheet'!M83</f>
        <v>1423788014.9725816</v>
      </c>
      <c r="N100" s="2">
        <f>N12/'Output-Calculation-sheet'!N11*'Output-Calculation-sheet'!N83</f>
        <v>812019210.17920375</v>
      </c>
      <c r="O100" s="2">
        <f>O12/'Output-Calculation-sheet'!O11*'Output-Calculation-sheet'!O83</f>
        <v>296117876.9920783</v>
      </c>
      <c r="P100" s="2">
        <f>P12/'Output-Calculation-sheet'!P11*'Output-Calculation-sheet'!P83</f>
        <v>1382441403.5665743</v>
      </c>
      <c r="Q100" s="2">
        <f>Q12/'Output-Calculation-sheet'!Q11*'Output-Calculation-sheet'!Q83</f>
        <v>662880554.21156085</v>
      </c>
      <c r="R100" s="2">
        <f>R12/'Output-Calculation-sheet'!R11*'Output-Calculation-sheet'!R83</f>
        <v>901566884.81464827</v>
      </c>
      <c r="S100" s="2">
        <f>S12/'Output-Calculation-sheet'!S11*'Output-Calculation-sheet'!S83</f>
        <v>482111392.23953086</v>
      </c>
      <c r="T100" s="2">
        <f>T12/'Output-Calculation-sheet'!T11*'Output-Calculation-sheet'!T83</f>
        <v>253928541.78036875</v>
      </c>
      <c r="U100" s="2">
        <f>U12/'Output-Calculation-sheet'!U11*'Output-Calculation-sheet'!U83</f>
        <v>207296737.64503106</v>
      </c>
      <c r="V100" s="2">
        <f>V12/'Output-Calculation-sheet'!V11*'Output-Calculation-sheet'!V83</f>
        <v>98065414.051566213</v>
      </c>
      <c r="W100" s="2">
        <f>W12/'Output-Calculation-sheet'!W11*'Output-Calculation-sheet'!W83</f>
        <v>298187144.45568871</v>
      </c>
      <c r="X100" s="2">
        <f>X12/'Output-Calculation-sheet'!X11*'Output-Calculation-sheet'!X83</f>
        <v>186996119.41191337</v>
      </c>
      <c r="Y100" s="2">
        <f>Y12/'Output-Calculation-sheet'!Y11*'Output-Calculation-sheet'!Y83</f>
        <v>206126611.7640737</v>
      </c>
      <c r="AA100" s="2">
        <f t="shared" si="8"/>
        <v>38.254947281238351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1344.3022504243895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326.45072684242342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31.237338758057025</v>
      </c>
      <c r="Y107" s="2">
        <f>Y8/'Output-Calculation-sheet'!Y7*'Output-Calculation-sheet'!Y88</f>
        <v>0</v>
      </c>
      <c r="AA107" s="2">
        <f t="shared" si="9"/>
        <v>1.7019903160248697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2481.7210188491936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482.12944978269621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41.190970549065398</v>
      </c>
      <c r="Y108" s="2">
        <f>Y9/'Output-Calculation-sheet'!Y8*'Output-Calculation-sheet'!Y89</f>
        <v>0</v>
      </c>
      <c r="AA108" s="2">
        <f t="shared" si="9"/>
        <v>3.005041439180955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624.11599980121196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3.8781733136371703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800.35753477067772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4.6406368991963385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2827.6400207582046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102.2084371782464</v>
      </c>
      <c r="Y111" s="2">
        <f>Y12/'Output-Calculation-sheet'!Y11*'Output-Calculation-sheet'!Y92</f>
        <v>0</v>
      </c>
      <c r="AA111" s="2">
        <f t="shared" si="9"/>
        <v>3.8454016278517509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11126313983.433788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6924200388.1051445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4777111763.3579416</v>
      </c>
      <c r="N118" s="2">
        <f>N8/'Output-Calculation-sheet'!N7*'Output-Calculation-sheet'!N97</f>
        <v>1602211952.7794034</v>
      </c>
      <c r="O118" s="2">
        <f>O8/'Output-Calculation-sheet'!O7*'Output-Calculation-sheet'!O97</f>
        <v>1536149931.925571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479540478.71201998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260115652.49675459</v>
      </c>
      <c r="Y118" s="2">
        <f>Y8/'Output-Calculation-sheet'!Y7*'Output-Calculation-sheet'!Y97</f>
        <v>0</v>
      </c>
      <c r="AA118" s="2">
        <f t="shared" si="10"/>
        <v>28053.183116115564</v>
      </c>
    </row>
    <row r="119" spans="1:27" x14ac:dyDescent="0.25">
      <c r="A119" s="2">
        <v>2032</v>
      </c>
      <c r="B119" s="2">
        <f>B9/'Output-Calculation-sheet'!B8*'Output-Calculation-sheet'!B98</f>
        <v>5837991021.4198227</v>
      </c>
      <c r="C119" s="2">
        <f>C9/'Output-Calculation-sheet'!C8*'Output-Calculation-sheet'!C98</f>
        <v>8613611643.0344391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9130612623.364397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6299324845.2658863</v>
      </c>
      <c r="N119" s="2">
        <f>N9/'Output-Calculation-sheet'!N8*'Output-Calculation-sheet'!N98</f>
        <v>2964352194.9965143</v>
      </c>
      <c r="O119" s="2">
        <f>O9/'Output-Calculation-sheet'!O8*'Output-Calculation-sheet'!O98</f>
        <v>1661174783.0043421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888083372.76001346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346451047.8952232</v>
      </c>
      <c r="Y119" s="2">
        <f>Y9/'Output-Calculation-sheet'!Y8*'Output-Calculation-sheet'!Y98</f>
        <v>0</v>
      </c>
      <c r="AA119" s="2">
        <f t="shared" si="10"/>
        <v>35741.601531740635</v>
      </c>
    </row>
    <row r="120" spans="1:27" x14ac:dyDescent="0.25">
      <c r="A120" s="2">
        <v>2033</v>
      </c>
      <c r="B120" s="2">
        <f>B10/'Output-Calculation-sheet'!B9*'Output-Calculation-sheet'!B99</f>
        <v>14862038767.529318</v>
      </c>
      <c r="C120" s="2">
        <f>C10/'Output-Calculation-sheet'!C9*'Output-Calculation-sheet'!C99</f>
        <v>8616713655.4110394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4462105356.6640873</v>
      </c>
      <c r="O120" s="2">
        <f>O10/'Output-Calculation-sheet'!O9*'Output-Calculation-sheet'!O99</f>
        <v>1653913703.67523</v>
      </c>
      <c r="P120" s="2">
        <f>P10/'Output-Calculation-sheet'!P9*'Output-Calculation-sheet'!P99</f>
        <v>0</v>
      </c>
      <c r="Q120" s="2">
        <f>Q10/'Output-Calculation-sheet'!Q9*'Output-Calculation-sheet'!Q99</f>
        <v>143769902.3115285</v>
      </c>
      <c r="R120" s="2">
        <f>R10/'Output-Calculation-sheet'!R9*'Output-Calculation-sheet'!R99</f>
        <v>0</v>
      </c>
      <c r="S120" s="2">
        <f>S10/'Output-Calculation-sheet'!S9*'Output-Calculation-sheet'!S99</f>
        <v>1799898839.5127997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489483166.22422618</v>
      </c>
      <c r="Y120" s="2">
        <f>Y10/'Output-Calculation-sheet'!Y9*'Output-Calculation-sheet'!Y99</f>
        <v>0</v>
      </c>
      <c r="AA120" s="2">
        <f t="shared" si="10"/>
        <v>50670.916089686347</v>
      </c>
    </row>
    <row r="121" spans="1:27" x14ac:dyDescent="0.25">
      <c r="A121" s="2">
        <v>2034</v>
      </c>
      <c r="B121" s="2">
        <f>B11/'Output-Calculation-sheet'!B10*'Output-Calculation-sheet'!B100</f>
        <v>31852149431.56673</v>
      </c>
      <c r="C121" s="2">
        <f>C11/'Output-Calculation-sheet'!C10*'Output-Calculation-sheet'!C100</f>
        <v>8210730820.1555815</v>
      </c>
      <c r="D121" s="2">
        <f>D11/'Output-Calculation-sheet'!D10*'Output-Calculation-sheet'!D100</f>
        <v>0</v>
      </c>
      <c r="E121" s="2">
        <f>E11/'Output-Calculation-sheet'!E10*'Output-Calculation-sheet'!E100</f>
        <v>674941199.8258872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12099854517.877666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565850113.71291912</v>
      </c>
      <c r="M121" s="2">
        <f>M11/'Output-Calculation-sheet'!M10*'Output-Calculation-sheet'!M100</f>
        <v>8540464963.8411999</v>
      </c>
      <c r="N121" s="2">
        <f>N11/'Output-Calculation-sheet'!N10*'Output-Calculation-sheet'!N100</f>
        <v>5899056408.9132299</v>
      </c>
      <c r="O121" s="2">
        <f>O11/'Output-Calculation-sheet'!O10*'Output-Calculation-sheet'!O100</f>
        <v>876811601.6608659</v>
      </c>
      <c r="P121" s="2">
        <f>P11/'Output-Calculation-sheet'!P10*'Output-Calculation-sheet'!P100</f>
        <v>0</v>
      </c>
      <c r="Q121" s="2">
        <f>Q11/'Output-Calculation-sheet'!Q10*'Output-Calculation-sheet'!Q100</f>
        <v>990513231.39314818</v>
      </c>
      <c r="R121" s="2">
        <f>R11/'Output-Calculation-sheet'!R10*'Output-Calculation-sheet'!R100</f>
        <v>0</v>
      </c>
      <c r="S121" s="2">
        <f>S11/'Output-Calculation-sheet'!S10*'Output-Calculation-sheet'!S100</f>
        <v>2727118717.4706149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36927269.932004973</v>
      </c>
      <c r="AA121" s="2">
        <f t="shared" si="10"/>
        <v>72883.565875828761</v>
      </c>
    </row>
    <row r="122" spans="1:27" x14ac:dyDescent="0.25">
      <c r="A122" s="2">
        <v>2035</v>
      </c>
      <c r="B122" s="2">
        <f>B12/'Output-Calculation-sheet'!B11*'Output-Calculation-sheet'!B101</f>
        <v>31452676947.861046</v>
      </c>
      <c r="C122" s="2">
        <f>C12/'Output-Calculation-sheet'!C11*'Output-Calculation-sheet'!C101</f>
        <v>13079601860.983593</v>
      </c>
      <c r="D122" s="2">
        <f>D12/'Output-Calculation-sheet'!D11*'Output-Calculation-sheet'!D101</f>
        <v>0</v>
      </c>
      <c r="E122" s="2">
        <f>E12/'Output-Calculation-sheet'!E11*'Output-Calculation-sheet'!E101</f>
        <v>2562070181.926302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11339924292.895397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1298058714.1137073</v>
      </c>
      <c r="M122" s="2">
        <f>M12/'Output-Calculation-sheet'!M11*'Output-Calculation-sheet'!M101</f>
        <v>8113055204.2129326</v>
      </c>
      <c r="N122" s="2">
        <f>N12/'Output-Calculation-sheet'!N11*'Output-Calculation-sheet'!N101</f>
        <v>5761498050.0682716</v>
      </c>
      <c r="O122" s="2">
        <f>O12/'Output-Calculation-sheet'!O11*'Output-Calculation-sheet'!O101</f>
        <v>37144871.985730924</v>
      </c>
      <c r="P122" s="2">
        <f>P12/'Output-Calculation-sheet'!P11*'Output-Calculation-sheet'!P101</f>
        <v>246208949.84941009</v>
      </c>
      <c r="Q122" s="2">
        <f>Q12/'Output-Calculation-sheet'!Q11*'Output-Calculation-sheet'!Q101</f>
        <v>1109014953.863693</v>
      </c>
      <c r="R122" s="2">
        <f>R12/'Output-Calculation-sheet'!R11*'Output-Calculation-sheet'!R101</f>
        <v>0</v>
      </c>
      <c r="S122" s="2">
        <f>S12/'Output-Calculation-sheet'!S11*'Output-Calculation-sheet'!S101</f>
        <v>2734444641.1163201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99270276.454947069</v>
      </c>
      <c r="Y122" s="2">
        <f>Y12/'Output-Calculation-sheet'!Y11*'Output-Calculation-sheet'!Y101</f>
        <v>58554279.120278701</v>
      </c>
      <c r="AA122" s="2">
        <f t="shared" si="10"/>
        <v>77891.523224451623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3087311528.4269791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2206133788.6037459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145387.01983387547</v>
      </c>
    </row>
    <row r="130" spans="1:27" x14ac:dyDescent="0.25">
      <c r="A130" s="2">
        <v>2032</v>
      </c>
      <c r="B130" s="2">
        <f>B9/'Output-Calculation-sheet'!B8*'Output-Calculation-sheet'!B107</f>
        <v>56274944661.539749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3218954615.6991353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2653179482.1819401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186544.76352975183</v>
      </c>
    </row>
    <row r="131" spans="1:27" x14ac:dyDescent="0.25">
      <c r="A131" s="2">
        <v>2033</v>
      </c>
      <c r="B131" s="2">
        <f>B10/'Output-Calculation-sheet'!B9*'Output-Calculation-sheet'!B108</f>
        <v>60178198678.694855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3008119188.2412567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6547769619.3871737</v>
      </c>
      <c r="R131" s="2">
        <f>R10/'Output-Calculation-sheet'!R9*'Output-Calculation-sheet'!R108</f>
        <v>6437339455.9371614</v>
      </c>
      <c r="S131" s="2">
        <f>S10/'Output-Calculation-sheet'!S9*'Output-Calculation-sheet'!S108</f>
        <v>2478362786.5067234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215817.75752152642</v>
      </c>
    </row>
    <row r="132" spans="1:27" x14ac:dyDescent="0.25">
      <c r="A132" s="2">
        <v>2034</v>
      </c>
      <c r="B132" s="2">
        <f>B11/'Output-Calculation-sheet'!B10*'Output-Calculation-sheet'!B109</f>
        <v>51657756419.955788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27384603864.09621</v>
      </c>
      <c r="F132" s="2">
        <f>F11/'Output-Calculation-sheet'!F10*'Output-Calculation-sheet'!F109</f>
        <v>18063825136.361526</v>
      </c>
      <c r="G132" s="2">
        <f>G11/'Output-Calculation-sheet'!G10*'Output-Calculation-sheet'!G109</f>
        <v>12656621606.8645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11254749155.678623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8376299248.7539721</v>
      </c>
      <c r="M132" s="2">
        <f>M11/'Output-Calculation-sheet'!M10*'Output-Calculation-sheet'!M109</f>
        <v>4.617672010991744E-9</v>
      </c>
      <c r="N132" s="2">
        <f>N11/'Output-Calculation-sheet'!N10*'Output-Calculation-sheet'!N109</f>
        <v>2483370371.7195539</v>
      </c>
      <c r="O132" s="2">
        <f>O11/'Output-Calculation-sheet'!O10*'Output-Calculation-sheet'!O109</f>
        <v>0</v>
      </c>
      <c r="P132" s="2">
        <f>P11/'Output-Calculation-sheet'!P10*'Output-Calculation-sheet'!P109</f>
        <v>7631163677.9790573</v>
      </c>
      <c r="Q132" s="2">
        <f>Q11/'Output-Calculation-sheet'!Q10*'Output-Calculation-sheet'!Q109</f>
        <v>6279635854.00424</v>
      </c>
      <c r="R132" s="2">
        <f>R11/'Output-Calculation-sheet'!R10*'Output-Calculation-sheet'!R109</f>
        <v>7222943902.1668396</v>
      </c>
      <c r="S132" s="2">
        <f>S11/'Output-Calculation-sheet'!S10*'Output-Calculation-sheet'!S109</f>
        <v>1985412077.8584521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2237586909.0450325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862684925.01411676</v>
      </c>
      <c r="AA132" s="2">
        <f t="shared" si="11"/>
        <v>222152.37148014078</v>
      </c>
    </row>
    <row r="133" spans="1:27" x14ac:dyDescent="0.25">
      <c r="A133" s="2">
        <v>2035</v>
      </c>
      <c r="B133" s="2">
        <f>B12/'Output-Calculation-sheet'!B11*'Output-Calculation-sheet'!B110</f>
        <v>46660304150.612579</v>
      </c>
      <c r="C133" s="2">
        <f>C12/'Output-Calculation-sheet'!C11*'Output-Calculation-sheet'!C110</f>
        <v>0</v>
      </c>
      <c r="D133" s="2">
        <f>D12/'Output-Calculation-sheet'!D11*'Output-Calculation-sheet'!D110</f>
        <v>32741946212.050953</v>
      </c>
      <c r="E133" s="2">
        <f>E12/'Output-Calculation-sheet'!E11*'Output-Calculation-sheet'!E110</f>
        <v>25401262007.215797</v>
      </c>
      <c r="F133" s="2">
        <f>F12/'Output-Calculation-sheet'!F11*'Output-Calculation-sheet'!F110</f>
        <v>17332273107.354897</v>
      </c>
      <c r="G133" s="2">
        <f>G12/'Output-Calculation-sheet'!G11*'Output-Calculation-sheet'!G110</f>
        <v>11736485504.669388</v>
      </c>
      <c r="H133" s="2">
        <f>H12/'Output-Calculation-sheet'!H11*'Output-Calculation-sheet'!H110</f>
        <v>0</v>
      </c>
      <c r="I133" s="2">
        <f>I12/'Output-Calculation-sheet'!I11*'Output-Calculation-sheet'!I110</f>
        <v>10765347502.423882</v>
      </c>
      <c r="J133" s="2">
        <f>J12/'Output-Calculation-sheet'!J11*'Output-Calculation-sheet'!J110</f>
        <v>10777366277.562298</v>
      </c>
      <c r="K133" s="2">
        <f>K12/'Output-Calculation-sheet'!K11*'Output-Calculation-sheet'!K110</f>
        <v>10575091530.183985</v>
      </c>
      <c r="L133" s="2">
        <f>L12/'Output-Calculation-sheet'!L11*'Output-Calculation-sheet'!L110</f>
        <v>7601595632.2237101</v>
      </c>
      <c r="M133" s="2">
        <f>M12/'Output-Calculation-sheet'!M11*'Output-Calculation-sheet'!M110</f>
        <v>0</v>
      </c>
      <c r="N133" s="2">
        <f>N12/'Output-Calculation-sheet'!N11*'Output-Calculation-sheet'!N110</f>
        <v>2209078850.849555</v>
      </c>
      <c r="O133" s="2">
        <f>O12/'Output-Calculation-sheet'!O11*'Output-Calculation-sheet'!O110</f>
        <v>0</v>
      </c>
      <c r="P133" s="2">
        <f>P12/'Output-Calculation-sheet'!P11*'Output-Calculation-sheet'!P110</f>
        <v>7119422441.0621872</v>
      </c>
      <c r="Q133" s="2">
        <f>Q12/'Output-Calculation-sheet'!Q11*'Output-Calculation-sheet'!Q110</f>
        <v>5686973704.6644897</v>
      </c>
      <c r="R133" s="2">
        <f>R12/'Output-Calculation-sheet'!R11*'Output-Calculation-sheet'!R110</f>
        <v>7039325505.9866457</v>
      </c>
      <c r="S133" s="2">
        <f>S12/'Output-Calculation-sheet'!S11*'Output-Calculation-sheet'!S110</f>
        <v>1696659551.8083942</v>
      </c>
      <c r="T133" s="2">
        <f>T12/'Output-Calculation-sheet'!T11*'Output-Calculation-sheet'!T110</f>
        <v>2630896508.7223983</v>
      </c>
      <c r="U133" s="2">
        <f>U12/'Output-Calculation-sheet'!U11*'Output-Calculation-sheet'!U110</f>
        <v>2078656642.1164105</v>
      </c>
      <c r="V133" s="2">
        <f>V12/'Output-Calculation-sheet'!V11*'Output-Calculation-sheet'!V110</f>
        <v>1810179874.4132531</v>
      </c>
      <c r="W133" s="2">
        <f>W12/'Output-Calculation-sheet'!W11*'Output-Calculation-sheet'!W110</f>
        <v>1524385349.9877884</v>
      </c>
      <c r="X133" s="2">
        <f>X12/'Output-Calculation-sheet'!X11*'Output-Calculation-sheet'!X110</f>
        <v>711458.23148173268</v>
      </c>
      <c r="Y133" s="2">
        <f>Y12/'Output-Calculation-sheet'!Y11*'Output-Calculation-sheet'!Y110</f>
        <v>802914765.47117794</v>
      </c>
      <c r="AA133" s="2">
        <f t="shared" si="11"/>
        <v>206190.87657761126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11070608367.777403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2776847541.3513293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257345367.0805977</v>
      </c>
      <c r="Y140" s="2">
        <f>Y8/'Output-Calculation-sheet'!Y7*'Output-Calculation-sheet'!Y115</f>
        <v>0</v>
      </c>
      <c r="AA140" s="2">
        <f t="shared" si="12"/>
        <v>14104.801276209329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20657063028.853928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4026098449.2006764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335854911.44792742</v>
      </c>
      <c r="Y141" s="2">
        <f>Y9/'Output-Calculation-sheet'!Y8*'Output-Calculation-sheet'!Y116</f>
        <v>0</v>
      </c>
      <c r="AA141" s="2">
        <f t="shared" si="12"/>
        <v>25019.016389502529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26747286593.685772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5217300852.4392405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334836233.79897797</v>
      </c>
      <c r="Y142" s="2">
        <f>Y10/'Output-Calculation-sheet'!Y9*'Output-Calculation-sheet'!Y117</f>
        <v>0</v>
      </c>
      <c r="AA142" s="2">
        <f t="shared" si="12"/>
        <v>32299.423679923988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31470298582.431923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6833426646.2378006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38819.564808508614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23241487249.407742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8012794513.2223568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861345391.29299486</v>
      </c>
      <c r="Y144" s="2">
        <f>Y12/'Output-Calculation-sheet'!Y11*'Output-Calculation-sheet'!Y119</f>
        <v>0</v>
      </c>
      <c r="AA144" s="2">
        <f t="shared" si="12"/>
        <v>32115.627153923091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12849206884.141893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1852618890.1022229</v>
      </c>
      <c r="H154" s="2">
        <f>H11/'Output-Calculation-sheet'!H10*'Output-Calculation-sheet'!H127</f>
        <v>2108815925.1723225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1342740261.8377464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787663013.35106719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417223138.87253094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49554.886457712135</v>
      </c>
    </row>
    <row r="155" spans="1:27" x14ac:dyDescent="0.25">
      <c r="A155" s="2">
        <v>2035</v>
      </c>
      <c r="B155" s="2">
        <f>B12/'Output-Calculation-sheet'!B11*'Output-Calculation-sheet'!B128</f>
        <v>11653375654.139303</v>
      </c>
      <c r="C155" s="2">
        <f>C12/'Output-Calculation-sheet'!C11*'Output-Calculation-sheet'!C128</f>
        <v>5566905070.0739822</v>
      </c>
      <c r="D155" s="2">
        <f>D12/'Output-Calculation-sheet'!D11*'Output-Calculation-sheet'!D128</f>
        <v>4472544086.8255968</v>
      </c>
      <c r="E155" s="2">
        <f>E12/'Output-Calculation-sheet'!E11*'Output-Calculation-sheet'!E128</f>
        <v>2199326489.3741722</v>
      </c>
      <c r="F155" s="2">
        <f>F12/'Output-Calculation-sheet'!F11*'Output-Calculation-sheet'!F128</f>
        <v>1795914233.5089095</v>
      </c>
      <c r="G155" s="2">
        <f>G12/'Output-Calculation-sheet'!G11*'Output-Calculation-sheet'!G128</f>
        <v>1707238178.7830989</v>
      </c>
      <c r="H155" s="2">
        <f>H12/'Output-Calculation-sheet'!H11*'Output-Calculation-sheet'!H128</f>
        <v>1912169247.1232014</v>
      </c>
      <c r="I155" s="2">
        <f>I12/'Output-Calculation-sheet'!I11*'Output-Calculation-sheet'!I128</f>
        <v>1469453151.9958026</v>
      </c>
      <c r="J155" s="2">
        <f>J12/'Output-Calculation-sheet'!J11*'Output-Calculation-sheet'!J128</f>
        <v>1069741297.1955373</v>
      </c>
      <c r="K155" s="2">
        <f>K12/'Output-Calculation-sheet'!K11*'Output-Calculation-sheet'!K128</f>
        <v>1182321276.8294506</v>
      </c>
      <c r="L155" s="2">
        <f>L12/'Output-Calculation-sheet'!L11*'Output-Calculation-sheet'!L128</f>
        <v>514730330.97269058</v>
      </c>
      <c r="M155" s="2">
        <f>M12/'Output-Calculation-sheet'!M11*'Output-Calculation-sheet'!M128</f>
        <v>1021194666.8959134</v>
      </c>
      <c r="N155" s="2">
        <f>N12/'Output-Calculation-sheet'!N11*'Output-Calculation-sheet'!N128</f>
        <v>899909104.72737086</v>
      </c>
      <c r="O155" s="2">
        <f>O12/'Output-Calculation-sheet'!O11*'Output-Calculation-sheet'!O128</f>
        <v>14748317.049173785</v>
      </c>
      <c r="P155" s="2">
        <f>P12/'Output-Calculation-sheet'!P11*'Output-Calculation-sheet'!P128</f>
        <v>784052241.45450234</v>
      </c>
      <c r="Q155" s="2">
        <f>Q12/'Output-Calculation-sheet'!Q11*'Output-Calculation-sheet'!Q128</f>
        <v>1180497299.8119135</v>
      </c>
      <c r="R155" s="2">
        <f>R12/'Output-Calculation-sheet'!R11*'Output-Calculation-sheet'!R128</f>
        <v>604386440.89870918</v>
      </c>
      <c r="S155" s="2">
        <f>S12/'Output-Calculation-sheet'!S11*'Output-Calculation-sheet'!S128</f>
        <v>669465209.31643844</v>
      </c>
      <c r="T155" s="2">
        <f>T12/'Output-Calculation-sheet'!T11*'Output-Calculation-sheet'!T128</f>
        <v>164654379.32680535</v>
      </c>
      <c r="U155" s="2">
        <f>U12/'Output-Calculation-sheet'!U11*'Output-Calculation-sheet'!U128</f>
        <v>381595876.90171891</v>
      </c>
      <c r="V155" s="2">
        <f>V12/'Output-Calculation-sheet'!V11*'Output-Calculation-sheet'!V128</f>
        <v>56934483.620989345</v>
      </c>
      <c r="W155" s="2">
        <f>W12/'Output-Calculation-sheet'!W11*'Output-Calculation-sheet'!W128</f>
        <v>114785664.94663909</v>
      </c>
      <c r="X155" s="2">
        <f>X12/'Output-Calculation-sheet'!X11*'Output-Calculation-sheet'!X128</f>
        <v>8116548.348544538</v>
      </c>
      <c r="Y155" s="2">
        <f>Y12/'Output-Calculation-sheet'!Y11*'Output-Calculation-sheet'!Y128</f>
        <v>109033673.37573491</v>
      </c>
      <c r="AA155" s="2">
        <f t="shared" si="13"/>
        <v>39553.092923496202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7587.2853317115905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4781.088720159426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3318.7403893887108</v>
      </c>
      <c r="N19" s="2">
        <f>N8/'Output-Calculation-sheet'!N7*'Output-Calculation-sheet'!N25</f>
        <v>1133.7705754484703</v>
      </c>
      <c r="O19" s="2">
        <f>O8/'Output-Calculation-sheet'!O7*'Output-Calculation-sheet'!O25</f>
        <v>979.28955817837038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175.20814318835662</v>
      </c>
      <c r="Y19" s="2">
        <f>Y8/'Output-Calculation-sheet'!Y7*'Output-Calculation-sheet'!Y25</f>
        <v>0</v>
      </c>
      <c r="AA19" s="2">
        <f t="shared" si="0"/>
        <v>19.44480486935517</v>
      </c>
    </row>
    <row r="20" spans="1:27" x14ac:dyDescent="0.25">
      <c r="A20" s="2">
        <v>2032</v>
      </c>
      <c r="B20" s="2">
        <f>B9/'Output-Calculation-sheet'!B8*'Output-Calculation-sheet'!B26</f>
        <v>6033.8434812889882</v>
      </c>
      <c r="C20" s="2">
        <f>C9/'Output-Calculation-sheet'!C8*'Output-Calculation-sheet'!C26</f>
        <v>5824.0975250067331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6562.3522699543946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4561.545158521395</v>
      </c>
      <c r="N20" s="2">
        <f>N9/'Output-Calculation-sheet'!N8*'Output-Calculation-sheet'!N26</f>
        <v>2053.9028606721231</v>
      </c>
      <c r="O20" s="2">
        <f>O9/'Output-Calculation-sheet'!O8*'Output-Calculation-sheet'!O26</f>
        <v>1120.4950267394172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746.63946291619891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243.72686610280314</v>
      </c>
      <c r="Y20" s="2">
        <f>Y9/'Output-Calculation-sheet'!Y8*'Output-Calculation-sheet'!Y26</f>
        <v>0</v>
      </c>
      <c r="AA20" s="2">
        <f t="shared" si="0"/>
        <v>27.146602651202052</v>
      </c>
    </row>
    <row r="21" spans="1:27" x14ac:dyDescent="0.25">
      <c r="A21" s="2">
        <v>2033</v>
      </c>
      <c r="B21" s="2">
        <f>B10/'Output-Calculation-sheet'!B9*'Output-Calculation-sheet'!B27</f>
        <v>14602.676601764413</v>
      </c>
      <c r="C21" s="2">
        <f>C10/'Output-Calculation-sheet'!C9*'Output-Calculation-sheet'!C27</f>
        <v>6067.663024431894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8483.7193529284905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5894.9791028539539</v>
      </c>
      <c r="N21" s="2">
        <f>N10/'Output-Calculation-sheet'!N9*'Output-Calculation-sheet'!N27</f>
        <v>3219.5800195147935</v>
      </c>
      <c r="O21" s="2">
        <f>O10/'Output-Calculation-sheet'!O9*'Output-Calculation-sheet'!O27</f>
        <v>1166.8807731839593</v>
      </c>
      <c r="P21" s="2">
        <f>P10/'Output-Calculation-sheet'!P9*'Output-Calculation-sheet'!P27</f>
        <v>0</v>
      </c>
      <c r="Q21" s="2">
        <f>Q10/'Output-Calculation-sheet'!Q9*'Output-Calculation-sheet'!Q27</f>
        <v>215.78199322973927</v>
      </c>
      <c r="R21" s="2">
        <f>R10/'Output-Calculation-sheet'!R9*'Output-Calculation-sheet'!R27</f>
        <v>0</v>
      </c>
      <c r="S21" s="2">
        <f>S10/'Output-Calculation-sheet'!S9*'Output-Calculation-sheet'!S27</f>
        <v>1401.5389773997838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373.5528812563125</v>
      </c>
      <c r="Y21" s="2">
        <f>Y10/'Output-Calculation-sheet'!Y9*'Output-Calculation-sheet'!Y27</f>
        <v>0</v>
      </c>
      <c r="AA21" s="2">
        <f t="shared" si="0"/>
        <v>41.426372726563351</v>
      </c>
    </row>
    <row r="22" spans="1:27" x14ac:dyDescent="0.25">
      <c r="A22" s="2">
        <v>2034</v>
      </c>
      <c r="B22" s="2">
        <f>B11/'Output-Calculation-sheet'!B10*'Output-Calculation-sheet'!B28</f>
        <v>28906.171851778305</v>
      </c>
      <c r="C22" s="2">
        <f>C11/'Output-Calculation-sheet'!C10*'Output-Calculation-sheet'!C28</f>
        <v>6292.7099318849951</v>
      </c>
      <c r="D22" s="2">
        <f>D11/'Output-Calculation-sheet'!D10*'Output-Calculation-sheet'!D28</f>
        <v>0</v>
      </c>
      <c r="E22" s="2">
        <f>E11/'Output-Calculation-sheet'!E10*'Output-Calculation-sheet'!E28</f>
        <v>1485.1931314668639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11039.973242854909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900.71452742432587</v>
      </c>
      <c r="M22" s="2">
        <f>M11/'Output-Calculation-sheet'!M10*'Output-Calculation-sheet'!M28</f>
        <v>8191.0438143901583</v>
      </c>
      <c r="N22" s="2">
        <f>N11/'Output-Calculation-sheet'!N10*'Output-Calculation-sheet'!N28</f>
        <v>4716.6489029243285</v>
      </c>
      <c r="O22" s="2">
        <f>O11/'Output-Calculation-sheet'!O10*'Output-Calculation-sheet'!O28</f>
        <v>669.32100114966215</v>
      </c>
      <c r="P22" s="2">
        <f>P11/'Output-Calculation-sheet'!P10*'Output-Calculation-sheet'!P28</f>
        <v>0</v>
      </c>
      <c r="Q22" s="2">
        <f>Q11/'Output-Calculation-sheet'!Q10*'Output-Calculation-sheet'!Q28</f>
        <v>1361.2968463986285</v>
      </c>
      <c r="R22" s="2">
        <f>R11/'Output-Calculation-sheet'!R10*'Output-Calculation-sheet'!R28</f>
        <v>0</v>
      </c>
      <c r="S22" s="2">
        <f>S11/'Output-Calculation-sheet'!S10*'Output-Calculation-sheet'!S28</f>
        <v>2249.9051871962592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81.987965658489387</v>
      </c>
      <c r="AA22" s="2">
        <f t="shared" si="0"/>
        <v>66.230370857144578</v>
      </c>
    </row>
    <row r="23" spans="1:27" x14ac:dyDescent="0.25">
      <c r="A23" s="2">
        <v>2035</v>
      </c>
      <c r="B23" s="2">
        <f>B12/'Output-Calculation-sheet'!B11*'Output-Calculation-sheet'!B29</f>
        <v>31822.372051654267</v>
      </c>
      <c r="C23" s="2">
        <f>C12/'Output-Calculation-sheet'!C11*'Output-Calculation-sheet'!C29</f>
        <v>11966.639880138115</v>
      </c>
      <c r="D23" s="2">
        <f>D12/'Output-Calculation-sheet'!D11*'Output-Calculation-sheet'!D29</f>
        <v>0</v>
      </c>
      <c r="E23" s="2">
        <f>E12/'Output-Calculation-sheet'!E11*'Output-Calculation-sheet'!E29</f>
        <v>5399.6959567457261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11612.895800310504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1940.9314951559249</v>
      </c>
      <c r="M23" s="2">
        <f>M12/'Output-Calculation-sheet'!M11*'Output-Calculation-sheet'!M29</f>
        <v>8924.1652941627563</v>
      </c>
      <c r="N23" s="2">
        <f>N12/'Output-Calculation-sheet'!N11*'Output-Calculation-sheet'!N29</f>
        <v>5309.3837081460224</v>
      </c>
      <c r="O23" s="2">
        <f>O12/'Output-Calculation-sheet'!O11*'Output-Calculation-sheet'!O29</f>
        <v>32.517669630398075</v>
      </c>
      <c r="P23" s="2">
        <f>P12/'Output-Calculation-sheet'!P11*'Output-Calculation-sheet'!P29</f>
        <v>601.84943725096161</v>
      </c>
      <c r="Q23" s="2">
        <f>Q12/'Output-Calculation-sheet'!Q11*'Output-Calculation-sheet'!Q29</f>
        <v>1640.6444770727514</v>
      </c>
      <c r="R23" s="2">
        <f>R12/'Output-Calculation-sheet'!R11*'Output-Calculation-sheet'!R29</f>
        <v>0</v>
      </c>
      <c r="S23" s="2">
        <f>S12/'Output-Calculation-sheet'!S11*'Output-Calculation-sheet'!S29</f>
        <v>2536.5377961107538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86.903734140197372</v>
      </c>
      <c r="Y23" s="2">
        <f>Y12/'Output-Calculation-sheet'!Y11*'Output-Calculation-sheet'!Y29</f>
        <v>127.48177751550944</v>
      </c>
      <c r="AA23" s="2">
        <f t="shared" si="0"/>
        <v>82.002019078033896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1545.2869609067898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39.7161796641116</v>
      </c>
    </row>
    <row r="31" spans="1:27" x14ac:dyDescent="0.25">
      <c r="A31" s="2">
        <v>2032</v>
      </c>
      <c r="B31" s="2">
        <f>B9/'Output-Calculation-sheet'!B8*'Output-Calculation-sheet'!B17</f>
        <v>25549.034131101929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1750.0080103037128</v>
      </c>
      <c r="O31" s="2">
        <f>O9/'Output-Calculation-sheet'!O8*'Output-Calculation-sheet'!O17</f>
        <v>0</v>
      </c>
      <c r="P31" s="2">
        <f>P9/'Output-Calculation-sheet'!P8*'Output-Calculation-sheet'!P17</f>
        <v>2166.3901644453958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1301.5606987268968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55.638103417684768</v>
      </c>
    </row>
    <row r="32" spans="1:27" x14ac:dyDescent="0.25">
      <c r="A32" s="2">
        <v>2033</v>
      </c>
      <c r="B32" s="2">
        <f>B10/'Output-Calculation-sheet'!B9*'Output-Calculation-sheet'!B18</f>
        <v>29818.681945393364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2837.8816345884247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1818.2337066796952</v>
      </c>
      <c r="O32" s="2">
        <f>O10/'Output-Calculation-sheet'!O9*'Output-Calculation-sheet'!O18</f>
        <v>0</v>
      </c>
      <c r="P32" s="2">
        <f>P10/'Output-Calculation-sheet'!P9*'Output-Calculation-sheet'!P18</f>
        <v>2920.7470234987841</v>
      </c>
      <c r="Q32" s="2">
        <f>Q10/'Output-Calculation-sheet'!Q9*'Output-Calculation-sheet'!Q18</f>
        <v>3184.1425676554031</v>
      </c>
      <c r="R32" s="2">
        <f>R10/'Output-Calculation-sheet'!R9*'Output-Calculation-sheet'!R18</f>
        <v>2097.3221712464942</v>
      </c>
      <c r="S32" s="2">
        <f>S10/'Output-Calculation-sheet'!S9*'Output-Calculation-sheet'!S18</f>
        <v>1373.523084258575</v>
      </c>
      <c r="T32" s="2">
        <f>T10/'Output-Calculation-sheet'!T9*'Output-Calculation-sheet'!T18</f>
        <v>612.35979346091995</v>
      </c>
      <c r="U32" s="2">
        <f>U10/'Output-Calculation-sheet'!U9*'Output-Calculation-sheet'!U18</f>
        <v>676.94968004836755</v>
      </c>
      <c r="V32" s="2">
        <f>V10/'Output-Calculation-sheet'!V9*'Output-Calculation-sheet'!V18</f>
        <v>499.6854833342864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289.32130649635172</v>
      </c>
      <c r="AA32" s="2">
        <f t="shared" si="1"/>
        <v>71.588348786973</v>
      </c>
    </row>
    <row r="33" spans="1:27" x14ac:dyDescent="0.25">
      <c r="A33" s="2">
        <v>2034</v>
      </c>
      <c r="B33" s="2">
        <f>B11/'Output-Calculation-sheet'!B10*'Output-Calculation-sheet'!B19</f>
        <v>29452.611901617754</v>
      </c>
      <c r="C33" s="2">
        <f>C11/'Output-Calculation-sheet'!C10*'Output-Calculation-sheet'!C19</f>
        <v>0</v>
      </c>
      <c r="D33" s="2">
        <f>D11/'Output-Calculation-sheet'!D10*'Output-Calculation-sheet'!D19</f>
        <v>8912.8587320145016</v>
      </c>
      <c r="E33" s="2">
        <f>E11/'Output-Calculation-sheet'!E10*'Output-Calculation-sheet'!E19</f>
        <v>11050.526250154478</v>
      </c>
      <c r="F33" s="2">
        <f>F11/'Output-Calculation-sheet'!F10*'Output-Calculation-sheet'!F19</f>
        <v>5059.6075595019402</v>
      </c>
      <c r="G33" s="2">
        <f>G11/'Output-Calculation-sheet'!G10*'Output-Calculation-sheet'!G19</f>
        <v>3014.2347121930516</v>
      </c>
      <c r="H33" s="2">
        <f>H11/'Output-Calculation-sheet'!H10*'Output-Calculation-sheet'!H19</f>
        <v>0</v>
      </c>
      <c r="I33" s="2">
        <f>I11/'Output-Calculation-sheet'!I10*'Output-Calculation-sheet'!I19</f>
        <v>3310.9672866503888</v>
      </c>
      <c r="J33" s="2">
        <f>J11/'Output-Calculation-sheet'!J10*'Output-Calculation-sheet'!J19</f>
        <v>2799.5182962261038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3158.4744796753375</v>
      </c>
      <c r="M33" s="2">
        <f>M11/'Output-Calculation-sheet'!M10*'Output-Calculation-sheet'!M19</f>
        <v>0</v>
      </c>
      <c r="N33" s="2">
        <f>N11/'Output-Calculation-sheet'!N10*'Output-Calculation-sheet'!N19</f>
        <v>1783.753715037031</v>
      </c>
      <c r="O33" s="2">
        <f>O11/'Output-Calculation-sheet'!O10*'Output-Calculation-sheet'!O19</f>
        <v>0</v>
      </c>
      <c r="P33" s="2">
        <f>P11/'Output-Calculation-sheet'!P10*'Output-Calculation-sheet'!P19</f>
        <v>3930.3185033759401</v>
      </c>
      <c r="Q33" s="2">
        <f>Q11/'Output-Calculation-sheet'!Q10*'Output-Calculation-sheet'!Q19</f>
        <v>3200.0018250465273</v>
      </c>
      <c r="R33" s="2">
        <f>R11/'Output-Calculation-sheet'!R10*'Output-Calculation-sheet'!R19</f>
        <v>2805.3410125700761</v>
      </c>
      <c r="S33" s="2">
        <f>S11/'Output-Calculation-sheet'!S10*'Output-Calculation-sheet'!S19</f>
        <v>1301.9825133569607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880.55947561107553</v>
      </c>
      <c r="V33" s="2">
        <f>V11/'Output-Calculation-sheet'!V10*'Output-Calculation-sheet'!V19</f>
        <v>645.56493775401418</v>
      </c>
      <c r="W33" s="2">
        <f>W11/'Output-Calculation-sheet'!W10*'Output-Calculation-sheet'!W19</f>
        <v>401.92149051724914</v>
      </c>
      <c r="X33" s="2">
        <f>X11/'Output-Calculation-sheet'!X10*'Output-Calculation-sheet'!X19</f>
        <v>0</v>
      </c>
      <c r="Y33" s="2">
        <f>Y11/'Output-Calculation-sheet'!Y10*'Output-Calculation-sheet'!Y19</f>
        <v>362.3039095325957</v>
      </c>
      <c r="AA33" s="2">
        <f t="shared" si="1"/>
        <v>86.777145724482111</v>
      </c>
    </row>
    <row r="34" spans="1:27" x14ac:dyDescent="0.25">
      <c r="A34" s="2">
        <v>2035</v>
      </c>
      <c r="B34" s="2">
        <f>B12/'Output-Calculation-sheet'!B11*'Output-Calculation-sheet'!B20</f>
        <v>29438.69571034328</v>
      </c>
      <c r="C34" s="2">
        <f>C12/'Output-Calculation-sheet'!C11*'Output-Calculation-sheet'!C20</f>
        <v>0</v>
      </c>
      <c r="D34" s="2">
        <f>D12/'Output-Calculation-sheet'!D11*'Output-Calculation-sheet'!D20</f>
        <v>9388.4111885239527</v>
      </c>
      <c r="E34" s="2">
        <f>E12/'Output-Calculation-sheet'!E11*'Output-Calculation-sheet'!E20</f>
        <v>10404.500345733491</v>
      </c>
      <c r="F34" s="2">
        <f>F12/'Output-Calculation-sheet'!F11*'Output-Calculation-sheet'!F20</f>
        <v>5844.0524377970114</v>
      </c>
      <c r="G34" s="2">
        <f>G12/'Output-Calculation-sheet'!G11*'Output-Calculation-sheet'!G20</f>
        <v>3149.4446348204265</v>
      </c>
      <c r="H34" s="2">
        <f>H12/'Output-Calculation-sheet'!H11*'Output-Calculation-sheet'!H20</f>
        <v>0</v>
      </c>
      <c r="I34" s="2">
        <f>I12/'Output-Calculation-sheet'!I11*'Output-Calculation-sheet'!I20</f>
        <v>3496.2599411106848</v>
      </c>
      <c r="J34" s="2">
        <f>J12/'Output-Calculation-sheet'!J11*'Output-Calculation-sheet'!J20</f>
        <v>3234.1425600928987</v>
      </c>
      <c r="K34" s="2">
        <f>K12/'Output-Calculation-sheet'!K11*'Output-Calculation-sheet'!K20</f>
        <v>4305.1751372493936</v>
      </c>
      <c r="L34" s="2">
        <f>L12/'Output-Calculation-sheet'!L11*'Output-Calculation-sheet'!L20</f>
        <v>3444.4371861863469</v>
      </c>
      <c r="M34" s="2">
        <f>M12/'Output-Calculation-sheet'!M11*'Output-Calculation-sheet'!M20</f>
        <v>0</v>
      </c>
      <c r="N34" s="2">
        <f>N12/'Output-Calculation-sheet'!N11*'Output-Calculation-sheet'!N20</f>
        <v>1841.2346826992568</v>
      </c>
      <c r="O34" s="2">
        <f>O12/'Output-Calculation-sheet'!O11*'Output-Calculation-sheet'!O20</f>
        <v>0</v>
      </c>
      <c r="P34" s="2">
        <f>P12/'Output-Calculation-sheet'!P11*'Output-Calculation-sheet'!P20</f>
        <v>3950.0137094111687</v>
      </c>
      <c r="Q34" s="2">
        <f>Q12/'Output-Calculation-sheet'!Q11*'Output-Calculation-sheet'!Q20</f>
        <v>3231.6532785234049</v>
      </c>
      <c r="R34" s="2">
        <f>R12/'Output-Calculation-sheet'!R11*'Output-Calculation-sheet'!R20</f>
        <v>3305.0565657732072</v>
      </c>
      <c r="S34" s="2">
        <f>S12/'Output-Calculation-sheet'!S11*'Output-Calculation-sheet'!S20</f>
        <v>1275.0078408655841</v>
      </c>
      <c r="T34" s="2">
        <f>T12/'Output-Calculation-sheet'!T11*'Output-Calculation-sheet'!T20</f>
        <v>1002.7536607526896</v>
      </c>
      <c r="U34" s="2">
        <f>U12/'Output-Calculation-sheet'!U11*'Output-Calculation-sheet'!U20</f>
        <v>922.92204826612101</v>
      </c>
      <c r="V34" s="2">
        <f>V12/'Output-Calculation-sheet'!V11*'Output-Calculation-sheet'!V20</f>
        <v>908.25457835396844</v>
      </c>
      <c r="W34" s="2">
        <f>W12/'Output-Calculation-sheet'!W11*'Output-Calculation-sheet'!W20</f>
        <v>492.55492570952856</v>
      </c>
      <c r="X34" s="2">
        <f>X12/'Output-Calculation-sheet'!X11*'Output-Calculation-sheet'!X20</f>
        <v>1.0927487601087682</v>
      </c>
      <c r="Y34" s="2">
        <f>Y12/'Output-Calculation-sheet'!Y11*'Output-Calculation-sheet'!Y20</f>
        <v>356.68039637549043</v>
      </c>
      <c r="AA34" s="2">
        <f t="shared" si="1"/>
        <v>89.992343577348009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0.13311856928305296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2.0076840665530525E-2</v>
      </c>
      <c r="H44" s="2">
        <f>H11/'Output-Calculation-sheet'!H10*'Output-Calculation-sheet'!H37*0.0114</f>
        <v>1.9449118782076027E-2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1.1524223222790913E-2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7.5398723588499502E-3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3.6769201265029229E-3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0.19538554443880332</v>
      </c>
    </row>
    <row r="45" spans="1:27" x14ac:dyDescent="0.25">
      <c r="A45" s="2">
        <v>2035</v>
      </c>
      <c r="B45" s="2">
        <f>B12/'Output-Calculation-sheet'!B11*'Output-Calculation-sheet'!B38*0.0114</f>
        <v>0.55882924518411192</v>
      </c>
      <c r="C45" s="2">
        <f>C12/'Output-Calculation-sheet'!C11*'Output-Calculation-sheet'!C38*0.0114</f>
        <v>0.33154161761557444</v>
      </c>
      <c r="D45" s="2">
        <f>D12/'Output-Calculation-sheet'!D11*'Output-Calculation-sheet'!D38*0.0114</f>
        <v>5.873772457164083E-2</v>
      </c>
      <c r="E45" s="2">
        <f>E12/'Output-Calculation-sheet'!E11*'Output-Calculation-sheet'!E38*0.0114</f>
        <v>0.18672351369042006</v>
      </c>
      <c r="F45" s="2">
        <f>F12/'Output-Calculation-sheet'!F11*'Output-Calculation-sheet'!F38*0.0114</f>
        <v>5.8718122025916329E-2</v>
      </c>
      <c r="G45" s="2">
        <f>G12/'Output-Calculation-sheet'!G11*'Output-Calculation-sheet'!G38*0.0114</f>
        <v>4.2141099379395301E-2</v>
      </c>
      <c r="H45" s="2">
        <f>H12/'Output-Calculation-sheet'!H11*'Output-Calculation-sheet'!H38*0.0114</f>
        <v>0.12247055118253163</v>
      </c>
      <c r="I45" s="2">
        <f>I12/'Output-Calculation-sheet'!I11*'Output-Calculation-sheet'!I38*0.0114</f>
        <v>3.7903314789653413E-2</v>
      </c>
      <c r="J45" s="2">
        <f>J12/'Output-Calculation-sheet'!J11*'Output-Calculation-sheet'!J38*0.0114</f>
        <v>1.8755863014237383E-2</v>
      </c>
      <c r="K45" s="2">
        <f>K12/'Output-Calculation-sheet'!K11*'Output-Calculation-sheet'!K38*0.0114</f>
        <v>3.7252925104865629E-2</v>
      </c>
      <c r="L45" s="2">
        <f>L12/'Output-Calculation-sheet'!L11*'Output-Calculation-sheet'!L38*0.0114</f>
        <v>1.4810905547660548E-2</v>
      </c>
      <c r="M45" s="2">
        <f>M12/'Output-Calculation-sheet'!M11*'Output-Calculation-sheet'!M38*0.0114</f>
        <v>7.022638165767256E-2</v>
      </c>
      <c r="N45" s="2">
        <f>N12/'Output-Calculation-sheet'!N11*'Output-Calculation-sheet'!N38*0.0114</f>
        <v>4.1412686526301978E-2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5.1010730893316036E-2</v>
      </c>
      <c r="Q45" s="2">
        <f>Q12/'Output-Calculation-sheet'!Q11*'Output-Calculation-sheet'!Q38*0.0114</f>
        <v>3.6283853933434661E-2</v>
      </c>
      <c r="R45" s="2">
        <f>R12/'Output-Calculation-sheet'!R11*'Output-Calculation-sheet'!R38*0.0114</f>
        <v>2.3988186512050275E-2</v>
      </c>
      <c r="S45" s="2">
        <f>S12/'Output-Calculation-sheet'!S11*'Output-Calculation-sheet'!S38*0.0114</f>
        <v>3.1652242070912037E-2</v>
      </c>
      <c r="T45" s="2">
        <f>T12/'Output-Calculation-sheet'!T11*'Output-Calculation-sheet'!T38*0.0114</f>
        <v>4.4373626768831305E-3</v>
      </c>
      <c r="U45" s="2">
        <f>U12/'Output-Calculation-sheet'!U11*'Output-Calculation-sheet'!U38*0.0114</f>
        <v>1.1576731048657043E-2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5.1532577016882627E-3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7.434488185872952E-3</v>
      </c>
      <c r="AA45" s="2">
        <f t="shared" si="2"/>
        <v>1.7684590214907361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2931.2584481601657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6751.7933038185947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4617.7111884778615</v>
      </c>
      <c r="N52" s="2">
        <f>N8/'Output-Calculation-sheet'!N7*'Output-Calculation-sheet'!N43</f>
        <v>145.86592208263949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31.222838485811916</v>
      </c>
      <c r="Y52" s="2">
        <f>Y8/'Output-Calculation-sheet'!Y7*'Output-Calculation-sheet'!Y43</f>
        <v>0</v>
      </c>
      <c r="AA52" s="2">
        <f t="shared" si="3"/>
        <v>14.477851701025072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506.17240155828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13125.963050234346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8985.5483348669513</v>
      </c>
      <c r="N53" s="2">
        <f>N9/'Output-Calculation-sheet'!N8*'Output-Calculation-sheet'!N44</f>
        <v>3188.643512431026</v>
      </c>
      <c r="O53" s="2">
        <f>O9/'Output-Calculation-sheet'!O8*'Output-Calculation-sheet'!O44</f>
        <v>176.81431813045688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993.78301930281668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274.36772426562698</v>
      </c>
      <c r="Y53" s="2">
        <f>Y9/'Output-Calculation-sheet'!Y8*'Output-Calculation-sheet'!Y44</f>
        <v>0</v>
      </c>
      <c r="AA53" s="2">
        <f t="shared" si="3"/>
        <v>27.392635774857119</v>
      </c>
    </row>
    <row r="54" spans="1:27" x14ac:dyDescent="0.25">
      <c r="A54" s="2">
        <v>2033</v>
      </c>
      <c r="B54" s="2">
        <f>B10/'Output-Calculation-sheet'!B9*'Output-Calculation-sheet'!B45</f>
        <v>28044.809209538806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14009.740780674176</v>
      </c>
      <c r="N54" s="2">
        <f>N10/'Output-Calculation-sheet'!N9*'Output-Calculation-sheet'!N45</f>
        <v>7840.8078376741023</v>
      </c>
      <c r="O54" s="2">
        <f>O10/'Output-Calculation-sheet'!O9*'Output-Calculation-sheet'!O45</f>
        <v>1044.1113566167862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815.32963090770795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85.638630152226568</v>
      </c>
    </row>
    <row r="55" spans="1:27" x14ac:dyDescent="0.25">
      <c r="A55" s="2">
        <v>2034</v>
      </c>
      <c r="B55" s="2">
        <f>B11/'Output-Calculation-sheet'!B10*'Output-Calculation-sheet'!B46</f>
        <v>82299.971605873434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292.0140705598094</v>
      </c>
      <c r="G55" s="2">
        <f>G11/'Output-Calculation-sheet'!G10*'Output-Calculation-sheet'!G46</f>
        <v>3291.5451933225045</v>
      </c>
      <c r="H55" s="2">
        <f>H11/'Output-Calculation-sheet'!H10*'Output-Calculation-sheet'!H46</f>
        <v>25466.403163162176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17931.893973969669</v>
      </c>
      <c r="N55" s="2">
        <f>N11/'Output-Calculation-sheet'!N10*'Output-Calculation-sheet'!N46</f>
        <v>13582.416976391212</v>
      </c>
      <c r="O55" s="2">
        <f>O11/'Output-Calculation-sheet'!O10*'Output-Calculation-sheet'!O46</f>
        <v>521.12122963893501</v>
      </c>
      <c r="P55" s="2">
        <f>P11/'Output-Calculation-sheet'!P10*'Output-Calculation-sheet'!P46</f>
        <v>5026.7814839048497</v>
      </c>
      <c r="Q55" s="2">
        <f>Q11/'Output-Calculation-sheet'!Q10*'Output-Calculation-sheet'!Q46</f>
        <v>3922.2794828446258</v>
      </c>
      <c r="R55" s="2">
        <f>R11/'Output-Calculation-sheet'!R10*'Output-Calculation-sheet'!R46</f>
        <v>4074.1383792952975</v>
      </c>
      <c r="S55" s="2">
        <f>S11/'Output-Calculation-sheet'!S10*'Output-Calculation-sheet'!S46</f>
        <v>6363.9168277942299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1203.3849992967021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203.35446267381542</v>
      </c>
    </row>
    <row r="56" spans="1:27" x14ac:dyDescent="0.25">
      <c r="A56" s="2">
        <v>2035</v>
      </c>
      <c r="B56" s="2">
        <f>B12/'Output-Calculation-sheet'!B11*'Output-Calculation-sheet'!B47</f>
        <v>90760.732233191506</v>
      </c>
      <c r="C56" s="2">
        <f>C12/'Output-Calculation-sheet'!C11*'Output-Calculation-sheet'!C47</f>
        <v>28285.734850255063</v>
      </c>
      <c r="D56" s="2">
        <f>D12/'Output-Calculation-sheet'!D11*'Output-Calculation-sheet'!D47</f>
        <v>9305.2921558230992</v>
      </c>
      <c r="E56" s="2">
        <f>E12/'Output-Calculation-sheet'!E11*'Output-Calculation-sheet'!E47</f>
        <v>23536.990278345053</v>
      </c>
      <c r="F56" s="2">
        <f>F12/'Output-Calculation-sheet'!F11*'Output-Calculation-sheet'!F47</f>
        <v>1352.0620203335995</v>
      </c>
      <c r="G56" s="2">
        <f>G12/'Output-Calculation-sheet'!G11*'Output-Calculation-sheet'!G47</f>
        <v>3443.3714098163791</v>
      </c>
      <c r="H56" s="2">
        <f>H12/'Output-Calculation-sheet'!H11*'Output-Calculation-sheet'!H47</f>
        <v>26845.043477773343</v>
      </c>
      <c r="I56" s="2">
        <f>I12/'Output-Calculation-sheet'!I11*'Output-Calculation-sheet'!I47</f>
        <v>2194.4024351904609</v>
      </c>
      <c r="J56" s="2">
        <f>J12/'Output-Calculation-sheet'!J11*'Output-Calculation-sheet'!J47</f>
        <v>3619.5525115194946</v>
      </c>
      <c r="K56" s="2">
        <f>K12/'Output-Calculation-sheet'!K11*'Output-Calculation-sheet'!K47</f>
        <v>4949.0837781858763</v>
      </c>
      <c r="L56" s="2">
        <f>L12/'Output-Calculation-sheet'!L11*'Output-Calculation-sheet'!L47</f>
        <v>5299.445941132225</v>
      </c>
      <c r="M56" s="2">
        <f>M12/'Output-Calculation-sheet'!M11*'Output-Calculation-sheet'!M47</f>
        <v>18921.697710500615</v>
      </c>
      <c r="N56" s="2">
        <f>N12/'Output-Calculation-sheet'!N11*'Output-Calculation-sheet'!N47</f>
        <v>15313.006836596924</v>
      </c>
      <c r="O56" s="2">
        <f>O12/'Output-Calculation-sheet'!O11*'Output-Calculation-sheet'!O47</f>
        <v>68.929278502077437</v>
      </c>
      <c r="P56" s="2">
        <f>P12/'Output-Calculation-sheet'!P11*'Output-Calculation-sheet'!P47</f>
        <v>6564.2756333767211</v>
      </c>
      <c r="Q56" s="2">
        <f>Q12/'Output-Calculation-sheet'!Q11*'Output-Calculation-sheet'!Q47</f>
        <v>4617.1734595996386</v>
      </c>
      <c r="R56" s="2">
        <f>R12/'Output-Calculation-sheet'!R11*'Output-Calculation-sheet'!R47</f>
        <v>5395.2377383242892</v>
      </c>
      <c r="S56" s="2">
        <f>S12/'Output-Calculation-sheet'!S11*'Output-Calculation-sheet'!S47</f>
        <v>7120.3662097240285</v>
      </c>
      <c r="T56" s="2">
        <f>T12/'Output-Calculation-sheet'!T11*'Output-Calculation-sheet'!T47</f>
        <v>1822.8218785827808</v>
      </c>
      <c r="U56" s="2">
        <f>U12/'Output-Calculation-sheet'!U11*'Output-Calculation-sheet'!U47</f>
        <v>1272.4249126287086</v>
      </c>
      <c r="V56" s="2">
        <f>V12/'Output-Calculation-sheet'!V11*'Output-Calculation-sheet'!V47</f>
        <v>1257.3033351058134</v>
      </c>
      <c r="W56" s="2">
        <f>W12/'Output-Calculation-sheet'!W11*'Output-Calculation-sheet'!W47</f>
        <v>445.03352695720122</v>
      </c>
      <c r="X56" s="2">
        <f>X12/'Output-Calculation-sheet'!X11*'Output-Calculation-sheet'!X47</f>
        <v>149.34908842550263</v>
      </c>
      <c r="Y56" s="2">
        <f>Y12/'Output-Calculation-sheet'!Y11*'Output-Calculation-sheet'!Y47</f>
        <v>592.67218099309991</v>
      </c>
      <c r="AA56" s="2">
        <f t="shared" si="3"/>
        <v>263.13200288088353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7.2238935038888537</v>
      </c>
      <c r="C63" s="2">
        <f>C8*'Output-Calculation-sheet'!C52/10^9</f>
        <v>4.3694828134020867</v>
      </c>
      <c r="D63" s="2">
        <f>D8*'Output-Calculation-sheet'!D52/10^9</f>
        <v>2.477227892101554</v>
      </c>
      <c r="E63" s="2">
        <f>E8*'Output-Calculation-sheet'!E52/10^9</f>
        <v>2.4630290120777079</v>
      </c>
      <c r="F63" s="2">
        <f>F8*'Output-Calculation-sheet'!F52/10^9</f>
        <v>1.0430925829973448</v>
      </c>
      <c r="G63" s="2">
        <f>G8*'Output-Calculation-sheet'!G52/10^9</f>
        <v>0.74993644427615436</v>
      </c>
      <c r="H63" s="2">
        <f>H8*'Output-Calculation-sheet'!H52/10^9</f>
        <v>1.3099113582695407</v>
      </c>
      <c r="I63" s="2">
        <f>I8*'Output-Calculation-sheet'!I52/10^9</f>
        <v>0.69761500027531032</v>
      </c>
      <c r="J63" s="2">
        <f>J8*'Output-Calculation-sheet'!J52/10^9</f>
        <v>0.95996552607106311</v>
      </c>
      <c r="K63" s="2">
        <f>K8*'Output-Calculation-sheet'!K52/10^9</f>
        <v>0.84341509595898412</v>
      </c>
      <c r="L63" s="2">
        <f>L8*'Output-Calculation-sheet'!L52/10^9</f>
        <v>1.1344338843065531</v>
      </c>
      <c r="M63" s="2">
        <f>M8*'Output-Calculation-sheet'!M52/10^9</f>
        <v>1.0632685892453682</v>
      </c>
      <c r="N63" s="2">
        <f>N8*'Output-Calculation-sheet'!N52/10^9</f>
        <v>0.88743911519685836</v>
      </c>
      <c r="O63" s="2">
        <f>O8*'Output-Calculation-sheet'!O52/10^9</f>
        <v>0.89183770003317087</v>
      </c>
      <c r="P63" s="2">
        <f>P8*'Output-Calculation-sheet'!P52/10^9</f>
        <v>0.58277708018994745</v>
      </c>
      <c r="Q63" s="2">
        <f>Q8*'Output-Calculation-sheet'!Q52/10^9</f>
        <v>0.65953287433777397</v>
      </c>
      <c r="R63" s="2">
        <f>R8*'Output-Calculation-sheet'!R52/10^9</f>
        <v>0.5921296037098982</v>
      </c>
      <c r="S63" s="2">
        <f>S8*'Output-Calculation-sheet'!S52/10^9</f>
        <v>0.43878901654271119</v>
      </c>
      <c r="T63" s="2">
        <f>T8*'Output-Calculation-sheet'!T52/10^9</f>
        <v>0.22511921678347335</v>
      </c>
      <c r="U63" s="2">
        <f>U8*'Output-Calculation-sheet'!U52/10^9</f>
        <v>0.15460946578524593</v>
      </c>
      <c r="V63" s="2">
        <f>V8*'Output-Calculation-sheet'!V52/10^9</f>
        <v>0.27439526468731246</v>
      </c>
      <c r="W63" s="2">
        <f>W8*'Output-Calculation-sheet'!W52/10^9</f>
        <v>9.9318230268659879E-2</v>
      </c>
      <c r="X63" s="2">
        <f>X8*'Output-Calculation-sheet'!X52/10^9</f>
        <v>0.11305995428133953</v>
      </c>
      <c r="Y63" s="2">
        <f>Y8*'Output-Calculation-sheet'!Y52/10^9</f>
        <v>6.480238245961327E-2</v>
      </c>
      <c r="AA63" s="2">
        <f t="shared" si="4"/>
        <v>29.319081607146533</v>
      </c>
    </row>
    <row r="64" spans="1:27" x14ac:dyDescent="0.25">
      <c r="A64" s="2">
        <v>2032</v>
      </c>
      <c r="B64" s="2">
        <f>B9*'Output-Calculation-sheet'!B53/10^9</f>
        <v>7.5651889418333909</v>
      </c>
      <c r="C64" s="2">
        <f>C9*'Output-Calculation-sheet'!C53/10^9</f>
        <v>4.8265882180750692</v>
      </c>
      <c r="D64" s="2">
        <f>D9*'Output-Calculation-sheet'!D53/10^9</f>
        <v>2.2388548787508595</v>
      </c>
      <c r="E64" s="2">
        <f>E9*'Output-Calculation-sheet'!E53/10^9</f>
        <v>2.2926859007549161</v>
      </c>
      <c r="F64" s="2">
        <f>F9*'Output-Calculation-sheet'!F53/10^9</f>
        <v>0.96704053661744971</v>
      </c>
      <c r="G64" s="2">
        <f>G9*'Output-Calculation-sheet'!G53/10^9</f>
        <v>0.68830987112958542</v>
      </c>
      <c r="H64" s="2">
        <f>H9*'Output-Calculation-sheet'!H53/10^9</f>
        <v>1.4142768243191548</v>
      </c>
      <c r="I64" s="2">
        <f>I9*'Output-Calculation-sheet'!I53/10^9</f>
        <v>0.64345723464998417</v>
      </c>
      <c r="J64" s="2">
        <f>J9*'Output-Calculation-sheet'!J53/10^9</f>
        <v>0.8518066377974427</v>
      </c>
      <c r="K64" s="2">
        <f>K9*'Output-Calculation-sheet'!K53/10^9</f>
        <v>0.79036066859221576</v>
      </c>
      <c r="L64" s="2">
        <f>L9*'Output-Calculation-sheet'!L53/10^9</f>
        <v>1.0167966378121669</v>
      </c>
      <c r="M64" s="2">
        <f>M9*'Output-Calculation-sheet'!M53/10^9</f>
        <v>1.1083766418172254</v>
      </c>
      <c r="N64" s="2">
        <f>N9*'Output-Calculation-sheet'!N53/10^9</f>
        <v>0.93312874326581818</v>
      </c>
      <c r="O64" s="2">
        <f>O9*'Output-Calculation-sheet'!O53/10^9</f>
        <v>0.97520014069803584</v>
      </c>
      <c r="P64" s="2">
        <f>P9*'Output-Calculation-sheet'!P53/10^9</f>
        <v>0.60259625510540049</v>
      </c>
      <c r="Q64" s="2">
        <f>Q9*'Output-Calculation-sheet'!Q53/10^9</f>
        <v>0.66595960999309556</v>
      </c>
      <c r="R64" s="2">
        <f>R9*'Output-Calculation-sheet'!R53/10^9</f>
        <v>0.57088465332155203</v>
      </c>
      <c r="S64" s="2">
        <f>S9*'Output-Calculation-sheet'!S53/10^9</f>
        <v>0.47167830610286532</v>
      </c>
      <c r="T64" s="2">
        <f>T9*'Output-Calculation-sheet'!T53/10^9</f>
        <v>0.20521735786174886</v>
      </c>
      <c r="U64" s="2">
        <f>U9*'Output-Calculation-sheet'!U53/10^9</f>
        <v>0.15446282657034602</v>
      </c>
      <c r="V64" s="2">
        <f>V9*'Output-Calculation-sheet'!V53/10^9</f>
        <v>0.24357912655837513</v>
      </c>
      <c r="W64" s="2">
        <f>W9*'Output-Calculation-sheet'!W53/10^9</f>
        <v>9.0509456589758577E-2</v>
      </c>
      <c r="X64" s="2">
        <f>X9*'Output-Calculation-sheet'!X53/10^9</f>
        <v>0.12151622228222299</v>
      </c>
      <c r="Y64" s="2">
        <f>Y9*'Output-Calculation-sheet'!Y53/10^9</f>
        <v>6.3413912037321371E-2</v>
      </c>
      <c r="AA64" s="2">
        <f t="shared" si="4"/>
        <v>29.501889602536004</v>
      </c>
    </row>
    <row r="65" spans="1:27" x14ac:dyDescent="0.25">
      <c r="A65" s="2">
        <v>2033</v>
      </c>
      <c r="B65" s="2">
        <f>B10*'Output-Calculation-sheet'!B54/10^9</f>
        <v>8.0843827256187559</v>
      </c>
      <c r="C65" s="2">
        <f>C10*'Output-Calculation-sheet'!C54/10^9</f>
        <v>5.2482463257597987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1.4813603226281007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0.74432192415157061</v>
      </c>
      <c r="L65" s="2">
        <f>L10*'Output-Calculation-sheet'!L54/10^9</f>
        <v>0.87914605660413192</v>
      </c>
      <c r="M65" s="2">
        <f>M10*'Output-Calculation-sheet'!M54/10^9</f>
        <v>1.1185048491478224</v>
      </c>
      <c r="N65" s="2">
        <f>N10*'Output-Calculation-sheet'!N54/10^9</f>
        <v>0.96583898384194722</v>
      </c>
      <c r="O65" s="2">
        <f>O10*'Output-Calculation-sheet'!O54/10^9</f>
        <v>1.0490934236037848</v>
      </c>
      <c r="P65" s="2">
        <f>P10*'Output-Calculation-sheet'!P54/10^9</f>
        <v>0.62974414733081363</v>
      </c>
      <c r="Q65" s="2">
        <f>Q10*'Output-Calculation-sheet'!Q54/10^9</f>
        <v>0.68724106872668644</v>
      </c>
      <c r="R65" s="2">
        <f>R10*'Output-Calculation-sheet'!R54/10^9</f>
        <v>0.55441790942880187</v>
      </c>
      <c r="S65" s="2">
        <f>S10*'Output-Calculation-sheet'!S54/10^9</f>
        <v>0.50359640766718961</v>
      </c>
      <c r="T65" s="2">
        <f>T10*'Output-Calculation-sheet'!T54/10^9</f>
        <v>0.1853662009609108</v>
      </c>
      <c r="U65" s="2">
        <f>U10*'Output-Calculation-sheet'!U54/10^9</f>
        <v>0.16005935182878778</v>
      </c>
      <c r="V65" s="2">
        <f>V10*'Output-Calculation-sheet'!V54/10^9</f>
        <v>0.20514348739182167</v>
      </c>
      <c r="W65" s="2">
        <f>W10*'Output-Calculation-sheet'!W54/10^9</f>
        <v>7.8102843509243139E-2</v>
      </c>
      <c r="X65" s="2">
        <f>X10*'Output-Calculation-sheet'!X54/10^9</f>
        <v>0.12770941720115001</v>
      </c>
      <c r="Y65" s="2">
        <f>Y10*'Output-Calculation-sheet'!Y54/10^9</f>
        <v>6.4288627046462779E-2</v>
      </c>
      <c r="AA65" s="2">
        <f t="shared" si="4"/>
        <v>29.580648968290042</v>
      </c>
    </row>
    <row r="66" spans="1:27" x14ac:dyDescent="0.25">
      <c r="A66" s="2">
        <v>2034</v>
      </c>
      <c r="B66" s="2">
        <f>B11*'Output-Calculation-sheet'!B55/10^9</f>
        <v>8.78833601222148</v>
      </c>
      <c r="C66" s="2">
        <f>C11*'Output-Calculation-sheet'!C55/10^9</f>
        <v>5.6460888836518919</v>
      </c>
      <c r="D66" s="2">
        <f>D11*'Output-Calculation-sheet'!D55/10^9</f>
        <v>1.8387837783812691</v>
      </c>
      <c r="E66" s="2">
        <f>E11*'Output-Calculation-sheet'!E55/10^9</f>
        <v>2.2266330782411075</v>
      </c>
      <c r="F66" s="2">
        <f>F11*'Output-Calculation-sheet'!F55/10^9</f>
        <v>0.85573123937598194</v>
      </c>
      <c r="G66" s="2">
        <f>G11*'Output-Calculation-sheet'!G55/10^9</f>
        <v>0.61169766345921783</v>
      </c>
      <c r="H66" s="2">
        <f>H11*'Output-Calculation-sheet'!H55/10^9</f>
        <v>1.5627981275183749</v>
      </c>
      <c r="I66" s="2">
        <f>I11*'Output-Calculation-sheet'!I55/10^9</f>
        <v>0.59814137811772983</v>
      </c>
      <c r="J66" s="2">
        <f>J11*'Output-Calculation-sheet'!J55/10^9</f>
        <v>0.6150725283283216</v>
      </c>
      <c r="K66" s="2">
        <f>K11*'Output-Calculation-sheet'!K55/10^9</f>
        <v>0.73567607714624461</v>
      </c>
      <c r="L66" s="2">
        <f>L11*'Output-Calculation-sheet'!L55/10^9</f>
        <v>0.77913176245077298</v>
      </c>
      <c r="M66" s="2">
        <f>M11*'Output-Calculation-sheet'!M55/10^9</f>
        <v>1.1328917974716308</v>
      </c>
      <c r="N66" s="2">
        <f>N11*'Output-Calculation-sheet'!N55/10^9</f>
        <v>0.98984070473147767</v>
      </c>
      <c r="O66" s="2">
        <f>O11*'Output-Calculation-sheet'!O55/10^9</f>
        <v>1.1140059417953292</v>
      </c>
      <c r="P66" s="2">
        <f>P11*'Output-Calculation-sheet'!P55/10^9</f>
        <v>0.68047812020109222</v>
      </c>
      <c r="Q66" s="2">
        <f>Q11*'Output-Calculation-sheet'!Q55/10^9</f>
        <v>0.74039702681116759</v>
      </c>
      <c r="R66" s="2">
        <f>R11*'Output-Calculation-sheet'!R55/10^9</f>
        <v>0.55114264658892409</v>
      </c>
      <c r="S66" s="2">
        <f>S11*'Output-Calculation-sheet'!S55/10^9</f>
        <v>0.54184743137904567</v>
      </c>
      <c r="T66" s="2">
        <f>T11*'Output-Calculation-sheet'!T55/10^9</f>
        <v>0.17274036498092105</v>
      </c>
      <c r="U66" s="2">
        <f>U11*'Output-Calculation-sheet'!U55/10^9</f>
        <v>0.17543935249248918</v>
      </c>
      <c r="V66" s="2">
        <f>V11*'Output-Calculation-sheet'!V55/10^9</f>
        <v>0.16386860579383852</v>
      </c>
      <c r="W66" s="2">
        <f>W11*'Output-Calculation-sheet'!W55/10^9</f>
        <v>7.4199372441818845E-2</v>
      </c>
      <c r="X66" s="2">
        <f>X11*'Output-Calculation-sheet'!X55/10^9</f>
        <v>0.13240759453119691</v>
      </c>
      <c r="Y66" s="2">
        <f>Y11*'Output-Calculation-sheet'!Y55/10^9</f>
        <v>7.2809607469034393E-2</v>
      </c>
      <c r="AA66" s="2">
        <f t="shared" si="4"/>
        <v>30.800159095580359</v>
      </c>
    </row>
    <row r="67" spans="1:27" x14ac:dyDescent="0.25">
      <c r="A67" s="2">
        <v>2035</v>
      </c>
      <c r="B67" s="2">
        <f>B12*'Output-Calculation-sheet'!B56/10^9</f>
        <v>9.5790857837653327</v>
      </c>
      <c r="C67" s="2">
        <f>C12*'Output-Calculation-sheet'!C56/10^9</f>
        <v>6.0161578617343672</v>
      </c>
      <c r="D67" s="2">
        <f>D12*'Output-Calculation-sheet'!D56/10^9</f>
        <v>1.993065909250423</v>
      </c>
      <c r="E67" s="2">
        <f>E12*'Output-Calculation-sheet'!E56/10^9</f>
        <v>2.7059387297257436</v>
      </c>
      <c r="F67" s="2">
        <f>F12*'Output-Calculation-sheet'!F56/10^9</f>
        <v>0.98835433886332424</v>
      </c>
      <c r="G67" s="2">
        <f>G12*'Output-Calculation-sheet'!G56/10^9</f>
        <v>0.69235188217243138</v>
      </c>
      <c r="H67" s="2">
        <f>H12*'Output-Calculation-sheet'!H56/10^9</f>
        <v>1.6724499319625912</v>
      </c>
      <c r="I67" s="2">
        <f>I12*'Output-Calculation-sheet'!I56/10^9</f>
        <v>0.67256062731279798</v>
      </c>
      <c r="J67" s="2">
        <f>J12*'Output-Calculation-sheet'!J56/10^9</f>
        <v>0.66582436120106414</v>
      </c>
      <c r="K67" s="2">
        <f>K12*'Output-Calculation-sheet'!K56/10^9</f>
        <v>0.80232555717793286</v>
      </c>
      <c r="L67" s="2">
        <f>L12*'Output-Calculation-sheet'!L56/10^9</f>
        <v>0.80599647282652731</v>
      </c>
      <c r="M67" s="2">
        <f>M12*'Output-Calculation-sheet'!M56/10^9</f>
        <v>1.223419369407839</v>
      </c>
      <c r="N67" s="2">
        <f>N12*'Output-Calculation-sheet'!N56/10^9</f>
        <v>1.0508127698946059</v>
      </c>
      <c r="O67" s="2">
        <f>O12*'Output-Calculation-sheet'!O56/10^9</f>
        <v>1.1787720484921038</v>
      </c>
      <c r="P67" s="2">
        <f>P12*'Output-Calculation-sheet'!P56/10^9</f>
        <v>0.77710859628988893</v>
      </c>
      <c r="Q67" s="2">
        <f>Q12*'Output-Calculation-sheet'!Q56/10^9</f>
        <v>0.79987090199652944</v>
      </c>
      <c r="R67" s="2">
        <f>R12*'Output-Calculation-sheet'!R56/10^9</f>
        <v>0.60861527803437887</v>
      </c>
      <c r="S67" s="2">
        <f>S12*'Output-Calculation-sheet'!S56/10^9</f>
        <v>0.57994234092885877</v>
      </c>
      <c r="T67" s="2">
        <f>T12*'Output-Calculation-sheet'!T56/10^9</f>
        <v>0.18443526912267771</v>
      </c>
      <c r="U67" s="2">
        <f>U12*'Output-Calculation-sheet'!U56/10^9</f>
        <v>0.19286123284235945</v>
      </c>
      <c r="V67" s="2">
        <f>V12*'Output-Calculation-sheet'!V56/10^9</f>
        <v>0.14794193051299384</v>
      </c>
      <c r="W67" s="2">
        <f>W12*'Output-Calculation-sheet'!W56/10^9</f>
        <v>8.9322668685889173E-2</v>
      </c>
      <c r="X67" s="2">
        <f>X12*'Output-Calculation-sheet'!X56/10^9</f>
        <v>0.14140268235330936</v>
      </c>
      <c r="Y67" s="2">
        <f>Y12*'Output-Calculation-sheet'!Y56/10^9</f>
        <v>8.631635987813549E-2</v>
      </c>
      <c r="AA67" s="2">
        <f t="shared" si="4"/>
        <v>33.654932904432108</v>
      </c>
    </row>
    <row r="68" spans="1:27" x14ac:dyDescent="0.25">
      <c r="B68" s="2">
        <f>SUM(B60:B67)</f>
        <v>41.24088696732781</v>
      </c>
      <c r="C68" s="2">
        <f t="shared" ref="C68:Y68" si="5">SUM(C60:C67)</f>
        <v>26.106564102623214</v>
      </c>
      <c r="D68" s="2">
        <f t="shared" si="5"/>
        <v>10.457781494370423</v>
      </c>
      <c r="E68" s="2">
        <f t="shared" si="5"/>
        <v>11.838744183460022</v>
      </c>
      <c r="F68" s="2">
        <f t="shared" si="5"/>
        <v>4.7272667205066536</v>
      </c>
      <c r="G68" s="2">
        <f t="shared" si="5"/>
        <v>3.3417228008118198</v>
      </c>
      <c r="H68" s="2">
        <f t="shared" si="5"/>
        <v>7.440796564697763</v>
      </c>
      <c r="I68" s="2">
        <f t="shared" si="5"/>
        <v>3.1954526362958915</v>
      </c>
      <c r="J68" s="2">
        <f t="shared" si="5"/>
        <v>3.7902940923262278</v>
      </c>
      <c r="K68" s="2">
        <f t="shared" si="5"/>
        <v>3.9160993230269483</v>
      </c>
      <c r="L68" s="2">
        <f t="shared" si="5"/>
        <v>4.6155048140001522</v>
      </c>
      <c r="M68" s="2">
        <f t="shared" si="5"/>
        <v>5.6464612470898867</v>
      </c>
      <c r="N68" s="2">
        <f t="shared" si="5"/>
        <v>4.8270603169307069</v>
      </c>
      <c r="O68" s="2">
        <f t="shared" si="5"/>
        <v>5.2089092546224247</v>
      </c>
      <c r="P68" s="2">
        <f t="shared" si="5"/>
        <v>3.2727041991171424</v>
      </c>
      <c r="Q68" s="2">
        <f t="shared" si="5"/>
        <v>3.5530014818652531</v>
      </c>
      <c r="R68" s="2">
        <f t="shared" si="5"/>
        <v>2.8771900910835555</v>
      </c>
      <c r="S68" s="2">
        <f t="shared" si="5"/>
        <v>2.5358535026206708</v>
      </c>
      <c r="T68" s="2">
        <f t="shared" si="5"/>
        <v>0.97287840970973183</v>
      </c>
      <c r="U68" s="2">
        <f t="shared" si="5"/>
        <v>0.83743222951922835</v>
      </c>
      <c r="V68" s="2">
        <f t="shared" si="5"/>
        <v>1.0349284149443416</v>
      </c>
      <c r="W68" s="2">
        <f t="shared" si="5"/>
        <v>0.43145257149536959</v>
      </c>
      <c r="X68" s="2">
        <f t="shared" si="5"/>
        <v>0.63609587064921869</v>
      </c>
      <c r="Y68" s="2">
        <f t="shared" si="5"/>
        <v>0.35163088889056726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785.98524561559429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1433.4018961157601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966.63930991659606</v>
      </c>
      <c r="N74" s="2">
        <f>N8/'Output-Calculation-sheet'!N7*'Output-Calculation-sheet'!N61</f>
        <v>43.410806254239702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8.5777277928579387</v>
      </c>
      <c r="Y74" s="2">
        <f>Y8/'Output-Calculation-sheet'!Y7*'Output-Calculation-sheet'!Y61</f>
        <v>0</v>
      </c>
      <c r="AA74" s="2">
        <f t="shared" si="6"/>
        <v>3.238014985695048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139.05626620116942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2503.7613458964875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1697.2387405231568</v>
      </c>
      <c r="N75" s="2">
        <f>N9/'Output-Calculation-sheet'!N8*'Output-Calculation-sheet'!N62</f>
        <v>654.10355720638256</v>
      </c>
      <c r="O75" s="2">
        <f>O9/'Output-Calculation-sheet'!O8*'Output-Calculation-sheet'!O62</f>
        <v>48.575715399112795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219.42450272606388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59.900717034218296</v>
      </c>
      <c r="Y75" s="2">
        <f>Y9/'Output-Calculation-sheet'!Y8*'Output-Calculation-sheet'!Y62</f>
        <v>0</v>
      </c>
      <c r="AA75" s="2">
        <f t="shared" si="6"/>
        <v>5.3738346567448279</v>
      </c>
    </row>
    <row r="76" spans="1:27" x14ac:dyDescent="0.25">
      <c r="A76" s="2">
        <v>2033</v>
      </c>
      <c r="B76" s="2">
        <f>B10/'Output-Calculation-sheet'!B9*'Output-Calculation-sheet'!B63</f>
        <v>5633.0301483189323</v>
      </c>
      <c r="C76" s="2">
        <f>C10/'Output-Calculation-sheet'!C9*'Output-Calculation-sheet'!C63</f>
        <v>1161.0854578528504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3693.7040871653594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2509.4501059886438</v>
      </c>
      <c r="N76" s="2">
        <f>N10/'Output-Calculation-sheet'!N9*'Output-Calculation-sheet'!N63</f>
        <v>1435.2215631321235</v>
      </c>
      <c r="O76" s="2">
        <f>O10/'Output-Calculation-sheet'!O9*'Output-Calculation-sheet'!O63</f>
        <v>238.15794088869055</v>
      </c>
      <c r="P76" s="2">
        <f>P10/'Output-Calculation-sheet'!P9*'Output-Calculation-sheet'!P63</f>
        <v>495.61063325517267</v>
      </c>
      <c r="Q76" s="2">
        <f>Q10/'Output-Calculation-sheet'!Q9*'Output-Calculation-sheet'!Q63</f>
        <v>223.9915520513585</v>
      </c>
      <c r="R76" s="2">
        <f>R10/'Output-Calculation-sheet'!R9*'Output-Calculation-sheet'!R63</f>
        <v>377.15167376078347</v>
      </c>
      <c r="S76" s="2">
        <f>S10/'Output-Calculation-sheet'!S9*'Output-Calculation-sheet'!S63</f>
        <v>639.9089788078536</v>
      </c>
      <c r="T76" s="2">
        <f>T10/'Output-Calculation-sheet'!T9*'Output-Calculation-sheet'!T63</f>
        <v>24.785800880629413</v>
      </c>
      <c r="U76" s="2">
        <f>U10/'Output-Calculation-sheet'!U9*'Output-Calculation-sheet'!U63</f>
        <v>133.99114788533788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144.08279282190054</v>
      </c>
      <c r="Y76" s="2">
        <f>Y10/'Output-Calculation-sheet'!Y9*'Output-Calculation-sheet'!Y63</f>
        <v>6.3555253726799821</v>
      </c>
      <c r="AA76" s="2">
        <f t="shared" si="6"/>
        <v>16.820571728030931</v>
      </c>
    </row>
    <row r="77" spans="1:27" x14ac:dyDescent="0.25">
      <c r="A77" s="2">
        <v>2034</v>
      </c>
      <c r="B77" s="2">
        <f>B11/'Output-Calculation-sheet'!B10*'Output-Calculation-sheet'!B64</f>
        <v>13955.788814543361</v>
      </c>
      <c r="C77" s="2">
        <f>C11/'Output-Calculation-sheet'!C10*'Output-Calculation-sheet'!C64</f>
        <v>2095.9128575524251</v>
      </c>
      <c r="D77" s="2">
        <f>D11/'Output-Calculation-sheet'!D10*'Output-Calculation-sheet'!D64</f>
        <v>1793.123110407081</v>
      </c>
      <c r="E77" s="2">
        <f>E11/'Output-Calculation-sheet'!E10*'Output-Calculation-sheet'!E64</f>
        <v>2211.1431017566674</v>
      </c>
      <c r="F77" s="2">
        <f>F11/'Output-Calculation-sheet'!F10*'Output-Calculation-sheet'!F64</f>
        <v>142.38017144555681</v>
      </c>
      <c r="G77" s="2">
        <f>G11/'Output-Calculation-sheet'!G10*'Output-Calculation-sheet'!G64</f>
        <v>893.36305357213496</v>
      </c>
      <c r="H77" s="2">
        <f>H11/'Output-Calculation-sheet'!H10*'Output-Calculation-sheet'!H64</f>
        <v>4760.8064773681008</v>
      </c>
      <c r="I77" s="2">
        <f>I11/'Output-Calculation-sheet'!I10*'Output-Calculation-sheet'!I64</f>
        <v>555.50783366602707</v>
      </c>
      <c r="J77" s="2">
        <f>J11/'Output-Calculation-sheet'!J10*'Output-Calculation-sheet'!J64</f>
        <v>389.80164206597794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355.73666392077479</v>
      </c>
      <c r="M77" s="2">
        <f>M11/'Output-Calculation-sheet'!M10*'Output-Calculation-sheet'!M64</f>
        <v>3374.5288754200196</v>
      </c>
      <c r="N77" s="2">
        <f>N11/'Output-Calculation-sheet'!N10*'Output-Calculation-sheet'!N64</f>
        <v>2367.7226486657996</v>
      </c>
      <c r="O77" s="2">
        <f>O11/'Output-Calculation-sheet'!O10*'Output-Calculation-sheet'!O64</f>
        <v>113.09515049595886</v>
      </c>
      <c r="P77" s="2">
        <f>P11/'Output-Calculation-sheet'!P10*'Output-Calculation-sheet'!P64</f>
        <v>1039.9511271121014</v>
      </c>
      <c r="Q77" s="2">
        <f>Q11/'Output-Calculation-sheet'!Q10*'Output-Calculation-sheet'!Q64</f>
        <v>741.57870990272556</v>
      </c>
      <c r="R77" s="2">
        <f>R11/'Output-Calculation-sheet'!R10*'Output-Calculation-sheet'!R64</f>
        <v>896.81269327961775</v>
      </c>
      <c r="S77" s="2">
        <f>S11/'Output-Calculation-sheet'!S10*'Output-Calculation-sheet'!S64</f>
        <v>1110.7290212285466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263.79386120203492</v>
      </c>
      <c r="V77" s="2">
        <f>V11/'Output-Calculation-sheet'!V10*'Output-Calculation-sheet'!V64</f>
        <v>128.0079952775983</v>
      </c>
      <c r="W77" s="2">
        <f>W11/'Output-Calculation-sheet'!W10*'Output-Calculation-sheet'!W64</f>
        <v>28.095745865091299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82.018538150049309</v>
      </c>
      <c r="AA77" s="2">
        <f t="shared" si="6"/>
        <v>38.533852392102297</v>
      </c>
    </row>
    <row r="78" spans="1:27" x14ac:dyDescent="0.25">
      <c r="A78" s="2">
        <v>2035</v>
      </c>
      <c r="B78" s="2">
        <f>B12/'Output-Calculation-sheet'!B11*'Output-Calculation-sheet'!B65</f>
        <v>15730.283440239737</v>
      </c>
      <c r="C78" s="2">
        <f>C12/'Output-Calculation-sheet'!C11*'Output-Calculation-sheet'!C65</f>
        <v>5169.3620027443931</v>
      </c>
      <c r="D78" s="2">
        <f>D12/'Output-Calculation-sheet'!D11*'Output-Calculation-sheet'!D65</f>
        <v>2112.3373863957036</v>
      </c>
      <c r="E78" s="2">
        <f>E12/'Output-Calculation-sheet'!E11*'Output-Calculation-sheet'!E65</f>
        <v>3675.9390039686891</v>
      </c>
      <c r="F78" s="2">
        <f>F12/'Output-Calculation-sheet'!F11*'Output-Calculation-sheet'!F65</f>
        <v>474.65875589265727</v>
      </c>
      <c r="G78" s="2">
        <f>G12/'Output-Calculation-sheet'!G11*'Output-Calculation-sheet'!G65</f>
        <v>925.43702530984501</v>
      </c>
      <c r="H78" s="2">
        <f>H12/'Output-Calculation-sheet'!H11*'Output-Calculation-sheet'!H65</f>
        <v>5007.2245996440142</v>
      </c>
      <c r="I78" s="2">
        <f>I12/'Output-Calculation-sheet'!I11*'Output-Calculation-sheet'!I65</f>
        <v>615.28550643609617</v>
      </c>
      <c r="J78" s="2">
        <f>J12/'Output-Calculation-sheet'!J11*'Output-Calculation-sheet'!J65</f>
        <v>896.23575212620051</v>
      </c>
      <c r="K78" s="2">
        <f>K12/'Output-Calculation-sheet'!K11*'Output-Calculation-sheet'!K65</f>
        <v>1102.0281213137919</v>
      </c>
      <c r="L78" s="2">
        <f>L12/'Output-Calculation-sheet'!L11*'Output-Calculation-sheet'!L65</f>
        <v>941.3785582048223</v>
      </c>
      <c r="M78" s="2">
        <f>M12/'Output-Calculation-sheet'!M11*'Output-Calculation-sheet'!M65</f>
        <v>3656.4252680151312</v>
      </c>
      <c r="N78" s="2">
        <f>N12/'Output-Calculation-sheet'!N11*'Output-Calculation-sheet'!N65</f>
        <v>2634.1035732933778</v>
      </c>
      <c r="O78" s="2">
        <f>O12/'Output-Calculation-sheet'!O11*'Output-Calculation-sheet'!O65</f>
        <v>12.343990792732686</v>
      </c>
      <c r="P78" s="2">
        <f>P12/'Output-Calculation-sheet'!P11*'Output-Calculation-sheet'!P65</f>
        <v>1271.9335576663882</v>
      </c>
      <c r="Q78" s="2">
        <f>Q12/'Output-Calculation-sheet'!Q11*'Output-Calculation-sheet'!Q65</f>
        <v>855.99022179120323</v>
      </c>
      <c r="R78" s="2">
        <f>R12/'Output-Calculation-sheet'!R11*'Output-Calculation-sheet'!R65</f>
        <v>1184.8080952334685</v>
      </c>
      <c r="S78" s="2">
        <f>S12/'Output-Calculation-sheet'!S11*'Output-Calculation-sheet'!S65</f>
        <v>1245.1082722865372</v>
      </c>
      <c r="T78" s="2">
        <f>T12/'Output-Calculation-sheet'!T11*'Output-Calculation-sheet'!T65</f>
        <v>408.74299207300862</v>
      </c>
      <c r="U78" s="2">
        <f>U12/'Output-Calculation-sheet'!U11*'Output-Calculation-sheet'!U65</f>
        <v>279.65387902842724</v>
      </c>
      <c r="V78" s="2">
        <f>V12/'Output-Calculation-sheet'!V11*'Output-Calculation-sheet'!V65</f>
        <v>230.53493198301277</v>
      </c>
      <c r="W78" s="2">
        <f>W12/'Output-Calculation-sheet'!W11*'Output-Calculation-sheet'!W65</f>
        <v>109.01174219742394</v>
      </c>
      <c r="X78" s="2">
        <f>X12/'Output-Calculation-sheet'!X11*'Output-Calculation-sheet'!X65</f>
        <v>30.051604584586769</v>
      </c>
      <c r="Y78" s="2">
        <f>Y12/'Output-Calculation-sheet'!Y11*'Output-Calculation-sheet'!Y65</f>
        <v>102.01552516807946</v>
      </c>
      <c r="AA78" s="2">
        <f t="shared" si="6"/>
        <v>48.670893806389323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23.354134961939113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1.7611263741693444</v>
      </c>
      <c r="H88" s="2">
        <f>H11/'Output-Calculation-sheet'!H10*'Output-Calculation-sheet'!H73</f>
        <v>11.942441357415102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5.0544838696451366</v>
      </c>
      <c r="R88" s="2">
        <f>R11/'Output-Calculation-sheet'!R10*'Output-Calculation-sheet'!R73</f>
        <v>0</v>
      </c>
      <c r="S88" s="2">
        <f>S11/'Output-Calculation-sheet'!S10*'Output-Calculation-sheet'!S73</f>
        <v>2.6455692487192808</v>
      </c>
      <c r="T88" s="2">
        <f>T11/'Output-Calculation-sheet'!T10*'Output-Calculation-sheet'!T73</f>
        <v>0</v>
      </c>
      <c r="U88" s="2">
        <f>U11/'Output-Calculation-sheet'!U10*'Output-Calculation-sheet'!U73</f>
        <v>1.6126842660100538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4.6370440077898041E-2</v>
      </c>
    </row>
    <row r="89" spans="1:27" x14ac:dyDescent="0.25">
      <c r="A89" s="2">
        <v>2035</v>
      </c>
      <c r="B89" s="2">
        <f>B12/'Output-Calculation-sheet'!B11*'Output-Calculation-sheet'!B74</f>
        <v>343.14076458673537</v>
      </c>
      <c r="C89" s="2">
        <f>C12/'Output-Calculation-sheet'!C11*'Output-Calculation-sheet'!C74</f>
        <v>186.12862743330496</v>
      </c>
      <c r="D89" s="2">
        <f>D12/'Output-Calculation-sheet'!D11*'Output-Calculation-sheet'!D74</f>
        <v>30.914591879810963</v>
      </c>
      <c r="E89" s="2">
        <f>E12/'Output-Calculation-sheet'!E11*'Output-Calculation-sheet'!E74</f>
        <v>102.37034741799344</v>
      </c>
      <c r="F89" s="2">
        <f>F12/'Output-Calculation-sheet'!F11*'Output-Calculation-sheet'!F74</f>
        <v>30.904274750482276</v>
      </c>
      <c r="G89" s="2">
        <f>G12/'Output-Calculation-sheet'!G11*'Output-Calculation-sheet'!G74</f>
        <v>22.179525989155419</v>
      </c>
      <c r="H89" s="2">
        <f>H12/'Output-Calculation-sheet'!H11*'Output-Calculation-sheet'!H74</f>
        <v>76.991720772644157</v>
      </c>
      <c r="I89" s="2">
        <f>I12/'Output-Calculation-sheet'!I11*'Output-Calculation-sheet'!I74</f>
        <v>19.949113047186007</v>
      </c>
      <c r="J89" s="2">
        <f>J12/'Output-Calculation-sheet'!J11*'Output-Calculation-sheet'!J74</f>
        <v>9.8715068495986227</v>
      </c>
      <c r="K89" s="2">
        <f>K12/'Output-Calculation-sheet'!K11*'Output-Calculation-sheet'!K74</f>
        <v>14.705102015078538</v>
      </c>
      <c r="L89" s="2">
        <f>L12/'Output-Calculation-sheet'!L11*'Output-Calculation-sheet'!L74</f>
        <v>7.7952134461371294</v>
      </c>
      <c r="M89" s="2">
        <f>M12/'Output-Calculation-sheet'!M11*'Output-Calculation-sheet'!M74</f>
        <v>40.657378854442008</v>
      </c>
      <c r="N89" s="2">
        <f>N12/'Output-Calculation-sheet'!N11*'Output-Calculation-sheet'!N74</f>
        <v>20.585253536465896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27.966409480984666</v>
      </c>
      <c r="Q89" s="2">
        <f>Q12/'Output-Calculation-sheet'!Q11*'Output-Calculation-sheet'!Q74</f>
        <v>23.340490834373174</v>
      </c>
      <c r="R89" s="2">
        <f>R12/'Output-Calculation-sheet'!R11*'Output-Calculation-sheet'!R74</f>
        <v>12.625361322131724</v>
      </c>
      <c r="S89" s="2">
        <f>S12/'Output-Calculation-sheet'!S11*'Output-Calculation-sheet'!S74</f>
        <v>18.047331005344585</v>
      </c>
      <c r="T89" s="2">
        <f>T12/'Output-Calculation-sheet'!T11*'Output-Calculation-sheet'!T74</f>
        <v>2.3354540404648056</v>
      </c>
      <c r="U89" s="2">
        <f>U12/'Output-Calculation-sheet'!U11*'Output-Calculation-sheet'!U74</f>
        <v>6.7700181571093836</v>
      </c>
      <c r="V89" s="2">
        <f>V12/'Output-Calculation-sheet'!V11*'Output-Calculation-sheet'!V74</f>
        <v>0.52202754208254654</v>
      </c>
      <c r="W89" s="2">
        <f>W12/'Output-Calculation-sheet'!W11*'Output-Calculation-sheet'!W74</f>
        <v>3.1642810448963012</v>
      </c>
      <c r="X89" s="2">
        <f>X12/'Output-Calculation-sheet'!X11*'Output-Calculation-sheet'!X74</f>
        <v>0.40547263825928315</v>
      </c>
      <c r="Y89" s="2">
        <f>Y12/'Output-Calculation-sheet'!Y11*'Output-Calculation-sheet'!Y74</f>
        <v>4.3041773707685511</v>
      </c>
      <c r="AA89" s="2">
        <f t="shared" si="7"/>
        <v>1.0068044321876151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8246302231.1979361</v>
      </c>
      <c r="C96" s="2">
        <f>C8/'Output-Calculation-sheet'!C7*'Output-Calculation-sheet'!C79</f>
        <v>1991347100.8213966</v>
      </c>
      <c r="D96" s="2">
        <f>D8/'Output-Calculation-sheet'!D7*'Output-Calculation-sheet'!D79</f>
        <v>1616669588.1855211</v>
      </c>
      <c r="E96" s="2">
        <f>E8/'Output-Calculation-sheet'!E7*'Output-Calculation-sheet'!E79</f>
        <v>6057081389.0785732</v>
      </c>
      <c r="F96" s="2">
        <f>F8/'Output-Calculation-sheet'!F7*'Output-Calculation-sheet'!F79</f>
        <v>1766942698.1777925</v>
      </c>
      <c r="G96" s="2">
        <f>G8/'Output-Calculation-sheet'!G7*'Output-Calculation-sheet'!G79</f>
        <v>1134125368.5751011</v>
      </c>
      <c r="H96" s="2">
        <f>H8/'Output-Calculation-sheet'!H7*'Output-Calculation-sheet'!H79</f>
        <v>1397204857.8537195</v>
      </c>
      <c r="I96" s="2">
        <f>I8/'Output-Calculation-sheet'!I7*'Output-Calculation-sheet'!I79</f>
        <v>815544543.36721647</v>
      </c>
      <c r="J96" s="2">
        <f>J8/'Output-Calculation-sheet'!J7*'Output-Calculation-sheet'!J79</f>
        <v>618021149.48454309</v>
      </c>
      <c r="K96" s="2">
        <f>K8/'Output-Calculation-sheet'!K7*'Output-Calculation-sheet'!K79</f>
        <v>775079626.09220791</v>
      </c>
      <c r="L96" s="2">
        <f>L8/'Output-Calculation-sheet'!L7*'Output-Calculation-sheet'!L79</f>
        <v>703640104.68870103</v>
      </c>
      <c r="M96" s="2">
        <f>M8/'Output-Calculation-sheet'!M7*'Output-Calculation-sheet'!M79</f>
        <v>1078075877.6230793</v>
      </c>
      <c r="N96" s="2">
        <f>N8/'Output-Calculation-sheet'!N7*'Output-Calculation-sheet'!N79</f>
        <v>700821223.78459167</v>
      </c>
      <c r="O96" s="2">
        <f>O8/'Output-Calculation-sheet'!O7*'Output-Calculation-sheet'!O79</f>
        <v>262962858.37098554</v>
      </c>
      <c r="P96" s="2">
        <f>P8/'Output-Calculation-sheet'!P7*'Output-Calculation-sheet'!P79</f>
        <v>1334727023.8225217</v>
      </c>
      <c r="Q96" s="2">
        <f>Q8/'Output-Calculation-sheet'!Q7*'Output-Calculation-sheet'!Q79</f>
        <v>566681480.73200691</v>
      </c>
      <c r="R96" s="2">
        <f>R8/'Output-Calculation-sheet'!R7*'Output-Calculation-sheet'!R79</f>
        <v>752146543.24170315</v>
      </c>
      <c r="S96" s="2">
        <f>S8/'Output-Calculation-sheet'!S7*'Output-Calculation-sheet'!S79</f>
        <v>424180145.30325729</v>
      </c>
      <c r="T96" s="2">
        <f>T8/'Output-Calculation-sheet'!T7*'Output-Calculation-sheet'!T79</f>
        <v>255898989.82366067</v>
      </c>
      <c r="U96" s="2">
        <f>U8/'Output-Calculation-sheet'!U7*'Output-Calculation-sheet'!U79</f>
        <v>201424604.24012664</v>
      </c>
      <c r="V96" s="2">
        <f>V8/'Output-Calculation-sheet'!V7*'Output-Calculation-sheet'!V79</f>
        <v>92446880.167826012</v>
      </c>
      <c r="W96" s="2">
        <f>W8/'Output-Calculation-sheet'!W7*'Output-Calculation-sheet'!W79</f>
        <v>284635587.98792249</v>
      </c>
      <c r="X96" s="2">
        <f>X8/'Output-Calculation-sheet'!X7*'Output-Calculation-sheet'!X79</f>
        <v>128376255.51008487</v>
      </c>
      <c r="Y96" s="2">
        <f>Y8/'Output-Calculation-sheet'!Y7*'Output-Calculation-sheet'!Y79</f>
        <v>176669345.61332503</v>
      </c>
      <c r="AA96" s="2">
        <f t="shared" si="8"/>
        <v>31.381005473743798</v>
      </c>
    </row>
    <row r="97" spans="1:27" x14ac:dyDescent="0.25">
      <c r="A97" s="2">
        <v>2032</v>
      </c>
      <c r="B97" s="2">
        <f>B9/'Output-Calculation-sheet'!B8*'Output-Calculation-sheet'!B80</f>
        <v>10374006015.982141</v>
      </c>
      <c r="C97" s="2">
        <f>C9/'Output-Calculation-sheet'!C8*'Output-Calculation-sheet'!C80</f>
        <v>2450156711.9967904</v>
      </c>
      <c r="D97" s="2">
        <f>D9/'Output-Calculation-sheet'!D8*'Output-Calculation-sheet'!D80</f>
        <v>1871645470.9309323</v>
      </c>
      <c r="E97" s="2">
        <f>E9/'Output-Calculation-sheet'!E8*'Output-Calculation-sheet'!E80</f>
        <v>7879361730.96877</v>
      </c>
      <c r="F97" s="2">
        <f>F9/'Output-Calculation-sheet'!F8*'Output-Calculation-sheet'!F80</f>
        <v>2160791437.3624167</v>
      </c>
      <c r="G97" s="2">
        <f>G9/'Output-Calculation-sheet'!G8*'Output-Calculation-sheet'!G80</f>
        <v>1324017837.071723</v>
      </c>
      <c r="H97" s="2">
        <f>H9/'Output-Calculation-sheet'!H8*'Output-Calculation-sheet'!H80</f>
        <v>1733614453.945864</v>
      </c>
      <c r="I97" s="2">
        <f>I9/'Output-Calculation-sheet'!I8*'Output-Calculation-sheet'!I80</f>
        <v>998558190.95580852</v>
      </c>
      <c r="J97" s="2">
        <f>J9/'Output-Calculation-sheet'!J8*'Output-Calculation-sheet'!J80</f>
        <v>746198284.95332932</v>
      </c>
      <c r="K97" s="2">
        <f>K9/'Output-Calculation-sheet'!K8*'Output-Calculation-sheet'!K80</f>
        <v>920315892.35442615</v>
      </c>
      <c r="L97" s="2">
        <f>L9/'Output-Calculation-sheet'!L8*'Output-Calculation-sheet'!L80</f>
        <v>887708556.01803243</v>
      </c>
      <c r="M97" s="2">
        <f>M9/'Output-Calculation-sheet'!M8*'Output-Calculation-sheet'!M80</f>
        <v>1367704373.876543</v>
      </c>
      <c r="N97" s="2">
        <f>N9/'Output-Calculation-sheet'!N8*'Output-Calculation-sheet'!N80</f>
        <v>859335474.9923768</v>
      </c>
      <c r="O97" s="2">
        <f>O9/'Output-Calculation-sheet'!O8*'Output-Calculation-sheet'!O80</f>
        <v>319430005.09425575</v>
      </c>
      <c r="P97" s="2">
        <f>P9/'Output-Calculation-sheet'!P8*'Output-Calculation-sheet'!P80</f>
        <v>1611046274.2791467</v>
      </c>
      <c r="Q97" s="2">
        <f>Q9/'Output-Calculation-sheet'!Q8*'Output-Calculation-sheet'!Q80</f>
        <v>696833395.01874387</v>
      </c>
      <c r="R97" s="2">
        <f>R9/'Output-Calculation-sheet'!R8*'Output-Calculation-sheet'!R80</f>
        <v>933761972.06188142</v>
      </c>
      <c r="S97" s="2">
        <f>S9/'Output-Calculation-sheet'!S8*'Output-Calculation-sheet'!S80</f>
        <v>519695896.80340999</v>
      </c>
      <c r="T97" s="2">
        <f>T9/'Output-Calculation-sheet'!T8*'Output-Calculation-sheet'!T80</f>
        <v>303031146.14053136</v>
      </c>
      <c r="U97" s="2">
        <f>U9/'Output-Calculation-sheet'!U8*'Output-Calculation-sheet'!U80</f>
        <v>241128860.03529462</v>
      </c>
      <c r="V97" s="2">
        <f>V9/'Output-Calculation-sheet'!V8*'Output-Calculation-sheet'!V80</f>
        <v>111222604.13196447</v>
      </c>
      <c r="W97" s="2">
        <f>W9/'Output-Calculation-sheet'!W8*'Output-Calculation-sheet'!W80</f>
        <v>344177239.46692556</v>
      </c>
      <c r="X97" s="2">
        <f>X9/'Output-Calculation-sheet'!X8*'Output-Calculation-sheet'!X80</f>
        <v>166695469.7899521</v>
      </c>
      <c r="Y97" s="2">
        <f>Y9/'Output-Calculation-sheet'!Y8*'Output-Calculation-sheet'!Y80</f>
        <v>218822230.34717566</v>
      </c>
      <c r="AA97" s="2">
        <f t="shared" si="8"/>
        <v>39.039259524578455</v>
      </c>
    </row>
    <row r="98" spans="1:27" x14ac:dyDescent="0.25">
      <c r="A98" s="2">
        <v>2033</v>
      </c>
      <c r="B98" s="2">
        <f>B10/'Output-Calculation-sheet'!B9*'Output-Calculation-sheet'!B81</f>
        <v>12198324390.369249</v>
      </c>
      <c r="C98" s="2">
        <f>C10/'Output-Calculation-sheet'!C9*'Output-Calculation-sheet'!C81</f>
        <v>2824657747.3928185</v>
      </c>
      <c r="D98" s="2">
        <f>D10/'Output-Calculation-sheet'!D9*'Output-Calculation-sheet'!D81</f>
        <v>2032040528.5016634</v>
      </c>
      <c r="E98" s="2">
        <f>E10/'Output-Calculation-sheet'!E9*'Output-Calculation-sheet'!E81</f>
        <v>9592015781.8807755</v>
      </c>
      <c r="F98" s="2">
        <f>F10/'Output-Calculation-sheet'!F9*'Output-Calculation-sheet'!F81</f>
        <v>2471389176.9611688</v>
      </c>
      <c r="G98" s="2">
        <f>G10/'Output-Calculation-sheet'!G9*'Output-Calculation-sheet'!G81</f>
        <v>1443839013.3498733</v>
      </c>
      <c r="H98" s="2">
        <f>H10/'Output-Calculation-sheet'!H9*'Output-Calculation-sheet'!H81</f>
        <v>2010047597.6425955</v>
      </c>
      <c r="I98" s="2">
        <f>I10/'Output-Calculation-sheet'!I9*'Output-Calculation-sheet'!I81</f>
        <v>1145508094.0764711</v>
      </c>
      <c r="J98" s="2">
        <f>J10/'Output-Calculation-sheet'!J9*'Output-Calculation-sheet'!J81</f>
        <v>845031536.43043292</v>
      </c>
      <c r="K98" s="2">
        <f>K10/'Output-Calculation-sheet'!K9*'Output-Calculation-sheet'!K81</f>
        <v>1023291861.3846042</v>
      </c>
      <c r="L98" s="2">
        <f>L10/'Output-Calculation-sheet'!L9*'Output-Calculation-sheet'!L81</f>
        <v>1048774070.867505</v>
      </c>
      <c r="M98" s="2">
        <f>M10/'Output-Calculation-sheet'!M9*'Output-Calculation-sheet'!M81</f>
        <v>1625228489.3226879</v>
      </c>
      <c r="N98" s="2">
        <f>N10/'Output-Calculation-sheet'!N9*'Output-Calculation-sheet'!N81</f>
        <v>987674586.22487295</v>
      </c>
      <c r="O98" s="2">
        <f>O10/'Output-Calculation-sheet'!O9*'Output-Calculation-sheet'!O81</f>
        <v>364283545.75042063</v>
      </c>
      <c r="P98" s="2">
        <f>P10/'Output-Calculation-sheet'!P9*'Output-Calculation-sheet'!P81</f>
        <v>1807226347.8838768</v>
      </c>
      <c r="Q98" s="2">
        <f>Q10/'Output-Calculation-sheet'!Q9*'Output-Calculation-sheet'!Q81</f>
        <v>803009189.62307119</v>
      </c>
      <c r="R98" s="2">
        <f>R10/'Output-Calculation-sheet'!R9*'Output-Calculation-sheet'!R81</f>
        <v>1083883734.7101569</v>
      </c>
      <c r="S98" s="2">
        <f>S10/'Output-Calculation-sheet'!S9*'Output-Calculation-sheet'!S81</f>
        <v>595267602.17094159</v>
      </c>
      <c r="T98" s="2">
        <f>T10/'Output-Calculation-sheet'!T9*'Output-Calculation-sheet'!T81</f>
        <v>335381582.41396672</v>
      </c>
      <c r="U98" s="2">
        <f>U10/'Output-Calculation-sheet'!U9*'Output-Calculation-sheet'!U81</f>
        <v>269489368.72849357</v>
      </c>
      <c r="V98" s="2">
        <f>V10/'Output-Calculation-sheet'!V9*'Output-Calculation-sheet'!V81</f>
        <v>125163275.37143397</v>
      </c>
      <c r="W98" s="2">
        <f>W10/'Output-Calculation-sheet'!W9*'Output-Calculation-sheet'!W81</f>
        <v>387067961.66663402</v>
      </c>
      <c r="X98" s="2">
        <f>X10/'Output-Calculation-sheet'!X9*'Output-Calculation-sheet'!X81</f>
        <v>202914230.94726723</v>
      </c>
      <c r="Y98" s="2">
        <f>Y10/'Output-Calculation-sheet'!Y9*'Output-Calculation-sheet'!Y81</f>
        <v>252623809.90318924</v>
      </c>
      <c r="AA98" s="2">
        <f t="shared" si="8"/>
        <v>45.474133523574174</v>
      </c>
    </row>
    <row r="99" spans="1:27" x14ac:dyDescent="0.25">
      <c r="A99" s="2">
        <v>2034</v>
      </c>
      <c r="B99" s="2">
        <f>B11/'Output-Calculation-sheet'!B10*'Output-Calculation-sheet'!B82</f>
        <v>13689504967.707331</v>
      </c>
      <c r="C99" s="2">
        <f>C11/'Output-Calculation-sheet'!C10*'Output-Calculation-sheet'!C82</f>
        <v>3116186519.0972686</v>
      </c>
      <c r="D99" s="2">
        <f>D11/'Output-Calculation-sheet'!D10*'Output-Calculation-sheet'!D82</f>
        <v>2113790413.1146269</v>
      </c>
      <c r="E99" s="2">
        <f>E11/'Output-Calculation-sheet'!E10*'Output-Calculation-sheet'!E82</f>
        <v>11156234959.952724</v>
      </c>
      <c r="F99" s="2">
        <f>F11/'Output-Calculation-sheet'!F10*'Output-Calculation-sheet'!F82</f>
        <v>2700435699.0482502</v>
      </c>
      <c r="G99" s="2">
        <f>G11/'Output-Calculation-sheet'!G10*'Output-Calculation-sheet'!G82</f>
        <v>1502958103.9386499</v>
      </c>
      <c r="H99" s="2">
        <f>H11/'Output-Calculation-sheet'!H10*'Output-Calculation-sheet'!H82</f>
        <v>2223989672.0998831</v>
      </c>
      <c r="I99" s="2">
        <f>I11/'Output-Calculation-sheet'!I10*'Output-Calculation-sheet'!I82</f>
        <v>1257565798.07846</v>
      </c>
      <c r="J99" s="2">
        <f>J11/'Output-Calculation-sheet'!J10*'Output-Calculation-sheet'!J82</f>
        <v>916756706.59870851</v>
      </c>
      <c r="K99" s="2">
        <f>K11/'Output-Calculation-sheet'!K10*'Output-Calculation-sheet'!K82</f>
        <v>1088516688.4657872</v>
      </c>
      <c r="L99" s="2">
        <f>L11/'Output-Calculation-sheet'!L10*'Output-Calculation-sheet'!L82</f>
        <v>1184947829.745424</v>
      </c>
      <c r="M99" s="2">
        <f>M11/'Output-Calculation-sheet'!M10*'Output-Calculation-sheet'!M82</f>
        <v>1847158822.0559068</v>
      </c>
      <c r="N99" s="2">
        <f>N11/'Output-Calculation-sheet'!N10*'Output-Calculation-sheet'!N82</f>
        <v>1086813385.8820579</v>
      </c>
      <c r="O99" s="2">
        <f>O11/'Output-Calculation-sheet'!O10*'Output-Calculation-sheet'!O82</f>
        <v>398314597.4178226</v>
      </c>
      <c r="P99" s="2">
        <f>P11/'Output-Calculation-sheet'!P10*'Output-Calculation-sheet'!P82</f>
        <v>1925314866.9021671</v>
      </c>
      <c r="Q99" s="2">
        <f>Q11/'Output-Calculation-sheet'!Q10*'Output-Calculation-sheet'!Q82</f>
        <v>885622098.84761441</v>
      </c>
      <c r="R99" s="2">
        <f>R11/'Output-Calculation-sheet'!R10*'Output-Calculation-sheet'!R82</f>
        <v>1201325464.7862227</v>
      </c>
      <c r="S99" s="2">
        <f>S11/'Output-Calculation-sheet'!S10*'Output-Calculation-sheet'!S82</f>
        <v>651015992.75095582</v>
      </c>
      <c r="T99" s="2">
        <f>T11/'Output-Calculation-sheet'!T10*'Output-Calculation-sheet'!T82</f>
        <v>354503969.18972117</v>
      </c>
      <c r="U99" s="2">
        <f>U11/'Output-Calculation-sheet'!U10*'Output-Calculation-sheet'!U82</f>
        <v>287302637.07505524</v>
      </c>
      <c r="V99" s="2">
        <f>V11/'Output-Calculation-sheet'!V10*'Output-Calculation-sheet'!V82</f>
        <v>134578508.63924366</v>
      </c>
      <c r="W99" s="2">
        <f>W11/'Output-Calculation-sheet'!W10*'Output-Calculation-sheet'!W82</f>
        <v>413694184.98612607</v>
      </c>
      <c r="X99" s="2">
        <f>X11/'Output-Calculation-sheet'!X10*'Output-Calculation-sheet'!X82</f>
        <v>236442285.55522636</v>
      </c>
      <c r="Y99" s="2">
        <f>Y11/'Output-Calculation-sheet'!Y10*'Output-Calculation-sheet'!Y82</f>
        <v>277672417.58153963</v>
      </c>
      <c r="AA99" s="2">
        <f t="shared" si="8"/>
        <v>50.650646589516789</v>
      </c>
    </row>
    <row r="100" spans="1:27" x14ac:dyDescent="0.25">
      <c r="A100" s="2">
        <v>2035</v>
      </c>
      <c r="B100" s="2">
        <f>B12/'Output-Calculation-sheet'!B11*'Output-Calculation-sheet'!B83</f>
        <v>14820519233.101847</v>
      </c>
      <c r="C100" s="2">
        <f>C12/'Output-Calculation-sheet'!C11*'Output-Calculation-sheet'!C83</f>
        <v>3325773652.6204472</v>
      </c>
      <c r="D100" s="2">
        <f>D12/'Output-Calculation-sheet'!D11*'Output-Calculation-sheet'!D83</f>
        <v>2130424998.861383</v>
      </c>
      <c r="E100" s="2">
        <f>E12/'Output-Calculation-sheet'!E11*'Output-Calculation-sheet'!E83</f>
        <v>12528124065.153006</v>
      </c>
      <c r="F100" s="2">
        <f>F12/'Output-Calculation-sheet'!F11*'Output-Calculation-sheet'!F83</f>
        <v>2850298684.8807511</v>
      </c>
      <c r="G100" s="2">
        <f>G12/'Output-Calculation-sheet'!G11*'Output-Calculation-sheet'!G83</f>
        <v>1510567853.657198</v>
      </c>
      <c r="H100" s="2">
        <f>H12/'Output-Calculation-sheet'!H11*'Output-Calculation-sheet'!H83</f>
        <v>2373715628.5951838</v>
      </c>
      <c r="I100" s="2">
        <f>I12/'Output-Calculation-sheet'!I11*'Output-Calculation-sheet'!I83</f>
        <v>1335804579.1074033</v>
      </c>
      <c r="J100" s="2">
        <f>J12/'Output-Calculation-sheet'!J11*'Output-Calculation-sheet'!J83</f>
        <v>963272826.09159648</v>
      </c>
      <c r="K100" s="2">
        <f>K12/'Output-Calculation-sheet'!K11*'Output-Calculation-sheet'!K83</f>
        <v>1120196274.8534214</v>
      </c>
      <c r="L100" s="2">
        <f>L12/'Output-Calculation-sheet'!L11*'Output-Calculation-sheet'!L83</f>
        <v>1294217981.5453949</v>
      </c>
      <c r="M100" s="2">
        <f>M12/'Output-Calculation-sheet'!M11*'Output-Calculation-sheet'!M83</f>
        <v>2029633600.9987135</v>
      </c>
      <c r="N100" s="2">
        <f>N12/'Output-Calculation-sheet'!N11*'Output-Calculation-sheet'!N83</f>
        <v>1157546949.6193831</v>
      </c>
      <c r="O100" s="2">
        <f>O12/'Output-Calculation-sheet'!O11*'Output-Calculation-sheet'!O83</f>
        <v>422120980.56682956</v>
      </c>
      <c r="P100" s="2">
        <f>P12/'Output-Calculation-sheet'!P11*'Output-Calculation-sheet'!P83</f>
        <v>1970693315.7072372</v>
      </c>
      <c r="Q100" s="2">
        <f>Q12/'Output-Calculation-sheet'!Q11*'Output-Calculation-sheet'!Q83</f>
        <v>944947304.04254901</v>
      </c>
      <c r="R100" s="2">
        <f>R12/'Output-Calculation-sheet'!R11*'Output-Calculation-sheet'!R83</f>
        <v>1285198655.7863986</v>
      </c>
      <c r="S100" s="2">
        <f>S12/'Output-Calculation-sheet'!S11*'Output-Calculation-sheet'!S83</f>
        <v>687257843.74049938</v>
      </c>
      <c r="T100" s="2">
        <f>T12/'Output-Calculation-sheet'!T11*'Output-Calculation-sheet'!T83</f>
        <v>361979378.41186768</v>
      </c>
      <c r="U100" s="2">
        <f>U12/'Output-Calculation-sheet'!U11*'Output-Calculation-sheet'!U83</f>
        <v>295504962.59084767</v>
      </c>
      <c r="V100" s="2">
        <f>V12/'Output-Calculation-sheet'!V11*'Output-Calculation-sheet'!V83</f>
        <v>139793886.00117067</v>
      </c>
      <c r="W100" s="2">
        <f>W12/'Output-Calculation-sheet'!W11*'Output-Calculation-sheet'!W83</f>
        <v>425070755.90517437</v>
      </c>
      <c r="X100" s="2">
        <f>X12/'Output-Calculation-sheet'!X11*'Output-Calculation-sheet'!X83</f>
        <v>266566092.15951011</v>
      </c>
      <c r="Y100" s="2">
        <f>Y12/'Output-Calculation-sheet'!Y11*'Output-Calculation-sheet'!Y83</f>
        <v>293836928.59954101</v>
      </c>
      <c r="AA100" s="2">
        <f t="shared" si="8"/>
        <v>54.533066432597352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1365.8511377206219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331.68366453800468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31.738066843663596</v>
      </c>
      <c r="Y107" s="2">
        <f>Y8/'Output-Calculation-sheet'!Y7*'Output-Calculation-sheet'!Y88</f>
        <v>0</v>
      </c>
      <c r="AA107" s="2">
        <f t="shared" si="9"/>
        <v>1.7292728691022901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2623.3358119222398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509.64126990543457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43.541456653860834</v>
      </c>
      <c r="Y108" s="2">
        <f>Y9/'Output-Calculation-sheet'!Y8*'Output-Calculation-sheet'!Y89</f>
        <v>0</v>
      </c>
      <c r="AA108" s="2">
        <f t="shared" si="9"/>
        <v>3.1765185384815351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703.86106044302801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4.3736984502687815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994.86780203796673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5.768447264362397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4030.8480878525106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145.69983468116908</v>
      </c>
      <c r="Y111" s="2">
        <f>Y12/'Output-Calculation-sheet'!Y11*'Output-Calculation-sheet'!Y92</f>
        <v>0</v>
      </c>
      <c r="AA111" s="2">
        <f t="shared" si="9"/>
        <v>5.4816842613844905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11304666497.517447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7035193889.5537252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4853687877.8125668</v>
      </c>
      <c r="N118" s="2">
        <f>N8/'Output-Calculation-sheet'!N7*'Output-Calculation-sheet'!N97</f>
        <v>1627895079.3115654</v>
      </c>
      <c r="O118" s="2">
        <f>O8/'Output-Calculation-sheet'!O7*'Output-Calculation-sheet'!O97</f>
        <v>1560774097.9140821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487227413.49657786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264285252.65763289</v>
      </c>
      <c r="Y118" s="2">
        <f>Y8/'Output-Calculation-sheet'!Y7*'Output-Calculation-sheet'!Y97</f>
        <v>0</v>
      </c>
      <c r="AA118" s="2">
        <f t="shared" si="10"/>
        <v>28502.869844735487</v>
      </c>
    </row>
    <row r="119" spans="1:27" x14ac:dyDescent="0.25">
      <c r="A119" s="2">
        <v>2032</v>
      </c>
      <c r="B119" s="2">
        <f>B9/'Output-Calculation-sheet'!B8*'Output-Calculation-sheet'!B98</f>
        <v>6171125118.3555212</v>
      </c>
      <c r="C119" s="2">
        <f>C9/'Output-Calculation-sheet'!C8*'Output-Calculation-sheet'!C98</f>
        <v>9105131367.1191177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9651634046.5892715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6658784098.6173735</v>
      </c>
      <c r="N119" s="2">
        <f>N9/'Output-Calculation-sheet'!N8*'Output-Calculation-sheet'!N98</f>
        <v>3133507438.2739091</v>
      </c>
      <c r="O119" s="2">
        <f>O9/'Output-Calculation-sheet'!O8*'Output-Calculation-sheet'!O98</f>
        <v>1755966631.6313922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938760198.28141761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366220632.42345226</v>
      </c>
      <c r="Y119" s="2">
        <f>Y9/'Output-Calculation-sheet'!Y8*'Output-Calculation-sheet'!Y98</f>
        <v>0</v>
      </c>
      <c r="AA119" s="2">
        <f t="shared" si="10"/>
        <v>37781.129531291459</v>
      </c>
    </row>
    <row r="120" spans="1:27" x14ac:dyDescent="0.25">
      <c r="A120" s="2">
        <v>2033</v>
      </c>
      <c r="B120" s="2">
        <f>B10/'Output-Calculation-sheet'!B9*'Output-Calculation-sheet'!B99</f>
        <v>16761003356.091604</v>
      </c>
      <c r="C120" s="2">
        <f>C10/'Output-Calculation-sheet'!C9*'Output-Calculation-sheet'!C99</f>
        <v>9717695449.1846046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5032241136.5041933</v>
      </c>
      <c r="O120" s="2">
        <f>O10/'Output-Calculation-sheet'!O9*'Output-Calculation-sheet'!O99</f>
        <v>1865238919.8817055</v>
      </c>
      <c r="P120" s="2">
        <f>P10/'Output-Calculation-sheet'!P9*'Output-Calculation-sheet'!P99</f>
        <v>0</v>
      </c>
      <c r="Q120" s="2">
        <f>Q10/'Output-Calculation-sheet'!Q9*'Output-Calculation-sheet'!Q99</f>
        <v>162139788.00898305</v>
      </c>
      <c r="R120" s="2">
        <f>R10/'Output-Calculation-sheet'!R9*'Output-Calculation-sheet'!R99</f>
        <v>0</v>
      </c>
      <c r="S120" s="2">
        <f>S10/'Output-Calculation-sheet'!S9*'Output-Calculation-sheet'!S99</f>
        <v>2029876988.0489688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552025810.19767308</v>
      </c>
      <c r="Y120" s="2">
        <f>Y10/'Output-Calculation-sheet'!Y9*'Output-Calculation-sheet'!Y99</f>
        <v>0</v>
      </c>
      <c r="AA120" s="2">
        <f t="shared" si="10"/>
        <v>57145.281876872439</v>
      </c>
    </row>
    <row r="121" spans="1:27" x14ac:dyDescent="0.25">
      <c r="A121" s="2">
        <v>2034</v>
      </c>
      <c r="B121" s="2">
        <f>B11/'Output-Calculation-sheet'!B10*'Output-Calculation-sheet'!B100</f>
        <v>39593152458.103935</v>
      </c>
      <c r="C121" s="2">
        <f>C11/'Output-Calculation-sheet'!C10*'Output-Calculation-sheet'!C100</f>
        <v>10206178325.683008</v>
      </c>
      <c r="D121" s="2">
        <f>D11/'Output-Calculation-sheet'!D10*'Output-Calculation-sheet'!D100</f>
        <v>0</v>
      </c>
      <c r="E121" s="2">
        <f>E11/'Output-Calculation-sheet'!E10*'Output-Calculation-sheet'!E100</f>
        <v>838971633.0565232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15040472721.518431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703368225.39417112</v>
      </c>
      <c r="M121" s="2">
        <f>M11/'Output-Calculation-sheet'!M10*'Output-Calculation-sheet'!M100</f>
        <v>10616047501.062702</v>
      </c>
      <c r="N121" s="2">
        <f>N11/'Output-Calculation-sheet'!N10*'Output-Calculation-sheet'!N100</f>
        <v>7332699485.755497</v>
      </c>
      <c r="O121" s="2">
        <f>O11/'Output-Calculation-sheet'!O10*'Output-Calculation-sheet'!O100</f>
        <v>1089902441.157968</v>
      </c>
      <c r="P121" s="2">
        <f>P11/'Output-Calculation-sheet'!P10*'Output-Calculation-sheet'!P100</f>
        <v>0</v>
      </c>
      <c r="Q121" s="2">
        <f>Q11/'Output-Calculation-sheet'!Q10*'Output-Calculation-sheet'!Q100</f>
        <v>1231236889.2584677</v>
      </c>
      <c r="R121" s="2">
        <f>R11/'Output-Calculation-sheet'!R10*'Output-Calculation-sheet'!R100</f>
        <v>0</v>
      </c>
      <c r="S121" s="2">
        <f>S11/'Output-Calculation-sheet'!S10*'Output-Calculation-sheet'!S100</f>
        <v>3389888251.784831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45901675.53435073</v>
      </c>
      <c r="AA121" s="2">
        <f t="shared" si="10"/>
        <v>90596.402029689008</v>
      </c>
    </row>
    <row r="122" spans="1:27" x14ac:dyDescent="0.25">
      <c r="A122" s="2">
        <v>2035</v>
      </c>
      <c r="B122" s="2">
        <f>B12/'Output-Calculation-sheet'!B11*'Output-Calculation-sheet'!B101</f>
        <v>44836316434.343483</v>
      </c>
      <c r="C122" s="2">
        <f>C12/'Output-Calculation-sheet'!C11*'Output-Calculation-sheet'!C101</f>
        <v>18645190959.307819</v>
      </c>
      <c r="D122" s="2">
        <f>D12/'Output-Calculation-sheet'!D11*'Output-Calculation-sheet'!D101</f>
        <v>0</v>
      </c>
      <c r="E122" s="2">
        <f>E12/'Output-Calculation-sheet'!E11*'Output-Calculation-sheet'!E101</f>
        <v>3652273846.0153766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16165251523.124601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1850404382.2036934</v>
      </c>
      <c r="M122" s="2">
        <f>M12/'Output-Calculation-sheet'!M11*'Output-Calculation-sheet'!M101</f>
        <v>11565295729.466545</v>
      </c>
      <c r="N122" s="2">
        <f>N12/'Output-Calculation-sheet'!N11*'Output-Calculation-sheet'!N101</f>
        <v>8213111721.3627644</v>
      </c>
      <c r="O122" s="2">
        <f>O12/'Output-Calculation-sheet'!O11*'Output-Calculation-sheet'!O101</f>
        <v>52950635.554048486</v>
      </c>
      <c r="P122" s="2">
        <f>P12/'Output-Calculation-sheet'!P11*'Output-Calculation-sheet'!P101</f>
        <v>350974971.15158194</v>
      </c>
      <c r="Q122" s="2">
        <f>Q12/'Output-Calculation-sheet'!Q11*'Output-Calculation-sheet'!Q101</f>
        <v>1580919343.821795</v>
      </c>
      <c r="R122" s="2">
        <f>R12/'Output-Calculation-sheet'!R11*'Output-Calculation-sheet'!R101</f>
        <v>0</v>
      </c>
      <c r="S122" s="2">
        <f>S12/'Output-Calculation-sheet'!S11*'Output-Calculation-sheet'!S101</f>
        <v>3897996517.260632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141511437.48549676</v>
      </c>
      <c r="Y122" s="2">
        <f>Y12/'Output-Calculation-sheet'!Y11*'Output-Calculation-sheet'!Y101</f>
        <v>83470103.087687284</v>
      </c>
      <c r="AA122" s="2">
        <f t="shared" si="10"/>
        <v>111035.66760418552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3136800494.2852368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2241497657.3736038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147717.543719963</v>
      </c>
    </row>
    <row r="130" spans="1:27" x14ac:dyDescent="0.25">
      <c r="A130" s="2">
        <v>2032</v>
      </c>
      <c r="B130" s="2">
        <f>B9/'Output-Calculation-sheet'!B8*'Output-Calculation-sheet'!B107</f>
        <v>59486169687.605148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3402638272.4645286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2804578233.4924626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197189.59342218516</v>
      </c>
    </row>
    <row r="131" spans="1:27" x14ac:dyDescent="0.25">
      <c r="A131" s="2">
        <v>2033</v>
      </c>
      <c r="B131" s="2">
        <f>B10/'Output-Calculation-sheet'!B9*'Output-Calculation-sheet'!B108</f>
        <v>67867336762.763031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3392475056.6383424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7384396601.443367</v>
      </c>
      <c r="R131" s="2">
        <f>R10/'Output-Calculation-sheet'!R9*'Output-Calculation-sheet'!R108</f>
        <v>7259856464.713048</v>
      </c>
      <c r="S131" s="2">
        <f>S10/'Output-Calculation-sheet'!S9*'Output-Calculation-sheet'!S108</f>
        <v>2795030186.1012678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243393.40077793488</v>
      </c>
    </row>
    <row r="132" spans="1:27" x14ac:dyDescent="0.25">
      <c r="A132" s="2">
        <v>2034</v>
      </c>
      <c r="B132" s="2">
        <f>B11/'Output-Calculation-sheet'!B10*'Output-Calculation-sheet'!B109</f>
        <v>64212100661.311745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34039862776.777519</v>
      </c>
      <c r="F132" s="2">
        <f>F11/'Output-Calculation-sheet'!F10*'Output-Calculation-sheet'!F109</f>
        <v>22453862466.552948</v>
      </c>
      <c r="G132" s="2">
        <f>G11/'Output-Calculation-sheet'!G10*'Output-Calculation-sheet'!G109</f>
        <v>15732550481.77356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13989982062.462709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10411984720.31357</v>
      </c>
      <c r="M132" s="2">
        <f>M11/'Output-Calculation-sheet'!M10*'Output-Calculation-sheet'!M109</f>
        <v>5.7399012372937576E-9</v>
      </c>
      <c r="N132" s="2">
        <f>N11/'Output-Calculation-sheet'!N10*'Output-Calculation-sheet'!N109</f>
        <v>3086901935.7289319</v>
      </c>
      <c r="O132" s="2">
        <f>O11/'Output-Calculation-sheet'!O10*'Output-Calculation-sheet'!O109</f>
        <v>0</v>
      </c>
      <c r="P132" s="2">
        <f>P11/'Output-Calculation-sheet'!P10*'Output-Calculation-sheet'!P109</f>
        <v>9485759433.0992184</v>
      </c>
      <c r="Q132" s="2">
        <f>Q11/'Output-Calculation-sheet'!Q10*'Output-Calculation-sheet'!Q109</f>
        <v>7805770856.4735956</v>
      </c>
      <c r="R132" s="2">
        <f>R11/'Output-Calculation-sheet'!R10*'Output-Calculation-sheet'!R109</f>
        <v>8978330323.6486549</v>
      </c>
      <c r="S132" s="2">
        <f>S11/'Output-Calculation-sheet'!S10*'Output-Calculation-sheet'!S109</f>
        <v>2467925226.1985908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2781385909.8713841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1072342569.3068469</v>
      </c>
      <c r="AA132" s="2">
        <f t="shared" si="11"/>
        <v>276141.88900626148</v>
      </c>
    </row>
    <row r="133" spans="1:27" x14ac:dyDescent="0.25">
      <c r="A133" s="2">
        <v>2035</v>
      </c>
      <c r="B133" s="2">
        <f>B12/'Output-Calculation-sheet'!B11*'Output-Calculation-sheet'!B110</f>
        <v>66515043068.912735</v>
      </c>
      <c r="C133" s="2">
        <f>C12/'Output-Calculation-sheet'!C11*'Output-Calculation-sheet'!C110</f>
        <v>0</v>
      </c>
      <c r="D133" s="2">
        <f>D12/'Output-Calculation-sheet'!D11*'Output-Calculation-sheet'!D110</f>
        <v>46674191308.845154</v>
      </c>
      <c r="E133" s="2">
        <f>E12/'Output-Calculation-sheet'!E11*'Output-Calculation-sheet'!E110</f>
        <v>36209923342.141655</v>
      </c>
      <c r="F133" s="2">
        <f>F12/'Output-Calculation-sheet'!F11*'Output-Calculation-sheet'!F110</f>
        <v>24707444865.696053</v>
      </c>
      <c r="G133" s="2">
        <f>G12/'Output-Calculation-sheet'!G11*'Output-Calculation-sheet'!G110</f>
        <v>16730556155.419003</v>
      </c>
      <c r="H133" s="2">
        <f>H12/'Output-Calculation-sheet'!H11*'Output-Calculation-sheet'!H110</f>
        <v>0</v>
      </c>
      <c r="I133" s="2">
        <f>I12/'Output-Calculation-sheet'!I11*'Output-Calculation-sheet'!I110</f>
        <v>15346182709.487026</v>
      </c>
      <c r="J133" s="2">
        <f>J12/'Output-Calculation-sheet'!J11*'Output-Calculation-sheet'!J110</f>
        <v>15363315674.231256</v>
      </c>
      <c r="K133" s="2">
        <f>K12/'Output-Calculation-sheet'!K11*'Output-Calculation-sheet'!K110</f>
        <v>15074969642.662464</v>
      </c>
      <c r="L133" s="2">
        <f>L12/'Output-Calculation-sheet'!L11*'Output-Calculation-sheet'!L110</f>
        <v>10836201565.205204</v>
      </c>
      <c r="M133" s="2">
        <f>M12/'Output-Calculation-sheet'!M11*'Output-Calculation-sheet'!M110</f>
        <v>0</v>
      </c>
      <c r="N133" s="2">
        <f>N12/'Output-Calculation-sheet'!N11*'Output-Calculation-sheet'!N110</f>
        <v>3149078806.5288115</v>
      </c>
      <c r="O133" s="2">
        <f>O12/'Output-Calculation-sheet'!O11*'Output-Calculation-sheet'!O110</f>
        <v>0</v>
      </c>
      <c r="P133" s="2">
        <f>P12/'Output-Calculation-sheet'!P11*'Output-Calculation-sheet'!P110</f>
        <v>10148855626.069</v>
      </c>
      <c r="Q133" s="2">
        <f>Q12/'Output-Calculation-sheet'!Q11*'Output-Calculation-sheet'!Q110</f>
        <v>8106876021.9936686</v>
      </c>
      <c r="R133" s="2">
        <f>R12/'Output-Calculation-sheet'!R11*'Output-Calculation-sheet'!R110</f>
        <v>10034676107.027702</v>
      </c>
      <c r="S133" s="2">
        <f>S12/'Output-Calculation-sheet'!S11*'Output-Calculation-sheet'!S110</f>
        <v>2418616535.3218322</v>
      </c>
      <c r="T133" s="2">
        <f>T12/'Output-Calculation-sheet'!T11*'Output-Calculation-sheet'!T110</f>
        <v>3750386924.6687078</v>
      </c>
      <c r="U133" s="2">
        <f>U12/'Output-Calculation-sheet'!U11*'Output-Calculation-sheet'!U110</f>
        <v>2963159769.1597857</v>
      </c>
      <c r="V133" s="2">
        <f>V12/'Output-Calculation-sheet'!V11*'Output-Calculation-sheet'!V110</f>
        <v>2580441651.6538248</v>
      </c>
      <c r="W133" s="2">
        <f>W12/'Output-Calculation-sheet'!W11*'Output-Calculation-sheet'!W110</f>
        <v>2173036782.6315637</v>
      </c>
      <c r="X133" s="2">
        <f>X12/'Output-Calculation-sheet'!X11*'Output-Calculation-sheet'!X110</f>
        <v>1014195.5945248302</v>
      </c>
      <c r="Y133" s="2">
        <f>Y12/'Output-Calculation-sheet'!Y11*'Output-Calculation-sheet'!Y110</f>
        <v>1144568411.5901806</v>
      </c>
      <c r="AA133" s="2">
        <f t="shared" si="11"/>
        <v>293928.53916484019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11248067932.352743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2821359833.6490693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261470560.13868916</v>
      </c>
      <c r="Y140" s="2">
        <f>Y8/'Output-Calculation-sheet'!Y7*'Output-Calculation-sheet'!Y115</f>
        <v>0</v>
      </c>
      <c r="AA140" s="2">
        <f t="shared" si="12"/>
        <v>14330.898326140501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21835819901.245869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4255840267.2554927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355019847.16230494</v>
      </c>
      <c r="Y141" s="2">
        <f>Y9/'Output-Calculation-sheet'!Y8*'Output-Calculation-sheet'!Y116</f>
        <v>0</v>
      </c>
      <c r="AA141" s="2">
        <f t="shared" si="12"/>
        <v>26446.680015663667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30164862800.828167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5883930089.6273336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377619203.27561623</v>
      </c>
      <c r="Y142" s="2">
        <f>Y10/'Output-Calculation-sheet'!Y9*'Output-Calculation-sheet'!Y117</f>
        <v>0</v>
      </c>
      <c r="AA142" s="2">
        <f t="shared" si="12"/>
        <v>36426.412093731116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39118500695.009178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8494148992.8974972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48253.853358395696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33131128343.912575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11422372439.514748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1227862244.8351717</v>
      </c>
      <c r="Y144" s="2">
        <f>Y12/'Output-Calculation-sheet'!Y11*'Output-Calculation-sheet'!Y119</f>
        <v>0</v>
      </c>
      <c r="AA144" s="2">
        <f t="shared" si="12"/>
        <v>45781.363028262494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15971939608.740084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2302859413.6220798</v>
      </c>
      <c r="H154" s="2">
        <f>H11/'Output-Calculation-sheet'!H10*'Output-Calculation-sheet'!H127</f>
        <v>2621319814.2502365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1669065380.1180949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979088140.98152375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518620552.8113476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61598.171852721905</v>
      </c>
    </row>
    <row r="155" spans="1:27" x14ac:dyDescent="0.25">
      <c r="A155" s="2">
        <v>2035</v>
      </c>
      <c r="B155" s="2">
        <f>B12/'Output-Calculation-sheet'!B11*'Output-Calculation-sheet'!B128</f>
        <v>16612081675.063807</v>
      </c>
      <c r="C155" s="2">
        <f>C12/'Output-Calculation-sheet'!C11*'Output-Calculation-sheet'!C128</f>
        <v>7935716177.5307102</v>
      </c>
      <c r="D155" s="2">
        <f>D12/'Output-Calculation-sheet'!D11*'Output-Calculation-sheet'!D128</f>
        <v>6375686313.6287537</v>
      </c>
      <c r="E155" s="2">
        <f>E12/'Output-Calculation-sheet'!E11*'Output-Calculation-sheet'!E128</f>
        <v>3135176652.3237114</v>
      </c>
      <c r="F155" s="2">
        <f>F12/'Output-Calculation-sheet'!F11*'Output-Calculation-sheet'!F128</f>
        <v>2560105742.2243619</v>
      </c>
      <c r="G155" s="2">
        <f>G12/'Output-Calculation-sheet'!G11*'Output-Calculation-sheet'!G128</f>
        <v>2433696544.7997217</v>
      </c>
      <c r="H155" s="2">
        <f>H12/'Output-Calculation-sheet'!H11*'Output-Calculation-sheet'!H128</f>
        <v>2725829206.2757673</v>
      </c>
      <c r="I155" s="2">
        <f>I12/'Output-Calculation-sheet'!I11*'Output-Calculation-sheet'!I128</f>
        <v>2094730016.7023704</v>
      </c>
      <c r="J155" s="2">
        <f>J12/'Output-Calculation-sheet'!J11*'Output-Calculation-sheet'!J128</f>
        <v>1524934090.1396933</v>
      </c>
      <c r="K155" s="2">
        <f>K12/'Output-Calculation-sheet'!K11*'Output-Calculation-sheet'!K128</f>
        <v>1685418731.857331</v>
      </c>
      <c r="L155" s="2">
        <f>L12/'Output-Calculation-sheet'!L11*'Output-Calculation-sheet'!L128</f>
        <v>733756685.83323467</v>
      </c>
      <c r="M155" s="2">
        <f>M12/'Output-Calculation-sheet'!M11*'Output-Calculation-sheet'!M128</f>
        <v>1455730057.6325953</v>
      </c>
      <c r="N155" s="2">
        <f>N12/'Output-Calculation-sheet'!N11*'Output-Calculation-sheet'!N128</f>
        <v>1282835462.5772822</v>
      </c>
      <c r="O155" s="2">
        <f>O12/'Output-Calculation-sheet'!O11*'Output-Calculation-sheet'!O128</f>
        <v>21023972.337456256</v>
      </c>
      <c r="P155" s="2">
        <f>P12/'Output-Calculation-sheet'!P11*'Output-Calculation-sheet'!P128</f>
        <v>1117679568.4890349</v>
      </c>
      <c r="Q155" s="2">
        <f>Q12/'Output-Calculation-sheet'!Q11*'Output-Calculation-sheet'!Q128</f>
        <v>1682818622.1476605</v>
      </c>
      <c r="R155" s="2">
        <f>R12/'Output-Calculation-sheet'!R11*'Output-Calculation-sheet'!R128</f>
        <v>861562968.3184725</v>
      </c>
      <c r="S155" s="2">
        <f>S12/'Output-Calculation-sheet'!S11*'Output-Calculation-sheet'!S128</f>
        <v>954333839.89711893</v>
      </c>
      <c r="T155" s="2">
        <f>T12/'Output-Calculation-sheet'!T11*'Output-Calculation-sheet'!T128</f>
        <v>234717568.42938986</v>
      </c>
      <c r="U155" s="2">
        <f>U12/'Output-Calculation-sheet'!U11*'Output-Calculation-sheet'!U128</f>
        <v>543971297.42464674</v>
      </c>
      <c r="V155" s="2">
        <f>V12/'Output-Calculation-sheet'!V11*'Output-Calculation-sheet'!V128</f>
        <v>81161057.543314233</v>
      </c>
      <c r="W155" s="2">
        <f>W12/'Output-Calculation-sheet'!W11*'Output-Calculation-sheet'!W128</f>
        <v>163628882.97887895</v>
      </c>
      <c r="X155" s="2">
        <f>X12/'Output-Calculation-sheet'!X11*'Output-Calculation-sheet'!X128</f>
        <v>11570275.265067358</v>
      </c>
      <c r="Y155" s="2">
        <f>Y12/'Output-Calculation-sheet'!Y11*'Output-Calculation-sheet'!Y128</f>
        <v>155429322.90237883</v>
      </c>
      <c r="AA155" s="2">
        <f t="shared" si="13"/>
        <v>56383.594732322767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7601.0225726610297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4789.7451716935429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3324.7491704460303</v>
      </c>
      <c r="N19" s="2">
        <f>N8/'Output-Calculation-sheet'!N7*'Output-Calculation-sheet'!N25</f>
        <v>1135.8233359412416</v>
      </c>
      <c r="O19" s="2">
        <f>O8/'Output-Calculation-sheet'!O7*'Output-Calculation-sheet'!O25</f>
        <v>981.06262140610238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175.52536817384947</v>
      </c>
      <c r="Y19" s="2">
        <f>Y8/'Output-Calculation-sheet'!Y7*'Output-Calculation-sheet'!Y25</f>
        <v>0</v>
      </c>
      <c r="AA19" s="2">
        <f t="shared" si="0"/>
        <v>19.480010869660543</v>
      </c>
    </row>
    <row r="20" spans="1:27" x14ac:dyDescent="0.25">
      <c r="A20" s="2">
        <v>2032</v>
      </c>
      <c r="B20" s="2">
        <f>B9/'Output-Calculation-sheet'!B8*'Output-Calculation-sheet'!B26</f>
        <v>6056.7181102010009</v>
      </c>
      <c r="C20" s="2">
        <f>C9/'Output-Calculation-sheet'!C8*'Output-Calculation-sheet'!C26</f>
        <v>5846.1769955871414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6587.2305044380373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4578.8382243906262</v>
      </c>
      <c r="N20" s="2">
        <f>N9/'Output-Calculation-sheet'!N8*'Output-Calculation-sheet'!N26</f>
        <v>2061.6893181606033</v>
      </c>
      <c r="O20" s="2">
        <f>O9/'Output-Calculation-sheet'!O8*'Output-Calculation-sheet'!O26</f>
        <v>1124.7428843469111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749.47001374142917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244.65084791228796</v>
      </c>
      <c r="Y20" s="2">
        <f>Y9/'Output-Calculation-sheet'!Y8*'Output-Calculation-sheet'!Y26</f>
        <v>0</v>
      </c>
      <c r="AA20" s="2">
        <f t="shared" si="0"/>
        <v>27.249516898778037</v>
      </c>
    </row>
    <row r="21" spans="1:27" x14ac:dyDescent="0.25">
      <c r="A21" s="2">
        <v>2033</v>
      </c>
      <c r="B21" s="2">
        <f>B10/'Output-Calculation-sheet'!B9*'Output-Calculation-sheet'!B27</f>
        <v>14681.499626452352</v>
      </c>
      <c r="C21" s="2">
        <f>C10/'Output-Calculation-sheet'!C9*'Output-Calculation-sheet'!C27</f>
        <v>6100.4153454902889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8529.5131781454802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5926.7993023989466</v>
      </c>
      <c r="N21" s="2">
        <f>N10/'Output-Calculation-sheet'!N9*'Output-Calculation-sheet'!N27</f>
        <v>3236.9588222017155</v>
      </c>
      <c r="O21" s="2">
        <f>O10/'Output-Calculation-sheet'!O9*'Output-Calculation-sheet'!O27</f>
        <v>1173.1794179119711</v>
      </c>
      <c r="P21" s="2">
        <f>P10/'Output-Calculation-sheet'!P9*'Output-Calculation-sheet'!P27</f>
        <v>0</v>
      </c>
      <c r="Q21" s="2">
        <f>Q10/'Output-Calculation-sheet'!Q9*'Output-Calculation-sheet'!Q27</f>
        <v>216.94675157120014</v>
      </c>
      <c r="R21" s="2">
        <f>R10/'Output-Calculation-sheet'!R9*'Output-Calculation-sheet'!R27</f>
        <v>0</v>
      </c>
      <c r="S21" s="2">
        <f>S10/'Output-Calculation-sheet'!S9*'Output-Calculation-sheet'!S27</f>
        <v>1409.1042713818028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375.56926282693212</v>
      </c>
      <c r="Y21" s="2">
        <f>Y10/'Output-Calculation-sheet'!Y9*'Output-Calculation-sheet'!Y27</f>
        <v>0</v>
      </c>
      <c r="AA21" s="2">
        <f t="shared" si="0"/>
        <v>41.649985978380684</v>
      </c>
    </row>
    <row r="22" spans="1:27" x14ac:dyDescent="0.25">
      <c r="A22" s="2">
        <v>2034</v>
      </c>
      <c r="B22" s="2">
        <f>B11/'Output-Calculation-sheet'!B10*'Output-Calculation-sheet'!B28</f>
        <v>29130.981578163341</v>
      </c>
      <c r="C22" s="2">
        <f>C11/'Output-Calculation-sheet'!C10*'Output-Calculation-sheet'!C28</f>
        <v>6341.6497363413373</v>
      </c>
      <c r="D22" s="2">
        <f>D11/'Output-Calculation-sheet'!D10*'Output-Calculation-sheet'!D28</f>
        <v>0</v>
      </c>
      <c r="E22" s="2">
        <f>E11/'Output-Calculation-sheet'!E10*'Output-Calculation-sheet'!E28</f>
        <v>1496.7438087141331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11125.833569734254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907.71958459687687</v>
      </c>
      <c r="M22" s="2">
        <f>M11/'Output-Calculation-sheet'!M10*'Output-Calculation-sheet'!M28</f>
        <v>8254.7473835851088</v>
      </c>
      <c r="N22" s="2">
        <f>N11/'Output-Calculation-sheet'!N10*'Output-Calculation-sheet'!N28</f>
        <v>4753.331330288207</v>
      </c>
      <c r="O22" s="2">
        <f>O11/'Output-Calculation-sheet'!O10*'Output-Calculation-sheet'!O28</f>
        <v>674.52645941316985</v>
      </c>
      <c r="P22" s="2">
        <f>P11/'Output-Calculation-sheet'!P10*'Output-Calculation-sheet'!P28</f>
        <v>0</v>
      </c>
      <c r="Q22" s="2">
        <f>Q11/'Output-Calculation-sheet'!Q10*'Output-Calculation-sheet'!Q28</f>
        <v>1371.883954685984</v>
      </c>
      <c r="R22" s="2">
        <f>R11/'Output-Calculation-sheet'!R10*'Output-Calculation-sheet'!R28</f>
        <v>0</v>
      </c>
      <c r="S22" s="2">
        <f>S11/'Output-Calculation-sheet'!S10*'Output-Calculation-sheet'!S28</f>
        <v>2267.4032001507048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82.625604299159704</v>
      </c>
      <c r="AA22" s="2">
        <f t="shared" si="0"/>
        <v>66.745459179013039</v>
      </c>
    </row>
    <row r="23" spans="1:27" x14ac:dyDescent="0.25">
      <c r="A23" s="2">
        <v>2035</v>
      </c>
      <c r="B23" s="2">
        <f>B12/'Output-Calculation-sheet'!B11*'Output-Calculation-sheet'!B29</f>
        <v>32208.078314109174</v>
      </c>
      <c r="C23" s="2">
        <f>C12/'Output-Calculation-sheet'!C11*'Output-Calculation-sheet'!C29</f>
        <v>12111.68274290208</v>
      </c>
      <c r="D23" s="2">
        <f>D12/'Output-Calculation-sheet'!D11*'Output-Calculation-sheet'!D29</f>
        <v>0</v>
      </c>
      <c r="E23" s="2">
        <f>E12/'Output-Calculation-sheet'!E11*'Output-Calculation-sheet'!E29</f>
        <v>5465.1435149129375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11753.65107236079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1964.4567506416704</v>
      </c>
      <c r="M23" s="2">
        <f>M12/'Output-Calculation-sheet'!M11*'Output-Calculation-sheet'!M29</f>
        <v>9032.331537570195</v>
      </c>
      <c r="N23" s="2">
        <f>N12/'Output-Calculation-sheet'!N11*'Output-Calculation-sheet'!N29</f>
        <v>5373.7366276167604</v>
      </c>
      <c r="O23" s="2">
        <f>O12/'Output-Calculation-sheet'!O11*'Output-Calculation-sheet'!O29</f>
        <v>32.911803317117773</v>
      </c>
      <c r="P23" s="2">
        <f>P12/'Output-Calculation-sheet'!P11*'Output-Calculation-sheet'!P29</f>
        <v>609.14421391392852</v>
      </c>
      <c r="Q23" s="2">
        <f>Q12/'Output-Calculation-sheet'!Q11*'Output-Calculation-sheet'!Q29</f>
        <v>1660.5300735406022</v>
      </c>
      <c r="R23" s="2">
        <f>R12/'Output-Calculation-sheet'!R11*'Output-Calculation-sheet'!R29</f>
        <v>0</v>
      </c>
      <c r="S23" s="2">
        <f>S12/'Output-Calculation-sheet'!S11*'Output-Calculation-sheet'!S29</f>
        <v>2567.2821576977967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87.957059594195016</v>
      </c>
      <c r="Y23" s="2">
        <f>Y12/'Output-Calculation-sheet'!Y11*'Output-Calculation-sheet'!Y29</f>
        <v>129.02693322724588</v>
      </c>
      <c r="AA23" s="2">
        <f t="shared" si="0"/>
        <v>82.995932801404493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1548.0847968111916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39.788088219778643</v>
      </c>
    </row>
    <row r="31" spans="1:27" x14ac:dyDescent="0.25">
      <c r="A31" s="2">
        <v>2032</v>
      </c>
      <c r="B31" s="2">
        <f>B9/'Output-Calculation-sheet'!B8*'Output-Calculation-sheet'!B17</f>
        <v>25645.891909501657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1756.642385880886</v>
      </c>
      <c r="O31" s="2">
        <f>O9/'Output-Calculation-sheet'!O8*'Output-Calculation-sheet'!O17</f>
        <v>0</v>
      </c>
      <c r="P31" s="2">
        <f>P9/'Output-Calculation-sheet'!P8*'Output-Calculation-sheet'!P17</f>
        <v>2174.6030674224116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1306.4949861478688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55.849030494761664</v>
      </c>
    </row>
    <row r="32" spans="1:27" x14ac:dyDescent="0.25">
      <c r="A32" s="2">
        <v>2033</v>
      </c>
      <c r="B32" s="2">
        <f>B10/'Output-Calculation-sheet'!B9*'Output-Calculation-sheet'!B18</f>
        <v>29979.638649923789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2853.2000875162653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1828.0482553585814</v>
      </c>
      <c r="O32" s="2">
        <f>O10/'Output-Calculation-sheet'!O9*'Output-Calculation-sheet'!O18</f>
        <v>0</v>
      </c>
      <c r="P32" s="2">
        <f>P10/'Output-Calculation-sheet'!P9*'Output-Calculation-sheet'!P18</f>
        <v>2936.5127711777168</v>
      </c>
      <c r="Q32" s="2">
        <f>Q10/'Output-Calculation-sheet'!Q9*'Output-Calculation-sheet'!Q18</f>
        <v>3201.3300843733928</v>
      </c>
      <c r="R32" s="2">
        <f>R10/'Output-Calculation-sheet'!R9*'Output-Calculation-sheet'!R18</f>
        <v>2108.6431969591886</v>
      </c>
      <c r="S32" s="2">
        <f>S10/'Output-Calculation-sheet'!S9*'Output-Calculation-sheet'!S18</f>
        <v>1380.9371527155104</v>
      </c>
      <c r="T32" s="2">
        <f>T10/'Output-Calculation-sheet'!T9*'Output-Calculation-sheet'!T18</f>
        <v>615.66521837952985</v>
      </c>
      <c r="U32" s="2">
        <f>U10/'Output-Calculation-sheet'!U9*'Output-Calculation-sheet'!U18</f>
        <v>680.60375133941432</v>
      </c>
      <c r="V32" s="2">
        <f>V10/'Output-Calculation-sheet'!V9*'Output-Calculation-sheet'!V18</f>
        <v>502.38270948420364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290.88301885269834</v>
      </c>
      <c r="AA32" s="2">
        <f t="shared" si="1"/>
        <v>71.974771792678879</v>
      </c>
    </row>
    <row r="33" spans="1:27" x14ac:dyDescent="0.25">
      <c r="A33" s="2">
        <v>2034</v>
      </c>
      <c r="B33" s="2">
        <f>B11/'Output-Calculation-sheet'!B10*'Output-Calculation-sheet'!B19</f>
        <v>29681.671413782798</v>
      </c>
      <c r="C33" s="2">
        <f>C11/'Output-Calculation-sheet'!C10*'Output-Calculation-sheet'!C19</f>
        <v>0</v>
      </c>
      <c r="D33" s="2">
        <f>D11/'Output-Calculation-sheet'!D10*'Output-Calculation-sheet'!D19</f>
        <v>8982.1760163345043</v>
      </c>
      <c r="E33" s="2">
        <f>E11/'Output-Calculation-sheet'!E10*'Output-Calculation-sheet'!E19</f>
        <v>11136.468650118277</v>
      </c>
      <c r="F33" s="2">
        <f>F11/'Output-Calculation-sheet'!F10*'Output-Calculation-sheet'!F19</f>
        <v>5098.9572526020766</v>
      </c>
      <c r="G33" s="2">
        <f>G11/'Output-Calculation-sheet'!G10*'Output-Calculation-sheet'!G19</f>
        <v>3037.6770858281025</v>
      </c>
      <c r="H33" s="2">
        <f>H11/'Output-Calculation-sheet'!H10*'Output-Calculation-sheet'!H19</f>
        <v>0</v>
      </c>
      <c r="I33" s="2">
        <f>I11/'Output-Calculation-sheet'!I10*'Output-Calculation-sheet'!I19</f>
        <v>3336.7174155017078</v>
      </c>
      <c r="J33" s="2">
        <f>J11/'Output-Calculation-sheet'!J10*'Output-Calculation-sheet'!J19</f>
        <v>2821.2907725474802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3183.038638056837</v>
      </c>
      <c r="M33" s="2">
        <f>M11/'Output-Calculation-sheet'!M10*'Output-Calculation-sheet'!M19</f>
        <v>0</v>
      </c>
      <c r="N33" s="2">
        <f>N11/'Output-Calculation-sheet'!N10*'Output-Calculation-sheet'!N19</f>
        <v>1797.6263643339348</v>
      </c>
      <c r="O33" s="2">
        <f>O11/'Output-Calculation-sheet'!O10*'Output-Calculation-sheet'!O19</f>
        <v>0</v>
      </c>
      <c r="P33" s="2">
        <f>P11/'Output-Calculation-sheet'!P10*'Output-Calculation-sheet'!P19</f>
        <v>3960.8854643654704</v>
      </c>
      <c r="Q33" s="2">
        <f>Q11/'Output-Calculation-sheet'!Q10*'Output-Calculation-sheet'!Q19</f>
        <v>3224.8889508274547</v>
      </c>
      <c r="R33" s="2">
        <f>R11/'Output-Calculation-sheet'!R10*'Output-Calculation-sheet'!R19</f>
        <v>2827.1587734512627</v>
      </c>
      <c r="S33" s="2">
        <f>S11/'Output-Calculation-sheet'!S10*'Output-Calculation-sheet'!S19</f>
        <v>1312.1083208864648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887.40778246377624</v>
      </c>
      <c r="V33" s="2">
        <f>V11/'Output-Calculation-sheet'!V10*'Output-Calculation-sheet'!V19</f>
        <v>650.58563982983469</v>
      </c>
      <c r="W33" s="2">
        <f>W11/'Output-Calculation-sheet'!W10*'Output-Calculation-sheet'!W19</f>
        <v>405.04732332467739</v>
      </c>
      <c r="X33" s="2">
        <f>X11/'Output-Calculation-sheet'!X10*'Output-Calculation-sheet'!X19</f>
        <v>0</v>
      </c>
      <c r="Y33" s="2">
        <f>Y11/'Output-Calculation-sheet'!Y10*'Output-Calculation-sheet'!Y19</f>
        <v>365.12162760290607</v>
      </c>
      <c r="AA33" s="2">
        <f t="shared" si="1"/>
        <v>87.452030883500314</v>
      </c>
    </row>
    <row r="34" spans="1:27" x14ac:dyDescent="0.25">
      <c r="A34" s="2">
        <v>2035</v>
      </c>
      <c r="B34" s="2">
        <f>B12/'Output-Calculation-sheet'!B11*'Output-Calculation-sheet'!B20</f>
        <v>29795.510383855137</v>
      </c>
      <c r="C34" s="2">
        <f>C12/'Output-Calculation-sheet'!C11*'Output-Calculation-sheet'!C20</f>
        <v>0</v>
      </c>
      <c r="D34" s="2">
        <f>D12/'Output-Calculation-sheet'!D11*'Output-Calculation-sheet'!D20</f>
        <v>9502.2043710069393</v>
      </c>
      <c r="E34" s="2">
        <f>E12/'Output-Calculation-sheet'!E11*'Output-Calculation-sheet'!E20</f>
        <v>10530.609139086469</v>
      </c>
      <c r="F34" s="2">
        <f>F12/'Output-Calculation-sheet'!F11*'Output-Calculation-sheet'!F20</f>
        <v>5914.8858634044536</v>
      </c>
      <c r="G34" s="2">
        <f>G12/'Output-Calculation-sheet'!G11*'Output-Calculation-sheet'!G20</f>
        <v>3187.6177954174254</v>
      </c>
      <c r="H34" s="2">
        <f>H12/'Output-Calculation-sheet'!H11*'Output-Calculation-sheet'!H20</f>
        <v>0</v>
      </c>
      <c r="I34" s="2">
        <f>I12/'Output-Calculation-sheet'!I11*'Output-Calculation-sheet'!I20</f>
        <v>3538.6367115245203</v>
      </c>
      <c r="J34" s="2">
        <f>J12/'Output-Calculation-sheet'!J11*'Output-Calculation-sheet'!J20</f>
        <v>3273.3423104155631</v>
      </c>
      <c r="K34" s="2">
        <f>K12/'Output-Calculation-sheet'!K11*'Output-Calculation-sheet'!K20</f>
        <v>4357.3564456919839</v>
      </c>
      <c r="L34" s="2">
        <f>L12/'Output-Calculation-sheet'!L11*'Output-Calculation-sheet'!L20</f>
        <v>3486.1858336846585</v>
      </c>
      <c r="M34" s="2">
        <f>M12/'Output-Calculation-sheet'!M11*'Output-Calculation-sheet'!M20</f>
        <v>0</v>
      </c>
      <c r="N34" s="2">
        <f>N12/'Output-Calculation-sheet'!N11*'Output-Calculation-sheet'!N20</f>
        <v>1863.5515529380157</v>
      </c>
      <c r="O34" s="2">
        <f>O12/'Output-Calculation-sheet'!O11*'Output-Calculation-sheet'!O20</f>
        <v>0</v>
      </c>
      <c r="P34" s="2">
        <f>P12/'Output-Calculation-sheet'!P11*'Output-Calculation-sheet'!P20</f>
        <v>3997.8902480309048</v>
      </c>
      <c r="Q34" s="2">
        <f>Q12/'Output-Calculation-sheet'!Q11*'Output-Calculation-sheet'!Q20</f>
        <v>3270.8228572583312</v>
      </c>
      <c r="R34" s="2">
        <f>R12/'Output-Calculation-sheet'!R11*'Output-Calculation-sheet'!R20</f>
        <v>3345.1158364371659</v>
      </c>
      <c r="S34" s="2">
        <f>S12/'Output-Calculation-sheet'!S11*'Output-Calculation-sheet'!S20</f>
        <v>1290.4617016935167</v>
      </c>
      <c r="T34" s="2">
        <f>T12/'Output-Calculation-sheet'!T11*'Output-Calculation-sheet'!T20</f>
        <v>1014.9076373960427</v>
      </c>
      <c r="U34" s="2">
        <f>U12/'Output-Calculation-sheet'!U11*'Output-Calculation-sheet'!U20</f>
        <v>934.10841781758393</v>
      </c>
      <c r="V34" s="2">
        <f>V12/'Output-Calculation-sheet'!V11*'Output-Calculation-sheet'!V20</f>
        <v>919.26316936050409</v>
      </c>
      <c r="W34" s="2">
        <f>W12/'Output-Calculation-sheet'!W11*'Output-Calculation-sheet'!W20</f>
        <v>498.52498724802098</v>
      </c>
      <c r="X34" s="2">
        <f>X12/'Output-Calculation-sheet'!X11*'Output-Calculation-sheet'!X20</f>
        <v>1.1059935314092746</v>
      </c>
      <c r="Y34" s="2">
        <f>Y12/'Output-Calculation-sheet'!Y11*'Output-Calculation-sheet'!Y20</f>
        <v>361.00357700934188</v>
      </c>
      <c r="AA34" s="2">
        <f t="shared" si="1"/>
        <v>91.083104832808004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0.13415386199807391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2.0232982719893083E-2</v>
      </c>
      <c r="H44" s="2">
        <f>H11/'Output-Calculation-sheet'!H10*'Output-Calculation-sheet'!H37*0.0114</f>
        <v>1.9600378903763826E-2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1.1613849669447365E-2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7.5985116228335292E-3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3.7055163519670669E-3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0.19690510126597877</v>
      </c>
    </row>
    <row r="45" spans="1:27" x14ac:dyDescent="0.25">
      <c r="A45" s="2">
        <v>2035</v>
      </c>
      <c r="B45" s="2">
        <f>B12/'Output-Calculation-sheet'!B11*'Output-Calculation-sheet'!B38*0.0114</f>
        <v>0.56560259128039247</v>
      </c>
      <c r="C45" s="2">
        <f>C12/'Output-Calculation-sheet'!C11*'Output-Calculation-sheet'!C38*0.0114</f>
        <v>0.3355601011519741</v>
      </c>
      <c r="D45" s="2">
        <f>D12/'Output-Calculation-sheet'!D11*'Output-Calculation-sheet'!D38*0.0114</f>
        <v>5.9449661072567252E-2</v>
      </c>
      <c r="E45" s="2">
        <f>E12/'Output-Calculation-sheet'!E11*'Output-Calculation-sheet'!E38*0.0114</f>
        <v>0.18898671482643456</v>
      </c>
      <c r="F45" s="2">
        <f>F12/'Output-Calculation-sheet'!F11*'Output-Calculation-sheet'!F38*0.0114</f>
        <v>5.9429820932214862E-2</v>
      </c>
      <c r="G45" s="2">
        <f>G12/'Output-Calculation-sheet'!G11*'Output-Calculation-sheet'!G38*0.0114</f>
        <v>4.265187481470803E-2</v>
      </c>
      <c r="H45" s="2">
        <f>H12/'Output-Calculation-sheet'!H11*'Output-Calculation-sheet'!H38*0.0114</f>
        <v>0.12395496782126394</v>
      </c>
      <c r="I45" s="2">
        <f>I12/'Output-Calculation-sheet'!I11*'Output-Calculation-sheet'!I38*0.0114</f>
        <v>3.8362725730435525E-2</v>
      </c>
      <c r="J45" s="2">
        <f>J12/'Output-Calculation-sheet'!J11*'Output-Calculation-sheet'!J38*0.0114</f>
        <v>1.8983195339137459E-2</v>
      </c>
      <c r="K45" s="2">
        <f>K12/'Output-Calculation-sheet'!K11*'Output-Calculation-sheet'!K38*0.0114</f>
        <v>3.7704452932030327E-2</v>
      </c>
      <c r="L45" s="2">
        <f>L12/'Output-Calculation-sheet'!L11*'Output-Calculation-sheet'!L38*0.0114</f>
        <v>1.4990422618640926E-2</v>
      </c>
      <c r="M45" s="2">
        <f>M12/'Output-Calculation-sheet'!M11*'Output-Calculation-sheet'!M38*0.0114</f>
        <v>7.1077567582811793E-2</v>
      </c>
      <c r="N45" s="2">
        <f>N12/'Output-Calculation-sheet'!N11*'Output-Calculation-sheet'!N38*0.0114</f>
        <v>4.1914633160335071E-2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5.1629011589865534E-2</v>
      </c>
      <c r="Q45" s="2">
        <f>Q12/'Output-Calculation-sheet'!Q11*'Output-Calculation-sheet'!Q38*0.0114</f>
        <v>3.6723636035956998E-2</v>
      </c>
      <c r="R45" s="2">
        <f>R12/'Output-Calculation-sheet'!R11*'Output-Calculation-sheet'!R38*0.0114</f>
        <v>2.4278937740387856E-2</v>
      </c>
      <c r="S45" s="2">
        <f>S12/'Output-Calculation-sheet'!S11*'Output-Calculation-sheet'!S38*0.0114</f>
        <v>3.2035886255816687E-2</v>
      </c>
      <c r="T45" s="2">
        <f>T12/'Output-Calculation-sheet'!T11*'Output-Calculation-sheet'!T38*0.0114</f>
        <v>4.4911461777007115E-3</v>
      </c>
      <c r="U45" s="2">
        <f>U12/'Output-Calculation-sheet'!U11*'Output-Calculation-sheet'!U38*0.0114</f>
        <v>1.1717047982195979E-2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5.2157182801881551E-3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7.5245986479963818E-3</v>
      </c>
      <c r="AA45" s="2">
        <f t="shared" si="2"/>
        <v>1.7898938070050474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2936.5656696269998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6764.0178357032346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4626.0718350672169</v>
      </c>
      <c r="N52" s="2">
        <f>N8/'Output-Calculation-sheet'!N7*'Output-Calculation-sheet'!N43</f>
        <v>146.13002119455589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31.279369331384881</v>
      </c>
      <c r="Y52" s="2">
        <f>Y8/'Output-Calculation-sheet'!Y7*'Output-Calculation-sheet'!Y43</f>
        <v>0</v>
      </c>
      <c r="AA52" s="2">
        <f t="shared" si="3"/>
        <v>14.504064730923393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508.09132867116477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13175.724290282746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9019.6130374679415</v>
      </c>
      <c r="N53" s="2">
        <f>N9/'Output-Calculation-sheet'!N8*'Output-Calculation-sheet'!N44</f>
        <v>3200.7318334664897</v>
      </c>
      <c r="O53" s="2">
        <f>O9/'Output-Calculation-sheet'!O8*'Output-Calculation-sheet'!O44</f>
        <v>177.48463083016597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997.55050479628449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275.40786723543914</v>
      </c>
      <c r="Y53" s="2">
        <f>Y9/'Output-Calculation-sheet'!Y8*'Output-Calculation-sheet'!Y44</f>
        <v>0</v>
      </c>
      <c r="AA53" s="2">
        <f t="shared" si="3"/>
        <v>27.496482747390441</v>
      </c>
    </row>
    <row r="54" spans="1:27" x14ac:dyDescent="0.25">
      <c r="A54" s="2">
        <v>2033</v>
      </c>
      <c r="B54" s="2">
        <f>B10/'Output-Calculation-sheet'!B9*'Output-Calculation-sheet'!B45</f>
        <v>28196.190819155832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14085.363228088596</v>
      </c>
      <c r="N54" s="2">
        <f>N10/'Output-Calculation-sheet'!N9*'Output-Calculation-sheet'!N45</f>
        <v>7883.1313244304738</v>
      </c>
      <c r="O54" s="2">
        <f>O10/'Output-Calculation-sheet'!O9*'Output-Calculation-sheet'!O45</f>
        <v>1049.7473107287617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819.73065610182084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86.100894437249153</v>
      </c>
    </row>
    <row r="55" spans="1:27" x14ac:dyDescent="0.25">
      <c r="A55" s="2">
        <v>2034</v>
      </c>
      <c r="B55" s="2">
        <f>B11/'Output-Calculation-sheet'!B10*'Output-Calculation-sheet'!B46</f>
        <v>82940.036786177632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294.28512892200803</v>
      </c>
      <c r="G55" s="2">
        <f>G11/'Output-Calculation-sheet'!G10*'Output-Calculation-sheet'!G46</f>
        <v>3317.1442722351026</v>
      </c>
      <c r="H55" s="2">
        <f>H11/'Output-Calculation-sheet'!H10*'Output-Calculation-sheet'!H46</f>
        <v>25664.461043551106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18071.354300938059</v>
      </c>
      <c r="N55" s="2">
        <f>N11/'Output-Calculation-sheet'!N10*'Output-Calculation-sheet'!N46</f>
        <v>13688.050453551974</v>
      </c>
      <c r="O55" s="2">
        <f>O11/'Output-Calculation-sheet'!O10*'Output-Calculation-sheet'!O46</f>
        <v>525.17410532407541</v>
      </c>
      <c r="P55" s="2">
        <f>P11/'Output-Calculation-sheet'!P10*'Output-Calculation-sheet'!P46</f>
        <v>5065.8758813155</v>
      </c>
      <c r="Q55" s="2">
        <f>Q11/'Output-Calculation-sheet'!Q10*'Output-Calculation-sheet'!Q46</f>
        <v>3952.7839225838397</v>
      </c>
      <c r="R55" s="2">
        <f>R11/'Output-Calculation-sheet'!R10*'Output-Calculation-sheet'!R46</f>
        <v>4105.8238594412196</v>
      </c>
      <c r="S55" s="2">
        <f>S11/'Output-Calculation-sheet'!S10*'Output-Calculation-sheet'!S46</f>
        <v>6413.410424114405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1212.743992034134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204.93599555016081</v>
      </c>
    </row>
    <row r="56" spans="1:27" x14ac:dyDescent="0.25">
      <c r="A56" s="2">
        <v>2035</v>
      </c>
      <c r="B56" s="2">
        <f>B12/'Output-Calculation-sheet'!B11*'Output-Calculation-sheet'!B47</f>
        <v>91860.806820670769</v>
      </c>
      <c r="C56" s="2">
        <f>C12/'Output-Calculation-sheet'!C11*'Output-Calculation-sheet'!C47</f>
        <v>28628.574945650002</v>
      </c>
      <c r="D56" s="2">
        <f>D12/'Output-Calculation-sheet'!D11*'Output-Calculation-sheet'!D47</f>
        <v>9418.0778857067053</v>
      </c>
      <c r="E56" s="2">
        <f>E12/'Output-Calculation-sheet'!E11*'Output-Calculation-sheet'!E47</f>
        <v>23822.272737332143</v>
      </c>
      <c r="F56" s="2">
        <f>F12/'Output-Calculation-sheet'!F11*'Output-Calculation-sheet'!F47</f>
        <v>1368.4498240970527</v>
      </c>
      <c r="G56" s="2">
        <f>G12/'Output-Calculation-sheet'!G11*'Output-Calculation-sheet'!G47</f>
        <v>3485.1071394649589</v>
      </c>
      <c r="H56" s="2">
        <f>H12/'Output-Calculation-sheet'!H11*'Output-Calculation-sheet'!H47</f>
        <v>27170.421528424129</v>
      </c>
      <c r="I56" s="2">
        <f>I12/'Output-Calculation-sheet'!I11*'Output-Calculation-sheet'!I47</f>
        <v>2220.999910709425</v>
      </c>
      <c r="J56" s="2">
        <f>J12/'Output-Calculation-sheet'!J11*'Output-Calculation-sheet'!J47</f>
        <v>3663.4236619388075</v>
      </c>
      <c r="K56" s="2">
        <f>K12/'Output-Calculation-sheet'!K11*'Output-Calculation-sheet'!K47</f>
        <v>5009.0696461017487</v>
      </c>
      <c r="L56" s="2">
        <f>L12/'Output-Calculation-sheet'!L11*'Output-Calculation-sheet'!L47</f>
        <v>5363.6784088979239</v>
      </c>
      <c r="M56" s="2">
        <f>M12/'Output-Calculation-sheet'!M11*'Output-Calculation-sheet'!M47</f>
        <v>19151.040051523221</v>
      </c>
      <c r="N56" s="2">
        <f>N12/'Output-Calculation-sheet'!N11*'Output-Calculation-sheet'!N47</f>
        <v>15498.609676771852</v>
      </c>
      <c r="O56" s="2">
        <f>O12/'Output-Calculation-sheet'!O11*'Output-Calculation-sheet'!O47</f>
        <v>69.764742757903321</v>
      </c>
      <c r="P56" s="2">
        <f>P12/'Output-Calculation-sheet'!P11*'Output-Calculation-sheet'!P47</f>
        <v>6643.838596695854</v>
      </c>
      <c r="Q56" s="2">
        <f>Q12/'Output-Calculation-sheet'!Q11*'Output-Calculation-sheet'!Q47</f>
        <v>4673.1363751018962</v>
      </c>
      <c r="R56" s="2">
        <f>R12/'Output-Calculation-sheet'!R11*'Output-Calculation-sheet'!R47</f>
        <v>5460.6312602065318</v>
      </c>
      <c r="S56" s="2">
        <f>S12/'Output-Calculation-sheet'!S11*'Output-Calculation-sheet'!S47</f>
        <v>7206.6693248282354</v>
      </c>
      <c r="T56" s="2">
        <f>T12/'Output-Calculation-sheet'!T11*'Output-Calculation-sheet'!T47</f>
        <v>1844.915574576529</v>
      </c>
      <c r="U56" s="2">
        <f>U12/'Output-Calculation-sheet'!U11*'Output-Calculation-sheet'!U47</f>
        <v>1287.8474668150491</v>
      </c>
      <c r="V56" s="2">
        <f>V12/'Output-Calculation-sheet'!V11*'Output-Calculation-sheet'!V47</f>
        <v>1272.5426066902378</v>
      </c>
      <c r="W56" s="2">
        <f>W12/'Output-Calculation-sheet'!W11*'Output-Calculation-sheet'!W47</f>
        <v>450.42760060045953</v>
      </c>
      <c r="X56" s="2">
        <f>X12/'Output-Calculation-sheet'!X11*'Output-Calculation-sheet'!X47</f>
        <v>151.15928907943703</v>
      </c>
      <c r="Y56" s="2">
        <f>Y12/'Output-Calculation-sheet'!Y11*'Output-Calculation-sheet'!Y47</f>
        <v>599.85572379816767</v>
      </c>
      <c r="AA56" s="2">
        <f t="shared" si="3"/>
        <v>266.32132079843899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7.2369728018613779</v>
      </c>
      <c r="C63" s="2">
        <f>C8*'Output-Calculation-sheet'!C52/10^9</f>
        <v>4.3773940274408236</v>
      </c>
      <c r="D63" s="2">
        <f>D8*'Output-Calculation-sheet'!D52/10^9</f>
        <v>2.4817130636685492</v>
      </c>
      <c r="E63" s="2">
        <f>E8*'Output-Calculation-sheet'!E52/10^9</f>
        <v>2.4674884757099709</v>
      </c>
      <c r="F63" s="2">
        <f>F8*'Output-Calculation-sheet'!F52/10^9</f>
        <v>1.0449811654769465</v>
      </c>
      <c r="G63" s="2">
        <f>G8*'Output-Calculation-sheet'!G52/10^9</f>
        <v>0.75129424976011716</v>
      </c>
      <c r="H63" s="2">
        <f>H8*'Output-Calculation-sheet'!H52/10^9</f>
        <v>1.3122830323485093</v>
      </c>
      <c r="I63" s="2">
        <f>I8*'Output-Calculation-sheet'!I52/10^9</f>
        <v>0.69887807460687268</v>
      </c>
      <c r="J63" s="2">
        <f>J8*'Output-Calculation-sheet'!J52/10^9</f>
        <v>0.96170360196491111</v>
      </c>
      <c r="K63" s="2">
        <f>K8*'Output-Calculation-sheet'!K52/10^9</f>
        <v>0.84494215021976937</v>
      </c>
      <c r="L63" s="2">
        <f>L8*'Output-Calculation-sheet'!L52/10^9</f>
        <v>1.1364878457603016</v>
      </c>
      <c r="M63" s="2">
        <f>M8*'Output-Calculation-sheet'!M52/10^9</f>
        <v>1.0651937016097848</v>
      </c>
      <c r="N63" s="2">
        <f>N8*'Output-Calculation-sheet'!N52/10^9</f>
        <v>0.88904587761851983</v>
      </c>
      <c r="O63" s="2">
        <f>O8*'Output-Calculation-sheet'!O52/10^9</f>
        <v>0.89345242635985123</v>
      </c>
      <c r="P63" s="2">
        <f>P8*'Output-Calculation-sheet'!P52/10^9</f>
        <v>0.58383223349186952</v>
      </c>
      <c r="Q63" s="2">
        <f>Q8*'Output-Calculation-sheet'!Q52/10^9</f>
        <v>0.66072699866719464</v>
      </c>
      <c r="R63" s="2">
        <f>R8*'Output-Calculation-sheet'!R52/10^9</f>
        <v>0.59320169032373127</v>
      </c>
      <c r="S63" s="2">
        <f>S8*'Output-Calculation-sheet'!S52/10^9</f>
        <v>0.4395834707094764</v>
      </c>
      <c r="T63" s="2">
        <f>T8*'Output-Calculation-sheet'!T52/10^9</f>
        <v>0.22552680879933945</v>
      </c>
      <c r="U63" s="2">
        <f>U8*'Output-Calculation-sheet'!U52/10^9</f>
        <v>0.15488939561412415</v>
      </c>
      <c r="V63" s="2">
        <f>V8*'Output-Calculation-sheet'!V52/10^9</f>
        <v>0.27489207398096599</v>
      </c>
      <c r="W63" s="2">
        <f>W8*'Output-Calculation-sheet'!W52/10^9</f>
        <v>9.9498051957211633E-2</v>
      </c>
      <c r="X63" s="2">
        <f>X8*'Output-Calculation-sheet'!X52/10^9</f>
        <v>0.11326465619589701</v>
      </c>
      <c r="Y63" s="2">
        <f>Y8*'Output-Calculation-sheet'!Y52/10^9</f>
        <v>6.4919711109192965E-2</v>
      </c>
      <c r="AA63" s="2">
        <f t="shared" si="4"/>
        <v>29.372165585255313</v>
      </c>
    </row>
    <row r="64" spans="1:27" x14ac:dyDescent="0.25">
      <c r="A64" s="2">
        <v>2032</v>
      </c>
      <c r="B64" s="2">
        <f>B9*'Output-Calculation-sheet'!B53/10^9</f>
        <v>7.5938689846999896</v>
      </c>
      <c r="C64" s="2">
        <f>C9*'Output-Calculation-sheet'!C53/10^9</f>
        <v>4.8448860766028767</v>
      </c>
      <c r="D64" s="2">
        <f>D9*'Output-Calculation-sheet'!D53/10^9</f>
        <v>2.2473424994022886</v>
      </c>
      <c r="E64" s="2">
        <f>E9*'Output-Calculation-sheet'!E53/10^9</f>
        <v>2.3013775977394673</v>
      </c>
      <c r="F64" s="2">
        <f>F9*'Output-Calculation-sheet'!F53/10^9</f>
        <v>0.97070663990411854</v>
      </c>
      <c r="G64" s="2">
        <f>G9*'Output-Calculation-sheet'!G53/10^9</f>
        <v>0.69091929129890028</v>
      </c>
      <c r="H64" s="2">
        <f>H9*'Output-Calculation-sheet'!H53/10^9</f>
        <v>1.4196384247046272</v>
      </c>
      <c r="I64" s="2">
        <f>I9*'Output-Calculation-sheet'!I53/10^9</f>
        <v>0.64589661603417348</v>
      </c>
      <c r="J64" s="2">
        <f>J9*'Output-Calculation-sheet'!J53/10^9</f>
        <v>0.85503588310432355</v>
      </c>
      <c r="K64" s="2">
        <f>K9*'Output-Calculation-sheet'!K53/10^9</f>
        <v>0.79335696888683904</v>
      </c>
      <c r="L64" s="2">
        <f>L9*'Output-Calculation-sheet'!L53/10^9</f>
        <v>1.0206513691854717</v>
      </c>
      <c r="M64" s="2">
        <f>M9*'Output-Calculation-sheet'!M53/10^9</f>
        <v>1.1125785579681722</v>
      </c>
      <c r="N64" s="2">
        <f>N9*'Output-Calculation-sheet'!N53/10^9</f>
        <v>0.93666628509890182</v>
      </c>
      <c r="O64" s="2">
        <f>O9*'Output-Calculation-sheet'!O53/10^9</f>
        <v>0.97889717748770166</v>
      </c>
      <c r="P64" s="2">
        <f>P9*'Output-Calculation-sheet'!P53/10^9</f>
        <v>0.60488073029307321</v>
      </c>
      <c r="Q64" s="2">
        <f>Q9*'Output-Calculation-sheet'!Q53/10^9</f>
        <v>0.66848429910646412</v>
      </c>
      <c r="R64" s="2">
        <f>R9*'Output-Calculation-sheet'!R53/10^9</f>
        <v>0.5730489081015756</v>
      </c>
      <c r="S64" s="2">
        <f>S9*'Output-Calculation-sheet'!S53/10^9</f>
        <v>0.47346646422320909</v>
      </c>
      <c r="T64" s="2">
        <f>T9*'Output-Calculation-sheet'!T53/10^9</f>
        <v>0.20599534803036162</v>
      </c>
      <c r="U64" s="2">
        <f>U9*'Output-Calculation-sheet'!U53/10^9</f>
        <v>0.155048403549506</v>
      </c>
      <c r="V64" s="2">
        <f>V9*'Output-Calculation-sheet'!V53/10^9</f>
        <v>0.24450254827920917</v>
      </c>
      <c r="W64" s="2">
        <f>W9*'Output-Calculation-sheet'!W53/10^9</f>
        <v>9.0852582863905226E-2</v>
      </c>
      <c r="X64" s="2">
        <f>X9*'Output-Calculation-sheet'!X53/10^9</f>
        <v>0.12197689689204926</v>
      </c>
      <c r="Y64" s="2">
        <f>Y9*'Output-Calculation-sheet'!Y53/10^9</f>
        <v>6.3654317627922299E-2</v>
      </c>
      <c r="AA64" s="2">
        <f t="shared" si="4"/>
        <v>29.613732871085137</v>
      </c>
    </row>
    <row r="65" spans="1:27" x14ac:dyDescent="0.25">
      <c r="A65" s="2">
        <v>2033</v>
      </c>
      <c r="B65" s="2">
        <f>B10*'Output-Calculation-sheet'!B54/10^9</f>
        <v>8.1280209925301268</v>
      </c>
      <c r="C65" s="2">
        <f>C10*'Output-Calculation-sheet'!C54/10^9</f>
        <v>5.2765755602546429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1.4893564800769441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0.74833966055724332</v>
      </c>
      <c r="L65" s="2">
        <f>L10*'Output-Calculation-sheet'!L54/10^9</f>
        <v>0.88389155314656986</v>
      </c>
      <c r="M65" s="2">
        <f>M10*'Output-Calculation-sheet'!M54/10^9</f>
        <v>1.1245423680042836</v>
      </c>
      <c r="N65" s="2">
        <f>N10*'Output-Calculation-sheet'!N54/10^9</f>
        <v>0.97105243560453358</v>
      </c>
      <c r="O65" s="2">
        <f>O10*'Output-Calculation-sheet'!O54/10^9</f>
        <v>1.0547562701547166</v>
      </c>
      <c r="P65" s="2">
        <f>P10*'Output-Calculation-sheet'!P54/10^9</f>
        <v>0.63314341034442756</v>
      </c>
      <c r="Q65" s="2">
        <f>Q10*'Output-Calculation-sheet'!Q54/10^9</f>
        <v>0.69095069136670739</v>
      </c>
      <c r="R65" s="2">
        <f>R10*'Output-Calculation-sheet'!R54/10^9</f>
        <v>0.55741057288045037</v>
      </c>
      <c r="S65" s="2">
        <f>S10*'Output-Calculation-sheet'!S54/10^9</f>
        <v>0.50631474439112378</v>
      </c>
      <c r="T65" s="2">
        <f>T10*'Output-Calculation-sheet'!T54/10^9</f>
        <v>0.18636677948723979</v>
      </c>
      <c r="U65" s="2">
        <f>U10*'Output-Calculation-sheet'!U54/10^9</f>
        <v>0.16092332783707738</v>
      </c>
      <c r="V65" s="2">
        <f>V10*'Output-Calculation-sheet'!V54/10^9</f>
        <v>0.20625082069873762</v>
      </c>
      <c r="W65" s="2">
        <f>W10*'Output-Calculation-sheet'!W54/10^9</f>
        <v>7.8524430765471456E-2</v>
      </c>
      <c r="X65" s="2">
        <f>X10*'Output-Calculation-sheet'!X54/10^9</f>
        <v>0.12839877318837445</v>
      </c>
      <c r="Y65" s="2">
        <f>Y10*'Output-Calculation-sheet'!Y54/10^9</f>
        <v>6.4635647265771395E-2</v>
      </c>
      <c r="AA65" s="2">
        <f t="shared" si="4"/>
        <v>29.740320807056303</v>
      </c>
    </row>
    <row r="66" spans="1:27" x14ac:dyDescent="0.25">
      <c r="A66" s="2">
        <v>2034</v>
      </c>
      <c r="B66" s="2">
        <f>B11*'Output-Calculation-sheet'!B55/10^9</f>
        <v>8.8566848556594167</v>
      </c>
      <c r="C66" s="2">
        <f>C11*'Output-Calculation-sheet'!C55/10^9</f>
        <v>5.6899997724263685</v>
      </c>
      <c r="D66" s="2">
        <f>D11*'Output-Calculation-sheet'!D55/10^9</f>
        <v>1.8530844087178899</v>
      </c>
      <c r="E66" s="2">
        <f>E11*'Output-Calculation-sheet'!E55/10^9</f>
        <v>2.2439500988291674</v>
      </c>
      <c r="F66" s="2">
        <f>F11*'Output-Calculation-sheet'!F55/10^9</f>
        <v>0.86238645151440296</v>
      </c>
      <c r="G66" s="2">
        <f>G11*'Output-Calculation-sheet'!G55/10^9</f>
        <v>0.61645497221174872</v>
      </c>
      <c r="H66" s="2">
        <f>H11*'Output-Calculation-sheet'!H55/10^9</f>
        <v>1.5749523560770358</v>
      </c>
      <c r="I66" s="2">
        <f>I11*'Output-Calculation-sheet'!I55/10^9</f>
        <v>0.60279325662463557</v>
      </c>
      <c r="J66" s="2">
        <f>J11*'Output-Calculation-sheet'!J55/10^9</f>
        <v>0.61985608415541171</v>
      </c>
      <c r="K66" s="2">
        <f>K11*'Output-Calculation-sheet'!K55/10^9</f>
        <v>0.74139759359122093</v>
      </c>
      <c r="L66" s="2">
        <f>L11*'Output-Calculation-sheet'!L55/10^9</f>
        <v>0.7851912434236461</v>
      </c>
      <c r="M66" s="2">
        <f>M11*'Output-Calculation-sheet'!M55/10^9</f>
        <v>1.1417025489028265</v>
      </c>
      <c r="N66" s="2">
        <f>N11*'Output-Calculation-sheet'!N55/10^9</f>
        <v>0.99753891600402156</v>
      </c>
      <c r="O66" s="2">
        <f>O11*'Output-Calculation-sheet'!O55/10^9</f>
        <v>1.1226698137272639</v>
      </c>
      <c r="P66" s="2">
        <f>P11*'Output-Calculation-sheet'!P55/10^9</f>
        <v>0.68577034986048235</v>
      </c>
      <c r="Q66" s="2">
        <f>Q11*'Output-Calculation-sheet'!Q55/10^9</f>
        <v>0.74615525913149039</v>
      </c>
      <c r="R66" s="2">
        <f>R11*'Output-Calculation-sheet'!R55/10^9</f>
        <v>0.55542900550957641</v>
      </c>
      <c r="S66" s="2">
        <f>S11*'Output-Calculation-sheet'!S55/10^9</f>
        <v>0.54606149934402481</v>
      </c>
      <c r="T66" s="2">
        <f>T11*'Output-Calculation-sheet'!T55/10^9</f>
        <v>0.17408380521182185</v>
      </c>
      <c r="U66" s="2">
        <f>U11*'Output-Calculation-sheet'!U55/10^9</f>
        <v>0.17680378334944397</v>
      </c>
      <c r="V66" s="2">
        <f>V11*'Output-Calculation-sheet'!V55/10^9</f>
        <v>0.16514304838071961</v>
      </c>
      <c r="W66" s="2">
        <f>W11*'Output-Calculation-sheet'!W55/10^9</f>
        <v>7.4776437461086018E-2</v>
      </c>
      <c r="X66" s="2">
        <f>X11*'Output-Calculation-sheet'!X55/10^9</f>
        <v>0.13343735783747257</v>
      </c>
      <c r="Y66" s="2">
        <f>Y11*'Output-Calculation-sheet'!Y55/10^9</f>
        <v>7.3375863977064817E-2</v>
      </c>
      <c r="AA66" s="2">
        <f t="shared" si="4"/>
        <v>31.039698781928244</v>
      </c>
    </row>
    <row r="67" spans="1:27" x14ac:dyDescent="0.25">
      <c r="A67" s="2">
        <v>2035</v>
      </c>
      <c r="B67" s="2">
        <f>B12*'Output-Calculation-sheet'!B56/10^9</f>
        <v>9.6951900568658367</v>
      </c>
      <c r="C67" s="2">
        <f>C12*'Output-Calculation-sheet'!C56/10^9</f>
        <v>6.0890773084500829</v>
      </c>
      <c r="D67" s="2">
        <f>D12*'Output-Calculation-sheet'!D56/10^9</f>
        <v>2.0172230651480239</v>
      </c>
      <c r="E67" s="2">
        <f>E12*'Output-Calculation-sheet'!E56/10^9</f>
        <v>2.7387363323739802</v>
      </c>
      <c r="F67" s="2">
        <f>F12*'Output-Calculation-sheet'!F56/10^9</f>
        <v>1.0003337870768414</v>
      </c>
      <c r="G67" s="2">
        <f>G12*'Output-Calculation-sheet'!G56/10^9</f>
        <v>0.70074360282552672</v>
      </c>
      <c r="H67" s="2">
        <f>H12*'Output-Calculation-sheet'!H56/10^9</f>
        <v>1.6927210296467348</v>
      </c>
      <c r="I67" s="2">
        <f>I12*'Output-Calculation-sheet'!I56/10^9</f>
        <v>0.68071246606994862</v>
      </c>
      <c r="J67" s="2">
        <f>J12*'Output-Calculation-sheet'!J56/10^9</f>
        <v>0.67389455236699691</v>
      </c>
      <c r="K67" s="2">
        <f>K12*'Output-Calculation-sheet'!K56/10^9</f>
        <v>0.81205022482460687</v>
      </c>
      <c r="L67" s="2">
        <f>L12*'Output-Calculation-sheet'!L56/10^9</f>
        <v>0.81576563417569203</v>
      </c>
      <c r="M67" s="2">
        <f>M12*'Output-Calculation-sheet'!M56/10^9</f>
        <v>1.2382479469765781</v>
      </c>
      <c r="N67" s="2">
        <f>N12*'Output-Calculation-sheet'!N56/10^9</f>
        <v>1.0635492518060752</v>
      </c>
      <c r="O67" s="2">
        <f>O12*'Output-Calculation-sheet'!O56/10^9</f>
        <v>1.1930594737152203</v>
      </c>
      <c r="P67" s="2">
        <f>P12*'Output-Calculation-sheet'!P56/10^9</f>
        <v>0.78652761922476078</v>
      </c>
      <c r="Q67" s="2">
        <f>Q12*'Output-Calculation-sheet'!Q56/10^9</f>
        <v>0.80956581774808734</v>
      </c>
      <c r="R67" s="2">
        <f>R12*'Output-Calculation-sheet'!R56/10^9</f>
        <v>0.61599206075134771</v>
      </c>
      <c r="S67" s="2">
        <f>S12*'Output-Calculation-sheet'!S56/10^9</f>
        <v>0.58697159042653679</v>
      </c>
      <c r="T67" s="2">
        <f>T12*'Output-Calculation-sheet'!T56/10^9</f>
        <v>0.18667073536016315</v>
      </c>
      <c r="U67" s="2">
        <f>U12*'Output-Calculation-sheet'!U56/10^9</f>
        <v>0.19519882682093923</v>
      </c>
      <c r="V67" s="2">
        <f>V12*'Output-Calculation-sheet'!V56/10^9</f>
        <v>0.14973507556785989</v>
      </c>
      <c r="W67" s="2">
        <f>W12*'Output-Calculation-sheet'!W56/10^9</f>
        <v>9.0405313079443786E-2</v>
      </c>
      <c r="X67" s="2">
        <f>X12*'Output-Calculation-sheet'!X56/10^9</f>
        <v>0.14311656779286941</v>
      </c>
      <c r="Y67" s="2">
        <f>Y12*'Output-Calculation-sheet'!Y56/10^9</f>
        <v>8.7362566003287553E-2</v>
      </c>
      <c r="AA67" s="2">
        <f t="shared" si="4"/>
        <v>34.062850905097427</v>
      </c>
    </row>
    <row r="68" spans="1:27" x14ac:dyDescent="0.25">
      <c r="B68" s="2">
        <f>SUM(B60:B67)</f>
        <v>41.510737691616754</v>
      </c>
      <c r="C68" s="2">
        <f t="shared" ref="C68:Y68" si="5">SUM(C60:C67)</f>
        <v>26.277932745174795</v>
      </c>
      <c r="D68" s="2">
        <f t="shared" si="5"/>
        <v>10.519521147098381</v>
      </c>
      <c r="E68" s="2">
        <f t="shared" si="5"/>
        <v>11.913617809237756</v>
      </c>
      <c r="F68" s="2">
        <f t="shared" si="5"/>
        <v>4.756168646908602</v>
      </c>
      <c r="G68" s="2">
        <f t="shared" si="5"/>
        <v>3.3620746712144713</v>
      </c>
      <c r="H68" s="2">
        <f t="shared" si="5"/>
        <v>7.4889513228538513</v>
      </c>
      <c r="I68" s="2">
        <f t="shared" si="5"/>
        <v>3.2151094163779241</v>
      </c>
      <c r="J68" s="2">
        <f t="shared" si="5"/>
        <v>3.8118808342499402</v>
      </c>
      <c r="K68" s="2">
        <f t="shared" si="5"/>
        <v>3.94008659807968</v>
      </c>
      <c r="L68" s="2">
        <f t="shared" si="5"/>
        <v>4.6419876456916809</v>
      </c>
      <c r="M68" s="2">
        <f t="shared" si="5"/>
        <v>5.6822651234616455</v>
      </c>
      <c r="N68" s="2">
        <f t="shared" si="5"/>
        <v>4.8578527661320514</v>
      </c>
      <c r="O68" s="2">
        <f t="shared" si="5"/>
        <v>5.2428351614447539</v>
      </c>
      <c r="P68" s="2">
        <f t="shared" si="5"/>
        <v>3.2941543432146134</v>
      </c>
      <c r="Q68" s="2">
        <f t="shared" si="5"/>
        <v>3.5758830660199434</v>
      </c>
      <c r="R68" s="2">
        <f t="shared" si="5"/>
        <v>2.8950822375666814</v>
      </c>
      <c r="S68" s="2">
        <f t="shared" si="5"/>
        <v>2.5523977690943709</v>
      </c>
      <c r="T68" s="2">
        <f t="shared" si="5"/>
        <v>0.97864347688892583</v>
      </c>
      <c r="U68" s="2">
        <f t="shared" si="5"/>
        <v>0.84286373717109075</v>
      </c>
      <c r="V68" s="2">
        <f t="shared" si="5"/>
        <v>1.0405235669074921</v>
      </c>
      <c r="W68" s="2">
        <f t="shared" si="5"/>
        <v>0.43405681612711811</v>
      </c>
      <c r="X68" s="2">
        <f t="shared" si="5"/>
        <v>0.64019425190666268</v>
      </c>
      <c r="Y68" s="2">
        <f t="shared" si="5"/>
        <v>0.35394810598323906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787.40831964400832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1435.9971573143901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968.38946910146592</v>
      </c>
      <c r="N74" s="2">
        <f>N8/'Output-Calculation-sheet'!N7*'Output-Calculation-sheet'!N61</f>
        <v>43.489404155762067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8.5932582900433676</v>
      </c>
      <c r="Y74" s="2">
        <f>Y8/'Output-Calculation-sheet'!Y7*'Output-Calculation-sheet'!Y61</f>
        <v>0</v>
      </c>
      <c r="AA74" s="2">
        <f t="shared" si="6"/>
        <v>3.2438776085056693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139.58343607176778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2513.2532413772415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1703.6730649276515</v>
      </c>
      <c r="N75" s="2">
        <f>N9/'Output-Calculation-sheet'!N8*'Output-Calculation-sheet'!N62</f>
        <v>656.58329937860208</v>
      </c>
      <c r="O75" s="2">
        <f>O9/'Output-Calculation-sheet'!O8*'Output-Calculation-sheet'!O62</f>
        <v>48.759868578978327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220.25635295380451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60.127803911425211</v>
      </c>
      <c r="Y75" s="2">
        <f>Y9/'Output-Calculation-sheet'!Y8*'Output-Calculation-sheet'!Y62</f>
        <v>0</v>
      </c>
      <c r="AA75" s="2">
        <f t="shared" si="6"/>
        <v>5.3942071562948639</v>
      </c>
    </row>
    <row r="76" spans="1:27" x14ac:dyDescent="0.25">
      <c r="A76" s="2">
        <v>2033</v>
      </c>
      <c r="B76" s="2">
        <f>B10/'Output-Calculation-sheet'!B9*'Output-Calculation-sheet'!B63</f>
        <v>5663.4363872953672</v>
      </c>
      <c r="C76" s="2">
        <f>C10/'Output-Calculation-sheet'!C9*'Output-Calculation-sheet'!C63</f>
        <v>1167.3528203511808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3713.6421393726791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2522.9957355366946</v>
      </c>
      <c r="N76" s="2">
        <f>N10/'Output-Calculation-sheet'!N9*'Output-Calculation-sheet'!N63</f>
        <v>1442.968670582942</v>
      </c>
      <c r="O76" s="2">
        <f>O10/'Output-Calculation-sheet'!O9*'Output-Calculation-sheet'!O63</f>
        <v>239.44348118833875</v>
      </c>
      <c r="P76" s="2">
        <f>P10/'Output-Calculation-sheet'!P9*'Output-Calculation-sheet'!P63</f>
        <v>498.28586398485669</v>
      </c>
      <c r="Q76" s="2">
        <f>Q10/'Output-Calculation-sheet'!Q9*'Output-Calculation-sheet'!Q63</f>
        <v>225.20062434123588</v>
      </c>
      <c r="R76" s="2">
        <f>R10/'Output-Calculation-sheet'!R9*'Output-Calculation-sheet'!R63</f>
        <v>379.18748106533974</v>
      </c>
      <c r="S76" s="2">
        <f>S10/'Output-Calculation-sheet'!S9*'Output-Calculation-sheet'!S63</f>
        <v>643.36311003394087</v>
      </c>
      <c r="T76" s="2">
        <f>T10/'Output-Calculation-sheet'!T9*'Output-Calculation-sheet'!T63</f>
        <v>24.91959085954932</v>
      </c>
      <c r="U76" s="2">
        <f>U10/'Output-Calculation-sheet'!U9*'Output-Calculation-sheet'!U63</f>
        <v>134.71441169825115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144.86052979748592</v>
      </c>
      <c r="Y76" s="2">
        <f>Y10/'Output-Calculation-sheet'!Y9*'Output-Calculation-sheet'!Y63</f>
        <v>6.3898315308602616</v>
      </c>
      <c r="AA76" s="2">
        <f t="shared" si="6"/>
        <v>16.911366612882635</v>
      </c>
    </row>
    <row r="77" spans="1:27" x14ac:dyDescent="0.25">
      <c r="A77" s="2">
        <v>2034</v>
      </c>
      <c r="B77" s="2">
        <f>B11/'Output-Calculation-sheet'!B10*'Output-Calculation-sheet'!B64</f>
        <v>14064.326087516496</v>
      </c>
      <c r="C77" s="2">
        <f>C11/'Output-Calculation-sheet'!C10*'Output-Calculation-sheet'!C64</f>
        <v>2112.2132379158061</v>
      </c>
      <c r="D77" s="2">
        <f>D11/'Output-Calculation-sheet'!D10*'Output-Calculation-sheet'!D64</f>
        <v>1807.0686275752594</v>
      </c>
      <c r="E77" s="2">
        <f>E11/'Output-Calculation-sheet'!E10*'Output-Calculation-sheet'!E64</f>
        <v>2228.3396533530863</v>
      </c>
      <c r="F77" s="2">
        <f>F11/'Output-Calculation-sheet'!F10*'Output-Calculation-sheet'!F64</f>
        <v>143.48749370010714</v>
      </c>
      <c r="G77" s="2">
        <f>G11/'Output-Calculation-sheet'!G10*'Output-Calculation-sheet'!G64</f>
        <v>900.31093669778272</v>
      </c>
      <c r="H77" s="2">
        <f>H11/'Output-Calculation-sheet'!H10*'Output-Calculation-sheet'!H64</f>
        <v>4797.832328007793</v>
      </c>
      <c r="I77" s="2">
        <f>I11/'Output-Calculation-sheet'!I10*'Output-Calculation-sheet'!I64</f>
        <v>559.82814161726901</v>
      </c>
      <c r="J77" s="2">
        <f>J11/'Output-Calculation-sheet'!J10*'Output-Calculation-sheet'!J64</f>
        <v>392.83321611689809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358.50330706159713</v>
      </c>
      <c r="M77" s="2">
        <f>M11/'Output-Calculation-sheet'!M10*'Output-Calculation-sheet'!M64</f>
        <v>3400.7733368814529</v>
      </c>
      <c r="N77" s="2">
        <f>N11/'Output-Calculation-sheet'!N10*'Output-Calculation-sheet'!N64</f>
        <v>2386.1369542172783</v>
      </c>
      <c r="O77" s="2">
        <f>O11/'Output-Calculation-sheet'!O10*'Output-Calculation-sheet'!O64</f>
        <v>113.97471663044536</v>
      </c>
      <c r="P77" s="2">
        <f>P11/'Output-Calculation-sheet'!P10*'Output-Calculation-sheet'!P64</f>
        <v>1048.039058282603</v>
      </c>
      <c r="Q77" s="2">
        <f>Q11/'Output-Calculation-sheet'!Q10*'Output-Calculation-sheet'!Q64</f>
        <v>747.34613243522324</v>
      </c>
      <c r="R77" s="2">
        <f>R11/'Output-Calculation-sheet'!R10*'Output-Calculation-sheet'!R64</f>
        <v>903.78740502037044</v>
      </c>
      <c r="S77" s="2">
        <f>S11/'Output-Calculation-sheet'!S10*'Output-Calculation-sheet'!S64</f>
        <v>1119.3674078205415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265.84544472070252</v>
      </c>
      <c r="V77" s="2">
        <f>V11/'Output-Calculation-sheet'!V10*'Output-Calculation-sheet'!V64</f>
        <v>129.0035419221355</v>
      </c>
      <c r="W77" s="2">
        <f>W11/'Output-Calculation-sheet'!W10*'Output-Calculation-sheet'!W64</f>
        <v>28.31425272836265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82.656414559784935</v>
      </c>
      <c r="AA77" s="2">
        <f t="shared" si="6"/>
        <v>38.833538730966204</v>
      </c>
    </row>
    <row r="78" spans="1:27" x14ac:dyDescent="0.25">
      <c r="A78" s="2">
        <v>2035</v>
      </c>
      <c r="B78" s="2">
        <f>B12/'Output-Calculation-sheet'!B11*'Output-Calculation-sheet'!B65</f>
        <v>15920.943923475957</v>
      </c>
      <c r="C78" s="2">
        <f>C12/'Output-Calculation-sheet'!C11*'Output-Calculation-sheet'!C65</f>
        <v>5232.0177750456696</v>
      </c>
      <c r="D78" s="2">
        <f>D12/'Output-Calculation-sheet'!D11*'Output-Calculation-sheet'!D65</f>
        <v>2137.9401842332741</v>
      </c>
      <c r="E78" s="2">
        <f>E12/'Output-Calculation-sheet'!E11*'Output-Calculation-sheet'!E65</f>
        <v>3720.4935925434047</v>
      </c>
      <c r="F78" s="2">
        <f>F12/'Output-Calculation-sheet'!F11*'Output-Calculation-sheet'!F65</f>
        <v>480.41190510415157</v>
      </c>
      <c r="G78" s="2">
        <f>G12/'Output-Calculation-sheet'!G11*'Output-Calculation-sheet'!G65</f>
        <v>936.65387789362637</v>
      </c>
      <c r="H78" s="2">
        <f>H12/'Output-Calculation-sheet'!H11*'Output-Calculation-sheet'!H65</f>
        <v>5067.915169236564</v>
      </c>
      <c r="I78" s="2">
        <f>I12/'Output-Calculation-sheet'!I11*'Output-Calculation-sheet'!I65</f>
        <v>622.74313632757378</v>
      </c>
      <c r="J78" s="2">
        <f>J12/'Output-Calculation-sheet'!J11*'Output-Calculation-sheet'!J65</f>
        <v>907.09866774009447</v>
      </c>
      <c r="K78" s="2">
        <f>K12/'Output-Calculation-sheet'!K11*'Output-Calculation-sheet'!K65</f>
        <v>1115.3853640454834</v>
      </c>
      <c r="L78" s="2">
        <f>L12/'Output-Calculation-sheet'!L11*'Output-Calculation-sheet'!L65</f>
        <v>952.78863174211222</v>
      </c>
      <c r="M78" s="2">
        <f>M12/'Output-Calculation-sheet'!M11*'Output-Calculation-sheet'!M65</f>
        <v>3700.7433383897273</v>
      </c>
      <c r="N78" s="2">
        <f>N12/'Output-Calculation-sheet'!N11*'Output-Calculation-sheet'!N65</f>
        <v>2666.0304906999418</v>
      </c>
      <c r="O78" s="2">
        <f>O12/'Output-Calculation-sheet'!O11*'Output-Calculation-sheet'!O65</f>
        <v>12.493607375202227</v>
      </c>
      <c r="P78" s="2">
        <f>P12/'Output-Calculation-sheet'!P11*'Output-Calculation-sheet'!P65</f>
        <v>1287.3501563354675</v>
      </c>
      <c r="Q78" s="2">
        <f>Q12/'Output-Calculation-sheet'!Q11*'Output-Calculation-sheet'!Q65</f>
        <v>866.36533740512129</v>
      </c>
      <c r="R78" s="2">
        <f>R12/'Output-Calculation-sheet'!R11*'Output-Calculation-sheet'!R65</f>
        <v>1199.1686809684672</v>
      </c>
      <c r="S78" s="2">
        <f>S12/'Output-Calculation-sheet'!S11*'Output-Calculation-sheet'!S65</f>
        <v>1260.1997323849794</v>
      </c>
      <c r="T78" s="2">
        <f>T12/'Output-Calculation-sheet'!T11*'Output-Calculation-sheet'!T65</f>
        <v>413.69720263660867</v>
      </c>
      <c r="U78" s="2">
        <f>U12/'Output-Calculation-sheet'!U11*'Output-Calculation-sheet'!U65</f>
        <v>283.04345200827885</v>
      </c>
      <c r="V78" s="2">
        <f>V12/'Output-Calculation-sheet'!V11*'Output-Calculation-sheet'!V65</f>
        <v>233.3291538227968</v>
      </c>
      <c r="W78" s="2">
        <f>W12/'Output-Calculation-sheet'!W11*'Output-Calculation-sheet'!W65</f>
        <v>110.33302998761181</v>
      </c>
      <c r="X78" s="2">
        <f>X12/'Output-Calculation-sheet'!X11*'Output-Calculation-sheet'!X65</f>
        <v>30.415848081780474</v>
      </c>
      <c r="Y78" s="2">
        <f>Y12/'Output-Calculation-sheet'!Y11*'Output-Calculation-sheet'!Y65</f>
        <v>103.25201460579595</v>
      </c>
      <c r="AA78" s="2">
        <f t="shared" si="6"/>
        <v>49.260814272089696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23.535765262819986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1.7748230456046563</v>
      </c>
      <c r="H88" s="2">
        <f>H11/'Output-Calculation-sheet'!H10*'Output-Calculation-sheet'!H73</f>
        <v>12.035320379504103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5.0937937146698964</v>
      </c>
      <c r="R88" s="2">
        <f>R11/'Output-Calculation-sheet'!R10*'Output-Calculation-sheet'!R73</f>
        <v>0</v>
      </c>
      <c r="S88" s="2">
        <f>S11/'Output-Calculation-sheet'!S10*'Output-Calculation-sheet'!S73</f>
        <v>2.6661444290643961</v>
      </c>
      <c r="T88" s="2">
        <f>T11/'Output-Calculation-sheet'!T10*'Output-Calculation-sheet'!T73</f>
        <v>0</v>
      </c>
      <c r="U88" s="2">
        <f>U11/'Output-Calculation-sheet'!U10*'Output-Calculation-sheet'!U73</f>
        <v>1.6252264701609942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4.6731073301824036E-2</v>
      </c>
    </row>
    <row r="89" spans="1:27" x14ac:dyDescent="0.25">
      <c r="A89" s="2">
        <v>2035</v>
      </c>
      <c r="B89" s="2">
        <f>B12/'Output-Calculation-sheet'!B11*'Output-Calculation-sheet'!B74</f>
        <v>347.29983675111822</v>
      </c>
      <c r="C89" s="2">
        <f>C12/'Output-Calculation-sheet'!C11*'Output-Calculation-sheet'!C74</f>
        <v>188.38461819058196</v>
      </c>
      <c r="D89" s="2">
        <f>D12/'Output-Calculation-sheet'!D11*'Output-Calculation-sheet'!D74</f>
        <v>31.289295301351181</v>
      </c>
      <c r="E89" s="2">
        <f>E12/'Output-Calculation-sheet'!E11*'Output-Calculation-sheet'!E74</f>
        <v>103.61113751449263</v>
      </c>
      <c r="F89" s="2">
        <f>F12/'Output-Calculation-sheet'!F11*'Output-Calculation-sheet'!F74</f>
        <v>31.278853122218347</v>
      </c>
      <c r="G89" s="2">
        <f>G12/'Output-Calculation-sheet'!G11*'Output-Calculation-sheet'!G74</f>
        <v>22.448355165635807</v>
      </c>
      <c r="H89" s="2">
        <f>H12/'Output-Calculation-sheet'!H11*'Output-Calculation-sheet'!H74</f>
        <v>77.92490667126242</v>
      </c>
      <c r="I89" s="2">
        <f>I12/'Output-Calculation-sheet'!I11*'Output-Calculation-sheet'!I74</f>
        <v>20.19090827917659</v>
      </c>
      <c r="J89" s="2">
        <f>J12/'Output-Calculation-sheet'!J11*'Output-Calculation-sheet'!J74</f>
        <v>9.9911554416512942</v>
      </c>
      <c r="K89" s="2">
        <f>K12/'Output-Calculation-sheet'!K11*'Output-Calculation-sheet'!K74</f>
        <v>14.883336683696182</v>
      </c>
      <c r="L89" s="2">
        <f>L12/'Output-Calculation-sheet'!L11*'Output-Calculation-sheet'!L74</f>
        <v>7.8896961150741713</v>
      </c>
      <c r="M89" s="2">
        <f>M12/'Output-Calculation-sheet'!M11*'Output-Calculation-sheet'!M74</f>
        <v>41.150170705838406</v>
      </c>
      <c r="N89" s="2">
        <f>N12/'Output-Calculation-sheet'!N11*'Output-Calculation-sheet'!N74</f>
        <v>20.834759173265972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28.305379161110487</v>
      </c>
      <c r="Q89" s="2">
        <f>Q12/'Output-Calculation-sheet'!Q11*'Output-Calculation-sheet'!Q74</f>
        <v>23.623391602077604</v>
      </c>
      <c r="R89" s="2">
        <f>R12/'Output-Calculation-sheet'!R11*'Output-Calculation-sheet'!R74</f>
        <v>12.77838828441466</v>
      </c>
      <c r="S89" s="2">
        <f>S12/'Output-Calculation-sheet'!S11*'Output-Calculation-sheet'!S74</f>
        <v>18.266075496737582</v>
      </c>
      <c r="T89" s="2">
        <f>T12/'Output-Calculation-sheet'!T11*'Output-Calculation-sheet'!T74</f>
        <v>2.3637611461582693</v>
      </c>
      <c r="U89" s="2">
        <f>U12/'Output-Calculation-sheet'!U11*'Output-Calculation-sheet'!U74</f>
        <v>6.8520748433894605</v>
      </c>
      <c r="V89" s="2">
        <f>V12/'Output-Calculation-sheet'!V11*'Output-Calculation-sheet'!V74</f>
        <v>0.52835482943335599</v>
      </c>
      <c r="W89" s="2">
        <f>W12/'Output-Calculation-sheet'!W11*'Output-Calculation-sheet'!W74</f>
        <v>3.202634031694481</v>
      </c>
      <c r="X89" s="2">
        <f>X12/'Output-Calculation-sheet'!X11*'Output-Calculation-sheet'!X74</f>
        <v>0.41038721017041724</v>
      </c>
      <c r="Y89" s="2">
        <f>Y12/'Output-Calculation-sheet'!Y11*'Output-Calculation-sheet'!Y74</f>
        <v>4.3563465856821155</v>
      </c>
      <c r="AA89" s="2">
        <f t="shared" si="7"/>
        <v>1.0190075066137383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8261232662.2729874</v>
      </c>
      <c r="C96" s="2">
        <f>C8/'Output-Calculation-sheet'!C7*'Output-Calculation-sheet'!C79</f>
        <v>1994952555.7030809</v>
      </c>
      <c r="D96" s="2">
        <f>D8/'Output-Calculation-sheet'!D7*'Output-Calculation-sheet'!D79</f>
        <v>1619596666.6724355</v>
      </c>
      <c r="E96" s="2">
        <f>E8/'Output-Calculation-sheet'!E7*'Output-Calculation-sheet'!E79</f>
        <v>6068048102.844348</v>
      </c>
      <c r="F96" s="2">
        <f>F8/'Output-Calculation-sheet'!F7*'Output-Calculation-sheet'!F79</f>
        <v>1770141855.2580297</v>
      </c>
      <c r="G96" s="2">
        <f>G8/'Output-Calculation-sheet'!G7*'Output-Calculation-sheet'!G79</f>
        <v>1136178771.4423788</v>
      </c>
      <c r="H96" s="2">
        <f>H8/'Output-Calculation-sheet'!H7*'Output-Calculation-sheet'!H79</f>
        <v>1399734582.1159456</v>
      </c>
      <c r="I96" s="2">
        <f>I8/'Output-Calculation-sheet'!I7*'Output-Calculation-sheet'!I79</f>
        <v>817021136.29965985</v>
      </c>
      <c r="J96" s="2">
        <f>J8/'Output-Calculation-sheet'!J7*'Output-Calculation-sheet'!J79</f>
        <v>619140114.31466925</v>
      </c>
      <c r="K96" s="2">
        <f>K8/'Output-Calculation-sheet'!K7*'Output-Calculation-sheet'!K79</f>
        <v>776482954.83406091</v>
      </c>
      <c r="L96" s="2">
        <f>L8/'Output-Calculation-sheet'!L7*'Output-Calculation-sheet'!L79</f>
        <v>704914087.83777237</v>
      </c>
      <c r="M96" s="2">
        <f>M8/'Output-Calculation-sheet'!M7*'Output-Calculation-sheet'!M79</f>
        <v>1080027799.4825075</v>
      </c>
      <c r="N96" s="2">
        <f>N8/'Output-Calculation-sheet'!N7*'Output-Calculation-sheet'!N79</f>
        <v>702090103.17856574</v>
      </c>
      <c r="O96" s="2">
        <f>O8/'Output-Calculation-sheet'!O7*'Output-Calculation-sheet'!O79</f>
        <v>263438968.59859192</v>
      </c>
      <c r="P96" s="2">
        <f>P8/'Output-Calculation-sheet'!P7*'Output-Calculation-sheet'!P79</f>
        <v>1337143628.1712925</v>
      </c>
      <c r="Q96" s="2">
        <f>Q8/'Output-Calculation-sheet'!Q7*'Output-Calculation-sheet'!Q79</f>
        <v>567707491.97345376</v>
      </c>
      <c r="R96" s="2">
        <f>R8/'Output-Calculation-sheet'!R7*'Output-Calculation-sheet'!R79</f>
        <v>753508350.24408579</v>
      </c>
      <c r="S96" s="2">
        <f>S8/'Output-Calculation-sheet'!S7*'Output-Calculation-sheet'!S79</f>
        <v>424948149.22129166</v>
      </c>
      <c r="T96" s="2">
        <f>T8/'Output-Calculation-sheet'!T7*'Output-Calculation-sheet'!T79</f>
        <v>256362310.4881984</v>
      </c>
      <c r="U96" s="2">
        <f>U8/'Output-Calculation-sheet'!U7*'Output-Calculation-sheet'!U79</f>
        <v>201789295.72075769</v>
      </c>
      <c r="V96" s="2">
        <f>V8/'Output-Calculation-sheet'!V7*'Output-Calculation-sheet'!V79</f>
        <v>92614260.85965021</v>
      </c>
      <c r="W96" s="2">
        <f>W8/'Output-Calculation-sheet'!W7*'Output-Calculation-sheet'!W79</f>
        <v>285150938.00891519</v>
      </c>
      <c r="X96" s="2">
        <f>X8/'Output-Calculation-sheet'!X7*'Output-Calculation-sheet'!X79</f>
        <v>128608688.51833855</v>
      </c>
      <c r="Y96" s="2">
        <f>Y8/'Output-Calculation-sheet'!Y7*'Output-Calculation-sheet'!Y79</f>
        <v>176989216.19456264</v>
      </c>
      <c r="AA96" s="2">
        <f t="shared" si="8"/>
        <v>31.437822690255569</v>
      </c>
    </row>
    <row r="97" spans="1:27" x14ac:dyDescent="0.25">
      <c r="A97" s="2">
        <v>2032</v>
      </c>
      <c r="B97" s="2">
        <f>B9/'Output-Calculation-sheet'!B8*'Output-Calculation-sheet'!B80</f>
        <v>10413334437.192017</v>
      </c>
      <c r="C97" s="2">
        <f>C9/'Output-Calculation-sheet'!C8*'Output-Calculation-sheet'!C80</f>
        <v>2459445389.3940425</v>
      </c>
      <c r="D97" s="2">
        <f>D9/'Output-Calculation-sheet'!D8*'Output-Calculation-sheet'!D80</f>
        <v>1878740980.7390928</v>
      </c>
      <c r="E97" s="2">
        <f>E9/'Output-Calculation-sheet'!E8*'Output-Calculation-sheet'!E80</f>
        <v>7909232819.9717159</v>
      </c>
      <c r="F97" s="2">
        <f>F9/'Output-Calculation-sheet'!F8*'Output-Calculation-sheet'!F80</f>
        <v>2168983115.2604585</v>
      </c>
      <c r="G97" s="2">
        <f>G9/'Output-Calculation-sheet'!G8*'Output-Calculation-sheet'!G80</f>
        <v>1329037260.7259529</v>
      </c>
      <c r="H97" s="2">
        <f>H9/'Output-Calculation-sheet'!H8*'Output-Calculation-sheet'!H80</f>
        <v>1740186680.6589839</v>
      </c>
      <c r="I97" s="2">
        <f>I9/'Output-Calculation-sheet'!I8*'Output-Calculation-sheet'!I80</f>
        <v>1002343779.3848087</v>
      </c>
      <c r="J97" s="2">
        <f>J9/'Output-Calculation-sheet'!J8*'Output-Calculation-sheet'!J80</f>
        <v>749027163.24889982</v>
      </c>
      <c r="K97" s="2">
        <f>K9/'Output-Calculation-sheet'!K8*'Output-Calculation-sheet'!K80</f>
        <v>923804859.97261465</v>
      </c>
      <c r="L97" s="2">
        <f>L9/'Output-Calculation-sheet'!L8*'Output-Calculation-sheet'!L80</f>
        <v>891073907.45015037</v>
      </c>
      <c r="M97" s="2">
        <f>M9/'Output-Calculation-sheet'!M8*'Output-Calculation-sheet'!M80</f>
        <v>1372889415.5685887</v>
      </c>
      <c r="N97" s="2">
        <f>N9/'Output-Calculation-sheet'!N8*'Output-Calculation-sheet'!N80</f>
        <v>862593262.5306741</v>
      </c>
      <c r="O97" s="2">
        <f>O9/'Output-Calculation-sheet'!O8*'Output-Calculation-sheet'!O80</f>
        <v>320640981.62232649</v>
      </c>
      <c r="P97" s="2">
        <f>P9/'Output-Calculation-sheet'!P8*'Output-Calculation-sheet'!P80</f>
        <v>1617153838.354764</v>
      </c>
      <c r="Q97" s="2">
        <f>Q9/'Output-Calculation-sheet'!Q8*'Output-Calculation-sheet'!Q80</f>
        <v>699475128.33084941</v>
      </c>
      <c r="R97" s="2">
        <f>R9/'Output-Calculation-sheet'!R8*'Output-Calculation-sheet'!R80</f>
        <v>937301914.49978209</v>
      </c>
      <c r="S97" s="2">
        <f>S9/'Output-Calculation-sheet'!S8*'Output-Calculation-sheet'!S80</f>
        <v>521666092.2225219</v>
      </c>
      <c r="T97" s="2">
        <f>T9/'Output-Calculation-sheet'!T8*'Output-Calculation-sheet'!T80</f>
        <v>304179953.70211989</v>
      </c>
      <c r="U97" s="2">
        <f>U9/'Output-Calculation-sheet'!U8*'Output-Calculation-sheet'!U80</f>
        <v>242042992.66243163</v>
      </c>
      <c r="V97" s="2">
        <f>V9/'Output-Calculation-sheet'!V8*'Output-Calculation-sheet'!V80</f>
        <v>111644255.07535338</v>
      </c>
      <c r="W97" s="2">
        <f>W9/'Output-Calculation-sheet'!W8*'Output-Calculation-sheet'!W80</f>
        <v>345482034.10688949</v>
      </c>
      <c r="X97" s="2">
        <f>X9/'Output-Calculation-sheet'!X8*'Output-Calculation-sheet'!X80</f>
        <v>167327421.38508102</v>
      </c>
      <c r="Y97" s="2">
        <f>Y9/'Output-Calculation-sheet'!Y8*'Output-Calculation-sheet'!Y80</f>
        <v>219651797.32756105</v>
      </c>
      <c r="AA97" s="2">
        <f t="shared" si="8"/>
        <v>39.187259481387663</v>
      </c>
    </row>
    <row r="98" spans="1:27" x14ac:dyDescent="0.25">
      <c r="A98" s="2">
        <v>2033</v>
      </c>
      <c r="B98" s="2">
        <f>B10/'Output-Calculation-sheet'!B9*'Output-Calculation-sheet'!B81</f>
        <v>12264169087.940474</v>
      </c>
      <c r="C98" s="2">
        <f>C10/'Output-Calculation-sheet'!C9*'Output-Calculation-sheet'!C81</f>
        <v>2839904819.7912321</v>
      </c>
      <c r="D98" s="2">
        <f>D10/'Output-Calculation-sheet'!D9*'Output-Calculation-sheet'!D81</f>
        <v>2043009173.8475196</v>
      </c>
      <c r="E98" s="2">
        <f>E10/'Output-Calculation-sheet'!E9*'Output-Calculation-sheet'!E81</f>
        <v>9643792022.4564915</v>
      </c>
      <c r="F98" s="2">
        <f>F10/'Output-Calculation-sheet'!F9*'Output-Calculation-sheet'!F81</f>
        <v>2484729359.4100199</v>
      </c>
      <c r="G98" s="2">
        <f>G10/'Output-Calculation-sheet'!G9*'Output-Calculation-sheet'!G81</f>
        <v>1451632636.4847541</v>
      </c>
      <c r="H98" s="2">
        <f>H10/'Output-Calculation-sheet'!H9*'Output-Calculation-sheet'!H81</f>
        <v>2020897528.4966264</v>
      </c>
      <c r="I98" s="2">
        <f>I10/'Output-Calculation-sheet'!I9*'Output-Calculation-sheet'!I81</f>
        <v>1151691372.3371644</v>
      </c>
      <c r="J98" s="2">
        <f>J10/'Output-Calculation-sheet'!J9*'Output-Calculation-sheet'!J81</f>
        <v>849592887.98772848</v>
      </c>
      <c r="K98" s="2">
        <f>K10/'Output-Calculation-sheet'!K9*'Output-Calculation-sheet'!K81</f>
        <v>1028815435.0315849</v>
      </c>
      <c r="L98" s="2">
        <f>L10/'Output-Calculation-sheet'!L9*'Output-Calculation-sheet'!L81</f>
        <v>1054435193.6009958</v>
      </c>
      <c r="M98" s="2">
        <f>M10/'Output-Calculation-sheet'!M9*'Output-Calculation-sheet'!M81</f>
        <v>1634001225.2279632</v>
      </c>
      <c r="N98" s="2">
        <f>N10/'Output-Calculation-sheet'!N9*'Output-Calculation-sheet'!N81</f>
        <v>993005903.24412704</v>
      </c>
      <c r="O98" s="2">
        <f>O10/'Output-Calculation-sheet'!O9*'Output-Calculation-sheet'!O81</f>
        <v>366249892.85945863</v>
      </c>
      <c r="P98" s="2">
        <f>P10/'Output-Calculation-sheet'!P9*'Output-Calculation-sheet'!P81</f>
        <v>1816981480.5161185</v>
      </c>
      <c r="Q98" s="2">
        <f>Q10/'Output-Calculation-sheet'!Q9*'Output-Calculation-sheet'!Q81</f>
        <v>807343710.95121276</v>
      </c>
      <c r="R98" s="2">
        <f>R10/'Output-Calculation-sheet'!R9*'Output-Calculation-sheet'!R81</f>
        <v>1089734374.0627806</v>
      </c>
      <c r="S98" s="2">
        <f>S10/'Output-Calculation-sheet'!S9*'Output-Calculation-sheet'!S81</f>
        <v>598480766.04366493</v>
      </c>
      <c r="T98" s="2">
        <f>T10/'Output-Calculation-sheet'!T9*'Output-Calculation-sheet'!T81</f>
        <v>337191921.12593287</v>
      </c>
      <c r="U98" s="2">
        <f>U10/'Output-Calculation-sheet'!U9*'Output-Calculation-sheet'!U81</f>
        <v>270944031.30465841</v>
      </c>
      <c r="V98" s="2">
        <f>V10/'Output-Calculation-sheet'!V9*'Output-Calculation-sheet'!V81</f>
        <v>125838887.67277288</v>
      </c>
      <c r="W98" s="2">
        <f>W10/'Output-Calculation-sheet'!W9*'Output-Calculation-sheet'!W81</f>
        <v>389157295.58331287</v>
      </c>
      <c r="X98" s="2">
        <f>X10/'Output-Calculation-sheet'!X9*'Output-Calculation-sheet'!X81</f>
        <v>204009531.06735328</v>
      </c>
      <c r="Y98" s="2">
        <f>Y10/'Output-Calculation-sheet'!Y9*'Output-Calculation-sheet'!Y81</f>
        <v>253987434.76100159</v>
      </c>
      <c r="AA98" s="2">
        <f t="shared" si="8"/>
        <v>45.719595971804949</v>
      </c>
    </row>
    <row r="99" spans="1:27" x14ac:dyDescent="0.25">
      <c r="A99" s="2">
        <v>2034</v>
      </c>
      <c r="B99" s="2">
        <f>B11/'Output-Calculation-sheet'!B10*'Output-Calculation-sheet'!B82</f>
        <v>13795971291.989822</v>
      </c>
      <c r="C99" s="2">
        <f>C11/'Output-Calculation-sheet'!C10*'Output-Calculation-sheet'!C82</f>
        <v>3140421794.6057372</v>
      </c>
      <c r="D99" s="2">
        <f>D11/'Output-Calculation-sheet'!D10*'Output-Calculation-sheet'!D82</f>
        <v>2130229831.203064</v>
      </c>
      <c r="E99" s="2">
        <f>E11/'Output-Calculation-sheet'!E10*'Output-Calculation-sheet'!E82</f>
        <v>11242999480.059174</v>
      </c>
      <c r="F99" s="2">
        <f>F11/'Output-Calculation-sheet'!F10*'Output-Calculation-sheet'!F82</f>
        <v>2721437587.9782805</v>
      </c>
      <c r="G99" s="2">
        <f>G11/'Output-Calculation-sheet'!G10*'Output-Calculation-sheet'!G82</f>
        <v>1514646943.3272467</v>
      </c>
      <c r="H99" s="2">
        <f>H11/'Output-Calculation-sheet'!H10*'Output-Calculation-sheet'!H82</f>
        <v>2241286134.3305655</v>
      </c>
      <c r="I99" s="2">
        <f>I11/'Output-Calculation-sheet'!I10*'Output-Calculation-sheet'!I82</f>
        <v>1267346166.9362545</v>
      </c>
      <c r="J99" s="2">
        <f>J11/'Output-Calculation-sheet'!J10*'Output-Calculation-sheet'!J82</f>
        <v>923886527.36601365</v>
      </c>
      <c r="K99" s="2">
        <f>K11/'Output-Calculation-sheet'!K10*'Output-Calculation-sheet'!K82</f>
        <v>1096982324.8065078</v>
      </c>
      <c r="L99" s="2">
        <f>L11/'Output-Calculation-sheet'!L10*'Output-Calculation-sheet'!L82</f>
        <v>1194163432.5153639</v>
      </c>
      <c r="M99" s="2">
        <f>M11/'Output-Calculation-sheet'!M10*'Output-Calculation-sheet'!M82</f>
        <v>1861524586.9695523</v>
      </c>
      <c r="N99" s="2">
        <f>N11/'Output-Calculation-sheet'!N10*'Output-Calculation-sheet'!N82</f>
        <v>1095265775.2598197</v>
      </c>
      <c r="O99" s="2">
        <f>O11/'Output-Calculation-sheet'!O10*'Output-Calculation-sheet'!O82</f>
        <v>401412378.61554825</v>
      </c>
      <c r="P99" s="2">
        <f>P11/'Output-Calculation-sheet'!P10*'Output-Calculation-sheet'!P82</f>
        <v>1940288468.7562182</v>
      </c>
      <c r="Q99" s="2">
        <f>Q11/'Output-Calculation-sheet'!Q10*'Output-Calculation-sheet'!Q82</f>
        <v>892509778.84700596</v>
      </c>
      <c r="R99" s="2">
        <f>R11/'Output-Calculation-sheet'!R10*'Output-Calculation-sheet'!R82</f>
        <v>1210668440.0657856</v>
      </c>
      <c r="S99" s="2">
        <f>S11/'Output-Calculation-sheet'!S10*'Output-Calculation-sheet'!S82</f>
        <v>656079088.89364409</v>
      </c>
      <c r="T99" s="2">
        <f>T11/'Output-Calculation-sheet'!T10*'Output-Calculation-sheet'!T82</f>
        <v>357261025.38950449</v>
      </c>
      <c r="U99" s="2">
        <f>U11/'Output-Calculation-sheet'!U10*'Output-Calculation-sheet'!U82</f>
        <v>289537053.57135683</v>
      </c>
      <c r="V99" s="2">
        <f>V11/'Output-Calculation-sheet'!V10*'Output-Calculation-sheet'!V82</f>
        <v>135625155.62728587</v>
      </c>
      <c r="W99" s="2">
        <f>W11/'Output-Calculation-sheet'!W10*'Output-Calculation-sheet'!W82</f>
        <v>416911576.65634441</v>
      </c>
      <c r="X99" s="2">
        <f>X11/'Output-Calculation-sheet'!X10*'Output-Calculation-sheet'!X82</f>
        <v>238281149.78789207</v>
      </c>
      <c r="Y99" s="2">
        <f>Y11/'Output-Calculation-sheet'!Y10*'Output-Calculation-sheet'!Y82</f>
        <v>279831937.71935886</v>
      </c>
      <c r="AA99" s="2">
        <f t="shared" si="8"/>
        <v>51.044567931277356</v>
      </c>
    </row>
    <row r="100" spans="1:27" x14ac:dyDescent="0.25">
      <c r="A100" s="2">
        <v>2035</v>
      </c>
      <c r="B100" s="2">
        <f>B12/'Output-Calculation-sheet'!B11*'Output-Calculation-sheet'!B83</f>
        <v>15000152827.723957</v>
      </c>
      <c r="C100" s="2">
        <f>C12/'Output-Calculation-sheet'!C11*'Output-Calculation-sheet'!C83</f>
        <v>3366084026.8201151</v>
      </c>
      <c r="D100" s="2">
        <f>D12/'Output-Calculation-sheet'!D11*'Output-Calculation-sheet'!D83</f>
        <v>2156247029.4258394</v>
      </c>
      <c r="E100" s="2">
        <f>E12/'Output-Calculation-sheet'!E11*'Output-Calculation-sheet'!E83</f>
        <v>12679972453.478613</v>
      </c>
      <c r="F100" s="2">
        <f>F12/'Output-Calculation-sheet'!F11*'Output-Calculation-sheet'!F83</f>
        <v>2884846016.8911047</v>
      </c>
      <c r="G100" s="2">
        <f>G12/'Output-Calculation-sheet'!G11*'Output-Calculation-sheet'!G83</f>
        <v>1528876843.3224847</v>
      </c>
      <c r="H100" s="2">
        <f>H12/'Output-Calculation-sheet'!H11*'Output-Calculation-sheet'!H83</f>
        <v>2402486487.717505</v>
      </c>
      <c r="I100" s="2">
        <f>I12/'Output-Calculation-sheet'!I11*'Output-Calculation-sheet'!I83</f>
        <v>1351995332.918632</v>
      </c>
      <c r="J100" s="2">
        <f>J12/'Output-Calculation-sheet'!J11*'Output-Calculation-sheet'!J83</f>
        <v>974948271.3058337</v>
      </c>
      <c r="K100" s="2">
        <f>K12/'Output-Calculation-sheet'!K11*'Output-Calculation-sheet'!K83</f>
        <v>1133773726.5181899</v>
      </c>
      <c r="L100" s="2">
        <f>L12/'Output-Calculation-sheet'!L11*'Output-Calculation-sheet'!L83</f>
        <v>1309904680.8163834</v>
      </c>
      <c r="M100" s="2">
        <f>M12/'Output-Calculation-sheet'!M11*'Output-Calculation-sheet'!M83</f>
        <v>2054233979.2836316</v>
      </c>
      <c r="N100" s="2">
        <f>N12/'Output-Calculation-sheet'!N11*'Output-Calculation-sheet'!N83</f>
        <v>1171577113.8959196</v>
      </c>
      <c r="O100" s="2">
        <f>O12/'Output-Calculation-sheet'!O11*'Output-Calculation-sheet'!O83</f>
        <v>427237340.38607723</v>
      </c>
      <c r="P100" s="2">
        <f>P12/'Output-Calculation-sheet'!P11*'Output-Calculation-sheet'!P83</f>
        <v>1994579302.3336425</v>
      </c>
      <c r="Q100" s="2">
        <f>Q12/'Output-Calculation-sheet'!Q11*'Output-Calculation-sheet'!Q83</f>
        <v>956400632.92285609</v>
      </c>
      <c r="R100" s="2">
        <f>R12/'Output-Calculation-sheet'!R11*'Output-Calculation-sheet'!R83</f>
        <v>1300776035.4119904</v>
      </c>
      <c r="S100" s="2">
        <f>S12/'Output-Calculation-sheet'!S11*'Output-Calculation-sheet'!S83</f>
        <v>695587821.58821237</v>
      </c>
      <c r="T100" s="2">
        <f>T12/'Output-Calculation-sheet'!T11*'Output-Calculation-sheet'!T83</f>
        <v>366366785.89068055</v>
      </c>
      <c r="U100" s="2">
        <f>U12/'Output-Calculation-sheet'!U11*'Output-Calculation-sheet'!U83</f>
        <v>299086660.22397137</v>
      </c>
      <c r="V100" s="2">
        <f>V12/'Output-Calculation-sheet'!V11*'Output-Calculation-sheet'!V83</f>
        <v>141488271.86266577</v>
      </c>
      <c r="W100" s="2">
        <f>W12/'Output-Calculation-sheet'!W11*'Output-Calculation-sheet'!W83</f>
        <v>430222868.77322012</v>
      </c>
      <c r="X100" s="2">
        <f>X12/'Output-Calculation-sheet'!X11*'Output-Calculation-sheet'!X83</f>
        <v>269797033.30170918</v>
      </c>
      <c r="Y100" s="2">
        <f>Y12/'Output-Calculation-sheet'!Y11*'Output-Calculation-sheet'!Y83</f>
        <v>297398408.65883368</v>
      </c>
      <c r="AA100" s="2">
        <f t="shared" si="8"/>
        <v>55.194039951472071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1368.3240941681029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332.28419795932052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31.795530541473742</v>
      </c>
      <c r="Y107" s="2">
        <f>Y8/'Output-Calculation-sheet'!Y7*'Output-Calculation-sheet'!Y88</f>
        <v>0</v>
      </c>
      <c r="AA107" s="2">
        <f t="shared" si="9"/>
        <v>1.7324038226688969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2633.2810207092098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511.57334768694898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43.706524684931601</v>
      </c>
      <c r="Y108" s="2">
        <f>Y9/'Output-Calculation-sheet'!Y8*'Output-Calculation-sheet'!Y89</f>
        <v>0</v>
      </c>
      <c r="AA108" s="2">
        <f t="shared" si="9"/>
        <v>3.1885608930810903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707.66039526754082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4.3973070085026524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1002.6051101641439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5.8133097614726132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4079.7043876897906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147.46580418790327</v>
      </c>
      <c r="Y111" s="2">
        <f>Y12/'Output-Calculation-sheet'!Y11*'Output-Calculation-sheet'!Y92</f>
        <v>0</v>
      </c>
      <c r="AA111" s="2">
        <f t="shared" si="9"/>
        <v>5.5481255670478307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11325134282.863594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7047931535.4127636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4862475774.5313311</v>
      </c>
      <c r="N118" s="2">
        <f>N8/'Output-Calculation-sheet'!N7*'Output-Calculation-sheet'!N97</f>
        <v>1630842482.232007</v>
      </c>
      <c r="O118" s="2">
        <f>O8/'Output-Calculation-sheet'!O7*'Output-Calculation-sheet'!O97</f>
        <v>1563599974.2207341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488109568.32320613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264763757.16041824</v>
      </c>
      <c r="Y118" s="2">
        <f>Y8/'Output-Calculation-sheet'!Y7*'Output-Calculation-sheet'!Y97</f>
        <v>0</v>
      </c>
      <c r="AA118" s="2">
        <f t="shared" si="10"/>
        <v>28554.476021871214</v>
      </c>
    </row>
    <row r="119" spans="1:27" x14ac:dyDescent="0.25">
      <c r="A119" s="2">
        <v>2032</v>
      </c>
      <c r="B119" s="2">
        <f>B9/'Output-Calculation-sheet'!B8*'Output-Calculation-sheet'!B98</f>
        <v>6194520189.422534</v>
      </c>
      <c r="C119" s="2">
        <f>C9/'Output-Calculation-sheet'!C8*'Output-Calculation-sheet'!C98</f>
        <v>9139649415.5013542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9688223916.3621464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6684027911.4099026</v>
      </c>
      <c r="N119" s="2">
        <f>N9/'Output-Calculation-sheet'!N8*'Output-Calculation-sheet'!N98</f>
        <v>3145386735.4525356</v>
      </c>
      <c r="O119" s="2">
        <f>O9/'Output-Calculation-sheet'!O8*'Output-Calculation-sheet'!O98</f>
        <v>1762623596.6662006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942319089.26684761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367608994.76539677</v>
      </c>
      <c r="Y119" s="2">
        <f>Y9/'Output-Calculation-sheet'!Y8*'Output-Calculation-sheet'!Y98</f>
        <v>0</v>
      </c>
      <c r="AA119" s="2">
        <f t="shared" si="10"/>
        <v>37924.359848846914</v>
      </c>
    </row>
    <row r="120" spans="1:27" x14ac:dyDescent="0.25">
      <c r="A120" s="2">
        <v>2033</v>
      </c>
      <c r="B120" s="2">
        <f>B10/'Output-Calculation-sheet'!B9*'Output-Calculation-sheet'!B99</f>
        <v>16851476699.942293</v>
      </c>
      <c r="C120" s="2">
        <f>C10/'Output-Calculation-sheet'!C9*'Output-Calculation-sheet'!C99</f>
        <v>9770150089.4666748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5059404407.8794136</v>
      </c>
      <c r="O120" s="2">
        <f>O10/'Output-Calculation-sheet'!O9*'Output-Calculation-sheet'!O99</f>
        <v>1875307195.5437837</v>
      </c>
      <c r="P120" s="2">
        <f>P10/'Output-Calculation-sheet'!P9*'Output-Calculation-sheet'!P99</f>
        <v>0</v>
      </c>
      <c r="Q120" s="2">
        <f>Q10/'Output-Calculation-sheet'!Q9*'Output-Calculation-sheet'!Q99</f>
        <v>163014993.89497691</v>
      </c>
      <c r="R120" s="2">
        <f>R10/'Output-Calculation-sheet'!R9*'Output-Calculation-sheet'!R99</f>
        <v>0</v>
      </c>
      <c r="S120" s="2">
        <f>S10/'Output-Calculation-sheet'!S9*'Output-Calculation-sheet'!S99</f>
        <v>2040833954.9329123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555005561.46192646</v>
      </c>
      <c r="Y120" s="2">
        <f>Y10/'Output-Calculation-sheet'!Y9*'Output-Calculation-sheet'!Y99</f>
        <v>0</v>
      </c>
      <c r="AA120" s="2">
        <f t="shared" si="10"/>
        <v>57453.743406701557</v>
      </c>
    </row>
    <row r="121" spans="1:27" x14ac:dyDescent="0.25">
      <c r="A121" s="2">
        <v>2034</v>
      </c>
      <c r="B121" s="2">
        <f>B11/'Output-Calculation-sheet'!B10*'Output-Calculation-sheet'!B100</f>
        <v>39901077209.13871</v>
      </c>
      <c r="C121" s="2">
        <f>C11/'Output-Calculation-sheet'!C10*'Output-Calculation-sheet'!C100</f>
        <v>10285554044.07972</v>
      </c>
      <c r="D121" s="2">
        <f>D11/'Output-Calculation-sheet'!D10*'Output-Calculation-sheet'!D100</f>
        <v>0</v>
      </c>
      <c r="E121" s="2">
        <f>E11/'Output-Calculation-sheet'!E10*'Output-Calculation-sheet'!E100</f>
        <v>845496502.00974774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15157445822.438332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708838476.49174297</v>
      </c>
      <c r="M121" s="2">
        <f>M11/'Output-Calculation-sheet'!M10*'Output-Calculation-sheet'!M100</f>
        <v>10698610863.17935</v>
      </c>
      <c r="N121" s="2">
        <f>N11/'Output-Calculation-sheet'!N10*'Output-Calculation-sheet'!N100</f>
        <v>7389727520.2357845</v>
      </c>
      <c r="O121" s="2">
        <f>O11/'Output-Calculation-sheet'!O10*'Output-Calculation-sheet'!O100</f>
        <v>1098378854.8055272</v>
      </c>
      <c r="P121" s="2">
        <f>P11/'Output-Calculation-sheet'!P10*'Output-Calculation-sheet'!P100</f>
        <v>0</v>
      </c>
      <c r="Q121" s="2">
        <f>Q11/'Output-Calculation-sheet'!Q10*'Output-Calculation-sheet'!Q100</f>
        <v>1240812492.337584</v>
      </c>
      <c r="R121" s="2">
        <f>R11/'Output-Calculation-sheet'!R10*'Output-Calculation-sheet'!R100</f>
        <v>0</v>
      </c>
      <c r="S121" s="2">
        <f>S11/'Output-Calculation-sheet'!S10*'Output-Calculation-sheet'!S100</f>
        <v>3416252166.531733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46258663.07218194</v>
      </c>
      <c r="AA121" s="2">
        <f t="shared" si="10"/>
        <v>91300.99039428457</v>
      </c>
    </row>
    <row r="122" spans="1:27" x14ac:dyDescent="0.25">
      <c r="A122" s="2">
        <v>2035</v>
      </c>
      <c r="B122" s="2">
        <f>B12/'Output-Calculation-sheet'!B11*'Output-Calculation-sheet'!B101</f>
        <v>45379759519.166489</v>
      </c>
      <c r="C122" s="2">
        <f>C12/'Output-Calculation-sheet'!C11*'Output-Calculation-sheet'!C101</f>
        <v>18871181872.430172</v>
      </c>
      <c r="D122" s="2">
        <f>D12/'Output-Calculation-sheet'!D11*'Output-Calculation-sheet'!D101</f>
        <v>0</v>
      </c>
      <c r="E122" s="2">
        <f>E12/'Output-Calculation-sheet'!E11*'Output-Calculation-sheet'!E101</f>
        <v>3696541598.6619043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16361184080.776403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1872832394.7079616</v>
      </c>
      <c r="M122" s="2">
        <f>M12/'Output-Calculation-sheet'!M11*'Output-Calculation-sheet'!M101</f>
        <v>11705474060.068594</v>
      </c>
      <c r="N122" s="2">
        <f>N12/'Output-Calculation-sheet'!N11*'Output-Calculation-sheet'!N101</f>
        <v>8312659568.3940716</v>
      </c>
      <c r="O122" s="2">
        <f>O12/'Output-Calculation-sheet'!O11*'Output-Calculation-sheet'!O101</f>
        <v>53592429.060233779</v>
      </c>
      <c r="P122" s="2">
        <f>P12/'Output-Calculation-sheet'!P11*'Output-Calculation-sheet'!P101</f>
        <v>355228998.60492069</v>
      </c>
      <c r="Q122" s="2">
        <f>Q12/'Output-Calculation-sheet'!Q11*'Output-Calculation-sheet'!Q101</f>
        <v>1600081035.8024676</v>
      </c>
      <c r="R122" s="2">
        <f>R12/'Output-Calculation-sheet'!R11*'Output-Calculation-sheet'!R101</f>
        <v>0</v>
      </c>
      <c r="S122" s="2">
        <f>S12/'Output-Calculation-sheet'!S11*'Output-Calculation-sheet'!S101</f>
        <v>3945242576.268878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143226641.10257959</v>
      </c>
      <c r="Y122" s="2">
        <f>Y12/'Output-Calculation-sheet'!Y11*'Output-Calculation-sheet'!Y101</f>
        <v>84481810.871017173</v>
      </c>
      <c r="AA122" s="2">
        <f t="shared" si="10"/>
        <v>112381.4865859157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3142479862.111331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2245556025.0322247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147984.99530532243</v>
      </c>
    </row>
    <row r="130" spans="1:27" x14ac:dyDescent="0.25">
      <c r="A130" s="2">
        <v>2032</v>
      </c>
      <c r="B130" s="2">
        <f>B9/'Output-Calculation-sheet'!B8*'Output-Calculation-sheet'!B107</f>
        <v>59711684993.267395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3415537859.2777772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2815210542.1601949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197937.14989905281</v>
      </c>
    </row>
    <row r="131" spans="1:27" x14ac:dyDescent="0.25">
      <c r="A131" s="2">
        <v>2033</v>
      </c>
      <c r="B131" s="2">
        <f>B10/'Output-Calculation-sheet'!B9*'Output-Calculation-sheet'!B108</f>
        <v>68233674312.17569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3410787120.4082336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7424256449.8461437</v>
      </c>
      <c r="R131" s="2">
        <f>R10/'Output-Calculation-sheet'!R9*'Output-Calculation-sheet'!R108</f>
        <v>7299044064.4219847</v>
      </c>
      <c r="S131" s="2">
        <f>S10/'Output-Calculation-sheet'!S9*'Output-Calculation-sheet'!S108</f>
        <v>2810117333.4353385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244707.20129284068</v>
      </c>
    </row>
    <row r="132" spans="1:27" x14ac:dyDescent="0.25">
      <c r="A132" s="2">
        <v>2034</v>
      </c>
      <c r="B132" s="2">
        <f>B11/'Output-Calculation-sheet'!B10*'Output-Calculation-sheet'!B109</f>
        <v>64711492447.0625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34304598359.070148</v>
      </c>
      <c r="F132" s="2">
        <f>F11/'Output-Calculation-sheet'!F10*'Output-Calculation-sheet'!F109</f>
        <v>22628491148.042728</v>
      </c>
      <c r="G132" s="2">
        <f>G11/'Output-Calculation-sheet'!G10*'Output-Calculation-sheet'!G109</f>
        <v>15854906025.332975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14098785263.928497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10492961040.806692</v>
      </c>
      <c r="M132" s="2">
        <f>M11/'Output-Calculation-sheet'!M10*'Output-Calculation-sheet'!M109</f>
        <v>5.7845417256036525E-9</v>
      </c>
      <c r="N132" s="2">
        <f>N11/'Output-Calculation-sheet'!N10*'Output-Calculation-sheet'!N109</f>
        <v>3110909458.520503</v>
      </c>
      <c r="O132" s="2">
        <f>O11/'Output-Calculation-sheet'!O10*'Output-Calculation-sheet'!O109</f>
        <v>0</v>
      </c>
      <c r="P132" s="2">
        <f>P11/'Output-Calculation-sheet'!P10*'Output-Calculation-sheet'!P109</f>
        <v>9559532293.5680485</v>
      </c>
      <c r="Q132" s="2">
        <f>Q11/'Output-Calculation-sheet'!Q10*'Output-Calculation-sheet'!Q109</f>
        <v>7866478072.2013025</v>
      </c>
      <c r="R132" s="2">
        <f>R11/'Output-Calculation-sheet'!R10*'Output-Calculation-sheet'!R109</f>
        <v>9048156795.0957794</v>
      </c>
      <c r="S132" s="2">
        <f>S11/'Output-Calculation-sheet'!S10*'Output-Calculation-sheet'!S109</f>
        <v>2487118829.4776874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2803017366.5919638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1080682415.926214</v>
      </c>
      <c r="AA132" s="2">
        <f t="shared" si="11"/>
        <v>278289.50588300556</v>
      </c>
    </row>
    <row r="133" spans="1:27" x14ac:dyDescent="0.25">
      <c r="A133" s="2">
        <v>2035</v>
      </c>
      <c r="B133" s="2">
        <f>B12/'Output-Calculation-sheet'!B11*'Output-Calculation-sheet'!B110</f>
        <v>67321245341.247864</v>
      </c>
      <c r="C133" s="2">
        <f>C12/'Output-Calculation-sheet'!C11*'Output-Calculation-sheet'!C110</f>
        <v>0</v>
      </c>
      <c r="D133" s="2">
        <f>D12/'Output-Calculation-sheet'!D11*'Output-Calculation-sheet'!D110</f>
        <v>47239910541.013588</v>
      </c>
      <c r="E133" s="2">
        <f>E12/'Output-Calculation-sheet'!E11*'Output-Calculation-sheet'!E110</f>
        <v>36648809361.493256</v>
      </c>
      <c r="F133" s="2">
        <f>F12/'Output-Calculation-sheet'!F11*'Output-Calculation-sheet'!F110</f>
        <v>25006913937.281586</v>
      </c>
      <c r="G133" s="2">
        <f>G12/'Output-Calculation-sheet'!G11*'Output-Calculation-sheet'!G110</f>
        <v>16933340544.748119</v>
      </c>
      <c r="H133" s="2">
        <f>H12/'Output-Calculation-sheet'!H11*'Output-Calculation-sheet'!H110</f>
        <v>0</v>
      </c>
      <c r="I133" s="2">
        <f>I12/'Output-Calculation-sheet'!I11*'Output-Calculation-sheet'!I110</f>
        <v>15532187661.167509</v>
      </c>
      <c r="J133" s="2">
        <f>J12/'Output-Calculation-sheet'!J11*'Output-Calculation-sheet'!J110</f>
        <v>15549528287.734863</v>
      </c>
      <c r="K133" s="2">
        <f>K12/'Output-Calculation-sheet'!K11*'Output-Calculation-sheet'!K110</f>
        <v>15257687329.076736</v>
      </c>
      <c r="L133" s="2">
        <f>L12/'Output-Calculation-sheet'!L11*'Output-Calculation-sheet'!L110</f>
        <v>10967542836.62705</v>
      </c>
      <c r="M133" s="2">
        <f>M12/'Output-Calculation-sheet'!M11*'Output-Calculation-sheet'!M110</f>
        <v>0</v>
      </c>
      <c r="N133" s="2">
        <f>N12/'Output-Calculation-sheet'!N11*'Output-Calculation-sheet'!N110</f>
        <v>3187247533.0671916</v>
      </c>
      <c r="O133" s="2">
        <f>O12/'Output-Calculation-sheet'!O11*'Output-Calculation-sheet'!O110</f>
        <v>0</v>
      </c>
      <c r="P133" s="2">
        <f>P12/'Output-Calculation-sheet'!P11*'Output-Calculation-sheet'!P110</f>
        <v>10271865851.874027</v>
      </c>
      <c r="Q133" s="2">
        <f>Q12/'Output-Calculation-sheet'!Q11*'Output-Calculation-sheet'!Q110</f>
        <v>8205136228.5412159</v>
      </c>
      <c r="R133" s="2">
        <f>R12/'Output-Calculation-sheet'!R11*'Output-Calculation-sheet'!R110</f>
        <v>10156302408.483316</v>
      </c>
      <c r="S133" s="2">
        <f>S12/'Output-Calculation-sheet'!S11*'Output-Calculation-sheet'!S110</f>
        <v>2447931620.4021134</v>
      </c>
      <c r="T133" s="2">
        <f>T12/'Output-Calculation-sheet'!T11*'Output-Calculation-sheet'!T110</f>
        <v>3795843866.7573013</v>
      </c>
      <c r="U133" s="2">
        <f>U12/'Output-Calculation-sheet'!U11*'Output-Calculation-sheet'!U110</f>
        <v>2999075045.2983522</v>
      </c>
      <c r="V133" s="2">
        <f>V12/'Output-Calculation-sheet'!V11*'Output-Calculation-sheet'!V110</f>
        <v>2611718154.3396339</v>
      </c>
      <c r="W133" s="2">
        <f>W12/'Output-Calculation-sheet'!W11*'Output-Calculation-sheet'!W110</f>
        <v>2199375293.6088524</v>
      </c>
      <c r="X133" s="2">
        <f>X12/'Output-Calculation-sheet'!X11*'Output-Calculation-sheet'!X110</f>
        <v>1026488.2542777688</v>
      </c>
      <c r="Y133" s="2">
        <f>Y12/'Output-Calculation-sheet'!Y11*'Output-Calculation-sheet'!Y110</f>
        <v>1158441268.1906192</v>
      </c>
      <c r="AA133" s="2">
        <f t="shared" si="11"/>
        <v>297491.12959920743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11268433242.558828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2826468076.9990225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261943968.46970281</v>
      </c>
      <c r="Y140" s="2">
        <f>Y8/'Output-Calculation-sheet'!Y7*'Output-Calculation-sheet'!Y115</f>
        <v>0</v>
      </c>
      <c r="AA140" s="2">
        <f t="shared" si="12"/>
        <v>14356.845288027553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21918600682.480827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4271974389.2498994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356365746.71793979</v>
      </c>
      <c r="Y141" s="2">
        <f>Y9/'Output-Calculation-sheet'!Y8*'Output-Calculation-sheet'!Y116</f>
        <v>0</v>
      </c>
      <c r="AA141" s="2">
        <f t="shared" si="12"/>
        <v>26546.940818448671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30327688136.901882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5915690648.2814074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379657534.23330086</v>
      </c>
      <c r="Y142" s="2">
        <f>Y10/'Output-Calculation-sheet'!Y9*'Output-Calculation-sheet'!Y117</f>
        <v>0</v>
      </c>
      <c r="AA142" s="2">
        <f t="shared" si="12"/>
        <v>36623.036319416591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39422733973.733589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8560209878.467494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48629.134306220578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33532697518.696327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11560818453.999836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1242744672.7225752</v>
      </c>
      <c r="Y144" s="2">
        <f>Y12/'Output-Calculation-sheet'!Y11*'Output-Calculation-sheet'!Y119</f>
        <v>0</v>
      </c>
      <c r="AA144" s="2">
        <f t="shared" si="12"/>
        <v>46336.260645418741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16096156934.773113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2320769263.3709221</v>
      </c>
      <c r="H154" s="2">
        <f>H11/'Output-Calculation-sheet'!H10*'Output-Calculation-sheet'!H127</f>
        <v>2641706401.3511152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1682046072.7309768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986702727.17472613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522653980.17672187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62077.234532866365</v>
      </c>
    </row>
    <row r="155" spans="1:27" x14ac:dyDescent="0.25">
      <c r="A155" s="2">
        <v>2035</v>
      </c>
      <c r="B155" s="2">
        <f>B12/'Output-Calculation-sheet'!B11*'Output-Calculation-sheet'!B128</f>
        <v>16813430082.532742</v>
      </c>
      <c r="C155" s="2">
        <f>C12/'Output-Calculation-sheet'!C11*'Output-Calculation-sheet'!C128</f>
        <v>8031901823.9611492</v>
      </c>
      <c r="D155" s="2">
        <f>D12/'Output-Calculation-sheet'!D11*'Output-Calculation-sheet'!D128</f>
        <v>6452963461.1218119</v>
      </c>
      <c r="E155" s="2">
        <f>E12/'Output-Calculation-sheet'!E11*'Output-Calculation-sheet'!E128</f>
        <v>3173176876.4031987</v>
      </c>
      <c r="F155" s="2">
        <f>F12/'Output-Calculation-sheet'!F11*'Output-Calculation-sheet'!F128</f>
        <v>2591135761.4737091</v>
      </c>
      <c r="G155" s="2">
        <f>G12/'Output-Calculation-sheet'!G11*'Output-Calculation-sheet'!G128</f>
        <v>2463194408.6522479</v>
      </c>
      <c r="H155" s="2">
        <f>H12/'Output-Calculation-sheet'!H11*'Output-Calculation-sheet'!H128</f>
        <v>2758867893.4464302</v>
      </c>
      <c r="I155" s="2">
        <f>I12/'Output-Calculation-sheet'!I11*'Output-Calculation-sheet'!I128</f>
        <v>2120119402.6438992</v>
      </c>
      <c r="J155" s="2">
        <f>J12/'Output-Calculation-sheet'!J11*'Output-Calculation-sheet'!J128</f>
        <v>1543417207.2198131</v>
      </c>
      <c r="K155" s="2">
        <f>K12/'Output-Calculation-sheet'!K11*'Output-Calculation-sheet'!K128</f>
        <v>1705847019.185534</v>
      </c>
      <c r="L155" s="2">
        <f>L12/'Output-Calculation-sheet'!L11*'Output-Calculation-sheet'!L128</f>
        <v>742650257.57529867</v>
      </c>
      <c r="M155" s="2">
        <f>M12/'Output-Calculation-sheet'!M11*'Output-Calculation-sheet'!M128</f>
        <v>1473374380.273325</v>
      </c>
      <c r="N155" s="2">
        <f>N12/'Output-Calculation-sheet'!N11*'Output-Calculation-sheet'!N128</f>
        <v>1298384198.8817959</v>
      </c>
      <c r="O155" s="2">
        <f>O12/'Output-Calculation-sheet'!O11*'Output-Calculation-sheet'!O128</f>
        <v>21278795.509628117</v>
      </c>
      <c r="P155" s="2">
        <f>P12/'Output-Calculation-sheet'!P11*'Output-Calculation-sheet'!P128</f>
        <v>1131226516.1610804</v>
      </c>
      <c r="Q155" s="2">
        <f>Q12/'Output-Calculation-sheet'!Q11*'Output-Calculation-sheet'!Q128</f>
        <v>1703215394.5845015</v>
      </c>
      <c r="R155" s="2">
        <f>R12/'Output-Calculation-sheet'!R11*'Output-Calculation-sheet'!R128</f>
        <v>872005628.96741033</v>
      </c>
      <c r="S155" s="2">
        <f>S12/'Output-Calculation-sheet'!S11*'Output-Calculation-sheet'!S128</f>
        <v>965900939.22973502</v>
      </c>
      <c r="T155" s="2">
        <f>T12/'Output-Calculation-sheet'!T11*'Output-Calculation-sheet'!T128</f>
        <v>237562486.33508375</v>
      </c>
      <c r="U155" s="2">
        <f>U12/'Output-Calculation-sheet'!U11*'Output-Calculation-sheet'!U128</f>
        <v>550564556.27008533</v>
      </c>
      <c r="V155" s="2">
        <f>V12/'Output-Calculation-sheet'!V11*'Output-Calculation-sheet'!V128</f>
        <v>82144778.307784796</v>
      </c>
      <c r="W155" s="2">
        <f>W12/'Output-Calculation-sheet'!W11*'Output-Calculation-sheet'!W128</f>
        <v>165612163.31954649</v>
      </c>
      <c r="X155" s="2">
        <f>X12/'Output-Calculation-sheet'!X11*'Output-Calculation-sheet'!X128</f>
        <v>11710513.950631704</v>
      </c>
      <c r="Y155" s="2">
        <f>Y12/'Output-Calculation-sheet'!Y11*'Output-Calculation-sheet'!Y128</f>
        <v>157313219.65009025</v>
      </c>
      <c r="AA155" s="2">
        <f t="shared" si="13"/>
        <v>57066.997765656524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7397.7503413290933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4661.6542235014676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3235.8362411611793</v>
      </c>
      <c r="N19" s="2">
        <f>N8/'Output-Calculation-sheet'!N7*'Output-Calculation-sheet'!N25</f>
        <v>1105.4482986763767</v>
      </c>
      <c r="O19" s="2">
        <f>O8/'Output-Calculation-sheet'!O7*'Output-Calculation-sheet'!O25</f>
        <v>954.82631093297573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170.83133748219123</v>
      </c>
      <c r="Y19" s="2">
        <f>Y8/'Output-Calculation-sheet'!Y7*'Output-Calculation-sheet'!Y25</f>
        <v>0</v>
      </c>
      <c r="AA19" s="2">
        <f t="shared" si="0"/>
        <v>18.959061847605476</v>
      </c>
    </row>
    <row r="20" spans="1:27" x14ac:dyDescent="0.25">
      <c r="A20" s="2">
        <v>2032</v>
      </c>
      <c r="B20" s="2">
        <f>B9/'Output-Calculation-sheet'!B8*'Output-Calculation-sheet'!B26</f>
        <v>5488.5248783976922</v>
      </c>
      <c r="C20" s="2">
        <f>C9/'Output-Calculation-sheet'!C8*'Output-Calculation-sheet'!C26</f>
        <v>5297.7350604701414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5969.2688095316562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4149.287956195185</v>
      </c>
      <c r="N20" s="2">
        <f>N9/'Output-Calculation-sheet'!N8*'Output-Calculation-sheet'!N26</f>
        <v>1868.2779862567718</v>
      </c>
      <c r="O20" s="2">
        <f>O9/'Output-Calculation-sheet'!O8*'Output-Calculation-sheet'!O26</f>
        <v>1019.2284320020852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679.1606842499034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221.69964671562383</v>
      </c>
      <c r="Y20" s="2">
        <f>Y9/'Output-Calculation-sheet'!Y8*'Output-Calculation-sheet'!Y26</f>
        <v>0</v>
      </c>
      <c r="AA20" s="2">
        <f t="shared" si="0"/>
        <v>24.69318345381906</v>
      </c>
    </row>
    <row r="21" spans="1:27" x14ac:dyDescent="0.25">
      <c r="A21" s="2">
        <v>2033</v>
      </c>
      <c r="B21" s="2">
        <f>B10/'Output-Calculation-sheet'!B9*'Output-Calculation-sheet'!B27</f>
        <v>11810.648214392788</v>
      </c>
      <c r="C21" s="2">
        <f>C10/'Output-Calculation-sheet'!C9*'Output-Calculation-sheet'!C27</f>
        <v>4907.527258145592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6861.6341756803449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4767.8604624163463</v>
      </c>
      <c r="N21" s="2">
        <f>N10/'Output-Calculation-sheet'!N9*'Output-Calculation-sheet'!N27</f>
        <v>2603.9970647560981</v>
      </c>
      <c r="O21" s="2">
        <f>O10/'Output-Calculation-sheet'!O9*'Output-Calculation-sheet'!O27</f>
        <v>943.77343935352224</v>
      </c>
      <c r="P21" s="2">
        <f>P10/'Output-Calculation-sheet'!P9*'Output-Calculation-sheet'!P27</f>
        <v>0</v>
      </c>
      <c r="Q21" s="2">
        <f>Q10/'Output-Calculation-sheet'!Q9*'Output-Calculation-sheet'!Q27</f>
        <v>174.52452605360057</v>
      </c>
      <c r="R21" s="2">
        <f>R10/'Output-Calculation-sheet'!R9*'Output-Calculation-sheet'!R27</f>
        <v>0</v>
      </c>
      <c r="S21" s="2">
        <f>S10/'Output-Calculation-sheet'!S9*'Output-Calculation-sheet'!S27</f>
        <v>1133.5650492203993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302.12965679580049</v>
      </c>
      <c r="Y21" s="2">
        <f>Y10/'Output-Calculation-sheet'!Y9*'Output-Calculation-sheet'!Y27</f>
        <v>0</v>
      </c>
      <c r="AA21" s="2">
        <f t="shared" si="0"/>
        <v>33.505659846814488</v>
      </c>
    </row>
    <row r="22" spans="1:27" x14ac:dyDescent="0.25">
      <c r="A22" s="2">
        <v>2034</v>
      </c>
      <c r="B22" s="2">
        <f>B11/'Output-Calculation-sheet'!B10*'Output-Calculation-sheet'!B28</f>
        <v>19632.332843387721</v>
      </c>
      <c r="C22" s="2">
        <f>C11/'Output-Calculation-sheet'!C10*'Output-Calculation-sheet'!C28</f>
        <v>4273.8476925666546</v>
      </c>
      <c r="D22" s="2">
        <f>D11/'Output-Calculation-sheet'!D10*'Output-Calculation-sheet'!D28</f>
        <v>0</v>
      </c>
      <c r="E22" s="2">
        <f>E11/'Output-Calculation-sheet'!E10*'Output-Calculation-sheet'!E28</f>
        <v>1008.705201200033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7498.0675544723917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611.74227739122705</v>
      </c>
      <c r="M22" s="2">
        <f>M11/'Output-Calculation-sheet'!M10*'Output-Calculation-sheet'!M28</f>
        <v>5563.1475286128816</v>
      </c>
      <c r="N22" s="2">
        <f>N11/'Output-Calculation-sheet'!N10*'Output-Calculation-sheet'!N28</f>
        <v>3203.4273387160142</v>
      </c>
      <c r="O22" s="2">
        <f>O11/'Output-Calculation-sheet'!O10*'Output-Calculation-sheet'!O28</f>
        <v>454.58571065788743</v>
      </c>
      <c r="P22" s="2">
        <f>P11/'Output-Calculation-sheet'!P10*'Output-Calculation-sheet'!P28</f>
        <v>0</v>
      </c>
      <c r="Q22" s="2">
        <f>Q11/'Output-Calculation-sheet'!Q10*'Output-Calculation-sheet'!Q28</f>
        <v>924.5580121847845</v>
      </c>
      <c r="R22" s="2">
        <f>R11/'Output-Calculation-sheet'!R10*'Output-Calculation-sheet'!R28</f>
        <v>0</v>
      </c>
      <c r="S22" s="2">
        <f>S11/'Output-Calculation-sheet'!S10*'Output-Calculation-sheet'!S28</f>
        <v>1528.0780771523757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55.68412999179904</v>
      </c>
      <c r="AA22" s="2">
        <f t="shared" si="0"/>
        <v>44.981974495819529</v>
      </c>
    </row>
    <row r="23" spans="1:27" x14ac:dyDescent="0.25">
      <c r="A23" s="2">
        <v>2035</v>
      </c>
      <c r="B23" s="2">
        <f>B12/'Output-Calculation-sheet'!B11*'Output-Calculation-sheet'!B29</f>
        <v>16965.194389122829</v>
      </c>
      <c r="C23" s="2">
        <f>C12/'Output-Calculation-sheet'!C11*'Output-Calculation-sheet'!C29</f>
        <v>6379.6743819610683</v>
      </c>
      <c r="D23" s="2">
        <f>D12/'Output-Calculation-sheet'!D11*'Output-Calculation-sheet'!D29</f>
        <v>0</v>
      </c>
      <c r="E23" s="2">
        <f>E12/'Output-Calculation-sheet'!E11*'Output-Calculation-sheet'!E29</f>
        <v>2878.6946302951574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6191.0857667398204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1034.7525337784907</v>
      </c>
      <c r="M23" s="2">
        <f>M12/'Output-Calculation-sheet'!M11*'Output-Calculation-sheet'!M29</f>
        <v>4757.6654163423445</v>
      </c>
      <c r="N23" s="2">
        <f>N12/'Output-Calculation-sheet'!N11*'Output-Calculation-sheet'!N29</f>
        <v>2830.5472184452256</v>
      </c>
      <c r="O23" s="2">
        <f>O12/'Output-Calculation-sheet'!O11*'Output-Calculation-sheet'!O29</f>
        <v>17.335872557379052</v>
      </c>
      <c r="P23" s="2">
        <f>P12/'Output-Calculation-sheet'!P11*'Output-Calculation-sheet'!P29</f>
        <v>320.85894412185905</v>
      </c>
      <c r="Q23" s="2">
        <f>Q12/'Output-Calculation-sheet'!Q11*'Output-Calculation-sheet'!Q29</f>
        <v>874.66303366071895</v>
      </c>
      <c r="R23" s="2">
        <f>R12/'Output-Calculation-sheet'!R11*'Output-Calculation-sheet'!R29</f>
        <v>0</v>
      </c>
      <c r="S23" s="2">
        <f>S12/'Output-Calculation-sheet'!S11*'Output-Calculation-sheet'!S29</f>
        <v>1352.2831269939572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46.330259115692044</v>
      </c>
      <c r="Y23" s="2">
        <f>Y12/'Output-Calculation-sheet'!Y11*'Output-Calculation-sheet'!Y29</f>
        <v>67.963291143442476</v>
      </c>
      <c r="AA23" s="2">
        <f t="shared" si="0"/>
        <v>43.717048864277984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1506.6847551811757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38.724045402440325</v>
      </c>
    </row>
    <row r="31" spans="1:27" x14ac:dyDescent="0.25">
      <c r="A31" s="2">
        <v>2032</v>
      </c>
      <c r="B31" s="2">
        <f>B9/'Output-Calculation-sheet'!B8*'Output-Calculation-sheet'!B17</f>
        <v>23239.997835944632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1591.8481365538009</v>
      </c>
      <c r="O31" s="2">
        <f>O9/'Output-Calculation-sheet'!O8*'Output-Calculation-sheet'!O17</f>
        <v>0</v>
      </c>
      <c r="P31" s="2">
        <f>P9/'Output-Calculation-sheet'!P8*'Output-Calculation-sheet'!P17</f>
        <v>1970.5990635565086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1183.9299938521415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50.609717627211502</v>
      </c>
    </row>
    <row r="32" spans="1:27" x14ac:dyDescent="0.25">
      <c r="A32" s="2">
        <v>2033</v>
      </c>
      <c r="B32" s="2">
        <f>B10/'Output-Calculation-sheet'!B9*'Output-Calculation-sheet'!B18</f>
        <v>24117.356857122595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2295.2793227071834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1470.5878426801969</v>
      </c>
      <c r="O32" s="2">
        <f>O10/'Output-Calculation-sheet'!O9*'Output-Calculation-sheet'!O18</f>
        <v>0</v>
      </c>
      <c r="P32" s="2">
        <f>P10/'Output-Calculation-sheet'!P9*'Output-Calculation-sheet'!P18</f>
        <v>2362.3008684319484</v>
      </c>
      <c r="Q32" s="2">
        <f>Q10/'Output-Calculation-sheet'!Q9*'Output-Calculation-sheet'!Q18</f>
        <v>2575.3352454924184</v>
      </c>
      <c r="R32" s="2">
        <f>R10/'Output-Calculation-sheet'!R9*'Output-Calculation-sheet'!R18</f>
        <v>1696.3146573995768</v>
      </c>
      <c r="S32" s="2">
        <f>S10/'Output-Calculation-sheet'!S9*'Output-Calculation-sheet'!S18</f>
        <v>1110.9057883652449</v>
      </c>
      <c r="T32" s="2">
        <f>T10/'Output-Calculation-sheet'!T9*'Output-Calculation-sheet'!T18</f>
        <v>495.27674264396688</v>
      </c>
      <c r="U32" s="2">
        <f>U10/'Output-Calculation-sheet'!U9*'Output-Calculation-sheet'!U18</f>
        <v>547.51705786122625</v>
      </c>
      <c r="V32" s="2">
        <f>V10/'Output-Calculation-sheet'!V9*'Output-Calculation-sheet'!V18</f>
        <v>404.14573454205015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234.00313963975938</v>
      </c>
      <c r="AA32" s="2">
        <f t="shared" si="1"/>
        <v>57.900673063596457</v>
      </c>
    </row>
    <row r="33" spans="1:27" x14ac:dyDescent="0.25">
      <c r="A33" s="2">
        <v>2034</v>
      </c>
      <c r="B33" s="2">
        <f>B11/'Output-Calculation-sheet'!B10*'Output-Calculation-sheet'!B19</f>
        <v>20003.460953758567</v>
      </c>
      <c r="C33" s="2">
        <f>C11/'Output-Calculation-sheet'!C10*'Output-Calculation-sheet'!C19</f>
        <v>0</v>
      </c>
      <c r="D33" s="2">
        <f>D11/'Output-Calculation-sheet'!D10*'Output-Calculation-sheet'!D19</f>
        <v>6053.385765166222</v>
      </c>
      <c r="E33" s="2">
        <f>E11/'Output-Calculation-sheet'!E10*'Output-Calculation-sheet'!E19</f>
        <v>7505.2348872090215</v>
      </c>
      <c r="F33" s="2">
        <f>F11/'Output-Calculation-sheet'!F10*'Output-Calculation-sheet'!F19</f>
        <v>3436.3560894332613</v>
      </c>
      <c r="G33" s="2">
        <f>G11/'Output-Calculation-sheet'!G10*'Output-Calculation-sheet'!G19</f>
        <v>2047.1911480117499</v>
      </c>
      <c r="H33" s="2">
        <f>H11/'Output-Calculation-sheet'!H10*'Output-Calculation-sheet'!H19</f>
        <v>0</v>
      </c>
      <c r="I33" s="2">
        <f>I11/'Output-Calculation-sheet'!I10*'Output-Calculation-sheet'!I19</f>
        <v>2248.7243256699112</v>
      </c>
      <c r="J33" s="2">
        <f>J11/'Output-Calculation-sheet'!J10*'Output-Calculation-sheet'!J19</f>
        <v>1901.3612481959753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2145.1551101367072</v>
      </c>
      <c r="M33" s="2">
        <f>M11/'Output-Calculation-sheet'!M10*'Output-Calculation-sheet'!M19</f>
        <v>0</v>
      </c>
      <c r="N33" s="2">
        <f>N11/'Output-Calculation-sheet'!N10*'Output-Calculation-sheet'!N19</f>
        <v>1211.4799159087536</v>
      </c>
      <c r="O33" s="2">
        <f>O11/'Output-Calculation-sheet'!O10*'Output-Calculation-sheet'!O19</f>
        <v>0</v>
      </c>
      <c r="P33" s="2">
        <f>P11/'Output-Calculation-sheet'!P10*'Output-Calculation-sheet'!P19</f>
        <v>2669.3718363836192</v>
      </c>
      <c r="Q33" s="2">
        <f>Q11/'Output-Calculation-sheet'!Q10*'Output-Calculation-sheet'!Q19</f>
        <v>2173.3594213339834</v>
      </c>
      <c r="R33" s="2">
        <f>R11/'Output-Calculation-sheet'!R10*'Output-Calculation-sheet'!R19</f>
        <v>1905.3158882605146</v>
      </c>
      <c r="S33" s="2">
        <f>S11/'Output-Calculation-sheet'!S10*'Output-Calculation-sheet'!S19</f>
        <v>884.27323374270475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598.05348152775423</v>
      </c>
      <c r="V33" s="2">
        <f>V11/'Output-Calculation-sheet'!V10*'Output-Calculation-sheet'!V19</f>
        <v>438.45119979897925</v>
      </c>
      <c r="W33" s="2">
        <f>W11/'Output-Calculation-sheet'!W10*'Output-Calculation-sheet'!W19</f>
        <v>272.97479995642192</v>
      </c>
      <c r="X33" s="2">
        <f>X11/'Output-Calculation-sheet'!X10*'Output-Calculation-sheet'!X19</f>
        <v>0</v>
      </c>
      <c r="Y33" s="2">
        <f>Y11/'Output-Calculation-sheet'!Y10*'Output-Calculation-sheet'!Y19</f>
        <v>246.0675519012722</v>
      </c>
      <c r="AA33" s="2">
        <f t="shared" si="1"/>
        <v>58.936818641980935</v>
      </c>
    </row>
    <row r="34" spans="1:27" x14ac:dyDescent="0.25">
      <c r="A34" s="2">
        <v>2035</v>
      </c>
      <c r="B34" s="2">
        <f>B12/'Output-Calculation-sheet'!B11*'Output-Calculation-sheet'!B20</f>
        <v>15694.405007820507</v>
      </c>
      <c r="C34" s="2">
        <f>C12/'Output-Calculation-sheet'!C11*'Output-Calculation-sheet'!C20</f>
        <v>0</v>
      </c>
      <c r="D34" s="2">
        <f>D12/'Output-Calculation-sheet'!D11*'Output-Calculation-sheet'!D20</f>
        <v>5005.1649374153012</v>
      </c>
      <c r="E34" s="2">
        <f>E12/'Output-Calculation-sheet'!E11*'Output-Calculation-sheet'!E20</f>
        <v>5546.864030140342</v>
      </c>
      <c r="F34" s="2">
        <f>F12/'Output-Calculation-sheet'!F11*'Output-Calculation-sheet'!F20</f>
        <v>3115.5906752180481</v>
      </c>
      <c r="G34" s="2">
        <f>G12/'Output-Calculation-sheet'!G11*'Output-Calculation-sheet'!G20</f>
        <v>1679.0370108419033</v>
      </c>
      <c r="H34" s="2">
        <f>H12/'Output-Calculation-sheet'!H11*'Output-Calculation-sheet'!H20</f>
        <v>0</v>
      </c>
      <c r="I34" s="2">
        <f>I12/'Output-Calculation-sheet'!I11*'Output-Calculation-sheet'!I20</f>
        <v>1863.9317471232466</v>
      </c>
      <c r="J34" s="2">
        <f>J12/'Output-Calculation-sheet'!J11*'Output-Calculation-sheet'!J20</f>
        <v>1724.1913055711104</v>
      </c>
      <c r="K34" s="2">
        <f>K12/'Output-Calculation-sheet'!K11*'Output-Calculation-sheet'!K20</f>
        <v>2295.1819230853876</v>
      </c>
      <c r="L34" s="2">
        <f>L12/'Output-Calculation-sheet'!L11*'Output-Calculation-sheet'!L20</f>
        <v>1836.3039163115091</v>
      </c>
      <c r="M34" s="2">
        <f>M12/'Output-Calculation-sheet'!M11*'Output-Calculation-sheet'!M20</f>
        <v>0</v>
      </c>
      <c r="N34" s="2">
        <f>N12/'Output-Calculation-sheet'!N11*'Output-Calculation-sheet'!N20</f>
        <v>981.60200808675904</v>
      </c>
      <c r="O34" s="2">
        <f>O12/'Output-Calculation-sheet'!O11*'Output-Calculation-sheet'!O20</f>
        <v>0</v>
      </c>
      <c r="P34" s="2">
        <f>P12/'Output-Calculation-sheet'!P11*'Output-Calculation-sheet'!P20</f>
        <v>2105.837689003356</v>
      </c>
      <c r="Q34" s="2">
        <f>Q12/'Output-Calculation-sheet'!Q11*'Output-Calculation-sheet'!Q20</f>
        <v>1722.8642157599807</v>
      </c>
      <c r="R34" s="2">
        <f>R12/'Output-Calculation-sheet'!R11*'Output-Calculation-sheet'!R20</f>
        <v>1761.9970948229291</v>
      </c>
      <c r="S34" s="2">
        <f>S12/'Output-Calculation-sheet'!S11*'Output-Calculation-sheet'!S20</f>
        <v>679.73423957300372</v>
      </c>
      <c r="T34" s="2">
        <f>T12/'Output-Calculation-sheet'!T11*'Output-Calculation-sheet'!T20</f>
        <v>534.58965131386401</v>
      </c>
      <c r="U34" s="2">
        <f>U12/'Output-Calculation-sheet'!U11*'Output-Calculation-sheet'!U20</f>
        <v>492.02969311736757</v>
      </c>
      <c r="V34" s="2">
        <f>V12/'Output-Calculation-sheet'!V11*'Output-Calculation-sheet'!V20</f>
        <v>484.21014786623545</v>
      </c>
      <c r="W34" s="2">
        <f>W12/'Output-Calculation-sheet'!W11*'Output-Calculation-sheet'!W20</f>
        <v>262.59167759141667</v>
      </c>
      <c r="X34" s="2">
        <f>X12/'Output-Calculation-sheet'!X11*'Output-Calculation-sheet'!X20</f>
        <v>0.58256798404676069</v>
      </c>
      <c r="Y34" s="2">
        <f>Y12/'Output-Calculation-sheet'!Y11*'Output-Calculation-sheet'!Y20</f>
        <v>190.15402904212516</v>
      </c>
      <c r="AA34" s="2">
        <f t="shared" si="1"/>
        <v>47.976863567688454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9.0410728656886694E-2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1.3635676851658538E-2</v>
      </c>
      <c r="H44" s="2">
        <f>H11/'Output-Calculation-sheet'!H10*'Output-Calculation-sheet'!H37*0.0114</f>
        <v>1.3209344198125283E-2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7.8269577594520089E-3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5.1208885252820024E-3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2.4972701377479613E-3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0.13270086612915247</v>
      </c>
    </row>
    <row r="45" spans="1:27" x14ac:dyDescent="0.25">
      <c r="A45" s="2">
        <v>2035</v>
      </c>
      <c r="B45" s="2">
        <f>B12/'Output-Calculation-sheet'!B11*'Output-Calculation-sheet'!B38*0.0114</f>
        <v>0.29792394983900627</v>
      </c>
      <c r="C45" s="2">
        <f>C12/'Output-Calculation-sheet'!C11*'Output-Calculation-sheet'!C38*0.0114</f>
        <v>0.17675200270433816</v>
      </c>
      <c r="D45" s="2">
        <f>D12/'Output-Calculation-sheet'!D11*'Output-Calculation-sheet'!D38*0.0114</f>
        <v>3.1314350599481504E-2</v>
      </c>
      <c r="E45" s="2">
        <f>E12/'Output-Calculation-sheet'!E11*'Output-Calculation-sheet'!E38*0.0114</f>
        <v>9.954634122296166E-2</v>
      </c>
      <c r="F45" s="2">
        <f>F12/'Output-Calculation-sheet'!F11*'Output-Calculation-sheet'!F38*0.0114</f>
        <v>3.1303900058641927E-2</v>
      </c>
      <c r="G45" s="2">
        <f>G12/'Output-Calculation-sheet'!G11*'Output-Calculation-sheet'!G38*0.0114</f>
        <v>2.2466330969366548E-2</v>
      </c>
      <c r="H45" s="2">
        <f>H12/'Output-Calculation-sheet'!H11*'Output-Calculation-sheet'!H38*0.0114</f>
        <v>6.529169806644429E-2</v>
      </c>
      <c r="I45" s="2">
        <f>I12/'Output-Calculation-sheet'!I11*'Output-Calculation-sheet'!I38*0.0114</f>
        <v>2.0207076403820644E-2</v>
      </c>
      <c r="J45" s="2">
        <f>J12/'Output-Calculation-sheet'!J11*'Output-Calculation-sheet'!J38*0.0114</f>
        <v>9.9991559854745379E-3</v>
      </c>
      <c r="K45" s="2">
        <f>K12/'Output-Calculation-sheet'!K11*'Output-Calculation-sheet'!K38*0.0114</f>
        <v>1.9860339604527537E-2</v>
      </c>
      <c r="L45" s="2">
        <f>L12/'Output-Calculation-sheet'!L11*'Output-Calculation-sheet'!L38*0.0114</f>
        <v>7.8960138888180958E-3</v>
      </c>
      <c r="M45" s="2">
        <f>M12/'Output-Calculation-sheet'!M11*'Output-Calculation-sheet'!M38*0.0114</f>
        <v>3.7439202022188992E-2</v>
      </c>
      <c r="N45" s="2">
        <f>N12/'Output-Calculation-sheet'!N11*'Output-Calculation-sheet'!N38*0.0114</f>
        <v>2.2077998332559814E-2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2.7194923248700816E-2</v>
      </c>
      <c r="Q45" s="2">
        <f>Q12/'Output-Calculation-sheet'!Q11*'Output-Calculation-sheet'!Q38*0.0114</f>
        <v>1.9343706816326356E-2</v>
      </c>
      <c r="R45" s="2">
        <f>R12/'Output-Calculation-sheet'!R11*'Output-Calculation-sheet'!R38*0.0114</f>
        <v>1.2788620740115806E-2</v>
      </c>
      <c r="S45" s="2">
        <f>S12/'Output-Calculation-sheet'!S11*'Output-Calculation-sheet'!S38*0.0114</f>
        <v>1.6874494418987838E-2</v>
      </c>
      <c r="T45" s="2">
        <f>T12/'Output-Calculation-sheet'!T11*'Output-Calculation-sheet'!T38*0.0114</f>
        <v>2.3656539577302607E-3</v>
      </c>
      <c r="U45" s="2">
        <f>U12/'Output-Calculation-sheet'!U11*'Output-Calculation-sheet'!U38*0.0114</f>
        <v>6.1718055559233757E-3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2.7473130697006267E-3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3.9634863501765618E-3</v>
      </c>
      <c r="AA45" s="2">
        <f t="shared" si="2"/>
        <v>0.9428037300327089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2858.0338338888951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6583.1294111407642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4502.3579616736361</v>
      </c>
      <c r="N52" s="2">
        <f>N8/'Output-Calculation-sheet'!N7*'Output-Calculation-sheet'!N43</f>
        <v>142.22210286003616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30.442873039226075</v>
      </c>
      <c r="Y52" s="2">
        <f>Y8/'Output-Calculation-sheet'!Y7*'Output-Calculation-sheet'!Y43</f>
        <v>0</v>
      </c>
      <c r="AA52" s="2">
        <f t="shared" si="3"/>
        <v>14.116186182602558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460.4262320237454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11939.682389432806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8173.4645147650954</v>
      </c>
      <c r="N53" s="2">
        <f>N9/'Output-Calculation-sheet'!N8*'Output-Calculation-sheet'!N44</f>
        <v>2900.4645713117548</v>
      </c>
      <c r="O53" s="2">
        <f>O9/'Output-Calculation-sheet'!O8*'Output-Calculation-sheet'!O44</f>
        <v>160.83443114249016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903.96823220337797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249.57128654910974</v>
      </c>
      <c r="Y53" s="2">
        <f>Y9/'Output-Calculation-sheet'!Y8*'Output-Calculation-sheet'!Y44</f>
        <v>0</v>
      </c>
      <c r="AA53" s="2">
        <f t="shared" si="3"/>
        <v>24.916980926239116</v>
      </c>
    </row>
    <row r="54" spans="1:27" x14ac:dyDescent="0.25">
      <c r="A54" s="2">
        <v>2033</v>
      </c>
      <c r="B54" s="2">
        <f>B10/'Output-Calculation-sheet'!B9*'Output-Calculation-sheet'!B45</f>
        <v>22682.648177910367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11331.081585096703</v>
      </c>
      <c r="N54" s="2">
        <f>N10/'Output-Calculation-sheet'!N9*'Output-Calculation-sheet'!N45</f>
        <v>6341.6471933805142</v>
      </c>
      <c r="O54" s="2">
        <f>O10/'Output-Calculation-sheet'!O9*'Output-Calculation-sheet'!O45</f>
        <v>844.47750682660944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659.43879413573598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69.264543882881583</v>
      </c>
    </row>
    <row r="55" spans="1:27" x14ac:dyDescent="0.25">
      <c r="A55" s="2">
        <v>2034</v>
      </c>
      <c r="B55" s="2">
        <f>B11/'Output-Calculation-sheet'!B10*'Output-Calculation-sheet'!B46</f>
        <v>55896.036453836612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198.32849045453924</v>
      </c>
      <c r="G55" s="2">
        <f>G11/'Output-Calculation-sheet'!G10*'Output-Calculation-sheet'!G46</f>
        <v>2235.533336469281</v>
      </c>
      <c r="H55" s="2">
        <f>H11/'Output-Calculation-sheet'!H10*'Output-Calculation-sheet'!H46</f>
        <v>17296.129898720712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12178.883901143528</v>
      </c>
      <c r="N55" s="2">
        <f>N11/'Output-Calculation-sheet'!N10*'Output-Calculation-sheet'!N46</f>
        <v>9224.8303326193472</v>
      </c>
      <c r="O55" s="2">
        <f>O11/'Output-Calculation-sheet'!O10*'Output-Calculation-sheet'!O46</f>
        <v>353.93221504692804</v>
      </c>
      <c r="P55" s="2">
        <f>P11/'Output-Calculation-sheet'!P10*'Output-Calculation-sheet'!P46</f>
        <v>3414.0614581908808</v>
      </c>
      <c r="Q55" s="2">
        <f>Q11/'Output-Calculation-sheet'!Q10*'Output-Calculation-sheet'!Q46</f>
        <v>2663.9119391819117</v>
      </c>
      <c r="R55" s="2">
        <f>R11/'Output-Calculation-sheet'!R10*'Output-Calculation-sheet'!R46</f>
        <v>2767.0506188948993</v>
      </c>
      <c r="S55" s="2">
        <f>S11/'Output-Calculation-sheet'!S10*'Output-Calculation-sheet'!S46</f>
        <v>4322.2095956371422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817.30832315242492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138.11315164359971</v>
      </c>
    </row>
    <row r="56" spans="1:27" x14ac:dyDescent="0.25">
      <c r="A56" s="2">
        <v>2035</v>
      </c>
      <c r="B56" s="2">
        <f>B12/'Output-Calculation-sheet'!B11*'Output-Calculation-sheet'!B47</f>
        <v>48386.508169028079</v>
      </c>
      <c r="C56" s="2">
        <f>C12/'Output-Calculation-sheet'!C11*'Output-Calculation-sheet'!C47</f>
        <v>15079.736651775376</v>
      </c>
      <c r="D56" s="2">
        <f>D12/'Output-Calculation-sheet'!D11*'Output-Calculation-sheet'!D47</f>
        <v>4960.8523844441743</v>
      </c>
      <c r="E56" s="2">
        <f>E12/'Output-Calculation-sheet'!E11*'Output-Calculation-sheet'!E47</f>
        <v>12548.078275210168</v>
      </c>
      <c r="F56" s="2">
        <f>F12/'Output-Calculation-sheet'!F11*'Output-Calculation-sheet'!F47</f>
        <v>720.81348819241282</v>
      </c>
      <c r="G56" s="2">
        <f>G12/'Output-Calculation-sheet'!G11*'Output-Calculation-sheet'!G47</f>
        <v>1835.7357278916613</v>
      </c>
      <c r="H56" s="2">
        <f>H12/'Output-Calculation-sheet'!H11*'Output-Calculation-sheet'!H47</f>
        <v>14311.672940207591</v>
      </c>
      <c r="I56" s="2">
        <f>I12/'Output-Calculation-sheet'!I11*'Output-Calculation-sheet'!I47</f>
        <v>1169.883370747511</v>
      </c>
      <c r="J56" s="2">
        <f>J12/'Output-Calculation-sheet'!J11*'Output-Calculation-sheet'!J47</f>
        <v>1929.6616814073668</v>
      </c>
      <c r="K56" s="2">
        <f>K12/'Output-Calculation-sheet'!K11*'Output-Calculation-sheet'!K47</f>
        <v>2638.4635378120133</v>
      </c>
      <c r="L56" s="2">
        <f>L12/'Output-Calculation-sheet'!L11*'Output-Calculation-sheet'!L47</f>
        <v>2825.2491800428957</v>
      </c>
      <c r="M56" s="2">
        <f>M12/'Output-Calculation-sheet'!M11*'Output-Calculation-sheet'!M47</f>
        <v>10087.566046610149</v>
      </c>
      <c r="N56" s="2">
        <f>N12/'Output-Calculation-sheet'!N11*'Output-Calculation-sheet'!N47</f>
        <v>8163.6949389927322</v>
      </c>
      <c r="O56" s="2">
        <f>O12/'Output-Calculation-sheet'!O11*'Output-Calculation-sheet'!O47</f>
        <v>36.747688292738019</v>
      </c>
      <c r="P56" s="2">
        <f>P12/'Output-Calculation-sheet'!P11*'Output-Calculation-sheet'!P47</f>
        <v>3499.5572285828152</v>
      </c>
      <c r="Q56" s="2">
        <f>Q12/'Output-Calculation-sheet'!Q11*'Output-Calculation-sheet'!Q47</f>
        <v>2461.514972650652</v>
      </c>
      <c r="R56" s="2">
        <f>R12/'Output-Calculation-sheet'!R11*'Output-Calculation-sheet'!R47</f>
        <v>2876.3178576892037</v>
      </c>
      <c r="S56" s="2">
        <f>S12/'Output-Calculation-sheet'!S11*'Output-Calculation-sheet'!S47</f>
        <v>3796.0211348679218</v>
      </c>
      <c r="T56" s="2">
        <f>T12/'Output-Calculation-sheet'!T11*'Output-Calculation-sheet'!T47</f>
        <v>971.78574421498331</v>
      </c>
      <c r="U56" s="2">
        <f>U12/'Output-Calculation-sheet'!U11*'Output-Calculation-sheet'!U47</f>
        <v>678.35722469929726</v>
      </c>
      <c r="V56" s="2">
        <f>V12/'Output-Calculation-sheet'!V11*'Output-Calculation-sheet'!V47</f>
        <v>670.29558486523081</v>
      </c>
      <c r="W56" s="2">
        <f>W12/'Output-Calculation-sheet'!W11*'Output-Calculation-sheet'!W47</f>
        <v>237.25699272984798</v>
      </c>
      <c r="X56" s="2">
        <f>X12/'Output-Calculation-sheet'!X11*'Output-Calculation-sheet'!X47</f>
        <v>79.621227256854723</v>
      </c>
      <c r="Y56" s="2">
        <f>Y12/'Output-Calculation-sheet'!Y11*'Output-Calculation-sheet'!Y47</f>
        <v>315.96635044214554</v>
      </c>
      <c r="AA56" s="2">
        <f t="shared" si="3"/>
        <v>140.28135839865382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7.043436261815569</v>
      </c>
      <c r="C63" s="2">
        <f>C8*'Output-Calculation-sheet'!C52/10^9</f>
        <v>4.2603304819940053</v>
      </c>
      <c r="D63" s="2">
        <f>D8*'Output-Calculation-sheet'!D52/10^9</f>
        <v>2.4153452365564503</v>
      </c>
      <c r="E63" s="2">
        <f>E8*'Output-Calculation-sheet'!E52/10^9</f>
        <v>2.4015010531692944</v>
      </c>
      <c r="F63" s="2">
        <f>F8*'Output-Calculation-sheet'!F52/10^9</f>
        <v>1.0170354974861222</v>
      </c>
      <c r="G63" s="2">
        <f>G8*'Output-Calculation-sheet'!G52/10^9</f>
        <v>0.73120257695218749</v>
      </c>
      <c r="H63" s="2">
        <f>H8*'Output-Calculation-sheet'!H52/10^9</f>
        <v>1.2771889778874741</v>
      </c>
      <c r="I63" s="2">
        <f>I8*'Output-Calculation-sheet'!I52/10^9</f>
        <v>0.68018815436307944</v>
      </c>
      <c r="J63" s="2">
        <f>J8*'Output-Calculation-sheet'!J52/10^9</f>
        <v>0.93598500487055603</v>
      </c>
      <c r="K63" s="2">
        <f>K8*'Output-Calculation-sheet'!K52/10^9</f>
        <v>0.82234607520752956</v>
      </c>
      <c r="L63" s="2">
        <f>L8*'Output-Calculation-sheet'!L52/10^9</f>
        <v>1.1060950376767906</v>
      </c>
      <c r="M63" s="2">
        <f>M8*'Output-Calculation-sheet'!M52/10^9</f>
        <v>1.0367074948583761</v>
      </c>
      <c r="N63" s="2">
        <f>N8*'Output-Calculation-sheet'!N52/10^9</f>
        <v>0.86527034773784639</v>
      </c>
      <c r="O63" s="2">
        <f>O8*'Output-Calculation-sheet'!O52/10^9</f>
        <v>0.8695590532565638</v>
      </c>
      <c r="P63" s="2">
        <f>P8*'Output-Calculation-sheet'!P52/10^9</f>
        <v>0.56821895518741461</v>
      </c>
      <c r="Q63" s="2">
        <f>Q8*'Output-Calculation-sheet'!Q52/10^9</f>
        <v>0.64305734303383233</v>
      </c>
      <c r="R63" s="2">
        <f>R8*'Output-Calculation-sheet'!R52/10^9</f>
        <v>0.57733784699616597</v>
      </c>
      <c r="S63" s="2">
        <f>S8*'Output-Calculation-sheet'!S52/10^9</f>
        <v>0.42782780071987003</v>
      </c>
      <c r="T63" s="2">
        <f>T8*'Output-Calculation-sheet'!T52/10^9</f>
        <v>0.21949560218054848</v>
      </c>
      <c r="U63" s="2">
        <f>U8*'Output-Calculation-sheet'!U52/10^9</f>
        <v>0.1507472275367156</v>
      </c>
      <c r="V63" s="2">
        <f>V8*'Output-Calculation-sheet'!V52/10^9</f>
        <v>0.26754070451463208</v>
      </c>
      <c r="W63" s="2">
        <f>W8*'Output-Calculation-sheet'!W52/10^9</f>
        <v>9.6837200625541034E-2</v>
      </c>
      <c r="X63" s="2">
        <f>X8*'Output-Calculation-sheet'!X52/10^9</f>
        <v>0.11023564803602198</v>
      </c>
      <c r="Y63" s="2">
        <f>Y8*'Output-Calculation-sheet'!Y52/10^9</f>
        <v>6.3183579633665651E-2</v>
      </c>
      <c r="AA63" s="2">
        <f t="shared" si="4"/>
        <v>28.586673162296258</v>
      </c>
    </row>
    <row r="64" spans="1:27" x14ac:dyDescent="0.25">
      <c r="A64" s="2">
        <v>2032</v>
      </c>
      <c r="B64" s="2">
        <f>B9*'Output-Calculation-sheet'!B53/10^9</f>
        <v>6.8814724554574545</v>
      </c>
      <c r="C64" s="2">
        <f>C9*'Output-Calculation-sheet'!C53/10^9</f>
        <v>4.390377310056949</v>
      </c>
      <c r="D64" s="2">
        <f>D9*'Output-Calculation-sheet'!D53/10^9</f>
        <v>2.036514659230289</v>
      </c>
      <c r="E64" s="2">
        <f>E9*'Output-Calculation-sheet'!E53/10^9</f>
        <v>2.0854806134210198</v>
      </c>
      <c r="F64" s="2">
        <f>F9*'Output-Calculation-sheet'!F53/10^9</f>
        <v>0.87964264570384243</v>
      </c>
      <c r="G64" s="2">
        <f>G9*'Output-Calculation-sheet'!G53/10^9</f>
        <v>0.62610272597498662</v>
      </c>
      <c r="H64" s="2">
        <f>H9*'Output-Calculation-sheet'!H53/10^9</f>
        <v>1.2864592128198082</v>
      </c>
      <c r="I64" s="2">
        <f>I9*'Output-Calculation-sheet'!I53/10^9</f>
        <v>0.58530372083946891</v>
      </c>
      <c r="J64" s="2">
        <f>J9*'Output-Calculation-sheet'!J53/10^9</f>
        <v>0.77482320143591443</v>
      </c>
      <c r="K64" s="2">
        <f>K9*'Output-Calculation-sheet'!K53/10^9</f>
        <v>0.7189305135155275</v>
      </c>
      <c r="L64" s="2">
        <f>L9*'Output-Calculation-sheet'!L53/10^9</f>
        <v>0.92490195680565079</v>
      </c>
      <c r="M64" s="2">
        <f>M9*'Output-Calculation-sheet'!M53/10^9</f>
        <v>1.0082052661977843</v>
      </c>
      <c r="N64" s="2">
        <f>N9*'Output-Calculation-sheet'!N53/10^9</f>
        <v>0.84879568686928031</v>
      </c>
      <c r="O64" s="2">
        <f>O9*'Output-Calculation-sheet'!O53/10^9</f>
        <v>0.88706481204492293</v>
      </c>
      <c r="P64" s="2">
        <f>P9*'Output-Calculation-sheet'!P53/10^9</f>
        <v>0.54813562002916472</v>
      </c>
      <c r="Q64" s="2">
        <f>Q9*'Output-Calculation-sheet'!Q53/10^9</f>
        <v>0.60577240672379784</v>
      </c>
      <c r="R64" s="2">
        <f>R9*'Output-Calculation-sheet'!R53/10^9</f>
        <v>0.51929000680366044</v>
      </c>
      <c r="S64" s="2">
        <f>S9*'Output-Calculation-sheet'!S53/10^9</f>
        <v>0.42904959760292266</v>
      </c>
      <c r="T64" s="2">
        <f>T9*'Output-Calculation-sheet'!T53/10^9</f>
        <v>0.18667049909332992</v>
      </c>
      <c r="U64" s="2">
        <f>U9*'Output-Calculation-sheet'!U53/10^9</f>
        <v>0.1405029926692539</v>
      </c>
      <c r="V64" s="2">
        <f>V9*'Output-Calculation-sheet'!V53/10^9</f>
        <v>0.22156525937733257</v>
      </c>
      <c r="W64" s="2">
        <f>W9*'Output-Calculation-sheet'!W53/10^9</f>
        <v>8.2329514473422197E-2</v>
      </c>
      <c r="X64" s="2">
        <f>X9*'Output-Calculation-sheet'!X53/10^9</f>
        <v>0.11053399233723707</v>
      </c>
      <c r="Y64" s="2">
        <f>Y9*'Output-Calculation-sheet'!Y53/10^9</f>
        <v>5.7682774658087223E-2</v>
      </c>
      <c r="AA64" s="2">
        <f t="shared" si="4"/>
        <v>26.835607444141111</v>
      </c>
    </row>
    <row r="65" spans="1:27" x14ac:dyDescent="0.25">
      <c r="A65" s="2">
        <v>2033</v>
      </c>
      <c r="B65" s="2">
        <f>B10*'Output-Calculation-sheet'!B54/10^9</f>
        <v>6.5386506191104852</v>
      </c>
      <c r="C65" s="2">
        <f>C10*'Output-Calculation-sheet'!C54/10^9</f>
        <v>4.2447828426563197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1.1981245717107722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0.602007744481033</v>
      </c>
      <c r="L65" s="2">
        <f>L10*'Output-Calculation-sheet'!L54/10^9</f>
        <v>0.71105353400536586</v>
      </c>
      <c r="M65" s="2">
        <f>M10*'Output-Calculation-sheet'!M54/10^9</f>
        <v>0.90464698079948092</v>
      </c>
      <c r="N65" s="2">
        <f>N10*'Output-Calculation-sheet'!N54/10^9</f>
        <v>0.78117079361502328</v>
      </c>
      <c r="O65" s="2">
        <f>O10*'Output-Calculation-sheet'!O54/10^9</f>
        <v>0.84850700375848498</v>
      </c>
      <c r="P65" s="2">
        <f>P10*'Output-Calculation-sheet'!P54/10^9</f>
        <v>0.50933721207646976</v>
      </c>
      <c r="Q65" s="2">
        <f>Q10*'Output-Calculation-sheet'!Q54/10^9</f>
        <v>0.55584073540555556</v>
      </c>
      <c r="R65" s="2">
        <f>R10*'Output-Calculation-sheet'!R54/10^9</f>
        <v>0.44841333343172685</v>
      </c>
      <c r="S65" s="2">
        <f>S10*'Output-Calculation-sheet'!S54/10^9</f>
        <v>0.40730889104744367</v>
      </c>
      <c r="T65" s="2">
        <f>T10*'Output-Calculation-sheet'!T54/10^9</f>
        <v>0.14992422622871945</v>
      </c>
      <c r="U65" s="2">
        <f>U10*'Output-Calculation-sheet'!U54/10^9</f>
        <v>0.12945604079495435</v>
      </c>
      <c r="V65" s="2">
        <f>V10*'Output-Calculation-sheet'!V54/10^9</f>
        <v>0.16592010007026908</v>
      </c>
      <c r="W65" s="2">
        <f>W10*'Output-Calculation-sheet'!W54/10^9</f>
        <v>6.3169597902345151E-2</v>
      </c>
      <c r="X65" s="2">
        <f>X10*'Output-Calculation-sheet'!X54/10^9</f>
        <v>0.10329140618273071</v>
      </c>
      <c r="Y65" s="2">
        <f>Y10*'Output-Calculation-sheet'!Y54/10^9</f>
        <v>5.1996656430802951E-2</v>
      </c>
      <c r="AA65" s="2">
        <f t="shared" si="4"/>
        <v>23.924835730163419</v>
      </c>
    </row>
    <row r="66" spans="1:27" x14ac:dyDescent="0.25">
      <c r="A66" s="2">
        <v>2034</v>
      </c>
      <c r="B66" s="2">
        <f>B11*'Output-Calculation-sheet'!B55/10^9</f>
        <v>5.9688131177026982</v>
      </c>
      <c r="C66" s="2">
        <f>C11*'Output-Calculation-sheet'!C55/10^9</f>
        <v>3.8346792095331055</v>
      </c>
      <c r="D66" s="2">
        <f>D11*'Output-Calculation-sheet'!D55/10^9</f>
        <v>1.2488549279133376</v>
      </c>
      <c r="E66" s="2">
        <f>E11*'Output-Calculation-sheet'!E55/10^9</f>
        <v>1.5122722557756161</v>
      </c>
      <c r="F66" s="2">
        <f>F11*'Output-Calculation-sheet'!F55/10^9</f>
        <v>0.5811907782898077</v>
      </c>
      <c r="G66" s="2">
        <f>G11*'Output-Calculation-sheet'!G55/10^9</f>
        <v>0.41544941302267713</v>
      </c>
      <c r="H66" s="2">
        <f>H11*'Output-Calculation-sheet'!H55/10^9</f>
        <v>1.0614125302993487</v>
      </c>
      <c r="I66" s="2">
        <f>I11*'Output-Calculation-sheet'!I55/10^9</f>
        <v>0.40624233062834558</v>
      </c>
      <c r="J66" s="2">
        <f>J11*'Output-Calculation-sheet'!J55/10^9</f>
        <v>0.41774153495260424</v>
      </c>
      <c r="K66" s="2">
        <f>K11*'Output-Calculation-sheet'!K55/10^9</f>
        <v>0.49965238169592907</v>
      </c>
      <c r="L66" s="2">
        <f>L11*'Output-Calculation-sheet'!L55/10^9</f>
        <v>0.52916637207177786</v>
      </c>
      <c r="M66" s="2">
        <f>M11*'Output-Calculation-sheet'!M55/10^9</f>
        <v>0.76943114285603897</v>
      </c>
      <c r="N66" s="2">
        <f>N11*'Output-Calculation-sheet'!N55/10^9</f>
        <v>0.67227449822368379</v>
      </c>
      <c r="O66" s="2">
        <f>O11*'Output-Calculation-sheet'!O55/10^9</f>
        <v>0.75660435255774061</v>
      </c>
      <c r="P66" s="2">
        <f>P11*'Output-Calculation-sheet'!P55/10^9</f>
        <v>0.46216334065033837</v>
      </c>
      <c r="Q66" s="2">
        <f>Q11*'Output-Calculation-sheet'!Q55/10^9</f>
        <v>0.50285873000223191</v>
      </c>
      <c r="R66" s="2">
        <f>R11*'Output-Calculation-sheet'!R55/10^9</f>
        <v>0.37432199384622794</v>
      </c>
      <c r="S66" s="2">
        <f>S11*'Output-Calculation-sheet'!S55/10^9</f>
        <v>0.36800892133745761</v>
      </c>
      <c r="T66" s="2">
        <f>T11*'Output-Calculation-sheet'!T55/10^9</f>
        <v>0.11732083923748921</v>
      </c>
      <c r="U66" s="2">
        <f>U11*'Output-Calculation-sheet'!U55/10^9</f>
        <v>0.11915392254713514</v>
      </c>
      <c r="V66" s="2">
        <f>V11*'Output-Calculation-sheet'!V55/10^9</f>
        <v>0.11129536723240001</v>
      </c>
      <c r="W66" s="2">
        <f>W11*'Output-Calculation-sheet'!W55/10^9</f>
        <v>5.0394316619226137E-2</v>
      </c>
      <c r="X66" s="2">
        <f>X11*'Output-Calculation-sheet'!X55/10^9</f>
        <v>8.9927852783759837E-2</v>
      </c>
      <c r="Y66" s="2">
        <f>Y11*'Output-Calculation-sheet'!Y55/10^9</f>
        <v>4.9450423783478394E-2</v>
      </c>
      <c r="AA66" s="2">
        <f t="shared" si="4"/>
        <v>20.918680553562453</v>
      </c>
    </row>
    <row r="67" spans="1:27" x14ac:dyDescent="0.25">
      <c r="A67" s="2">
        <v>2035</v>
      </c>
      <c r="B67" s="2">
        <f>B12*'Output-Calculation-sheet'!B56/10^9</f>
        <v>5.1068176856166785</v>
      </c>
      <c r="C67" s="2">
        <f>C12*'Output-Calculation-sheet'!C56/10^9</f>
        <v>3.2073437968200516</v>
      </c>
      <c r="D67" s="2">
        <f>D12*'Output-Calculation-sheet'!D56/10^9</f>
        <v>1.06254651683043</v>
      </c>
      <c r="E67" s="2">
        <f>E12*'Output-Calculation-sheet'!E56/10^9</f>
        <v>1.4425944263468855</v>
      </c>
      <c r="F67" s="2">
        <f>F12*'Output-Calculation-sheet'!F56/10^9</f>
        <v>0.52691306156976503</v>
      </c>
      <c r="G67" s="2">
        <f>G12*'Output-Calculation-sheet'!G56/10^9</f>
        <v>0.36910775374206473</v>
      </c>
      <c r="H67" s="2">
        <f>H12*'Output-Calculation-sheet'!H56/10^9</f>
        <v>0.89161920914520976</v>
      </c>
      <c r="I67" s="2">
        <f>I12*'Output-Calculation-sheet'!I56/10^9</f>
        <v>0.35855660798356048</v>
      </c>
      <c r="J67" s="2">
        <f>J12*'Output-Calculation-sheet'!J56/10^9</f>
        <v>0.35496535891334902</v>
      </c>
      <c r="K67" s="2">
        <f>K12*'Output-Calculation-sheet'!K56/10^9</f>
        <v>0.42773709699548695</v>
      </c>
      <c r="L67" s="2">
        <f>L12*'Output-Calculation-sheet'!L56/10^9</f>
        <v>0.42969414147549589</v>
      </c>
      <c r="M67" s="2">
        <f>M12*'Output-Calculation-sheet'!M56/10^9</f>
        <v>0.65223131034140169</v>
      </c>
      <c r="N67" s="2">
        <f>N12*'Output-Calculation-sheet'!N56/10^9</f>
        <v>0.56021100120686473</v>
      </c>
      <c r="O67" s="2">
        <f>O12*'Output-Calculation-sheet'!O56/10^9</f>
        <v>0.62842885849841834</v>
      </c>
      <c r="P67" s="2">
        <f>P12*'Output-Calculation-sheet'!P56/10^9</f>
        <v>0.41429339007526911</v>
      </c>
      <c r="Q67" s="2">
        <f>Q12*'Output-Calculation-sheet'!Q56/10^9</f>
        <v>0.42642846726030631</v>
      </c>
      <c r="R67" s="2">
        <f>R12*'Output-Calculation-sheet'!R56/10^9</f>
        <v>0.32446596008880879</v>
      </c>
      <c r="S67" s="2">
        <f>S12*'Output-Calculation-sheet'!S56/10^9</f>
        <v>0.30917979754527974</v>
      </c>
      <c r="T67" s="2">
        <f>T12*'Output-Calculation-sheet'!T56/10^9</f>
        <v>9.8326428582930017E-2</v>
      </c>
      <c r="U67" s="2">
        <f>U12*'Output-Calculation-sheet'!U56/10^9</f>
        <v>0.10281849197116716</v>
      </c>
      <c r="V67" s="2">
        <f>V12*'Output-Calculation-sheet'!V56/10^9</f>
        <v>7.8871040957632491E-2</v>
      </c>
      <c r="W67" s="2">
        <f>W12*'Output-Calculation-sheet'!W56/10^9</f>
        <v>4.7619845407864514E-2</v>
      </c>
      <c r="X67" s="2">
        <f>X12*'Output-Calculation-sheet'!X56/10^9</f>
        <v>7.5384826416249995E-2</v>
      </c>
      <c r="Y67" s="2">
        <f>Y12*'Output-Calculation-sheet'!Y56/10^9</f>
        <v>4.6017117200347943E-2</v>
      </c>
      <c r="AA67" s="2">
        <f t="shared" si="4"/>
        <v>17.942172190991517</v>
      </c>
    </row>
    <row r="68" spans="1:27" x14ac:dyDescent="0.25">
      <c r="B68" s="2">
        <f>SUM(B60:B67)</f>
        <v>31.539190139702885</v>
      </c>
      <c r="C68" s="2">
        <f t="shared" ref="C68:Y68" si="5">SUM(C60:C67)</f>
        <v>19.937513641060434</v>
      </c>
      <c r="D68" s="2">
        <f t="shared" si="5"/>
        <v>8.3079476826717205</v>
      </c>
      <c r="E68" s="2">
        <f t="shared" si="5"/>
        <v>9.1811388421029534</v>
      </c>
      <c r="F68" s="2">
        <f t="shared" si="5"/>
        <v>3.7109034257838536</v>
      </c>
      <c r="G68" s="2">
        <f t="shared" si="5"/>
        <v>2.6266791172817423</v>
      </c>
      <c r="H68" s="2">
        <f t="shared" si="5"/>
        <v>5.7148045018626128</v>
      </c>
      <c r="I68" s="2">
        <f t="shared" si="5"/>
        <v>2.5023700355070231</v>
      </c>
      <c r="J68" s="2">
        <f t="shared" si="5"/>
        <v>3.047754393079801</v>
      </c>
      <c r="K68" s="2">
        <f t="shared" si="5"/>
        <v>3.0706738118955057</v>
      </c>
      <c r="L68" s="2">
        <f t="shared" si="5"/>
        <v>3.7009110420350808</v>
      </c>
      <c r="M68" s="2">
        <f t="shared" si="5"/>
        <v>4.3712221950530816</v>
      </c>
      <c r="N68" s="2">
        <f t="shared" si="5"/>
        <v>3.7277223276526987</v>
      </c>
      <c r="O68" s="2">
        <f t="shared" si="5"/>
        <v>3.9901640801161307</v>
      </c>
      <c r="P68" s="2">
        <f t="shared" si="5"/>
        <v>2.5021485180186569</v>
      </c>
      <c r="Q68" s="2">
        <f t="shared" si="5"/>
        <v>2.7339576824257241</v>
      </c>
      <c r="R68" s="2">
        <f t="shared" si="5"/>
        <v>2.2438291411665898</v>
      </c>
      <c r="S68" s="2">
        <f t="shared" si="5"/>
        <v>1.9413750082529735</v>
      </c>
      <c r="T68" s="2">
        <f t="shared" si="5"/>
        <v>0.77173759532301711</v>
      </c>
      <c r="U68" s="2">
        <f t="shared" si="5"/>
        <v>0.64267867551922619</v>
      </c>
      <c r="V68" s="2">
        <f t="shared" si="5"/>
        <v>0.84519247215226623</v>
      </c>
      <c r="W68" s="2">
        <f t="shared" si="5"/>
        <v>0.34035047502839905</v>
      </c>
      <c r="X68" s="2">
        <f t="shared" si="5"/>
        <v>0.48937372575599958</v>
      </c>
      <c r="Y68" s="2">
        <f t="shared" si="5"/>
        <v>0.26833055170638215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766.35085736530687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1397.5946471832531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942.49207354700297</v>
      </c>
      <c r="N74" s="2">
        <f>N8/'Output-Calculation-sheet'!N7*'Output-Calculation-sheet'!N61</f>
        <v>42.326377979016577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8.363450948948044</v>
      </c>
      <c r="Y74" s="2">
        <f>Y8/'Output-Calculation-sheet'!Y7*'Output-Calculation-sheet'!Y61</f>
        <v>0</v>
      </c>
      <c r="AA74" s="2">
        <f t="shared" si="6"/>
        <v>3.1571274070235282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126.48882572260028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2277.4797654492222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1543.8479769700143</v>
      </c>
      <c r="N75" s="2">
        <f>N9/'Output-Calculation-sheet'!N8*'Output-Calculation-sheet'!N62</f>
        <v>594.98786435353918</v>
      </c>
      <c r="O75" s="2">
        <f>O9/'Output-Calculation-sheet'!O8*'Output-Calculation-sheet'!O62</f>
        <v>44.185604628418666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199.59364969884334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54.487090474865013</v>
      </c>
      <c r="Y75" s="2">
        <f>Y9/'Output-Calculation-sheet'!Y8*'Output-Calculation-sheet'!Y62</f>
        <v>0</v>
      </c>
      <c r="AA75" s="2">
        <f t="shared" si="6"/>
        <v>4.8881654450272425</v>
      </c>
    </row>
    <row r="76" spans="1:27" x14ac:dyDescent="0.25">
      <c r="A76" s="2">
        <v>2033</v>
      </c>
      <c r="B76" s="2">
        <f>B10/'Output-Calculation-sheet'!B9*'Output-Calculation-sheet'!B63</f>
        <v>4555.9960873765485</v>
      </c>
      <c r="C76" s="2">
        <f>C10/'Output-Calculation-sheet'!C9*'Output-Calculation-sheet'!C63</f>
        <v>939.08618697275438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2987.4687203785484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2029.6438263805303</v>
      </c>
      <c r="N76" s="2">
        <f>N10/'Output-Calculation-sheet'!N9*'Output-Calculation-sheet'!N63</f>
        <v>1160.8075323544654</v>
      </c>
      <c r="O76" s="2">
        <f>O10/'Output-Calculation-sheet'!O9*'Output-Calculation-sheet'!O63</f>
        <v>192.62219769768856</v>
      </c>
      <c r="P76" s="2">
        <f>P10/'Output-Calculation-sheet'!P9*'Output-Calculation-sheet'!P63</f>
        <v>400.84999485519108</v>
      </c>
      <c r="Q76" s="2">
        <f>Q10/'Output-Calculation-sheet'!Q9*'Output-Calculation-sheet'!Q63</f>
        <v>181.1644191281205</v>
      </c>
      <c r="R76" s="2">
        <f>R10/'Output-Calculation-sheet'!R9*'Output-Calculation-sheet'!R63</f>
        <v>305.04036100613445</v>
      </c>
      <c r="S76" s="2">
        <f>S10/'Output-Calculation-sheet'!S9*'Output-Calculation-sheet'!S63</f>
        <v>517.55853012712078</v>
      </c>
      <c r="T76" s="2">
        <f>T10/'Output-Calculation-sheet'!T9*'Output-Calculation-sheet'!T63</f>
        <v>20.046761487392676</v>
      </c>
      <c r="U76" s="2">
        <f>U10/'Output-Calculation-sheet'!U9*'Output-Calculation-sheet'!U63</f>
        <v>108.37207141361965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116.53419617339817</v>
      </c>
      <c r="Y76" s="2">
        <f>Y10/'Output-Calculation-sheet'!Y9*'Output-Calculation-sheet'!Y63</f>
        <v>5.1403503920165692</v>
      </c>
      <c r="AA76" s="2">
        <f t="shared" si="6"/>
        <v>13.604482305711704</v>
      </c>
    </row>
    <row r="77" spans="1:27" x14ac:dyDescent="0.25">
      <c r="A77" s="2">
        <v>2034</v>
      </c>
      <c r="B77" s="2">
        <f>B11/'Output-Calculation-sheet'!B10*'Output-Calculation-sheet'!B64</f>
        <v>9478.4149386521785</v>
      </c>
      <c r="C77" s="2">
        <f>C11/'Output-Calculation-sheet'!C10*'Output-Calculation-sheet'!C64</f>
        <v>1423.4904241626061</v>
      </c>
      <c r="D77" s="2">
        <f>D11/'Output-Calculation-sheet'!D10*'Output-Calculation-sheet'!D64</f>
        <v>1217.8433696856605</v>
      </c>
      <c r="E77" s="2">
        <f>E11/'Output-Calculation-sheet'!E10*'Output-Calculation-sheet'!E64</f>
        <v>1501.7518597979636</v>
      </c>
      <c r="F77" s="2">
        <f>F11/'Output-Calculation-sheet'!F10*'Output-Calculation-sheet'!F64</f>
        <v>96.70097204330483</v>
      </c>
      <c r="G77" s="2">
        <f>G11/'Output-Calculation-sheet'!G10*'Output-Calculation-sheet'!G64</f>
        <v>606.74934431465988</v>
      </c>
      <c r="H77" s="2">
        <f>H11/'Output-Calculation-sheet'!H10*'Output-Calculation-sheet'!H64</f>
        <v>3233.4180342492068</v>
      </c>
      <c r="I77" s="2">
        <f>I11/'Output-Calculation-sheet'!I10*'Output-Calculation-sheet'!I64</f>
        <v>377.28671729908689</v>
      </c>
      <c r="J77" s="2">
        <f>J11/'Output-Calculation-sheet'!J10*'Output-Calculation-sheet'!J64</f>
        <v>264.74330877084191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241.60724659427206</v>
      </c>
      <c r="M77" s="2">
        <f>M11/'Output-Calculation-sheet'!M10*'Output-Calculation-sheet'!M64</f>
        <v>2291.893731607805</v>
      </c>
      <c r="N77" s="2">
        <f>N11/'Output-Calculation-sheet'!N10*'Output-Calculation-sheet'!N64</f>
        <v>1608.0966846038746</v>
      </c>
      <c r="O77" s="2">
        <f>O11/'Output-Calculation-sheet'!O10*'Output-Calculation-sheet'!O64</f>
        <v>76.811334579161723</v>
      </c>
      <c r="P77" s="2">
        <f>P11/'Output-Calculation-sheet'!P10*'Output-Calculation-sheet'!P64</f>
        <v>706.30821587206992</v>
      </c>
      <c r="Q77" s="2">
        <f>Q11/'Output-Calculation-sheet'!Q10*'Output-Calculation-sheet'!Q64</f>
        <v>503.66129894452655</v>
      </c>
      <c r="R77" s="2">
        <f>R11/'Output-Calculation-sheet'!R10*'Output-Calculation-sheet'!R64</f>
        <v>609.09225140295723</v>
      </c>
      <c r="S77" s="2">
        <f>S11/'Output-Calculation-sheet'!S10*'Output-Calculation-sheet'!S64</f>
        <v>754.37875189369208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179.16204579826319</v>
      </c>
      <c r="V77" s="2">
        <f>V11/'Output-Calculation-sheet'!V10*'Output-Calculation-sheet'!V64</f>
        <v>86.939757460481843</v>
      </c>
      <c r="W77" s="2">
        <f>W11/'Output-Calculation-sheet'!W10*'Output-Calculation-sheet'!W64</f>
        <v>19.081912234351201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55.704894046383437</v>
      </c>
      <c r="AA77" s="2">
        <f t="shared" si="6"/>
        <v>26.171207304061749</v>
      </c>
    </row>
    <row r="78" spans="1:27" x14ac:dyDescent="0.25">
      <c r="A78" s="2">
        <v>2035</v>
      </c>
      <c r="B78" s="2">
        <f>B12/'Output-Calculation-sheet'!B11*'Output-Calculation-sheet'!B65</f>
        <v>8386.1541159309654</v>
      </c>
      <c r="C78" s="2">
        <f>C12/'Output-Calculation-sheet'!C11*'Output-Calculation-sheet'!C65</f>
        <v>2755.8986206920717</v>
      </c>
      <c r="D78" s="2">
        <f>D12/'Output-Calculation-sheet'!D11*'Output-Calculation-sheet'!D65</f>
        <v>1126.132719378845</v>
      </c>
      <c r="E78" s="2">
        <f>E12/'Output-Calculation-sheet'!E11*'Output-Calculation-sheet'!E65</f>
        <v>1959.7225393399128</v>
      </c>
      <c r="F78" s="2">
        <f>F12/'Output-Calculation-sheet'!F11*'Output-Calculation-sheet'!F65</f>
        <v>253.05084263193754</v>
      </c>
      <c r="G78" s="2">
        <f>G12/'Output-Calculation-sheet'!G11*'Output-Calculation-sheet'!G65</f>
        <v>493.37048174122333</v>
      </c>
      <c r="H78" s="2">
        <f>H12/'Output-Calculation-sheet'!H11*'Output-Calculation-sheet'!H65</f>
        <v>2669.4596664594783</v>
      </c>
      <c r="I78" s="2">
        <f>I12/'Output-Calculation-sheet'!I11*'Output-Calculation-sheet'!I65</f>
        <v>328.02200302838907</v>
      </c>
      <c r="J78" s="2">
        <f>J12/'Output-Calculation-sheet'!J11*'Output-Calculation-sheet'!J65</f>
        <v>477.80265181433202</v>
      </c>
      <c r="K78" s="2">
        <f>K12/'Output-Calculation-sheet'!K11*'Output-Calculation-sheet'!K65</f>
        <v>587.51501208082971</v>
      </c>
      <c r="L78" s="2">
        <f>L12/'Output-Calculation-sheet'!L11*'Output-Calculation-sheet'!L65</f>
        <v>501.86925750768364</v>
      </c>
      <c r="M78" s="2">
        <f>M12/'Output-Calculation-sheet'!M11*'Output-Calculation-sheet'!M65</f>
        <v>1949.3193449088767</v>
      </c>
      <c r="N78" s="2">
        <f>N12/'Output-Calculation-sheet'!N11*'Output-Calculation-sheet'!N65</f>
        <v>1404.2975517182458</v>
      </c>
      <c r="O78" s="2">
        <f>O12/'Output-Calculation-sheet'!O11*'Output-Calculation-sheet'!O65</f>
        <v>6.5808483099978705</v>
      </c>
      <c r="P78" s="2">
        <f>P12/'Output-Calculation-sheet'!P11*'Output-Calculation-sheet'!P65</f>
        <v>678.09527274812615</v>
      </c>
      <c r="Q78" s="2">
        <f>Q12/'Output-Calculation-sheet'!Q11*'Output-Calculation-sheet'!Q65</f>
        <v>456.34688967572441</v>
      </c>
      <c r="R78" s="2">
        <f>R12/'Output-Calculation-sheet'!R11*'Output-Calculation-sheet'!R65</f>
        <v>631.64680548687249</v>
      </c>
      <c r="S78" s="2">
        <f>S12/'Output-Calculation-sheet'!S11*'Output-Calculation-sheet'!S65</f>
        <v>663.79413327699706</v>
      </c>
      <c r="T78" s="2">
        <f>T12/'Output-Calculation-sheet'!T11*'Output-Calculation-sheet'!T65</f>
        <v>217.90972415426216</v>
      </c>
      <c r="U78" s="2">
        <f>U12/'Output-Calculation-sheet'!U11*'Output-Calculation-sheet'!U65</f>
        <v>149.08952769731931</v>
      </c>
      <c r="V78" s="2">
        <f>V12/'Output-Calculation-sheet'!V11*'Output-Calculation-sheet'!V65</f>
        <v>122.90315530930724</v>
      </c>
      <c r="W78" s="2">
        <f>W12/'Output-Calculation-sheet'!W11*'Output-Calculation-sheet'!W65</f>
        <v>58.116516081022333</v>
      </c>
      <c r="X78" s="2">
        <f>X12/'Output-Calculation-sheet'!X11*'Output-Calculation-sheet'!X65</f>
        <v>16.021159976855532</v>
      </c>
      <c r="Y78" s="2">
        <f>Y12/'Output-Calculation-sheet'!Y11*'Output-Calculation-sheet'!Y65</f>
        <v>54.38668155772978</v>
      </c>
      <c r="AA78" s="2">
        <f t="shared" si="6"/>
        <v>25.947505521507011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15.861531343313453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1.1961120045314506</v>
      </c>
      <c r="H88" s="2">
        <f>H11/'Output-Calculation-sheet'!H10*'Output-Calculation-sheet'!H73</f>
        <v>8.1110008234102615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3.4328762102859689</v>
      </c>
      <c r="R88" s="2">
        <f>R11/'Output-Calculation-sheet'!R10*'Output-Calculation-sheet'!R73</f>
        <v>0</v>
      </c>
      <c r="S88" s="2">
        <f>S11/'Output-Calculation-sheet'!S10*'Output-Calculation-sheet'!S73</f>
        <v>1.7968029913270183</v>
      </c>
      <c r="T88" s="2">
        <f>T11/'Output-Calculation-sheet'!T10*'Output-Calculation-sheet'!T73</f>
        <v>0</v>
      </c>
      <c r="U88" s="2">
        <f>U11/'Output-Calculation-sheet'!U10*'Output-Calculation-sheet'!U73</f>
        <v>1.0952939200648952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3.1493617292933054E-2</v>
      </c>
    </row>
    <row r="89" spans="1:27" x14ac:dyDescent="0.25">
      <c r="A89" s="2">
        <v>2035</v>
      </c>
      <c r="B89" s="2">
        <f>B12/'Output-Calculation-sheet'!B11*'Output-Calculation-sheet'!B74</f>
        <v>182.93575867307402</v>
      </c>
      <c r="C89" s="2">
        <f>C12/'Output-Calculation-sheet'!C11*'Output-Calculation-sheet'!C74</f>
        <v>99.229194500681075</v>
      </c>
      <c r="D89" s="2">
        <f>D12/'Output-Calculation-sheet'!D11*'Output-Calculation-sheet'!D74</f>
        <v>16.481237157621841</v>
      </c>
      <c r="E89" s="2">
        <f>E12/'Output-Calculation-sheet'!E11*'Output-Calculation-sheet'!E74</f>
        <v>54.57584496872898</v>
      </c>
      <c r="F89" s="2">
        <f>F12/'Output-Calculation-sheet'!F11*'Output-Calculation-sheet'!F74</f>
        <v>16.475736872969435</v>
      </c>
      <c r="G89" s="2">
        <f>G12/'Output-Calculation-sheet'!G11*'Output-Calculation-sheet'!G74</f>
        <v>11.824384720719236</v>
      </c>
      <c r="H89" s="2">
        <f>H12/'Output-Calculation-sheet'!H11*'Output-Calculation-sheet'!H74</f>
        <v>41.045950538846554</v>
      </c>
      <c r="I89" s="2">
        <f>I12/'Output-Calculation-sheet'!I11*'Output-Calculation-sheet'!I74</f>
        <v>10.635303370431918</v>
      </c>
      <c r="J89" s="2">
        <f>J12/'Output-Calculation-sheet'!J11*'Output-Calculation-sheet'!J74</f>
        <v>5.2627136765655465</v>
      </c>
      <c r="K89" s="2">
        <f>K12/'Output-Calculation-sheet'!K11*'Output-Calculation-sheet'!K74</f>
        <v>7.8396077386292902</v>
      </c>
      <c r="L89" s="2">
        <f>L12/'Output-Calculation-sheet'!L11*'Output-Calculation-sheet'!L74</f>
        <v>4.155796783588471</v>
      </c>
      <c r="M89" s="2">
        <f>M12/'Output-Calculation-sheet'!M11*'Output-Calculation-sheet'!M74</f>
        <v>21.675327486530467</v>
      </c>
      <c r="N89" s="2">
        <f>N12/'Output-Calculation-sheet'!N11*'Output-Calculation-sheet'!N74</f>
        <v>10.974443615599908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14.909497395121059</v>
      </c>
      <c r="Q89" s="2">
        <f>Q12/'Output-Calculation-sheet'!Q11*'Output-Calculation-sheet'!Q74</f>
        <v>12.443320174245024</v>
      </c>
      <c r="R89" s="2">
        <f>R12/'Output-Calculation-sheet'!R11*'Output-Calculation-sheet'!R74</f>
        <v>6.7308530211135817</v>
      </c>
      <c r="S89" s="2">
        <f>S12/'Output-Calculation-sheet'!S11*'Output-Calculation-sheet'!S74</f>
        <v>9.6214222564404341</v>
      </c>
      <c r="T89" s="2">
        <f>T12/'Output-Calculation-sheet'!T11*'Output-Calculation-sheet'!T74</f>
        <v>1.2450810303843476</v>
      </c>
      <c r="U89" s="2">
        <f>U12/'Output-Calculation-sheet'!U11*'Output-Calculation-sheet'!U74</f>
        <v>3.6092430151598687</v>
      </c>
      <c r="V89" s="2">
        <f>V12/'Output-Calculation-sheet'!V11*'Output-Calculation-sheet'!V74</f>
        <v>0.27830416643771261</v>
      </c>
      <c r="W89" s="2">
        <f>W12/'Output-Calculation-sheet'!W11*'Output-Calculation-sheet'!W74</f>
        <v>1.6869466217459987</v>
      </c>
      <c r="X89" s="2">
        <f>X12/'Output-Calculation-sheet'!X11*'Output-Calculation-sheet'!X74</f>
        <v>0.21616622784666439</v>
      </c>
      <c r="Y89" s="2">
        <f>Y12/'Output-Calculation-sheet'!Y11*'Output-Calculation-sheet'!Y74</f>
        <v>2.294649992207483</v>
      </c>
      <c r="AA89" s="2">
        <f t="shared" si="7"/>
        <v>0.53674920512424185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8040304598.8762989</v>
      </c>
      <c r="C96" s="2">
        <f>C8/'Output-Calculation-sheet'!C7*'Output-Calculation-sheet'!C79</f>
        <v>1941602042.2001133</v>
      </c>
      <c r="D96" s="2">
        <f>D8/'Output-Calculation-sheet'!D7*'Output-Calculation-sheet'!D79</f>
        <v>1576284201.126498</v>
      </c>
      <c r="E96" s="2">
        <f>E8/'Output-Calculation-sheet'!E7*'Output-Calculation-sheet'!E79</f>
        <v>5905771821.4751596</v>
      </c>
      <c r="F96" s="2">
        <f>F8/'Output-Calculation-sheet'!F7*'Output-Calculation-sheet'!F79</f>
        <v>1722803397.6685812</v>
      </c>
      <c r="G96" s="2">
        <f>G8/'Output-Calculation-sheet'!G7*'Output-Calculation-sheet'!G79</f>
        <v>1105794228.8554704</v>
      </c>
      <c r="H96" s="2">
        <f>H8/'Output-Calculation-sheet'!H7*'Output-Calculation-sheet'!H79</f>
        <v>1362301832.895787</v>
      </c>
      <c r="I96" s="2">
        <f>I8/'Output-Calculation-sheet'!I7*'Output-Calculation-sheet'!I79</f>
        <v>795171745.92706358</v>
      </c>
      <c r="J96" s="2">
        <f>J8/'Output-Calculation-sheet'!J7*'Output-Calculation-sheet'!J79</f>
        <v>602582606.25035727</v>
      </c>
      <c r="K96" s="2">
        <f>K8/'Output-Calculation-sheet'!K7*'Output-Calculation-sheet'!K79</f>
        <v>755717666.83346534</v>
      </c>
      <c r="L96" s="2">
        <f>L8/'Output-Calculation-sheet'!L7*'Output-Calculation-sheet'!L79</f>
        <v>686062748.01311839</v>
      </c>
      <c r="M96" s="2">
        <f>M8/'Output-Calculation-sheet'!M7*'Output-Calculation-sheet'!M79</f>
        <v>1051144888.1896296</v>
      </c>
      <c r="N96" s="2">
        <f>N8/'Output-Calculation-sheet'!N7*'Output-Calculation-sheet'!N79</f>
        <v>683314284.46405649</v>
      </c>
      <c r="O96" s="2">
        <f>O8/'Output-Calculation-sheet'!O7*'Output-Calculation-sheet'!O79</f>
        <v>256393886.64351061</v>
      </c>
      <c r="P96" s="2">
        <f>P8/'Output-Calculation-sheet'!P7*'Output-Calculation-sheet'!P79</f>
        <v>1301384733.0606172</v>
      </c>
      <c r="Q96" s="2">
        <f>Q8/'Output-Calculation-sheet'!Q7*'Output-Calculation-sheet'!Q79</f>
        <v>552525433.56826448</v>
      </c>
      <c r="R96" s="2">
        <f>R8/'Output-Calculation-sheet'!R7*'Output-Calculation-sheet'!R79</f>
        <v>733357466.30482912</v>
      </c>
      <c r="S96" s="2">
        <f>S8/'Output-Calculation-sheet'!S7*'Output-Calculation-sheet'!S79</f>
        <v>413583867.94639111</v>
      </c>
      <c r="T96" s="2">
        <f>T8/'Output-Calculation-sheet'!T7*'Output-Calculation-sheet'!T79</f>
        <v>249506477.81776559</v>
      </c>
      <c r="U96" s="2">
        <f>U8/'Output-Calculation-sheet'!U7*'Output-Calculation-sheet'!U79</f>
        <v>196392895.43277663</v>
      </c>
      <c r="V96" s="2">
        <f>V8/'Output-Calculation-sheet'!V7*'Output-Calculation-sheet'!V79</f>
        <v>90137501.018703133</v>
      </c>
      <c r="W96" s="2">
        <f>W8/'Output-Calculation-sheet'!W7*'Output-Calculation-sheet'!W79</f>
        <v>277525218.32694161</v>
      </c>
      <c r="X96" s="2">
        <f>X8/'Output-Calculation-sheet'!X7*'Output-Calculation-sheet'!X79</f>
        <v>125169338.7685003</v>
      </c>
      <c r="Y96" s="2">
        <f>Y8/'Output-Calculation-sheet'!Y7*'Output-Calculation-sheet'!Y79</f>
        <v>172256038.18415132</v>
      </c>
      <c r="AA96" s="2">
        <f t="shared" si="8"/>
        <v>30.597088919848048</v>
      </c>
    </row>
    <row r="97" spans="1:27" x14ac:dyDescent="0.25">
      <c r="A97" s="2">
        <v>2032</v>
      </c>
      <c r="B97" s="2">
        <f>B9/'Output-Calculation-sheet'!B8*'Output-Calculation-sheet'!B80</f>
        <v>9436438032.2311344</v>
      </c>
      <c r="C97" s="2">
        <f>C9/'Output-Calculation-sheet'!C8*'Output-Calculation-sheet'!C80</f>
        <v>2228719739.162787</v>
      </c>
      <c r="D97" s="2">
        <f>D9/'Output-Calculation-sheet'!D8*'Output-Calculation-sheet'!D80</f>
        <v>1702492410.1197093</v>
      </c>
      <c r="E97" s="2">
        <f>E9/'Output-Calculation-sheet'!E8*'Output-Calculation-sheet'!E80</f>
        <v>7167251358.1804581</v>
      </c>
      <c r="F97" s="2">
        <f>F9/'Output-Calculation-sheet'!F8*'Output-Calculation-sheet'!F80</f>
        <v>1965506330.710922</v>
      </c>
      <c r="G97" s="2">
        <f>G9/'Output-Calculation-sheet'!G8*'Output-Calculation-sheet'!G80</f>
        <v>1204357531.1068647</v>
      </c>
      <c r="H97" s="2">
        <f>H9/'Output-Calculation-sheet'!H8*'Output-Calculation-sheet'!H80</f>
        <v>1576936175.0164347</v>
      </c>
      <c r="I97" s="2">
        <f>I9/'Output-Calculation-sheet'!I8*'Output-Calculation-sheet'!I80</f>
        <v>908311839.80562019</v>
      </c>
      <c r="J97" s="2">
        <f>J9/'Output-Calculation-sheet'!J8*'Output-Calculation-sheet'!J80</f>
        <v>678759378.47647405</v>
      </c>
      <c r="K97" s="2">
        <f>K9/'Output-Calculation-sheet'!K8*'Output-Calculation-sheet'!K80</f>
        <v>837140818.59030521</v>
      </c>
      <c r="L97" s="2">
        <f>L9/'Output-Calculation-sheet'!L8*'Output-Calculation-sheet'!L80</f>
        <v>807480424.30670249</v>
      </c>
      <c r="M97" s="2">
        <f>M9/'Output-Calculation-sheet'!M8*'Output-Calculation-sheet'!M80</f>
        <v>1244095824.7579734</v>
      </c>
      <c r="N97" s="2">
        <f>N9/'Output-Calculation-sheet'!N8*'Output-Calculation-sheet'!N80</f>
        <v>781671607.49383473</v>
      </c>
      <c r="O97" s="2">
        <f>O9/'Output-Calculation-sheet'!O8*'Output-Calculation-sheet'!O80</f>
        <v>290560989.07822424</v>
      </c>
      <c r="P97" s="2">
        <f>P9/'Output-Calculation-sheet'!P8*'Output-Calculation-sheet'!P80</f>
        <v>1465445297.6864536</v>
      </c>
      <c r="Q97" s="2">
        <f>Q9/'Output-Calculation-sheet'!Q8*'Output-Calculation-sheet'!Q80</f>
        <v>633855922.26891339</v>
      </c>
      <c r="R97" s="2">
        <f>R9/'Output-Calculation-sheet'!R8*'Output-Calculation-sheet'!R80</f>
        <v>849371686.56361926</v>
      </c>
      <c r="S97" s="2">
        <f>S9/'Output-Calculation-sheet'!S8*'Output-Calculation-sheet'!S80</f>
        <v>472727518.97723657</v>
      </c>
      <c r="T97" s="2">
        <f>T9/'Output-Calculation-sheet'!T8*'Output-Calculation-sheet'!T80</f>
        <v>275644204.17587143</v>
      </c>
      <c r="U97" s="2">
        <f>U9/'Output-Calculation-sheet'!U8*'Output-Calculation-sheet'!U80</f>
        <v>219336439.75144467</v>
      </c>
      <c r="V97" s="2">
        <f>V9/'Output-Calculation-sheet'!V8*'Output-Calculation-sheet'!V80</f>
        <v>101170676.98415956</v>
      </c>
      <c r="W97" s="2">
        <f>W9/'Output-Calculation-sheet'!W8*'Output-Calculation-sheet'!W80</f>
        <v>313071651.13751268</v>
      </c>
      <c r="X97" s="2">
        <f>X9/'Output-Calculation-sheet'!X8*'Output-Calculation-sheet'!X80</f>
        <v>151630090.48801076</v>
      </c>
      <c r="Y97" s="2">
        <f>Y9/'Output-Calculation-sheet'!Y8*'Output-Calculation-sheet'!Y80</f>
        <v>199045808.6841816</v>
      </c>
      <c r="AA97" s="2">
        <f t="shared" si="8"/>
        <v>35.511021755754854</v>
      </c>
    </row>
    <row r="98" spans="1:27" x14ac:dyDescent="0.25">
      <c r="A98" s="2">
        <v>2033</v>
      </c>
      <c r="B98" s="2">
        <f>B10/'Output-Calculation-sheet'!B9*'Output-Calculation-sheet'!B81</f>
        <v>9866007589.477869</v>
      </c>
      <c r="C98" s="2">
        <f>C10/'Output-Calculation-sheet'!C9*'Output-Calculation-sheet'!C81</f>
        <v>2284583839.6835275</v>
      </c>
      <c r="D98" s="2">
        <f>D10/'Output-Calculation-sheet'!D9*'Output-Calculation-sheet'!D81</f>
        <v>1643514849.6421616</v>
      </c>
      <c r="E98" s="2">
        <f>E10/'Output-Calculation-sheet'!E9*'Output-Calculation-sheet'!E81</f>
        <v>7758024583.8635683</v>
      </c>
      <c r="F98" s="2">
        <f>F10/'Output-Calculation-sheet'!F9*'Output-Calculation-sheet'!F81</f>
        <v>1998860138.1762619</v>
      </c>
      <c r="G98" s="2">
        <f>G10/'Output-Calculation-sheet'!G9*'Output-Calculation-sheet'!G81</f>
        <v>1167777328.0845573</v>
      </c>
      <c r="H98" s="2">
        <f>H10/'Output-Calculation-sheet'!H9*'Output-Calculation-sheet'!H81</f>
        <v>1625726962.074445</v>
      </c>
      <c r="I98" s="2">
        <f>I10/'Output-Calculation-sheet'!I9*'Output-Calculation-sheet'!I81</f>
        <v>926487211.54600203</v>
      </c>
      <c r="J98" s="2">
        <f>J10/'Output-Calculation-sheet'!J9*'Output-Calculation-sheet'!J81</f>
        <v>683461702.19518363</v>
      </c>
      <c r="K98" s="2">
        <f>K10/'Output-Calculation-sheet'!K9*'Output-Calculation-sheet'!K81</f>
        <v>827638694.26543689</v>
      </c>
      <c r="L98" s="2">
        <f>L10/'Output-Calculation-sheet'!L9*'Output-Calculation-sheet'!L81</f>
        <v>848248711.19148743</v>
      </c>
      <c r="M98" s="2">
        <f>M10/'Output-Calculation-sheet'!M9*'Output-Calculation-sheet'!M81</f>
        <v>1314485178.2227371</v>
      </c>
      <c r="N98" s="2">
        <f>N10/'Output-Calculation-sheet'!N9*'Output-Calculation-sheet'!N81</f>
        <v>798831433.87483227</v>
      </c>
      <c r="O98" s="2">
        <f>O10/'Output-Calculation-sheet'!O9*'Output-Calculation-sheet'!O81</f>
        <v>294632616.09382111</v>
      </c>
      <c r="P98" s="2">
        <f>P10/'Output-Calculation-sheet'!P9*'Output-Calculation-sheet'!P81</f>
        <v>1461685088.3391674</v>
      </c>
      <c r="Q98" s="2">
        <f>Q10/'Output-Calculation-sheet'!Q9*'Output-Calculation-sheet'!Q81</f>
        <v>649474018.37391818</v>
      </c>
      <c r="R98" s="2">
        <f>R10/'Output-Calculation-sheet'!R9*'Output-Calculation-sheet'!R81</f>
        <v>876645415.43138325</v>
      </c>
      <c r="S98" s="2">
        <f>S10/'Output-Calculation-sheet'!S9*'Output-Calculation-sheet'!S81</f>
        <v>481452574.37370259</v>
      </c>
      <c r="T98" s="2">
        <f>T10/'Output-Calculation-sheet'!T9*'Output-Calculation-sheet'!T81</f>
        <v>271256701.45972651</v>
      </c>
      <c r="U98" s="2">
        <f>U10/'Output-Calculation-sheet'!U9*'Output-Calculation-sheet'!U81</f>
        <v>217963063.78424114</v>
      </c>
      <c r="V98" s="2">
        <f>V10/'Output-Calculation-sheet'!V9*'Output-Calculation-sheet'!V81</f>
        <v>101232086.08170946</v>
      </c>
      <c r="W98" s="2">
        <f>W10/'Output-Calculation-sheet'!W9*'Output-Calculation-sheet'!W81</f>
        <v>313060656.95889741</v>
      </c>
      <c r="X98" s="2">
        <f>X10/'Output-Calculation-sheet'!X9*'Output-Calculation-sheet'!X81</f>
        <v>164117076.94209</v>
      </c>
      <c r="Y98" s="2">
        <f>Y10/'Output-Calculation-sheet'!Y9*'Output-Calculation-sheet'!Y81</f>
        <v>204322195.90384519</v>
      </c>
      <c r="AA98" s="2">
        <f t="shared" si="8"/>
        <v>36.779489716040572</v>
      </c>
    </row>
    <row r="99" spans="1:27" x14ac:dyDescent="0.25">
      <c r="A99" s="2">
        <v>2034</v>
      </c>
      <c r="B99" s="2">
        <f>B11/'Output-Calculation-sheet'!B10*'Output-Calculation-sheet'!B82</f>
        <v>9297561758.2757187</v>
      </c>
      <c r="C99" s="2">
        <f>C11/'Output-Calculation-sheet'!C10*'Output-Calculation-sheet'!C82</f>
        <v>2116434208.5384679</v>
      </c>
      <c r="D99" s="2">
        <f>D11/'Output-Calculation-sheet'!D10*'Output-Calculation-sheet'!D82</f>
        <v>1435632402.8038113</v>
      </c>
      <c r="E99" s="2">
        <f>E11/'Output-Calculation-sheet'!E10*'Output-Calculation-sheet'!E82</f>
        <v>7577029540.124176</v>
      </c>
      <c r="F99" s="2">
        <f>F11/'Output-Calculation-sheet'!F10*'Output-Calculation-sheet'!F82</f>
        <v>1834066881.5549195</v>
      </c>
      <c r="G99" s="2">
        <f>G11/'Output-Calculation-sheet'!G10*'Output-Calculation-sheet'!G82</f>
        <v>1020770716.284773</v>
      </c>
      <c r="H99" s="2">
        <f>H11/'Output-Calculation-sheet'!H10*'Output-Calculation-sheet'!H82</f>
        <v>1510476921.9115927</v>
      </c>
      <c r="I99" s="2">
        <f>I11/'Output-Calculation-sheet'!I10*'Output-Calculation-sheet'!I82</f>
        <v>854106536.38032579</v>
      </c>
      <c r="J99" s="2">
        <f>J11/'Output-Calculation-sheet'!J10*'Output-Calculation-sheet'!J82</f>
        <v>622637715.31706798</v>
      </c>
      <c r="K99" s="2">
        <f>K11/'Output-Calculation-sheet'!K10*'Output-Calculation-sheet'!K82</f>
        <v>739292703.41025186</v>
      </c>
      <c r="L99" s="2">
        <f>L11/'Output-Calculation-sheet'!L10*'Output-Calculation-sheet'!L82</f>
        <v>804786268.99815285</v>
      </c>
      <c r="M99" s="2">
        <f>M11/'Output-Calculation-sheet'!M10*'Output-Calculation-sheet'!M82</f>
        <v>1254543043.4424884</v>
      </c>
      <c r="N99" s="2">
        <f>N11/'Output-Calculation-sheet'!N10*'Output-Calculation-sheet'!N82</f>
        <v>738135863.84573793</v>
      </c>
      <c r="O99" s="2">
        <f>O11/'Output-Calculation-sheet'!O10*'Output-Calculation-sheet'!O82</f>
        <v>270525090.38500029</v>
      </c>
      <c r="P99" s="2">
        <f>P11/'Output-Calculation-sheet'!P10*'Output-Calculation-sheet'!P82</f>
        <v>1307624630.7938805</v>
      </c>
      <c r="Q99" s="2">
        <f>Q11/'Output-Calculation-sheet'!Q10*'Output-Calculation-sheet'!Q82</f>
        <v>601491885.78792548</v>
      </c>
      <c r="R99" s="2">
        <f>R11/'Output-Calculation-sheet'!R10*'Output-Calculation-sheet'!R82</f>
        <v>815909539.97146606</v>
      </c>
      <c r="S99" s="2">
        <f>S11/'Output-Calculation-sheet'!S10*'Output-Calculation-sheet'!S82</f>
        <v>442153416.9793213</v>
      </c>
      <c r="T99" s="2">
        <f>T11/'Output-Calculation-sheet'!T10*'Output-Calculation-sheet'!T82</f>
        <v>240770031.85070693</v>
      </c>
      <c r="U99" s="2">
        <f>U11/'Output-Calculation-sheet'!U10*'Output-Calculation-sheet'!U82</f>
        <v>195128605.29449561</v>
      </c>
      <c r="V99" s="2">
        <f>V11/'Output-Calculation-sheet'!V10*'Output-Calculation-sheet'!V82</f>
        <v>91402282.139612332</v>
      </c>
      <c r="W99" s="2">
        <f>W11/'Output-Calculation-sheet'!W10*'Output-Calculation-sheet'!W82</f>
        <v>280970513.03325689</v>
      </c>
      <c r="X99" s="2">
        <f>X11/'Output-Calculation-sheet'!X10*'Output-Calculation-sheet'!X82</f>
        <v>160585554.9490881</v>
      </c>
      <c r="Y99" s="2">
        <f>Y11/'Output-Calculation-sheet'!Y10*'Output-Calculation-sheet'!Y82</f>
        <v>188588006.44173032</v>
      </c>
      <c r="AA99" s="2">
        <f t="shared" si="8"/>
        <v>34.400624118513967</v>
      </c>
    </row>
    <row r="100" spans="1:27" x14ac:dyDescent="0.25">
      <c r="A100" s="2">
        <v>2035</v>
      </c>
      <c r="B100" s="2">
        <f>B12/'Output-Calculation-sheet'!B11*'Output-Calculation-sheet'!B83</f>
        <v>7901139152.3290253</v>
      </c>
      <c r="C100" s="2">
        <f>C12/'Output-Calculation-sheet'!C11*'Output-Calculation-sheet'!C83</f>
        <v>1773041821.6261117</v>
      </c>
      <c r="D100" s="2">
        <f>D12/'Output-Calculation-sheet'!D11*'Output-Calculation-sheet'!D83</f>
        <v>1135775616.5524836</v>
      </c>
      <c r="E100" s="2">
        <f>E12/'Output-Calculation-sheet'!E11*'Output-Calculation-sheet'!E83</f>
        <v>6679013737.6110401</v>
      </c>
      <c r="F100" s="2">
        <f>F12/'Output-Calculation-sheet'!F11*'Output-Calculation-sheet'!F83</f>
        <v>1519555838.8158984</v>
      </c>
      <c r="G100" s="2">
        <f>G12/'Output-Calculation-sheet'!G11*'Output-Calculation-sheet'!G83</f>
        <v>805316374.07973194</v>
      </c>
      <c r="H100" s="2">
        <f>H12/'Output-Calculation-sheet'!H11*'Output-Calculation-sheet'!H83</f>
        <v>1265479110.0502746</v>
      </c>
      <c r="I100" s="2">
        <f>I12/'Output-Calculation-sheet'!I11*'Output-Calculation-sheet'!I83</f>
        <v>712146294.86614347</v>
      </c>
      <c r="J100" s="2">
        <f>J12/'Output-Calculation-sheet'!J11*'Output-Calculation-sheet'!J83</f>
        <v>513541564.96809942</v>
      </c>
      <c r="K100" s="2">
        <f>K12/'Output-Calculation-sheet'!K11*'Output-Calculation-sheet'!K83</f>
        <v>597200847.44190621</v>
      </c>
      <c r="L100" s="2">
        <f>L12/'Output-Calculation-sheet'!L11*'Output-Calculation-sheet'!L83</f>
        <v>689975580.80131876</v>
      </c>
      <c r="M100" s="2">
        <f>M12/'Output-Calculation-sheet'!M11*'Output-Calculation-sheet'!M83</f>
        <v>1082041543.7210801</v>
      </c>
      <c r="N100" s="2">
        <f>N12/'Output-Calculation-sheet'!N11*'Output-Calculation-sheet'!N83</f>
        <v>617113299.50364709</v>
      </c>
      <c r="O100" s="2">
        <f>O12/'Output-Calculation-sheet'!O11*'Output-Calculation-sheet'!O83</f>
        <v>225041818.9888244</v>
      </c>
      <c r="P100" s="2">
        <f>P12/'Output-Calculation-sheet'!P11*'Output-Calculation-sheet'!P83</f>
        <v>1050619203.6234545</v>
      </c>
      <c r="Q100" s="2">
        <f>Q12/'Output-Calculation-sheet'!Q11*'Output-Calculation-sheet'!Q83</f>
        <v>503771833.05309325</v>
      </c>
      <c r="R100" s="2">
        <f>R12/'Output-Calculation-sheet'!R11*'Output-Calculation-sheet'!R83</f>
        <v>685167183.28425705</v>
      </c>
      <c r="S100" s="2">
        <f>S12/'Output-Calculation-sheet'!S11*'Output-Calculation-sheet'!S83</f>
        <v>366392011.74511009</v>
      </c>
      <c r="T100" s="2">
        <f>T12/'Output-Calculation-sheet'!T11*'Output-Calculation-sheet'!T83</f>
        <v>192979030.90451574</v>
      </c>
      <c r="U100" s="2">
        <f>U12/'Output-Calculation-sheet'!U11*'Output-Calculation-sheet'!U83</f>
        <v>157540082.96950909</v>
      </c>
      <c r="V100" s="2">
        <f>V12/'Output-Calculation-sheet'!V11*'Output-Calculation-sheet'!V83</f>
        <v>74527142.306396663</v>
      </c>
      <c r="W100" s="2">
        <f>W12/'Output-Calculation-sheet'!W11*'Output-Calculation-sheet'!W83</f>
        <v>226614407.98181427</v>
      </c>
      <c r="X100" s="2">
        <f>X12/'Output-Calculation-sheet'!X11*'Output-Calculation-sheet'!X83</f>
        <v>142112145.62177268</v>
      </c>
      <c r="Y100" s="2">
        <f>Y12/'Output-Calculation-sheet'!Y11*'Output-Calculation-sheet'!Y83</f>
        <v>156650817.99377921</v>
      </c>
      <c r="AA100" s="2">
        <f t="shared" si="8"/>
        <v>29.07275646083928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1331.7313477122236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323.39800538327506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30.945230680137396</v>
      </c>
      <c r="Y107" s="2">
        <f>Y8/'Output-Calculation-sheet'!Y7*'Output-Calculation-sheet'!Y88</f>
        <v>0</v>
      </c>
      <c r="AA107" s="2">
        <f t="shared" si="9"/>
        <v>1.6860745837756361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2386.2474909692187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463.58159564600106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39.606325359195075</v>
      </c>
      <c r="Y108" s="2">
        <f>Y9/'Output-Calculation-sheet'!Y8*'Output-Calculation-sheet'!Y89</f>
        <v>0</v>
      </c>
      <c r="AA108" s="2">
        <f t="shared" si="9"/>
        <v>2.8894354119744148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569.2829885514011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3.5374483185992052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675.68877418049897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3.9177818932300061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2148.9322434053747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77.675731206234744</v>
      </c>
      <c r="Y111" s="2">
        <f>Y12/'Output-Calculation-sheet'!Y11*'Output-Calculation-sheet'!Y92</f>
        <v>0</v>
      </c>
      <c r="AA111" s="2">
        <f t="shared" si="9"/>
        <v>2.9224043676954192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11022269070.478682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6859450478.3203983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4732439810.1544437</v>
      </c>
      <c r="N118" s="2">
        <f>N8/'Output-Calculation-sheet'!N7*'Output-Calculation-sheet'!N97</f>
        <v>1587229272.674315</v>
      </c>
      <c r="O118" s="2">
        <f>O8/'Output-Calculation-sheet'!O7*'Output-Calculation-sheet'!O97</f>
        <v>1521785014.110816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475056177.13286912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257683246.71865231</v>
      </c>
      <c r="Y118" s="2">
        <f>Y8/'Output-Calculation-sheet'!Y7*'Output-Calculation-sheet'!Y97</f>
        <v>0</v>
      </c>
      <c r="AA118" s="2">
        <f t="shared" si="10"/>
        <v>27790.850864861852</v>
      </c>
    </row>
    <row r="119" spans="1:27" x14ac:dyDescent="0.25">
      <c r="A119" s="2">
        <v>2032</v>
      </c>
      <c r="B119" s="2">
        <f>B9/'Output-Calculation-sheet'!B8*'Output-Calculation-sheet'!B98</f>
        <v>5613399460.0343161</v>
      </c>
      <c r="C119" s="2">
        <f>C9/'Output-Calculation-sheet'!C8*'Output-Calculation-sheet'!C98</f>
        <v>8282240032.3245983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8779351626.5653839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6056985451.8886242</v>
      </c>
      <c r="N119" s="2">
        <f>N9/'Output-Calculation-sheet'!N8*'Output-Calculation-sheet'!N98</f>
        <v>2850311511.2188091</v>
      </c>
      <c r="O119" s="2">
        <f>O9/'Output-Calculation-sheet'!O8*'Output-Calculation-sheet'!O98</f>
        <v>1597268237.6053669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853918189.80634546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333122835.92899281</v>
      </c>
      <c r="Y119" s="2">
        <f>Y9/'Output-Calculation-sheet'!Y8*'Output-Calculation-sheet'!Y98</f>
        <v>0</v>
      </c>
      <c r="AA119" s="2">
        <f t="shared" si="10"/>
        <v>34366.597345372436</v>
      </c>
    </row>
    <row r="120" spans="1:27" x14ac:dyDescent="0.25">
      <c r="A120" s="2">
        <v>2033</v>
      </c>
      <c r="B120" s="2">
        <f>B10/'Output-Calculation-sheet'!B9*'Output-Calculation-sheet'!B99</f>
        <v>13556303392.703768</v>
      </c>
      <c r="C120" s="2">
        <f>C10/'Output-Calculation-sheet'!C9*'Output-Calculation-sheet'!C99</f>
        <v>7859674327.8596849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4070077795.6053529</v>
      </c>
      <c r="O120" s="2">
        <f>O10/'Output-Calculation-sheet'!O9*'Output-Calculation-sheet'!O99</f>
        <v>1508605669.9944305</v>
      </c>
      <c r="P120" s="2">
        <f>P10/'Output-Calculation-sheet'!P9*'Output-Calculation-sheet'!P99</f>
        <v>0</v>
      </c>
      <c r="Q120" s="2">
        <f>Q10/'Output-Calculation-sheet'!Q9*'Output-Calculation-sheet'!Q99</f>
        <v>131138698.05888449</v>
      </c>
      <c r="R120" s="2">
        <f>R10/'Output-Calculation-sheet'!R9*'Output-Calculation-sheet'!R99</f>
        <v>0</v>
      </c>
      <c r="S120" s="2">
        <f>S10/'Output-Calculation-sheet'!S9*'Output-Calculation-sheet'!S99</f>
        <v>1641764977.6234045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446478603.02008653</v>
      </c>
      <c r="Y120" s="2">
        <f>Y10/'Output-Calculation-sheet'!Y9*'Output-Calculation-sheet'!Y99</f>
        <v>0</v>
      </c>
      <c r="AA120" s="2">
        <f t="shared" si="10"/>
        <v>46219.117204753165</v>
      </c>
    </row>
    <row r="121" spans="1:27" x14ac:dyDescent="0.25">
      <c r="A121" s="2">
        <v>2034</v>
      </c>
      <c r="B121" s="2">
        <f>B11/'Output-Calculation-sheet'!B10*'Output-Calculation-sheet'!B100</f>
        <v>26890656824.510345</v>
      </c>
      <c r="C121" s="2">
        <f>C11/'Output-Calculation-sheet'!C10*'Output-Calculation-sheet'!C100</f>
        <v>6931775365.3516598</v>
      </c>
      <c r="D121" s="2">
        <f>D11/'Output-Calculation-sheet'!D10*'Output-Calculation-sheet'!D100</f>
        <v>0</v>
      </c>
      <c r="E121" s="2">
        <f>E11/'Output-Calculation-sheet'!E10*'Output-Calculation-sheet'!E100</f>
        <v>569808082.190341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10215104514.871201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477709714.83904082</v>
      </c>
      <c r="M121" s="2">
        <f>M11/'Output-Calculation-sheet'!M10*'Output-Calculation-sheet'!M100</f>
        <v>7210148029.6587791</v>
      </c>
      <c r="N121" s="2">
        <f>N11/'Output-Calculation-sheet'!N10*'Output-Calculation-sheet'!N100</f>
        <v>4980182006.9105272</v>
      </c>
      <c r="O121" s="2">
        <f>O11/'Output-Calculation-sheet'!O10*'Output-Calculation-sheet'!O100</f>
        <v>740233871.20760047</v>
      </c>
      <c r="P121" s="2">
        <f>P11/'Output-Calculation-sheet'!P10*'Output-Calculation-sheet'!P100</f>
        <v>0</v>
      </c>
      <c r="Q121" s="2">
        <f>Q11/'Output-Calculation-sheet'!Q10*'Output-Calculation-sheet'!Q100</f>
        <v>836224614.69219005</v>
      </c>
      <c r="R121" s="2">
        <f>R11/'Output-Calculation-sheet'!R10*'Output-Calculation-sheet'!R100</f>
        <v>0</v>
      </c>
      <c r="S121" s="2">
        <f>S11/'Output-Calculation-sheet'!S10*'Output-Calculation-sheet'!S100</f>
        <v>2302325427.3234138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31175244.400414139</v>
      </c>
      <c r="AA121" s="2">
        <f t="shared" si="10"/>
        <v>61530.759873026953</v>
      </c>
    </row>
    <row r="122" spans="1:27" x14ac:dyDescent="0.25">
      <c r="A122" s="2">
        <v>2035</v>
      </c>
      <c r="B122" s="2">
        <f>B12/'Output-Calculation-sheet'!B11*'Output-Calculation-sheet'!B101</f>
        <v>23903209439.137882</v>
      </c>
      <c r="C122" s="2">
        <f>C12/'Output-Calculation-sheet'!C11*'Output-Calculation-sheet'!C101</f>
        <v>9940154320.7879448</v>
      </c>
      <c r="D122" s="2">
        <f>D12/'Output-Calculation-sheet'!D11*'Output-Calculation-sheet'!D101</f>
        <v>0</v>
      </c>
      <c r="E122" s="2">
        <f>E12/'Output-Calculation-sheet'!E11*'Output-Calculation-sheet'!E101</f>
        <v>1947106132.1068017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8618045002.8588047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986490573.0978806</v>
      </c>
      <c r="M122" s="2">
        <f>M12/'Output-Calculation-sheet'!M11*'Output-Calculation-sheet'!M101</f>
        <v>6165709140.0856876</v>
      </c>
      <c r="N122" s="2">
        <f>N12/'Output-Calculation-sheet'!N11*'Output-Calculation-sheet'!N101</f>
        <v>4378587387.0850925</v>
      </c>
      <c r="O122" s="2">
        <f>O12/'Output-Calculation-sheet'!O11*'Output-Calculation-sheet'!O101</f>
        <v>28229128.354852878</v>
      </c>
      <c r="P122" s="2">
        <f>P12/'Output-Calculation-sheet'!P11*'Output-Calculation-sheet'!P101</f>
        <v>187112343.53109232</v>
      </c>
      <c r="Q122" s="2">
        <f>Q12/'Output-Calculation-sheet'!Q11*'Output-Calculation-sheet'!Q101</f>
        <v>842822274.15121329</v>
      </c>
      <c r="R122" s="2">
        <f>R12/'Output-Calculation-sheet'!R11*'Output-Calculation-sheet'!R101</f>
        <v>0</v>
      </c>
      <c r="S122" s="2">
        <f>S12/'Output-Calculation-sheet'!S11*'Output-Calculation-sheet'!S101</f>
        <v>2078106199.5035238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75442806.127987981</v>
      </c>
      <c r="Y122" s="2">
        <f>Y12/'Output-Calculation-sheet'!Y11*'Output-Calculation-sheet'!Y101</f>
        <v>44499716.182820573</v>
      </c>
      <c r="AA122" s="2">
        <f t="shared" si="10"/>
        <v>59195.514463011583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3058441315.0105014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2185503686.0968108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144027.46986558038</v>
      </c>
    </row>
    <row r="130" spans="1:27" x14ac:dyDescent="0.25">
      <c r="A130" s="2">
        <v>2032</v>
      </c>
      <c r="B130" s="2">
        <f>B9/'Output-Calculation-sheet'!B8*'Output-Calculation-sheet'!B107</f>
        <v>54110008531.620117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3095119200.3111329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2551109828.3655977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179368.25716725184</v>
      </c>
    </row>
    <row r="131" spans="1:27" x14ac:dyDescent="0.25">
      <c r="A131" s="2">
        <v>2033</v>
      </c>
      <c r="B131" s="2">
        <f>B10/'Output-Calculation-sheet'!B9*'Output-Calculation-sheet'!B108</f>
        <v>54891117677.41748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2743834610.7874804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5972501679.9089632</v>
      </c>
      <c r="R131" s="2">
        <f>R10/'Output-Calculation-sheet'!R9*'Output-Calculation-sheet'!R108</f>
        <v>5871773588.5043755</v>
      </c>
      <c r="S131" s="2">
        <f>S10/'Output-Calculation-sheet'!S9*'Output-Calculation-sheet'!S108</f>
        <v>2260621061.255456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196856.63886753254</v>
      </c>
    </row>
    <row r="132" spans="1:27" x14ac:dyDescent="0.25">
      <c r="A132" s="2">
        <v>2034</v>
      </c>
      <c r="B132" s="2">
        <f>B11/'Output-Calculation-sheet'!B10*'Output-Calculation-sheet'!B109</f>
        <v>43611216982.314964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23119004460.489563</v>
      </c>
      <c r="F132" s="2">
        <f>F11/'Output-Calculation-sheet'!F10*'Output-Calculation-sheet'!F109</f>
        <v>15250089282.780588</v>
      </c>
      <c r="G132" s="2">
        <f>G11/'Output-Calculation-sheet'!G10*'Output-Calculation-sheet'!G109</f>
        <v>10685146034.4645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9501638118.3797226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7071553806.4888334</v>
      </c>
      <c r="M132" s="2">
        <f>M11/'Output-Calculation-sheet'!M10*'Output-Calculation-sheet'!M109</f>
        <v>3.8983941615150782E-9</v>
      </c>
      <c r="N132" s="2">
        <f>N11/'Output-Calculation-sheet'!N10*'Output-Calculation-sheet'!N109</f>
        <v>2096544868.2683291</v>
      </c>
      <c r="O132" s="2">
        <f>O11/'Output-Calculation-sheet'!O10*'Output-Calculation-sheet'!O109</f>
        <v>0</v>
      </c>
      <c r="P132" s="2">
        <f>P11/'Output-Calculation-sheet'!P10*'Output-Calculation-sheet'!P109</f>
        <v>6442485273.3120365</v>
      </c>
      <c r="Q132" s="2">
        <f>Q11/'Output-Calculation-sheet'!Q10*'Output-Calculation-sheet'!Q109</f>
        <v>5301479986.3260889</v>
      </c>
      <c r="R132" s="2">
        <f>R11/'Output-Calculation-sheet'!R10*'Output-Calculation-sheet'!R109</f>
        <v>6097852396.2143927</v>
      </c>
      <c r="S132" s="2">
        <f>S11/'Output-Calculation-sheet'!S10*'Output-Calculation-sheet'!S109</f>
        <v>1676151713.2661395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1889046194.9960525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728307655.22036529</v>
      </c>
      <c r="AA132" s="2">
        <f t="shared" si="11"/>
        <v>187548.51056623863</v>
      </c>
    </row>
    <row r="133" spans="1:27" x14ac:dyDescent="0.25">
      <c r="A133" s="2">
        <v>2035</v>
      </c>
      <c r="B133" s="2">
        <f>B12/'Output-Calculation-sheet'!B11*'Output-Calculation-sheet'!B110</f>
        <v>35460607199.026207</v>
      </c>
      <c r="C133" s="2">
        <f>C12/'Output-Calculation-sheet'!C11*'Output-Calculation-sheet'!C110</f>
        <v>0</v>
      </c>
      <c r="D133" s="2">
        <f>D12/'Output-Calculation-sheet'!D11*'Output-Calculation-sheet'!D110</f>
        <v>24883020260.851429</v>
      </c>
      <c r="E133" s="2">
        <f>E12/'Output-Calculation-sheet'!E11*'Output-Calculation-sheet'!E110</f>
        <v>19304292820.080173</v>
      </c>
      <c r="F133" s="2">
        <f>F12/'Output-Calculation-sheet'!F11*'Output-Calculation-sheet'!F110</f>
        <v>13172072915.390297</v>
      </c>
      <c r="G133" s="2">
        <f>G12/'Output-Calculation-sheet'!G11*'Output-Calculation-sheet'!G110</f>
        <v>8919421121.53339</v>
      </c>
      <c r="H133" s="2">
        <f>H12/'Output-Calculation-sheet'!H11*'Output-Calculation-sheet'!H110</f>
        <v>0</v>
      </c>
      <c r="I133" s="2">
        <f>I12/'Output-Calculation-sheet'!I11*'Output-Calculation-sheet'!I110</f>
        <v>8181381713.9350843</v>
      </c>
      <c r="J133" s="2">
        <f>J12/'Output-Calculation-sheet'!J11*'Output-Calculation-sheet'!J110</f>
        <v>8190515667.7734718</v>
      </c>
      <c r="K133" s="2">
        <f>K12/'Output-Calculation-sheet'!K11*'Output-Calculation-sheet'!K110</f>
        <v>8036792165.6738739</v>
      </c>
      <c r="L133" s="2">
        <f>L12/'Output-Calculation-sheet'!L11*'Output-Calculation-sheet'!L110</f>
        <v>5777013281.5685759</v>
      </c>
      <c r="M133" s="2">
        <f>M12/'Output-Calculation-sheet'!M11*'Output-Calculation-sheet'!M110</f>
        <v>0</v>
      </c>
      <c r="N133" s="2">
        <f>N12/'Output-Calculation-sheet'!N11*'Output-Calculation-sheet'!N110</f>
        <v>1678841979.8721747</v>
      </c>
      <c r="O133" s="2">
        <f>O12/'Output-Calculation-sheet'!O11*'Output-Calculation-sheet'!O110</f>
        <v>0</v>
      </c>
      <c r="P133" s="2">
        <f>P12/'Output-Calculation-sheet'!P11*'Output-Calculation-sheet'!P110</f>
        <v>5410574304.2638121</v>
      </c>
      <c r="Q133" s="2">
        <f>Q12/'Output-Calculation-sheet'!Q11*'Output-Calculation-sheet'!Q110</f>
        <v>4321950839.4406986</v>
      </c>
      <c r="R133" s="2">
        <f>R12/'Output-Calculation-sheet'!R11*'Output-Calculation-sheet'!R110</f>
        <v>5349702734.644557</v>
      </c>
      <c r="S133" s="2">
        <f>S12/'Output-Calculation-sheet'!S11*'Output-Calculation-sheet'!S110</f>
        <v>1289416753.9703755</v>
      </c>
      <c r="T133" s="2">
        <f>T12/'Output-Calculation-sheet'!T11*'Output-Calculation-sheet'!T110</f>
        <v>1999412335.0751793</v>
      </c>
      <c r="U133" s="2">
        <f>U12/'Output-Calculation-sheet'!U11*'Output-Calculation-sheet'!U110</f>
        <v>1579724522.3651018</v>
      </c>
      <c r="V133" s="2">
        <f>V12/'Output-Calculation-sheet'!V11*'Output-Calculation-sheet'!V110</f>
        <v>1375689221.3765874</v>
      </c>
      <c r="W133" s="2">
        <f>W12/'Output-Calculation-sheet'!W11*'Output-Calculation-sheet'!W110</f>
        <v>1158492879.5445364</v>
      </c>
      <c r="X133" s="2">
        <f>X12/'Output-Calculation-sheet'!X11*'Output-Calculation-sheet'!X110</f>
        <v>540689.59352800041</v>
      </c>
      <c r="Y133" s="2">
        <f>Y12/'Output-Calculation-sheet'!Y11*'Output-Calculation-sheet'!Y110</f>
        <v>610194160.3459928</v>
      </c>
      <c r="AA133" s="2">
        <f t="shared" si="11"/>
        <v>156699.65756632504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10967084371.807087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2750880553.4378419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254938866.92635375</v>
      </c>
      <c r="Y140" s="2">
        <f>Y8/'Output-Calculation-sheet'!Y7*'Output-Calculation-sheet'!Y115</f>
        <v>0</v>
      </c>
      <c r="AA140" s="2">
        <f t="shared" si="12"/>
        <v>13972.903792171282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19862371495.025433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3871211651.0401278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322934340.19587767</v>
      </c>
      <c r="Y141" s="2">
        <f>Y9/'Output-Calculation-sheet'!Y8*'Output-Calculation-sheet'!Y116</f>
        <v>0</v>
      </c>
      <c r="AA141" s="2">
        <f t="shared" si="12"/>
        <v>24056.517486261437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24397348013.100395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4758924017.9620466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305418498.98591191</v>
      </c>
      <c r="Y142" s="2">
        <f>Y10/'Output-Calculation-sheet'!Y9*'Output-Calculation-sheet'!Y117</f>
        <v>0</v>
      </c>
      <c r="AA142" s="2">
        <f t="shared" si="12"/>
        <v>29461.690530048356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26568285483.00032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5769008816.005887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32772.783437588492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17662920657.614357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6089513644.890377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654599903.2655561</v>
      </c>
      <c r="Y144" s="2">
        <f>Y12/'Output-Calculation-sheet'!Y11*'Output-Calculation-sheet'!Y119</f>
        <v>0</v>
      </c>
      <c r="AA144" s="2">
        <f t="shared" si="12"/>
        <v>24407.034205770291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10847733008.754757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1564043233.7973521</v>
      </c>
      <c r="H154" s="2">
        <f>H11/'Output-Calculation-sheet'!H10*'Output-Calculation-sheet'!H127</f>
        <v>1780333395.4496622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1133586531.2043393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664971631.84825087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352233819.28339761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41835.903368935251</v>
      </c>
    </row>
    <row r="155" spans="1:27" x14ac:dyDescent="0.25">
      <c r="A155" s="2">
        <v>2035</v>
      </c>
      <c r="B155" s="2">
        <f>B12/'Output-Calculation-sheet'!B11*'Output-Calculation-sheet'!B128</f>
        <v>8856259815.2010498</v>
      </c>
      <c r="C155" s="2">
        <f>C12/'Output-Calculation-sheet'!C11*'Output-Calculation-sheet'!C128</f>
        <v>4230701826.6954288</v>
      </c>
      <c r="D155" s="2">
        <f>D12/'Output-Calculation-sheet'!D11*'Output-Calculation-sheet'!D128</f>
        <v>3399016185.8207197</v>
      </c>
      <c r="E155" s="2">
        <f>E12/'Output-Calculation-sheet'!E11*'Output-Calculation-sheet'!E128</f>
        <v>1671430440.9669592</v>
      </c>
      <c r="F155" s="2">
        <f>F12/'Output-Calculation-sheet'!F11*'Output-Calculation-sheet'!F128</f>
        <v>1364847708.4940643</v>
      </c>
      <c r="G155" s="2">
        <f>G12/'Output-Calculation-sheet'!G11*'Output-Calculation-sheet'!G128</f>
        <v>1297456232.9811463</v>
      </c>
      <c r="H155" s="2">
        <f>H12/'Output-Calculation-sheet'!H11*'Output-Calculation-sheet'!H128</f>
        <v>1453198469.3332376</v>
      </c>
      <c r="I155" s="2">
        <f>I12/'Output-Calculation-sheet'!I11*'Output-Calculation-sheet'!I128</f>
        <v>1116745850.0077097</v>
      </c>
      <c r="J155" s="2">
        <f>J12/'Output-Calculation-sheet'!J11*'Output-Calculation-sheet'!J128</f>
        <v>812975325.27827919</v>
      </c>
      <c r="K155" s="2">
        <f>K12/'Output-Calculation-sheet'!K11*'Output-Calculation-sheet'!K128</f>
        <v>898533156.69289005</v>
      </c>
      <c r="L155" s="2">
        <f>L12/'Output-Calculation-sheet'!L11*'Output-Calculation-sheet'!L128</f>
        <v>391181549.54863703</v>
      </c>
      <c r="M155" s="2">
        <f>M12/'Output-Calculation-sheet'!M11*'Output-Calculation-sheet'!M128</f>
        <v>776081159.68658948</v>
      </c>
      <c r="N155" s="2">
        <f>N12/'Output-Calculation-sheet'!N11*'Output-Calculation-sheet'!N128</f>
        <v>683907313.90347552</v>
      </c>
      <c r="O155" s="2">
        <f>O12/'Output-Calculation-sheet'!O11*'Output-Calculation-sheet'!O128</f>
        <v>11208334.091422481</v>
      </c>
      <c r="P155" s="2">
        <f>P12/'Output-Calculation-sheet'!P11*'Output-Calculation-sheet'!P128</f>
        <v>595859136.87982559</v>
      </c>
      <c r="Q155" s="2">
        <f>Q12/'Output-Calculation-sheet'!Q11*'Output-Calculation-sheet'!Q128</f>
        <v>897146982.00465465</v>
      </c>
      <c r="R155" s="2">
        <f>R12/'Output-Calculation-sheet'!R11*'Output-Calculation-sheet'!R128</f>
        <v>459317841.30569637</v>
      </c>
      <c r="S155" s="2">
        <f>S12/'Output-Calculation-sheet'!S11*'Output-Calculation-sheet'!S128</f>
        <v>508775998.2094419</v>
      </c>
      <c r="T155" s="2">
        <f>T12/'Output-Calculation-sheet'!T11*'Output-Calculation-sheet'!T128</f>
        <v>125133009.20758466</v>
      </c>
      <c r="U155" s="2">
        <f>U12/'Output-Calculation-sheet'!U11*'Output-Calculation-sheet'!U128</f>
        <v>290002856.73024619</v>
      </c>
      <c r="V155" s="2">
        <f>V12/'Output-Calculation-sheet'!V11*'Output-Calculation-sheet'!V128</f>
        <v>43268714.09252888</v>
      </c>
      <c r="W155" s="2">
        <f>W12/'Output-Calculation-sheet'!W11*'Output-Calculation-sheet'!W128</f>
        <v>87234094.394525334</v>
      </c>
      <c r="X155" s="2">
        <f>X12/'Output-Calculation-sheet'!X11*'Output-Calculation-sheet'!X128</f>
        <v>6168363.8381483657</v>
      </c>
      <c r="Y155" s="2">
        <f>Y12/'Output-Calculation-sheet'!Y11*'Output-Calculation-sheet'!Y128</f>
        <v>82862731.682238653</v>
      </c>
      <c r="AA155" s="2">
        <f t="shared" si="13"/>
        <v>30059.313097046503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7542.1565818777535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4752.6510712043173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3299.0007067158845</v>
      </c>
      <c r="N19" s="2">
        <f>N8/'Output-Calculation-sheet'!N7*'Output-Calculation-sheet'!N25</f>
        <v>1127.0269713224295</v>
      </c>
      <c r="O19" s="2">
        <f>O8/'Output-Calculation-sheet'!O7*'Output-Calculation-sheet'!O25</f>
        <v>973.46479852405685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174.16601492810111</v>
      </c>
      <c r="Y19" s="2">
        <f>Y8/'Output-Calculation-sheet'!Y7*'Output-Calculation-sheet'!Y25</f>
        <v>0</v>
      </c>
      <c r="AA19" s="2">
        <f t="shared" si="0"/>
        <v>19.329148254880788</v>
      </c>
    </row>
    <row r="20" spans="1:27" x14ac:dyDescent="0.25">
      <c r="A20" s="2">
        <v>2032</v>
      </c>
      <c r="B20" s="2">
        <f>B9/'Output-Calculation-sheet'!B8*'Output-Calculation-sheet'!B26</f>
        <v>5899.6553416425604</v>
      </c>
      <c r="C20" s="2">
        <f>C9/'Output-Calculation-sheet'!C8*'Output-Calculation-sheet'!C26</f>
        <v>5694.5739776320743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6416.4104924554586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4460.0998259347452</v>
      </c>
      <c r="N20" s="2">
        <f>N9/'Output-Calculation-sheet'!N8*'Output-Calculation-sheet'!N26</f>
        <v>2008.2256062417207</v>
      </c>
      <c r="O20" s="2">
        <f>O9/'Output-Calculation-sheet'!O8*'Output-Calculation-sheet'!O26</f>
        <v>1095.5760603148665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730.03476297228713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238.3065639611238</v>
      </c>
      <c r="Y20" s="2">
        <f>Y9/'Output-Calculation-sheet'!Y8*'Output-Calculation-sheet'!Y26</f>
        <v>0</v>
      </c>
      <c r="AA20" s="2">
        <f t="shared" si="0"/>
        <v>26.542882631154836</v>
      </c>
    </row>
    <row r="21" spans="1:27" x14ac:dyDescent="0.25">
      <c r="A21" s="2">
        <v>2033</v>
      </c>
      <c r="B21" s="2">
        <f>B10/'Output-Calculation-sheet'!B9*'Output-Calculation-sheet'!B27</f>
        <v>13894.235919210501</v>
      </c>
      <c r="C21" s="2">
        <f>C10/'Output-Calculation-sheet'!C9*'Output-Calculation-sheet'!C27</f>
        <v>5773.2937487323798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8072.1364566628654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5608.9874909625914</v>
      </c>
      <c r="N21" s="2">
        <f>N10/'Output-Calculation-sheet'!N9*'Output-Calculation-sheet'!N27</f>
        <v>3063.3838967925794</v>
      </c>
      <c r="O21" s="2">
        <f>O10/'Output-Calculation-sheet'!O9*'Output-Calculation-sheet'!O27</f>
        <v>1110.2702055491468</v>
      </c>
      <c r="P21" s="2">
        <f>P10/'Output-Calculation-sheet'!P9*'Output-Calculation-sheet'!P27</f>
        <v>0</v>
      </c>
      <c r="Q21" s="2">
        <f>Q10/'Output-Calculation-sheet'!Q9*'Output-Calculation-sheet'!Q27</f>
        <v>205.31345059639432</v>
      </c>
      <c r="R21" s="2">
        <f>R10/'Output-Calculation-sheet'!R9*'Output-Calculation-sheet'!R27</f>
        <v>0</v>
      </c>
      <c r="S21" s="2">
        <f>S10/'Output-Calculation-sheet'!S9*'Output-Calculation-sheet'!S27</f>
        <v>1333.5440983202157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355.43017229107892</v>
      </c>
      <c r="Y21" s="2">
        <f>Y10/'Output-Calculation-sheet'!Y9*'Output-Calculation-sheet'!Y27</f>
        <v>0</v>
      </c>
      <c r="AA21" s="2">
        <f t="shared" si="0"/>
        <v>39.416595439117749</v>
      </c>
    </row>
    <row r="22" spans="1:27" x14ac:dyDescent="0.25">
      <c r="A22" s="2">
        <v>2034</v>
      </c>
      <c r="B22" s="2">
        <f>B11/'Output-Calculation-sheet'!B10*'Output-Calculation-sheet'!B28</f>
        <v>26457.477323816809</v>
      </c>
      <c r="C22" s="2">
        <f>C11/'Output-Calculation-sheet'!C10*'Output-Calculation-sheet'!C28</f>
        <v>5759.6429987999836</v>
      </c>
      <c r="D22" s="2">
        <f>D11/'Output-Calculation-sheet'!D10*'Output-Calculation-sheet'!D28</f>
        <v>0</v>
      </c>
      <c r="E22" s="2">
        <f>E11/'Output-Calculation-sheet'!E10*'Output-Calculation-sheet'!E28</f>
        <v>1359.3797130509909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10104.756978064137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824.41335735348912</v>
      </c>
      <c r="M22" s="2">
        <f>M11/'Output-Calculation-sheet'!M10*'Output-Calculation-sheet'!M28</f>
        <v>7497.1655565067595</v>
      </c>
      <c r="N22" s="2">
        <f>N11/'Output-Calculation-sheet'!N10*'Output-Calculation-sheet'!N28</f>
        <v>4317.0929735494783</v>
      </c>
      <c r="O22" s="2">
        <f>O11/'Output-Calculation-sheet'!O10*'Output-Calculation-sheet'!O28</f>
        <v>612.621598635591</v>
      </c>
      <c r="P22" s="2">
        <f>P11/'Output-Calculation-sheet'!P10*'Output-Calculation-sheet'!P28</f>
        <v>0</v>
      </c>
      <c r="Q22" s="2">
        <f>Q11/'Output-Calculation-sheet'!Q10*'Output-Calculation-sheet'!Q28</f>
        <v>1245.978908215732</v>
      </c>
      <c r="R22" s="2">
        <f>R11/'Output-Calculation-sheet'!R10*'Output-Calculation-sheet'!R28</f>
        <v>0</v>
      </c>
      <c r="S22" s="2">
        <f>S11/'Output-Calculation-sheet'!S10*'Output-Calculation-sheet'!S28</f>
        <v>2059.311616087301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75.042615582523268</v>
      </c>
      <c r="AA22" s="2">
        <f t="shared" si="0"/>
        <v>60.619875370770664</v>
      </c>
    </row>
    <row r="23" spans="1:27" x14ac:dyDescent="0.25">
      <c r="A23" s="2">
        <v>2035</v>
      </c>
      <c r="B23" s="2">
        <f>B12/'Output-Calculation-sheet'!B11*'Output-Calculation-sheet'!B29</f>
        <v>27697.028310480015</v>
      </c>
      <c r="C23" s="2">
        <f>C12/'Output-Calculation-sheet'!C11*'Output-Calculation-sheet'!C29</f>
        <v>10415.32551387145</v>
      </c>
      <c r="D23" s="2">
        <f>D12/'Output-Calculation-sheet'!D11*'Output-Calculation-sheet'!D29</f>
        <v>0</v>
      </c>
      <c r="E23" s="2">
        <f>E12/'Output-Calculation-sheet'!E11*'Output-Calculation-sheet'!E29</f>
        <v>4699.6977956015162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10107.439609648271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1689.3157581960133</v>
      </c>
      <c r="M23" s="2">
        <f>M12/'Output-Calculation-sheet'!M11*'Output-Calculation-sheet'!M29</f>
        <v>7767.2669529039676</v>
      </c>
      <c r="N23" s="2">
        <f>N12/'Output-Calculation-sheet'!N11*'Output-Calculation-sheet'!N29</f>
        <v>4621.0933187828523</v>
      </c>
      <c r="O23" s="2">
        <f>O12/'Output-Calculation-sheet'!O11*'Output-Calculation-sheet'!O29</f>
        <v>28.302189883332481</v>
      </c>
      <c r="P23" s="2">
        <f>P12/'Output-Calculation-sheet'!P11*'Output-Calculation-sheet'!P29</f>
        <v>523.82772959628551</v>
      </c>
      <c r="Q23" s="2">
        <f>Q12/'Output-Calculation-sheet'!Q11*'Output-Calculation-sheet'!Q29</f>
        <v>1427.9569246175804</v>
      </c>
      <c r="R23" s="2">
        <f>R12/'Output-Calculation-sheet'!R11*'Output-Calculation-sheet'!R29</f>
        <v>0</v>
      </c>
      <c r="S23" s="2">
        <f>S12/'Output-Calculation-sheet'!S11*'Output-Calculation-sheet'!S29</f>
        <v>2207.709690385258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75.637830544513122</v>
      </c>
      <c r="Y23" s="2">
        <f>Y12/'Output-Calculation-sheet'!Y11*'Output-Calculation-sheet'!Y29</f>
        <v>110.95547482086047</v>
      </c>
      <c r="AA23" s="2">
        <f t="shared" si="0"/>
        <v>71.371557099331909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1536.0956802798728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39.479950043363552</v>
      </c>
    </row>
    <row r="31" spans="1:27" x14ac:dyDescent="0.25">
      <c r="A31" s="2">
        <v>2032</v>
      </c>
      <c r="B31" s="2">
        <f>B9/'Output-Calculation-sheet'!B8*'Output-Calculation-sheet'!B17</f>
        <v>24980.842833059964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1711.0891487195154</v>
      </c>
      <c r="O31" s="2">
        <f>O9/'Output-Calculation-sheet'!O8*'Output-Calculation-sheet'!O17</f>
        <v>0</v>
      </c>
      <c r="P31" s="2">
        <f>P9/'Output-Calculation-sheet'!P8*'Output-Calculation-sheet'!P17</f>
        <v>2118.211277005455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1272.6149679765601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54.400753855299406</v>
      </c>
    </row>
    <row r="32" spans="1:27" x14ac:dyDescent="0.25">
      <c r="A32" s="2">
        <v>2033</v>
      </c>
      <c r="B32" s="2">
        <f>B10/'Output-Calculation-sheet'!B9*'Output-Calculation-sheet'!B18</f>
        <v>28372.045279639908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2700.2033953831474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1730.0231160235237</v>
      </c>
      <c r="O32" s="2">
        <f>O10/'Output-Calculation-sheet'!O9*'Output-Calculation-sheet'!O18</f>
        <v>0</v>
      </c>
      <c r="P32" s="2">
        <f>P10/'Output-Calculation-sheet'!P9*'Output-Calculation-sheet'!P18</f>
        <v>2779.048616328364</v>
      </c>
      <c r="Q32" s="2">
        <f>Q10/'Output-Calculation-sheet'!Q9*'Output-Calculation-sheet'!Q18</f>
        <v>3029.6656730766249</v>
      </c>
      <c r="R32" s="2">
        <f>R10/'Output-Calculation-sheet'!R9*'Output-Calculation-sheet'!R18</f>
        <v>1995.5717599312302</v>
      </c>
      <c r="S32" s="2">
        <f>S10/'Output-Calculation-sheet'!S9*'Output-Calculation-sheet'!S18</f>
        <v>1306.8873805549042</v>
      </c>
      <c r="T32" s="2">
        <f>T10/'Output-Calculation-sheet'!T9*'Output-Calculation-sheet'!T18</f>
        <v>582.651500804791</v>
      </c>
      <c r="U32" s="2">
        <f>U10/'Output-Calculation-sheet'!U9*'Output-Calculation-sheet'!U18</f>
        <v>644.10784519391575</v>
      </c>
      <c r="V32" s="2">
        <f>V10/'Output-Calculation-sheet'!V9*'Output-Calculation-sheet'!V18</f>
        <v>475.44352177274305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275.28504523813154</v>
      </c>
      <c r="AA32" s="2">
        <f t="shared" si="1"/>
        <v>68.115280111917755</v>
      </c>
    </row>
    <row r="33" spans="1:27" x14ac:dyDescent="0.25">
      <c r="A33" s="2">
        <v>2034</v>
      </c>
      <c r="B33" s="2">
        <f>B11/'Output-Calculation-sheet'!B10*'Output-Calculation-sheet'!B19</f>
        <v>26957.62744060106</v>
      </c>
      <c r="C33" s="2">
        <f>C11/'Output-Calculation-sheet'!C10*'Output-Calculation-sheet'!C19</f>
        <v>0</v>
      </c>
      <c r="D33" s="2">
        <f>D11/'Output-Calculation-sheet'!D10*'Output-Calculation-sheet'!D19</f>
        <v>8157.8342162298177</v>
      </c>
      <c r="E33" s="2">
        <f>E11/'Output-Calculation-sheet'!E10*'Output-Calculation-sheet'!E19</f>
        <v>10114.416020871957</v>
      </c>
      <c r="F33" s="2">
        <f>F11/'Output-Calculation-sheet'!F10*'Output-Calculation-sheet'!F19</f>
        <v>4630.9989769433741</v>
      </c>
      <c r="G33" s="2">
        <f>G11/'Output-Calculation-sheet'!G10*'Output-Calculation-sheet'!G19</f>
        <v>2758.8933932669115</v>
      </c>
      <c r="H33" s="2">
        <f>H11/'Output-Calculation-sheet'!H10*'Output-Calculation-sheet'!H19</f>
        <v>0</v>
      </c>
      <c r="I33" s="2">
        <f>I11/'Output-Calculation-sheet'!I10*'Output-Calculation-sheet'!I19</f>
        <v>3030.4892102501904</v>
      </c>
      <c r="J33" s="2">
        <f>J11/'Output-Calculation-sheet'!J10*'Output-Calculation-sheet'!J19</f>
        <v>2562.3659964318563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2890.9143470245926</v>
      </c>
      <c r="M33" s="2">
        <f>M11/'Output-Calculation-sheet'!M10*'Output-Calculation-sheet'!M19</f>
        <v>0</v>
      </c>
      <c r="N33" s="2">
        <f>N11/'Output-Calculation-sheet'!N10*'Output-Calculation-sheet'!N19</f>
        <v>1632.6486851617776</v>
      </c>
      <c r="O33" s="2">
        <f>O11/'Output-Calculation-sheet'!O10*'Output-Calculation-sheet'!O19</f>
        <v>0</v>
      </c>
      <c r="P33" s="2">
        <f>P11/'Output-Calculation-sheet'!P10*'Output-Calculation-sheet'!P19</f>
        <v>3597.3740560201268</v>
      </c>
      <c r="Q33" s="2">
        <f>Q11/'Output-Calculation-sheet'!Q10*'Output-Calculation-sheet'!Q19</f>
        <v>2928.9238352442849</v>
      </c>
      <c r="R33" s="2">
        <f>R11/'Output-Calculation-sheet'!R10*'Output-Calculation-sheet'!R19</f>
        <v>2567.695459856609</v>
      </c>
      <c r="S33" s="2">
        <f>S11/'Output-Calculation-sheet'!S10*'Output-Calculation-sheet'!S19</f>
        <v>1191.6892004856952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805.96567673207119</v>
      </c>
      <c r="V33" s="2">
        <f>V11/'Output-Calculation-sheet'!V10*'Output-Calculation-sheet'!V19</f>
        <v>590.87795468936417</v>
      </c>
      <c r="W33" s="2">
        <f>W11/'Output-Calculation-sheet'!W10*'Output-Calculation-sheet'!W19</f>
        <v>367.8739881517925</v>
      </c>
      <c r="X33" s="2">
        <f>X11/'Output-Calculation-sheet'!X10*'Output-Calculation-sheet'!X19</f>
        <v>0</v>
      </c>
      <c r="Y33" s="2">
        <f>Y11/'Output-Calculation-sheet'!Y10*'Output-Calculation-sheet'!Y19</f>
        <v>331.61248469499844</v>
      </c>
      <c r="AA33" s="2">
        <f t="shared" si="1"/>
        <v>79.426095472057071</v>
      </c>
    </row>
    <row r="34" spans="1:27" x14ac:dyDescent="0.25">
      <c r="A34" s="2">
        <v>2035</v>
      </c>
      <c r="B34" s="2">
        <f>B12/'Output-Calculation-sheet'!B11*'Output-Calculation-sheet'!B20</f>
        <v>25622.363637427152</v>
      </c>
      <c r="C34" s="2">
        <f>C12/'Output-Calculation-sheet'!C11*'Output-Calculation-sheet'!C20</f>
        <v>0</v>
      </c>
      <c r="D34" s="2">
        <f>D12/'Output-Calculation-sheet'!D11*'Output-Calculation-sheet'!D20</f>
        <v>8171.3295934348062</v>
      </c>
      <c r="E34" s="2">
        <f>E12/'Output-Calculation-sheet'!E11*'Output-Calculation-sheet'!E20</f>
        <v>9055.6964189977498</v>
      </c>
      <c r="F34" s="2">
        <f>F12/'Output-Calculation-sheet'!F11*'Output-Calculation-sheet'!F20</f>
        <v>5086.4494185052181</v>
      </c>
      <c r="G34" s="2">
        <f>G12/'Output-Calculation-sheet'!G11*'Output-Calculation-sheet'!G20</f>
        <v>2741.1613776408012</v>
      </c>
      <c r="H34" s="2">
        <f>H12/'Output-Calculation-sheet'!H11*'Output-Calculation-sheet'!H20</f>
        <v>0</v>
      </c>
      <c r="I34" s="2">
        <f>I12/'Output-Calculation-sheet'!I11*'Output-Calculation-sheet'!I20</f>
        <v>3043.0167308884147</v>
      </c>
      <c r="J34" s="2">
        <f>J12/'Output-Calculation-sheet'!J11*'Output-Calculation-sheet'!J20</f>
        <v>2814.8793528534202</v>
      </c>
      <c r="K34" s="2">
        <f>K12/'Output-Calculation-sheet'!K11*'Output-Calculation-sheet'!K20</f>
        <v>3747.0669208574127</v>
      </c>
      <c r="L34" s="2">
        <f>L12/'Output-Calculation-sheet'!L11*'Output-Calculation-sheet'!L20</f>
        <v>2997.9121011035386</v>
      </c>
      <c r="M34" s="2">
        <f>M12/'Output-Calculation-sheet'!M11*'Output-Calculation-sheet'!M20</f>
        <v>0</v>
      </c>
      <c r="N34" s="2">
        <f>N12/'Output-Calculation-sheet'!N11*'Output-Calculation-sheet'!N20</f>
        <v>1602.5433003605385</v>
      </c>
      <c r="O34" s="2">
        <f>O12/'Output-Calculation-sheet'!O11*'Output-Calculation-sheet'!O20</f>
        <v>0</v>
      </c>
      <c r="P34" s="2">
        <f>P12/'Output-Calculation-sheet'!P11*'Output-Calculation-sheet'!P20</f>
        <v>3437.9474087840035</v>
      </c>
      <c r="Q34" s="2">
        <f>Q12/'Output-Calculation-sheet'!Q11*'Output-Calculation-sheet'!Q20</f>
        <v>2812.7127732536619</v>
      </c>
      <c r="R34" s="2">
        <f>R12/'Output-Calculation-sheet'!R11*'Output-Calculation-sheet'!R20</f>
        <v>2876.6003087818121</v>
      </c>
      <c r="S34" s="2">
        <f>S12/'Output-Calculation-sheet'!S11*'Output-Calculation-sheet'!S20</f>
        <v>1109.720174448853</v>
      </c>
      <c r="T34" s="2">
        <f>T12/'Output-Calculation-sheet'!T11*'Output-Calculation-sheet'!T20</f>
        <v>872.7600973686981</v>
      </c>
      <c r="U34" s="2">
        <f>U12/'Output-Calculation-sheet'!U11*'Output-Calculation-sheet'!U20</f>
        <v>803.27758275530937</v>
      </c>
      <c r="V34" s="2">
        <f>V12/'Output-Calculation-sheet'!V11*'Output-Calculation-sheet'!V20</f>
        <v>790.51155360007908</v>
      </c>
      <c r="W34" s="2">
        <f>W12/'Output-Calculation-sheet'!W11*'Output-Calculation-sheet'!W20</f>
        <v>428.70178563995523</v>
      </c>
      <c r="X34" s="2">
        <f>X12/'Output-Calculation-sheet'!X11*'Output-Calculation-sheet'!X20</f>
        <v>0.95108853908962876</v>
      </c>
      <c r="Y34" s="2">
        <f>Y12/'Output-Calculation-sheet'!Y11*'Output-Calculation-sheet'!Y20</f>
        <v>310.44156671192076</v>
      </c>
      <c r="AA34" s="2">
        <f t="shared" si="1"/>
        <v>78.326043191952422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0.12184185253740676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1.837609488263935E-2</v>
      </c>
      <c r="H44" s="2">
        <f>H11/'Output-Calculation-sheet'!H10*'Output-Calculation-sheet'!H37*0.0114</f>
        <v>1.780154846458298E-2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1.0547985259170044E-2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6.9011560223763537E-3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3.3654415177239013E-3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0.17883407868389939</v>
      </c>
    </row>
    <row r="45" spans="1:27" x14ac:dyDescent="0.25">
      <c r="A45" s="2">
        <v>2035</v>
      </c>
      <c r="B45" s="2">
        <f>B12/'Output-Calculation-sheet'!B11*'Output-Calculation-sheet'!B38*0.0114</f>
        <v>0.48638452845264607</v>
      </c>
      <c r="C45" s="2">
        <f>C12/'Output-Calculation-sheet'!C11*'Output-Calculation-sheet'!C38*0.0114</f>
        <v>0.28856169346192861</v>
      </c>
      <c r="D45" s="2">
        <f>D12/'Output-Calculation-sheet'!D11*'Output-Calculation-sheet'!D38*0.0114</f>
        <v>5.1123166359603366E-2</v>
      </c>
      <c r="E45" s="2">
        <f>E12/'Output-Calculation-sheet'!E11*'Output-Calculation-sheet'!E38*0.0114</f>
        <v>0.16251731443907305</v>
      </c>
      <c r="F45" s="2">
        <f>F12/'Output-Calculation-sheet'!F11*'Output-Calculation-sheet'!F38*0.0114</f>
        <v>5.1106105021026589E-2</v>
      </c>
      <c r="G45" s="2">
        <f>G12/'Output-Calculation-sheet'!G11*'Output-Calculation-sheet'!G38*0.0114</f>
        <v>3.6678071032897372E-2</v>
      </c>
      <c r="H45" s="2">
        <f>H12/'Output-Calculation-sheet'!H11*'Output-Calculation-sheet'!H38*0.0114</f>
        <v>0.10659388677238268</v>
      </c>
      <c r="I45" s="2">
        <f>I12/'Output-Calculation-sheet'!I11*'Output-Calculation-sheet'!I38*0.0114</f>
        <v>3.2989658378891736E-2</v>
      </c>
      <c r="J45" s="2">
        <f>J12/'Output-Calculation-sheet'!J11*'Output-Calculation-sheet'!J38*0.0114</f>
        <v>1.6324416924344672E-2</v>
      </c>
      <c r="K45" s="2">
        <f>K12/'Output-Calculation-sheet'!K11*'Output-Calculation-sheet'!K38*0.0114</f>
        <v>3.2423582993839635E-2</v>
      </c>
      <c r="L45" s="2">
        <f>L12/'Output-Calculation-sheet'!L11*'Output-Calculation-sheet'!L38*0.0114</f>
        <v>1.2890870284324851E-2</v>
      </c>
      <c r="M45" s="2">
        <f>M12/'Output-Calculation-sheet'!M11*'Output-Calculation-sheet'!M38*0.0114</f>
        <v>6.1122473138014166E-2</v>
      </c>
      <c r="N45" s="2">
        <f>N12/'Output-Calculation-sheet'!N11*'Output-Calculation-sheet'!N38*0.0114</f>
        <v>3.6044087136879337E-2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4.4397873778771482E-2</v>
      </c>
      <c r="Q45" s="2">
        <f>Q12/'Output-Calculation-sheet'!Q11*'Output-Calculation-sheet'!Q38*0.0114</f>
        <v>3.1580138902794937E-2</v>
      </c>
      <c r="R45" s="2">
        <f>R12/'Output-Calculation-sheet'!R11*'Output-Calculation-sheet'!R38*0.0114</f>
        <v>2.0878439855547874E-2</v>
      </c>
      <c r="S45" s="2">
        <f>S12/'Output-Calculation-sheet'!S11*'Output-Calculation-sheet'!S38*0.0114</f>
        <v>2.7548953399991562E-2</v>
      </c>
      <c r="T45" s="2">
        <f>T12/'Output-Calculation-sheet'!T11*'Output-Calculation-sheet'!T38*0.0114</f>
        <v>3.862118118850618E-3</v>
      </c>
      <c r="U45" s="2">
        <f>U12/'Output-Calculation-sheet'!U11*'Output-Calculation-sheet'!U38*0.0114</f>
        <v>1.007596313301223E-2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4.4852069551314048E-3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6.4707065024509416E-3</v>
      </c>
      <c r="AA45" s="2">
        <f t="shared" si="2"/>
        <v>1.5392020275750131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2913.8234864548967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6711.6340139518625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4590.2452999658344</v>
      </c>
      <c r="N52" s="2">
        <f>N8/'Output-Calculation-sheet'!N7*'Output-Calculation-sheet'!N43</f>
        <v>144.99831971642342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31.037126784521423</v>
      </c>
      <c r="Y52" s="2">
        <f>Y8/'Output-Calculation-sheet'!Y7*'Output-Calculation-sheet'!Y43</f>
        <v>0</v>
      </c>
      <c r="AA52" s="2">
        <f t="shared" si="3"/>
        <v>14.39173824687354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494.91550815093569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12834.051506913635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8785.7164999017441</v>
      </c>
      <c r="N53" s="2">
        <f>N9/'Output-Calculation-sheet'!N8*'Output-Calculation-sheet'!N44</f>
        <v>3117.7304795928994</v>
      </c>
      <c r="O53" s="2">
        <f>O9/'Output-Calculation-sheet'!O8*'Output-Calculation-sheet'!O44</f>
        <v>172.88210071607531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971.6820325957558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268.26599249011809</v>
      </c>
      <c r="Y53" s="2">
        <f>Y9/'Output-Calculation-sheet'!Y8*'Output-Calculation-sheet'!Y44</f>
        <v>0</v>
      </c>
      <c r="AA53" s="2">
        <f t="shared" si="3"/>
        <v>26.783444163235309</v>
      </c>
    </row>
    <row r="54" spans="1:27" x14ac:dyDescent="0.25">
      <c r="A54" s="2">
        <v>2033</v>
      </c>
      <c r="B54" s="2">
        <f>B10/'Output-Calculation-sheet'!B9*'Output-Calculation-sheet'!B45</f>
        <v>26684.230986769748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13330.066047627981</v>
      </c>
      <c r="N54" s="2">
        <f>N10/'Output-Calculation-sheet'!N9*'Output-Calculation-sheet'!N45</f>
        <v>7460.4154337483224</v>
      </c>
      <c r="O54" s="2">
        <f>O10/'Output-Calculation-sheet'!O9*'Output-Calculation-sheet'!O45</f>
        <v>993.45687851552418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775.77437018537637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81.483919940353857</v>
      </c>
    </row>
    <row r="55" spans="1:27" x14ac:dyDescent="0.25">
      <c r="A55" s="2">
        <v>2034</v>
      </c>
      <c r="B55" s="2">
        <f>B11/'Output-Calculation-sheet'!B10*'Output-Calculation-sheet'!B46</f>
        <v>75328.190937161649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267.27702615510117</v>
      </c>
      <c r="G55" s="2">
        <f>G11/'Output-Calculation-sheet'!G10*'Output-Calculation-sheet'!G46</f>
        <v>3012.7123978642935</v>
      </c>
      <c r="H55" s="2">
        <f>H11/'Output-Calculation-sheet'!H10*'Output-Calculation-sheet'!H46</f>
        <v>23309.097713230716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16412.850536630387</v>
      </c>
      <c r="N55" s="2">
        <f>N11/'Output-Calculation-sheet'!N10*'Output-Calculation-sheet'!N46</f>
        <v>12431.82566678705</v>
      </c>
      <c r="O55" s="2">
        <f>O11/'Output-Calculation-sheet'!O10*'Output-Calculation-sheet'!O46</f>
        <v>476.97610001178492</v>
      </c>
      <c r="P55" s="2">
        <f>P11/'Output-Calculation-sheet'!P10*'Output-Calculation-sheet'!P46</f>
        <v>4600.9536580684535</v>
      </c>
      <c r="Q55" s="2">
        <f>Q11/'Output-Calculation-sheet'!Q10*'Output-Calculation-sheet'!Q46</f>
        <v>3590.0160355771732</v>
      </c>
      <c r="R55" s="2">
        <f>R11/'Output-Calculation-sheet'!R10*'Output-Calculation-sheet'!R46</f>
        <v>3729.0106879948466</v>
      </c>
      <c r="S55" s="2">
        <f>S11/'Output-Calculation-sheet'!S10*'Output-Calculation-sheet'!S46</f>
        <v>5824.8178287109886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1101.4440616340241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186.12793532390319</v>
      </c>
    </row>
    <row r="56" spans="1:27" x14ac:dyDescent="0.25">
      <c r="A56" s="2">
        <v>2035</v>
      </c>
      <c r="B56" s="2">
        <f>B12/'Output-Calculation-sheet'!B11*'Output-Calculation-sheet'!B47</f>
        <v>78994.820564041598</v>
      </c>
      <c r="C56" s="2">
        <f>C12/'Output-Calculation-sheet'!C11*'Output-Calculation-sheet'!C47</f>
        <v>24618.868689567702</v>
      </c>
      <c r="D56" s="2">
        <f>D12/'Output-Calculation-sheet'!D11*'Output-Calculation-sheet'!D47</f>
        <v>8098.9858285476903</v>
      </c>
      <c r="E56" s="2">
        <f>E12/'Output-Calculation-sheet'!E11*'Output-Calculation-sheet'!E47</f>
        <v>20485.735162188419</v>
      </c>
      <c r="F56" s="2">
        <f>F12/'Output-Calculation-sheet'!F11*'Output-Calculation-sheet'!F47</f>
        <v>1176.7853129841649</v>
      </c>
      <c r="G56" s="2">
        <f>G12/'Output-Calculation-sheet'!G11*'Output-Calculation-sheet'!G47</f>
        <v>2996.9844883459564</v>
      </c>
      <c r="H56" s="2">
        <f>H12/'Output-Calculation-sheet'!H11*'Output-Calculation-sheet'!H47</f>
        <v>23364.943631262184</v>
      </c>
      <c r="I56" s="2">
        <f>I12/'Output-Calculation-sheet'!I11*'Output-Calculation-sheet'!I47</f>
        <v>1909.9275903568896</v>
      </c>
      <c r="J56" s="2">
        <f>J12/'Output-Calculation-sheet'!J11*'Output-Calculation-sheet'!J47</f>
        <v>3150.3260731191467</v>
      </c>
      <c r="K56" s="2">
        <f>K12/'Output-Calculation-sheet'!K11*'Output-Calculation-sheet'!K47</f>
        <v>4307.5014424710635</v>
      </c>
      <c r="L56" s="2">
        <f>L12/'Output-Calculation-sheet'!L11*'Output-Calculation-sheet'!L47</f>
        <v>4612.4438499790413</v>
      </c>
      <c r="M56" s="2">
        <f>M12/'Output-Calculation-sheet'!M11*'Output-Calculation-sheet'!M47</f>
        <v>16468.753376379325</v>
      </c>
      <c r="N56" s="2">
        <f>N12/'Output-Calculation-sheet'!N11*'Output-Calculation-sheet'!N47</f>
        <v>13327.880875233217</v>
      </c>
      <c r="O56" s="2">
        <f>O12/'Output-Calculation-sheet'!O11*'Output-Calculation-sheet'!O47</f>
        <v>59.993522010052516</v>
      </c>
      <c r="P56" s="2">
        <f>P12/'Output-Calculation-sheet'!P11*'Output-Calculation-sheet'!P47</f>
        <v>5713.305336268224</v>
      </c>
      <c r="Q56" s="2">
        <f>Q12/'Output-Calculation-sheet'!Q11*'Output-Calculation-sheet'!Q47</f>
        <v>4018.6188451743737</v>
      </c>
      <c r="R56" s="2">
        <f>R12/'Output-Calculation-sheet'!R11*'Output-Calculation-sheet'!R47</f>
        <v>4695.8175254056796</v>
      </c>
      <c r="S56" s="2">
        <f>S12/'Output-Calculation-sheet'!S11*'Output-Calculation-sheet'!S47</f>
        <v>6197.3062275682769</v>
      </c>
      <c r="T56" s="2">
        <f>T12/'Output-Calculation-sheet'!T11*'Output-Calculation-sheet'!T47</f>
        <v>1586.5174693488984</v>
      </c>
      <c r="U56" s="2">
        <f>U12/'Output-Calculation-sheet'!U11*'Output-Calculation-sheet'!U47</f>
        <v>1107.4720882161689</v>
      </c>
      <c r="V56" s="2">
        <f>V12/'Output-Calculation-sheet'!V11*'Output-Calculation-sheet'!V47</f>
        <v>1094.3108204115276</v>
      </c>
      <c r="W56" s="2">
        <f>W12/'Output-Calculation-sheet'!W11*'Output-Calculation-sheet'!W47</f>
        <v>387.34089888832176</v>
      </c>
      <c r="X56" s="2">
        <f>X12/'Output-Calculation-sheet'!X11*'Output-Calculation-sheet'!X47</f>
        <v>129.98798215139638</v>
      </c>
      <c r="Y56" s="2">
        <f>Y12/'Output-Calculation-sheet'!Y11*'Output-Calculation-sheet'!Y47</f>
        <v>515.84018152872056</v>
      </c>
      <c r="AA56" s="2">
        <f t="shared" si="3"/>
        <v>229.02046778144799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7.1809261883721005</v>
      </c>
      <c r="C63" s="2">
        <f>C8*'Output-Calculation-sheet'!C52/10^9</f>
        <v>4.3434933734155461</v>
      </c>
      <c r="D63" s="2">
        <f>D8*'Output-Calculation-sheet'!D52/10^9</f>
        <v>2.4624934788118886</v>
      </c>
      <c r="E63" s="2">
        <f>E8*'Output-Calculation-sheet'!E52/10^9</f>
        <v>2.4483790529342229</v>
      </c>
      <c r="F63" s="2">
        <f>F8*'Output-Calculation-sheet'!F52/10^9</f>
        <v>1.036888326511185</v>
      </c>
      <c r="G63" s="2">
        <f>G8*'Output-Calculation-sheet'!G52/10^9</f>
        <v>0.74547586414697919</v>
      </c>
      <c r="H63" s="2">
        <f>H8*'Output-Calculation-sheet'!H52/10^9</f>
        <v>1.3021200785947442</v>
      </c>
      <c r="I63" s="2">
        <f>I8*'Output-Calculation-sheet'!I52/10^9</f>
        <v>0.69346562517586952</v>
      </c>
      <c r="J63" s="2">
        <f>J8*'Output-Calculation-sheet'!J52/10^9</f>
        <v>0.9542557046815735</v>
      </c>
      <c r="K63" s="2">
        <f>K8*'Output-Calculation-sheet'!K52/10^9</f>
        <v>0.83839851002507582</v>
      </c>
      <c r="L63" s="2">
        <f>L8*'Output-Calculation-sheet'!L52/10^9</f>
        <v>1.1276863348564325</v>
      </c>
      <c r="M63" s="2">
        <f>M8*'Output-Calculation-sheet'!M52/10^9</f>
        <v>1.0569443269997296</v>
      </c>
      <c r="N63" s="2">
        <f>N8*'Output-Calculation-sheet'!N52/10^9</f>
        <v>0.88216067685276545</v>
      </c>
      <c r="O63" s="2">
        <f>O8*'Output-Calculation-sheet'!O52/10^9</f>
        <v>0.88653309915188305</v>
      </c>
      <c r="P63" s="2">
        <f>P8*'Output-Calculation-sheet'!P52/10^9</f>
        <v>0.57931075463199555</v>
      </c>
      <c r="Q63" s="2">
        <f>Q8*'Output-Calculation-sheet'!Q52/10^9</f>
        <v>0.65561000959868454</v>
      </c>
      <c r="R63" s="2">
        <f>R8*'Output-Calculation-sheet'!R52/10^9</f>
        <v>0.58860764986385716</v>
      </c>
      <c r="S63" s="2">
        <f>S8*'Output-Calculation-sheet'!S52/10^9</f>
        <v>0.43617912395377334</v>
      </c>
      <c r="T63" s="2">
        <f>T8*'Output-Calculation-sheet'!T52/10^9</f>
        <v>0.22378022024217434</v>
      </c>
      <c r="U63" s="2">
        <f>U8*'Output-Calculation-sheet'!U52/10^9</f>
        <v>0.15368985730891738</v>
      </c>
      <c r="V63" s="2">
        <f>V8*'Output-Calculation-sheet'!V52/10^9</f>
        <v>0.27276317696235153</v>
      </c>
      <c r="W63" s="2">
        <f>W8*'Output-Calculation-sheet'!W52/10^9</f>
        <v>9.872749097630712E-2</v>
      </c>
      <c r="X63" s="2">
        <f>X8*'Output-Calculation-sheet'!X52/10^9</f>
        <v>0.11238747998125455</v>
      </c>
      <c r="Y63" s="2">
        <f>Y8*'Output-Calculation-sheet'!Y52/10^9</f>
        <v>6.4416941504277958E-2</v>
      </c>
      <c r="AA63" s="2">
        <f t="shared" si="4"/>
        <v>29.144693345553588</v>
      </c>
    </row>
    <row r="64" spans="1:27" x14ac:dyDescent="0.25">
      <c r="A64" s="2">
        <v>2032</v>
      </c>
      <c r="B64" s="2">
        <f>B9*'Output-Calculation-sheet'!B53/10^9</f>
        <v>7.3969448312053379</v>
      </c>
      <c r="C64" s="2">
        <f>C9*'Output-Calculation-sheet'!C53/10^9</f>
        <v>4.7192485272409783</v>
      </c>
      <c r="D64" s="2">
        <f>D9*'Output-Calculation-sheet'!D53/10^9</f>
        <v>2.1890644305813751</v>
      </c>
      <c r="E64" s="2">
        <f>E9*'Output-Calculation-sheet'!E53/10^9</f>
        <v>2.2416982911541825</v>
      </c>
      <c r="F64" s="2">
        <f>F9*'Output-Calculation-sheet'!F53/10^9</f>
        <v>0.94553428260642325</v>
      </c>
      <c r="G64" s="2">
        <f>G9*'Output-Calculation-sheet'!G53/10^9</f>
        <v>0.67300237742452496</v>
      </c>
      <c r="H64" s="2">
        <f>H9*'Output-Calculation-sheet'!H53/10^9</f>
        <v>1.3828243717341731</v>
      </c>
      <c r="I64" s="2">
        <f>I9*'Output-Calculation-sheet'!I53/10^9</f>
        <v>0.62914722983672211</v>
      </c>
      <c r="J64" s="2">
        <f>J9*'Output-Calculation-sheet'!J53/10^9</f>
        <v>0.83286309900347677</v>
      </c>
      <c r="K64" s="2">
        <f>K9*'Output-Calculation-sheet'!K53/10^9</f>
        <v>0.77278364192638005</v>
      </c>
      <c r="L64" s="2">
        <f>L9*'Output-Calculation-sheet'!L53/10^9</f>
        <v>0.99418384554304928</v>
      </c>
      <c r="M64" s="2">
        <f>M9*'Output-Calculation-sheet'!M53/10^9</f>
        <v>1.0837271791564482</v>
      </c>
      <c r="N64" s="2">
        <f>N9*'Output-Calculation-sheet'!N53/10^9</f>
        <v>0.91237666202643242</v>
      </c>
      <c r="O64" s="2">
        <f>O9*'Output-Calculation-sheet'!O53/10^9</f>
        <v>0.95351242323088548</v>
      </c>
      <c r="P64" s="2">
        <f>P9*'Output-Calculation-sheet'!P53/10^9</f>
        <v>0.58919496773670277</v>
      </c>
      <c r="Q64" s="2">
        <f>Q9*'Output-Calculation-sheet'!Q53/10^9</f>
        <v>0.65114916928117583</v>
      </c>
      <c r="R64" s="2">
        <f>R9*'Output-Calculation-sheet'!R53/10^9</f>
        <v>0.55818860811927429</v>
      </c>
      <c r="S64" s="2">
        <f>S9*'Output-Calculation-sheet'!S53/10^9</f>
        <v>0.46118853542787258</v>
      </c>
      <c r="T64" s="2">
        <f>T9*'Output-Calculation-sheet'!T53/10^9</f>
        <v>0.2006534782119008</v>
      </c>
      <c r="U64" s="2">
        <f>U9*'Output-Calculation-sheet'!U53/10^9</f>
        <v>0.15102768951280079</v>
      </c>
      <c r="V64" s="2">
        <f>V9*'Output-Calculation-sheet'!V53/10^9</f>
        <v>0.23816211003301643</v>
      </c>
      <c r="W64" s="2">
        <f>W9*'Output-Calculation-sheet'!W53/10^9</f>
        <v>8.8496594367221418E-2</v>
      </c>
      <c r="X64" s="2">
        <f>X9*'Output-Calculation-sheet'!X53/10^9</f>
        <v>0.11881379291767644</v>
      </c>
      <c r="Y64" s="2">
        <f>Y9*'Output-Calculation-sheet'!Y53/10^9</f>
        <v>6.2003634341126899E-2</v>
      </c>
      <c r="AA64" s="2">
        <f t="shared" si="4"/>
        <v>28.84578977261916</v>
      </c>
    </row>
    <row r="65" spans="1:27" x14ac:dyDescent="0.25">
      <c r="A65" s="2">
        <v>2033</v>
      </c>
      <c r="B65" s="2">
        <f>B10*'Output-Calculation-sheet'!B54/10^9</f>
        <v>7.6921734223275795</v>
      </c>
      <c r="C65" s="2">
        <f>C10*'Output-Calculation-sheet'!C54/10^9</f>
        <v>4.9936305925877669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1.4094929556589433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0.70821156258114015</v>
      </c>
      <c r="L65" s="2">
        <f>L10*'Output-Calculation-sheet'!L54/10^9</f>
        <v>0.83649477770571723</v>
      </c>
      <c r="M65" s="2">
        <f>M10*'Output-Calculation-sheet'!M54/10^9</f>
        <v>1.0642412123927363</v>
      </c>
      <c r="N65" s="2">
        <f>N10*'Output-Calculation-sheet'!N54/10^9</f>
        <v>0.91898184609861799</v>
      </c>
      <c r="O65" s="2">
        <f>O10*'Output-Calculation-sheet'!O54/10^9</f>
        <v>0.99819724331099646</v>
      </c>
      <c r="P65" s="2">
        <f>P10*'Output-Calculation-sheet'!P54/10^9</f>
        <v>0.59919246247630797</v>
      </c>
      <c r="Q65" s="2">
        <f>Q10*'Output-Calculation-sheet'!Q54/10^9</f>
        <v>0.65389995291035841</v>
      </c>
      <c r="R65" s="2">
        <f>R10*'Output-Calculation-sheet'!R54/10^9</f>
        <v>0.52752063484775735</v>
      </c>
      <c r="S65" s="2">
        <f>S10*'Output-Calculation-sheet'!S54/10^9</f>
        <v>0.47916470980048947</v>
      </c>
      <c r="T65" s="2">
        <f>T10*'Output-Calculation-sheet'!T54/10^9</f>
        <v>0.17637326346647192</v>
      </c>
      <c r="U65" s="2">
        <f>U10*'Output-Calculation-sheet'!U54/10^9</f>
        <v>0.15229416195633511</v>
      </c>
      <c r="V65" s="2">
        <f>V10*'Output-Calculation-sheet'!V54/10^9</f>
        <v>0.19519106591507743</v>
      </c>
      <c r="W65" s="2">
        <f>W10*'Output-Calculation-sheet'!W54/10^9</f>
        <v>7.4313727768749116E-2</v>
      </c>
      <c r="X65" s="2">
        <f>X10*'Output-Calculation-sheet'!X54/10^9</f>
        <v>0.1215136663016462</v>
      </c>
      <c r="Y65" s="2">
        <f>Y10*'Output-Calculation-sheet'!Y54/10^9</f>
        <v>6.1169700286162754E-2</v>
      </c>
      <c r="AA65" s="2">
        <f t="shared" si="4"/>
        <v>28.1455603391992</v>
      </c>
    </row>
    <row r="66" spans="1:27" x14ac:dyDescent="0.25">
      <c r="A66" s="2">
        <v>2034</v>
      </c>
      <c r="B66" s="2">
        <f>B11*'Output-Calculation-sheet'!B55/10^9</f>
        <v>8.043860043097613</v>
      </c>
      <c r="C66" s="2">
        <f>C11*'Output-Calculation-sheet'!C55/10^9</f>
        <v>5.1677983986760312</v>
      </c>
      <c r="D66" s="2">
        <f>D11*'Output-Calculation-sheet'!D55/10^9</f>
        <v>1.6830170514928176</v>
      </c>
      <c r="E66" s="2">
        <f>E11*'Output-Calculation-sheet'!E55/10^9</f>
        <v>2.0380109299184253</v>
      </c>
      <c r="F66" s="2">
        <f>F11*'Output-Calculation-sheet'!F55/10^9</f>
        <v>0.78324068566273519</v>
      </c>
      <c r="G66" s="2">
        <f>G11*'Output-Calculation-sheet'!G55/10^9</f>
        <v>0.55987963895704651</v>
      </c>
      <c r="H66" s="2">
        <f>H11*'Output-Calculation-sheet'!H55/10^9</f>
        <v>1.4304106483742867</v>
      </c>
      <c r="I66" s="2">
        <f>I11*'Output-Calculation-sheet'!I55/10^9</f>
        <v>0.547471731266719</v>
      </c>
      <c r="J66" s="2">
        <f>J11*'Output-Calculation-sheet'!J55/10^9</f>
        <v>0.56296861286902322</v>
      </c>
      <c r="K66" s="2">
        <f>K11*'Output-Calculation-sheet'!K55/10^9</f>
        <v>0.67335561514603803</v>
      </c>
      <c r="L66" s="2">
        <f>L11*'Output-Calculation-sheet'!L55/10^9</f>
        <v>0.71313009010698825</v>
      </c>
      <c r="M66" s="2">
        <f>M11*'Output-Calculation-sheet'!M55/10^9</f>
        <v>1.0369224674798911</v>
      </c>
      <c r="N66" s="2">
        <f>N11*'Output-Calculation-sheet'!N55/10^9</f>
        <v>0.90598949365938941</v>
      </c>
      <c r="O66" s="2">
        <f>O11*'Output-Calculation-sheet'!O55/10^9</f>
        <v>1.0196364670762821</v>
      </c>
      <c r="P66" s="2">
        <f>P11*'Output-Calculation-sheet'!P55/10^9</f>
        <v>0.62283357778717052</v>
      </c>
      <c r="Q66" s="2">
        <f>Q11*'Output-Calculation-sheet'!Q55/10^9</f>
        <v>0.67767664455619503</v>
      </c>
      <c r="R66" s="2">
        <f>R11*'Output-Calculation-sheet'!R55/10^9</f>
        <v>0.50445434798789401</v>
      </c>
      <c r="S66" s="2">
        <f>S11*'Output-Calculation-sheet'!S55/10^9</f>
        <v>0.49594654740826716</v>
      </c>
      <c r="T66" s="2">
        <f>T11*'Output-Calculation-sheet'!T55/10^9</f>
        <v>0.15810721367137359</v>
      </c>
      <c r="U66" s="2">
        <f>U11*'Output-Calculation-sheet'!U55/10^9</f>
        <v>0.1605775650292337</v>
      </c>
      <c r="V66" s="2">
        <f>V11*'Output-Calculation-sheet'!V55/10^9</f>
        <v>0.14998699738267957</v>
      </c>
      <c r="W66" s="2">
        <f>W11*'Output-Calculation-sheet'!W55/10^9</f>
        <v>6.7913808299734729E-2</v>
      </c>
      <c r="X66" s="2">
        <f>X11*'Output-Calculation-sheet'!X55/10^9</f>
        <v>0.12119110575324274</v>
      </c>
      <c r="Y66" s="2">
        <f>Y11*'Output-Calculation-sheet'!Y55/10^9</f>
        <v>6.6641772852030948E-2</v>
      </c>
      <c r="AA66" s="2">
        <f t="shared" si="4"/>
        <v>28.191021454511116</v>
      </c>
    </row>
    <row r="67" spans="1:27" x14ac:dyDescent="0.25">
      <c r="A67" s="2">
        <v>2035</v>
      </c>
      <c r="B67" s="2">
        <f>B12*'Output-Calculation-sheet'!B56/10^9</f>
        <v>8.3372857846928792</v>
      </c>
      <c r="C67" s="2">
        <f>C12*'Output-Calculation-sheet'!C56/10^9</f>
        <v>5.2362436824728</v>
      </c>
      <c r="D67" s="2">
        <f>D12*'Output-Calculation-sheet'!D56/10^9</f>
        <v>1.7346916447195488</v>
      </c>
      <c r="E67" s="2">
        <f>E12*'Output-Calculation-sheet'!E56/10^9</f>
        <v>2.355150064928683</v>
      </c>
      <c r="F67" s="2">
        <f>F12*'Output-Calculation-sheet'!F56/10^9</f>
        <v>0.86022745444144866</v>
      </c>
      <c r="G67" s="2">
        <f>G12*'Output-Calculation-sheet'!G56/10^9</f>
        <v>0.60259774633447216</v>
      </c>
      <c r="H67" s="2">
        <f>H12*'Output-Calculation-sheet'!H56/10^9</f>
        <v>1.4556392288493853</v>
      </c>
      <c r="I67" s="2">
        <f>I12*'Output-Calculation-sheet'!I56/10^9</f>
        <v>0.58537216223101762</v>
      </c>
      <c r="J67" s="2">
        <f>J12*'Output-Calculation-sheet'!J56/10^9</f>
        <v>0.57950916267520913</v>
      </c>
      <c r="K67" s="2">
        <f>K12*'Output-Calculation-sheet'!K56/10^9</f>
        <v>0.69831480932055967</v>
      </c>
      <c r="L67" s="2">
        <f>L12*'Output-Calculation-sheet'!L56/10^9</f>
        <v>0.70150983998890426</v>
      </c>
      <c r="M67" s="2">
        <f>M12*'Output-Calculation-sheet'!M56/10^9</f>
        <v>1.0648194564212892</v>
      </c>
      <c r="N67" s="2">
        <f>N12*'Output-Calculation-sheet'!N56/10^9</f>
        <v>0.91458898756957507</v>
      </c>
      <c r="O67" s="2">
        <f>O12*'Output-Calculation-sheet'!O56/10^9</f>
        <v>1.0259600618612938</v>
      </c>
      <c r="P67" s="2">
        <f>P12*'Output-Calculation-sheet'!P56/10^9</f>
        <v>0.67636688920678822</v>
      </c>
      <c r="Q67" s="2">
        <f>Q12*'Output-Calculation-sheet'!Q56/10^9</f>
        <v>0.69617836726207838</v>
      </c>
      <c r="R67" s="2">
        <f>R12*'Output-Calculation-sheet'!R56/10^9</f>
        <v>0.52971646986424337</v>
      </c>
      <c r="S67" s="2">
        <f>S12*'Output-Calculation-sheet'!S56/10^9</f>
        <v>0.50476059449872601</v>
      </c>
      <c r="T67" s="2">
        <f>T12*'Output-Calculation-sheet'!T56/10^9</f>
        <v>0.16052571009005762</v>
      </c>
      <c r="U67" s="2">
        <f>U12*'Output-Calculation-sheet'!U56/10^9</f>
        <v>0.16785936062083165</v>
      </c>
      <c r="V67" s="2">
        <f>V12*'Output-Calculation-sheet'!V56/10^9</f>
        <v>0.12876324338972236</v>
      </c>
      <c r="W67" s="2">
        <f>W12*'Output-Calculation-sheet'!W56/10^9</f>
        <v>7.7743182668624816E-2</v>
      </c>
      <c r="X67" s="2">
        <f>X12*'Output-Calculation-sheet'!X56/10^9</f>
        <v>0.1230717210508457</v>
      </c>
      <c r="Y67" s="2">
        <f>Y12*'Output-Calculation-sheet'!Y56/10^9</f>
        <v>7.5126601477780788E-2</v>
      </c>
      <c r="AA67" s="2">
        <f t="shared" si="4"/>
        <v>29.292022226636767</v>
      </c>
    </row>
    <row r="68" spans="1:27" x14ac:dyDescent="0.25">
      <c r="B68" s="2">
        <f>SUM(B60:B67)</f>
        <v>38.651190269695512</v>
      </c>
      <c r="C68" s="2">
        <f t="shared" ref="C68:Y68" si="5">SUM(C60:C67)</f>
        <v>24.460414574393123</v>
      </c>
      <c r="D68" s="2">
        <f t="shared" si="5"/>
        <v>9.8864603844143009</v>
      </c>
      <c r="E68" s="2">
        <f t="shared" si="5"/>
        <v>11.129367561356439</v>
      </c>
      <c r="F68" s="2">
        <f t="shared" si="5"/>
        <v>4.456583335680163</v>
      </c>
      <c r="G68" s="2">
        <f t="shared" si="5"/>
        <v>3.1513017041397053</v>
      </c>
      <c r="H68" s="2">
        <f t="shared" si="5"/>
        <v>6.9804872832115326</v>
      </c>
      <c r="I68" s="2">
        <f t="shared" si="5"/>
        <v>3.0108183137426772</v>
      </c>
      <c r="J68" s="2">
        <f t="shared" si="5"/>
        <v>3.5933767298386265</v>
      </c>
      <c r="K68" s="2">
        <f t="shared" si="5"/>
        <v>3.6910641389991938</v>
      </c>
      <c r="L68" s="2">
        <f t="shared" si="5"/>
        <v>4.3730048882010912</v>
      </c>
      <c r="M68" s="2">
        <f t="shared" si="5"/>
        <v>5.306654642450094</v>
      </c>
      <c r="N68" s="2">
        <f t="shared" si="5"/>
        <v>4.5340976662067805</v>
      </c>
      <c r="O68" s="2">
        <f t="shared" si="5"/>
        <v>4.8838392946313416</v>
      </c>
      <c r="P68" s="2">
        <f t="shared" si="5"/>
        <v>3.0668986518389652</v>
      </c>
      <c r="Q68" s="2">
        <f t="shared" si="5"/>
        <v>3.3345141436084917</v>
      </c>
      <c r="R68" s="2">
        <f t="shared" si="5"/>
        <v>2.7084877106830261</v>
      </c>
      <c r="S68" s="2">
        <f t="shared" si="5"/>
        <v>2.3772395110891287</v>
      </c>
      <c r="T68" s="2">
        <f t="shared" si="5"/>
        <v>0.91943988568197832</v>
      </c>
      <c r="U68" s="2">
        <f t="shared" si="5"/>
        <v>0.78544863442811863</v>
      </c>
      <c r="V68" s="2">
        <f t="shared" si="5"/>
        <v>0.98486659368284735</v>
      </c>
      <c r="W68" s="2">
        <f t="shared" si="5"/>
        <v>0.40719480408063713</v>
      </c>
      <c r="X68" s="2">
        <f t="shared" si="5"/>
        <v>0.59697776600466568</v>
      </c>
      <c r="Y68" s="2">
        <f t="shared" si="5"/>
        <v>0.32935865046137935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781.31024922733127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1424.8761016117903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960.88979323314493</v>
      </c>
      <c r="N74" s="2">
        <f>N8/'Output-Calculation-sheet'!N7*'Output-Calculation-sheet'!N61</f>
        <v>43.152601200668748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8.5267079465251889</v>
      </c>
      <c r="Y74" s="2">
        <f>Y8/'Output-Calculation-sheet'!Y7*'Output-Calculation-sheet'!Y61</f>
        <v>0</v>
      </c>
      <c r="AA74" s="2">
        <f t="shared" si="6"/>
        <v>3.2187554532194604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135.96375945558063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2448.0795771919557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1659.4934277995339</v>
      </c>
      <c r="N75" s="2">
        <f>N9/'Output-Calculation-sheet'!N8*'Output-Calculation-sheet'!N62</f>
        <v>639.55678618890113</v>
      </c>
      <c r="O75" s="2">
        <f>O9/'Output-Calculation-sheet'!O8*'Output-Calculation-sheet'!O62</f>
        <v>47.495428033089063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214.54466686274401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58.568570151848114</v>
      </c>
      <c r="Y75" s="2">
        <f>Y9/'Output-Calculation-sheet'!Y8*'Output-Calculation-sheet'!Y62</f>
        <v>0</v>
      </c>
      <c r="AA75" s="2">
        <f t="shared" si="6"/>
        <v>5.2543246168188276</v>
      </c>
    </row>
    <row r="76" spans="1:27" x14ac:dyDescent="0.25">
      <c r="A76" s="2">
        <v>2033</v>
      </c>
      <c r="B76" s="2">
        <f>B10/'Output-Calculation-sheet'!B9*'Output-Calculation-sheet'!B63</f>
        <v>5359.746843350058</v>
      </c>
      <c r="C76" s="2">
        <f>C10/'Output-Calculation-sheet'!C9*'Output-Calculation-sheet'!C63</f>
        <v>1104.7560466978227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3514.5061006573646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2387.7055385778467</v>
      </c>
      <c r="N76" s="2">
        <f>N10/'Output-Calculation-sheet'!N9*'Output-Calculation-sheet'!N63</f>
        <v>1365.5925922571157</v>
      </c>
      <c r="O76" s="2">
        <f>O10/'Output-Calculation-sheet'!O9*'Output-Calculation-sheet'!O63</f>
        <v>226.60384167797244</v>
      </c>
      <c r="P76" s="2">
        <f>P10/'Output-Calculation-sheet'!P9*'Output-Calculation-sheet'!P63</f>
        <v>471.56636076461803</v>
      </c>
      <c r="Q76" s="2">
        <f>Q10/'Output-Calculation-sheet'!Q9*'Output-Calculation-sheet'!Q63</f>
        <v>213.12472726648309</v>
      </c>
      <c r="R76" s="2">
        <f>R10/'Output-Calculation-sheet'!R9*'Output-Calculation-sheet'!R63</f>
        <v>358.85437139135661</v>
      </c>
      <c r="S76" s="2">
        <f>S10/'Output-Calculation-sheet'!S9*'Output-Calculation-sheet'!S63</f>
        <v>608.86415284326051</v>
      </c>
      <c r="T76" s="2">
        <f>T10/'Output-Calculation-sheet'!T9*'Output-Calculation-sheet'!T63</f>
        <v>23.583331622945742</v>
      </c>
      <c r="U76" s="2">
        <f>U10/'Output-Calculation-sheet'!U9*'Output-Calculation-sheet'!U63</f>
        <v>127.49064233743026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137.09269676795603</v>
      </c>
      <c r="Y76" s="2">
        <f>Y10/'Output-Calculation-sheet'!Y9*'Output-Calculation-sheet'!Y63</f>
        <v>6.0471906162651159</v>
      </c>
      <c r="AA76" s="2">
        <f t="shared" si="6"/>
        <v>16.004531104730852</v>
      </c>
    </row>
    <row r="77" spans="1:27" x14ac:dyDescent="0.25">
      <c r="A77" s="2">
        <v>2034</v>
      </c>
      <c r="B77" s="2">
        <f>B11/'Output-Calculation-sheet'!B10*'Output-Calculation-sheet'!B64</f>
        <v>12773.568495685877</v>
      </c>
      <c r="C77" s="2">
        <f>C11/'Output-Calculation-sheet'!C10*'Output-Calculation-sheet'!C64</f>
        <v>1918.3642574925721</v>
      </c>
      <c r="D77" s="2">
        <f>D11/'Output-Calculation-sheet'!D10*'Output-Calculation-sheet'!D64</f>
        <v>1641.2243819649404</v>
      </c>
      <c r="E77" s="2">
        <f>E11/'Output-Calculation-sheet'!E10*'Output-Calculation-sheet'!E64</f>
        <v>2023.8331375879504</v>
      </c>
      <c r="F77" s="2">
        <f>F11/'Output-Calculation-sheet'!F10*'Output-Calculation-sheet'!F64</f>
        <v>130.31888749219561</v>
      </c>
      <c r="G77" s="2">
        <f>G11/'Output-Calculation-sheet'!G10*'Output-Calculation-sheet'!G64</f>
        <v>817.6846402567279</v>
      </c>
      <c r="H77" s="2">
        <f>H11/'Output-Calculation-sheet'!H10*'Output-Calculation-sheet'!H64</f>
        <v>4357.5098793407915</v>
      </c>
      <c r="I77" s="2">
        <f>I11/'Output-Calculation-sheet'!I10*'Output-Calculation-sheet'!I64</f>
        <v>508.44975210777801</v>
      </c>
      <c r="J77" s="2">
        <f>J11/'Output-Calculation-sheet'!J10*'Output-Calculation-sheet'!J64</f>
        <v>356.78083416336915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325.60156243432567</v>
      </c>
      <c r="M77" s="2">
        <f>M11/'Output-Calculation-sheet'!M10*'Output-Calculation-sheet'!M64</f>
        <v>3088.6663809306042</v>
      </c>
      <c r="N77" s="2">
        <f>N11/'Output-Calculation-sheet'!N10*'Output-Calculation-sheet'!N64</f>
        <v>2167.1485455556444</v>
      </c>
      <c r="O77" s="2">
        <f>O11/'Output-Calculation-sheet'!O10*'Output-Calculation-sheet'!O64</f>
        <v>103.51465406846668</v>
      </c>
      <c r="P77" s="2">
        <f>P11/'Output-Calculation-sheet'!P10*'Output-Calculation-sheet'!P64</f>
        <v>951.85497078380718</v>
      </c>
      <c r="Q77" s="2">
        <f>Q11/'Output-Calculation-sheet'!Q10*'Output-Calculation-sheet'!Q64</f>
        <v>678.75822511826823</v>
      </c>
      <c r="R77" s="2">
        <f>R11/'Output-Calculation-sheet'!R10*'Output-Calculation-sheet'!R64</f>
        <v>820.8420546941727</v>
      </c>
      <c r="S77" s="2">
        <f>S11/'Output-Calculation-sheet'!S10*'Output-Calculation-sheet'!S64</f>
        <v>1016.6371404261756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241.44740219156864</v>
      </c>
      <c r="V77" s="2">
        <f>V11/'Output-Calculation-sheet'!V10*'Output-Calculation-sheet'!V64</f>
        <v>117.16420457508461</v>
      </c>
      <c r="W77" s="2">
        <f>W11/'Output-Calculation-sheet'!W10*'Output-Calculation-sheet'!W64</f>
        <v>25.715704000273647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75.070598222574233</v>
      </c>
      <c r="AA77" s="2">
        <f t="shared" si="6"/>
        <v>35.269579489496827</v>
      </c>
    </row>
    <row r="78" spans="1:27" x14ac:dyDescent="0.25">
      <c r="A78" s="2">
        <v>2035</v>
      </c>
      <c r="B78" s="2">
        <f>B12/'Output-Calculation-sheet'!B11*'Output-Calculation-sheet'!B65</f>
        <v>13691.063163644529</v>
      </c>
      <c r="C78" s="2">
        <f>C12/'Output-Calculation-sheet'!C11*'Output-Calculation-sheet'!C65</f>
        <v>4499.2235495432906</v>
      </c>
      <c r="D78" s="2">
        <f>D12/'Output-Calculation-sheet'!D11*'Output-Calculation-sheet'!D65</f>
        <v>1838.5011744982658</v>
      </c>
      <c r="E78" s="2">
        <f>E12/'Output-Calculation-sheet'!E11*'Output-Calculation-sheet'!E65</f>
        <v>3199.402813066722</v>
      </c>
      <c r="F78" s="2">
        <f>F12/'Output-Calculation-sheet'!F11*'Output-Calculation-sheet'!F65</f>
        <v>413.12561421997231</v>
      </c>
      <c r="G78" s="2">
        <f>G12/'Output-Calculation-sheet'!G11*'Output-Calculation-sheet'!G65</f>
        <v>805.46652675568623</v>
      </c>
      <c r="H78" s="2">
        <f>H12/'Output-Calculation-sheet'!H11*'Output-Calculation-sheet'!H65</f>
        <v>4358.105086200283</v>
      </c>
      <c r="I78" s="2">
        <f>I12/'Output-Calculation-sheet'!I11*'Output-Calculation-sheet'!I65</f>
        <v>535.52199261345413</v>
      </c>
      <c r="J78" s="2">
        <f>J12/'Output-Calculation-sheet'!J11*'Output-Calculation-sheet'!J65</f>
        <v>780.05080699863504</v>
      </c>
      <c r="K78" s="2">
        <f>K12/'Output-Calculation-sheet'!K11*'Output-Calculation-sheet'!K65</f>
        <v>959.1649555673672</v>
      </c>
      <c r="L78" s="2">
        <f>L12/'Output-Calculation-sheet'!L11*'Output-Calculation-sheet'!L65</f>
        <v>819.34145371549721</v>
      </c>
      <c r="M78" s="2">
        <f>M12/'Output-Calculation-sheet'!M11*'Output-Calculation-sheet'!M65</f>
        <v>3182.4187712651978</v>
      </c>
      <c r="N78" s="2">
        <f>N12/'Output-Calculation-sheet'!N11*'Output-Calculation-sheet'!N65</f>
        <v>2292.627373088947</v>
      </c>
      <c r="O78" s="2">
        <f>O12/'Output-Calculation-sheet'!O11*'Output-Calculation-sheet'!O65</f>
        <v>10.743757941603503</v>
      </c>
      <c r="P78" s="2">
        <f>P12/'Output-Calculation-sheet'!P11*'Output-Calculation-sheet'!P65</f>
        <v>1107.044430834758</v>
      </c>
      <c r="Q78" s="2">
        <f>Q12/'Output-Calculation-sheet'!Q11*'Output-Calculation-sheet'!Q65</f>
        <v>745.0225699065245</v>
      </c>
      <c r="R78" s="2">
        <f>R12/'Output-Calculation-sheet'!R11*'Output-Calculation-sheet'!R65</f>
        <v>1031.2136160968985</v>
      </c>
      <c r="S78" s="2">
        <f>S12/'Output-Calculation-sheet'!S11*'Output-Calculation-sheet'!S65</f>
        <v>1083.6966839290144</v>
      </c>
      <c r="T78" s="2">
        <f>T12/'Output-Calculation-sheet'!T11*'Output-Calculation-sheet'!T65</f>
        <v>355.75494513043111</v>
      </c>
      <c r="U78" s="2">
        <f>U12/'Output-Calculation-sheet'!U11*'Output-Calculation-sheet'!U65</f>
        <v>243.40050427457854</v>
      </c>
      <c r="V78" s="2">
        <f>V12/'Output-Calculation-sheet'!V11*'Output-Calculation-sheet'!V65</f>
        <v>200.64916994005674</v>
      </c>
      <c r="W78" s="2">
        <f>W12/'Output-Calculation-sheet'!W11*'Output-Calculation-sheet'!W65</f>
        <v>94.879831865325784</v>
      </c>
      <c r="X78" s="2">
        <f>X12/'Output-Calculation-sheet'!X11*'Output-Calculation-sheet'!X65</f>
        <v>26.155817096336857</v>
      </c>
      <c r="Y78" s="2">
        <f>Y12/'Output-Calculation-sheet'!Y11*'Output-Calculation-sheet'!Y65</f>
        <v>88.790580541964971</v>
      </c>
      <c r="AA78" s="2">
        <f t="shared" si="6"/>
        <v>42.361365188735334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21.375763603053816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1.611938147599943</v>
      </c>
      <c r="H88" s="2">
        <f>H11/'Output-Calculation-sheet'!H10*'Output-Calculation-sheet'!H73</f>
        <v>10.930775372989549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4.6263093241973881</v>
      </c>
      <c r="R88" s="2">
        <f>R11/'Output-Calculation-sheet'!R10*'Output-Calculation-sheet'!R73</f>
        <v>0</v>
      </c>
      <c r="S88" s="2">
        <f>S11/'Output-Calculation-sheet'!S10*'Output-Calculation-sheet'!S73</f>
        <v>2.4214582534653872</v>
      </c>
      <c r="T88" s="2">
        <f>T11/'Output-Calculation-sheet'!T10*'Output-Calculation-sheet'!T73</f>
        <v>0</v>
      </c>
      <c r="U88" s="2">
        <f>U11/'Output-Calculation-sheet'!U10*'Output-Calculation-sheet'!U73</f>
        <v>1.4760708411069743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4.2442315542413053E-2</v>
      </c>
    </row>
    <row r="89" spans="1:27" x14ac:dyDescent="0.25">
      <c r="A89" s="2">
        <v>2035</v>
      </c>
      <c r="B89" s="2">
        <f>B12/'Output-Calculation-sheet'!B11*'Output-Calculation-sheet'!B74</f>
        <v>298.65716659373004</v>
      </c>
      <c r="C89" s="2">
        <f>C12/'Output-Calculation-sheet'!C11*'Output-Calculation-sheet'!C74</f>
        <v>161.99954720669677</v>
      </c>
      <c r="D89" s="2">
        <f>D12/'Output-Calculation-sheet'!D11*'Output-Calculation-sheet'!D74</f>
        <v>26.906929662949139</v>
      </c>
      <c r="E89" s="2">
        <f>E12/'Output-Calculation-sheet'!E11*'Output-Calculation-sheet'!E74</f>
        <v>89.099404845983031</v>
      </c>
      <c r="F89" s="2">
        <f>F12/'Output-Calculation-sheet'!F11*'Output-Calculation-sheet'!F74</f>
        <v>26.897950011066627</v>
      </c>
      <c r="G89" s="2">
        <f>G12/'Output-Calculation-sheet'!G11*'Output-Calculation-sheet'!G74</f>
        <v>19.304247912051249</v>
      </c>
      <c r="H89" s="2">
        <f>H12/'Output-Calculation-sheet'!H11*'Output-Calculation-sheet'!H74</f>
        <v>67.01077677211191</v>
      </c>
      <c r="I89" s="2">
        <f>I12/'Output-Calculation-sheet'!I11*'Output-Calculation-sheet'!I74</f>
        <v>17.362978094153544</v>
      </c>
      <c r="J89" s="2">
        <f>J12/'Output-Calculation-sheet'!J11*'Output-Calculation-sheet'!J74</f>
        <v>8.5917983812340371</v>
      </c>
      <c r="K89" s="2">
        <f>K12/'Output-Calculation-sheet'!K11*'Output-Calculation-sheet'!K74</f>
        <v>12.798782760726169</v>
      </c>
      <c r="L89" s="2">
        <f>L12/'Output-Calculation-sheet'!L11*'Output-Calculation-sheet'!L74</f>
        <v>6.7846685706972902</v>
      </c>
      <c r="M89" s="2">
        <f>M12/'Output-Calculation-sheet'!M11*'Output-Calculation-sheet'!M74</f>
        <v>35.386694974639781</v>
      </c>
      <c r="N89" s="2">
        <f>N12/'Output-Calculation-sheet'!N11*'Output-Calculation-sheet'!N74</f>
        <v>17.916651500787971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24.340939571694889</v>
      </c>
      <c r="Q89" s="2">
        <f>Q12/'Output-Calculation-sheet'!Q11*'Output-Calculation-sheet'!Q74</f>
        <v>20.314709235716045</v>
      </c>
      <c r="R89" s="2">
        <f>R12/'Output-Calculation-sheet'!R11*'Output-Calculation-sheet'!R74</f>
        <v>10.988652555551512</v>
      </c>
      <c r="S89" s="2">
        <f>S12/'Output-Calculation-sheet'!S11*'Output-Calculation-sheet'!S74</f>
        <v>15.707736587714486</v>
      </c>
      <c r="T89" s="2">
        <f>T12/'Output-Calculation-sheet'!T11*'Output-Calculation-sheet'!T74</f>
        <v>2.0326937467634831</v>
      </c>
      <c r="U89" s="2">
        <f>U12/'Output-Calculation-sheet'!U11*'Output-Calculation-sheet'!U74</f>
        <v>5.892376101176743</v>
      </c>
      <c r="V89" s="2">
        <f>V12/'Output-Calculation-sheet'!V11*'Output-Calculation-sheet'!V74</f>
        <v>0.45435367258107856</v>
      </c>
      <c r="W89" s="2">
        <f>W12/'Output-Calculation-sheet'!W11*'Output-Calculation-sheet'!W74</f>
        <v>2.7540744461333189</v>
      </c>
      <c r="X89" s="2">
        <f>X12/'Output-Calculation-sheet'!X11*'Output-Calculation-sheet'!X74</f>
        <v>0.35290854882732048</v>
      </c>
      <c r="Y89" s="2">
        <f>Y12/'Output-Calculation-sheet'!Y11*'Output-Calculation-sheet'!Y74</f>
        <v>3.7461985014189656</v>
      </c>
      <c r="AA89" s="2">
        <f t="shared" si="7"/>
        <v>0.87628574061522613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8197253685.6146374</v>
      </c>
      <c r="C96" s="2">
        <f>C8/'Output-Calculation-sheet'!C7*'Output-Calculation-sheet'!C79</f>
        <v>1979502679.3694053</v>
      </c>
      <c r="D96" s="2">
        <f>D8/'Output-Calculation-sheet'!D7*'Output-Calculation-sheet'!D79</f>
        <v>1607053727.6742177</v>
      </c>
      <c r="E96" s="2">
        <f>E8/'Output-Calculation-sheet'!E7*'Output-Calculation-sheet'!E79</f>
        <v>6021054206.9204912</v>
      </c>
      <c r="F96" s="2">
        <f>F8/'Output-Calculation-sheet'!F7*'Output-Calculation-sheet'!F79</f>
        <v>1756433021.592478</v>
      </c>
      <c r="G96" s="2">
        <f>G8/'Output-Calculation-sheet'!G7*'Output-Calculation-sheet'!G79</f>
        <v>1127379654.1593385</v>
      </c>
      <c r="H96" s="2">
        <f>H8/'Output-Calculation-sheet'!H7*'Output-Calculation-sheet'!H79</f>
        <v>1388894361.3137825</v>
      </c>
      <c r="I96" s="2">
        <f>I8/'Output-Calculation-sheet'!I7*'Output-Calculation-sheet'!I79</f>
        <v>810693729.92513561</v>
      </c>
      <c r="J96" s="2">
        <f>J8/'Output-Calculation-sheet'!J7*'Output-Calculation-sheet'!J79</f>
        <v>614345194.16880739</v>
      </c>
      <c r="K96" s="2">
        <f>K8/'Output-Calculation-sheet'!K7*'Output-Calculation-sheet'!K79</f>
        <v>770469495.72041023</v>
      </c>
      <c r="L96" s="2">
        <f>L8/'Output-Calculation-sheet'!L7*'Output-Calculation-sheet'!L79</f>
        <v>699454892.6043694</v>
      </c>
      <c r="M96" s="2">
        <f>M8/'Output-Calculation-sheet'!M7*'Output-Calculation-sheet'!M79</f>
        <v>1071663542.4523164</v>
      </c>
      <c r="N96" s="2">
        <f>N8/'Output-Calculation-sheet'!N7*'Output-Calculation-sheet'!N79</f>
        <v>696652778.24660325</v>
      </c>
      <c r="O96" s="2">
        <f>O8/'Output-Calculation-sheet'!O7*'Output-Calculation-sheet'!O79</f>
        <v>261398769.96094316</v>
      </c>
      <c r="P96" s="2">
        <f>P8/'Output-Calculation-sheet'!P7*'Output-Calculation-sheet'!P79</f>
        <v>1326788141.953562</v>
      </c>
      <c r="Q96" s="2">
        <f>Q8/'Output-Calculation-sheet'!Q7*'Output-Calculation-sheet'!Q79</f>
        <v>563310890.90160525</v>
      </c>
      <c r="R96" s="2">
        <f>R8/'Output-Calculation-sheet'!R7*'Output-Calculation-sheet'!R79</f>
        <v>747672817.56718934</v>
      </c>
      <c r="S96" s="2">
        <f>S8/'Output-Calculation-sheet'!S7*'Output-Calculation-sheet'!S79</f>
        <v>421657145.46537548</v>
      </c>
      <c r="T96" s="2">
        <f>T8/'Output-Calculation-sheet'!T7*'Output-Calculation-sheet'!T79</f>
        <v>254376916.90962172</v>
      </c>
      <c r="U96" s="2">
        <f>U8/'Output-Calculation-sheet'!U7*'Output-Calculation-sheet'!U79</f>
        <v>200226541.9322364</v>
      </c>
      <c r="V96" s="2">
        <f>V8/'Output-Calculation-sheet'!V7*'Output-Calculation-sheet'!V79</f>
        <v>91897011.282498196</v>
      </c>
      <c r="W96" s="2">
        <f>W8/'Output-Calculation-sheet'!W7*'Output-Calculation-sheet'!W79</f>
        <v>282942591.39131021</v>
      </c>
      <c r="X96" s="2">
        <f>X8/'Output-Calculation-sheet'!X7*'Output-Calculation-sheet'!X79</f>
        <v>127612680.70483728</v>
      </c>
      <c r="Y96" s="2">
        <f>Y8/'Output-Calculation-sheet'!Y7*'Output-Calculation-sheet'!Y79</f>
        <v>175618526.20257103</v>
      </c>
      <c r="AA96" s="2">
        <f t="shared" si="8"/>
        <v>31.194353004033744</v>
      </c>
    </row>
    <row r="97" spans="1:27" x14ac:dyDescent="0.25">
      <c r="A97" s="2">
        <v>2032</v>
      </c>
      <c r="B97" s="2">
        <f>B9/'Output-Calculation-sheet'!B8*'Output-Calculation-sheet'!B80</f>
        <v>10143295926.752563</v>
      </c>
      <c r="C97" s="2">
        <f>C9/'Output-Calculation-sheet'!C8*'Output-Calculation-sheet'!C80</f>
        <v>2395667070.0223823</v>
      </c>
      <c r="D97" s="2">
        <f>D9/'Output-Calculation-sheet'!D8*'Output-Calculation-sheet'!D80</f>
        <v>1830021483.7326052</v>
      </c>
      <c r="E97" s="2">
        <f>E9/'Output-Calculation-sheet'!E8*'Output-Calculation-sheet'!E80</f>
        <v>7704130653.8686266</v>
      </c>
      <c r="F97" s="2">
        <f>F9/'Output-Calculation-sheet'!F8*'Output-Calculation-sheet'!F80</f>
        <v>2112737061.4007702</v>
      </c>
      <c r="G97" s="2">
        <f>G9/'Output-Calculation-sheet'!G8*'Output-Calculation-sheet'!G80</f>
        <v>1294572676.459538</v>
      </c>
      <c r="H97" s="2">
        <f>H9/'Output-Calculation-sheet'!H8*'Output-Calculation-sheet'!H80</f>
        <v>1695060172.7218745</v>
      </c>
      <c r="I97" s="2">
        <f>I9/'Output-Calculation-sheet'!I8*'Output-Calculation-sheet'!I80</f>
        <v>976351008.02363932</v>
      </c>
      <c r="J97" s="2">
        <f>J9/'Output-Calculation-sheet'!J8*'Output-Calculation-sheet'!J80</f>
        <v>729603396.47540498</v>
      </c>
      <c r="K97" s="2">
        <f>K9/'Output-Calculation-sheet'!K8*'Output-Calculation-sheet'!K80</f>
        <v>899848759.27995336</v>
      </c>
      <c r="L97" s="2">
        <f>L9/'Output-Calculation-sheet'!L8*'Output-Calculation-sheet'!L80</f>
        <v>867966585.57254982</v>
      </c>
      <c r="M97" s="2">
        <f>M9/'Output-Calculation-sheet'!M8*'Output-Calculation-sheet'!M80</f>
        <v>1337287657.5520475</v>
      </c>
      <c r="N97" s="2">
        <f>N9/'Output-Calculation-sheet'!N8*'Output-Calculation-sheet'!N80</f>
        <v>840224500.52328598</v>
      </c>
      <c r="O97" s="2">
        <f>O9/'Output-Calculation-sheet'!O8*'Output-Calculation-sheet'!O80</f>
        <v>312326122.09434575</v>
      </c>
      <c r="P97" s="2">
        <f>P9/'Output-Calculation-sheet'!P8*'Output-Calculation-sheet'!P80</f>
        <v>1575217817.160527</v>
      </c>
      <c r="Q97" s="2">
        <f>Q9/'Output-Calculation-sheet'!Q8*'Output-Calculation-sheet'!Q80</f>
        <v>681336344.55480099</v>
      </c>
      <c r="R97" s="2">
        <f>R9/'Output-Calculation-sheet'!R8*'Output-Calculation-sheet'!R80</f>
        <v>912995808.2904613</v>
      </c>
      <c r="S97" s="2">
        <f>S9/'Output-Calculation-sheet'!S8*'Output-Calculation-sheet'!S80</f>
        <v>508138251.03580165</v>
      </c>
      <c r="T97" s="2">
        <f>T9/'Output-Calculation-sheet'!T8*'Output-Calculation-sheet'!T80</f>
        <v>296291961.42657256</v>
      </c>
      <c r="U97" s="2">
        <f>U9/'Output-Calculation-sheet'!U8*'Output-Calculation-sheet'!U80</f>
        <v>235766335.59402624</v>
      </c>
      <c r="V97" s="2">
        <f>V9/'Output-Calculation-sheet'!V8*'Output-Calculation-sheet'!V80</f>
        <v>108749097.09099114</v>
      </c>
      <c r="W97" s="2">
        <f>W9/'Output-Calculation-sheet'!W8*'Output-Calculation-sheet'!W80</f>
        <v>336522996.59239155</v>
      </c>
      <c r="X97" s="2">
        <f>X9/'Output-Calculation-sheet'!X8*'Output-Calculation-sheet'!X80</f>
        <v>162988287.95005754</v>
      </c>
      <c r="Y97" s="2">
        <f>Y9/'Output-Calculation-sheet'!Y8*'Output-Calculation-sheet'!Y80</f>
        <v>213955788.56846109</v>
      </c>
      <c r="AA97" s="2">
        <f t="shared" si="8"/>
        <v>38.171055762743677</v>
      </c>
    </row>
    <row r="98" spans="1:27" x14ac:dyDescent="0.25">
      <c r="A98" s="2">
        <v>2033</v>
      </c>
      <c r="B98" s="2">
        <f>B10/'Output-Calculation-sheet'!B9*'Output-Calculation-sheet'!B81</f>
        <v>11606529509.690796</v>
      </c>
      <c r="C98" s="2">
        <f>C10/'Output-Calculation-sheet'!C9*'Output-Calculation-sheet'!C81</f>
        <v>2687621057.6737318</v>
      </c>
      <c r="D98" s="2">
        <f>D10/'Output-Calculation-sheet'!D9*'Output-Calculation-sheet'!D81</f>
        <v>1933457219.5475378</v>
      </c>
      <c r="E98" s="2">
        <f>E10/'Output-Calculation-sheet'!E9*'Output-Calculation-sheet'!E81</f>
        <v>9126664504.6524353</v>
      </c>
      <c r="F98" s="2">
        <f>F10/'Output-Calculation-sheet'!F9*'Output-Calculation-sheet'!F81</f>
        <v>2351491114.2203169</v>
      </c>
      <c r="G98" s="2">
        <f>G10/'Output-Calculation-sheet'!G9*'Output-Calculation-sheet'!G81</f>
        <v>1373791971.7005396</v>
      </c>
      <c r="H98" s="2">
        <f>H10/'Output-Calculation-sheet'!H9*'Output-Calculation-sheet'!H81</f>
        <v>1912531263.4201624</v>
      </c>
      <c r="I98" s="2">
        <f>I10/'Output-Calculation-sheet'!I9*'Output-Calculation-sheet'!I81</f>
        <v>1089934410.0067637</v>
      </c>
      <c r="J98" s="2">
        <f>J10/'Output-Calculation-sheet'!J9*'Output-Calculation-sheet'!J81</f>
        <v>804035304.38513637</v>
      </c>
      <c r="K98" s="2">
        <f>K10/'Output-Calculation-sheet'!K9*'Output-Calculation-sheet'!K81</f>
        <v>973647429.44234133</v>
      </c>
      <c r="L98" s="2">
        <f>L10/'Output-Calculation-sheet'!L9*'Output-Calculation-sheet'!L81</f>
        <v>997893383.79398298</v>
      </c>
      <c r="M98" s="2">
        <f>M10/'Output-Calculation-sheet'!M9*'Output-Calculation-sheet'!M81</f>
        <v>1546381438.7660313</v>
      </c>
      <c r="N98" s="2">
        <f>N10/'Output-Calculation-sheet'!N9*'Output-Calculation-sheet'!N81</f>
        <v>939758106.45281816</v>
      </c>
      <c r="O98" s="2">
        <f>O10/'Output-Calculation-sheet'!O9*'Output-Calculation-sheet'!O81</f>
        <v>346610533.40942252</v>
      </c>
      <c r="P98" s="2">
        <f>P10/'Output-Calculation-sheet'!P9*'Output-Calculation-sheet'!P81</f>
        <v>1719549773.0791204</v>
      </c>
      <c r="Q98" s="2">
        <f>Q10/'Output-Calculation-sheet'!Q9*'Output-Calculation-sheet'!Q81</f>
        <v>764051648.2141974</v>
      </c>
      <c r="R98" s="2">
        <f>R10/'Output-Calculation-sheet'!R9*'Output-Calculation-sheet'!R81</f>
        <v>1031299721.9453764</v>
      </c>
      <c r="S98" s="2">
        <f>S10/'Output-Calculation-sheet'!S9*'Output-Calculation-sheet'!S81</f>
        <v>566388527.60914123</v>
      </c>
      <c r="T98" s="2">
        <f>T10/'Output-Calculation-sheet'!T9*'Output-Calculation-sheet'!T81</f>
        <v>319110732.64847565</v>
      </c>
      <c r="U98" s="2">
        <f>U10/'Output-Calculation-sheet'!U9*'Output-Calculation-sheet'!U81</f>
        <v>256415242.83160374</v>
      </c>
      <c r="V98" s="2">
        <f>V10/'Output-Calculation-sheet'!V9*'Output-Calculation-sheet'!V81</f>
        <v>119091049.11778212</v>
      </c>
      <c r="W98" s="2">
        <f>W10/'Output-Calculation-sheet'!W9*'Output-Calculation-sheet'!W81</f>
        <v>368289576.13937199</v>
      </c>
      <c r="X98" s="2">
        <f>X10/'Output-Calculation-sheet'!X9*'Output-Calculation-sheet'!X81</f>
        <v>193069960.59926715</v>
      </c>
      <c r="Y98" s="2">
        <f>Y10/'Output-Calculation-sheet'!Y9*'Output-Calculation-sheet'!Y81</f>
        <v>240367907.15344539</v>
      </c>
      <c r="AA98" s="2">
        <f t="shared" si="8"/>
        <v>43.267981386499784</v>
      </c>
    </row>
    <row r="99" spans="1:27" x14ac:dyDescent="0.25">
      <c r="A99" s="2">
        <v>2034</v>
      </c>
      <c r="B99" s="2">
        <f>B11/'Output-Calculation-sheet'!B10*'Output-Calculation-sheet'!B82</f>
        <v>12529842039.083857</v>
      </c>
      <c r="C99" s="2">
        <f>C11/'Output-Calculation-sheet'!C10*'Output-Calculation-sheet'!C82</f>
        <v>2852208676.6991777</v>
      </c>
      <c r="D99" s="2">
        <f>D11/'Output-Calculation-sheet'!D10*'Output-Calculation-sheet'!D82</f>
        <v>1934727372.7233815</v>
      </c>
      <c r="E99" s="2">
        <f>E11/'Output-Calculation-sheet'!E10*'Output-Calculation-sheet'!E82</f>
        <v>10211169953.103386</v>
      </c>
      <c r="F99" s="2">
        <f>F11/'Output-Calculation-sheet'!F10*'Output-Calculation-sheet'!F82</f>
        <v>2471676866.7380314</v>
      </c>
      <c r="G99" s="2">
        <f>G11/'Output-Calculation-sheet'!G10*'Output-Calculation-sheet'!G82</f>
        <v>1375639782.3102689</v>
      </c>
      <c r="H99" s="2">
        <f>H11/'Output-Calculation-sheet'!H10*'Output-Calculation-sheet'!H82</f>
        <v>2035591451.5316739</v>
      </c>
      <c r="I99" s="2">
        <f>I11/'Output-Calculation-sheet'!I10*'Output-Calculation-sheet'!I82</f>
        <v>1151035106.1523058</v>
      </c>
      <c r="J99" s="2">
        <f>J11/'Output-Calculation-sheet'!J10*'Output-Calculation-sheet'!J82</f>
        <v>839096574.27709973</v>
      </c>
      <c r="K99" s="2">
        <f>K11/'Output-Calculation-sheet'!K10*'Output-Calculation-sheet'!K82</f>
        <v>996306454.87593293</v>
      </c>
      <c r="L99" s="2">
        <f>L11/'Output-Calculation-sheet'!L10*'Output-Calculation-sheet'!L82</f>
        <v>1084568738.3356092</v>
      </c>
      <c r="M99" s="2">
        <f>M11/'Output-Calculation-sheet'!M10*'Output-Calculation-sheet'!M82</f>
        <v>1690682629.9458869</v>
      </c>
      <c r="N99" s="2">
        <f>N11/'Output-Calculation-sheet'!N10*'Output-Calculation-sheet'!N82</f>
        <v>994747442.16004324</v>
      </c>
      <c r="O99" s="2">
        <f>O11/'Output-Calculation-sheet'!O10*'Output-Calculation-sheet'!O82</f>
        <v>364572641.54398704</v>
      </c>
      <c r="P99" s="2">
        <f>P11/'Output-Calculation-sheet'!P10*'Output-Calculation-sheet'!P82</f>
        <v>1762217933.7156916</v>
      </c>
      <c r="Q99" s="2">
        <f>Q11/'Output-Calculation-sheet'!Q10*'Output-Calculation-sheet'!Q82</f>
        <v>810599435.92255068</v>
      </c>
      <c r="R99" s="2">
        <f>R11/'Output-Calculation-sheet'!R10*'Output-Calculation-sheet'!R82</f>
        <v>1099558994.0474882</v>
      </c>
      <c r="S99" s="2">
        <f>S11/'Output-Calculation-sheet'!S10*'Output-Calculation-sheet'!S82</f>
        <v>595867240.87751758</v>
      </c>
      <c r="T99" s="2">
        <f>T11/'Output-Calculation-sheet'!T10*'Output-Calculation-sheet'!T82</f>
        <v>324473291.52175808</v>
      </c>
      <c r="U99" s="2">
        <f>U11/'Output-Calculation-sheet'!U10*'Output-Calculation-sheet'!U82</f>
        <v>262964706.79213828</v>
      </c>
      <c r="V99" s="2">
        <f>V11/'Output-Calculation-sheet'!V10*'Output-Calculation-sheet'!V82</f>
        <v>123178117.76853547</v>
      </c>
      <c r="W99" s="2">
        <f>W11/'Output-Calculation-sheet'!W10*'Output-Calculation-sheet'!W82</f>
        <v>378649396.20470536</v>
      </c>
      <c r="X99" s="2">
        <f>X11/'Output-Calculation-sheet'!X10*'Output-Calculation-sheet'!X82</f>
        <v>216412828.39339283</v>
      </c>
      <c r="Y99" s="2">
        <f>Y11/'Output-Calculation-sheet'!Y10*'Output-Calculation-sheet'!Y82</f>
        <v>254150280.75262135</v>
      </c>
      <c r="AA99" s="2">
        <f t="shared" si="8"/>
        <v>46.359937955477029</v>
      </c>
    </row>
    <row r="100" spans="1:27" x14ac:dyDescent="0.25">
      <c r="A100" s="2">
        <v>2035</v>
      </c>
      <c r="B100" s="2">
        <f>B12/'Output-Calculation-sheet'!B11*'Output-Calculation-sheet'!B83</f>
        <v>12899237684.385525</v>
      </c>
      <c r="C100" s="2">
        <f>C12/'Output-Calculation-sheet'!C11*'Output-Calculation-sheet'!C83</f>
        <v>2894631703.1727538</v>
      </c>
      <c r="D100" s="2">
        <f>D12/'Output-Calculation-sheet'!D11*'Output-Calculation-sheet'!D83</f>
        <v>1854243970.5952296</v>
      </c>
      <c r="E100" s="2">
        <f>E12/'Output-Calculation-sheet'!E11*'Output-Calculation-sheet'!E83</f>
        <v>10904020804.813341</v>
      </c>
      <c r="F100" s="2">
        <f>F12/'Output-Calculation-sheet'!F11*'Output-Calculation-sheet'!F83</f>
        <v>2480795688.0248408</v>
      </c>
      <c r="G100" s="2">
        <f>G12/'Output-Calculation-sheet'!G11*'Output-Calculation-sheet'!G83</f>
        <v>1314742990.8660598</v>
      </c>
      <c r="H100" s="2">
        <f>H12/'Output-Calculation-sheet'!H11*'Output-Calculation-sheet'!H83</f>
        <v>2065995233.149565</v>
      </c>
      <c r="I100" s="2">
        <f>I12/'Output-Calculation-sheet'!I11*'Output-Calculation-sheet'!I83</f>
        <v>1162635430.9713776</v>
      </c>
      <c r="J100" s="2">
        <f>J12/'Output-Calculation-sheet'!J11*'Output-Calculation-sheet'!J83</f>
        <v>838397423.41231608</v>
      </c>
      <c r="K100" s="2">
        <f>K12/'Output-Calculation-sheet'!K11*'Output-Calculation-sheet'!K83</f>
        <v>974977851.66824436</v>
      </c>
      <c r="L100" s="2">
        <f>L12/'Output-Calculation-sheet'!L11*'Output-Calculation-sheet'!L83</f>
        <v>1126439978.0321112</v>
      </c>
      <c r="M100" s="2">
        <f>M12/'Output-Calculation-sheet'!M11*'Output-Calculation-sheet'!M83</f>
        <v>1766518825.6712799</v>
      </c>
      <c r="N100" s="2">
        <f>N12/'Output-Calculation-sheet'!N11*'Output-Calculation-sheet'!N83</f>
        <v>1007486512.390618</v>
      </c>
      <c r="O100" s="2">
        <f>O12/'Output-Calculation-sheet'!O11*'Output-Calculation-sheet'!O83</f>
        <v>367398656.83894819</v>
      </c>
      <c r="P100" s="2">
        <f>P12/'Output-Calculation-sheet'!P11*'Output-Calculation-sheet'!P83</f>
        <v>1715219357.8724637</v>
      </c>
      <c r="Q100" s="2">
        <f>Q12/'Output-Calculation-sheet'!Q11*'Output-Calculation-sheet'!Q83</f>
        <v>822447559.51867187</v>
      </c>
      <c r="R100" s="2">
        <f>R12/'Output-Calculation-sheet'!R11*'Output-Calculation-sheet'!R83</f>
        <v>1118589886.8923662</v>
      </c>
      <c r="S100" s="2">
        <f>S12/'Output-Calculation-sheet'!S11*'Output-Calculation-sheet'!S83</f>
        <v>598164081.66501021</v>
      </c>
      <c r="T100" s="2">
        <f>T12/'Output-Calculation-sheet'!T11*'Output-Calculation-sheet'!T83</f>
        <v>315053606.79617453</v>
      </c>
      <c r="U100" s="2">
        <f>U12/'Output-Calculation-sheet'!U11*'Output-Calculation-sheet'!U83</f>
        <v>257196707.44471022</v>
      </c>
      <c r="V100" s="2">
        <f>V12/'Output-Calculation-sheet'!V11*'Output-Calculation-sheet'!V83</f>
        <v>121671483.56890517</v>
      </c>
      <c r="W100" s="2">
        <f>W12/'Output-Calculation-sheet'!W11*'Output-Calculation-sheet'!W83</f>
        <v>369966033.36647654</v>
      </c>
      <c r="X100" s="2">
        <f>X12/'Output-Calculation-sheet'!X11*'Output-Calculation-sheet'!X83</f>
        <v>232009373.44242293</v>
      </c>
      <c r="Y100" s="2">
        <f>Y12/'Output-Calculation-sheet'!Y11*'Output-Calculation-sheet'!Y83</f>
        <v>255744911.6890364</v>
      </c>
      <c r="AA100" s="2">
        <f t="shared" si="8"/>
        <v>47.463585756248442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1357.7271313587114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329.71082860703689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31.549290592846859</v>
      </c>
      <c r="Y107" s="2">
        <f>Y8/'Output-Calculation-sheet'!Y7*'Output-Calculation-sheet'!Y88</f>
        <v>0</v>
      </c>
      <c r="AA107" s="2">
        <f t="shared" si="9"/>
        <v>1.718987250558595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2564.9947970514841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498.30723147574651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42.573127414961036</v>
      </c>
      <c r="Y108" s="2">
        <f>Y9/'Output-Calculation-sheet'!Y8*'Output-Calculation-sheet'!Y89</f>
        <v>0</v>
      </c>
      <c r="AA108" s="2">
        <f t="shared" si="9"/>
        <v>3.1058751559421918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669.71363503040686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4.1615109178119578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910.59073638613484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5.27979157783607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3508.302694195027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126.81180521195049</v>
      </c>
      <c r="Y111" s="2">
        <f>Y12/'Output-Calculation-sheet'!Y11*'Output-Calculation-sheet'!Y92</f>
        <v>0</v>
      </c>
      <c r="AA111" s="2">
        <f t="shared" si="9"/>
        <v>4.7710574161546928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11237426971.914112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6993348948.8148746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4824818413.1182785</v>
      </c>
      <c r="N118" s="2">
        <f>N8/'Output-Calculation-sheet'!N7*'Output-Calculation-sheet'!N97</f>
        <v>1618212450.2053509</v>
      </c>
      <c r="O118" s="2">
        <f>O8/'Output-Calculation-sheet'!O7*'Output-Calculation-sheet'!O97</f>
        <v>1551490700.6603234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484329412.0250932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262713298.72015411</v>
      </c>
      <c r="Y118" s="2">
        <f>Y8/'Output-Calculation-sheet'!Y7*'Output-Calculation-sheet'!Y97</f>
        <v>0</v>
      </c>
      <c r="AA118" s="2">
        <f t="shared" si="10"/>
        <v>28333.336365166277</v>
      </c>
    </row>
    <row r="119" spans="1:27" x14ac:dyDescent="0.25">
      <c r="A119" s="2">
        <v>2032</v>
      </c>
      <c r="B119" s="2">
        <f>B9/'Output-Calculation-sheet'!B8*'Output-Calculation-sheet'!B98</f>
        <v>6033883938.380372</v>
      </c>
      <c r="C119" s="2">
        <f>C9/'Output-Calculation-sheet'!C8*'Output-Calculation-sheet'!C98</f>
        <v>8902640095.4812546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9436988966.5045547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6510697749.7965069</v>
      </c>
      <c r="N119" s="2">
        <f>N9/'Output-Calculation-sheet'!N8*'Output-Calculation-sheet'!N98</f>
        <v>3063820590.2450991</v>
      </c>
      <c r="O119" s="2">
        <f>O9/'Output-Calculation-sheet'!O8*'Output-Calculation-sheet'!O98</f>
        <v>1716915254.7916536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917882877.71913755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358076161.07323706</v>
      </c>
      <c r="Y119" s="2">
        <f>Y9/'Output-Calculation-sheet'!Y8*'Output-Calculation-sheet'!Y98</f>
        <v>0</v>
      </c>
      <c r="AA119" s="2">
        <f t="shared" si="10"/>
        <v>36940.905633991817</v>
      </c>
    </row>
    <row r="120" spans="1:27" x14ac:dyDescent="0.25">
      <c r="A120" s="2">
        <v>2033</v>
      </c>
      <c r="B120" s="2">
        <f>B10/'Output-Calculation-sheet'!B9*'Output-Calculation-sheet'!B99</f>
        <v>15947852659.017124</v>
      </c>
      <c r="C120" s="2">
        <f>C10/'Output-Calculation-sheet'!C9*'Output-Calculation-sheet'!C99</f>
        <v>9246246893.2370243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4788104774.1957827</v>
      </c>
      <c r="O120" s="2">
        <f>O10/'Output-Calculation-sheet'!O9*'Output-Calculation-sheet'!O99</f>
        <v>1774747897.6147704</v>
      </c>
      <c r="P120" s="2">
        <f>P10/'Output-Calculation-sheet'!P9*'Output-Calculation-sheet'!P99</f>
        <v>0</v>
      </c>
      <c r="Q120" s="2">
        <f>Q10/'Output-Calculation-sheet'!Q9*'Output-Calculation-sheet'!Q99</f>
        <v>154273666.93962026</v>
      </c>
      <c r="R120" s="2">
        <f>R10/'Output-Calculation-sheet'!R9*'Output-Calculation-sheet'!R99</f>
        <v>0</v>
      </c>
      <c r="S120" s="2">
        <f>S10/'Output-Calculation-sheet'!S9*'Output-Calculation-sheet'!S99</f>
        <v>1931398642.0490217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525244586.97202402</v>
      </c>
      <c r="Y120" s="2">
        <f>Y10/'Output-Calculation-sheet'!Y9*'Output-Calculation-sheet'!Y99</f>
        <v>0</v>
      </c>
      <c r="AA120" s="2">
        <f t="shared" si="10"/>
        <v>54372.910509509864</v>
      </c>
    </row>
    <row r="121" spans="1:27" x14ac:dyDescent="0.25">
      <c r="A121" s="2">
        <v>2034</v>
      </c>
      <c r="B121" s="2">
        <f>B11/'Output-Calculation-sheet'!B10*'Output-Calculation-sheet'!B100</f>
        <v>36239144315.274048</v>
      </c>
      <c r="C121" s="2">
        <f>C11/'Output-Calculation-sheet'!C10*'Output-Calculation-sheet'!C100</f>
        <v>9341594348.7507</v>
      </c>
      <c r="D121" s="2">
        <f>D11/'Output-Calculation-sheet'!D10*'Output-Calculation-sheet'!D100</f>
        <v>0</v>
      </c>
      <c r="E121" s="2">
        <f>E11/'Output-Calculation-sheet'!E10*'Output-Calculation-sheet'!E100</f>
        <v>767900816.15573573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13766366850.980244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643784620.42924261</v>
      </c>
      <c r="M121" s="2">
        <f>M11/'Output-Calculation-sheet'!M10*'Output-Calculation-sheet'!M100</f>
        <v>9716742758.8876381</v>
      </c>
      <c r="N121" s="2">
        <f>N11/'Output-Calculation-sheet'!N10*'Output-Calculation-sheet'!N100</f>
        <v>6711533141.1414156</v>
      </c>
      <c r="O121" s="2">
        <f>O11/'Output-Calculation-sheet'!O10*'Output-Calculation-sheet'!O100</f>
        <v>997574817.93063939</v>
      </c>
      <c r="P121" s="2">
        <f>P11/'Output-Calculation-sheet'!P10*'Output-Calculation-sheet'!P100</f>
        <v>0</v>
      </c>
      <c r="Q121" s="2">
        <f>Q11/'Output-Calculation-sheet'!Q10*'Output-Calculation-sheet'!Q100</f>
        <v>1126936567.2092142</v>
      </c>
      <c r="R121" s="2">
        <f>R11/'Output-Calculation-sheet'!R10*'Output-Calculation-sheet'!R100</f>
        <v>0</v>
      </c>
      <c r="S121" s="2">
        <f>S11/'Output-Calculation-sheet'!S10*'Output-Calculation-sheet'!S100</f>
        <v>3102724636.5157332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42013260.89814169</v>
      </c>
      <c r="AA121" s="2">
        <f t="shared" si="10"/>
        <v>82921.815611236918</v>
      </c>
    </row>
    <row r="122" spans="1:27" x14ac:dyDescent="0.25">
      <c r="A122" s="2">
        <v>2035</v>
      </c>
      <c r="B122" s="2">
        <f>B12/'Output-Calculation-sheet'!B11*'Output-Calculation-sheet'!B101</f>
        <v>39023889344.386436</v>
      </c>
      <c r="C122" s="2">
        <f>C12/'Output-Calculation-sheet'!C11*'Output-Calculation-sheet'!C101</f>
        <v>16228092017.025141</v>
      </c>
      <c r="D122" s="2">
        <f>D12/'Output-Calculation-sheet'!D11*'Output-Calculation-sheet'!D101</f>
        <v>0</v>
      </c>
      <c r="E122" s="2">
        <f>E12/'Output-Calculation-sheet'!E11*'Output-Calculation-sheet'!E101</f>
        <v>3178805525.449666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14069643468.288759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1610524271.3064106</v>
      </c>
      <c r="M122" s="2">
        <f>M12/'Output-Calculation-sheet'!M11*'Output-Calculation-sheet'!M101</f>
        <v>10066010249.586552</v>
      </c>
      <c r="N122" s="2">
        <f>N12/'Output-Calculation-sheet'!N11*'Output-Calculation-sheet'!N101</f>
        <v>7148391939.308444</v>
      </c>
      <c r="O122" s="2">
        <f>O12/'Output-Calculation-sheet'!O11*'Output-Calculation-sheet'!O101</f>
        <v>46086295.817855336</v>
      </c>
      <c r="P122" s="2">
        <f>P12/'Output-Calculation-sheet'!P11*'Output-Calculation-sheet'!P101</f>
        <v>305475773.34826398</v>
      </c>
      <c r="Q122" s="2">
        <f>Q12/'Output-Calculation-sheet'!Q11*'Output-Calculation-sheet'!Q101</f>
        <v>1375974353.871006</v>
      </c>
      <c r="R122" s="2">
        <f>R12/'Output-Calculation-sheet'!R11*'Output-Calculation-sheet'!R101</f>
        <v>0</v>
      </c>
      <c r="S122" s="2">
        <f>S12/'Output-Calculation-sheet'!S11*'Output-Calculation-sheet'!S101</f>
        <v>3392673547.9515529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123166377.53874722</v>
      </c>
      <c r="Y122" s="2">
        <f>Y12/'Output-Calculation-sheet'!Y11*'Output-Calculation-sheet'!Y101</f>
        <v>72649323.706784397</v>
      </c>
      <c r="AA122" s="2">
        <f t="shared" si="10"/>
        <v>96641.382487585623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3118142979.9574714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2228165354.3679481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146838.9280115561</v>
      </c>
    </row>
    <row r="130" spans="1:27" x14ac:dyDescent="0.25">
      <c r="A130" s="2">
        <v>2032</v>
      </c>
      <c r="B130" s="2">
        <f>B9/'Output-Calculation-sheet'!B8*'Output-Calculation-sheet'!B107</f>
        <v>58163242026.351631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3326966157.155664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2742206523.5181727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192804.24521403012</v>
      </c>
    </row>
    <row r="131" spans="1:27" x14ac:dyDescent="0.25">
      <c r="A131" s="2">
        <v>2033</v>
      </c>
      <c r="B131" s="2">
        <f>B10/'Output-Calculation-sheet'!B9*'Output-Calculation-sheet'!B108</f>
        <v>64574790903.497849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3227891027.9554367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7026146733.2004995</v>
      </c>
      <c r="R131" s="2">
        <f>R10/'Output-Calculation-sheet'!R9*'Output-Calculation-sheet'!R108</f>
        <v>6907648591.5014153</v>
      </c>
      <c r="S131" s="2">
        <f>S10/'Output-Calculation-sheet'!S9*'Output-Calculation-sheet'!S108</f>
        <v>2659430860.936379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231585.30616085592</v>
      </c>
    </row>
    <row r="132" spans="1:27" x14ac:dyDescent="0.25">
      <c r="A132" s="2">
        <v>2034</v>
      </c>
      <c r="B132" s="2">
        <f>B11/'Output-Calculation-sheet'!B10*'Output-Calculation-sheet'!B109</f>
        <v>58772576523.542053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31156283929.275181</v>
      </c>
      <c r="F132" s="2">
        <f>F11/'Output-Calculation-sheet'!F10*'Output-Calculation-sheet'!F109</f>
        <v>20551754832.398491</v>
      </c>
      <c r="G132" s="2">
        <f>G11/'Output-Calculation-sheet'!G10*'Output-Calculation-sheet'!G109</f>
        <v>14399817442.160534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12804865171.222593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9529966508.4041977</v>
      </c>
      <c r="M132" s="2">
        <f>M11/'Output-Calculation-sheet'!M10*'Output-Calculation-sheet'!M109</f>
        <v>5.2536637367740899E-9</v>
      </c>
      <c r="N132" s="2">
        <f>N11/'Output-Calculation-sheet'!N10*'Output-Calculation-sheet'!N109</f>
        <v>2825404843.788403</v>
      </c>
      <c r="O132" s="2">
        <f>O11/'Output-Calculation-sheet'!O10*'Output-Calculation-sheet'!O109</f>
        <v>0</v>
      </c>
      <c r="P132" s="2">
        <f>P11/'Output-Calculation-sheet'!P10*'Output-Calculation-sheet'!P109</f>
        <v>8682203454.2413578</v>
      </c>
      <c r="Q132" s="2">
        <f>Q11/'Output-Calculation-sheet'!Q10*'Output-Calculation-sheet'!Q109</f>
        <v>7144529773.4004555</v>
      </c>
      <c r="R132" s="2">
        <f>R11/'Output-Calculation-sheet'!R10*'Output-Calculation-sheet'!R109</f>
        <v>8217759589.9492102</v>
      </c>
      <c r="S132" s="2">
        <f>S11/'Output-Calculation-sheet'!S10*'Output-Calculation-sheet'!S109</f>
        <v>2258862780.0262566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2545769637.5896473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981502474.84444904</v>
      </c>
      <c r="AA132" s="2">
        <f t="shared" si="11"/>
        <v>252749.40604387352</v>
      </c>
    </row>
    <row r="133" spans="1:27" x14ac:dyDescent="0.25">
      <c r="A133" s="2">
        <v>2035</v>
      </c>
      <c r="B133" s="2">
        <f>B12/'Output-Calculation-sheet'!B11*'Output-Calculation-sheet'!B110</f>
        <v>57892259821.552307</v>
      </c>
      <c r="C133" s="2">
        <f>C12/'Output-Calculation-sheet'!C11*'Output-Calculation-sheet'!C110</f>
        <v>0</v>
      </c>
      <c r="D133" s="2">
        <f>D12/'Output-Calculation-sheet'!D11*'Output-Calculation-sheet'!D110</f>
        <v>40623508390.621132</v>
      </c>
      <c r="E133" s="2">
        <f>E12/'Output-Calculation-sheet'!E11*'Output-Calculation-sheet'!E110</f>
        <v>31515792421.120693</v>
      </c>
      <c r="F133" s="2">
        <f>F12/'Output-Calculation-sheet'!F11*'Output-Calculation-sheet'!F110</f>
        <v>21504456010.193413</v>
      </c>
      <c r="G133" s="2">
        <f>G12/'Output-Calculation-sheet'!G11*'Output-Calculation-sheet'!G110</f>
        <v>14561663936.759449</v>
      </c>
      <c r="H133" s="2">
        <f>H12/'Output-Calculation-sheet'!H11*'Output-Calculation-sheet'!H110</f>
        <v>0</v>
      </c>
      <c r="I133" s="2">
        <f>I12/'Output-Calculation-sheet'!I11*'Output-Calculation-sheet'!I110</f>
        <v>13356755941.151325</v>
      </c>
      <c r="J133" s="2">
        <f>J12/'Output-Calculation-sheet'!J11*'Output-Calculation-sheet'!J110</f>
        <v>13371667846.800381</v>
      </c>
      <c r="K133" s="2">
        <f>K12/'Output-Calculation-sheet'!K11*'Output-Calculation-sheet'!K110</f>
        <v>13120702010.984875</v>
      </c>
      <c r="L133" s="2">
        <f>L12/'Output-Calculation-sheet'!L11*'Output-Calculation-sheet'!L110</f>
        <v>9431433365.2558193</v>
      </c>
      <c r="M133" s="2">
        <f>M12/'Output-Calculation-sheet'!M11*'Output-Calculation-sheet'!M110</f>
        <v>0</v>
      </c>
      <c r="N133" s="2">
        <f>N12/'Output-Calculation-sheet'!N11*'Output-Calculation-sheet'!N110</f>
        <v>2740842974.0807772</v>
      </c>
      <c r="O133" s="2">
        <f>O12/'Output-Calculation-sheet'!O11*'Output-Calculation-sheet'!O110</f>
        <v>0</v>
      </c>
      <c r="P133" s="2">
        <f>P12/'Output-Calculation-sheet'!P11*'Output-Calculation-sheet'!P110</f>
        <v>8833192608.5816402</v>
      </c>
      <c r="Q133" s="2">
        <f>Q12/'Output-Calculation-sheet'!Q11*'Output-Calculation-sheet'!Q110</f>
        <v>7055928273.5504885</v>
      </c>
      <c r="R133" s="2">
        <f>R12/'Output-Calculation-sheet'!R11*'Output-Calculation-sheet'!R110</f>
        <v>8733814932.8310547</v>
      </c>
      <c r="S133" s="2">
        <f>S12/'Output-Calculation-sheet'!S11*'Output-Calculation-sheet'!S110</f>
        <v>2105075339.5211315</v>
      </c>
      <c r="T133" s="2">
        <f>T12/'Output-Calculation-sheet'!T11*'Output-Calculation-sheet'!T110</f>
        <v>3264199559.3286834</v>
      </c>
      <c r="U133" s="2">
        <f>U12/'Output-Calculation-sheet'!U11*'Output-Calculation-sheet'!U110</f>
        <v>2579025846.3975067</v>
      </c>
      <c r="V133" s="2">
        <f>V12/'Output-Calculation-sheet'!V11*'Output-Calculation-sheet'!V110</f>
        <v>2245921999.8869457</v>
      </c>
      <c r="W133" s="2">
        <f>W12/'Output-Calculation-sheet'!W11*'Output-Calculation-sheet'!W110</f>
        <v>1891331708.1003723</v>
      </c>
      <c r="X133" s="2">
        <f>X12/'Output-Calculation-sheet'!X11*'Output-Calculation-sheet'!X110</f>
        <v>882718.7378842202</v>
      </c>
      <c r="Y133" s="2">
        <f>Y12/'Output-Calculation-sheet'!Y11*'Output-Calculation-sheet'!Y110</f>
        <v>996190467.75133181</v>
      </c>
      <c r="AA133" s="2">
        <f t="shared" si="11"/>
        <v>255824.64617320718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11181165051.857193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2804578542.7713137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259915347.83527222</v>
      </c>
      <c r="Y140" s="2">
        <f>Y8/'Output-Calculation-sheet'!Y7*'Output-Calculation-sheet'!Y115</f>
        <v>0</v>
      </c>
      <c r="AA140" s="2">
        <f t="shared" si="12"/>
        <v>14245.658942463777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21350207694.152843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4161193581.4628801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347124472.84972972</v>
      </c>
      <c r="Y141" s="2">
        <f>Y9/'Output-Calculation-sheet'!Y8*'Output-Calculation-sheet'!Y116</f>
        <v>0</v>
      </c>
      <c r="AA141" s="2">
        <f t="shared" si="12"/>
        <v>25858.525748465454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28701431364.622726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5598474514.4287825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359299218.97344261</v>
      </c>
      <c r="Y142" s="2">
        <f>Y10/'Output-Calculation-sheet'!Y9*'Output-Calculation-sheet'!Y117</f>
        <v>0</v>
      </c>
      <c r="AA142" s="2">
        <f t="shared" si="12"/>
        <v>34659.205098024955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35804701168.558426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7774594142.6305208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44166.181449516109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28836121902.226036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9941615047.3182755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1068686372.6364297</v>
      </c>
      <c r="Y144" s="2">
        <f>Y12/'Output-Calculation-sheet'!Y11*'Output-Calculation-sheet'!Y119</f>
        <v>0</v>
      </c>
      <c r="AA144" s="2">
        <f t="shared" si="12"/>
        <v>39846.423322180737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14618927479.65571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2107779993.4305711</v>
      </c>
      <c r="H154" s="2">
        <f>H11/'Output-Calculation-sheet'!H10*'Output-Calculation-sheet'!H127</f>
        <v>2399263032.8090529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1527675808.2279756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896147799.19199133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474687260.07824606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56380.078390826449</v>
      </c>
    </row>
    <row r="155" spans="1:27" x14ac:dyDescent="0.25">
      <c r="A155" s="2">
        <v>2035</v>
      </c>
      <c r="B155" s="2">
        <f>B12/'Output-Calculation-sheet'!B11*'Output-Calculation-sheet'!B128</f>
        <v>14458548083.826145</v>
      </c>
      <c r="C155" s="2">
        <f>C12/'Output-Calculation-sheet'!C11*'Output-Calculation-sheet'!C128</f>
        <v>6906957007.3603716</v>
      </c>
      <c r="D155" s="2">
        <f>D12/'Output-Calculation-sheet'!D11*'Output-Calculation-sheet'!D128</f>
        <v>5549164092.5031471</v>
      </c>
      <c r="E155" s="2">
        <f>E12/'Output-Calculation-sheet'!E11*'Output-Calculation-sheet'!E128</f>
        <v>2728743047.7154427</v>
      </c>
      <c r="F155" s="2">
        <f>F12/'Output-Calculation-sheet'!F11*'Output-Calculation-sheet'!F128</f>
        <v>2228222368.3738413</v>
      </c>
      <c r="G155" s="2">
        <f>G12/'Output-Calculation-sheet'!G11*'Output-Calculation-sheet'!G128</f>
        <v>2118200428.0202992</v>
      </c>
      <c r="H155" s="2">
        <f>H12/'Output-Calculation-sheet'!H11*'Output-Calculation-sheet'!H128</f>
        <v>2372462007.9611101</v>
      </c>
      <c r="I155" s="2">
        <f>I12/'Output-Calculation-sheet'!I11*'Output-Calculation-sheet'!I128</f>
        <v>1823176364.1391339</v>
      </c>
      <c r="J155" s="2">
        <f>J12/'Output-Calculation-sheet'!J11*'Output-Calculation-sheet'!J128</f>
        <v>1327246837.4657049</v>
      </c>
      <c r="K155" s="2">
        <f>K12/'Output-Calculation-sheet'!K11*'Output-Calculation-sheet'!K128</f>
        <v>1466926797.7727363</v>
      </c>
      <c r="L155" s="2">
        <f>L12/'Output-Calculation-sheet'!L11*'Output-Calculation-sheet'!L128</f>
        <v>638634972.51364124</v>
      </c>
      <c r="M155" s="2">
        <f>M12/'Output-Calculation-sheet'!M11*'Output-Calculation-sheet'!M128</f>
        <v>1267014179.6224365</v>
      </c>
      <c r="N155" s="2">
        <f>N12/'Output-Calculation-sheet'!N11*'Output-Calculation-sheet'!N128</f>
        <v>1116533049.9881344</v>
      </c>
      <c r="O155" s="2">
        <f>O12/'Output-Calculation-sheet'!O11*'Output-Calculation-sheet'!O128</f>
        <v>18298496.29323921</v>
      </c>
      <c r="P155" s="2">
        <f>P12/'Output-Calculation-sheet'!P11*'Output-Calculation-sheet'!P128</f>
        <v>972787402.53043544</v>
      </c>
      <c r="Q155" s="2">
        <f>Q12/'Output-Calculation-sheet'!Q11*'Output-Calculation-sheet'!Q128</f>
        <v>1464663757.4147706</v>
      </c>
      <c r="R155" s="2">
        <f>R12/'Output-Calculation-sheet'!R11*'Output-Calculation-sheet'!R128</f>
        <v>749872884.58710098</v>
      </c>
      <c r="S155" s="2">
        <f>S12/'Output-Calculation-sheet'!S11*'Output-Calculation-sheet'!S128</f>
        <v>830617256.89004815</v>
      </c>
      <c r="T155" s="2">
        <f>T12/'Output-Calculation-sheet'!T11*'Output-Calculation-sheet'!T128</f>
        <v>204289583.66784889</v>
      </c>
      <c r="U155" s="2">
        <f>U12/'Output-Calculation-sheet'!U11*'Output-Calculation-sheet'!U128</f>
        <v>473452714.34835637</v>
      </c>
      <c r="V155" s="2">
        <f>V12/'Output-Calculation-sheet'!V11*'Output-Calculation-sheet'!V128</f>
        <v>70639614.948779881</v>
      </c>
      <c r="W155" s="2">
        <f>W12/'Output-Calculation-sheet'!W11*'Output-Calculation-sheet'!W128</f>
        <v>142416592.85869092</v>
      </c>
      <c r="X155" s="2">
        <f>X12/'Output-Calculation-sheet'!X11*'Output-Calculation-sheet'!X128</f>
        <v>10070344.255181262</v>
      </c>
      <c r="Y155" s="2">
        <f>Y12/'Output-Calculation-sheet'!Y11*'Output-Calculation-sheet'!Y128</f>
        <v>135279995.77524066</v>
      </c>
      <c r="AA155" s="2">
        <f t="shared" si="13"/>
        <v>49074.217880831828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7574.4077184141443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4772.9739585566613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3313.107616466551</v>
      </c>
      <c r="N19" s="2">
        <f>N8/'Output-Calculation-sheet'!N7*'Output-Calculation-sheet'!N25</f>
        <v>1131.8462694021925</v>
      </c>
      <c r="O19" s="2">
        <f>O8/'Output-Calculation-sheet'!O7*'Output-Calculation-sheet'!O25</f>
        <v>977.6274469376425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174.91076901354958</v>
      </c>
      <c r="Y19" s="2">
        <f>Y8/'Output-Calculation-sheet'!Y7*'Output-Calculation-sheet'!Y25</f>
        <v>0</v>
      </c>
      <c r="AA19" s="2">
        <f t="shared" si="0"/>
        <v>19.411801935261572</v>
      </c>
    </row>
    <row r="20" spans="1:27" x14ac:dyDescent="0.25">
      <c r="A20" s="2">
        <v>2032</v>
      </c>
      <c r="B20" s="2">
        <f>B9/'Output-Calculation-sheet'!B8*'Output-Calculation-sheet'!B26</f>
        <v>5979.3313471238434</v>
      </c>
      <c r="C20" s="2">
        <f>C9/'Output-Calculation-sheet'!C8*'Output-Calculation-sheet'!C26</f>
        <v>5771.4803189657441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6503.0653778618134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4520.3343511060575</v>
      </c>
      <c r="N20" s="2">
        <f>N9/'Output-Calculation-sheet'!N8*'Output-Calculation-sheet'!N26</f>
        <v>2035.3470879461104</v>
      </c>
      <c r="O20" s="2">
        <f>O9/'Output-Calculation-sheet'!O8*'Output-Calculation-sheet'!O26</f>
        <v>1110.3720304405558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739.8940259983051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241.52494096738215</v>
      </c>
      <c r="Y20" s="2">
        <f>Y9/'Output-Calculation-sheet'!Y8*'Output-Calculation-sheet'!Y26</f>
        <v>0</v>
      </c>
      <c r="AA20" s="2">
        <f t="shared" si="0"/>
        <v>26.901349480409809</v>
      </c>
    </row>
    <row r="21" spans="1:27" x14ac:dyDescent="0.25">
      <c r="A21" s="2">
        <v>2033</v>
      </c>
      <c r="B21" s="2">
        <f>B10/'Output-Calculation-sheet'!B9*'Output-Calculation-sheet'!B27</f>
        <v>14277.268916655355</v>
      </c>
      <c r="C21" s="2">
        <f>C10/'Output-Calculation-sheet'!C9*'Output-Calculation-sheet'!C27</f>
        <v>5932.4505402655577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8294.6671982421503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5763.6147265865111</v>
      </c>
      <c r="N21" s="2">
        <f>N10/'Output-Calculation-sheet'!N9*'Output-Calculation-sheet'!N27</f>
        <v>3147.8345368375212</v>
      </c>
      <c r="O21" s="2">
        <f>O10/'Output-Calculation-sheet'!O9*'Output-Calculation-sheet'!O27</f>
        <v>1140.8778710068216</v>
      </c>
      <c r="P21" s="2">
        <f>P10/'Output-Calculation-sheet'!P9*'Output-Calculation-sheet'!P27</f>
        <v>0</v>
      </c>
      <c r="Q21" s="2">
        <f>Q10/'Output-Calculation-sheet'!Q9*'Output-Calculation-sheet'!Q27</f>
        <v>210.9734830627317</v>
      </c>
      <c r="R21" s="2">
        <f>R10/'Output-Calculation-sheet'!R9*'Output-Calculation-sheet'!R27</f>
        <v>0</v>
      </c>
      <c r="S21" s="2">
        <f>S10/'Output-Calculation-sheet'!S9*'Output-Calculation-sheet'!S27</f>
        <v>1370.3069254504401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365.22858690463539</v>
      </c>
      <c r="Y21" s="2">
        <f>Y10/'Output-Calculation-sheet'!Y9*'Output-Calculation-sheet'!Y27</f>
        <v>0</v>
      </c>
      <c r="AA21" s="2">
        <f t="shared" si="0"/>
        <v>40.503222785011729</v>
      </c>
    </row>
    <row r="22" spans="1:27" x14ac:dyDescent="0.25">
      <c r="A22" s="2">
        <v>2034</v>
      </c>
      <c r="B22" s="2">
        <f>B11/'Output-Calculation-sheet'!B10*'Output-Calculation-sheet'!B28</f>
        <v>27733.130693895717</v>
      </c>
      <c r="C22" s="2">
        <f>C11/'Output-Calculation-sheet'!C10*'Output-Calculation-sheet'!C28</f>
        <v>6037.3455141209224</v>
      </c>
      <c r="D22" s="2">
        <f>D11/'Output-Calculation-sheet'!D10*'Output-Calculation-sheet'!D28</f>
        <v>0</v>
      </c>
      <c r="E22" s="2">
        <f>E11/'Output-Calculation-sheet'!E10*'Output-Calculation-sheet'!E28</f>
        <v>1424.922519379294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10591.960165848495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864.16263748229983</v>
      </c>
      <c r="M22" s="2">
        <f>M11/'Output-Calculation-sheet'!M10*'Output-Calculation-sheet'!M28</f>
        <v>7858.6431226082013</v>
      </c>
      <c r="N22" s="2">
        <f>N11/'Output-Calculation-sheet'!N10*'Output-Calculation-sheet'!N28</f>
        <v>4525.2426067609158</v>
      </c>
      <c r="O22" s="2">
        <f>O11/'Output-Calculation-sheet'!O10*'Output-Calculation-sheet'!O28</f>
        <v>642.15929028010498</v>
      </c>
      <c r="P22" s="2">
        <f>P11/'Output-Calculation-sheet'!P10*'Output-Calculation-sheet'!P28</f>
        <v>0</v>
      </c>
      <c r="Q22" s="2">
        <f>Q11/'Output-Calculation-sheet'!Q10*'Output-Calculation-sheet'!Q28</f>
        <v>1306.0540685894625</v>
      </c>
      <c r="R22" s="2">
        <f>R11/'Output-Calculation-sheet'!R10*'Output-Calculation-sheet'!R28</f>
        <v>0</v>
      </c>
      <c r="S22" s="2">
        <f>S11/'Output-Calculation-sheet'!S10*'Output-Calculation-sheet'!S28</f>
        <v>2158.6018005199512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78.660812597142197</v>
      </c>
      <c r="AA22" s="2">
        <f t="shared" si="0"/>
        <v>63.542676640295902</v>
      </c>
    </row>
    <row r="23" spans="1:27" x14ac:dyDescent="0.25">
      <c r="A23" s="2">
        <v>2035</v>
      </c>
      <c r="B23" s="2">
        <f>B12/'Output-Calculation-sheet'!B11*'Output-Calculation-sheet'!B29</f>
        <v>29829.395775105888</v>
      </c>
      <c r="C23" s="2">
        <f>C12/'Output-Calculation-sheet'!C11*'Output-Calculation-sheet'!C29</f>
        <v>11217.191367865027</v>
      </c>
      <c r="D23" s="2">
        <f>D12/'Output-Calculation-sheet'!D11*'Output-Calculation-sheet'!D29</f>
        <v>0</v>
      </c>
      <c r="E23" s="2">
        <f>E12/'Output-Calculation-sheet'!E11*'Output-Calculation-sheet'!E29</f>
        <v>5061.5229907298572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10885.60162517864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1819.37454717064</v>
      </c>
      <c r="M23" s="2">
        <f>M12/'Output-Calculation-sheet'!M11*'Output-Calculation-sheet'!M29</f>
        <v>8365.2613353254656</v>
      </c>
      <c r="N23" s="2">
        <f>N12/'Output-Calculation-sheet'!N11*'Output-Calculation-sheet'!N29</f>
        <v>4976.8668311435313</v>
      </c>
      <c r="O23" s="2">
        <f>O12/'Output-Calculation-sheet'!O11*'Output-Calculation-sheet'!O29</f>
        <v>30.481148153091919</v>
      </c>
      <c r="P23" s="2">
        <f>P12/'Output-Calculation-sheet'!P11*'Output-Calculation-sheet'!P29</f>
        <v>564.15672067571177</v>
      </c>
      <c r="Q23" s="2">
        <f>Q12/'Output-Calculation-sheet'!Q11*'Output-Calculation-sheet'!Q29</f>
        <v>1537.8939493701459</v>
      </c>
      <c r="R23" s="2">
        <f>R12/'Output-Calculation-sheet'!R11*'Output-Calculation-sheet'!R29</f>
        <v>0</v>
      </c>
      <c r="S23" s="2">
        <f>S12/'Output-Calculation-sheet'!S11*'Output-Calculation-sheet'!S29</f>
        <v>2377.6791276239637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81.461114080204794</v>
      </c>
      <c r="Y23" s="2">
        <f>Y12/'Output-Calculation-sheet'!Y11*'Output-Calculation-sheet'!Y29</f>
        <v>119.49782968571776</v>
      </c>
      <c r="AA23" s="2">
        <f t="shared" si="0"/>
        <v>76.866384362107894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1542.6642036166468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39.648770889957731</v>
      </c>
    </row>
    <row r="31" spans="1:27" x14ac:dyDescent="0.25">
      <c r="A31" s="2">
        <v>2032</v>
      </c>
      <c r="B31" s="2">
        <f>B9/'Output-Calculation-sheet'!B8*'Output-Calculation-sheet'!B17</f>
        <v>25318.214027686361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1734.197744136952</v>
      </c>
      <c r="O31" s="2">
        <f>O9/'Output-Calculation-sheet'!O8*'Output-Calculation-sheet'!O17</f>
        <v>0</v>
      </c>
      <c r="P31" s="2">
        <f>P9/'Output-Calculation-sheet'!P8*'Output-Calculation-sheet'!P17</f>
        <v>2146.8181368207966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1289.8018833626766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55.135446733333531</v>
      </c>
    </row>
    <row r="32" spans="1:27" x14ac:dyDescent="0.25">
      <c r="A32" s="2">
        <v>2033</v>
      </c>
      <c r="B32" s="2">
        <f>B10/'Output-Calculation-sheet'!B9*'Output-Calculation-sheet'!B18</f>
        <v>29154.199088621666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2774.6419615812615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1777.7159825929739</v>
      </c>
      <c r="O32" s="2">
        <f>O10/'Output-Calculation-sheet'!O9*'Output-Calculation-sheet'!O18</f>
        <v>0</v>
      </c>
      <c r="P32" s="2">
        <f>P10/'Output-Calculation-sheet'!P9*'Output-Calculation-sheet'!P18</f>
        <v>2855.660768860298</v>
      </c>
      <c r="Q32" s="2">
        <f>Q10/'Output-Calculation-sheet'!Q9*'Output-Calculation-sheet'!Q18</f>
        <v>3113.1867771345915</v>
      </c>
      <c r="R32" s="2">
        <f>R10/'Output-Calculation-sheet'!R9*'Output-Calculation-sheet'!R18</f>
        <v>2050.5852084768912</v>
      </c>
      <c r="S32" s="2">
        <f>S10/'Output-Calculation-sheet'!S9*'Output-Calculation-sheet'!S18</f>
        <v>1342.9153416178574</v>
      </c>
      <c r="T32" s="2">
        <f>T10/'Output-Calculation-sheet'!T9*'Output-Calculation-sheet'!T18</f>
        <v>598.71389906236152</v>
      </c>
      <c r="U32" s="2">
        <f>U10/'Output-Calculation-sheet'!U9*'Output-Calculation-sheet'!U18</f>
        <v>661.864457364381</v>
      </c>
      <c r="V32" s="2">
        <f>V10/'Output-Calculation-sheet'!V9*'Output-Calculation-sheet'!V18</f>
        <v>488.55043591463988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282.87403801487829</v>
      </c>
      <c r="AA32" s="2">
        <f t="shared" si="1"/>
        <v>69.993065984042659</v>
      </c>
    </row>
    <row r="33" spans="1:27" x14ac:dyDescent="0.25">
      <c r="A33" s="2">
        <v>2034</v>
      </c>
      <c r="B33" s="2">
        <f>B11/'Output-Calculation-sheet'!B10*'Output-Calculation-sheet'!B19</f>
        <v>28257.395663891875</v>
      </c>
      <c r="C33" s="2">
        <f>C11/'Output-Calculation-sheet'!C10*'Output-Calculation-sheet'!C19</f>
        <v>0</v>
      </c>
      <c r="D33" s="2">
        <f>D11/'Output-Calculation-sheet'!D10*'Output-Calculation-sheet'!D19</f>
        <v>8551.1660741054238</v>
      </c>
      <c r="E33" s="2">
        <f>E11/'Output-Calculation-sheet'!E10*'Output-Calculation-sheet'!E19</f>
        <v>10602.084921632602</v>
      </c>
      <c r="F33" s="2">
        <f>F11/'Output-Calculation-sheet'!F10*'Output-Calculation-sheet'!F19</f>
        <v>4854.2836604929989</v>
      </c>
      <c r="G33" s="2">
        <f>G11/'Output-Calculation-sheet'!G10*'Output-Calculation-sheet'!G19</f>
        <v>2891.9140744049901</v>
      </c>
      <c r="H33" s="2">
        <f>H11/'Output-Calculation-sheet'!H10*'Output-Calculation-sheet'!H19</f>
        <v>0</v>
      </c>
      <c r="I33" s="2">
        <f>I11/'Output-Calculation-sheet'!I10*'Output-Calculation-sheet'!I19</f>
        <v>3176.6049463322324</v>
      </c>
      <c r="J33" s="2">
        <f>J11/'Output-Calculation-sheet'!J10*'Output-Calculation-sheet'!J19</f>
        <v>2685.9110638136758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3030.3004488912156</v>
      </c>
      <c r="M33" s="2">
        <f>M11/'Output-Calculation-sheet'!M10*'Output-Calculation-sheet'!M19</f>
        <v>0</v>
      </c>
      <c r="N33" s="2">
        <f>N11/'Output-Calculation-sheet'!N10*'Output-Calculation-sheet'!N19</f>
        <v>1711.3672179943355</v>
      </c>
      <c r="O33" s="2">
        <f>O11/'Output-Calculation-sheet'!O10*'Output-Calculation-sheet'!O19</f>
        <v>0</v>
      </c>
      <c r="P33" s="2">
        <f>P11/'Output-Calculation-sheet'!P10*'Output-Calculation-sheet'!P19</f>
        <v>3770.8222756606874</v>
      </c>
      <c r="Q33" s="2">
        <f>Q11/'Output-Calculation-sheet'!Q10*'Output-Calculation-sheet'!Q19</f>
        <v>3070.1425733501446</v>
      </c>
      <c r="R33" s="2">
        <f>R11/'Output-Calculation-sheet'!R10*'Output-Calculation-sheet'!R19</f>
        <v>2691.4974885463898</v>
      </c>
      <c r="S33" s="2">
        <f>S11/'Output-Calculation-sheet'!S10*'Output-Calculation-sheet'!S19</f>
        <v>1249.1467700823919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844.82549768581259</v>
      </c>
      <c r="V33" s="2">
        <f>V11/'Output-Calculation-sheet'!V10*'Output-Calculation-sheet'!V19</f>
        <v>619.36727152707715</v>
      </c>
      <c r="W33" s="2">
        <f>W11/'Output-Calculation-sheet'!W10*'Output-Calculation-sheet'!W19</f>
        <v>385.61111731972585</v>
      </c>
      <c r="X33" s="2">
        <f>X11/'Output-Calculation-sheet'!X10*'Output-Calculation-sheet'!X19</f>
        <v>0</v>
      </c>
      <c r="Y33" s="2">
        <f>Y11/'Output-Calculation-sheet'!Y10*'Output-Calculation-sheet'!Y19</f>
        <v>347.60125711211072</v>
      </c>
      <c r="AA33" s="2">
        <f t="shared" si="1"/>
        <v>83.255642980349975</v>
      </c>
    </row>
    <row r="34" spans="1:27" x14ac:dyDescent="0.25">
      <c r="A34" s="2">
        <v>2035</v>
      </c>
      <c r="B34" s="2">
        <f>B12/'Output-Calculation-sheet'!B11*'Output-Calculation-sheet'!B20</f>
        <v>27595.004672226882</v>
      </c>
      <c r="C34" s="2">
        <f>C12/'Output-Calculation-sheet'!C11*'Output-Calculation-sheet'!C20</f>
        <v>0</v>
      </c>
      <c r="D34" s="2">
        <f>D12/'Output-Calculation-sheet'!D11*'Output-Calculation-sheet'!D20</f>
        <v>8800.4323683769835</v>
      </c>
      <c r="E34" s="2">
        <f>E12/'Output-Calculation-sheet'!E11*'Output-Calculation-sheet'!E20</f>
        <v>9752.8857418715434</v>
      </c>
      <c r="F34" s="2">
        <f>F12/'Output-Calculation-sheet'!F11*'Output-Calculation-sheet'!F20</f>
        <v>5478.0502476231122</v>
      </c>
      <c r="G34" s="2">
        <f>G12/'Output-Calculation-sheet'!G11*'Output-Calculation-sheet'!G20</f>
        <v>2952.2007451659665</v>
      </c>
      <c r="H34" s="2">
        <f>H12/'Output-Calculation-sheet'!H11*'Output-Calculation-sheet'!H20</f>
        <v>0</v>
      </c>
      <c r="I34" s="2">
        <f>I12/'Output-Calculation-sheet'!I11*'Output-Calculation-sheet'!I20</f>
        <v>3277.2956505804386</v>
      </c>
      <c r="J34" s="2">
        <f>J12/'Output-Calculation-sheet'!J11*'Output-Calculation-sheet'!J20</f>
        <v>3031.5941961061385</v>
      </c>
      <c r="K34" s="2">
        <f>K12/'Output-Calculation-sheet'!K11*'Output-Calculation-sheet'!K20</f>
        <v>4035.5499848252866</v>
      </c>
      <c r="L34" s="2">
        <f>L12/'Output-Calculation-sheet'!L11*'Output-Calculation-sheet'!L20</f>
        <v>3228.7184589026724</v>
      </c>
      <c r="M34" s="2">
        <f>M12/'Output-Calculation-sheet'!M11*'Output-Calculation-sheet'!M20</f>
        <v>0</v>
      </c>
      <c r="N34" s="2">
        <f>N12/'Output-Calculation-sheet'!N11*'Output-Calculation-sheet'!N20</f>
        <v>1725.9215615962396</v>
      </c>
      <c r="O34" s="2">
        <f>O12/'Output-Calculation-sheet'!O11*'Output-Calculation-sheet'!O20</f>
        <v>0</v>
      </c>
      <c r="P34" s="2">
        <f>P12/'Output-Calculation-sheet'!P11*'Output-Calculation-sheet'!P20</f>
        <v>3702.6316600114892</v>
      </c>
      <c r="Q34" s="2">
        <f>Q12/'Output-Calculation-sheet'!Q11*'Output-Calculation-sheet'!Q20</f>
        <v>3029.2608136351018</v>
      </c>
      <c r="R34" s="2">
        <f>R12/'Output-Calculation-sheet'!R11*'Output-Calculation-sheet'!R20</f>
        <v>3098.0669888320367</v>
      </c>
      <c r="S34" s="2">
        <f>S12/'Output-Calculation-sheet'!S11*'Output-Calculation-sheet'!S20</f>
        <v>1195.1564591039223</v>
      </c>
      <c r="T34" s="2">
        <f>T12/'Output-Calculation-sheet'!T11*'Output-Calculation-sheet'!T20</f>
        <v>939.95305450441163</v>
      </c>
      <c r="U34" s="2">
        <f>U12/'Output-Calculation-sheet'!U11*'Output-Calculation-sheet'!U20</f>
        <v>865.12114818512919</v>
      </c>
      <c r="V34" s="2">
        <f>V12/'Output-Calculation-sheet'!V11*'Output-Calculation-sheet'!V20</f>
        <v>851.37227477246006</v>
      </c>
      <c r="W34" s="2">
        <f>W12/'Output-Calculation-sheet'!W11*'Output-Calculation-sheet'!W20</f>
        <v>461.70712215036212</v>
      </c>
      <c r="X34" s="2">
        <f>X12/'Output-Calculation-sheet'!X11*'Output-Calculation-sheet'!X20</f>
        <v>1.0243119273173793</v>
      </c>
      <c r="Y34" s="2">
        <f>Y12/'Output-Calculation-sheet'!Y11*'Output-Calculation-sheet'!Y20</f>
        <v>334.34216316231709</v>
      </c>
      <c r="AA34" s="2">
        <f t="shared" si="1"/>
        <v>84.356289623559832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0.12771648555338538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1.9262102534806057E-2</v>
      </c>
      <c r="H44" s="2">
        <f>H11/'Output-Calculation-sheet'!H10*'Output-Calculation-sheet'!H37*0.0114</f>
        <v>1.8659854228716674E-2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1.1056558800733295E-2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7.2338968513540273E-3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3.5277070565484714E-3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0.18745660502554393</v>
      </c>
    </row>
    <row r="45" spans="1:27" x14ac:dyDescent="0.25">
      <c r="A45" s="2">
        <v>2035</v>
      </c>
      <c r="B45" s="2">
        <f>B12/'Output-Calculation-sheet'!B11*'Output-Calculation-sheet'!B38*0.0114</f>
        <v>0.52383080363218881</v>
      </c>
      <c r="C45" s="2">
        <f>C12/'Output-Calculation-sheet'!C11*'Output-Calculation-sheet'!C38*0.0114</f>
        <v>0.31077777959860414</v>
      </c>
      <c r="D45" s="2">
        <f>D12/'Output-Calculation-sheet'!D11*'Output-Calculation-sheet'!D38*0.0114</f>
        <v>5.5059089571720163E-2</v>
      </c>
      <c r="E45" s="2">
        <f>E12/'Output-Calculation-sheet'!E11*'Output-Calculation-sheet'!E38*0.0114</f>
        <v>0.1750293655466327</v>
      </c>
      <c r="F45" s="2">
        <f>F12/'Output-Calculation-sheet'!F11*'Output-Calculation-sheet'!F38*0.0114</f>
        <v>5.5040714697161257E-2</v>
      </c>
      <c r="G45" s="2">
        <f>G12/'Output-Calculation-sheet'!G11*'Output-Calculation-sheet'!G38*0.0114</f>
        <v>3.9501880304384951E-2</v>
      </c>
      <c r="H45" s="2">
        <f>H12/'Output-Calculation-sheet'!H11*'Output-Calculation-sheet'!H38*0.0114</f>
        <v>0.11480044718505475</v>
      </c>
      <c r="I45" s="2">
        <f>I12/'Output-Calculation-sheet'!I11*'Output-Calculation-sheet'!I38*0.0114</f>
        <v>3.5529500321778214E-2</v>
      </c>
      <c r="J45" s="2">
        <f>J12/'Output-Calculation-sheet'!J11*'Output-Calculation-sheet'!J38*0.0114</f>
        <v>1.7581218020052448E-2</v>
      </c>
      <c r="K45" s="2">
        <f>K12/'Output-Calculation-sheet'!K11*'Output-Calculation-sheet'!K38*0.0114</f>
        <v>3.4919843339448614E-2</v>
      </c>
      <c r="L45" s="2">
        <f>L12/'Output-Calculation-sheet'!L11*'Output-Calculation-sheet'!L38*0.0114</f>
        <v>1.3883325939742799E-2</v>
      </c>
      <c r="M45" s="2">
        <f>M12/'Output-Calculation-sheet'!M11*'Output-Calculation-sheet'!M38*0.0114</f>
        <v>6.5828233323400348E-2</v>
      </c>
      <c r="N45" s="2">
        <f>N12/'Output-Calculation-sheet'!N11*'Output-Calculation-sheet'!N38*0.0114</f>
        <v>3.8819086600404451E-2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4.7816023209214048E-2</v>
      </c>
      <c r="Q45" s="2">
        <f>Q12/'Output-Calculation-sheet'!Q11*'Output-Calculation-sheet'!Q38*0.0114</f>
        <v>3.4011463302286757E-2</v>
      </c>
      <c r="R45" s="2">
        <f>R12/'Output-Calculation-sheet'!R11*'Output-Calculation-sheet'!R38*0.0114</f>
        <v>2.2485850779241548E-2</v>
      </c>
      <c r="S45" s="2">
        <f>S12/'Output-Calculation-sheet'!S11*'Output-Calculation-sheet'!S38*0.0114</f>
        <v>2.9669920720244061E-2</v>
      </c>
      <c r="T45" s="2">
        <f>T12/'Output-Calculation-sheet'!T11*'Output-Calculation-sheet'!T38*0.0114</f>
        <v>4.1594588634554473E-3</v>
      </c>
      <c r="U45" s="2">
        <f>U12/'Output-Calculation-sheet'!U11*'Output-Calculation-sheet'!U38*0.0114</f>
        <v>1.0851701805000927E-2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4.8305187075700969E-3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6.9688799477858193E-3</v>
      </c>
      <c r="AA45" s="2">
        <f t="shared" si="2"/>
        <v>1.6577037053829984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2926.2833337259544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6740.3337396359393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4609.8737213990935</v>
      </c>
      <c r="N52" s="2">
        <f>N8/'Output-Calculation-sheet'!N7*'Output-Calculation-sheet'!N43</f>
        <v>145.61834935329918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31.169845139378978</v>
      </c>
      <c r="Y52" s="2">
        <f>Y8/'Output-Calculation-sheet'!Y7*'Output-Calculation-sheet'!Y43</f>
        <v>0</v>
      </c>
      <c r="AA52" s="2">
        <f t="shared" si="3"/>
        <v>14.453278989253663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501.59943940737173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13007.377896167958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8904.3693288326376</v>
      </c>
      <c r="N53" s="2">
        <f>N9/'Output-Calculation-sheet'!N8*'Output-Calculation-sheet'!N44</f>
        <v>3159.8360427819584</v>
      </c>
      <c r="O53" s="2">
        <f>O9/'Output-Calculation-sheet'!O8*'Output-Calculation-sheet'!O44</f>
        <v>175.21690748131837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984.80478951490943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271.88897746980217</v>
      </c>
      <c r="Y53" s="2">
        <f>Y9/'Output-Calculation-sheet'!Y8*'Output-Calculation-sheet'!Y44</f>
        <v>0</v>
      </c>
      <c r="AA53" s="2">
        <f t="shared" si="3"/>
        <v>27.145159843284397</v>
      </c>
    </row>
    <row r="54" spans="1:27" x14ac:dyDescent="0.25">
      <c r="A54" s="2">
        <v>2033</v>
      </c>
      <c r="B54" s="2">
        <f>B10/'Output-Calculation-sheet'!B9*'Output-Calculation-sheet'!B45</f>
        <v>27419.855531998721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13697.546143982276</v>
      </c>
      <c r="N54" s="2">
        <f>N10/'Output-Calculation-sheet'!N9*'Output-Calculation-sheet'!N45</f>
        <v>7666.0823953853769</v>
      </c>
      <c r="O54" s="2">
        <f>O10/'Output-Calculation-sheet'!O9*'Output-Calculation-sheet'!O45</f>
        <v>1020.8442619040476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797.16073386026926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83.730249301665253</v>
      </c>
    </row>
    <row r="55" spans="1:27" x14ac:dyDescent="0.25">
      <c r="A55" s="2">
        <v>2034</v>
      </c>
      <c r="B55" s="2">
        <f>B11/'Output-Calculation-sheet'!B10*'Output-Calculation-sheet'!B46</f>
        <v>78960.157033356154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280.16384960340099</v>
      </c>
      <c r="G55" s="2">
        <f>G11/'Output-Calculation-sheet'!G10*'Output-Calculation-sheet'!G46</f>
        <v>3157.9710208379402</v>
      </c>
      <c r="H55" s="2">
        <f>H11/'Output-Calculation-sheet'!H10*'Output-Calculation-sheet'!H46</f>
        <v>24432.951234390683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17204.199909943713</v>
      </c>
      <c r="N55" s="2">
        <f>N11/'Output-Calculation-sheet'!N10*'Output-Calculation-sheet'!N46</f>
        <v>13031.229008004113</v>
      </c>
      <c r="O55" s="2">
        <f>O11/'Output-Calculation-sheet'!O10*'Output-Calculation-sheet'!O46</f>
        <v>499.97361266123937</v>
      </c>
      <c r="P55" s="2">
        <f>P11/'Output-Calculation-sheet'!P10*'Output-Calculation-sheet'!P46</f>
        <v>4822.7896996402815</v>
      </c>
      <c r="Q55" s="2">
        <f>Q11/'Output-Calculation-sheet'!Q10*'Output-Calculation-sheet'!Q46</f>
        <v>3763.1094865653672</v>
      </c>
      <c r="R55" s="2">
        <f>R11/'Output-Calculation-sheet'!R10*'Output-Calculation-sheet'!R46</f>
        <v>3908.8057982005635</v>
      </c>
      <c r="S55" s="2">
        <f>S11/'Output-Calculation-sheet'!S10*'Output-Calculation-sheet'!S46</f>
        <v>6105.6627634849519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1154.550441051083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195.10213664535837</v>
      </c>
    </row>
    <row r="56" spans="1:27" x14ac:dyDescent="0.25">
      <c r="A56" s="2">
        <v>2035</v>
      </c>
      <c r="B56" s="2">
        <f>B12/'Output-Calculation-sheet'!B11*'Output-Calculation-sheet'!B47</f>
        <v>85076.555519736634</v>
      </c>
      <c r="C56" s="2">
        <f>C12/'Output-Calculation-sheet'!C11*'Output-Calculation-sheet'!C47</f>
        <v>26514.251617333543</v>
      </c>
      <c r="D56" s="2">
        <f>D12/'Output-Calculation-sheet'!D11*'Output-Calculation-sheet'!D47</f>
        <v>8722.5189268882987</v>
      </c>
      <c r="E56" s="2">
        <f>E12/'Output-Calculation-sheet'!E11*'Output-Calculation-sheet'!E47</f>
        <v>22062.912130746598</v>
      </c>
      <c r="F56" s="2">
        <f>F12/'Output-Calculation-sheet'!F11*'Output-Calculation-sheet'!F47</f>
        <v>1267.3848778951606</v>
      </c>
      <c r="G56" s="2">
        <f>G12/'Output-Calculation-sheet'!G11*'Output-Calculation-sheet'!G47</f>
        <v>3227.7194301346126</v>
      </c>
      <c r="H56" s="2">
        <f>H12/'Output-Calculation-sheet'!H11*'Output-Calculation-sheet'!H47</f>
        <v>25163.78807961295</v>
      </c>
      <c r="I56" s="2">
        <f>I12/'Output-Calculation-sheet'!I11*'Output-Calculation-sheet'!I47</f>
        <v>2056.9710712608439</v>
      </c>
      <c r="J56" s="2">
        <f>J12/'Output-Calculation-sheet'!J11*'Output-Calculation-sheet'!J47</f>
        <v>3392.8666354487182</v>
      </c>
      <c r="K56" s="2">
        <f>K12/'Output-Calculation-sheet'!K11*'Output-Calculation-sheet'!K47</f>
        <v>4639.1318190872744</v>
      </c>
      <c r="L56" s="2">
        <f>L12/'Output-Calculation-sheet'!L11*'Output-Calculation-sheet'!L47</f>
        <v>4967.5514480886732</v>
      </c>
      <c r="M56" s="2">
        <f>M12/'Output-Calculation-sheet'!M11*'Output-Calculation-sheet'!M47</f>
        <v>17736.666796154081</v>
      </c>
      <c r="N56" s="2">
        <f>N12/'Output-Calculation-sheet'!N11*'Output-Calculation-sheet'!N47</f>
        <v>14353.981554055985</v>
      </c>
      <c r="O56" s="2">
        <f>O12/'Output-Calculation-sheet'!O11*'Output-Calculation-sheet'!O47</f>
        <v>64.612365338242597</v>
      </c>
      <c r="P56" s="2">
        <f>P12/'Output-Calculation-sheet'!P11*'Output-Calculation-sheet'!P47</f>
        <v>6153.1671971857022</v>
      </c>
      <c r="Q56" s="2">
        <f>Q12/'Output-Calculation-sheet'!Q11*'Output-Calculation-sheet'!Q47</f>
        <v>4328.0084295775432</v>
      </c>
      <c r="R56" s="2">
        <f>R12/'Output-Calculation-sheet'!R11*'Output-Calculation-sheet'!R47</f>
        <v>5057.3439822785376</v>
      </c>
      <c r="S56" s="2">
        <f>S12/'Output-Calculation-sheet'!S11*'Output-Calculation-sheet'!S47</f>
        <v>6674.4308497426218</v>
      </c>
      <c r="T56" s="2">
        <f>T12/'Output-Calculation-sheet'!T11*'Output-Calculation-sheet'!T47</f>
        <v>1708.6619173299875</v>
      </c>
      <c r="U56" s="2">
        <f>U12/'Output-Calculation-sheet'!U11*'Output-Calculation-sheet'!U47</f>
        <v>1192.7352948829966</v>
      </c>
      <c r="V56" s="2">
        <f>V12/'Output-Calculation-sheet'!V11*'Output-Calculation-sheet'!V47</f>
        <v>1178.5607537789517</v>
      </c>
      <c r="W56" s="2">
        <f>W12/'Output-Calculation-sheet'!W11*'Output-Calculation-sheet'!W47</f>
        <v>417.16190066690876</v>
      </c>
      <c r="X56" s="2">
        <f>X12/'Output-Calculation-sheet'!X11*'Output-Calculation-sheet'!X47</f>
        <v>139.99563137732886</v>
      </c>
      <c r="Y56" s="2">
        <f>Y12/'Output-Calculation-sheet'!Y11*'Output-Calculation-sheet'!Y47</f>
        <v>555.55421899541693</v>
      </c>
      <c r="AA56" s="2">
        <f t="shared" si="3"/>
        <v>246.65253244759762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7.2116326618382454</v>
      </c>
      <c r="C63" s="2">
        <f>C8*'Output-Calculation-sheet'!C52/10^9</f>
        <v>4.3620666549843117</v>
      </c>
      <c r="D63" s="2">
        <f>D8*'Output-Calculation-sheet'!D52/10^9</f>
        <v>2.4730233866098734</v>
      </c>
      <c r="E63" s="2">
        <f>E8*'Output-Calculation-sheet'!E52/10^9</f>
        <v>2.4588486058096901</v>
      </c>
      <c r="F63" s="2">
        <f>F8*'Output-Calculation-sheet'!F52/10^9</f>
        <v>1.0413221812884319</v>
      </c>
      <c r="G63" s="2">
        <f>G8*'Output-Calculation-sheet'!G52/10^9</f>
        <v>0.74866360542736543</v>
      </c>
      <c r="H63" s="2">
        <f>H8*'Output-Calculation-sheet'!H52/10^9</f>
        <v>1.3076880951143746</v>
      </c>
      <c r="I63" s="2">
        <f>I8*'Output-Calculation-sheet'!I52/10^9</f>
        <v>0.69643096464052334</v>
      </c>
      <c r="J63" s="2">
        <f>J8*'Output-Calculation-sheet'!J52/10^9</f>
        <v>0.95833621278137393</v>
      </c>
      <c r="K63" s="2">
        <f>K8*'Output-Calculation-sheet'!K52/10^9</f>
        <v>0.84198359931952182</v>
      </c>
      <c r="L63" s="2">
        <f>L8*'Output-Calculation-sheet'!L52/10^9</f>
        <v>1.1325084524511622</v>
      </c>
      <c r="M63" s="2">
        <f>M8*'Output-Calculation-sheet'!M52/10^9</f>
        <v>1.0614639435618329</v>
      </c>
      <c r="N63" s="2">
        <f>N8*'Output-Calculation-sheet'!N52/10^9</f>
        <v>0.88593289824957056</v>
      </c>
      <c r="O63" s="2">
        <f>O8*'Output-Calculation-sheet'!O52/10^9</f>
        <v>0.89032401753369916</v>
      </c>
      <c r="P63" s="2">
        <f>P8*'Output-Calculation-sheet'!P52/10^9</f>
        <v>0.58178795462669319</v>
      </c>
      <c r="Q63" s="2">
        <f>Q8*'Output-Calculation-sheet'!Q52/10^9</f>
        <v>0.65841347405936645</v>
      </c>
      <c r="R63" s="2">
        <f>R8*'Output-Calculation-sheet'!R52/10^9</f>
        <v>0.59112460446113191</v>
      </c>
      <c r="S63" s="2">
        <f>S8*'Output-Calculation-sheet'!S52/10^9</f>
        <v>0.43804427649048377</v>
      </c>
      <c r="T63" s="2">
        <f>T8*'Output-Calculation-sheet'!T52/10^9</f>
        <v>0.22473713042546534</v>
      </c>
      <c r="U63" s="2">
        <f>U8*'Output-Calculation-sheet'!U52/10^9</f>
        <v>0.15434705296887466</v>
      </c>
      <c r="V63" s="2">
        <f>V8*'Output-Calculation-sheet'!V52/10^9</f>
        <v>0.27392954395126412</v>
      </c>
      <c r="W63" s="2">
        <f>W8*'Output-Calculation-sheet'!W52/10^9</f>
        <v>9.914966118144751E-2</v>
      </c>
      <c r="X63" s="2">
        <f>X8*'Output-Calculation-sheet'!X52/10^9</f>
        <v>0.11286806188412377</v>
      </c>
      <c r="Y63" s="2">
        <f>Y8*'Output-Calculation-sheet'!Y52/10^9</f>
        <v>6.4692395819387655E-2</v>
      </c>
      <c r="AA63" s="2">
        <f t="shared" si="4"/>
        <v>29.269319435478224</v>
      </c>
    </row>
    <row r="64" spans="1:27" x14ac:dyDescent="0.25">
      <c r="A64" s="2">
        <v>2032</v>
      </c>
      <c r="B64" s="2">
        <f>B9*'Output-Calculation-sheet'!B53/10^9</f>
        <v>7.4968420256661537</v>
      </c>
      <c r="C64" s="2">
        <f>C9*'Output-Calculation-sheet'!C53/10^9</f>
        <v>4.7829829065817355</v>
      </c>
      <c r="D64" s="2">
        <f>D9*'Output-Calculation-sheet'!D53/10^9</f>
        <v>2.2186281761681328</v>
      </c>
      <c r="E64" s="2">
        <f>E9*'Output-Calculation-sheet'!E53/10^9</f>
        <v>2.2719728673777575</v>
      </c>
      <c r="F64" s="2">
        <f>F9*'Output-Calculation-sheet'!F53/10^9</f>
        <v>0.95830390902034746</v>
      </c>
      <c r="G64" s="2">
        <f>G9*'Output-Calculation-sheet'!G53/10^9</f>
        <v>0.68209140686902503</v>
      </c>
      <c r="H64" s="2">
        <f>H9*'Output-Calculation-sheet'!H53/10^9</f>
        <v>1.4014996867893175</v>
      </c>
      <c r="I64" s="2">
        <f>I9*'Output-Calculation-sheet'!I53/10^9</f>
        <v>0.63764398688949031</v>
      </c>
      <c r="J64" s="2">
        <f>J9*'Output-Calculation-sheet'!J53/10^9</f>
        <v>0.84411107892748383</v>
      </c>
      <c r="K64" s="2">
        <f>K9*'Output-Calculation-sheet'!K53/10^9</f>
        <v>0.78322023696869791</v>
      </c>
      <c r="L64" s="2">
        <f>L9*'Output-Calculation-sheet'!L53/10^9</f>
        <v>1.0076104938707524</v>
      </c>
      <c r="M64" s="2">
        <f>M9*'Output-Calculation-sheet'!M53/10^9</f>
        <v>1.0983631278121611</v>
      </c>
      <c r="N64" s="2">
        <f>N9*'Output-Calculation-sheet'!N53/10^9</f>
        <v>0.92469848825439838</v>
      </c>
      <c r="O64" s="2">
        <f>O9*'Output-Calculation-sheet'!O53/10^9</f>
        <v>0.96638979600274333</v>
      </c>
      <c r="P64" s="2">
        <f>P9*'Output-Calculation-sheet'!P53/10^9</f>
        <v>0.59715216163370466</v>
      </c>
      <c r="Q64" s="2">
        <f>Q9*'Output-Calculation-sheet'!Q53/10^9</f>
        <v>0.65994306685254378</v>
      </c>
      <c r="R64" s="2">
        <f>R9*'Output-Calculation-sheet'!R53/10^9</f>
        <v>0.56572705503263532</v>
      </c>
      <c r="S64" s="2">
        <f>S9*'Output-Calculation-sheet'!S53/10^9</f>
        <v>0.46741697728570236</v>
      </c>
      <c r="T64" s="2">
        <f>T9*'Output-Calculation-sheet'!T53/10^9</f>
        <v>0.20336334289111416</v>
      </c>
      <c r="U64" s="2">
        <f>U9*'Output-Calculation-sheet'!U53/10^9</f>
        <v>0.15306734815735085</v>
      </c>
      <c r="V64" s="2">
        <f>V9*'Output-Calculation-sheet'!V53/10^9</f>
        <v>0.24137853616057064</v>
      </c>
      <c r="W64" s="2">
        <f>W9*'Output-Calculation-sheet'!W53/10^9</f>
        <v>8.9691758275883618E-2</v>
      </c>
      <c r="X64" s="2">
        <f>X9*'Output-Calculation-sheet'!X53/10^9</f>
        <v>0.12041839655425514</v>
      </c>
      <c r="Y64" s="2">
        <f>Y9*'Output-Calculation-sheet'!Y53/10^9</f>
        <v>6.2841005615132117E-2</v>
      </c>
      <c r="AA64" s="2">
        <f t="shared" si="4"/>
        <v>29.235357835657098</v>
      </c>
    </row>
    <row r="65" spans="1:27" x14ac:dyDescent="0.25">
      <c r="A65" s="2">
        <v>2033</v>
      </c>
      <c r="B65" s="2">
        <f>B10*'Output-Calculation-sheet'!B54/10^9</f>
        <v>7.9042294331763712</v>
      </c>
      <c r="C65" s="2">
        <f>C10*'Output-Calculation-sheet'!C54/10^9</f>
        <v>5.1312938153178944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1.4483495228586549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0.72773537081484774</v>
      </c>
      <c r="L65" s="2">
        <f>L10*'Output-Calculation-sheet'!L54/10^9</f>
        <v>0.8595550671606117</v>
      </c>
      <c r="M65" s="2">
        <f>M10*'Output-Calculation-sheet'!M54/10^9</f>
        <v>1.0935799614939747</v>
      </c>
      <c r="N65" s="2">
        <f>N10*'Output-Calculation-sheet'!N54/10^9</f>
        <v>0.94431611947322469</v>
      </c>
      <c r="O65" s="2">
        <f>O10*'Output-Calculation-sheet'!O54/10^9</f>
        <v>1.0257153079508781</v>
      </c>
      <c r="P65" s="2">
        <f>P10*'Output-Calculation-sheet'!P54/10^9</f>
        <v>0.61571085803855241</v>
      </c>
      <c r="Q65" s="2">
        <f>Q10*'Output-Calculation-sheet'!Q54/10^9</f>
        <v>0.67192651158178562</v>
      </c>
      <c r="R65" s="2">
        <f>R10*'Output-Calculation-sheet'!R54/10^9</f>
        <v>0.5420631984802331</v>
      </c>
      <c r="S65" s="2">
        <f>S10*'Output-Calculation-sheet'!S54/10^9</f>
        <v>0.49237420877055621</v>
      </c>
      <c r="T65" s="2">
        <f>T10*'Output-Calculation-sheet'!T54/10^9</f>
        <v>0.18123547972417114</v>
      </c>
      <c r="U65" s="2">
        <f>U10*'Output-Calculation-sheet'!U54/10^9</f>
        <v>0.15649257125978108</v>
      </c>
      <c r="V65" s="2">
        <f>V10*'Output-Calculation-sheet'!V54/10^9</f>
        <v>0.20057204688349012</v>
      </c>
      <c r="W65" s="2">
        <f>W10*'Output-Calculation-sheet'!W54/10^9</f>
        <v>7.636239097441766E-2</v>
      </c>
      <c r="X65" s="2">
        <f>X10*'Output-Calculation-sheet'!X54/10^9</f>
        <v>0.12486352620791719</v>
      </c>
      <c r="Y65" s="2">
        <f>Y10*'Output-Calculation-sheet'!Y54/10^9</f>
        <v>6.285601206247407E-2</v>
      </c>
      <c r="AA65" s="2">
        <f t="shared" si="4"/>
        <v>28.921470465108527</v>
      </c>
    </row>
    <row r="66" spans="1:27" x14ac:dyDescent="0.25">
      <c r="A66" s="2">
        <v>2034</v>
      </c>
      <c r="B66" s="2">
        <f>B11*'Output-Calculation-sheet'!B55/10^9</f>
        <v>8.4316966099339954</v>
      </c>
      <c r="C66" s="2">
        <f>C11*'Output-Calculation-sheet'!C55/10^9</f>
        <v>5.4169649901267256</v>
      </c>
      <c r="D66" s="2">
        <f>D11*'Output-Calculation-sheet'!D55/10^9</f>
        <v>1.764164106722623</v>
      </c>
      <c r="E66" s="2">
        <f>E11*'Output-Calculation-sheet'!E55/10^9</f>
        <v>2.1362740968556522</v>
      </c>
      <c r="F66" s="2">
        <f>F11*'Output-Calculation-sheet'!F55/10^9</f>
        <v>0.82100481593184305</v>
      </c>
      <c r="G66" s="2">
        <f>G11*'Output-Calculation-sheet'!G55/10^9</f>
        <v>0.58687436485372879</v>
      </c>
      <c r="H66" s="2">
        <f>H11*'Output-Calculation-sheet'!H55/10^9</f>
        <v>1.4993782276284446</v>
      </c>
      <c r="I66" s="2">
        <f>I11*'Output-Calculation-sheet'!I55/10^9</f>
        <v>0.57386820703293451</v>
      </c>
      <c r="J66" s="2">
        <f>J11*'Output-Calculation-sheet'!J55/10^9</f>
        <v>0.59011227435516755</v>
      </c>
      <c r="K66" s="2">
        <f>K11*'Output-Calculation-sheet'!K55/10^9</f>
        <v>0.70582161140144695</v>
      </c>
      <c r="L66" s="2">
        <f>L11*'Output-Calculation-sheet'!L55/10^9</f>
        <v>0.747513821844358</v>
      </c>
      <c r="M66" s="2">
        <f>M11*'Output-Calculation-sheet'!M55/10^9</f>
        <v>1.0869179233565756</v>
      </c>
      <c r="N66" s="2">
        <f>N11*'Output-Calculation-sheet'!N55/10^9</f>
        <v>0.94967198601108127</v>
      </c>
      <c r="O66" s="2">
        <f>O11*'Output-Calculation-sheet'!O55/10^9</f>
        <v>1.0687984744574746</v>
      </c>
      <c r="P66" s="2">
        <f>P11*'Output-Calculation-sheet'!P55/10^9</f>
        <v>0.65286364236128969</v>
      </c>
      <c r="Q66" s="2">
        <f>Q11*'Output-Calculation-sheet'!Q55/10^9</f>
        <v>0.71035098024101395</v>
      </c>
      <c r="R66" s="2">
        <f>R11*'Output-Calculation-sheet'!R55/10^9</f>
        <v>0.52877673069981024</v>
      </c>
      <c r="S66" s="2">
        <f>S11*'Output-Calculation-sheet'!S55/10^9</f>
        <v>0.51985872455339677</v>
      </c>
      <c r="T66" s="2">
        <f>T11*'Output-Calculation-sheet'!T55/10^9</f>
        <v>0.16573038943696763</v>
      </c>
      <c r="U66" s="2">
        <f>U11*'Output-Calculation-sheet'!U55/10^9</f>
        <v>0.1683198493551929</v>
      </c>
      <c r="V66" s="2">
        <f>V11*'Output-Calculation-sheet'!V55/10^9</f>
        <v>0.15721865504744856</v>
      </c>
      <c r="W66" s="2">
        <f>W11*'Output-Calculation-sheet'!W55/10^9</f>
        <v>7.1188288227360424E-2</v>
      </c>
      <c r="X66" s="2">
        <f>X11*'Output-Calculation-sheet'!X55/10^9</f>
        <v>0.12703436286296521</v>
      </c>
      <c r="Y66" s="2">
        <f>Y11*'Output-Calculation-sheet'!Y55/10^9</f>
        <v>6.985492129722301E-2</v>
      </c>
      <c r="AA66" s="2">
        <f t="shared" si="4"/>
        <v>29.550258054594718</v>
      </c>
    </row>
    <row r="67" spans="1:27" x14ac:dyDescent="0.25">
      <c r="A67" s="2">
        <v>2035</v>
      </c>
      <c r="B67" s="2">
        <f>B12*'Output-Calculation-sheet'!B56/10^9</f>
        <v>8.9791653665482372</v>
      </c>
      <c r="C67" s="2">
        <f>C12*'Output-Calculation-sheet'!C56/10^9</f>
        <v>5.6393770273281749</v>
      </c>
      <c r="D67" s="2">
        <f>D12*'Output-Calculation-sheet'!D56/10^9</f>
        <v>1.8682438793814422</v>
      </c>
      <c r="E67" s="2">
        <f>E12*'Output-Calculation-sheet'!E56/10^9</f>
        <v>2.5364707942310822</v>
      </c>
      <c r="F67" s="2">
        <f>F12*'Output-Calculation-sheet'!F56/10^9</f>
        <v>0.92645553550005155</v>
      </c>
      <c r="G67" s="2">
        <f>G12*'Output-Calculation-sheet'!G56/10^9</f>
        <v>0.64899116494011755</v>
      </c>
      <c r="H67" s="2">
        <f>H12*'Output-Calculation-sheet'!H56/10^9</f>
        <v>1.5677074874739776</v>
      </c>
      <c r="I67" s="2">
        <f>I12*'Output-Calculation-sheet'!I56/10^9</f>
        <v>0.63043939975002683</v>
      </c>
      <c r="J67" s="2">
        <f>J12*'Output-Calculation-sheet'!J56/10^9</f>
        <v>0.62412501351988725</v>
      </c>
      <c r="K67" s="2">
        <f>K12*'Output-Calculation-sheet'!K56/10^9</f>
        <v>0.75207739217852476</v>
      </c>
      <c r="L67" s="2">
        <f>L12*'Output-Calculation-sheet'!L56/10^9</f>
        <v>0.75551840517281732</v>
      </c>
      <c r="M67" s="2">
        <f>M12*'Output-Calculation-sheet'!M56/10^9</f>
        <v>1.1467988781527614</v>
      </c>
      <c r="N67" s="2">
        <f>N12*'Output-Calculation-sheet'!N56/10^9</f>
        <v>0.98500231057074905</v>
      </c>
      <c r="O67" s="2">
        <f>O12*'Output-Calculation-sheet'!O56/10^9</f>
        <v>1.1049477363292721</v>
      </c>
      <c r="P67" s="2">
        <f>P12*'Output-Calculation-sheet'!P56/10^9</f>
        <v>0.72843972288869807</v>
      </c>
      <c r="Q67" s="2">
        <f>Q12*'Output-Calculation-sheet'!Q56/10^9</f>
        <v>0.74977646750896687</v>
      </c>
      <c r="R67" s="2">
        <f>R12*'Output-Calculation-sheet'!R56/10^9</f>
        <v>0.57049882937057306</v>
      </c>
      <c r="S67" s="2">
        <f>S12*'Output-Calculation-sheet'!S56/10^9</f>
        <v>0.54362162525873126</v>
      </c>
      <c r="T67" s="2">
        <f>T12*'Output-Calculation-sheet'!T56/10^9</f>
        <v>0.17288442950193353</v>
      </c>
      <c r="U67" s="2">
        <f>U12*'Output-Calculation-sheet'!U56/10^9</f>
        <v>0.18078269070550093</v>
      </c>
      <c r="V67" s="2">
        <f>V12*'Output-Calculation-sheet'!V56/10^9</f>
        <v>0.13867660116103445</v>
      </c>
      <c r="W67" s="2">
        <f>W12*'Output-Calculation-sheet'!W56/10^9</f>
        <v>8.3728555231367047E-2</v>
      </c>
      <c r="X67" s="2">
        <f>X12*'Output-Calculation-sheet'!X56/10^9</f>
        <v>0.13254689401317518</v>
      </c>
      <c r="Y67" s="2">
        <f>Y12*'Output-Calculation-sheet'!Y56/10^9</f>
        <v>8.0910525981281373E-2</v>
      </c>
      <c r="AA67" s="2">
        <f t="shared" si="4"/>
        <v>31.547186732698385</v>
      </c>
    </row>
    <row r="68" spans="1:27" x14ac:dyDescent="0.25">
      <c r="B68" s="2">
        <f>SUM(B60:B67)</f>
        <v>40.023566097163005</v>
      </c>
      <c r="C68" s="2">
        <f t="shared" ref="C68:Y68" si="5">SUM(C60:C67)</f>
        <v>25.332685394338839</v>
      </c>
      <c r="D68" s="2">
        <f t="shared" si="5"/>
        <v>10.191349294398265</v>
      </c>
      <c r="E68" s="2">
        <f t="shared" si="5"/>
        <v>11.506102791364764</v>
      </c>
      <c r="F68" s="2">
        <f t="shared" si="5"/>
        <v>4.6006793642230246</v>
      </c>
      <c r="G68" s="2">
        <f t="shared" si="5"/>
        <v>3.2526897846298723</v>
      </c>
      <c r="H68" s="2">
        <f t="shared" si="5"/>
        <v>7.2246230198647687</v>
      </c>
      <c r="I68" s="2">
        <f t="shared" si="5"/>
        <v>3.1090541993374368</v>
      </c>
      <c r="J68" s="2">
        <f t="shared" si="5"/>
        <v>3.6987636638093728</v>
      </c>
      <c r="K68" s="2">
        <f t="shared" si="5"/>
        <v>3.810838210683039</v>
      </c>
      <c r="L68" s="2">
        <f t="shared" si="5"/>
        <v>4.5027062404997009</v>
      </c>
      <c r="M68" s="2">
        <f t="shared" si="5"/>
        <v>5.4871238343773054</v>
      </c>
      <c r="N68" s="2">
        <f t="shared" si="5"/>
        <v>4.6896218025590235</v>
      </c>
      <c r="O68" s="2">
        <f t="shared" si="5"/>
        <v>5.0561753322740675</v>
      </c>
      <c r="P68" s="2">
        <f t="shared" si="5"/>
        <v>3.1759543395489382</v>
      </c>
      <c r="Q68" s="2">
        <f t="shared" si="5"/>
        <v>3.4504105002436769</v>
      </c>
      <c r="R68" s="2">
        <f t="shared" si="5"/>
        <v>2.798190418044384</v>
      </c>
      <c r="S68" s="2">
        <f t="shared" si="5"/>
        <v>2.4613158123588703</v>
      </c>
      <c r="T68" s="2">
        <f t="shared" si="5"/>
        <v>0.94795077197965183</v>
      </c>
      <c r="U68" s="2">
        <f t="shared" si="5"/>
        <v>0.81300951244670039</v>
      </c>
      <c r="V68" s="2">
        <f t="shared" si="5"/>
        <v>1.0117753832038081</v>
      </c>
      <c r="W68" s="2">
        <f t="shared" si="5"/>
        <v>0.42012065389047626</v>
      </c>
      <c r="X68" s="2">
        <f t="shared" si="5"/>
        <v>0.61773124152243652</v>
      </c>
      <c r="Y68" s="2">
        <f t="shared" si="5"/>
        <v>0.34115486077549817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784.65122249559477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1430.9690371272025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964.99866946523593</v>
      </c>
      <c r="N74" s="2">
        <f>N8/'Output-Calculation-sheet'!N7*'Output-Calculation-sheet'!N61</f>
        <v>43.337126729688819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8.5631691389181022</v>
      </c>
      <c r="Y74" s="2">
        <f>Y8/'Output-Calculation-sheet'!Y7*'Output-Calculation-sheet'!Y61</f>
        <v>0</v>
      </c>
      <c r="AA74" s="2">
        <f t="shared" si="6"/>
        <v>3.2325192249566399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137.7999767625771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2481.1413732657329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1681.9052128603018</v>
      </c>
      <c r="N75" s="2">
        <f>N9/'Output-Calculation-sheet'!N8*'Output-Calculation-sheet'!N62</f>
        <v>648.19412634711273</v>
      </c>
      <c r="O75" s="2">
        <f>O9/'Output-Calculation-sheet'!O8*'Output-Calculation-sheet'!O62</f>
        <v>48.13686312804947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217.44213477621307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59.359550208515323</v>
      </c>
      <c r="Y75" s="2">
        <f>Y9/'Output-Calculation-sheet'!Y8*'Output-Calculation-sheet'!Y62</f>
        <v>0</v>
      </c>
      <c r="AA75" s="2">
        <f t="shared" si="6"/>
        <v>5.325285303965261</v>
      </c>
    </row>
    <row r="76" spans="1:27" x14ac:dyDescent="0.25">
      <c r="A76" s="2">
        <v>2033</v>
      </c>
      <c r="B76" s="2">
        <f>B10/'Output-Calculation-sheet'!B9*'Output-Calculation-sheet'!B63</f>
        <v>5507.5030719682509</v>
      </c>
      <c r="C76" s="2">
        <f>C10/'Output-Calculation-sheet'!C9*'Output-Calculation-sheet'!C63</f>
        <v>1135.2116991332994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3611.393170525796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2453.5292380439428</v>
      </c>
      <c r="N76" s="2">
        <f>N10/'Output-Calculation-sheet'!N9*'Output-Calculation-sheet'!N63</f>
        <v>1403.2389246601463</v>
      </c>
      <c r="O76" s="2">
        <f>O10/'Output-Calculation-sheet'!O9*'Output-Calculation-sheet'!O63</f>
        <v>232.85080259148521</v>
      </c>
      <c r="P76" s="2">
        <f>P10/'Output-Calculation-sheet'!P9*'Output-Calculation-sheet'!P63</f>
        <v>484.56639025224871</v>
      </c>
      <c r="Q76" s="2">
        <f>Q10/'Output-Calculation-sheet'!Q9*'Output-Calculation-sheet'!Q63</f>
        <v>219.00009915372942</v>
      </c>
      <c r="R76" s="2">
        <f>R10/'Output-Calculation-sheet'!R9*'Output-Calculation-sheet'!R63</f>
        <v>368.74718351283315</v>
      </c>
      <c r="S76" s="2">
        <f>S10/'Output-Calculation-sheet'!S9*'Output-Calculation-sheet'!S63</f>
        <v>625.64917526956242</v>
      </c>
      <c r="T76" s="2">
        <f>T10/'Output-Calculation-sheet'!T9*'Output-Calculation-sheet'!T63</f>
        <v>24.233471310640507</v>
      </c>
      <c r="U76" s="2">
        <f>U10/'Output-Calculation-sheet'!U9*'Output-Calculation-sheet'!U63</f>
        <v>131.00527410017133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140.87203568779012</v>
      </c>
      <c r="Y76" s="2">
        <f>Y10/'Output-Calculation-sheet'!Y9*'Output-Calculation-sheet'!Y63</f>
        <v>6.213898131621602</v>
      </c>
      <c r="AA76" s="2">
        <f t="shared" si="6"/>
        <v>16.445740218883621</v>
      </c>
    </row>
    <row r="77" spans="1:27" x14ac:dyDescent="0.25">
      <c r="A77" s="2">
        <v>2034</v>
      </c>
      <c r="B77" s="2">
        <f>B11/'Output-Calculation-sheet'!B10*'Output-Calculation-sheet'!B64</f>
        <v>13389.449046201822</v>
      </c>
      <c r="C77" s="2">
        <f>C11/'Output-Calculation-sheet'!C10*'Output-Calculation-sheet'!C64</f>
        <v>2010.8586325290921</v>
      </c>
      <c r="D77" s="2">
        <f>D11/'Output-Calculation-sheet'!D10*'Output-Calculation-sheet'!D64</f>
        <v>1720.3563939963587</v>
      </c>
      <c r="E77" s="2">
        <f>E11/'Output-Calculation-sheet'!E10*'Output-Calculation-sheet'!E64</f>
        <v>2121.4127189986625</v>
      </c>
      <c r="F77" s="2">
        <f>F11/'Output-Calculation-sheet'!F10*'Output-Calculation-sheet'!F64</f>
        <v>136.60224270326498</v>
      </c>
      <c r="G77" s="2">
        <f>G11/'Output-Calculation-sheet'!G10*'Output-Calculation-sheet'!G64</f>
        <v>857.10949373912263</v>
      </c>
      <c r="H77" s="2">
        <f>H11/'Output-Calculation-sheet'!H10*'Output-Calculation-sheet'!H64</f>
        <v>4567.6082229848162</v>
      </c>
      <c r="I77" s="2">
        <f>I11/'Output-Calculation-sheet'!I10*'Output-Calculation-sheet'!I64</f>
        <v>532.96477415064692</v>
      </c>
      <c r="J77" s="2">
        <f>J11/'Output-Calculation-sheet'!J10*'Output-Calculation-sheet'!J64</f>
        <v>373.98310435374617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341.30051684856255</v>
      </c>
      <c r="M77" s="2">
        <f>M11/'Output-Calculation-sheet'!M10*'Output-Calculation-sheet'!M64</f>
        <v>3237.5871427122552</v>
      </c>
      <c r="N77" s="2">
        <f>N11/'Output-Calculation-sheet'!N10*'Output-Calculation-sheet'!N64</f>
        <v>2271.6381124090599</v>
      </c>
      <c r="O77" s="2">
        <f>O11/'Output-Calculation-sheet'!O10*'Output-Calculation-sheet'!O64</f>
        <v>108.50563698414034</v>
      </c>
      <c r="P77" s="2">
        <f>P11/'Output-Calculation-sheet'!P10*'Output-Calculation-sheet'!P64</f>
        <v>997.74887769131431</v>
      </c>
      <c r="Q77" s="2">
        <f>Q11/'Output-Calculation-sheet'!Q10*'Output-Calculation-sheet'!Q64</f>
        <v>711.4847094592925</v>
      </c>
      <c r="R77" s="2">
        <f>R11/'Output-Calculation-sheet'!R10*'Output-Calculation-sheet'!R64</f>
        <v>860.41914364174659</v>
      </c>
      <c r="S77" s="2">
        <f>S11/'Output-Calculation-sheet'!S10*'Output-Calculation-sheet'!S64</f>
        <v>1065.6545345813095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253.08884436433431</v>
      </c>
      <c r="V77" s="2">
        <f>V11/'Output-Calculation-sheet'!V10*'Output-Calculation-sheet'!V64</f>
        <v>122.81330371592668</v>
      </c>
      <c r="W77" s="2">
        <f>W11/'Output-Calculation-sheet'!W10*'Output-Calculation-sheet'!W64</f>
        <v>26.95559259851014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78.690144426635825</v>
      </c>
      <c r="AA77" s="2">
        <f t="shared" si="6"/>
        <v>36.970110397503746</v>
      </c>
    </row>
    <row r="78" spans="1:27" x14ac:dyDescent="0.25">
      <c r="A78" s="2">
        <v>2035</v>
      </c>
      <c r="B78" s="2">
        <f>B12/'Output-Calculation-sheet'!B11*'Output-Calculation-sheet'!B65</f>
        <v>14745.124896153457</v>
      </c>
      <c r="C78" s="2">
        <f>C12/'Output-Calculation-sheet'!C11*'Output-Calculation-sheet'!C65</f>
        <v>4845.6144260509518</v>
      </c>
      <c r="D78" s="2">
        <f>D12/'Output-Calculation-sheet'!D11*'Output-Calculation-sheet'!D65</f>
        <v>1980.0456046165389</v>
      </c>
      <c r="E78" s="2">
        <f>E12/'Output-Calculation-sheet'!E11*'Output-Calculation-sheet'!E65</f>
        <v>3445.721746215032</v>
      </c>
      <c r="F78" s="2">
        <f>F12/'Output-Calculation-sheet'!F11*'Output-Calculation-sheet'!F65</f>
        <v>444.93175633352615</v>
      </c>
      <c r="G78" s="2">
        <f>G12/'Output-Calculation-sheet'!G11*'Output-Calculation-sheet'!G65</f>
        <v>867.47861687039187</v>
      </c>
      <c r="H78" s="2">
        <f>H12/'Output-Calculation-sheet'!H11*'Output-Calculation-sheet'!H65</f>
        <v>4693.6313884829615</v>
      </c>
      <c r="I78" s="2">
        <f>I12/'Output-Calculation-sheet'!I11*'Output-Calculation-sheet'!I65</f>
        <v>576.75131371027624</v>
      </c>
      <c r="J78" s="2">
        <f>J12/'Output-Calculation-sheet'!J11*'Output-Calculation-sheet'!J65</f>
        <v>840.10616539135003</v>
      </c>
      <c r="K78" s="2">
        <f>K12/'Output-Calculation-sheet'!K11*'Output-Calculation-sheet'!K65</f>
        <v>1033.0101393009334</v>
      </c>
      <c r="L78" s="2">
        <f>L12/'Output-Calculation-sheet'!L11*'Output-Calculation-sheet'!L65</f>
        <v>882.4217610588347</v>
      </c>
      <c r="M78" s="2">
        <f>M12/'Output-Calculation-sheet'!M11*'Output-Calculation-sheet'!M65</f>
        <v>3427.4301194354584</v>
      </c>
      <c r="N78" s="2">
        <f>N12/'Output-Calculation-sheet'!N11*'Output-Calculation-sheet'!N65</f>
        <v>2469.1345407202048</v>
      </c>
      <c r="O78" s="2">
        <f>O12/'Output-Calculation-sheet'!O11*'Output-Calculation-sheet'!O65</f>
        <v>11.570909491064951</v>
      </c>
      <c r="P78" s="2">
        <f>P12/'Output-Calculation-sheet'!P11*'Output-Calculation-sheet'!P65</f>
        <v>1192.2747125727487</v>
      </c>
      <c r="Q78" s="2">
        <f>Q12/'Output-Calculation-sheet'!Q11*'Output-Calculation-sheet'!Q65</f>
        <v>802.38113814972871</v>
      </c>
      <c r="R78" s="2">
        <f>R12/'Output-Calculation-sheet'!R11*'Output-Calculation-sheet'!R65</f>
        <v>1110.6057566325023</v>
      </c>
      <c r="S78" s="2">
        <f>S12/'Output-Calculation-sheet'!S11*'Output-Calculation-sheet'!S65</f>
        <v>1167.1294451779461</v>
      </c>
      <c r="T78" s="2">
        <f>T12/'Output-Calculation-sheet'!T11*'Output-Calculation-sheet'!T65</f>
        <v>383.14417482944748</v>
      </c>
      <c r="U78" s="2">
        <f>U12/'Output-Calculation-sheet'!U11*'Output-Calculation-sheet'!U65</f>
        <v>262.13967406458289</v>
      </c>
      <c r="V78" s="2">
        <f>V12/'Output-Calculation-sheet'!V11*'Output-Calculation-sheet'!V65</f>
        <v>216.09695578148842</v>
      </c>
      <c r="W78" s="2">
        <f>W12/'Output-Calculation-sheet'!W11*'Output-Calculation-sheet'!W65</f>
        <v>102.18453850211111</v>
      </c>
      <c r="X78" s="2">
        <f>X12/'Output-Calculation-sheet'!X11*'Output-Calculation-sheet'!X65</f>
        <v>28.169528197820984</v>
      </c>
      <c r="Y78" s="2">
        <f>Y12/'Output-Calculation-sheet'!Y11*'Output-Calculation-sheet'!Y65</f>
        <v>95.626481599310154</v>
      </c>
      <c r="AA78" s="2">
        <f t="shared" si="6"/>
        <v>45.622725789338659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22.406400974278139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1.6896581170882505</v>
      </c>
      <c r="H88" s="2">
        <f>H11/'Output-Calculation-sheet'!H10*'Output-Calculation-sheet'!H73</f>
        <v>11.45780522815936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4.8493678950584629</v>
      </c>
      <c r="R88" s="2">
        <f>R11/'Output-Calculation-sheet'!R10*'Output-Calculation-sheet'!R73</f>
        <v>0</v>
      </c>
      <c r="S88" s="2">
        <f>S11/'Output-Calculation-sheet'!S10*'Output-Calculation-sheet'!S73</f>
        <v>2.5382094215277289</v>
      </c>
      <c r="T88" s="2">
        <f>T11/'Output-Calculation-sheet'!T10*'Output-Calculation-sheet'!T73</f>
        <v>0</v>
      </c>
      <c r="U88" s="2">
        <f>U11/'Output-Calculation-sheet'!U10*'Output-Calculation-sheet'!U73</f>
        <v>1.5472399370826628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4.4488681573194612E-2</v>
      </c>
    </row>
    <row r="89" spans="1:27" x14ac:dyDescent="0.25">
      <c r="A89" s="2">
        <v>2035</v>
      </c>
      <c r="B89" s="2">
        <f>B12/'Output-Calculation-sheet'!B11*'Output-Calculation-sheet'!B74</f>
        <v>321.65049345836155</v>
      </c>
      <c r="C89" s="2">
        <f>C12/'Output-Calculation-sheet'!C11*'Output-Calculation-sheet'!C74</f>
        <v>174.47173591500584</v>
      </c>
      <c r="D89" s="2">
        <f>D12/'Output-Calculation-sheet'!D11*'Output-Calculation-sheet'!D74</f>
        <v>28.97846819564219</v>
      </c>
      <c r="E89" s="2">
        <f>E12/'Output-Calculation-sheet'!E11*'Output-Calculation-sheet'!E74</f>
        <v>95.959081988285476</v>
      </c>
      <c r="F89" s="2">
        <f>F12/'Output-Calculation-sheet'!F11*'Output-Calculation-sheet'!F74</f>
        <v>28.968797209032239</v>
      </c>
      <c r="G89" s="2">
        <f>G12/'Output-Calculation-sheet'!G11*'Output-Calculation-sheet'!G74</f>
        <v>20.790463318097345</v>
      </c>
      <c r="H89" s="2">
        <f>H12/'Output-Calculation-sheet'!H11*'Output-Calculation-sheet'!H74</f>
        <v>72.169871768382379</v>
      </c>
      <c r="I89" s="2">
        <f>I12/'Output-Calculation-sheet'!I11*'Output-Calculation-sheet'!I74</f>
        <v>18.699737011462215</v>
      </c>
      <c r="J89" s="2">
        <f>J12/'Output-Calculation-sheet'!J11*'Output-Calculation-sheet'!J74</f>
        <v>9.2532726421328668</v>
      </c>
      <c r="K89" s="2">
        <f>K12/'Output-Calculation-sheet'!K11*'Output-Calculation-sheet'!K74</f>
        <v>13.784148686624453</v>
      </c>
      <c r="L89" s="2">
        <f>L12/'Output-Calculation-sheet'!L11*'Output-Calculation-sheet'!L74</f>
        <v>7.3070136524962095</v>
      </c>
      <c r="M89" s="2">
        <f>M12/'Output-Calculation-sheet'!M11*'Output-Calculation-sheet'!M74</f>
        <v>38.111082450389674</v>
      </c>
      <c r="N89" s="2">
        <f>N12/'Output-Calculation-sheet'!N11*'Output-Calculation-sheet'!N74</f>
        <v>19.296037199031453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26.214925005051558</v>
      </c>
      <c r="Q89" s="2">
        <f>Q12/'Output-Calculation-sheet'!Q11*'Output-Calculation-sheet'!Q74</f>
        <v>21.878719083342361</v>
      </c>
      <c r="R89" s="2">
        <f>R12/'Output-Calculation-sheet'!R11*'Output-Calculation-sheet'!R74</f>
        <v>11.834658304863972</v>
      </c>
      <c r="S89" s="2">
        <f>S12/'Output-Calculation-sheet'!S11*'Output-Calculation-sheet'!S74</f>
        <v>16.91706005978828</v>
      </c>
      <c r="T89" s="2">
        <f>T12/'Output-Calculation-sheet'!T11*'Output-Calculation-sheet'!T74</f>
        <v>2.1891888755028668</v>
      </c>
      <c r="U89" s="2">
        <f>U12/'Output-Calculation-sheet'!U11*'Output-Calculation-sheet'!U74</f>
        <v>6.3460244473689631</v>
      </c>
      <c r="V89" s="2">
        <f>V12/'Output-Calculation-sheet'!V11*'Output-Calculation-sheet'!V74</f>
        <v>0.48933392309692825</v>
      </c>
      <c r="W89" s="2">
        <f>W12/'Output-Calculation-sheet'!W11*'Output-Calculation-sheet'!W74</f>
        <v>2.9661079783325155</v>
      </c>
      <c r="X89" s="2">
        <f>X12/'Output-Calculation-sheet'!X11*'Output-Calculation-sheet'!X74</f>
        <v>0.38007863722351731</v>
      </c>
      <c r="Y89" s="2">
        <f>Y12/'Output-Calculation-sheet'!Y11*'Output-Calculation-sheet'!Y74</f>
        <v>4.0346147066128424</v>
      </c>
      <c r="AA89" s="2">
        <f t="shared" si="7"/>
        <v>0.94375013362003335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8232306093.3667412</v>
      </c>
      <c r="C96" s="2">
        <f>C8/'Output-Calculation-sheet'!C7*'Output-Calculation-sheet'!C79</f>
        <v>1987967262.4755013</v>
      </c>
      <c r="D96" s="2">
        <f>D8/'Output-Calculation-sheet'!D7*'Output-Calculation-sheet'!D79</f>
        <v>1613925675.853744</v>
      </c>
      <c r="E96" s="2">
        <f>E8/'Output-Calculation-sheet'!E7*'Output-Calculation-sheet'!E79</f>
        <v>6046800933.2330952</v>
      </c>
      <c r="F96" s="2">
        <f>F8/'Output-Calculation-sheet'!F7*'Output-Calculation-sheet'!F79</f>
        <v>1763943732.9628196</v>
      </c>
      <c r="G96" s="2">
        <f>G8/'Output-Calculation-sheet'!G7*'Output-Calculation-sheet'!G79</f>
        <v>1132200460.3518281</v>
      </c>
      <c r="H96" s="2">
        <f>H8/'Output-Calculation-sheet'!H7*'Output-Calculation-sheet'!H79</f>
        <v>1394833434.7333114</v>
      </c>
      <c r="I96" s="2">
        <f>I8/'Output-Calculation-sheet'!I7*'Output-Calculation-sheet'!I79</f>
        <v>814160350.36574471</v>
      </c>
      <c r="J96" s="2">
        <f>J8/'Output-Calculation-sheet'!J7*'Output-Calculation-sheet'!J79</f>
        <v>616972205.49143374</v>
      </c>
      <c r="K96" s="2">
        <f>K8/'Output-Calculation-sheet'!K7*'Output-Calculation-sheet'!K79</f>
        <v>773764112.6690042</v>
      </c>
      <c r="L96" s="2">
        <f>L8/'Output-Calculation-sheet'!L7*'Output-Calculation-sheet'!L79</f>
        <v>702445842.87138379</v>
      </c>
      <c r="M96" s="2">
        <f>M8/'Output-Calculation-sheet'!M7*'Output-Calculation-sheet'!M79</f>
        <v>1076246100.0873234</v>
      </c>
      <c r="N96" s="2">
        <f>N8/'Output-Calculation-sheet'!N7*'Output-Calculation-sheet'!N79</f>
        <v>699631746.3475405</v>
      </c>
      <c r="O96" s="2">
        <f>O8/'Output-Calculation-sheet'!O7*'Output-Calculation-sheet'!O79</f>
        <v>262516541.42709267</v>
      </c>
      <c r="P96" s="2">
        <f>P8/'Output-Calculation-sheet'!P7*'Output-Calculation-sheet'!P79</f>
        <v>1332461641.9739447</v>
      </c>
      <c r="Q96" s="2">
        <f>Q8/'Output-Calculation-sheet'!Q7*'Output-Calculation-sheet'!Q79</f>
        <v>565719673.62279081</v>
      </c>
      <c r="R96" s="2">
        <f>R8/'Output-Calculation-sheet'!R7*'Output-Calculation-sheet'!R79</f>
        <v>750869953.27527666</v>
      </c>
      <c r="S96" s="2">
        <f>S8/'Output-Calculation-sheet'!S7*'Output-Calculation-sheet'!S79</f>
        <v>423460200.33732343</v>
      </c>
      <c r="T96" s="2">
        <f>T8/'Output-Calculation-sheet'!T7*'Output-Calculation-sheet'!T79</f>
        <v>255464662.11749384</v>
      </c>
      <c r="U96" s="2">
        <f>U8/'Output-Calculation-sheet'!U7*'Output-Calculation-sheet'!U79</f>
        <v>201082733.85452852</v>
      </c>
      <c r="V96" s="2">
        <f>V8/'Output-Calculation-sheet'!V7*'Output-Calculation-sheet'!V79</f>
        <v>92289973.564039692</v>
      </c>
      <c r="W96" s="2">
        <f>W8/'Output-Calculation-sheet'!W7*'Output-Calculation-sheet'!W79</f>
        <v>284152486.73727101</v>
      </c>
      <c r="X96" s="2">
        <f>X8/'Output-Calculation-sheet'!X7*'Output-Calculation-sheet'!X79</f>
        <v>128158367.33232997</v>
      </c>
      <c r="Y96" s="2">
        <f>Y8/'Output-Calculation-sheet'!Y7*'Output-Calculation-sheet'!Y79</f>
        <v>176369491.3947401</v>
      </c>
      <c r="AA96" s="2">
        <f t="shared" si="8"/>
        <v>31.327743676446303</v>
      </c>
    </row>
    <row r="97" spans="1:27" x14ac:dyDescent="0.25">
      <c r="A97" s="2">
        <v>2032</v>
      </c>
      <c r="B97" s="2">
        <f>B9/'Output-Calculation-sheet'!B8*'Output-Calculation-sheet'!B80</f>
        <v>10280283132.793858</v>
      </c>
      <c r="C97" s="2">
        <f>C9/'Output-Calculation-sheet'!C8*'Output-Calculation-sheet'!C80</f>
        <v>2428021024.8805795</v>
      </c>
      <c r="D97" s="2">
        <f>D9/'Output-Calculation-sheet'!D8*'Output-Calculation-sheet'!D80</f>
        <v>1854736283.7209284</v>
      </c>
      <c r="E97" s="2">
        <f>E9/'Output-Calculation-sheet'!E8*'Output-Calculation-sheet'!E80</f>
        <v>7808176453.2687054</v>
      </c>
      <c r="F97" s="2">
        <f>F9/'Output-Calculation-sheet'!F8*'Output-Calculation-sheet'!F80</f>
        <v>2141269990.8579352</v>
      </c>
      <c r="G97" s="2">
        <f>G9/'Output-Calculation-sheet'!G8*'Output-Calculation-sheet'!G80</f>
        <v>1312056135.0164218</v>
      </c>
      <c r="H97" s="2">
        <f>H9/'Output-Calculation-sheet'!H8*'Output-Calculation-sheet'!H80</f>
        <v>1717952293.666568</v>
      </c>
      <c r="I97" s="2">
        <f>I9/'Output-Calculation-sheet'!I8*'Output-Calculation-sheet'!I80</f>
        <v>989536820.37404132</v>
      </c>
      <c r="J97" s="2">
        <f>J9/'Output-Calculation-sheet'!J8*'Output-Calculation-sheet'!J80</f>
        <v>739456833.81205976</v>
      </c>
      <c r="K97" s="2">
        <f>K9/'Output-Calculation-sheet'!K8*'Output-Calculation-sheet'!K80</f>
        <v>912001393.71787512</v>
      </c>
      <c r="L97" s="2">
        <f>L9/'Output-Calculation-sheet'!L8*'Output-Calculation-sheet'!L80</f>
        <v>879688644.98532772</v>
      </c>
      <c r="M97" s="2">
        <f>M9/'Output-Calculation-sheet'!M8*'Output-Calculation-sheet'!M80</f>
        <v>1355347990.3279448</v>
      </c>
      <c r="N97" s="2">
        <f>N9/'Output-Calculation-sheet'!N8*'Output-Calculation-sheet'!N80</f>
        <v>851571897.62234449</v>
      </c>
      <c r="O97" s="2">
        <f>O9/'Output-Calculation-sheet'!O8*'Output-Calculation-sheet'!O80</f>
        <v>316544147.78820062</v>
      </c>
      <c r="P97" s="2">
        <f>P9/'Output-Calculation-sheet'!P8*'Output-Calculation-sheet'!P80</f>
        <v>1596491443.5278854</v>
      </c>
      <c r="Q97" s="2">
        <f>Q9/'Output-Calculation-sheet'!Q8*'Output-Calculation-sheet'!Q80</f>
        <v>690537925.86416435</v>
      </c>
      <c r="R97" s="2">
        <f>R9/'Output-Calculation-sheet'!R8*'Output-Calculation-sheet'!R80</f>
        <v>925325996.21047032</v>
      </c>
      <c r="S97" s="2">
        <f>S9/'Output-Calculation-sheet'!S8*'Output-Calculation-sheet'!S80</f>
        <v>515000758.03498262</v>
      </c>
      <c r="T97" s="2">
        <f>T9/'Output-Calculation-sheet'!T8*'Output-Calculation-sheet'!T80</f>
        <v>300293442.62769485</v>
      </c>
      <c r="U97" s="2">
        <f>U9/'Output-Calculation-sheet'!U8*'Output-Calculation-sheet'!U80</f>
        <v>238950406.31668329</v>
      </c>
      <c r="V97" s="2">
        <f>V9/'Output-Calculation-sheet'!V8*'Output-Calculation-sheet'!V80</f>
        <v>110217775.03133565</v>
      </c>
      <c r="W97" s="2">
        <f>W9/'Output-Calculation-sheet'!W8*'Output-Calculation-sheet'!W80</f>
        <v>341067805.834351</v>
      </c>
      <c r="X97" s="2">
        <f>X9/'Output-Calculation-sheet'!X8*'Output-Calculation-sheet'!X80</f>
        <v>165189476.82840273</v>
      </c>
      <c r="Y97" s="2">
        <f>Y9/'Output-Calculation-sheet'!Y8*'Output-Calculation-sheet'!Y80</f>
        <v>216845303.56477043</v>
      </c>
      <c r="AA97" s="2">
        <f t="shared" si="8"/>
        <v>38.68656337667354</v>
      </c>
    </row>
    <row r="98" spans="1:27" x14ac:dyDescent="0.25">
      <c r="A98" s="2">
        <v>2033</v>
      </c>
      <c r="B98" s="2">
        <f>B10/'Output-Calculation-sheet'!B9*'Output-Calculation-sheet'!B81</f>
        <v>11926495559.920469</v>
      </c>
      <c r="C98" s="2">
        <f>C10/'Output-Calculation-sheet'!C9*'Output-Calculation-sheet'!C81</f>
        <v>2761712756.9728155</v>
      </c>
      <c r="D98" s="2">
        <f>D10/'Output-Calculation-sheet'!D9*'Output-Calculation-sheet'!D81</f>
        <v>1986758309.1893759</v>
      </c>
      <c r="E98" s="2">
        <f>E10/'Output-Calculation-sheet'!E9*'Output-Calculation-sheet'!E81</f>
        <v>9378266225.1225166</v>
      </c>
      <c r="F98" s="2">
        <f>F10/'Output-Calculation-sheet'!F9*'Output-Calculation-sheet'!F81</f>
        <v>2416316463.0327277</v>
      </c>
      <c r="G98" s="2">
        <f>G10/'Output-Calculation-sheet'!G9*'Output-Calculation-sheet'!G81</f>
        <v>1411664342.6496022</v>
      </c>
      <c r="H98" s="2">
        <f>H10/'Output-Calculation-sheet'!H9*'Output-Calculation-sheet'!H81</f>
        <v>1965255471.2711287</v>
      </c>
      <c r="I98" s="2">
        <f>I10/'Output-Calculation-sheet'!I9*'Output-Calculation-sheet'!I81</f>
        <v>1119981463.0804746</v>
      </c>
      <c r="J98" s="2">
        <f>J10/'Output-Calculation-sheet'!J9*'Output-Calculation-sheet'!J81</f>
        <v>826200758.78513801</v>
      </c>
      <c r="K98" s="2">
        <f>K10/'Output-Calculation-sheet'!K9*'Output-Calculation-sheet'!K81</f>
        <v>1000488710.6414132</v>
      </c>
      <c r="L98" s="2">
        <f>L10/'Output-Calculation-sheet'!L9*'Output-Calculation-sheet'!L81</f>
        <v>1025403071.7068334</v>
      </c>
      <c r="M98" s="2">
        <f>M10/'Output-Calculation-sheet'!M9*'Output-Calculation-sheet'!M81</f>
        <v>1589011715.1718528</v>
      </c>
      <c r="N98" s="2">
        <f>N10/'Output-Calculation-sheet'!N9*'Output-Calculation-sheet'!N81</f>
        <v>965665134.84075797</v>
      </c>
      <c r="O98" s="2">
        <f>O10/'Output-Calculation-sheet'!O9*'Output-Calculation-sheet'!O81</f>
        <v>356165810.31199831</v>
      </c>
      <c r="P98" s="2">
        <f>P10/'Output-Calculation-sheet'!P9*'Output-Calculation-sheet'!P81</f>
        <v>1766953913.0165646</v>
      </c>
      <c r="Q98" s="2">
        <f>Q10/'Output-Calculation-sheet'!Q9*'Output-Calculation-sheet'!Q81</f>
        <v>785114842.67266548</v>
      </c>
      <c r="R98" s="2">
        <f>R10/'Output-Calculation-sheet'!R9*'Output-Calculation-sheet'!R81</f>
        <v>1059730347.8579979</v>
      </c>
      <c r="S98" s="2">
        <f>S10/'Output-Calculation-sheet'!S9*'Output-Calculation-sheet'!S81</f>
        <v>582002592.0823487</v>
      </c>
      <c r="T98" s="2">
        <f>T10/'Output-Calculation-sheet'!T9*'Output-Calculation-sheet'!T81</f>
        <v>327907901.57189733</v>
      </c>
      <c r="U98" s="2">
        <f>U10/'Output-Calculation-sheet'!U9*'Output-Calculation-sheet'!U81</f>
        <v>263484037.37514123</v>
      </c>
      <c r="V98" s="2">
        <f>V10/'Output-Calculation-sheet'!V9*'Output-Calculation-sheet'!V81</f>
        <v>122374122.88863747</v>
      </c>
      <c r="W98" s="2">
        <f>W10/'Output-Calculation-sheet'!W9*'Output-Calculation-sheet'!W81</f>
        <v>378442495.74550271</v>
      </c>
      <c r="X98" s="2">
        <f>X10/'Output-Calculation-sheet'!X9*'Output-Calculation-sheet'!X81</f>
        <v>198392467.43986636</v>
      </c>
      <c r="Y98" s="2">
        <f>Y10/'Output-Calculation-sheet'!Y9*'Output-Calculation-sheet'!Y81</f>
        <v>246994312.55651143</v>
      </c>
      <c r="AA98" s="2">
        <f t="shared" si="8"/>
        <v>44.460782825904239</v>
      </c>
    </row>
    <row r="99" spans="1:27" x14ac:dyDescent="0.25">
      <c r="A99" s="2">
        <v>2034</v>
      </c>
      <c r="B99" s="2">
        <f>B11/'Output-Calculation-sheet'!B10*'Output-Calculation-sheet'!B82</f>
        <v>13133971262.293104</v>
      </c>
      <c r="C99" s="2">
        <f>C11/'Output-Calculation-sheet'!C10*'Output-Calculation-sheet'!C82</f>
        <v>2989728575.7458014</v>
      </c>
      <c r="D99" s="2">
        <f>D11/'Output-Calculation-sheet'!D10*'Output-Calculation-sheet'!D82</f>
        <v>2028010699.1339755</v>
      </c>
      <c r="E99" s="2">
        <f>E11/'Output-Calculation-sheet'!E10*'Output-Calculation-sheet'!E82</f>
        <v>10703503867.017357</v>
      </c>
      <c r="F99" s="2">
        <f>F11/'Output-Calculation-sheet'!F10*'Output-Calculation-sheet'!F82</f>
        <v>2590849336.8193774</v>
      </c>
      <c r="G99" s="2">
        <f>G11/'Output-Calculation-sheet'!G10*'Output-Calculation-sheet'!G82</f>
        <v>1441966571.6273677</v>
      </c>
      <c r="H99" s="2">
        <f>H11/'Output-Calculation-sheet'!H10*'Output-Calculation-sheet'!H82</f>
        <v>2133737962.7605684</v>
      </c>
      <c r="I99" s="2">
        <f>I11/'Output-Calculation-sheet'!I10*'Output-Calculation-sheet'!I82</f>
        <v>1206532529.2161653</v>
      </c>
      <c r="J99" s="2">
        <f>J11/'Output-Calculation-sheet'!J10*'Output-Calculation-sheet'!J82</f>
        <v>879553809.09573054</v>
      </c>
      <c r="K99" s="2">
        <f>K11/'Output-Calculation-sheet'!K10*'Output-Calculation-sheet'!K82</f>
        <v>1044343600.3391464</v>
      </c>
      <c r="L99" s="2">
        <f>L11/'Output-Calculation-sheet'!L10*'Output-Calculation-sheet'!L82</f>
        <v>1136861470.1485023</v>
      </c>
      <c r="M99" s="2">
        <f>M11/'Output-Calculation-sheet'!M10*'Output-Calculation-sheet'!M82</f>
        <v>1772199282.8084362</v>
      </c>
      <c r="N99" s="2">
        <f>N11/'Output-Calculation-sheet'!N10*'Output-Calculation-sheet'!N82</f>
        <v>1042709419.4656626</v>
      </c>
      <c r="O99" s="2">
        <f>O11/'Output-Calculation-sheet'!O10*'Output-Calculation-sheet'!O82</f>
        <v>382150595.52395731</v>
      </c>
      <c r="P99" s="2">
        <f>P11/'Output-Calculation-sheet'!P10*'Output-Calculation-sheet'!P82</f>
        <v>1847183677.745048</v>
      </c>
      <c r="Q99" s="2">
        <f>Q11/'Output-Calculation-sheet'!Q10*'Output-Calculation-sheet'!Q82</f>
        <v>849682674.64417386</v>
      </c>
      <c r="R99" s="2">
        <f>R11/'Output-Calculation-sheet'!R10*'Output-Calculation-sheet'!R82</f>
        <v>1152574484.4961786</v>
      </c>
      <c r="S99" s="2">
        <f>S11/'Output-Calculation-sheet'!S10*'Output-Calculation-sheet'!S82</f>
        <v>624597117.2992872</v>
      </c>
      <c r="T99" s="2">
        <f>T11/'Output-Calculation-sheet'!T10*'Output-Calculation-sheet'!T82</f>
        <v>340117846.09377408</v>
      </c>
      <c r="U99" s="2">
        <f>U11/'Output-Calculation-sheet'!U10*'Output-Calculation-sheet'!U82</f>
        <v>275643610.76796186</v>
      </c>
      <c r="V99" s="2">
        <f>V11/'Output-Calculation-sheet'!V10*'Output-Calculation-sheet'!V82</f>
        <v>129117179.12076651</v>
      </c>
      <c r="W99" s="2">
        <f>W11/'Output-Calculation-sheet'!W10*'Output-Calculation-sheet'!W82</f>
        <v>396906064.1566444</v>
      </c>
      <c r="X99" s="2">
        <f>X11/'Output-Calculation-sheet'!X10*'Output-Calculation-sheet'!X82</f>
        <v>226847222.81768006</v>
      </c>
      <c r="Y99" s="2">
        <f>Y11/'Output-Calculation-sheet'!Y10*'Output-Calculation-sheet'!Y82</f>
        <v>266404195.14440405</v>
      </c>
      <c r="AA99" s="2">
        <f t="shared" si="8"/>
        <v>48.595193054281062</v>
      </c>
    </row>
    <row r="100" spans="1:27" x14ac:dyDescent="0.25">
      <c r="A100" s="2">
        <v>2035</v>
      </c>
      <c r="B100" s="2">
        <f>B12/'Output-Calculation-sheet'!B11*'Output-Calculation-sheet'!B83</f>
        <v>13892337537.854353</v>
      </c>
      <c r="C100" s="2">
        <f>C12/'Output-Calculation-sheet'!C11*'Output-Calculation-sheet'!C83</f>
        <v>3117486602.8655367</v>
      </c>
      <c r="D100" s="2">
        <f>D12/'Output-Calculation-sheet'!D11*'Output-Calculation-sheet'!D83</f>
        <v>1997000423.3833392</v>
      </c>
      <c r="E100" s="2">
        <f>E12/'Output-Calculation-sheet'!E11*'Output-Calculation-sheet'!E83</f>
        <v>11743510837.359173</v>
      </c>
      <c r="F100" s="2">
        <f>F12/'Output-Calculation-sheet'!F11*'Output-Calculation-sheet'!F83</f>
        <v>2671789752.5226097</v>
      </c>
      <c r="G100" s="2">
        <f>G12/'Output-Calculation-sheet'!G11*'Output-Calculation-sheet'!G83</f>
        <v>1415963784.1815259</v>
      </c>
      <c r="H100" s="2">
        <f>H12/'Output-Calculation-sheet'!H11*'Output-Calculation-sheet'!H83</f>
        <v>2225054211.1689987</v>
      </c>
      <c r="I100" s="2">
        <f>I12/'Output-Calculation-sheet'!I11*'Output-Calculation-sheet'!I83</f>
        <v>1252145610.1297169</v>
      </c>
      <c r="J100" s="2">
        <f>J12/'Output-Calculation-sheet'!J11*'Output-Calculation-sheet'!J83</f>
        <v>902944831.46165299</v>
      </c>
      <c r="K100" s="2">
        <f>K12/'Output-Calculation-sheet'!K11*'Output-Calculation-sheet'!K83</f>
        <v>1050040455.003258</v>
      </c>
      <c r="L100" s="2">
        <f>L12/'Output-Calculation-sheet'!L11*'Output-Calculation-sheet'!L83</f>
        <v>1213163504.2199621</v>
      </c>
      <c r="M100" s="2">
        <f>M12/'Output-Calculation-sheet'!M11*'Output-Calculation-sheet'!M83</f>
        <v>1902521404.261462</v>
      </c>
      <c r="N100" s="2">
        <f>N12/'Output-Calculation-sheet'!N11*'Output-Calculation-sheet'!N83</f>
        <v>1085051926.1234074</v>
      </c>
      <c r="O100" s="2">
        <f>O12/'Output-Calculation-sheet'!O11*'Output-Calculation-sheet'!O83</f>
        <v>395684324.658921</v>
      </c>
      <c r="P100" s="2">
        <f>P12/'Output-Calculation-sheet'!P11*'Output-Calculation-sheet'!P83</f>
        <v>1847272439.9729655</v>
      </c>
      <c r="Q100" s="2">
        <f>Q12/'Output-Calculation-sheet'!Q11*'Output-Calculation-sheet'!Q83</f>
        <v>885767002.94845593</v>
      </c>
      <c r="R100" s="2">
        <f>R12/'Output-Calculation-sheet'!R11*'Output-Calculation-sheet'!R83</f>
        <v>1204709042.1436281</v>
      </c>
      <c r="S100" s="2">
        <f>S12/'Output-Calculation-sheet'!S11*'Output-Calculation-sheet'!S83</f>
        <v>644216156.70901978</v>
      </c>
      <c r="T100" s="2">
        <f>T12/'Output-Calculation-sheet'!T11*'Output-Calculation-sheet'!T83</f>
        <v>339309279.75914717</v>
      </c>
      <c r="U100" s="2">
        <f>U12/'Output-Calculation-sheet'!U11*'Output-Calculation-sheet'!U83</f>
        <v>276998033.59479696</v>
      </c>
      <c r="V100" s="2">
        <f>V12/'Output-Calculation-sheet'!V11*'Output-Calculation-sheet'!V83</f>
        <v>131038853.59960718</v>
      </c>
      <c r="W100" s="2">
        <f>W12/'Output-Calculation-sheet'!W11*'Output-Calculation-sheet'!W83</f>
        <v>398449361.02617574</v>
      </c>
      <c r="X100" s="2">
        <f>X12/'Output-Calculation-sheet'!X11*'Output-Calculation-sheet'!X83</f>
        <v>249871551.06924289</v>
      </c>
      <c r="Y100" s="2">
        <f>Y12/'Output-Calculation-sheet'!Y11*'Output-Calculation-sheet'!Y83</f>
        <v>275434465.48578697</v>
      </c>
      <c r="AA100" s="2">
        <f t="shared" si="8"/>
        <v>51.117761391502746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1363.5329300871315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331.12071036108085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31.684199019566751</v>
      </c>
      <c r="Y107" s="2">
        <f>Y8/'Output-Calculation-sheet'!Y7*'Output-Calculation-sheet'!Y88</f>
        <v>0</v>
      </c>
      <c r="AA107" s="2">
        <f t="shared" si="9"/>
        <v>1.7263378394677791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2599.6355561593591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505.03696862262353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43.148085872165638</v>
      </c>
      <c r="Y108" s="2">
        <f>Y9/'Output-Calculation-sheet'!Y8*'Output-Calculation-sheet'!Y89</f>
        <v>0</v>
      </c>
      <c r="AA108" s="2">
        <f t="shared" si="9"/>
        <v>3.1478206106541484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688.17614153648344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4.2762344628861486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954.49507871691151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5.5343579462448194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3778.4035309093451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136.57492364231723</v>
      </c>
      <c r="Y111" s="2">
        <f>Y12/'Output-Calculation-sheet'!Y11*'Output-Calculation-sheet'!Y92</f>
        <v>0</v>
      </c>
      <c r="AA111" s="2">
        <f t="shared" si="9"/>
        <v>5.138376519562649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11285479513.339695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7023253320.2431736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4845449896.3970346</v>
      </c>
      <c r="N118" s="2">
        <f>N8/'Output-Calculation-sheet'!N7*'Output-Calculation-sheet'!N97</f>
        <v>1625132114.3769834</v>
      </c>
      <c r="O118" s="2">
        <f>O8/'Output-Calculation-sheet'!O7*'Output-Calculation-sheet'!O97</f>
        <v>1558125054.8902745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486400460.77968198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263836691.26378119</v>
      </c>
      <c r="Y118" s="2">
        <f>Y8/'Output-Calculation-sheet'!Y7*'Output-Calculation-sheet'!Y97</f>
        <v>0</v>
      </c>
      <c r="AA118" s="2">
        <f t="shared" si="10"/>
        <v>28454.492998514372</v>
      </c>
    </row>
    <row r="119" spans="1:27" x14ac:dyDescent="0.25">
      <c r="A119" s="2">
        <v>2032</v>
      </c>
      <c r="B119" s="2">
        <f>B9/'Output-Calculation-sheet'!B8*'Output-Calculation-sheet'!B98</f>
        <v>6115372727.4549494</v>
      </c>
      <c r="C119" s="2">
        <f>C9/'Output-Calculation-sheet'!C8*'Output-Calculation-sheet'!C98</f>
        <v>9022872000.5619907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9564437358.1613903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6598626003.1536465</v>
      </c>
      <c r="N119" s="2">
        <f>N9/'Output-Calculation-sheet'!N8*'Output-Calculation-sheet'!N98</f>
        <v>3105198089.7778201</v>
      </c>
      <c r="O119" s="2">
        <f>O9/'Output-Calculation-sheet'!O8*'Output-Calculation-sheet'!O98</f>
        <v>1740102532.9172242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930279066.47276103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362912050.03966677</v>
      </c>
      <c r="Y119" s="2">
        <f>Y9/'Output-Calculation-sheet'!Y8*'Output-Calculation-sheet'!Y98</f>
        <v>0</v>
      </c>
      <c r="AA119" s="2">
        <f t="shared" si="10"/>
        <v>37439.799828539442</v>
      </c>
    </row>
    <row r="120" spans="1:27" x14ac:dyDescent="0.25">
      <c r="A120" s="2">
        <v>2033</v>
      </c>
      <c r="B120" s="2">
        <f>B10/'Output-Calculation-sheet'!B9*'Output-Calculation-sheet'!B99</f>
        <v>16387499275.23345</v>
      </c>
      <c r="C120" s="2">
        <f>C10/'Output-Calculation-sheet'!C9*'Output-Calculation-sheet'!C99</f>
        <v>9501145232.6077404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4920102109.9545975</v>
      </c>
      <c r="O120" s="2">
        <f>O10/'Output-Calculation-sheet'!O9*'Output-Calculation-sheet'!O99</f>
        <v>1823673726.3458381</v>
      </c>
      <c r="P120" s="2">
        <f>P10/'Output-Calculation-sheet'!P9*'Output-Calculation-sheet'!P99</f>
        <v>0</v>
      </c>
      <c r="Q120" s="2">
        <f>Q10/'Output-Calculation-sheet'!Q9*'Output-Calculation-sheet'!Q99</f>
        <v>158526646.76652744</v>
      </c>
      <c r="R120" s="2">
        <f>R10/'Output-Calculation-sheet'!R9*'Output-Calculation-sheet'!R99</f>
        <v>0</v>
      </c>
      <c r="S120" s="2">
        <f>S10/'Output-Calculation-sheet'!S9*'Output-Calculation-sheet'!S99</f>
        <v>1984642981.3150702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539724405.05697644</v>
      </c>
      <c r="Y120" s="2">
        <f>Y10/'Output-Calculation-sheet'!Y9*'Output-Calculation-sheet'!Y99</f>
        <v>0</v>
      </c>
      <c r="AA120" s="2">
        <f t="shared" si="10"/>
        <v>55871.849998759717</v>
      </c>
    </row>
    <row r="121" spans="1:27" x14ac:dyDescent="0.25">
      <c r="A121" s="2">
        <v>2034</v>
      </c>
      <c r="B121" s="2">
        <f>B11/'Output-Calculation-sheet'!B10*'Output-Calculation-sheet'!B100</f>
        <v>37986423014.930748</v>
      </c>
      <c r="C121" s="2">
        <f>C11/'Output-Calculation-sheet'!C10*'Output-Calculation-sheet'!C100</f>
        <v>9792001474.3826942</v>
      </c>
      <c r="D121" s="2">
        <f>D11/'Output-Calculation-sheet'!D10*'Output-Calculation-sheet'!D100</f>
        <v>0</v>
      </c>
      <c r="E121" s="2">
        <f>E11/'Output-Calculation-sheet'!E10*'Output-Calculation-sheet'!E100</f>
        <v>804925331.07929599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14430115403.129139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674824844.35551453</v>
      </c>
      <c r="M121" s="2">
        <f>M11/'Output-Calculation-sheet'!M10*'Output-Calculation-sheet'!M100</f>
        <v>10185237751.62101</v>
      </c>
      <c r="N121" s="2">
        <f>N11/'Output-Calculation-sheet'!N10*'Output-Calculation-sheet'!N100</f>
        <v>7035131259.1746235</v>
      </c>
      <c r="O121" s="2">
        <f>O11/'Output-Calculation-sheet'!O10*'Output-Calculation-sheet'!O100</f>
        <v>1045673117.8110112</v>
      </c>
      <c r="P121" s="2">
        <f>P11/'Output-Calculation-sheet'!P10*'Output-Calculation-sheet'!P100</f>
        <v>0</v>
      </c>
      <c r="Q121" s="2">
        <f>Q11/'Output-Calculation-sheet'!Q10*'Output-Calculation-sheet'!Q100</f>
        <v>1181272073.6609762</v>
      </c>
      <c r="R121" s="2">
        <f>R11/'Output-Calculation-sheet'!R10*'Output-Calculation-sheet'!R100</f>
        <v>0</v>
      </c>
      <c r="S121" s="2">
        <f>S11/'Output-Calculation-sheet'!S10*'Output-Calculation-sheet'!S100</f>
        <v>3252323220.3321586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44038939.960312657</v>
      </c>
      <c r="AA121" s="2">
        <f t="shared" si="10"/>
        <v>86919.910072129263</v>
      </c>
    </row>
    <row r="122" spans="1:27" x14ac:dyDescent="0.25">
      <c r="A122" s="2">
        <v>2035</v>
      </c>
      <c r="B122" s="2">
        <f>B12/'Output-Calculation-sheet'!B11*'Output-Calculation-sheet'!B101</f>
        <v>42028300902.490082</v>
      </c>
      <c r="C122" s="2">
        <f>C12/'Output-Calculation-sheet'!C11*'Output-Calculation-sheet'!C101</f>
        <v>17477477151.13232</v>
      </c>
      <c r="D122" s="2">
        <f>D12/'Output-Calculation-sheet'!D11*'Output-Calculation-sheet'!D101</f>
        <v>0</v>
      </c>
      <c r="E122" s="2">
        <f>E12/'Output-Calculation-sheet'!E11*'Output-Calculation-sheet'!E101</f>
        <v>3423538693.3136363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15152851732.884888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1734516979.7885928</v>
      </c>
      <c r="M122" s="2">
        <f>M12/'Output-Calculation-sheet'!M11*'Output-Calculation-sheet'!M101</f>
        <v>10840982658.691078</v>
      </c>
      <c r="N122" s="2">
        <f>N12/'Output-Calculation-sheet'!N11*'Output-Calculation-sheet'!N101</f>
        <v>7698739732.0356388</v>
      </c>
      <c r="O122" s="2">
        <f>O12/'Output-Calculation-sheet'!O11*'Output-Calculation-sheet'!O101</f>
        <v>49634435.230701067</v>
      </c>
      <c r="P122" s="2">
        <f>P12/'Output-Calculation-sheet'!P11*'Output-Calculation-sheet'!P101</f>
        <v>328994058.16269642</v>
      </c>
      <c r="Q122" s="2">
        <f>Q12/'Output-Calculation-sheet'!Q11*'Output-Calculation-sheet'!Q101</f>
        <v>1481909290.6975658</v>
      </c>
      <c r="R122" s="2">
        <f>R12/'Output-Calculation-sheet'!R11*'Output-Calculation-sheet'!R101</f>
        <v>0</v>
      </c>
      <c r="S122" s="2">
        <f>S12/'Output-Calculation-sheet'!S11*'Output-Calculation-sheet'!S101</f>
        <v>3653872208.3512087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132648838.01267736</v>
      </c>
      <c r="Y122" s="2">
        <f>Y12/'Output-Calculation-sheet'!Y11*'Output-Calculation-sheet'!Y101</f>
        <v>78242524.986822218</v>
      </c>
      <c r="AA122" s="2">
        <f t="shared" si="10"/>
        <v>104081.70920577791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3131476521.0865746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2237693247.9205756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147466.82830303724</v>
      </c>
    </row>
    <row r="130" spans="1:27" x14ac:dyDescent="0.25">
      <c r="A130" s="2">
        <v>2032</v>
      </c>
      <c r="B130" s="2">
        <f>B9/'Output-Calculation-sheet'!B8*'Output-Calculation-sheet'!B107</f>
        <v>58948748046.981392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3371897489.3137503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2779240561.8384194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195408.10445815511</v>
      </c>
    </row>
    <row r="131" spans="1:27" x14ac:dyDescent="0.25">
      <c r="A131" s="2">
        <v>2033</v>
      </c>
      <c r="B131" s="2">
        <f>B10/'Output-Calculation-sheet'!B9*'Output-Calculation-sheet'!B108</f>
        <v>66354973409.607689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3316876761.5396528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7219841878.3926258</v>
      </c>
      <c r="R131" s="2">
        <f>R10/'Output-Calculation-sheet'!R9*'Output-Calculation-sheet'!R108</f>
        <v>7098077008.0536556</v>
      </c>
      <c r="S131" s="2">
        <f>S10/'Output-Calculation-sheet'!S9*'Output-Calculation-sheet'!S108</f>
        <v>2732745419.5839262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237969.59490467468</v>
      </c>
    </row>
    <row r="132" spans="1:27" x14ac:dyDescent="0.25">
      <c r="A132" s="2">
        <v>2034</v>
      </c>
      <c r="B132" s="2">
        <f>B11/'Output-Calculation-sheet'!B10*'Output-Calculation-sheet'!B109</f>
        <v>61606309853.173843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32658491343.348537</v>
      </c>
      <c r="F132" s="2">
        <f>F11/'Output-Calculation-sheet'!F10*'Output-Calculation-sheet'!F109</f>
        <v>21542662430.734951</v>
      </c>
      <c r="G132" s="2">
        <f>G11/'Output-Calculation-sheet'!G10*'Output-Calculation-sheet'!G109</f>
        <v>15094107960.632507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13422254698.166344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9989456041.1511993</v>
      </c>
      <c r="M132" s="2">
        <f>M11/'Output-Calculation-sheet'!M10*'Output-Calculation-sheet'!M109</f>
        <v>5.5069703453011341E-9</v>
      </c>
      <c r="N132" s="2">
        <f>N11/'Output-Calculation-sheet'!N10*'Output-Calculation-sheet'!N109</f>
        <v>2961632389.8504558</v>
      </c>
      <c r="O132" s="2">
        <f>O11/'Output-Calculation-sheet'!O10*'Output-Calculation-sheet'!O109</f>
        <v>0</v>
      </c>
      <c r="P132" s="2">
        <f>P11/'Output-Calculation-sheet'!P10*'Output-Calculation-sheet'!P109</f>
        <v>9100817895.8436089</v>
      </c>
      <c r="Q132" s="2">
        <f>Q11/'Output-Calculation-sheet'!Q10*'Output-Calculation-sheet'!Q109</f>
        <v>7489004923.9040556</v>
      </c>
      <c r="R132" s="2">
        <f>R11/'Output-Calculation-sheet'!R10*'Output-Calculation-sheet'!R109</f>
        <v>8613980763.5370731</v>
      </c>
      <c r="S132" s="2">
        <f>S11/'Output-Calculation-sheet'!S10*'Output-Calculation-sheet'!S109</f>
        <v>2367774369.8433404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2668514507.7028837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1028825842.996749</v>
      </c>
      <c r="AA132" s="2">
        <f t="shared" si="11"/>
        <v>264935.77693854191</v>
      </c>
    </row>
    <row r="133" spans="1:27" x14ac:dyDescent="0.25">
      <c r="A133" s="2">
        <v>2035</v>
      </c>
      <c r="B133" s="2">
        <f>B12/'Output-Calculation-sheet'!B11*'Output-Calculation-sheet'!B110</f>
        <v>62349329002.885231</v>
      </c>
      <c r="C133" s="2">
        <f>C12/'Output-Calculation-sheet'!C11*'Output-Calculation-sheet'!C110</f>
        <v>0</v>
      </c>
      <c r="D133" s="2">
        <f>D12/'Output-Calculation-sheet'!D11*'Output-Calculation-sheet'!D110</f>
        <v>43751073074.459068</v>
      </c>
      <c r="E133" s="2">
        <f>E12/'Output-Calculation-sheet'!E11*'Output-Calculation-sheet'!E110</f>
        <v>33942162847.123119</v>
      </c>
      <c r="F133" s="2">
        <f>F12/'Output-Calculation-sheet'!F11*'Output-Calculation-sheet'!F110</f>
        <v>23160063313.135159</v>
      </c>
      <c r="G133" s="2">
        <f>G12/'Output-Calculation-sheet'!G11*'Output-Calculation-sheet'!G110</f>
        <v>15682752382.114899</v>
      </c>
      <c r="H133" s="2">
        <f>H12/'Output-Calculation-sheet'!H11*'Output-Calculation-sheet'!H110</f>
        <v>0</v>
      </c>
      <c r="I133" s="2">
        <f>I12/'Output-Calculation-sheet'!I11*'Output-Calculation-sheet'!I110</f>
        <v>14385079683.41658</v>
      </c>
      <c r="J133" s="2">
        <f>J12/'Output-Calculation-sheet'!J11*'Output-Calculation-sheet'!J110</f>
        <v>14401139642.282217</v>
      </c>
      <c r="K133" s="2">
        <f>K12/'Output-Calculation-sheet'!K11*'Output-Calculation-sheet'!K110</f>
        <v>14130852189.106659</v>
      </c>
      <c r="L133" s="2">
        <f>L12/'Output-Calculation-sheet'!L11*'Output-Calculation-sheet'!L110</f>
        <v>10157550312.800289</v>
      </c>
      <c r="M133" s="2">
        <f>M12/'Output-Calculation-sheet'!M11*'Output-Calculation-sheet'!M110</f>
        <v>0</v>
      </c>
      <c r="N133" s="2">
        <f>N12/'Output-Calculation-sheet'!N11*'Output-Calculation-sheet'!N110</f>
        <v>2951857828.0233164</v>
      </c>
      <c r="O133" s="2">
        <f>O12/'Output-Calculation-sheet'!O11*'Output-Calculation-sheet'!O110</f>
        <v>0</v>
      </c>
      <c r="P133" s="2">
        <f>P12/'Output-Calculation-sheet'!P11*'Output-Calculation-sheet'!P110</f>
        <v>9513251577.9471836</v>
      </c>
      <c r="Q133" s="2">
        <f>Q12/'Output-Calculation-sheet'!Q11*'Output-Calculation-sheet'!Q110</f>
        <v>7599157377.9363852</v>
      </c>
      <c r="R133" s="2">
        <f>R12/'Output-Calculation-sheet'!R11*'Output-Calculation-sheet'!R110</f>
        <v>9406222910.9023247</v>
      </c>
      <c r="S133" s="2">
        <f>S12/'Output-Calculation-sheet'!S11*'Output-Calculation-sheet'!S110</f>
        <v>2267143057.1933069</v>
      </c>
      <c r="T133" s="2">
        <f>T12/'Output-Calculation-sheet'!T11*'Output-Calculation-sheet'!T110</f>
        <v>3515507131.402216</v>
      </c>
      <c r="U133" s="2">
        <f>U12/'Output-Calculation-sheet'!U11*'Output-Calculation-sheet'!U110</f>
        <v>2777582555.9346952</v>
      </c>
      <c r="V133" s="2">
        <f>V12/'Output-Calculation-sheet'!V11*'Output-Calculation-sheet'!V110</f>
        <v>2418833365.9353495</v>
      </c>
      <c r="W133" s="2">
        <f>W12/'Output-Calculation-sheet'!W11*'Output-Calculation-sheet'!W110</f>
        <v>2036943509.9860826</v>
      </c>
      <c r="X133" s="2">
        <f>X12/'Output-Calculation-sheet'!X11*'Output-Calculation-sheet'!X110</f>
        <v>950678.40113689133</v>
      </c>
      <c r="Y133" s="2">
        <f>Y12/'Output-Calculation-sheet'!Y11*'Output-Calculation-sheet'!Y110</f>
        <v>1072886209.9151077</v>
      </c>
      <c r="AA133" s="2">
        <f t="shared" si="11"/>
        <v>275520.33865090029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11228977010.785469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2816571245.9892879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261026776.0163154</v>
      </c>
      <c r="Y140" s="2">
        <f>Y8/'Output-Calculation-sheet'!Y7*'Output-Calculation-sheet'!Y115</f>
        <v>0</v>
      </c>
      <c r="AA140" s="2">
        <f t="shared" si="12"/>
        <v>14306.575032791074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21638546447.309937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4217391319.0264778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351812457.11319041</v>
      </c>
      <c r="Y141" s="2">
        <f>Y9/'Output-Calculation-sheet'!Y8*'Output-Calculation-sheet'!Y116</f>
        <v>0</v>
      </c>
      <c r="AA141" s="2">
        <f t="shared" si="12"/>
        <v>26207.750223449602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29492665611.001766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5752811930.8113117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369204294.54745901</v>
      </c>
      <c r="Y142" s="2">
        <f>Y10/'Output-Calculation-sheet'!Y9*'Output-Calculation-sheet'!Y117</f>
        <v>0</v>
      </c>
      <c r="AA142" s="2">
        <f t="shared" si="12"/>
        <v>35614.681836360542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37531033091.71666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8149447991.9850321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46295.664072520172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31056187082.540932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10707010389.919531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1150963504.5133066</v>
      </c>
      <c r="Y144" s="2">
        <f>Y12/'Output-Calculation-sheet'!Y11*'Output-Calculation-sheet'!Y119</f>
        <v>0</v>
      </c>
      <c r="AA144" s="2">
        <f t="shared" si="12"/>
        <v>42914.16097697377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15323782439.110767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2209407091.8532991</v>
      </c>
      <c r="H154" s="2">
        <f>H11/'Output-Calculation-sheet'!H10*'Output-Calculation-sheet'!H127</f>
        <v>2514944053.1893854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1601333049.5931513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939355771.97551107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497574415.78251421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59098.456871295843</v>
      </c>
    </row>
    <row r="155" spans="1:27" x14ac:dyDescent="0.25">
      <c r="A155" s="2">
        <v>2035</v>
      </c>
      <c r="B155" s="2">
        <f>B12/'Output-Calculation-sheet'!B11*'Output-Calculation-sheet'!B128</f>
        <v>15571697739.235706</v>
      </c>
      <c r="C155" s="2">
        <f>C12/'Output-Calculation-sheet'!C11*'Output-Calculation-sheet'!C128</f>
        <v>7438716957.8129683</v>
      </c>
      <c r="D155" s="2">
        <f>D12/'Output-Calculation-sheet'!D11*'Output-Calculation-sheet'!D128</f>
        <v>5976388877.5623646</v>
      </c>
      <c r="E155" s="2">
        <f>E12/'Output-Calculation-sheet'!E11*'Output-Calculation-sheet'!E128</f>
        <v>2938826340.0111289</v>
      </c>
      <c r="F155" s="2">
        <f>F12/'Output-Calculation-sheet'!F11*'Output-Calculation-sheet'!F128</f>
        <v>2399771056.8832927</v>
      </c>
      <c r="G155" s="2">
        <f>G12/'Output-Calculation-sheet'!G11*'Output-Calculation-sheet'!G128</f>
        <v>2281278633.582087</v>
      </c>
      <c r="H155" s="2">
        <f>H12/'Output-Calculation-sheet'!H11*'Output-Calculation-sheet'!H128</f>
        <v>2555115567.0406966</v>
      </c>
      <c r="I155" s="2">
        <f>I12/'Output-Calculation-sheet'!I11*'Output-Calculation-sheet'!I128</f>
        <v>1963540951.9059081</v>
      </c>
      <c r="J155" s="2">
        <f>J12/'Output-Calculation-sheet'!J11*'Output-Calculation-sheet'!J128</f>
        <v>1429430289.8568258</v>
      </c>
      <c r="K155" s="2">
        <f>K12/'Output-Calculation-sheet'!K11*'Output-Calculation-sheet'!K128</f>
        <v>1579864075.4291565</v>
      </c>
      <c r="L155" s="2">
        <f>L12/'Output-Calculation-sheet'!L11*'Output-Calculation-sheet'!L128</f>
        <v>687802862.36430275</v>
      </c>
      <c r="M155" s="2">
        <f>M12/'Output-Calculation-sheet'!M11*'Output-Calculation-sheet'!M128</f>
        <v>1364560377.848484</v>
      </c>
      <c r="N155" s="2">
        <f>N12/'Output-Calculation-sheet'!N11*'Output-Calculation-sheet'!N128</f>
        <v>1202493851.352277</v>
      </c>
      <c r="O155" s="2">
        <f>O12/'Output-Calculation-sheet'!O11*'Output-Calculation-sheet'!O128</f>
        <v>19707279.853333864</v>
      </c>
      <c r="P155" s="2">
        <f>P12/'Output-Calculation-sheet'!P11*'Output-Calculation-sheet'!P128</f>
        <v>1047681365.3014859</v>
      </c>
      <c r="Q155" s="2">
        <f>Q12/'Output-Calculation-sheet'!Q11*'Output-Calculation-sheet'!Q128</f>
        <v>1577426805.7792833</v>
      </c>
      <c r="R155" s="2">
        <f>R12/'Output-Calculation-sheet'!R11*'Output-Calculation-sheet'!R128</f>
        <v>807604873.87396812</v>
      </c>
      <c r="S155" s="2">
        <f>S12/'Output-Calculation-sheet'!S11*'Output-Calculation-sheet'!S128</f>
        <v>894565677.43157434</v>
      </c>
      <c r="T155" s="2">
        <f>T12/'Output-Calculation-sheet'!T11*'Output-Calculation-sheet'!T128</f>
        <v>220017641.44690159</v>
      </c>
      <c r="U155" s="2">
        <f>U12/'Output-Calculation-sheet'!U11*'Output-Calculation-sheet'!U128</f>
        <v>509903381.64731854</v>
      </c>
      <c r="V155" s="2">
        <f>V12/'Output-Calculation-sheet'!V11*'Output-Calculation-sheet'!V128</f>
        <v>76078090.692167953</v>
      </c>
      <c r="W155" s="2">
        <f>W12/'Output-Calculation-sheet'!W11*'Output-Calculation-sheet'!W128</f>
        <v>153381108.82157618</v>
      </c>
      <c r="X155" s="2">
        <f>X12/'Output-Calculation-sheet'!X11*'Output-Calculation-sheet'!X128</f>
        <v>10845650.335191488</v>
      </c>
      <c r="Y155" s="2">
        <f>Y12/'Output-Calculation-sheet'!Y11*'Output-Calculation-sheet'!Y128</f>
        <v>145695072.0199618</v>
      </c>
      <c r="AA155" s="2">
        <f t="shared" si="13"/>
        <v>52852.394528087942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7335.0658740187828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4622.1539297226236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3208.4175447032308</v>
      </c>
      <c r="N19" s="2">
        <f>N8/'Output-Calculation-sheet'!N7*'Output-Calculation-sheet'!N25</f>
        <v>1096.0813378376888</v>
      </c>
      <c r="O19" s="2">
        <f>O8/'Output-Calculation-sheet'!O7*'Output-Calculation-sheet'!O25</f>
        <v>946.73563796982887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169.38380669297899</v>
      </c>
      <c r="Y19" s="2">
        <f>Y8/'Output-Calculation-sheet'!Y7*'Output-Calculation-sheet'!Y25</f>
        <v>0</v>
      </c>
      <c r="AA19" s="2">
        <f t="shared" si="0"/>
        <v>18.798413185811508</v>
      </c>
    </row>
    <row r="20" spans="1:27" x14ac:dyDescent="0.25">
      <c r="A20" s="2">
        <v>2032</v>
      </c>
      <c r="B20" s="2">
        <f>B9/'Output-Calculation-sheet'!B8*'Output-Calculation-sheet'!B26</f>
        <v>5305.0700350974521</v>
      </c>
      <c r="C20" s="2">
        <f>C9/'Output-Calculation-sheet'!C8*'Output-Calculation-sheet'!C26</f>
        <v>5120.657398093128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5769.7450215681883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4010.5973264401118</v>
      </c>
      <c r="N20" s="2">
        <f>N9/'Output-Calculation-sheet'!N8*'Output-Calculation-sheet'!N26</f>
        <v>1805.8304884675142</v>
      </c>
      <c r="O20" s="2">
        <f>O9/'Output-Calculation-sheet'!O8*'Output-Calculation-sheet'!O26</f>
        <v>985.16055467205138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656.45962710517858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214.28929970088879</v>
      </c>
      <c r="Y20" s="2">
        <f>Y9/'Output-Calculation-sheet'!Y8*'Output-Calculation-sheet'!Y26</f>
        <v>0</v>
      </c>
      <c r="AA20" s="2">
        <f t="shared" si="0"/>
        <v>23.867809751144513</v>
      </c>
    </row>
    <row r="21" spans="1:27" x14ac:dyDescent="0.25">
      <c r="A21" s="2">
        <v>2033</v>
      </c>
      <c r="B21" s="2">
        <f>B10/'Output-Calculation-sheet'!B9*'Output-Calculation-sheet'!B27</f>
        <v>10952.266433434967</v>
      </c>
      <c r="C21" s="2">
        <f>C10/'Output-Calculation-sheet'!C9*'Output-Calculation-sheet'!C27</f>
        <v>4550.8548798410238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6362.9399755750574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4421.3388760651496</v>
      </c>
      <c r="N21" s="2">
        <f>N10/'Output-Calculation-sheet'!N9*'Output-Calculation-sheet'!N27</f>
        <v>2414.7421146907518</v>
      </c>
      <c r="O21" s="2">
        <f>O10/'Output-Calculation-sheet'!O9*'Output-Calculation-sheet'!O27</f>
        <v>875.18127480951921</v>
      </c>
      <c r="P21" s="2">
        <f>P10/'Output-Calculation-sheet'!P9*'Output-Calculation-sheet'!P27</f>
        <v>0</v>
      </c>
      <c r="Q21" s="2">
        <f>Q10/'Output-Calculation-sheet'!Q9*'Output-Calculation-sheet'!Q27</f>
        <v>161.84032186977362</v>
      </c>
      <c r="R21" s="2">
        <f>R10/'Output-Calculation-sheet'!R9*'Output-Calculation-sheet'!R27</f>
        <v>0</v>
      </c>
      <c r="S21" s="2">
        <f>S10/'Output-Calculation-sheet'!S9*'Output-Calculation-sheet'!S27</f>
        <v>1051.1790896931668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280.17128599575307</v>
      </c>
      <c r="Y21" s="2">
        <f>Y10/'Output-Calculation-sheet'!Y9*'Output-Calculation-sheet'!Y27</f>
        <v>0</v>
      </c>
      <c r="AA21" s="2">
        <f t="shared" si="0"/>
        <v>31.070514251975162</v>
      </c>
    </row>
    <row r="22" spans="1:27" x14ac:dyDescent="0.25">
      <c r="A22" s="2">
        <v>2034</v>
      </c>
      <c r="B22" s="2">
        <f>B11/'Output-Calculation-sheet'!B10*'Output-Calculation-sheet'!B28</f>
        <v>17195.862931212643</v>
      </c>
      <c r="C22" s="2">
        <f>C11/'Output-Calculation-sheet'!C10*'Output-Calculation-sheet'!C28</f>
        <v>3743.4419891168618</v>
      </c>
      <c r="D22" s="2">
        <f>D11/'Output-Calculation-sheet'!D10*'Output-Calculation-sheet'!D28</f>
        <v>0</v>
      </c>
      <c r="E22" s="2">
        <f>E11/'Output-Calculation-sheet'!E10*'Output-Calculation-sheet'!E28</f>
        <v>883.5198810150124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6567.5201691125712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535.82202559235895</v>
      </c>
      <c r="M22" s="2">
        <f>M11/'Output-Calculation-sheet'!M10*'Output-Calculation-sheet'!M28</f>
        <v>4872.7333186163532</v>
      </c>
      <c r="N22" s="2">
        <f>N11/'Output-Calculation-sheet'!N10*'Output-Calculation-sheet'!N28</f>
        <v>2805.8661120964571</v>
      </c>
      <c r="O22" s="2">
        <f>O11/'Output-Calculation-sheet'!O10*'Output-Calculation-sheet'!O28</f>
        <v>398.16936852686513</v>
      </c>
      <c r="P22" s="2">
        <f>P11/'Output-Calculation-sheet'!P10*'Output-Calculation-sheet'!P28</f>
        <v>0</v>
      </c>
      <c r="Q22" s="2">
        <f>Q11/'Output-Calculation-sheet'!Q10*'Output-Calculation-sheet'!Q28</f>
        <v>809.81577565494024</v>
      </c>
      <c r="R22" s="2">
        <f>R11/'Output-Calculation-sheet'!R10*'Output-Calculation-sheet'!R28</f>
        <v>0</v>
      </c>
      <c r="S22" s="2">
        <f>S11/'Output-Calculation-sheet'!S10*'Output-Calculation-sheet'!S28</f>
        <v>1338.436006180149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48.773453181612446</v>
      </c>
      <c r="AA22" s="2">
        <f t="shared" si="0"/>
        <v>39.399488281696279</v>
      </c>
    </row>
    <row r="23" spans="1:27" x14ac:dyDescent="0.25">
      <c r="A23" s="2">
        <v>2035</v>
      </c>
      <c r="B23" s="2">
        <f>B12/'Output-Calculation-sheet'!B11*'Output-Calculation-sheet'!B29</f>
        <v>13730.998802038062</v>
      </c>
      <c r="C23" s="2">
        <f>C12/'Output-Calculation-sheet'!C11*'Output-Calculation-sheet'!C29</f>
        <v>5163.471710778882</v>
      </c>
      <c r="D23" s="2">
        <f>D12/'Output-Calculation-sheet'!D11*'Output-Calculation-sheet'!D29</f>
        <v>0</v>
      </c>
      <c r="E23" s="2">
        <f>E12/'Output-Calculation-sheet'!E11*'Output-Calculation-sheet'!E29</f>
        <v>2329.9086125036688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5010.8350836771478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837.49030372607047</v>
      </c>
      <c r="M23" s="2">
        <f>M12/'Output-Calculation-sheet'!M11*'Output-Calculation-sheet'!M29</f>
        <v>3850.6778427590034</v>
      </c>
      <c r="N23" s="2">
        <f>N12/'Output-Calculation-sheet'!N11*'Output-Calculation-sheet'!N29</f>
        <v>2290.9398839840292</v>
      </c>
      <c r="O23" s="2">
        <f>O12/'Output-Calculation-sheet'!O11*'Output-Calculation-sheet'!O29</f>
        <v>14.031011956472126</v>
      </c>
      <c r="P23" s="2">
        <f>P12/'Output-Calculation-sheet'!P11*'Output-Calculation-sheet'!P29</f>
        <v>259.69132308823708</v>
      </c>
      <c r="Q23" s="2">
        <f>Q12/'Output-Calculation-sheet'!Q11*'Output-Calculation-sheet'!Q29</f>
        <v>707.91980285722343</v>
      </c>
      <c r="R23" s="2">
        <f>R12/'Output-Calculation-sheet'!R11*'Output-Calculation-sheet'!R29</f>
        <v>0</v>
      </c>
      <c r="S23" s="2">
        <f>S12/'Output-Calculation-sheet'!S11*'Output-Calculation-sheet'!S29</f>
        <v>1094.4877830975659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37.49799252660214</v>
      </c>
      <c r="Y23" s="2">
        <f>Y12/'Output-Calculation-sheet'!Y11*'Output-Calculation-sheet'!Y29</f>
        <v>55.006965901404151</v>
      </c>
      <c r="AA23" s="2">
        <f t="shared" si="0"/>
        <v>35.382957118894375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1493.9179373074421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38.395919141597069</v>
      </c>
    </row>
    <row r="31" spans="1:27" x14ac:dyDescent="0.25">
      <c r="A31" s="2">
        <v>2032</v>
      </c>
      <c r="B31" s="2">
        <f>B9/'Output-Calculation-sheet'!B8*'Output-Calculation-sheet'!B17</f>
        <v>22463.197100637441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1538.6403517811259</v>
      </c>
      <c r="O31" s="2">
        <f>O9/'Output-Calculation-sheet'!O8*'Output-Calculation-sheet'!O17</f>
        <v>0</v>
      </c>
      <c r="P31" s="2">
        <f>P9/'Output-Calculation-sheet'!P8*'Output-Calculation-sheet'!P17</f>
        <v>1904.7314669942245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1144.3569398325692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48.918079523626929</v>
      </c>
    </row>
    <row r="32" spans="1:27" x14ac:dyDescent="0.25">
      <c r="A32" s="2">
        <v>2033</v>
      </c>
      <c r="B32" s="2">
        <f>B10/'Output-Calculation-sheet'!B9*'Output-Calculation-sheet'!B18</f>
        <v>22364.540300806548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2128.4615564799174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1363.7075268380536</v>
      </c>
      <c r="O32" s="2">
        <f>O10/'Output-Calculation-sheet'!O9*'Output-Calculation-sheet'!O18</f>
        <v>0</v>
      </c>
      <c r="P32" s="2">
        <f>P10/'Output-Calculation-sheet'!P9*'Output-Calculation-sheet'!P18</f>
        <v>2190.6120678010275</v>
      </c>
      <c r="Q32" s="2">
        <f>Q10/'Output-Calculation-sheet'!Q9*'Output-Calculation-sheet'!Q18</f>
        <v>2388.1633973041621</v>
      </c>
      <c r="R32" s="2">
        <f>R10/'Output-Calculation-sheet'!R9*'Output-Calculation-sheet'!R18</f>
        <v>1573.0288249666812</v>
      </c>
      <c r="S32" s="2">
        <f>S10/'Output-Calculation-sheet'!S9*'Output-Calculation-sheet'!S18</f>
        <v>1030.1666729684077</v>
      </c>
      <c r="T32" s="2">
        <f>T10/'Output-Calculation-sheet'!T9*'Output-Calculation-sheet'!T18</f>
        <v>459.28070544935866</v>
      </c>
      <c r="U32" s="2">
        <f>U10/'Output-Calculation-sheet'!U9*'Output-Calculation-sheet'!U18</f>
        <v>507.72426590769271</v>
      </c>
      <c r="V32" s="2">
        <f>V10/'Output-Calculation-sheet'!V9*'Output-Calculation-sheet'!V18</f>
        <v>374.77297454739073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216.99611105779553</v>
      </c>
      <c r="AA32" s="2">
        <f t="shared" si="1"/>
        <v>53.692531227450701</v>
      </c>
    </row>
    <row r="33" spans="1:27" x14ac:dyDescent="0.25">
      <c r="A33" s="2">
        <v>2034</v>
      </c>
      <c r="B33" s="2">
        <f>B11/'Output-Calculation-sheet'!B10*'Output-Calculation-sheet'!B19</f>
        <v>17520.932201725063</v>
      </c>
      <c r="C33" s="2">
        <f>C11/'Output-Calculation-sheet'!C10*'Output-Calculation-sheet'!C19</f>
        <v>0</v>
      </c>
      <c r="D33" s="2">
        <f>D11/'Output-Calculation-sheet'!D10*'Output-Calculation-sheet'!D19</f>
        <v>5302.130557684146</v>
      </c>
      <c r="E33" s="2">
        <f>E11/'Output-Calculation-sheet'!E10*'Output-Calculation-sheet'!E19</f>
        <v>6573.7980002956856</v>
      </c>
      <c r="F33" s="2">
        <f>F11/'Output-Calculation-sheet'!F10*'Output-Calculation-sheet'!F19</f>
        <v>3009.8872491678685</v>
      </c>
      <c r="G33" s="2">
        <f>G11/'Output-Calculation-sheet'!G10*'Output-Calculation-sheet'!G19</f>
        <v>1793.1245693533845</v>
      </c>
      <c r="H33" s="2">
        <f>H11/'Output-Calculation-sheet'!H10*'Output-Calculation-sheet'!H19</f>
        <v>0</v>
      </c>
      <c r="I33" s="2">
        <f>I11/'Output-Calculation-sheet'!I10*'Output-Calculation-sheet'!I19</f>
        <v>1969.646479752264</v>
      </c>
      <c r="J33" s="2">
        <f>J11/'Output-Calculation-sheet'!J10*'Output-Calculation-sheet'!J19</f>
        <v>1665.3928836434445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1878.9307177279848</v>
      </c>
      <c r="M33" s="2">
        <f>M11/'Output-Calculation-sheet'!M10*'Output-Calculation-sheet'!M19</f>
        <v>0</v>
      </c>
      <c r="N33" s="2">
        <f>N11/'Output-Calculation-sheet'!N10*'Output-Calculation-sheet'!N19</f>
        <v>1061.1292475565599</v>
      </c>
      <c r="O33" s="2">
        <f>O11/'Output-Calculation-sheet'!O10*'Output-Calculation-sheet'!O19</f>
        <v>0</v>
      </c>
      <c r="P33" s="2">
        <f>P11/'Output-Calculation-sheet'!P10*'Output-Calculation-sheet'!P19</f>
        <v>2338.0895473332503</v>
      </c>
      <c r="Q33" s="2">
        <f>Q11/'Output-Calculation-sheet'!Q10*'Output-Calculation-sheet'!Q19</f>
        <v>1903.6347339692834</v>
      </c>
      <c r="R33" s="2">
        <f>R11/'Output-Calculation-sheet'!R10*'Output-Calculation-sheet'!R19</f>
        <v>1668.8567332549285</v>
      </c>
      <c r="S33" s="2">
        <f>S11/'Output-Calculation-sheet'!S10*'Output-Calculation-sheet'!S19</f>
        <v>774.53053809145877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523.83207721284623</v>
      </c>
      <c r="V33" s="2">
        <f>V11/'Output-Calculation-sheet'!V10*'Output-Calculation-sheet'!V19</f>
        <v>384.0372305173268</v>
      </c>
      <c r="W33" s="2">
        <f>W11/'Output-Calculation-sheet'!W10*'Output-Calculation-sheet'!W19</f>
        <v>239.09727291052937</v>
      </c>
      <c r="X33" s="2">
        <f>X11/'Output-Calculation-sheet'!X10*'Output-Calculation-sheet'!X19</f>
        <v>0</v>
      </c>
      <c r="Y33" s="2">
        <f>Y11/'Output-Calculation-sheet'!Y10*'Output-Calculation-sheet'!Y19</f>
        <v>215.52934784000823</v>
      </c>
      <c r="AA33" s="2">
        <f t="shared" si="1"/>
        <v>51.62246703201064</v>
      </c>
    </row>
    <row r="34" spans="1:27" x14ac:dyDescent="0.25">
      <c r="A34" s="2">
        <v>2035</v>
      </c>
      <c r="B34" s="2">
        <f>B12/'Output-Calculation-sheet'!B11*'Output-Calculation-sheet'!B20</f>
        <v>12702.469032671414</v>
      </c>
      <c r="C34" s="2">
        <f>C12/'Output-Calculation-sheet'!C11*'Output-Calculation-sheet'!C20</f>
        <v>0</v>
      </c>
      <c r="D34" s="2">
        <f>D12/'Output-Calculation-sheet'!D11*'Output-Calculation-sheet'!D20</f>
        <v>4050.9947710187025</v>
      </c>
      <c r="E34" s="2">
        <f>E12/'Output-Calculation-sheet'!E11*'Output-Calculation-sheet'!E20</f>
        <v>4489.4259155531572</v>
      </c>
      <c r="F34" s="2">
        <f>F12/'Output-Calculation-sheet'!F11*'Output-Calculation-sheet'!F20</f>
        <v>2521.6434806363504</v>
      </c>
      <c r="G34" s="2">
        <f>G12/'Output-Calculation-sheet'!G11*'Output-Calculation-sheet'!G20</f>
        <v>1358.9502516534246</v>
      </c>
      <c r="H34" s="2">
        <f>H12/'Output-Calculation-sheet'!H11*'Output-Calculation-sheet'!H20</f>
        <v>0</v>
      </c>
      <c r="I34" s="2">
        <f>I12/'Output-Calculation-sheet'!I11*'Output-Calculation-sheet'!I20</f>
        <v>1508.5971902119363</v>
      </c>
      <c r="J34" s="2">
        <f>J12/'Output-Calculation-sheet'!J11*'Output-Calculation-sheet'!J20</f>
        <v>1395.496462242744</v>
      </c>
      <c r="K34" s="2">
        <f>K12/'Output-Calculation-sheet'!K11*'Output-Calculation-sheet'!K20</f>
        <v>1857.6350800053715</v>
      </c>
      <c r="L34" s="2">
        <f>L12/'Output-Calculation-sheet'!L11*'Output-Calculation-sheet'!L20</f>
        <v>1486.2362491535714</v>
      </c>
      <c r="M34" s="2">
        <f>M12/'Output-Calculation-sheet'!M11*'Output-Calculation-sheet'!M20</f>
        <v>0</v>
      </c>
      <c r="N34" s="2">
        <f>N12/'Output-Calculation-sheet'!N11*'Output-Calculation-sheet'!N20</f>
        <v>794.4722405160918</v>
      </c>
      <c r="O34" s="2">
        <f>O12/'Output-Calculation-sheet'!O11*'Output-Calculation-sheet'!O20</f>
        <v>0</v>
      </c>
      <c r="P34" s="2">
        <f>P12/'Output-Calculation-sheet'!P11*'Output-Calculation-sheet'!P20</f>
        <v>1704.3868830368715</v>
      </c>
      <c r="Q34" s="2">
        <f>Q12/'Output-Calculation-sheet'!Q11*'Output-Calculation-sheet'!Q20</f>
        <v>1394.422364994645</v>
      </c>
      <c r="R34" s="2">
        <f>R12/'Output-Calculation-sheet'!R11*'Output-Calculation-sheet'!R20</f>
        <v>1426.0950651835774</v>
      </c>
      <c r="S34" s="2">
        <f>S12/'Output-Calculation-sheet'!S11*'Output-Calculation-sheet'!S20</f>
        <v>550.15167024937</v>
      </c>
      <c r="T34" s="2">
        <f>T12/'Output-Calculation-sheet'!T11*'Output-Calculation-sheet'!T20</f>
        <v>432.6770264700836</v>
      </c>
      <c r="U34" s="2">
        <f>U12/'Output-Calculation-sheet'!U11*'Output-Calculation-sheet'!U20</f>
        <v>398.23057560091092</v>
      </c>
      <c r="V34" s="2">
        <f>V12/'Output-Calculation-sheet'!V11*'Output-Calculation-sheet'!V20</f>
        <v>391.90172583868139</v>
      </c>
      <c r="W34" s="2">
        <f>W12/'Output-Calculation-sheet'!W11*'Output-Calculation-sheet'!W20</f>
        <v>212.53195971303774</v>
      </c>
      <c r="X34" s="2">
        <f>X12/'Output-Calculation-sheet'!X11*'Output-Calculation-sheet'!X20</f>
        <v>0.47150890862650424</v>
      </c>
      <c r="Y34" s="2">
        <f>Y12/'Output-Calculation-sheet'!Y11*'Output-Calculation-sheet'!Y20</f>
        <v>153.9036149597064</v>
      </c>
      <c r="AA34" s="2">
        <f t="shared" si="1"/>
        <v>38.83069306861826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7.9190308655474481E-2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1.1943421700615811E-2</v>
      </c>
      <c r="H44" s="2">
        <f>H11/'Output-Calculation-sheet'!H10*'Output-Calculation-sheet'!H37*0.0114</f>
        <v>1.1569999044646158E-2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6.8555934678572392E-3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4.4853608518779474E-3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2.1873465233851622E-3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0.1162320302438568</v>
      </c>
    </row>
    <row r="45" spans="1:27" x14ac:dyDescent="0.25">
      <c r="A45" s="2">
        <v>2035</v>
      </c>
      <c r="B45" s="2">
        <f>B12/'Output-Calculation-sheet'!B11*'Output-Calculation-sheet'!B38*0.0114</f>
        <v>0.24112858977676319</v>
      </c>
      <c r="C45" s="2">
        <f>C12/'Output-Calculation-sheet'!C11*'Output-Calculation-sheet'!C38*0.0114</f>
        <v>0.14305651215804197</v>
      </c>
      <c r="D45" s="2">
        <f>D12/'Output-Calculation-sheet'!D11*'Output-Calculation-sheet'!D38*0.0114</f>
        <v>2.5344673376908593E-2</v>
      </c>
      <c r="E45" s="2">
        <f>E12/'Output-Calculation-sheet'!E11*'Output-Calculation-sheet'!E38*0.0114</f>
        <v>8.0569114666680305E-2</v>
      </c>
      <c r="F45" s="2">
        <f>F12/'Output-Calculation-sheet'!F11*'Output-Calculation-sheet'!F38*0.0114</f>
        <v>2.5336215096946835E-2</v>
      </c>
      <c r="G45" s="2">
        <f>G12/'Output-Calculation-sheet'!G11*'Output-Calculation-sheet'!G38*0.0114</f>
        <v>1.8183414616477767E-2</v>
      </c>
      <c r="H45" s="2">
        <f>H12/'Output-Calculation-sheet'!H11*'Output-Calculation-sheet'!H38*0.0114</f>
        <v>5.2844677601111251E-2</v>
      </c>
      <c r="I45" s="2">
        <f>I12/'Output-Calculation-sheet'!I11*'Output-Calculation-sheet'!I38*0.0114</f>
        <v>1.6354857806489233E-2</v>
      </c>
      <c r="J45" s="2">
        <f>J12/'Output-Calculation-sheet'!J11*'Output-Calculation-sheet'!J38*0.0114</f>
        <v>8.0929458106280792E-3</v>
      </c>
      <c r="K45" s="2">
        <f>K12/'Output-Calculation-sheet'!K11*'Output-Calculation-sheet'!K38*0.0114</f>
        <v>1.6074221907688761E-2</v>
      </c>
      <c r="L45" s="2">
        <f>L12/'Output-Calculation-sheet'!L11*'Output-Calculation-sheet'!L38*0.0114</f>
        <v>6.3907406400100161E-3</v>
      </c>
      <c r="M45" s="2">
        <f>M12/'Output-Calculation-sheet'!M11*'Output-Calculation-sheet'!M38*0.0114</f>
        <v>3.0301900840319102E-2</v>
      </c>
      <c r="N45" s="2">
        <f>N12/'Output-Calculation-sheet'!N11*'Output-Calculation-sheet'!N38*0.0114</f>
        <v>1.7869112590312701E-2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2.2010561740974835E-2</v>
      </c>
      <c r="Q45" s="2">
        <f>Q12/'Output-Calculation-sheet'!Q11*'Output-Calculation-sheet'!Q38*0.0114</f>
        <v>1.5656078499887184E-2</v>
      </c>
      <c r="R45" s="2">
        <f>R12/'Output-Calculation-sheet'!R11*'Output-Calculation-sheet'!R38*0.0114</f>
        <v>1.0350635072878082E-2</v>
      </c>
      <c r="S45" s="2">
        <f>S12/'Output-Calculation-sheet'!S11*'Output-Calculation-sheet'!S38*0.0114</f>
        <v>1.3657589611862971E-2</v>
      </c>
      <c r="T45" s="2">
        <f>T12/'Output-Calculation-sheet'!T11*'Output-Calculation-sheet'!T38*0.0114</f>
        <v>1.9146725298035505E-3</v>
      </c>
      <c r="U45" s="2">
        <f>U12/'Output-Calculation-sheet'!U11*'Output-Calculation-sheet'!U38*0.0114</f>
        <v>4.9952303964833841E-3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2.2235732526041082E-3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3.2078987766306667E-3</v>
      </c>
      <c r="AA45" s="2">
        <f t="shared" si="2"/>
        <v>0.76307035396754364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2833.8164272225354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6527.347593516185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4464.2074567976979</v>
      </c>
      <c r="N52" s="2">
        <f>N8/'Output-Calculation-sheet'!N7*'Output-Calculation-sheet'!N43</f>
        <v>141.0169909886977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30.184916877986321</v>
      </c>
      <c r="Y52" s="2">
        <f>Y8/'Output-Calculation-sheet'!Y7*'Output-Calculation-sheet'!Y43</f>
        <v>0</v>
      </c>
      <c r="AA52" s="2">
        <f t="shared" si="3"/>
        <v>13.996573385403103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445.03640978212769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11540.596549368711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7900.2651242188222</v>
      </c>
      <c r="N53" s="2">
        <f>N9/'Output-Calculation-sheet'!N8*'Output-Calculation-sheet'!N44</f>
        <v>2803.5160678036068</v>
      </c>
      <c r="O53" s="2">
        <f>O9/'Output-Calculation-sheet'!O8*'Output-Calculation-sheet'!O44</f>
        <v>155.45851393044271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873.75294593584454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241.22932540645161</v>
      </c>
      <c r="Y53" s="2">
        <f>Y9/'Output-Calculation-sheet'!Y8*'Output-Calculation-sheet'!Y44</f>
        <v>0</v>
      </c>
      <c r="AA53" s="2">
        <f t="shared" si="3"/>
        <v>24.084126756381963</v>
      </c>
    </row>
    <row r="54" spans="1:27" x14ac:dyDescent="0.25">
      <c r="A54" s="2">
        <v>2033</v>
      </c>
      <c r="B54" s="2">
        <f>B10/'Output-Calculation-sheet'!B9*'Output-Calculation-sheet'!B45</f>
        <v>21034.104288840226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10507.554051752613</v>
      </c>
      <c r="N54" s="2">
        <f>N10/'Output-Calculation-sheet'!N9*'Output-Calculation-sheet'!N45</f>
        <v>5880.7449369381911</v>
      </c>
      <c r="O54" s="2">
        <f>O10/'Output-Calculation-sheet'!O9*'Output-Calculation-sheet'!O45</f>
        <v>783.10203503791593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611.5116832551405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64.230491436635234</v>
      </c>
    </row>
    <row r="55" spans="1:27" x14ac:dyDescent="0.25">
      <c r="A55" s="2">
        <v>2034</v>
      </c>
      <c r="B55" s="2">
        <f>B11/'Output-Calculation-sheet'!B10*'Output-Calculation-sheet'!B46</f>
        <v>48959.061000331938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173.71494077736278</v>
      </c>
      <c r="G55" s="2">
        <f>G11/'Output-Calculation-sheet'!G10*'Output-Calculation-sheet'!G46</f>
        <v>1958.0925577588553</v>
      </c>
      <c r="H55" s="2">
        <f>H11/'Output-Calculation-sheet'!H10*'Output-Calculation-sheet'!H46</f>
        <v>15149.594363108175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10667.423983174389</v>
      </c>
      <c r="N55" s="2">
        <f>N11/'Output-Calculation-sheet'!N10*'Output-Calculation-sheet'!N46</f>
        <v>8079.9831191147605</v>
      </c>
      <c r="O55" s="2">
        <f>O11/'Output-Calculation-sheet'!O10*'Output-Calculation-sheet'!O46</f>
        <v>310.00747111606296</v>
      </c>
      <c r="P55" s="2">
        <f>P11/'Output-Calculation-sheet'!P10*'Output-Calculation-sheet'!P46</f>
        <v>2990.3594922780376</v>
      </c>
      <c r="Q55" s="2">
        <f>Q11/'Output-Calculation-sheet'!Q10*'Output-Calculation-sheet'!Q46</f>
        <v>2333.3072504636916</v>
      </c>
      <c r="R55" s="2">
        <f>R11/'Output-Calculation-sheet'!R10*'Output-Calculation-sheet'!R46</f>
        <v>2423.6459082991569</v>
      </c>
      <c r="S55" s="2">
        <f>S11/'Output-Calculation-sheet'!S10*'Output-Calculation-sheet'!S46</f>
        <v>3785.8019400675098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715.87630515351225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120.97262427277104</v>
      </c>
    </row>
    <row r="56" spans="1:27" x14ac:dyDescent="0.25">
      <c r="A56" s="2">
        <v>2035</v>
      </c>
      <c r="B56" s="2">
        <f>B12/'Output-Calculation-sheet'!B11*'Output-Calculation-sheet'!B47</f>
        <v>39162.24420804184</v>
      </c>
      <c r="C56" s="2">
        <f>C12/'Output-Calculation-sheet'!C11*'Output-Calculation-sheet'!C47</f>
        <v>12204.979274115054</v>
      </c>
      <c r="D56" s="2">
        <f>D12/'Output-Calculation-sheet'!D11*'Output-Calculation-sheet'!D47</f>
        <v>4015.1298349734138</v>
      </c>
      <c r="E56" s="2">
        <f>E12/'Output-Calculation-sheet'!E11*'Output-Calculation-sheet'!E47</f>
        <v>10155.948927721016</v>
      </c>
      <c r="F56" s="2">
        <f>F12/'Output-Calculation-sheet'!F11*'Output-Calculation-sheet'!F47</f>
        <v>583.3996897323284</v>
      </c>
      <c r="G56" s="2">
        <f>G12/'Output-Calculation-sheet'!G11*'Output-Calculation-sheet'!G47</f>
        <v>1485.7763785306174</v>
      </c>
      <c r="H56" s="2">
        <f>H12/'Output-Calculation-sheet'!H11*'Output-Calculation-sheet'!H47</f>
        <v>11583.337006921944</v>
      </c>
      <c r="I56" s="2">
        <f>I12/'Output-Calculation-sheet'!I11*'Output-Calculation-sheet'!I47</f>
        <v>946.86018879674509</v>
      </c>
      <c r="J56" s="2">
        <f>J12/'Output-Calculation-sheet'!J11*'Output-Calculation-sheet'!J47</f>
        <v>1561.7965599457696</v>
      </c>
      <c r="K56" s="2">
        <f>K12/'Output-Calculation-sheet'!K11*'Output-Calculation-sheet'!K47</f>
        <v>2135.4744806311078</v>
      </c>
      <c r="L56" s="2">
        <f>L12/'Output-Calculation-sheet'!L11*'Output-Calculation-sheet'!L47</f>
        <v>2286.6518482983206</v>
      </c>
      <c r="M56" s="2">
        <f>M12/'Output-Calculation-sheet'!M11*'Output-Calculation-sheet'!M47</f>
        <v>8164.5016334319425</v>
      </c>
      <c r="N56" s="2">
        <f>N12/'Output-Calculation-sheet'!N11*'Output-Calculation-sheet'!N47</f>
        <v>6607.3917490378481</v>
      </c>
      <c r="O56" s="2">
        <f>O12/'Output-Calculation-sheet'!O11*'Output-Calculation-sheet'!O47</f>
        <v>29.742215288070319</v>
      </c>
      <c r="P56" s="2">
        <f>P12/'Output-Calculation-sheet'!P11*'Output-Calculation-sheet'!P47</f>
        <v>2832.4117608780775</v>
      </c>
      <c r="Q56" s="2">
        <f>Q12/'Output-Calculation-sheet'!Q11*'Output-Calculation-sheet'!Q47</f>
        <v>1992.258878114299</v>
      </c>
      <c r="R56" s="2">
        <f>R12/'Output-Calculation-sheet'!R11*'Output-Calculation-sheet'!R47</f>
        <v>2327.9849409525791</v>
      </c>
      <c r="S56" s="2">
        <f>S12/'Output-Calculation-sheet'!S11*'Output-Calculation-sheet'!S47</f>
        <v>3072.3586455809286</v>
      </c>
      <c r="T56" s="2">
        <f>T12/'Output-Calculation-sheet'!T11*'Output-Calculation-sheet'!T47</f>
        <v>786.52732079561633</v>
      </c>
      <c r="U56" s="2">
        <f>U12/'Output-Calculation-sheet'!U11*'Output-Calculation-sheet'!U47</f>
        <v>549.03716550821753</v>
      </c>
      <c r="V56" s="2">
        <f>V12/'Output-Calculation-sheet'!V11*'Output-Calculation-sheet'!V47</f>
        <v>542.51237337409373</v>
      </c>
      <c r="W56" s="2">
        <f>W12/'Output-Calculation-sheet'!W11*'Output-Calculation-sheet'!W47</f>
        <v>192.0270058937495</v>
      </c>
      <c r="X56" s="2">
        <f>X12/'Output-Calculation-sheet'!X11*'Output-Calculation-sheet'!X47</f>
        <v>64.442466794345961</v>
      </c>
      <c r="Y56" s="2">
        <f>Y12/'Output-Calculation-sheet'!Y11*'Output-Calculation-sheet'!Y47</f>
        <v>255.7314393159605</v>
      </c>
      <c r="AA56" s="2">
        <f t="shared" si="3"/>
        <v>113.53852599267387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6.9837540571270136</v>
      </c>
      <c r="C63" s="2">
        <f>C8*'Output-Calculation-sheet'!C52/10^9</f>
        <v>4.2242307848553082</v>
      </c>
      <c r="D63" s="2">
        <f>D8*'Output-Calculation-sheet'!D52/10^9</f>
        <v>2.3948789295660422</v>
      </c>
      <c r="E63" s="2">
        <f>E8*'Output-Calculation-sheet'!E52/10^9</f>
        <v>2.3811520541740103</v>
      </c>
      <c r="F63" s="2">
        <f>F8*'Output-Calculation-sheet'!F52/10^9</f>
        <v>1.0084176980938624</v>
      </c>
      <c r="G63" s="2">
        <f>G8*'Output-Calculation-sheet'!G52/10^9</f>
        <v>0.72500676850808432</v>
      </c>
      <c r="H63" s="2">
        <f>H8*'Output-Calculation-sheet'!H52/10^9</f>
        <v>1.2663667809979409</v>
      </c>
      <c r="I63" s="2">
        <f>I8*'Output-Calculation-sheet'!I52/10^9</f>
        <v>0.67442461407586107</v>
      </c>
      <c r="J63" s="2">
        <f>J8*'Output-Calculation-sheet'!J52/10^9</f>
        <v>0.92805398277145001</v>
      </c>
      <c r="K63" s="2">
        <f>K8*'Output-Calculation-sheet'!K52/10^9</f>
        <v>0.81537796689206998</v>
      </c>
      <c r="L63" s="2">
        <f>L8*'Output-Calculation-sheet'!L52/10^9</f>
        <v>1.0967225967275478</v>
      </c>
      <c r="M63" s="2">
        <f>M8*'Output-Calculation-sheet'!M52/10^9</f>
        <v>1.027923005780832</v>
      </c>
      <c r="N63" s="2">
        <f>N8*'Output-Calculation-sheet'!N52/10^9</f>
        <v>0.8579385227471682</v>
      </c>
      <c r="O63" s="2">
        <f>O8*'Output-Calculation-sheet'!O52/10^9</f>
        <v>0.86219088813429334</v>
      </c>
      <c r="P63" s="2">
        <f>P8*'Output-Calculation-sheet'!P52/10^9</f>
        <v>0.56340418030611672</v>
      </c>
      <c r="Q63" s="2">
        <f>Q8*'Output-Calculation-sheet'!Q52/10^9</f>
        <v>0.63760842881826862</v>
      </c>
      <c r="R63" s="2">
        <f>R8*'Output-Calculation-sheet'!R52/10^9</f>
        <v>0.57244580364146491</v>
      </c>
      <c r="S63" s="2">
        <f>S8*'Output-Calculation-sheet'!S52/10^9</f>
        <v>0.4242026232603332</v>
      </c>
      <c r="T63" s="2">
        <f>T8*'Output-Calculation-sheet'!T52/10^9</f>
        <v>0.21763571717972927</v>
      </c>
      <c r="U63" s="2">
        <f>U8*'Output-Calculation-sheet'!U52/10^9</f>
        <v>0.14946987844805368</v>
      </c>
      <c r="V63" s="2">
        <f>V8*'Output-Calculation-sheet'!V52/10^9</f>
        <v>0.26527371174351461</v>
      </c>
      <c r="W63" s="2">
        <f>W8*'Output-Calculation-sheet'!W52/10^9</f>
        <v>9.601665545208185E-2</v>
      </c>
      <c r="X63" s="2">
        <f>X8*'Output-Calculation-sheet'!X52/10^9</f>
        <v>0.10930157178893095</v>
      </c>
      <c r="Y63" s="2">
        <f>Y8*'Output-Calculation-sheet'!Y52/10^9</f>
        <v>6.2648196733546935E-2</v>
      </c>
      <c r="AA63" s="2">
        <f t="shared" si="4"/>
        <v>28.344445417823515</v>
      </c>
    </row>
    <row r="64" spans="1:27" x14ac:dyDescent="0.25">
      <c r="A64" s="2">
        <v>2032</v>
      </c>
      <c r="B64" s="2">
        <f>B9*'Output-Calculation-sheet'!B53/10^9</f>
        <v>6.6514581111734907</v>
      </c>
      <c r="C64" s="2">
        <f>C9*'Output-Calculation-sheet'!C53/10^9</f>
        <v>4.243628229148972</v>
      </c>
      <c r="D64" s="2">
        <f>D9*'Output-Calculation-sheet'!D53/10^9</f>
        <v>1.968443823082999</v>
      </c>
      <c r="E64" s="2">
        <f>E9*'Output-Calculation-sheet'!E53/10^9</f>
        <v>2.0157730822323239</v>
      </c>
      <c r="F64" s="2">
        <f>F9*'Output-Calculation-sheet'!F53/10^9</f>
        <v>0.85024044615055949</v>
      </c>
      <c r="G64" s="2">
        <f>G9*'Output-Calculation-sheet'!G53/10^9</f>
        <v>0.60517513977861559</v>
      </c>
      <c r="H64" s="2">
        <f>H9*'Output-Calculation-sheet'!H53/10^9</f>
        <v>1.2434591028578568</v>
      </c>
      <c r="I64" s="2">
        <f>I9*'Output-Calculation-sheet'!I53/10^9</f>
        <v>0.56573984807426081</v>
      </c>
      <c r="J64" s="2">
        <f>J9*'Output-Calculation-sheet'!J53/10^9</f>
        <v>0.7489246089809023</v>
      </c>
      <c r="K64" s="2">
        <f>K9*'Output-Calculation-sheet'!K53/10^9</f>
        <v>0.69490014331171124</v>
      </c>
      <c r="L64" s="2">
        <f>L9*'Output-Calculation-sheet'!L53/10^9</f>
        <v>0.89398695736350553</v>
      </c>
      <c r="M64" s="2">
        <f>M9*'Output-Calculation-sheet'!M53/10^9</f>
        <v>0.97450583999079443</v>
      </c>
      <c r="N64" s="2">
        <f>N9*'Output-Calculation-sheet'!N53/10^9</f>
        <v>0.82042455196900776</v>
      </c>
      <c r="O64" s="2">
        <f>O9*'Output-Calculation-sheet'!O53/10^9</f>
        <v>0.85741452536564178</v>
      </c>
      <c r="P64" s="2">
        <f>P9*'Output-Calculation-sheet'!P53/10^9</f>
        <v>0.52981409712316174</v>
      </c>
      <c r="Q64" s="2">
        <f>Q9*'Output-Calculation-sheet'!Q53/10^9</f>
        <v>0.58552436477931691</v>
      </c>
      <c r="R64" s="2">
        <f>R9*'Output-Calculation-sheet'!R53/10^9</f>
        <v>0.50193265324578462</v>
      </c>
      <c r="S64" s="2">
        <f>S9*'Output-Calculation-sheet'!S53/10^9</f>
        <v>0.41470854450756822</v>
      </c>
      <c r="T64" s="2">
        <f>T9*'Output-Calculation-sheet'!T53/10^9</f>
        <v>0.18043100707704487</v>
      </c>
      <c r="U64" s="2">
        <f>U9*'Output-Calculation-sheet'!U53/10^9</f>
        <v>0.13580665711927681</v>
      </c>
      <c r="V64" s="2">
        <f>V9*'Output-Calculation-sheet'!V53/10^9</f>
        <v>0.2141594042813979</v>
      </c>
      <c r="W64" s="2">
        <f>W9*'Output-Calculation-sheet'!W53/10^9</f>
        <v>7.9577636963282197E-2</v>
      </c>
      <c r="X64" s="2">
        <f>X9*'Output-Calculation-sheet'!X53/10^9</f>
        <v>0.10683937553347804</v>
      </c>
      <c r="Y64" s="2">
        <f>Y9*'Output-Calculation-sheet'!Y53/10^9</f>
        <v>5.5754718464396114E-2</v>
      </c>
      <c r="AA64" s="2">
        <f t="shared" si="4"/>
        <v>25.938622868575344</v>
      </c>
    </row>
    <row r="65" spans="1:27" x14ac:dyDescent="0.25">
      <c r="A65" s="2">
        <v>2033</v>
      </c>
      <c r="B65" s="2">
        <f>B10*'Output-Calculation-sheet'!B54/10^9</f>
        <v>6.0634304227580706</v>
      </c>
      <c r="C65" s="2">
        <f>C10*'Output-Calculation-sheet'!C54/10^9</f>
        <v>3.9362778232774263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1.1110465142658705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0.55825464384864776</v>
      </c>
      <c r="L65" s="2">
        <f>L10*'Output-Calculation-sheet'!L54/10^9</f>
        <v>0.65937513432768491</v>
      </c>
      <c r="M65" s="2">
        <f>M10*'Output-Calculation-sheet'!M54/10^9</f>
        <v>0.83889847382333815</v>
      </c>
      <c r="N65" s="2">
        <f>N10*'Output-Calculation-sheet'!N54/10^9</f>
        <v>0.7243963672767334</v>
      </c>
      <c r="O65" s="2">
        <f>O10*'Output-Calculation-sheet'!O54/10^9</f>
        <v>0.78683867363636562</v>
      </c>
      <c r="P65" s="2">
        <f>P10*'Output-Calculation-sheet'!P54/10^9</f>
        <v>0.47231927916763072</v>
      </c>
      <c r="Q65" s="2">
        <f>Q10*'Output-Calculation-sheet'!Q54/10^9</f>
        <v>0.51544298993677684</v>
      </c>
      <c r="R65" s="2">
        <f>R10*'Output-Calculation-sheet'!R54/10^9</f>
        <v>0.41582326481150522</v>
      </c>
      <c r="S65" s="2">
        <f>S10*'Output-Calculation-sheet'!S54/10^9</f>
        <v>0.37770623715828672</v>
      </c>
      <c r="T65" s="2">
        <f>T10*'Output-Calculation-sheet'!T54/10^9</f>
        <v>0.13902793823649026</v>
      </c>
      <c r="U65" s="2">
        <f>U10*'Output-Calculation-sheet'!U54/10^9</f>
        <v>0.12004735256411672</v>
      </c>
      <c r="V65" s="2">
        <f>V10*'Output-Calculation-sheet'!V54/10^9</f>
        <v>0.15386125381478097</v>
      </c>
      <c r="W65" s="2">
        <f>W10*'Output-Calculation-sheet'!W54/10^9</f>
        <v>5.8578517805342012E-2</v>
      </c>
      <c r="X65" s="2">
        <f>X10*'Output-Calculation-sheet'!X54/10^9</f>
        <v>9.5784327859229176E-2</v>
      </c>
      <c r="Y65" s="2">
        <f>Y10*'Output-Calculation-sheet'!Y54/10^9</f>
        <v>4.8217610459682286E-2</v>
      </c>
      <c r="AA65" s="2">
        <f t="shared" si="4"/>
        <v>22.186011346404829</v>
      </c>
    </row>
    <row r="66" spans="1:27" x14ac:dyDescent="0.25">
      <c r="A66" s="2">
        <v>2034</v>
      </c>
      <c r="B66" s="2">
        <f>B11*'Output-Calculation-sheet'!B55/10^9</f>
        <v>5.2280537953801529</v>
      </c>
      <c r="C66" s="2">
        <f>C11*'Output-Calculation-sheet'!C55/10^9</f>
        <v>3.3587764937731941</v>
      </c>
      <c r="D66" s="2">
        <f>D11*'Output-Calculation-sheet'!D55/10^9</f>
        <v>1.0938658351343178</v>
      </c>
      <c r="E66" s="2">
        <f>E11*'Output-Calculation-sheet'!E55/10^9</f>
        <v>1.3245917656572237</v>
      </c>
      <c r="F66" s="2">
        <f>F11*'Output-Calculation-sheet'!F55/10^9</f>
        <v>0.50906211911145316</v>
      </c>
      <c r="G66" s="2">
        <f>G11*'Output-Calculation-sheet'!G55/10^9</f>
        <v>0.36389007960390446</v>
      </c>
      <c r="H66" s="2">
        <f>H11*'Output-Calculation-sheet'!H55/10^9</f>
        <v>0.92968596906437062</v>
      </c>
      <c r="I66" s="2">
        <f>I11*'Output-Calculation-sheet'!I55/10^9</f>
        <v>0.35582564181587911</v>
      </c>
      <c r="J66" s="2">
        <f>J11*'Output-Calculation-sheet'!J55/10^9</f>
        <v>0.36589773782990731</v>
      </c>
      <c r="K66" s="2">
        <f>K11*'Output-Calculation-sheet'!K55/10^9</f>
        <v>0.43764304208966975</v>
      </c>
      <c r="L66" s="2">
        <f>L11*'Output-Calculation-sheet'!L55/10^9</f>
        <v>0.46349419982547391</v>
      </c>
      <c r="M66" s="2">
        <f>M11*'Output-Calculation-sheet'!M55/10^9</f>
        <v>0.67394092047573584</v>
      </c>
      <c r="N66" s="2">
        <f>N11*'Output-Calculation-sheet'!N55/10^9</f>
        <v>0.58884189748737958</v>
      </c>
      <c r="O66" s="2">
        <f>O11*'Output-Calculation-sheet'!O55/10^9</f>
        <v>0.66270599849389733</v>
      </c>
      <c r="P66" s="2">
        <f>P11*'Output-Calculation-sheet'!P55/10^9</f>
        <v>0.40480657704065204</v>
      </c>
      <c r="Q66" s="2">
        <f>Q11*'Output-Calculation-sheet'!Q55/10^9</f>
        <v>0.44045146666278312</v>
      </c>
      <c r="R66" s="2">
        <f>R11*'Output-Calculation-sheet'!R55/10^9</f>
        <v>0.32786677720197194</v>
      </c>
      <c r="S66" s="2">
        <f>S11*'Output-Calculation-sheet'!S55/10^9</f>
        <v>0.32233718831400721</v>
      </c>
      <c r="T66" s="2">
        <f>T11*'Output-Calculation-sheet'!T55/10^9</f>
        <v>0.10276074099783722</v>
      </c>
      <c r="U66" s="2">
        <f>U11*'Output-Calculation-sheet'!U55/10^9</f>
        <v>0.10436632957386738</v>
      </c>
      <c r="V66" s="2">
        <f>V11*'Output-Calculation-sheet'!V55/10^9</f>
        <v>9.748305996410972E-2</v>
      </c>
      <c r="W66" s="2">
        <f>W11*'Output-Calculation-sheet'!W55/10^9</f>
        <v>4.4140131894117252E-2</v>
      </c>
      <c r="X66" s="2">
        <f>X11*'Output-Calculation-sheet'!X55/10^9</f>
        <v>7.8767360074003395E-2</v>
      </c>
      <c r="Y66" s="2">
        <f>Y11*'Output-Calculation-sheet'!Y55/10^9</f>
        <v>4.3313380842433732E-2</v>
      </c>
      <c r="AA66" s="2">
        <f t="shared" si="4"/>
        <v>18.322568508308347</v>
      </c>
    </row>
    <row r="67" spans="1:27" x14ac:dyDescent="0.25">
      <c r="A67" s="2">
        <v>2035</v>
      </c>
      <c r="B67" s="2">
        <f>B12*'Output-Calculation-sheet'!B56/10^9</f>
        <v>4.1332687333301452</v>
      </c>
      <c r="C67" s="2">
        <f>C12*'Output-Calculation-sheet'!C56/10^9</f>
        <v>2.5959050525289848</v>
      </c>
      <c r="D67" s="2">
        <f>D12*'Output-Calculation-sheet'!D56/10^9</f>
        <v>0.85998572224215497</v>
      </c>
      <c r="E67" s="2">
        <f>E12*'Output-Calculation-sheet'!E56/10^9</f>
        <v>1.1675823975642661</v>
      </c>
      <c r="F67" s="2">
        <f>F12*'Output-Calculation-sheet'!F56/10^9</f>
        <v>0.42646387959052046</v>
      </c>
      <c r="G67" s="2">
        <f>G12*'Output-Calculation-sheet'!G56/10^9</f>
        <v>0.29874211920051552</v>
      </c>
      <c r="H67" s="2">
        <f>H12*'Output-Calculation-sheet'!H56/10^9</f>
        <v>0.72164350209252182</v>
      </c>
      <c r="I67" s="2">
        <f>I12*'Output-Calculation-sheet'!I56/10^9</f>
        <v>0.29020241335057623</v>
      </c>
      <c r="J67" s="2">
        <f>J12*'Output-Calculation-sheet'!J56/10^9</f>
        <v>0.28729578961554197</v>
      </c>
      <c r="K67" s="2">
        <f>K12*'Output-Calculation-sheet'!K56/10^9</f>
        <v>0.34619453403952066</v>
      </c>
      <c r="L67" s="2">
        <f>L12*'Output-Calculation-sheet'!L56/10^9</f>
        <v>0.34777849322054649</v>
      </c>
      <c r="M67" s="2">
        <f>M12*'Output-Calculation-sheet'!M56/10^9</f>
        <v>0.52789181989517731</v>
      </c>
      <c r="N67" s="2">
        <f>N12*'Output-Calculation-sheet'!N56/10^9</f>
        <v>0.4534139963283807</v>
      </c>
      <c r="O67" s="2">
        <f>O12*'Output-Calculation-sheet'!O56/10^9</f>
        <v>0.50862699862374416</v>
      </c>
      <c r="P67" s="2">
        <f>P12*'Output-Calculation-sheet'!P56/10^9</f>
        <v>0.33531369652110032</v>
      </c>
      <c r="Q67" s="2">
        <f>Q12*'Output-Calculation-sheet'!Q56/10^9</f>
        <v>0.34513537769188712</v>
      </c>
      <c r="R67" s="2">
        <f>R12*'Output-Calculation-sheet'!R56/10^9</f>
        <v>0.2626107079644206</v>
      </c>
      <c r="S67" s="2">
        <f>S12*'Output-Calculation-sheet'!S56/10^9</f>
        <v>0.25023865523347583</v>
      </c>
      <c r="T67" s="2">
        <f>T12*'Output-Calculation-sheet'!T56/10^9</f>
        <v>7.958176264378776E-2</v>
      </c>
      <c r="U67" s="2">
        <f>U12*'Output-Calculation-sheet'!U56/10^9</f>
        <v>8.321747206083456E-2</v>
      </c>
      <c r="V67" s="2">
        <f>V12*'Output-Calculation-sheet'!V56/10^9</f>
        <v>6.3835293841318669E-2</v>
      </c>
      <c r="W67" s="2">
        <f>W12*'Output-Calculation-sheet'!W56/10^9</f>
        <v>3.8541735818120086E-2</v>
      </c>
      <c r="X67" s="2">
        <f>X12*'Output-Calculation-sheet'!X56/10^9</f>
        <v>6.1013681156346311E-2</v>
      </c>
      <c r="Y67" s="2">
        <f>Y12*'Output-Calculation-sheet'!Y56/10^9</f>
        <v>3.7244547080246715E-2</v>
      </c>
      <c r="AA67" s="2">
        <f t="shared" si="4"/>
        <v>14.521728381634132</v>
      </c>
    </row>
    <row r="68" spans="1:27" x14ac:dyDescent="0.25">
      <c r="B68" s="2">
        <f>SUM(B60:B67)</f>
        <v>29.059965119768872</v>
      </c>
      <c r="C68" s="2">
        <f t="shared" ref="C68:Y68" si="5">SUM(C60:C67)</f>
        <v>18.358818383583884</v>
      </c>
      <c r="D68" s="2">
        <f t="shared" si="5"/>
        <v>7.7495949585892498</v>
      </c>
      <c r="E68" s="2">
        <f t="shared" si="5"/>
        <v>8.5019805355226925</v>
      </c>
      <c r="F68" s="2">
        <f t="shared" si="5"/>
        <v>3.4489856436602437</v>
      </c>
      <c r="G68" s="2">
        <f t="shared" si="5"/>
        <v>2.4423949429082259</v>
      </c>
      <c r="H68" s="2">
        <f t="shared" si="5"/>
        <v>5.2722018692785602</v>
      </c>
      <c r="I68" s="2">
        <f t="shared" si="5"/>
        <v>2.3239616659535591</v>
      </c>
      <c r="J68" s="2">
        <f t="shared" si="5"/>
        <v>2.8534032709481179</v>
      </c>
      <c r="K68" s="2">
        <f t="shared" si="5"/>
        <v>2.8523703301816195</v>
      </c>
      <c r="L68" s="2">
        <f t="shared" si="5"/>
        <v>3.4613573814647585</v>
      </c>
      <c r="M68" s="2">
        <f t="shared" si="5"/>
        <v>4.043160059965877</v>
      </c>
      <c r="N68" s="2">
        <f t="shared" si="5"/>
        <v>3.4450153358086695</v>
      </c>
      <c r="O68" s="2">
        <f t="shared" si="5"/>
        <v>3.6777770842539423</v>
      </c>
      <c r="P68" s="2">
        <f t="shared" si="5"/>
        <v>2.3056578301586619</v>
      </c>
      <c r="Q68" s="2">
        <f t="shared" si="5"/>
        <v>2.5241626278890323</v>
      </c>
      <c r="R68" s="2">
        <f t="shared" si="5"/>
        <v>2.0806792068651472</v>
      </c>
      <c r="S68" s="2">
        <f t="shared" si="5"/>
        <v>1.7891932484736712</v>
      </c>
      <c r="T68" s="2">
        <f t="shared" si="5"/>
        <v>0.71943716613488951</v>
      </c>
      <c r="U68" s="2">
        <f t="shared" si="5"/>
        <v>0.59290768976614905</v>
      </c>
      <c r="V68" s="2">
        <f t="shared" si="5"/>
        <v>0.79461272364512192</v>
      </c>
      <c r="W68" s="2">
        <f t="shared" si="5"/>
        <v>0.31685467793294342</v>
      </c>
      <c r="X68" s="2">
        <f t="shared" si="5"/>
        <v>0.45170631641198788</v>
      </c>
      <c r="Y68" s="2">
        <f t="shared" si="5"/>
        <v>0.24717845358030577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759.85722172605472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1385.7521988804247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934.50591412710162</v>
      </c>
      <c r="N74" s="2">
        <f>N8/'Output-Calculation-sheet'!N7*'Output-Calculation-sheet'!N61</f>
        <v>41.967727533357873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8.2925836658658003</v>
      </c>
      <c r="Y74" s="2">
        <f>Y8/'Output-Calculation-sheet'!Y7*'Output-Calculation-sheet'!Y61</f>
        <v>0</v>
      </c>
      <c r="AA74" s="2">
        <f t="shared" si="6"/>
        <v>3.1303756459328049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122.26091599889588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2201.3546311468463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1492.2446053957724</v>
      </c>
      <c r="N75" s="2">
        <f>N9/'Output-Calculation-sheet'!N8*'Output-Calculation-sheet'!N62</f>
        <v>575.10029750472336</v>
      </c>
      <c r="O75" s="2">
        <f>O9/'Output-Calculation-sheet'!O8*'Output-Calculation-sheet'!O62</f>
        <v>42.708693554345267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192.92219925624025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52.665850548578931</v>
      </c>
      <c r="Y75" s="2">
        <f>Y9/'Output-Calculation-sheet'!Y8*'Output-Calculation-sheet'!Y62</f>
        <v>0</v>
      </c>
      <c r="AA75" s="2">
        <f t="shared" si="6"/>
        <v>4.7247777141502878</v>
      </c>
    </row>
    <row r="76" spans="1:27" x14ac:dyDescent="0.25">
      <c r="A76" s="2">
        <v>2033</v>
      </c>
      <c r="B76" s="2">
        <f>B10/'Output-Calculation-sheet'!B9*'Output-Calculation-sheet'!B63</f>
        <v>4224.8725144338405</v>
      </c>
      <c r="C76" s="2">
        <f>C10/'Output-Calculation-sheet'!C9*'Output-Calculation-sheet'!C63</f>
        <v>870.83468552982481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2770.34357413727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1882.1320852150066</v>
      </c>
      <c r="N76" s="2">
        <f>N10/'Output-Calculation-sheet'!N9*'Output-Calculation-sheet'!N63</f>
        <v>1076.4416263614803</v>
      </c>
      <c r="O76" s="2">
        <f>O10/'Output-Calculation-sheet'!O9*'Output-Calculation-sheet'!O63</f>
        <v>178.62267945699966</v>
      </c>
      <c r="P76" s="2">
        <f>P10/'Output-Calculation-sheet'!P9*'Output-Calculation-sheet'!P63</f>
        <v>371.71676471957295</v>
      </c>
      <c r="Q76" s="2">
        <f>Q10/'Output-Calculation-sheet'!Q9*'Output-Calculation-sheet'!Q63</f>
        <v>167.99763658456135</v>
      </c>
      <c r="R76" s="2">
        <f>R10/'Output-Calculation-sheet'!R9*'Output-Calculation-sheet'!R63</f>
        <v>282.87044419958903</v>
      </c>
      <c r="S76" s="2">
        <f>S10/'Output-Calculation-sheet'!S9*'Output-Calculation-sheet'!S63</f>
        <v>479.94308305123224</v>
      </c>
      <c r="T76" s="2">
        <f>T10/'Output-Calculation-sheet'!T9*'Output-Calculation-sheet'!T63</f>
        <v>18.589790242832628</v>
      </c>
      <c r="U76" s="2">
        <f>U10/'Output-Calculation-sheet'!U9*'Output-Calculation-sheet'!U63</f>
        <v>100.49573728043055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108.06464996069248</v>
      </c>
      <c r="Y76" s="2">
        <f>Y10/'Output-Calculation-sheet'!Y9*'Output-Calculation-sheet'!Y63</f>
        <v>4.7667567463376335</v>
      </c>
      <c r="AA76" s="2">
        <f t="shared" si="6"/>
        <v>12.615727113058091</v>
      </c>
    </row>
    <row r="77" spans="1:27" x14ac:dyDescent="0.25">
      <c r="A77" s="2">
        <v>2034</v>
      </c>
      <c r="B77" s="2">
        <f>B11/'Output-Calculation-sheet'!B10*'Output-Calculation-sheet'!B64</f>
        <v>8302.0966173725483</v>
      </c>
      <c r="C77" s="2">
        <f>C11/'Output-Calculation-sheet'!C10*'Output-Calculation-sheet'!C64</f>
        <v>1246.8281998406674</v>
      </c>
      <c r="D77" s="2">
        <f>D11/'Output-Calculation-sheet'!D10*'Output-Calculation-sheet'!D64</f>
        <v>1066.7029651473172</v>
      </c>
      <c r="E77" s="2">
        <f>E11/'Output-Calculation-sheet'!E10*'Output-Calculation-sheet'!E64</f>
        <v>1315.3770030176056</v>
      </c>
      <c r="F77" s="2">
        <f>F11/'Output-Calculation-sheet'!F10*'Output-Calculation-sheet'!F64</f>
        <v>84.699901628438184</v>
      </c>
      <c r="G77" s="2">
        <f>G11/'Output-Calculation-sheet'!G10*'Output-Calculation-sheet'!G64</f>
        <v>531.44874028315621</v>
      </c>
      <c r="H77" s="2">
        <f>H11/'Output-Calculation-sheet'!H10*'Output-Calculation-sheet'!H64</f>
        <v>2832.1348135143935</v>
      </c>
      <c r="I77" s="2">
        <f>I11/'Output-Calculation-sheet'!I10*'Output-Calculation-sheet'!I64</f>
        <v>330.46356376478155</v>
      </c>
      <c r="J77" s="2">
        <f>J11/'Output-Calculation-sheet'!J10*'Output-Calculation-sheet'!J64</f>
        <v>231.88735062182934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211.62258855152319</v>
      </c>
      <c r="M77" s="2">
        <f>M11/'Output-Calculation-sheet'!M10*'Output-Calculation-sheet'!M64</f>
        <v>2007.4583482271769</v>
      </c>
      <c r="N77" s="2">
        <f>N11/'Output-Calculation-sheet'!N10*'Output-Calculation-sheet'!N64</f>
        <v>1408.5239074325941</v>
      </c>
      <c r="O77" s="2">
        <f>O11/'Output-Calculation-sheet'!O10*'Output-Calculation-sheet'!O64</f>
        <v>67.278666856529213</v>
      </c>
      <c r="P77" s="2">
        <f>P11/'Output-Calculation-sheet'!P10*'Output-Calculation-sheet'!P64</f>
        <v>618.6518619164591</v>
      </c>
      <c r="Q77" s="2">
        <f>Q11/'Output-Calculation-sheet'!Q10*'Output-Calculation-sheet'!Q64</f>
        <v>441.15443281737305</v>
      </c>
      <c r="R77" s="2">
        <f>R11/'Output-Calculation-sheet'!R10*'Output-Calculation-sheet'!R64</f>
        <v>533.50088097740354</v>
      </c>
      <c r="S77" s="2">
        <f>S11/'Output-Calculation-sheet'!S10*'Output-Calculation-sheet'!S64</f>
        <v>660.75660591463054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156.92714699772534</v>
      </c>
      <c r="V77" s="2">
        <f>V11/'Output-Calculation-sheet'!V10*'Output-Calculation-sheet'!V64</f>
        <v>76.150102205853926</v>
      </c>
      <c r="W77" s="2">
        <f>W11/'Output-Calculation-sheet'!W10*'Output-Calculation-sheet'!W64</f>
        <v>16.713752250683182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48.79164031400154</v>
      </c>
      <c r="AA77" s="2">
        <f t="shared" si="6"/>
        <v>22.923230628527765</v>
      </c>
    </row>
    <row r="78" spans="1:27" x14ac:dyDescent="0.25">
      <c r="A78" s="2">
        <v>2035</v>
      </c>
      <c r="B78" s="2">
        <f>B12/'Output-Calculation-sheet'!B11*'Output-Calculation-sheet'!B65</f>
        <v>6787.4419519403091</v>
      </c>
      <c r="C78" s="2">
        <f>C12/'Output-Calculation-sheet'!C11*'Output-Calculation-sheet'!C65</f>
        <v>2230.5220789879636</v>
      </c>
      <c r="D78" s="2">
        <f>D12/'Output-Calculation-sheet'!D11*'Output-Calculation-sheet'!D65</f>
        <v>911.45003505770512</v>
      </c>
      <c r="E78" s="2">
        <f>E12/'Output-Calculation-sheet'!E11*'Output-Calculation-sheet'!E65</f>
        <v>1586.1267028720813</v>
      </c>
      <c r="F78" s="2">
        <f>F12/'Output-Calculation-sheet'!F11*'Output-Calculation-sheet'!F65</f>
        <v>204.80996193368759</v>
      </c>
      <c r="G78" s="2">
        <f>G12/'Output-Calculation-sheet'!G11*'Output-Calculation-sheet'!G65</f>
        <v>399.31576015970103</v>
      </c>
      <c r="H78" s="2">
        <f>H12/'Output-Calculation-sheet'!H11*'Output-Calculation-sheet'!H65</f>
        <v>2160.5615969684859</v>
      </c>
      <c r="I78" s="2">
        <f>I12/'Output-Calculation-sheet'!I11*'Output-Calculation-sheet'!I65</f>
        <v>265.48883716373462</v>
      </c>
      <c r="J78" s="2">
        <f>J12/'Output-Calculation-sheet'!J11*'Output-Calculation-sheet'!J65</f>
        <v>386.71573630064472</v>
      </c>
      <c r="K78" s="2">
        <f>K12/'Output-Calculation-sheet'!K11*'Output-Calculation-sheet'!K65</f>
        <v>475.51284954527154</v>
      </c>
      <c r="L78" s="2">
        <f>L12/'Output-Calculation-sheet'!L11*'Output-Calculation-sheet'!L65</f>
        <v>406.19435389646821</v>
      </c>
      <c r="M78" s="2">
        <f>M12/'Output-Calculation-sheet'!M11*'Output-Calculation-sheet'!M65</f>
        <v>1577.7067433364859</v>
      </c>
      <c r="N78" s="2">
        <f>N12/'Output-Calculation-sheet'!N11*'Output-Calculation-sheet'!N65</f>
        <v>1136.5863283424007</v>
      </c>
      <c r="O78" s="2">
        <f>O12/'Output-Calculation-sheet'!O11*'Output-Calculation-sheet'!O65</f>
        <v>5.3262944230636089</v>
      </c>
      <c r="P78" s="2">
        <f>P12/'Output-Calculation-sheet'!P11*'Output-Calculation-sheet'!P65</f>
        <v>548.82515131933042</v>
      </c>
      <c r="Q78" s="2">
        <f>Q12/'Output-Calculation-sheet'!Q11*'Output-Calculation-sheet'!Q65</f>
        <v>369.35023859606656</v>
      </c>
      <c r="R78" s="2">
        <f>R12/'Output-Calculation-sheet'!R11*'Output-Calculation-sheet'!R65</f>
        <v>511.23148550612336</v>
      </c>
      <c r="S78" s="2">
        <f>S12/'Output-Calculation-sheet'!S11*'Output-Calculation-sheet'!S65</f>
        <v>537.25033971140954</v>
      </c>
      <c r="T78" s="2">
        <f>T12/'Output-Calculation-sheet'!T11*'Output-Calculation-sheet'!T65</f>
        <v>176.36804463808582</v>
      </c>
      <c r="U78" s="2">
        <f>U12/'Output-Calculation-sheet'!U11*'Output-Calculation-sheet'!U65</f>
        <v>120.66753137357701</v>
      </c>
      <c r="V78" s="2">
        <f>V12/'Output-Calculation-sheet'!V11*'Output-Calculation-sheet'!V65</f>
        <v>99.473253274408862</v>
      </c>
      <c r="W78" s="2">
        <f>W12/'Output-Calculation-sheet'!W11*'Output-Calculation-sheet'!W65</f>
        <v>47.037351555416109</v>
      </c>
      <c r="X78" s="2">
        <f>X12/'Output-Calculation-sheet'!X11*'Output-Calculation-sheet'!X65</f>
        <v>12.966932379537424</v>
      </c>
      <c r="Y78" s="2">
        <f>Y12/'Output-Calculation-sheet'!Y11*'Output-Calculation-sheet'!Y65</f>
        <v>44.018561897222376</v>
      </c>
      <c r="AA78" s="2">
        <f t="shared" si="6"/>
        <v>21.000948121179182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13.893036606223593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1.047668570229457</v>
      </c>
      <c r="H88" s="2">
        <f>H11/'Output-Calculation-sheet'!H10*'Output-Calculation-sheet'!H73</f>
        <v>7.1043853782915001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3.0068392402882624</v>
      </c>
      <c r="R88" s="2">
        <f>R11/'Output-Calculation-sheet'!R10*'Output-Calculation-sheet'!R73</f>
        <v>0</v>
      </c>
      <c r="S88" s="2">
        <f>S11/'Output-Calculation-sheet'!S10*'Output-Calculation-sheet'!S73</f>
        <v>1.5738108252203324</v>
      </c>
      <c r="T88" s="2">
        <f>T11/'Output-Calculation-sheet'!T10*'Output-Calculation-sheet'!T73</f>
        <v>0</v>
      </c>
      <c r="U88" s="2">
        <f>U11/'Output-Calculation-sheet'!U10*'Output-Calculation-sheet'!U73</f>
        <v>0.95936251025664998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2.758510313050979E-2</v>
      </c>
    </row>
    <row r="89" spans="1:27" x14ac:dyDescent="0.25">
      <c r="A89" s="2">
        <v>2035</v>
      </c>
      <c r="B89" s="2">
        <f>B12/'Output-Calculation-sheet'!B11*'Output-Calculation-sheet'!B74</f>
        <v>148.06141477520546</v>
      </c>
      <c r="C89" s="2">
        <f>C12/'Output-Calculation-sheet'!C11*'Output-Calculation-sheet'!C74</f>
        <v>80.312427878199003</v>
      </c>
      <c r="D89" s="2">
        <f>D12/'Output-Calculation-sheet'!D11*'Output-Calculation-sheet'!D74</f>
        <v>13.339301777320312</v>
      </c>
      <c r="E89" s="2">
        <f>E12/'Output-Calculation-sheet'!E11*'Output-Calculation-sheet'!E74</f>
        <v>44.171663742697532</v>
      </c>
      <c r="F89" s="2">
        <f>F12/'Output-Calculation-sheet'!F11*'Output-Calculation-sheet'!F74</f>
        <v>13.334850051024649</v>
      </c>
      <c r="G89" s="2">
        <f>G12/'Output-Calculation-sheet'!G11*'Output-Calculation-sheet'!G74</f>
        <v>9.570218219198825</v>
      </c>
      <c r="H89" s="2">
        <f>H12/'Output-Calculation-sheet'!H11*'Output-Calculation-sheet'!H74</f>
        <v>33.221069252160575</v>
      </c>
      <c r="I89" s="2">
        <f>I12/'Output-Calculation-sheet'!I11*'Output-Calculation-sheet'!I74</f>
        <v>8.6078198981522274</v>
      </c>
      <c r="J89" s="2">
        <f>J12/'Output-Calculation-sheet'!J11*'Output-Calculation-sheet'!J74</f>
        <v>4.2594451634884622</v>
      </c>
      <c r="K89" s="2">
        <f>K12/'Output-Calculation-sheet'!K11*'Output-Calculation-sheet'!K74</f>
        <v>6.3450875951403001</v>
      </c>
      <c r="L89" s="2">
        <f>L12/'Output-Calculation-sheet'!L11*'Output-Calculation-sheet'!L74</f>
        <v>3.3635477052684295</v>
      </c>
      <c r="M89" s="2">
        <f>M12/'Output-Calculation-sheet'!M11*'Output-Calculation-sheet'!M74</f>
        <v>17.543205749658426</v>
      </c>
      <c r="N89" s="2">
        <f>N12/'Output-Calculation-sheet'!N11*'Output-Calculation-sheet'!N74</f>
        <v>8.8823074279332133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12.067193936937958</v>
      </c>
      <c r="Q89" s="2">
        <f>Q12/'Output-Calculation-sheet'!Q11*'Output-Calculation-sheet'!Q74</f>
        <v>10.071161608114563</v>
      </c>
      <c r="R89" s="2">
        <f>R12/'Output-Calculation-sheet'!R11*'Output-Calculation-sheet'!R74</f>
        <v>5.4477026699358326</v>
      </c>
      <c r="S89" s="2">
        <f>S12/'Output-Calculation-sheet'!S11*'Output-Calculation-sheet'!S74</f>
        <v>7.7872221471148517</v>
      </c>
      <c r="T89" s="2">
        <f>T12/'Output-Calculation-sheet'!T11*'Output-Calculation-sheet'!T74</f>
        <v>1.0077223841071317</v>
      </c>
      <c r="U89" s="2">
        <f>U12/'Output-Calculation-sheet'!U11*'Output-Calculation-sheet'!U74</f>
        <v>2.9211873663645522</v>
      </c>
      <c r="V89" s="2">
        <f>V12/'Output-Calculation-sheet'!V11*'Output-Calculation-sheet'!V74</f>
        <v>0.2252490651335245</v>
      </c>
      <c r="W89" s="2">
        <f>W12/'Output-Calculation-sheet'!W11*'Output-Calculation-sheet'!W74</f>
        <v>1.3653519972130488</v>
      </c>
      <c r="X89" s="2">
        <f>X12/'Output-Calculation-sheet'!X11*'Output-Calculation-sheet'!X74</f>
        <v>0.17495692342356373</v>
      </c>
      <c r="Y89" s="2">
        <f>Y12/'Output-Calculation-sheet'!Y11*'Output-Calculation-sheet'!Y74</f>
        <v>1.8572045548914384</v>
      </c>
      <c r="AA89" s="2">
        <f t="shared" si="7"/>
        <v>0.43442488918848832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7972175480.2201195</v>
      </c>
      <c r="C96" s="2">
        <f>C8/'Output-Calculation-sheet'!C7*'Output-Calculation-sheet'!C79</f>
        <v>1925149974.4594684</v>
      </c>
      <c r="D96" s="2">
        <f>D8/'Output-Calculation-sheet'!D7*'Output-Calculation-sheet'!D79</f>
        <v>1562927635.8305244</v>
      </c>
      <c r="E96" s="2">
        <f>E8/'Output-Calculation-sheet'!E7*'Output-Calculation-sheet'!E79</f>
        <v>5855729559.4894829</v>
      </c>
      <c r="F96" s="2">
        <f>F8/'Output-Calculation-sheet'!F7*'Output-Calculation-sheet'!F79</f>
        <v>1708205309.2929945</v>
      </c>
      <c r="G96" s="2">
        <f>G8/'Output-Calculation-sheet'!G7*'Output-Calculation-sheet'!G79</f>
        <v>1096424336.7947216</v>
      </c>
      <c r="H96" s="2">
        <f>H8/'Output-Calculation-sheet'!H7*'Output-Calculation-sheet'!H79</f>
        <v>1350758436.4886587</v>
      </c>
      <c r="I96" s="2">
        <f>I8/'Output-Calculation-sheet'!I7*'Output-Calculation-sheet'!I79</f>
        <v>788433897.9308722</v>
      </c>
      <c r="J96" s="2">
        <f>J8/'Output-Calculation-sheet'!J7*'Output-Calculation-sheet'!J79</f>
        <v>597476652.6914438</v>
      </c>
      <c r="K96" s="2">
        <f>K8/'Output-Calculation-sheet'!K7*'Output-Calculation-sheet'!K79</f>
        <v>749314131.00206602</v>
      </c>
      <c r="L96" s="2">
        <f>L8/'Output-Calculation-sheet'!L7*'Output-Calculation-sheet'!L79</f>
        <v>680249429.65058982</v>
      </c>
      <c r="M96" s="2">
        <f>M8/'Output-Calculation-sheet'!M7*'Output-Calculation-sheet'!M79</f>
        <v>1042238064.5821861</v>
      </c>
      <c r="N96" s="2">
        <f>N8/'Output-Calculation-sheet'!N7*'Output-Calculation-sheet'!N79</f>
        <v>677524255.06986904</v>
      </c>
      <c r="O96" s="2">
        <f>O8/'Output-Calculation-sheet'!O7*'Output-Calculation-sheet'!O79</f>
        <v>254221345.87580192</v>
      </c>
      <c r="P96" s="2">
        <f>P8/'Output-Calculation-sheet'!P7*'Output-Calculation-sheet'!P79</f>
        <v>1290357514.6504567</v>
      </c>
      <c r="Q96" s="2">
        <f>Q8/'Output-Calculation-sheet'!Q7*'Output-Calculation-sheet'!Q79</f>
        <v>547843636.95705271</v>
      </c>
      <c r="R96" s="2">
        <f>R8/'Output-Calculation-sheet'!R7*'Output-Calculation-sheet'!R79</f>
        <v>727143398.51363385</v>
      </c>
      <c r="S96" s="2">
        <f>S8/'Output-Calculation-sheet'!S7*'Output-Calculation-sheet'!S79</f>
        <v>410079385.73839867</v>
      </c>
      <c r="T96" s="2">
        <f>T8/'Output-Calculation-sheet'!T7*'Output-Calculation-sheet'!T79</f>
        <v>247392297.164074</v>
      </c>
      <c r="U96" s="2">
        <f>U8/'Output-Calculation-sheet'!U7*'Output-Calculation-sheet'!U79</f>
        <v>194728770.06145176</v>
      </c>
      <c r="V96" s="2">
        <f>V8/'Output-Calculation-sheet'!V7*'Output-Calculation-sheet'!V79</f>
        <v>89373725.414588213</v>
      </c>
      <c r="W96" s="2">
        <f>W8/'Output-Calculation-sheet'!W7*'Output-Calculation-sheet'!W79</f>
        <v>275173622.27769232</v>
      </c>
      <c r="X96" s="2">
        <f>X8/'Output-Calculation-sheet'!X7*'Output-Calculation-sheet'!X79</f>
        <v>124108722.64031698</v>
      </c>
      <c r="Y96" s="2">
        <f>Y8/'Output-Calculation-sheet'!Y7*'Output-Calculation-sheet'!Y79</f>
        <v>170796435.26483756</v>
      </c>
      <c r="AA96" s="2">
        <f t="shared" si="8"/>
        <v>30.337826018061307</v>
      </c>
    </row>
    <row r="97" spans="1:27" x14ac:dyDescent="0.25">
      <c r="A97" s="2">
        <v>2032</v>
      </c>
      <c r="B97" s="2">
        <f>B9/'Output-Calculation-sheet'!B8*'Output-Calculation-sheet'!B80</f>
        <v>9121023544.9380054</v>
      </c>
      <c r="C97" s="2">
        <f>C9/'Output-Calculation-sheet'!C8*'Output-Calculation-sheet'!C80</f>
        <v>2154224416.7278767</v>
      </c>
      <c r="D97" s="2">
        <f>D9/'Output-Calculation-sheet'!D8*'Output-Calculation-sheet'!D80</f>
        <v>1645586322.3751385</v>
      </c>
      <c r="E97" s="2">
        <f>E9/'Output-Calculation-sheet'!E8*'Output-Calculation-sheet'!E80</f>
        <v>6927684807.2509699</v>
      </c>
      <c r="F97" s="2">
        <f>F9/'Output-Calculation-sheet'!F8*'Output-Calculation-sheet'!F80</f>
        <v>1899808959.5783949</v>
      </c>
      <c r="G97" s="2">
        <f>G9/'Output-Calculation-sheet'!G8*'Output-Calculation-sheet'!G80</f>
        <v>1164101683.3077059</v>
      </c>
      <c r="H97" s="2">
        <f>H9/'Output-Calculation-sheet'!H8*'Output-Calculation-sheet'!H80</f>
        <v>1524226825.0013216</v>
      </c>
      <c r="I97" s="2">
        <f>I9/'Output-Calculation-sheet'!I8*'Output-Calculation-sheet'!I80</f>
        <v>877951367.74232519</v>
      </c>
      <c r="J97" s="2">
        <f>J9/'Output-Calculation-sheet'!J8*'Output-Calculation-sheet'!J80</f>
        <v>656071735.04297614</v>
      </c>
      <c r="K97" s="2">
        <f>K9/'Output-Calculation-sheet'!K8*'Output-Calculation-sheet'!K80</f>
        <v>809159249.57179081</v>
      </c>
      <c r="L97" s="2">
        <f>L9/'Output-Calculation-sheet'!L8*'Output-Calculation-sheet'!L80</f>
        <v>780490258.82667577</v>
      </c>
      <c r="M97" s="2">
        <f>M9/'Output-Calculation-sheet'!M8*'Output-Calculation-sheet'!M80</f>
        <v>1202511717.9828053</v>
      </c>
      <c r="N97" s="2">
        <f>N9/'Output-Calculation-sheet'!N8*'Output-Calculation-sheet'!N80</f>
        <v>755544105.94429398</v>
      </c>
      <c r="O97" s="2">
        <f>O9/'Output-Calculation-sheet'!O8*'Output-Calculation-sheet'!O80</f>
        <v>280848940.41277844</v>
      </c>
      <c r="P97" s="2">
        <f>P9/'Output-Calculation-sheet'!P8*'Output-Calculation-sheet'!P80</f>
        <v>1416462548.5127583</v>
      </c>
      <c r="Q97" s="2">
        <f>Q9/'Output-Calculation-sheet'!Q8*'Output-Calculation-sheet'!Q80</f>
        <v>612669184.21613443</v>
      </c>
      <c r="R97" s="2">
        <f>R9/'Output-Calculation-sheet'!R8*'Output-Calculation-sheet'!R80</f>
        <v>820981298.77919161</v>
      </c>
      <c r="S97" s="2">
        <f>S9/'Output-Calculation-sheet'!S8*'Output-Calculation-sheet'!S80</f>
        <v>456926524.20375597</v>
      </c>
      <c r="T97" s="2">
        <f>T9/'Output-Calculation-sheet'!T8*'Output-Calculation-sheet'!T80</f>
        <v>266430751.48975256</v>
      </c>
      <c r="U97" s="2">
        <f>U9/'Output-Calculation-sheet'!U8*'Output-Calculation-sheet'!U80</f>
        <v>212005083.31667513</v>
      </c>
      <c r="V97" s="2">
        <f>V9/'Output-Calculation-sheet'!V8*'Output-Calculation-sheet'!V80</f>
        <v>97789030.530162483</v>
      </c>
      <c r="W97" s="2">
        <f>W9/'Output-Calculation-sheet'!W8*'Output-Calculation-sheet'!W80</f>
        <v>302607179.90458876</v>
      </c>
      <c r="X97" s="2">
        <f>X9/'Output-Calculation-sheet'!X8*'Output-Calculation-sheet'!X80</f>
        <v>146561829.87037829</v>
      </c>
      <c r="Y97" s="2">
        <f>Y9/'Output-Calculation-sheet'!Y8*'Output-Calculation-sheet'!Y80</f>
        <v>192392669.91725186</v>
      </c>
      <c r="AA97" s="2">
        <f t="shared" si="8"/>
        <v>34.324060035443701</v>
      </c>
    </row>
    <row r="98" spans="1:27" x14ac:dyDescent="0.25">
      <c r="A98" s="2">
        <v>2033</v>
      </c>
      <c r="B98" s="2">
        <f>B10/'Output-Calculation-sheet'!B9*'Output-Calculation-sheet'!B81</f>
        <v>9148959633.1024437</v>
      </c>
      <c r="C98" s="2">
        <f>C10/'Output-Calculation-sheet'!C9*'Output-Calculation-sheet'!C81</f>
        <v>2118543406.5542753</v>
      </c>
      <c r="D98" s="2">
        <f>D10/'Output-Calculation-sheet'!D9*'Output-Calculation-sheet'!D81</f>
        <v>1524066435.1218419</v>
      </c>
      <c r="E98" s="2">
        <f>E10/'Output-Calculation-sheet'!E9*'Output-Calculation-sheet'!E81</f>
        <v>7194181953.2028656</v>
      </c>
      <c r="F98" s="2">
        <f>F10/'Output-Calculation-sheet'!F9*'Output-Calculation-sheet'!F81</f>
        <v>1853585713.4243305</v>
      </c>
      <c r="G98" s="2">
        <f>G10/'Output-Calculation-sheet'!G9*'Output-Calculation-sheet'!G81</f>
        <v>1082904866.8574219</v>
      </c>
      <c r="H98" s="2">
        <f>H10/'Output-Calculation-sheet'!H9*'Output-Calculation-sheet'!H81</f>
        <v>1507571346.9274268</v>
      </c>
      <c r="I98" s="2">
        <f>I10/'Output-Calculation-sheet'!I9*'Output-Calculation-sheet'!I81</f>
        <v>859151386.4291085</v>
      </c>
      <c r="J98" s="2">
        <f>J10/'Output-Calculation-sheet'!J9*'Output-Calculation-sheet'!J81</f>
        <v>633788639.16788673</v>
      </c>
      <c r="K98" s="2">
        <f>K10/'Output-Calculation-sheet'!K9*'Output-Calculation-sheet'!K81</f>
        <v>767487044.37483895</v>
      </c>
      <c r="L98" s="2">
        <f>L10/'Output-Calculation-sheet'!L9*'Output-Calculation-sheet'!L81</f>
        <v>786599153.42035544</v>
      </c>
      <c r="M98" s="2">
        <f>M10/'Output-Calculation-sheet'!M9*'Output-Calculation-sheet'!M81</f>
        <v>1218950190.82463</v>
      </c>
      <c r="N98" s="2">
        <f>N10/'Output-Calculation-sheet'!N9*'Output-Calculation-sheet'!N81</f>
        <v>740773456.32378197</v>
      </c>
      <c r="O98" s="2">
        <f>O10/'Output-Calculation-sheet'!O9*'Output-Calculation-sheet'!O81</f>
        <v>273219119.97235703</v>
      </c>
      <c r="P98" s="2">
        <f>P10/'Output-Calculation-sheet'!P9*'Output-Calculation-sheet'!P81</f>
        <v>1355451812.5229363</v>
      </c>
      <c r="Q98" s="2">
        <f>Q10/'Output-Calculation-sheet'!Q9*'Output-Calculation-sheet'!Q81</f>
        <v>602271133.78556383</v>
      </c>
      <c r="R98" s="2">
        <f>R10/'Output-Calculation-sheet'!R9*'Output-Calculation-sheet'!R81</f>
        <v>812932023.98098958</v>
      </c>
      <c r="S98" s="2">
        <f>S10/'Output-Calculation-sheet'!S9*'Output-Calculation-sheet'!S81</f>
        <v>446461258.84759933</v>
      </c>
      <c r="T98" s="2">
        <f>T10/'Output-Calculation-sheet'!T9*'Output-Calculation-sheet'!T81</f>
        <v>251542134.88648829</v>
      </c>
      <c r="U98" s="2">
        <f>U10/'Output-Calculation-sheet'!U9*'Output-Calculation-sheet'!U81</f>
        <v>202121806.00753927</v>
      </c>
      <c r="V98" s="2">
        <f>V10/'Output-Calculation-sheet'!V9*'Output-Calculation-sheet'!V81</f>
        <v>93874676.330481768</v>
      </c>
      <c r="W98" s="2">
        <f>W10/'Output-Calculation-sheet'!W9*'Output-Calculation-sheet'!W81</f>
        <v>290307835.99681622</v>
      </c>
      <c r="X98" s="2">
        <f>X10/'Output-Calculation-sheet'!X9*'Output-Calculation-sheet'!X81</f>
        <v>152189271.94494608</v>
      </c>
      <c r="Y98" s="2">
        <f>Y10/'Output-Calculation-sheet'!Y9*'Output-Calculation-sheet'!Y81</f>
        <v>189472337.77366871</v>
      </c>
      <c r="AA98" s="2">
        <f t="shared" si="8"/>
        <v>34.106406637780601</v>
      </c>
    </row>
    <row r="99" spans="1:27" x14ac:dyDescent="0.25">
      <c r="A99" s="2">
        <v>2034</v>
      </c>
      <c r="B99" s="2">
        <f>B11/'Output-Calculation-sheet'!B10*'Output-Calculation-sheet'!B82</f>
        <v>8143688213.9883862</v>
      </c>
      <c r="C99" s="2">
        <f>C11/'Output-Calculation-sheet'!C10*'Output-Calculation-sheet'!C82</f>
        <v>1853774222.5175591</v>
      </c>
      <c r="D99" s="2">
        <f>D11/'Output-Calculation-sheet'!D10*'Output-Calculation-sheet'!D82</f>
        <v>1257463298.6897681</v>
      </c>
      <c r="E99" s="2">
        <f>E11/'Output-Calculation-sheet'!E10*'Output-Calculation-sheet'!E82</f>
        <v>6636682580.573103</v>
      </c>
      <c r="F99" s="2">
        <f>F11/'Output-Calculation-sheet'!F10*'Output-Calculation-sheet'!F82</f>
        <v>1606450081.7852275</v>
      </c>
      <c r="G99" s="2">
        <f>G11/'Output-Calculation-sheet'!G10*'Output-Calculation-sheet'!G82</f>
        <v>894088005.81438136</v>
      </c>
      <c r="H99" s="2">
        <f>H11/'Output-Calculation-sheet'!H10*'Output-Calculation-sheet'!H82</f>
        <v>1323019241.6333191</v>
      </c>
      <c r="I99" s="2">
        <f>I11/'Output-Calculation-sheet'!I10*'Output-Calculation-sheet'!I82</f>
        <v>748107677.54457486</v>
      </c>
      <c r="J99" s="2">
        <f>J11/'Output-Calculation-sheet'!J10*'Output-Calculation-sheet'!J82</f>
        <v>545365285.61361516</v>
      </c>
      <c r="K99" s="2">
        <f>K11/'Output-Calculation-sheet'!K10*'Output-Calculation-sheet'!K82</f>
        <v>647542810.89779234</v>
      </c>
      <c r="L99" s="2">
        <f>L11/'Output-Calculation-sheet'!L10*'Output-Calculation-sheet'!L82</f>
        <v>704908300.04827034</v>
      </c>
      <c r="M99" s="2">
        <f>M11/'Output-Calculation-sheet'!M10*'Output-Calculation-sheet'!M82</f>
        <v>1098848027.3045733</v>
      </c>
      <c r="N99" s="2">
        <f>N11/'Output-Calculation-sheet'!N10*'Output-Calculation-sheet'!N82</f>
        <v>646529540.86292315</v>
      </c>
      <c r="O99" s="2">
        <f>O11/'Output-Calculation-sheet'!O10*'Output-Calculation-sheet'!O82</f>
        <v>236951584.45121649</v>
      </c>
      <c r="P99" s="2">
        <f>P11/'Output-Calculation-sheet'!P10*'Output-Calculation-sheet'!P82</f>
        <v>1145341926.3000336</v>
      </c>
      <c r="Q99" s="2">
        <f>Q11/'Output-Calculation-sheet'!Q10*'Output-Calculation-sheet'!Q82</f>
        <v>526843758.4446016</v>
      </c>
      <c r="R99" s="2">
        <f>R11/'Output-Calculation-sheet'!R10*'Output-Calculation-sheet'!R82</f>
        <v>714651117.90540814</v>
      </c>
      <c r="S99" s="2">
        <f>S11/'Output-Calculation-sheet'!S10*'Output-Calculation-sheet'!S82</f>
        <v>387279984.17694521</v>
      </c>
      <c r="T99" s="2">
        <f>T11/'Output-Calculation-sheet'!T10*'Output-Calculation-sheet'!T82</f>
        <v>210889276.31149644</v>
      </c>
      <c r="U99" s="2">
        <f>U11/'Output-Calculation-sheet'!U10*'Output-Calculation-sheet'!U82</f>
        <v>170912177.24199086</v>
      </c>
      <c r="V99" s="2">
        <f>V11/'Output-Calculation-sheet'!V10*'Output-Calculation-sheet'!V82</f>
        <v>80058805.431376457</v>
      </c>
      <c r="W99" s="2">
        <f>W11/'Output-Calculation-sheet'!W10*'Output-Calculation-sheet'!W82</f>
        <v>246100678.32359859</v>
      </c>
      <c r="X99" s="2">
        <f>X11/'Output-Calculation-sheet'!X10*'Output-Calculation-sheet'!X82</f>
        <v>140656090.83065709</v>
      </c>
      <c r="Y99" s="2">
        <f>Y11/'Output-Calculation-sheet'!Y10*'Output-Calculation-sheet'!Y82</f>
        <v>165183299.1581986</v>
      </c>
      <c r="AA99" s="2">
        <f t="shared" si="8"/>
        <v>30.131335985849017</v>
      </c>
    </row>
    <row r="100" spans="1:27" x14ac:dyDescent="0.25">
      <c r="A100" s="2">
        <v>2035</v>
      </c>
      <c r="B100" s="2">
        <f>B12/'Output-Calculation-sheet'!B11*'Output-Calculation-sheet'!B83</f>
        <v>6394888838.1098757</v>
      </c>
      <c r="C100" s="2">
        <f>C12/'Output-Calculation-sheet'!C11*'Output-Calculation-sheet'!C83</f>
        <v>1435034257.2155044</v>
      </c>
      <c r="D100" s="2">
        <f>D12/'Output-Calculation-sheet'!D11*'Output-Calculation-sheet'!D83</f>
        <v>919254638.20591903</v>
      </c>
      <c r="E100" s="2">
        <f>E12/'Output-Calculation-sheet'!E11*'Output-Calculation-sheet'!E83</f>
        <v>5405745877.4968214</v>
      </c>
      <c r="F100" s="2">
        <f>F12/'Output-Calculation-sheet'!F11*'Output-Calculation-sheet'!F83</f>
        <v>1229872108.9684992</v>
      </c>
      <c r="G100" s="2">
        <f>G12/'Output-Calculation-sheet'!G11*'Output-Calculation-sheet'!G83</f>
        <v>651793189.87586129</v>
      </c>
      <c r="H100" s="2">
        <f>H12/'Output-Calculation-sheet'!H11*'Output-Calculation-sheet'!H83</f>
        <v>1024231832.86631</v>
      </c>
      <c r="I100" s="2">
        <f>I12/'Output-Calculation-sheet'!I11*'Output-Calculation-sheet'!I83</f>
        <v>576384785.0722121</v>
      </c>
      <c r="J100" s="2">
        <f>J12/'Output-Calculation-sheet'!J11*'Output-Calculation-sheet'!J83</f>
        <v>415641486.42438942</v>
      </c>
      <c r="K100" s="2">
        <f>K12/'Output-Calculation-sheet'!K11*'Output-Calculation-sheet'!K83</f>
        <v>483352205.26906741</v>
      </c>
      <c r="L100" s="2">
        <f>L12/'Output-Calculation-sheet'!L11*'Output-Calculation-sheet'!L83</f>
        <v>558440631.80865633</v>
      </c>
      <c r="M100" s="2">
        <f>M12/'Output-Calculation-sheet'!M11*'Output-Calculation-sheet'!M83</f>
        <v>875764273.59508491</v>
      </c>
      <c r="N100" s="2">
        <f>N12/'Output-Calculation-sheet'!N11*'Output-Calculation-sheet'!N83</f>
        <v>499468605.06585991</v>
      </c>
      <c r="O100" s="2">
        <f>O12/'Output-Calculation-sheet'!O11*'Output-Calculation-sheet'!O83</f>
        <v>182140497.54273298</v>
      </c>
      <c r="P100" s="2">
        <f>P12/'Output-Calculation-sheet'!P11*'Output-Calculation-sheet'!P83</f>
        <v>850332197.52560234</v>
      </c>
      <c r="Q100" s="2">
        <f>Q12/'Output-Calculation-sheet'!Q11*'Output-Calculation-sheet'!Q83</f>
        <v>407734227.94303709</v>
      </c>
      <c r="R100" s="2">
        <f>R12/'Output-Calculation-sheet'!R11*'Output-Calculation-sheet'!R83</f>
        <v>554548893.28611803</v>
      </c>
      <c r="S100" s="2">
        <f>S12/'Output-Calculation-sheet'!S11*'Output-Calculation-sheet'!S83</f>
        <v>296544098.4026674</v>
      </c>
      <c r="T100" s="2">
        <f>T12/'Output-Calculation-sheet'!T11*'Output-Calculation-sheet'!T83</f>
        <v>156190066.63827428</v>
      </c>
      <c r="U100" s="2">
        <f>U12/'Output-Calculation-sheet'!U11*'Output-Calculation-sheet'!U83</f>
        <v>127507097.23162515</v>
      </c>
      <c r="V100" s="2">
        <f>V12/'Output-Calculation-sheet'!V11*'Output-Calculation-sheet'!V83</f>
        <v>60319503.464372806</v>
      </c>
      <c r="W100" s="2">
        <f>W12/'Output-Calculation-sheet'!W11*'Output-Calculation-sheet'!W83</f>
        <v>183413292.71876034</v>
      </c>
      <c r="X100" s="2">
        <f>X12/'Output-Calculation-sheet'!X11*'Output-Calculation-sheet'!X83</f>
        <v>115020297.2350682</v>
      </c>
      <c r="Y100" s="2">
        <f>Y12/'Output-Calculation-sheet'!Y11*'Output-Calculation-sheet'!Y83</f>
        <v>126787359.15869918</v>
      </c>
      <c r="AA100" s="2">
        <f t="shared" si="8"/>
        <v>23.530410261121027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1320.4469887814537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320.65770856852407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30.683017816566956</v>
      </c>
      <c r="Y107" s="2">
        <f>Y8/'Output-Calculation-sheet'!Y7*'Output-Calculation-sheet'!Y88</f>
        <v>0</v>
      </c>
      <c r="AA107" s="2">
        <f t="shared" si="9"/>
        <v>1.6717877151665448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2306.4867776208348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448.08630485833487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38.282477444964499</v>
      </c>
      <c r="Y108" s="2">
        <f>Y9/'Output-Calculation-sheet'!Y8*'Output-Calculation-sheet'!Y89</f>
        <v>0</v>
      </c>
      <c r="AA108" s="2">
        <f t="shared" si="9"/>
        <v>2.7928555599241345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527.90827848373124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3.280351406334467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591.8324448579383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3.4315657221072646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1739.2660162372472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62.867854483533897</v>
      </c>
      <c r="Y111" s="2">
        <f>Y12/'Output-Calculation-sheet'!Y11*'Output-Calculation-sheet'!Y92</f>
        <v>0</v>
      </c>
      <c r="AA111" s="2">
        <f t="shared" si="9"/>
        <v>2.365285651994899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10928872425.099361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6801327267.9610567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4692339718.2494307</v>
      </c>
      <c r="N118" s="2">
        <f>N8/'Output-Calculation-sheet'!N7*'Output-Calculation-sheet'!N97</f>
        <v>1573779964.8623071</v>
      </c>
      <c r="O118" s="2">
        <f>O8/'Output-Calculation-sheet'!O7*'Output-Calculation-sheet'!O97</f>
        <v>1508890244.9487073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471030812.38925481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255499780.6228705</v>
      </c>
      <c r="Y118" s="2">
        <f>Y8/'Output-Calculation-sheet'!Y7*'Output-Calculation-sheet'!Y97</f>
        <v>0</v>
      </c>
      <c r="AA118" s="2">
        <f t="shared" si="10"/>
        <v>27555.36648080096</v>
      </c>
    </row>
    <row r="119" spans="1:27" x14ac:dyDescent="0.25">
      <c r="A119" s="2">
        <v>2032</v>
      </c>
      <c r="B119" s="2">
        <f>B9/'Output-Calculation-sheet'!B8*'Output-Calculation-sheet'!B98</f>
        <v>5425770663.3834238</v>
      </c>
      <c r="C119" s="2">
        <f>C9/'Output-Calculation-sheet'!C8*'Output-Calculation-sheet'!C98</f>
        <v>8005404802.2821188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8485900360.0386553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5854529720.7828817</v>
      </c>
      <c r="N119" s="2">
        <f>N9/'Output-Calculation-sheet'!N8*'Output-Calculation-sheet'!N98</f>
        <v>2755039381.9613438</v>
      </c>
      <c r="O119" s="2">
        <f>O9/'Output-Calculation-sheet'!O8*'Output-Calculation-sheet'!O98</f>
        <v>1543879285.067014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825375834.40613067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321988150.55922806</v>
      </c>
      <c r="Y119" s="2">
        <f>Y9/'Output-Calculation-sheet'!Y8*'Output-Calculation-sheet'!Y98</f>
        <v>0</v>
      </c>
      <c r="AA119" s="2">
        <f t="shared" si="10"/>
        <v>33217.888198480796</v>
      </c>
    </row>
    <row r="120" spans="1:27" x14ac:dyDescent="0.25">
      <c r="A120" s="2">
        <v>2033</v>
      </c>
      <c r="B120" s="2">
        <f>B10/'Output-Calculation-sheet'!B9*'Output-Calculation-sheet'!B99</f>
        <v>12571049777.643667</v>
      </c>
      <c r="C120" s="2">
        <f>C10/'Output-Calculation-sheet'!C9*'Output-Calculation-sheet'!C99</f>
        <v>7288443932.6409817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3774270100.4298158</v>
      </c>
      <c r="O120" s="2">
        <f>O10/'Output-Calculation-sheet'!O9*'Output-Calculation-sheet'!O99</f>
        <v>1398962270.3887413</v>
      </c>
      <c r="P120" s="2">
        <f>P10/'Output-Calculation-sheet'!P9*'Output-Calculation-sheet'!P99</f>
        <v>0</v>
      </c>
      <c r="Q120" s="2">
        <f>Q10/'Output-Calculation-sheet'!Q9*'Output-Calculation-sheet'!Q99</f>
        <v>121607716.59631769</v>
      </c>
      <c r="R120" s="2">
        <f>R10/'Output-Calculation-sheet'!R9*'Output-Calculation-sheet'!R99</f>
        <v>0</v>
      </c>
      <c r="S120" s="2">
        <f>S10/'Output-Calculation-sheet'!S9*'Output-Calculation-sheet'!S99</f>
        <v>1522443741.4113913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414029147.96368212</v>
      </c>
      <c r="Y120" s="2">
        <f>Y10/'Output-Calculation-sheet'!Y9*'Output-Calculation-sheet'!Y99</f>
        <v>0</v>
      </c>
      <c r="AA120" s="2">
        <f t="shared" si="10"/>
        <v>42859.974893481311</v>
      </c>
    </row>
    <row r="121" spans="1:27" x14ac:dyDescent="0.25">
      <c r="A121" s="2">
        <v>2034</v>
      </c>
      <c r="B121" s="2">
        <f>B11/'Output-Calculation-sheet'!B10*'Output-Calculation-sheet'!B100</f>
        <v>23553392893.921894</v>
      </c>
      <c r="C121" s="2">
        <f>C11/'Output-Calculation-sheet'!C10*'Output-Calculation-sheet'!C100</f>
        <v>6071507650.33459</v>
      </c>
      <c r="D121" s="2">
        <f>D11/'Output-Calculation-sheet'!D10*'Output-Calculation-sheet'!D100</f>
        <v>0</v>
      </c>
      <c r="E121" s="2">
        <f>E11/'Output-Calculation-sheet'!E10*'Output-Calculation-sheet'!E100</f>
        <v>499092072.07346153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8947359362.0790215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418423569.05881196</v>
      </c>
      <c r="M121" s="2">
        <f>M11/'Output-Calculation-sheet'!M10*'Output-Calculation-sheet'!M100</f>
        <v>6315332885.8482561</v>
      </c>
      <c r="N121" s="2">
        <f>N11/'Output-Calculation-sheet'!N10*'Output-Calculation-sheet'!N100</f>
        <v>4362116710.5552855</v>
      </c>
      <c r="O121" s="2">
        <f>O11/'Output-Calculation-sheet'!O10*'Output-Calculation-sheet'!O100</f>
        <v>648367175.10186255</v>
      </c>
      <c r="P121" s="2">
        <f>P11/'Output-Calculation-sheet'!P10*'Output-Calculation-sheet'!P100</f>
        <v>0</v>
      </c>
      <c r="Q121" s="2">
        <f>Q11/'Output-Calculation-sheet'!Q10*'Output-Calculation-sheet'!Q100</f>
        <v>732444991.05953872</v>
      </c>
      <c r="R121" s="2">
        <f>R11/'Output-Calculation-sheet'!R10*'Output-Calculation-sheet'!R100</f>
        <v>0</v>
      </c>
      <c r="S121" s="2">
        <f>S11/'Output-Calculation-sheet'!S10*'Output-Calculation-sheet'!S100</f>
        <v>2016595418.7473595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27306241.893567558</v>
      </c>
      <c r="AA121" s="2">
        <f t="shared" si="10"/>
        <v>53894.48728637951</v>
      </c>
    </row>
    <row r="122" spans="1:27" x14ac:dyDescent="0.25">
      <c r="A122" s="2">
        <v>2035</v>
      </c>
      <c r="B122" s="2">
        <f>B12/'Output-Calculation-sheet'!B11*'Output-Calculation-sheet'!B101</f>
        <v>19346370730.894833</v>
      </c>
      <c r="C122" s="2">
        <f>C12/'Output-Calculation-sheet'!C11*'Output-Calculation-sheet'!C101</f>
        <v>8045192052.6369953</v>
      </c>
      <c r="D122" s="2">
        <f>D12/'Output-Calculation-sheet'!D11*'Output-Calculation-sheet'!D101</f>
        <v>0</v>
      </c>
      <c r="E122" s="2">
        <f>E12/'Output-Calculation-sheet'!E11*'Output-Calculation-sheet'!E101</f>
        <v>1575915451.0213544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6975125830.9208632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798428863.63350403</v>
      </c>
      <c r="M122" s="2">
        <f>M12/'Output-Calculation-sheet'!M11*'Output-Calculation-sheet'!M101</f>
        <v>4990296183.727314</v>
      </c>
      <c r="N122" s="2">
        <f>N12/'Output-Calculation-sheet'!N11*'Output-Calculation-sheet'!N101</f>
        <v>3543866152.5288272</v>
      </c>
      <c r="O122" s="2">
        <f>O12/'Output-Calculation-sheet'!O11*'Output-Calculation-sheet'!O101</f>
        <v>22847608.977093764</v>
      </c>
      <c r="P122" s="2">
        <f>P12/'Output-Calculation-sheet'!P11*'Output-Calculation-sheet'!P101</f>
        <v>151441787.57652318</v>
      </c>
      <c r="Q122" s="2">
        <f>Q12/'Output-Calculation-sheet'!Q11*'Output-Calculation-sheet'!Q101</f>
        <v>682149073.64227748</v>
      </c>
      <c r="R122" s="2">
        <f>R12/'Output-Calculation-sheet'!R11*'Output-Calculation-sheet'!R101</f>
        <v>0</v>
      </c>
      <c r="S122" s="2">
        <f>S12/'Output-Calculation-sheet'!S11*'Output-Calculation-sheet'!S101</f>
        <v>1681942044.4828808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61060607.783542953</v>
      </c>
      <c r="Y122" s="2">
        <f>Y12/'Output-Calculation-sheet'!Y11*'Output-Calculation-sheet'!Y101</f>
        <v>36016419.003669046</v>
      </c>
      <c r="AA122" s="2">
        <f t="shared" si="10"/>
        <v>47910.65280682969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3032525765.5818844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2166984929.9822206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142807.06030726674</v>
      </c>
    </row>
    <row r="130" spans="1:27" x14ac:dyDescent="0.25">
      <c r="A130" s="2">
        <v>2032</v>
      </c>
      <c r="B130" s="2">
        <f>B9/'Output-Calculation-sheet'!B8*'Output-Calculation-sheet'!B107</f>
        <v>52301372631.068085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2991664333.9364705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2465838564.3786988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173372.84378374508</v>
      </c>
    </row>
    <row r="131" spans="1:27" x14ac:dyDescent="0.25">
      <c r="A131" s="2">
        <v>2033</v>
      </c>
      <c r="B131" s="2">
        <f>B10/'Output-Calculation-sheet'!B9*'Output-Calculation-sheet'!B108</f>
        <v>50901706216.216881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2544416458.8700194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5538428415.1980305</v>
      </c>
      <c r="R131" s="2">
        <f>R10/'Output-Calculation-sheet'!R9*'Output-Calculation-sheet'!R108</f>
        <v>5445021103.8999043</v>
      </c>
      <c r="S131" s="2">
        <f>S10/'Output-Calculation-sheet'!S9*'Output-Calculation-sheet'!S108</f>
        <v>2096322210.1334236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182549.36722611991</v>
      </c>
    </row>
    <row r="132" spans="1:27" x14ac:dyDescent="0.25">
      <c r="A132" s="2">
        <v>2034</v>
      </c>
      <c r="B132" s="2">
        <f>B11/'Output-Calculation-sheet'!B10*'Output-Calculation-sheet'!B109</f>
        <v>38198848576.665344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20249821301.423668</v>
      </c>
      <c r="F132" s="2">
        <f>F11/'Output-Calculation-sheet'!F10*'Output-Calculation-sheet'!F109</f>
        <v>13357477539.08794</v>
      </c>
      <c r="G132" s="2">
        <f>G11/'Output-Calculation-sheet'!G10*'Output-Calculation-sheet'!G109</f>
        <v>9359066396.9680328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8322437685.2735167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6193938893.4124069</v>
      </c>
      <c r="M132" s="2">
        <f>M11/'Output-Calculation-sheet'!M10*'Output-Calculation-sheet'!M109</f>
        <v>3.4145841040908751E-9</v>
      </c>
      <c r="N132" s="2">
        <f>N11/'Output-Calculation-sheet'!N10*'Output-Calculation-sheet'!N109</f>
        <v>1836353248.0564041</v>
      </c>
      <c r="O132" s="2">
        <f>O11/'Output-Calculation-sheet'!O10*'Output-Calculation-sheet'!O109</f>
        <v>0</v>
      </c>
      <c r="P132" s="2">
        <f>P11/'Output-Calculation-sheet'!P10*'Output-Calculation-sheet'!P109</f>
        <v>5642940886.3421192</v>
      </c>
      <c r="Q132" s="2">
        <f>Q11/'Output-Calculation-sheet'!Q10*'Output-Calculation-sheet'!Q109</f>
        <v>4643540016.5974112</v>
      </c>
      <c r="R132" s="2">
        <f>R11/'Output-Calculation-sheet'!R10*'Output-Calculation-sheet'!R109</f>
        <v>5341078659.1969366</v>
      </c>
      <c r="S132" s="2">
        <f>S11/'Output-Calculation-sheet'!S10*'Output-Calculation-sheet'!S109</f>
        <v>1468132969.3811438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1654606189.6470766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637921061.69086218</v>
      </c>
      <c r="AA132" s="2">
        <f t="shared" si="11"/>
        <v>164272.80987834025</v>
      </c>
    </row>
    <row r="133" spans="1:27" x14ac:dyDescent="0.25">
      <c r="A133" s="2">
        <v>2035</v>
      </c>
      <c r="B133" s="2">
        <f>B12/'Output-Calculation-sheet'!B11*'Output-Calculation-sheet'!B110</f>
        <v>28700499611.224693</v>
      </c>
      <c r="C133" s="2">
        <f>C12/'Output-Calculation-sheet'!C11*'Output-Calculation-sheet'!C110</f>
        <v>0</v>
      </c>
      <c r="D133" s="2">
        <f>D12/'Output-Calculation-sheet'!D11*'Output-Calculation-sheet'!D110</f>
        <v>20139393251.626957</v>
      </c>
      <c r="E133" s="2">
        <f>E12/'Output-Calculation-sheet'!E11*'Output-Calculation-sheet'!E110</f>
        <v>15624178273.881708</v>
      </c>
      <c r="F133" s="2">
        <f>F12/'Output-Calculation-sheet'!F11*'Output-Calculation-sheet'!F110</f>
        <v>10660987034.580845</v>
      </c>
      <c r="G133" s="2">
        <f>G12/'Output-Calculation-sheet'!G11*'Output-Calculation-sheet'!G110</f>
        <v>7219048478.0516739</v>
      </c>
      <c r="H133" s="2">
        <f>H12/'Output-Calculation-sheet'!H11*'Output-Calculation-sheet'!H110</f>
        <v>0</v>
      </c>
      <c r="I133" s="2">
        <f>I12/'Output-Calculation-sheet'!I11*'Output-Calculation-sheet'!I110</f>
        <v>6621706768.363596</v>
      </c>
      <c r="J133" s="2">
        <f>J12/'Output-Calculation-sheet'!J11*'Output-Calculation-sheet'!J110</f>
        <v>6629099451.6618891</v>
      </c>
      <c r="K133" s="2">
        <f>K12/'Output-Calculation-sheet'!K11*'Output-Calculation-sheet'!K110</f>
        <v>6504681353.3624668</v>
      </c>
      <c r="L133" s="2">
        <f>L12/'Output-Calculation-sheet'!L11*'Output-Calculation-sheet'!L110</f>
        <v>4675700179.3881283</v>
      </c>
      <c r="M133" s="2">
        <f>M12/'Output-Calculation-sheet'!M11*'Output-Calculation-sheet'!M110</f>
        <v>0</v>
      </c>
      <c r="N133" s="2">
        <f>N12/'Output-Calculation-sheet'!N11*'Output-Calculation-sheet'!N110</f>
        <v>1358792400.8236449</v>
      </c>
      <c r="O133" s="2">
        <f>O12/'Output-Calculation-sheet'!O11*'Output-Calculation-sheet'!O110</f>
        <v>0</v>
      </c>
      <c r="P133" s="2">
        <f>P12/'Output-Calculation-sheet'!P11*'Output-Calculation-sheet'!P110</f>
        <v>4379118068.8042526</v>
      </c>
      <c r="Q133" s="2">
        <f>Q12/'Output-Calculation-sheet'!Q11*'Output-Calculation-sheet'!Q110</f>
        <v>3498026632.5080395</v>
      </c>
      <c r="R133" s="2">
        <f>R12/'Output-Calculation-sheet'!R11*'Output-Calculation-sheet'!R110</f>
        <v>4329850879.1482325</v>
      </c>
      <c r="S133" s="2">
        <f>S12/'Output-Calculation-sheet'!S11*'Output-Calculation-sheet'!S110</f>
        <v>1043606073.5883174</v>
      </c>
      <c r="T133" s="2">
        <f>T12/'Output-Calculation-sheet'!T11*'Output-Calculation-sheet'!T110</f>
        <v>1618250150.7497842</v>
      </c>
      <c r="U133" s="2">
        <f>U12/'Output-Calculation-sheet'!U11*'Output-Calculation-sheet'!U110</f>
        <v>1278570408.7217879</v>
      </c>
      <c r="V133" s="2">
        <f>V12/'Output-Calculation-sheet'!V11*'Output-Calculation-sheet'!V110</f>
        <v>1113431807.3484368</v>
      </c>
      <c r="W133" s="2">
        <f>W12/'Output-Calculation-sheet'!W11*'Output-Calculation-sheet'!W110</f>
        <v>937641147.89009047</v>
      </c>
      <c r="X133" s="2">
        <f>X12/'Output-Calculation-sheet'!X11*'Output-Calculation-sheet'!X110</f>
        <v>437614.09334439586</v>
      </c>
      <c r="Y133" s="2">
        <f>Y12/'Output-Calculation-sheet'!Y11*'Output-Calculation-sheet'!Y110</f>
        <v>493868510.58384216</v>
      </c>
      <c r="AA133" s="2">
        <f t="shared" si="11"/>
        <v>126826.88809640174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10874155331.210342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2727571104.7310934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252778655.1954045</v>
      </c>
      <c r="Y140" s="2">
        <f>Y8/'Output-Calculation-sheet'!Y7*'Output-Calculation-sheet'!Y115</f>
        <v>0</v>
      </c>
      <c r="AA140" s="2">
        <f t="shared" si="12"/>
        <v>13854.505091136842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19198468473.553684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3741815767.3448787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312140206.96527523</v>
      </c>
      <c r="Y141" s="2">
        <f>Y9/'Output-Calculation-sheet'!Y8*'Output-Calculation-sheet'!Y116</f>
        <v>0</v>
      </c>
      <c r="AA141" s="2">
        <f t="shared" si="12"/>
        <v>23252.424447863839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22624182081.986462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4413051920.1881781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283221099.62746608</v>
      </c>
      <c r="Y142" s="2">
        <f>Y10/'Output-Calculation-sheet'!Y9*'Output-Calculation-sheet'!Y117</f>
        <v>0</v>
      </c>
      <c r="AA142" s="2">
        <f t="shared" si="12"/>
        <v>27320.455101802105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23271029435.346741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5053046198.8579588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28705.518409998662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14295712552.854271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4928626377.3431149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529808871.11534673</v>
      </c>
      <c r="Y144" s="2">
        <f>Y12/'Output-Calculation-sheet'!Y11*'Output-Calculation-sheet'!Y119</f>
        <v>0</v>
      </c>
      <c r="AA144" s="2">
        <f t="shared" si="12"/>
        <v>19754.147801312734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9501475521.0695267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1369937708.4434593</v>
      </c>
      <c r="H154" s="2">
        <f>H11/'Output-Calculation-sheet'!H10*'Output-Calculation-sheet'!H127</f>
        <v>1559385187.905668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992902818.3639406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582445353.06249189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308519854.69341964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36643.860190968968</v>
      </c>
    </row>
    <row r="155" spans="1:27" x14ac:dyDescent="0.25">
      <c r="A155" s="2">
        <v>2035</v>
      </c>
      <c r="B155" s="2">
        <f>B12/'Output-Calculation-sheet'!B11*'Output-Calculation-sheet'!B128</f>
        <v>7167928060.4665642</v>
      </c>
      <c r="C155" s="2">
        <f>C12/'Output-Calculation-sheet'!C11*'Output-Calculation-sheet'!C128</f>
        <v>3424173067.6178098</v>
      </c>
      <c r="D155" s="2">
        <f>D12/'Output-Calculation-sheet'!D11*'Output-Calculation-sheet'!D128</f>
        <v>2751037571.6965432</v>
      </c>
      <c r="E155" s="2">
        <f>E12/'Output-Calculation-sheet'!E11*'Output-Calculation-sheet'!E128</f>
        <v>1352793776.2576909</v>
      </c>
      <c r="F155" s="2">
        <f>F12/'Output-Calculation-sheet'!F11*'Output-Calculation-sheet'!F128</f>
        <v>1104657089.1231248</v>
      </c>
      <c r="G155" s="2">
        <f>G12/'Output-Calculation-sheet'!G11*'Output-Calculation-sheet'!G128</f>
        <v>1050112929.5743992</v>
      </c>
      <c r="H155" s="2">
        <f>H12/'Output-Calculation-sheet'!H11*'Output-Calculation-sheet'!H128</f>
        <v>1176164916.46754</v>
      </c>
      <c r="I155" s="2">
        <f>I12/'Output-Calculation-sheet'!I11*'Output-Calculation-sheet'!I128</f>
        <v>903852651.3122772</v>
      </c>
      <c r="J155" s="2">
        <f>J12/'Output-Calculation-sheet'!J11*'Output-Calculation-sheet'!J128</f>
        <v>657992060.77117789</v>
      </c>
      <c r="K155" s="2">
        <f>K12/'Output-Calculation-sheet'!K11*'Output-Calculation-sheet'!K128</f>
        <v>727239394.67807424</v>
      </c>
      <c r="L155" s="2">
        <f>L12/'Output-Calculation-sheet'!L11*'Output-Calculation-sheet'!L128</f>
        <v>316607830.42223936</v>
      </c>
      <c r="M155" s="2">
        <f>M12/'Output-Calculation-sheet'!M11*'Output-Calculation-sheet'!M128</f>
        <v>628131292.19274735</v>
      </c>
      <c r="N155" s="2">
        <f>N12/'Output-Calculation-sheet'!N11*'Output-Calculation-sheet'!N128</f>
        <v>553529201.75995874</v>
      </c>
      <c r="O155" s="2">
        <f>O12/'Output-Calculation-sheet'!O11*'Output-Calculation-sheet'!O128</f>
        <v>9071609.6999653541</v>
      </c>
      <c r="P155" s="2">
        <f>P12/'Output-Calculation-sheet'!P11*'Output-Calculation-sheet'!P128</f>
        <v>482266274.52768892</v>
      </c>
      <c r="Q155" s="2">
        <f>Q12/'Output-Calculation-sheet'!Q11*'Output-Calculation-sheet'!Q128</f>
        <v>726117476.32294023</v>
      </c>
      <c r="R155" s="2">
        <f>R12/'Output-Calculation-sheet'!R11*'Output-Calculation-sheet'!R128</f>
        <v>371754816.60067892</v>
      </c>
      <c r="S155" s="2">
        <f>S12/'Output-Calculation-sheet'!S11*'Output-Calculation-sheet'!S128</f>
        <v>411784413.52835983</v>
      </c>
      <c r="T155" s="2">
        <f>T12/'Output-Calculation-sheet'!T11*'Output-Calculation-sheet'!T128</f>
        <v>101278014.27529655</v>
      </c>
      <c r="U155" s="2">
        <f>U12/'Output-Calculation-sheet'!U11*'Output-Calculation-sheet'!U128</f>
        <v>234717550.94676009</v>
      </c>
      <c r="V155" s="2">
        <f>V12/'Output-Calculation-sheet'!V11*'Output-Calculation-sheet'!V128</f>
        <v>35020091.591238171</v>
      </c>
      <c r="W155" s="2">
        <f>W12/'Output-Calculation-sheet'!W11*'Output-Calculation-sheet'!W128</f>
        <v>70604038.960854739</v>
      </c>
      <c r="X155" s="2">
        <f>X12/'Output-Calculation-sheet'!X11*'Output-Calculation-sheet'!X128</f>
        <v>4992444.7978299493</v>
      </c>
      <c r="Y155" s="2">
        <f>Y12/'Output-Calculation-sheet'!Y11*'Output-Calculation-sheet'!Y128</f>
        <v>67066020.192017883</v>
      </c>
      <c r="AA155" s="2">
        <f t="shared" si="13"/>
        <v>24328.892593783774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7466.1070850531851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4704.7288730075461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3265.7360375133826</v>
      </c>
      <c r="N19" s="2">
        <f>N8/'Output-Calculation-sheet'!N7*'Output-Calculation-sheet'!N25</f>
        <v>1115.662869669763</v>
      </c>
      <c r="O19" s="2">
        <f>O8/'Output-Calculation-sheet'!O7*'Output-Calculation-sheet'!O25</f>
        <v>963.64910359641942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172.40985438496844</v>
      </c>
      <c r="Y19" s="2">
        <f>Y8/'Output-Calculation-sheet'!Y7*'Output-Calculation-sheet'!Y25</f>
        <v>0</v>
      </c>
      <c r="AA19" s="2">
        <f t="shared" si="0"/>
        <v>19.134247501644882</v>
      </c>
    </row>
    <row r="20" spans="1:27" x14ac:dyDescent="0.25">
      <c r="A20" s="2">
        <v>2032</v>
      </c>
      <c r="B20" s="2">
        <f>B9/'Output-Calculation-sheet'!B8*'Output-Calculation-sheet'!B26</f>
        <v>5625.7319434371457</v>
      </c>
      <c r="C20" s="2">
        <f>C9/'Output-Calculation-sheet'!C8*'Output-Calculation-sheet'!C26</f>
        <v>5430.1725906095553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6118.49394231934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4253.0155761088445</v>
      </c>
      <c r="N20" s="2">
        <f>N9/'Output-Calculation-sheet'!N8*'Output-Calculation-sheet'!N26</f>
        <v>1914.9828741549841</v>
      </c>
      <c r="O20" s="2">
        <f>O9/'Output-Calculation-sheet'!O8*'Output-Calculation-sheet'!O26</f>
        <v>1044.7080180216715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696.13895186109471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227.24189322449178</v>
      </c>
      <c r="Y20" s="2">
        <f>Y9/'Output-Calculation-sheet'!Y8*'Output-Calculation-sheet'!Y26</f>
        <v>0</v>
      </c>
      <c r="AA20" s="2">
        <f t="shared" si="0"/>
        <v>25.310485789737129</v>
      </c>
    </row>
    <row r="21" spans="1:27" x14ac:dyDescent="0.25">
      <c r="A21" s="2">
        <v>2033</v>
      </c>
      <c r="B21" s="2">
        <f>B10/'Output-Calculation-sheet'!B9*'Output-Calculation-sheet'!B27</f>
        <v>12332.87534916482</v>
      </c>
      <c r="C21" s="2">
        <f>C10/'Output-Calculation-sheet'!C9*'Output-Calculation-sheet'!C27</f>
        <v>5124.5216053071535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7165.0325574095259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4978.6792136891418</v>
      </c>
      <c r="N21" s="2">
        <f>N10/'Output-Calculation-sheet'!N9*'Output-Calculation-sheet'!N27</f>
        <v>2719.1370554998052</v>
      </c>
      <c r="O21" s="2">
        <f>O10/'Output-Calculation-sheet'!O9*'Output-Calculation-sheet'!O27</f>
        <v>985.50392612789938</v>
      </c>
      <c r="P21" s="2">
        <f>P10/'Output-Calculation-sheet'!P9*'Output-Calculation-sheet'!P27</f>
        <v>0</v>
      </c>
      <c r="Q21" s="2">
        <f>Q10/'Output-Calculation-sheet'!Q9*'Output-Calculation-sheet'!Q27</f>
        <v>182.24141352107688</v>
      </c>
      <c r="R21" s="2">
        <f>R10/'Output-Calculation-sheet'!R9*'Output-Calculation-sheet'!R27</f>
        <v>0</v>
      </c>
      <c r="S21" s="2">
        <f>S10/'Output-Calculation-sheet'!S9*'Output-Calculation-sheet'!S27</f>
        <v>1183.6874825522707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315.48881389996797</v>
      </c>
      <c r="Y21" s="2">
        <f>Y10/'Output-Calculation-sheet'!Y9*'Output-Calculation-sheet'!Y27</f>
        <v>0</v>
      </c>
      <c r="AA21" s="2">
        <f t="shared" si="0"/>
        <v>34.987167417171662</v>
      </c>
    </row>
    <row r="22" spans="1:27" x14ac:dyDescent="0.25">
      <c r="A22" s="2">
        <v>2034</v>
      </c>
      <c r="B22" s="2">
        <f>B11/'Output-Calculation-sheet'!B10*'Output-Calculation-sheet'!B28</f>
        <v>21031.4232639498</v>
      </c>
      <c r="C22" s="2">
        <f>C11/'Output-Calculation-sheet'!C10*'Output-Calculation-sheet'!C28</f>
        <v>4578.4217548195402</v>
      </c>
      <c r="D22" s="2">
        <f>D11/'Output-Calculation-sheet'!D10*'Output-Calculation-sheet'!D28</f>
        <v>0</v>
      </c>
      <c r="E22" s="2">
        <f>E11/'Output-Calculation-sheet'!E10*'Output-Calculation-sheet'!E28</f>
        <v>1080.5901776533244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8032.4143675523701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655.33784838009012</v>
      </c>
      <c r="M22" s="2">
        <f>M11/'Output-Calculation-sheet'!M10*'Output-Calculation-sheet'!M28</f>
        <v>5959.6030327827475</v>
      </c>
      <c r="N22" s="2">
        <f>N11/'Output-Calculation-sheet'!N10*'Output-Calculation-sheet'!N28</f>
        <v>3431.7183186172524</v>
      </c>
      <c r="O22" s="2">
        <f>O11/'Output-Calculation-sheet'!O10*'Output-Calculation-sheet'!O28</f>
        <v>486.98158119346994</v>
      </c>
      <c r="P22" s="2">
        <f>P11/'Output-Calculation-sheet'!P10*'Output-Calculation-sheet'!P28</f>
        <v>0</v>
      </c>
      <c r="Q22" s="2">
        <f>Q11/'Output-Calculation-sheet'!Q10*'Output-Calculation-sheet'!Q28</f>
        <v>990.4462725571284</v>
      </c>
      <c r="R22" s="2">
        <f>R11/'Output-Calculation-sheet'!R10*'Output-Calculation-sheet'!R28</f>
        <v>0</v>
      </c>
      <c r="S22" s="2">
        <f>S11/'Output-Calculation-sheet'!S10*'Output-Calculation-sheet'!S28</f>
        <v>1636.9759558033516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59.652437450232284</v>
      </c>
      <c r="AA22" s="2">
        <f t="shared" si="0"/>
        <v>48.187597083675428</v>
      </c>
    </row>
    <row r="23" spans="1:27" x14ac:dyDescent="0.25">
      <c r="A23" s="2">
        <v>2035</v>
      </c>
      <c r="B23" s="2">
        <f>B12/'Output-Calculation-sheet'!B11*'Output-Calculation-sheet'!B29</f>
        <v>18880.281850559895</v>
      </c>
      <c r="C23" s="2">
        <f>C12/'Output-Calculation-sheet'!C11*'Output-Calculation-sheet'!C29</f>
        <v>7099.8332045901934</v>
      </c>
      <c r="D23" s="2">
        <f>D12/'Output-Calculation-sheet'!D11*'Output-Calculation-sheet'!D29</f>
        <v>0</v>
      </c>
      <c r="E23" s="2">
        <f>E12/'Output-Calculation-sheet'!E11*'Output-Calculation-sheet'!E29</f>
        <v>3203.6512364699197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6889.9560804314024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1151.5588348250587</v>
      </c>
      <c r="M23" s="2">
        <f>M12/'Output-Calculation-sheet'!M11*'Output-Calculation-sheet'!M29</f>
        <v>5294.7264824030844</v>
      </c>
      <c r="N23" s="2">
        <f>N12/'Output-Calculation-sheet'!N11*'Output-Calculation-sheet'!N29</f>
        <v>3150.0687849370015</v>
      </c>
      <c r="O23" s="2">
        <f>O12/'Output-Calculation-sheet'!O11*'Output-Calculation-sheet'!O29</f>
        <v>19.292803400976897</v>
      </c>
      <c r="P23" s="2">
        <f>P12/'Output-Calculation-sheet'!P11*'Output-Calculation-sheet'!P29</f>
        <v>357.07856687912471</v>
      </c>
      <c r="Q23" s="2">
        <f>Q12/'Output-Calculation-sheet'!Q11*'Output-Calculation-sheet'!Q29</f>
        <v>973.39790049019098</v>
      </c>
      <c r="R23" s="2">
        <f>R12/'Output-Calculation-sheet'!R11*'Output-Calculation-sheet'!R29</f>
        <v>0</v>
      </c>
      <c r="S23" s="2">
        <f>S12/'Output-Calculation-sheet'!S11*'Output-Calculation-sheet'!S29</f>
        <v>1504.9333354984612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51.560172565695247</v>
      </c>
      <c r="Y23" s="2">
        <f>Y12/'Output-Calculation-sheet'!Y11*'Output-Calculation-sheet'!Y29</f>
        <v>75.635213063196744</v>
      </c>
      <c r="AA23" s="2">
        <f t="shared" si="0"/>
        <v>48.651974466114211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1520.6068340471693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39.081863593836488</v>
      </c>
    </row>
    <row r="31" spans="1:27" x14ac:dyDescent="0.25">
      <c r="A31" s="2">
        <v>2032</v>
      </c>
      <c r="B31" s="2">
        <f>B9/'Output-Calculation-sheet'!B8*'Output-Calculation-sheet'!B17</f>
        <v>23820.972135094413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1631.6425832665641</v>
      </c>
      <c r="O31" s="2">
        <f>O9/'Output-Calculation-sheet'!O8*'Output-Calculation-sheet'!O17</f>
        <v>0</v>
      </c>
      <c r="P31" s="2">
        <f>P9/'Output-Calculation-sheet'!P8*'Output-Calculation-sheet'!P17</f>
        <v>2019.8618654696925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1213.526937159804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51.874904716995182</v>
      </c>
    </row>
    <row r="32" spans="1:27" x14ac:dyDescent="0.25">
      <c r="A32" s="2">
        <v>2033</v>
      </c>
      <c r="B32" s="2">
        <f>B10/'Output-Calculation-sheet'!B9*'Output-Calculation-sheet'!B18</f>
        <v>25183.745250134034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2396.768853378172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1535.6122902441828</v>
      </c>
      <c r="O32" s="2">
        <f>O10/'Output-Calculation-sheet'!O9*'Output-Calculation-sheet'!O18</f>
        <v>0</v>
      </c>
      <c r="P32" s="2">
        <f>P10/'Output-Calculation-sheet'!P9*'Output-Calculation-sheet'!P18</f>
        <v>2466.7538664043491</v>
      </c>
      <c r="Q32" s="2">
        <f>Q10/'Output-Calculation-sheet'!Q9*'Output-Calculation-sheet'!Q18</f>
        <v>2689.2079070023938</v>
      </c>
      <c r="R32" s="2">
        <f>R10/'Output-Calculation-sheet'!R9*'Output-Calculation-sheet'!R18</f>
        <v>1771.3199853989368</v>
      </c>
      <c r="S32" s="2">
        <f>S10/'Output-Calculation-sheet'!S9*'Output-Calculation-sheet'!S18</f>
        <v>1160.0263054044933</v>
      </c>
      <c r="T32" s="2">
        <f>T10/'Output-Calculation-sheet'!T9*'Output-Calculation-sheet'!T18</f>
        <v>517.17621416619806</v>
      </c>
      <c r="U32" s="2">
        <f>U10/'Output-Calculation-sheet'!U9*'Output-Calculation-sheet'!U18</f>
        <v>571.72642039369453</v>
      </c>
      <c r="V32" s="2">
        <f>V10/'Output-Calculation-sheet'!V9*'Output-Calculation-sheet'!V18</f>
        <v>422.01569943720591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244.34997132278349</v>
      </c>
      <c r="AA32" s="2">
        <f t="shared" si="1"/>
        <v>60.460846057194424</v>
      </c>
    </row>
    <row r="33" spans="1:27" x14ac:dyDescent="0.25">
      <c r="A33" s="2">
        <v>2034</v>
      </c>
      <c r="B33" s="2">
        <f>B11/'Output-Calculation-sheet'!B10*'Output-Calculation-sheet'!B19</f>
        <v>21428.999672042741</v>
      </c>
      <c r="C33" s="2">
        <f>C11/'Output-Calculation-sheet'!C10*'Output-Calculation-sheet'!C19</f>
        <v>0</v>
      </c>
      <c r="D33" s="2">
        <f>D11/'Output-Calculation-sheet'!D10*'Output-Calculation-sheet'!D19</f>
        <v>6484.7779030019137</v>
      </c>
      <c r="E33" s="2">
        <f>E11/'Output-Calculation-sheet'!E10*'Output-Calculation-sheet'!E19</f>
        <v>8040.0924774163432</v>
      </c>
      <c r="F33" s="2">
        <f>F11/'Output-Calculation-sheet'!F10*'Output-Calculation-sheet'!F19</f>
        <v>3681.246644453855</v>
      </c>
      <c r="G33" s="2">
        <f>G11/'Output-Calculation-sheet'!G10*'Output-Calculation-sheet'!G19</f>
        <v>2193.0834139534109</v>
      </c>
      <c r="H33" s="2">
        <f>H11/'Output-Calculation-sheet'!H10*'Output-Calculation-sheet'!H19</f>
        <v>0</v>
      </c>
      <c r="I33" s="2">
        <f>I11/'Output-Calculation-sheet'!I10*'Output-Calculation-sheet'!I19</f>
        <v>2408.9787736577032</v>
      </c>
      <c r="J33" s="2">
        <f>J11/'Output-Calculation-sheet'!J10*'Output-Calculation-sheet'!J19</f>
        <v>2036.8610041139232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2298.0287390199351</v>
      </c>
      <c r="M33" s="2">
        <f>M11/'Output-Calculation-sheet'!M10*'Output-Calculation-sheet'!M19</f>
        <v>0</v>
      </c>
      <c r="N33" s="2">
        <f>N11/'Output-Calculation-sheet'!N10*'Output-Calculation-sheet'!N19</f>
        <v>1297.8155520541118</v>
      </c>
      <c r="O33" s="2">
        <f>O11/'Output-Calculation-sheet'!O10*'Output-Calculation-sheet'!O19</f>
        <v>0</v>
      </c>
      <c r="P33" s="2">
        <f>P11/'Output-Calculation-sheet'!P10*'Output-Calculation-sheet'!P19</f>
        <v>2859.6035625363465</v>
      </c>
      <c r="Q33" s="2">
        <f>Q11/'Output-Calculation-sheet'!Q10*'Output-Calculation-sheet'!Q19</f>
        <v>2328.2430192784245</v>
      </c>
      <c r="R33" s="2">
        <f>R11/'Output-Calculation-sheet'!R10*'Output-Calculation-sheet'!R19</f>
        <v>2041.0974700355932</v>
      </c>
      <c r="S33" s="2">
        <f>S11/'Output-Calculation-sheet'!S10*'Output-Calculation-sheet'!S19</f>
        <v>947.29061534264838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640.67352590373855</v>
      </c>
      <c r="V33" s="2">
        <f>V11/'Output-Calculation-sheet'!V10*'Output-Calculation-sheet'!V19</f>
        <v>469.69725081167434</v>
      </c>
      <c r="W33" s="2">
        <f>W11/'Output-Calculation-sheet'!W10*'Output-Calculation-sheet'!W19</f>
        <v>292.42824090613107</v>
      </c>
      <c r="X33" s="2">
        <f>X11/'Output-Calculation-sheet'!X10*'Output-Calculation-sheet'!X19</f>
        <v>0</v>
      </c>
      <c r="Y33" s="2">
        <f>Y11/'Output-Calculation-sheet'!Y10*'Output-Calculation-sheet'!Y19</f>
        <v>263.60345848061604</v>
      </c>
      <c r="AA33" s="2">
        <f t="shared" si="1"/>
        <v>63.136927668156737</v>
      </c>
    </row>
    <row r="34" spans="1:27" x14ac:dyDescent="0.25">
      <c r="A34" s="2">
        <v>2035</v>
      </c>
      <c r="B34" s="2">
        <f>B12/'Output-Calculation-sheet'!B11*'Output-Calculation-sheet'!B20</f>
        <v>17466.041545298827</v>
      </c>
      <c r="C34" s="2">
        <f>C12/'Output-Calculation-sheet'!C11*'Output-Calculation-sheet'!C20</f>
        <v>0</v>
      </c>
      <c r="D34" s="2">
        <f>D12/'Output-Calculation-sheet'!D11*'Output-Calculation-sheet'!D20</f>
        <v>5570.1645710307048</v>
      </c>
      <c r="E34" s="2">
        <f>E12/'Output-Calculation-sheet'!E11*'Output-Calculation-sheet'!E20</f>
        <v>6173.0124556030523</v>
      </c>
      <c r="F34" s="2">
        <f>F12/'Output-Calculation-sheet'!F11*'Output-Calculation-sheet'!F20</f>
        <v>3467.2888933596464</v>
      </c>
      <c r="G34" s="2">
        <f>G12/'Output-Calculation-sheet'!G11*'Output-Calculation-sheet'!G20</f>
        <v>1868.5722824691891</v>
      </c>
      <c r="H34" s="2">
        <f>H12/'Output-Calculation-sheet'!H11*'Output-Calculation-sheet'!H20</f>
        <v>0</v>
      </c>
      <c r="I34" s="2">
        <f>I12/'Output-Calculation-sheet'!I11*'Output-Calculation-sheet'!I20</f>
        <v>2074.3385503708914</v>
      </c>
      <c r="J34" s="2">
        <f>J12/'Output-Calculation-sheet'!J11*'Output-Calculation-sheet'!J20</f>
        <v>1918.8237438846434</v>
      </c>
      <c r="K34" s="2">
        <f>K12/'Output-Calculation-sheet'!K11*'Output-Calculation-sheet'!K20</f>
        <v>2554.2696778025388</v>
      </c>
      <c r="L34" s="2">
        <f>L12/'Output-Calculation-sheet'!L11*'Output-Calculation-sheet'!L20</f>
        <v>2043.5919983019319</v>
      </c>
      <c r="M34" s="2">
        <f>M12/'Output-Calculation-sheet'!M11*'Output-Calculation-sheet'!M20</f>
        <v>0</v>
      </c>
      <c r="N34" s="2">
        <f>N12/'Output-Calculation-sheet'!N11*'Output-Calculation-sheet'!N20</f>
        <v>1092.4085013512076</v>
      </c>
      <c r="O34" s="2">
        <f>O12/'Output-Calculation-sheet'!O11*'Output-Calculation-sheet'!O20</f>
        <v>0</v>
      </c>
      <c r="P34" s="2">
        <f>P12/'Output-Calculation-sheet'!P11*'Output-Calculation-sheet'!P20</f>
        <v>2343.5516380175563</v>
      </c>
      <c r="Q34" s="2">
        <f>Q12/'Output-Calculation-sheet'!Q11*'Output-Calculation-sheet'!Q20</f>
        <v>1917.3468477701369</v>
      </c>
      <c r="R34" s="2">
        <f>R12/'Output-Calculation-sheet'!R11*'Output-Calculation-sheet'!R20</f>
        <v>1960.8971761298315</v>
      </c>
      <c r="S34" s="2">
        <f>S12/'Output-Calculation-sheet'!S11*'Output-Calculation-sheet'!S20</f>
        <v>756.46489702720498</v>
      </c>
      <c r="T34" s="2">
        <f>T12/'Output-Calculation-sheet'!T11*'Output-Calculation-sheet'!T20</f>
        <v>594.93590581370006</v>
      </c>
      <c r="U34" s="2">
        <f>U12/'Output-Calculation-sheet'!U11*'Output-Calculation-sheet'!U20</f>
        <v>547.57163825110194</v>
      </c>
      <c r="V34" s="2">
        <f>V12/'Output-Calculation-sheet'!V11*'Output-Calculation-sheet'!V20</f>
        <v>538.86939677373721</v>
      </c>
      <c r="W34" s="2">
        <f>W12/'Output-Calculation-sheet'!W11*'Output-Calculation-sheet'!W20</f>
        <v>292.23389787481477</v>
      </c>
      <c r="X34" s="2">
        <f>X12/'Output-Calculation-sheet'!X11*'Output-Calculation-sheet'!X20</f>
        <v>0.64833019201756525</v>
      </c>
      <c r="Y34" s="2">
        <f>Y12/'Output-Calculation-sheet'!Y11*'Output-Calculation-sheet'!Y20</f>
        <v>211.61924708842085</v>
      </c>
      <c r="AA34" s="2">
        <f t="shared" si="1"/>
        <v>53.392651194411158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9.6853813408401129E-2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1.4607417959209133E-2</v>
      </c>
      <c r="H44" s="2">
        <f>H11/'Output-Calculation-sheet'!H10*'Output-Calculation-sheet'!H37*0.0114</f>
        <v>1.4150702878060705E-2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8.3847428026635994E-3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5.4858266168293542E-3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2.6752371045445579E-3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0.1421577407697085</v>
      </c>
    </row>
    <row r="45" spans="1:27" x14ac:dyDescent="0.25">
      <c r="A45" s="2">
        <v>2035</v>
      </c>
      <c r="B45" s="2">
        <f>B12/'Output-Calculation-sheet'!B11*'Output-Calculation-sheet'!B38*0.0114</f>
        <v>0.33155459430508405</v>
      </c>
      <c r="C45" s="2">
        <f>C12/'Output-Calculation-sheet'!C11*'Output-Calculation-sheet'!C38*0.0114</f>
        <v>0.19670435552736237</v>
      </c>
      <c r="D45" s="2">
        <f>D12/'Output-Calculation-sheet'!D11*'Output-Calculation-sheet'!D38*0.0114</f>
        <v>3.4849218448361613E-2</v>
      </c>
      <c r="E45" s="2">
        <f>E12/'Output-Calculation-sheet'!E11*'Output-Calculation-sheet'!E38*0.0114</f>
        <v>0.11078346268089545</v>
      </c>
      <c r="F45" s="2">
        <f>F12/'Output-Calculation-sheet'!F11*'Output-Calculation-sheet'!F38*0.0114</f>
        <v>3.4837588215779751E-2</v>
      </c>
      <c r="G45" s="2">
        <f>G12/'Output-Calculation-sheet'!G11*'Output-Calculation-sheet'!G38*0.0114</f>
        <v>2.5002404989922095E-2</v>
      </c>
      <c r="H45" s="2">
        <f>H12/'Output-Calculation-sheet'!H11*'Output-Calculation-sheet'!H38*0.0114</f>
        <v>7.2662041690868109E-2</v>
      </c>
      <c r="I45" s="2">
        <f>I12/'Output-Calculation-sheet'!I11*'Output-Calculation-sheet'!I38*0.0114</f>
        <v>2.2488118269044954E-2</v>
      </c>
      <c r="J45" s="2">
        <f>J12/'Output-Calculation-sheet'!J11*'Output-Calculation-sheet'!J38*0.0114</f>
        <v>1.1127893906981243E-2</v>
      </c>
      <c r="K45" s="2">
        <f>K12/'Output-Calculation-sheet'!K11*'Output-Calculation-sheet'!K38*0.0114</f>
        <v>2.2102240668796996E-2</v>
      </c>
      <c r="L45" s="2">
        <f>L12/'Output-Calculation-sheet'!L11*'Output-Calculation-sheet'!L38*0.0114</f>
        <v>8.7873421487231883E-3</v>
      </c>
      <c r="M45" s="2">
        <f>M12/'Output-Calculation-sheet'!M11*'Output-Calculation-sheet'!M38*0.0114</f>
        <v>4.1665463432130345E-2</v>
      </c>
      <c r="N45" s="2">
        <f>N12/'Output-Calculation-sheet'!N11*'Output-Calculation-sheet'!N38*0.0114</f>
        <v>2.4570236075937651E-2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3.0264776463098504E-2</v>
      </c>
      <c r="Q45" s="2">
        <f>Q12/'Output-Calculation-sheet'!Q11*'Output-Calculation-sheet'!Q38*0.0114</f>
        <v>2.1527288656414938E-2</v>
      </c>
      <c r="R45" s="2">
        <f>R12/'Output-Calculation-sheet'!R11*'Output-Calculation-sheet'!R38*0.0114</f>
        <v>1.4232242703220004E-2</v>
      </c>
      <c r="S45" s="2">
        <f>S12/'Output-Calculation-sheet'!S11*'Output-Calculation-sheet'!S38*0.0114</f>
        <v>1.8779343366702388E-2</v>
      </c>
      <c r="T45" s="2">
        <f>T12/'Output-Calculation-sheet'!T11*'Output-Calculation-sheet'!T38*0.0114</f>
        <v>2.6326968296618001E-3</v>
      </c>
      <c r="U45" s="2">
        <f>U12/'Output-Calculation-sheet'!U11*'Output-Calculation-sheet'!U38*0.0114</f>
        <v>6.8684994554141197E-3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3.0574388891724713E-3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4.4108978468386136E-3</v>
      </c>
      <c r="AA45" s="2">
        <f t="shared" si="2"/>
        <v>1.0492305448730601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2884.4426578318275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6643.9588889275265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4543.9606807625523</v>
      </c>
      <c r="N52" s="2">
        <f>N8/'Output-Calculation-sheet'!N7*'Output-Calculation-sheet'!N43</f>
        <v>143.53626451574812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30.724171484638813</v>
      </c>
      <c r="Y52" s="2">
        <f>Y8/'Output-Calculation-sheet'!Y7*'Output-Calculation-sheet'!Y43</f>
        <v>0</v>
      </c>
      <c r="AA52" s="2">
        <f t="shared" si="3"/>
        <v>14.246622663522292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471.936379716033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12238.161273004085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8377.7921077198062</v>
      </c>
      <c r="N53" s="2">
        <f>N9/'Output-Calculation-sheet'!N8*'Output-Calculation-sheet'!N44</f>
        <v>2972.9729847557669</v>
      </c>
      <c r="O53" s="2">
        <f>O9/'Output-Calculation-sheet'!O8*'Output-Calculation-sheet'!O44</f>
        <v>164.8551144304912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926.56644042462574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255.81029329576782</v>
      </c>
      <c r="Y53" s="2">
        <f>Y9/'Output-Calculation-sheet'!Y8*'Output-Calculation-sheet'!Y44</f>
        <v>0</v>
      </c>
      <c r="AA53" s="2">
        <f t="shared" si="3"/>
        <v>25.539877951993589</v>
      </c>
    </row>
    <row r="54" spans="1:27" x14ac:dyDescent="0.25">
      <c r="A54" s="2">
        <v>2033</v>
      </c>
      <c r="B54" s="2">
        <f>B10/'Output-Calculation-sheet'!B9*'Output-Calculation-sheet'!B45</f>
        <v>23685.598579274192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11832.103896712259</v>
      </c>
      <c r="N54" s="2">
        <f>N10/'Output-Calculation-sheet'!N9*'Output-Calculation-sheet'!N45</f>
        <v>6622.0534999114634</v>
      </c>
      <c r="O54" s="2">
        <f>O10/'Output-Calculation-sheet'!O9*'Output-Calculation-sheet'!O45</f>
        <v>881.81746148143225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688.59695935814636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72.327189017732763</v>
      </c>
    </row>
    <row r="55" spans="1:27" x14ac:dyDescent="0.25">
      <c r="A55" s="2">
        <v>2034</v>
      </c>
      <c r="B55" s="2">
        <f>B11/'Output-Calculation-sheet'!B10*'Output-Calculation-sheet'!B46</f>
        <v>59879.445342316765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212.46229173699561</v>
      </c>
      <c r="G55" s="2">
        <f>G11/'Output-Calculation-sheet'!G10*'Output-Calculation-sheet'!G46</f>
        <v>2394.8477338387606</v>
      </c>
      <c r="H55" s="2">
        <f>H11/'Output-Calculation-sheet'!H10*'Output-Calculation-sheet'!H46</f>
        <v>18528.731742176504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13046.807236345467</v>
      </c>
      <c r="N55" s="2">
        <f>N11/'Output-Calculation-sheet'!N10*'Output-Calculation-sheet'!N46</f>
        <v>9882.2342108357443</v>
      </c>
      <c r="O55" s="2">
        <f>O11/'Output-Calculation-sheet'!O10*'Output-Calculation-sheet'!O46</f>
        <v>379.1550541028202</v>
      </c>
      <c r="P55" s="2">
        <f>P11/'Output-Calculation-sheet'!P10*'Output-Calculation-sheet'!P46</f>
        <v>3657.3631951504722</v>
      </c>
      <c r="Q55" s="2">
        <f>Q11/'Output-Calculation-sheet'!Q10*'Output-Calculation-sheet'!Q46</f>
        <v>2853.754567924102</v>
      </c>
      <c r="R55" s="2">
        <f>R11/'Output-Calculation-sheet'!R10*'Output-Calculation-sheet'!R46</f>
        <v>2964.2433847770303</v>
      </c>
      <c r="S55" s="2">
        <f>S11/'Output-Calculation-sheet'!S10*'Output-Calculation-sheet'!S46</f>
        <v>4630.230149748425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875.55347693471447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147.95573066666668</v>
      </c>
    </row>
    <row r="56" spans="1:27" x14ac:dyDescent="0.25">
      <c r="A56" s="2">
        <v>2035</v>
      </c>
      <c r="B56" s="2">
        <f>B12/'Output-Calculation-sheet'!B11*'Output-Calculation-sheet'!B47</f>
        <v>53848.537838233606</v>
      </c>
      <c r="C56" s="2">
        <f>C12/'Output-Calculation-sheet'!C11*'Output-Calculation-sheet'!C47</f>
        <v>16781.987384729178</v>
      </c>
      <c r="D56" s="2">
        <f>D12/'Output-Calculation-sheet'!D11*'Output-Calculation-sheet'!D47</f>
        <v>5520.8498699772863</v>
      </c>
      <c r="E56" s="2">
        <f>E12/'Output-Calculation-sheet'!E11*'Output-Calculation-sheet'!E47</f>
        <v>13964.547006354978</v>
      </c>
      <c r="F56" s="2">
        <f>F12/'Output-Calculation-sheet'!F11*'Output-Calculation-sheet'!F47</f>
        <v>802.18130760019164</v>
      </c>
      <c r="G56" s="2">
        <f>G12/'Output-Calculation-sheet'!G11*'Output-Calculation-sheet'!G47</f>
        <v>2042.9596708870554</v>
      </c>
      <c r="H56" s="2">
        <f>H12/'Output-Calculation-sheet'!H11*'Output-Calculation-sheet'!H47</f>
        <v>15927.222091684</v>
      </c>
      <c r="I56" s="2">
        <f>I12/'Output-Calculation-sheet'!I11*'Output-Calculation-sheet'!I47</f>
        <v>1301.9436892604974</v>
      </c>
      <c r="J56" s="2">
        <f>J12/'Output-Calculation-sheet'!J11*'Output-Calculation-sheet'!J47</f>
        <v>2147.4882978384853</v>
      </c>
      <c r="K56" s="2">
        <f>K12/'Output-Calculation-sheet'!K11*'Output-Calculation-sheet'!K47</f>
        <v>2936.3020607800918</v>
      </c>
      <c r="L56" s="2">
        <f>L12/'Output-Calculation-sheet'!L11*'Output-Calculation-sheet'!L47</f>
        <v>3144.1726863720951</v>
      </c>
      <c r="M56" s="2">
        <f>M12/'Output-Calculation-sheet'!M11*'Output-Calculation-sheet'!M47</f>
        <v>11226.283989309788</v>
      </c>
      <c r="N56" s="2">
        <f>N12/'Output-Calculation-sheet'!N11*'Output-Calculation-sheet'!N47</f>
        <v>9085.2399244534372</v>
      </c>
      <c r="O56" s="2">
        <f>O12/'Output-Calculation-sheet'!O11*'Output-Calculation-sheet'!O47</f>
        <v>40.895889337303771</v>
      </c>
      <c r="P56" s="2">
        <f>P12/'Output-Calculation-sheet'!P11*'Output-Calculation-sheet'!P47</f>
        <v>3894.598865909255</v>
      </c>
      <c r="Q56" s="2">
        <f>Q12/'Output-Calculation-sheet'!Q11*'Output-Calculation-sheet'!Q47</f>
        <v>2739.3789541730353</v>
      </c>
      <c r="R56" s="2">
        <f>R12/'Output-Calculation-sheet'!R11*'Output-Calculation-sheet'!R47</f>
        <v>3201.0061658821128</v>
      </c>
      <c r="S56" s="2">
        <f>S12/'Output-Calculation-sheet'!S11*'Output-Calculation-sheet'!S47</f>
        <v>4224.5286020972171</v>
      </c>
      <c r="T56" s="2">
        <f>T12/'Output-Calculation-sheet'!T11*'Output-Calculation-sheet'!T47</f>
        <v>1081.4841450268605</v>
      </c>
      <c r="U56" s="2">
        <f>U12/'Output-Calculation-sheet'!U11*'Output-Calculation-sheet'!U47</f>
        <v>754.9324401433239</v>
      </c>
      <c r="V56" s="2">
        <f>V12/'Output-Calculation-sheet'!V11*'Output-Calculation-sheet'!V47</f>
        <v>745.96077564282973</v>
      </c>
      <c r="W56" s="2">
        <f>W12/'Output-Calculation-sheet'!W11*'Output-Calculation-sheet'!W47</f>
        <v>264.03934968335949</v>
      </c>
      <c r="X56" s="2">
        <f>X12/'Output-Calculation-sheet'!X11*'Output-Calculation-sheet'!X47</f>
        <v>88.609135705554678</v>
      </c>
      <c r="Y56" s="2">
        <f>Y12/'Output-Calculation-sheet'!Y11*'Output-Calculation-sheet'!Y47</f>
        <v>351.63368098306421</v>
      </c>
      <c r="AA56" s="2">
        <f t="shared" si="3"/>
        <v>156.11678382206455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7.1085190701385388</v>
      </c>
      <c r="C63" s="2">
        <f>C8*'Output-Calculation-sheet'!C52/10^9</f>
        <v>4.2996968170959926</v>
      </c>
      <c r="D63" s="2">
        <f>D8*'Output-Calculation-sheet'!D52/10^9</f>
        <v>2.4376635262692163</v>
      </c>
      <c r="E63" s="2">
        <f>E8*'Output-Calculation-sheet'!E52/10^9</f>
        <v>2.4236914197632466</v>
      </c>
      <c r="F63" s="2">
        <f>F8*'Output-Calculation-sheet'!F52/10^9</f>
        <v>1.0264331159041926</v>
      </c>
      <c r="G63" s="2">
        <f>G8*'Output-Calculation-sheet'!G52/10^9</f>
        <v>0.73795904004663371</v>
      </c>
      <c r="H63" s="2">
        <f>H8*'Output-Calculation-sheet'!H52/10^9</f>
        <v>1.2889904682893527</v>
      </c>
      <c r="I63" s="2">
        <f>I8*'Output-Calculation-sheet'!I52/10^9</f>
        <v>0.68647323363808599</v>
      </c>
      <c r="J63" s="2">
        <f>J8*'Output-Calculation-sheet'!J52/10^9</f>
        <v>0.94463369996777857</v>
      </c>
      <c r="K63" s="2">
        <f>K8*'Output-Calculation-sheet'!K52/10^9</f>
        <v>0.82994472308314504</v>
      </c>
      <c r="L63" s="2">
        <f>L8*'Output-Calculation-sheet'!L52/10^9</f>
        <v>1.1163155846723489</v>
      </c>
      <c r="M63" s="2">
        <f>M8*'Output-Calculation-sheet'!M52/10^9</f>
        <v>1.0462868866022379</v>
      </c>
      <c r="N63" s="2">
        <f>N8*'Output-Calculation-sheet'!N52/10^9</f>
        <v>0.87326562477253267</v>
      </c>
      <c r="O63" s="2">
        <f>O8*'Output-Calculation-sheet'!O52/10^9</f>
        <v>0.87759395881756219</v>
      </c>
      <c r="P63" s="2">
        <f>P8*'Output-Calculation-sheet'!P52/10^9</f>
        <v>0.57346941589597922</v>
      </c>
      <c r="Q63" s="2">
        <f>Q8*'Output-Calculation-sheet'!Q52/10^9</f>
        <v>0.64899932592991383</v>
      </c>
      <c r="R63" s="2">
        <f>R8*'Output-Calculation-sheet'!R52/10^9</f>
        <v>0.58267256815171209</v>
      </c>
      <c r="S63" s="2">
        <f>S8*'Output-Calculation-sheet'!S52/10^9</f>
        <v>0.43178101811468617</v>
      </c>
      <c r="T63" s="2">
        <f>T8*'Output-Calculation-sheet'!T52/10^9</f>
        <v>0.22152378695761485</v>
      </c>
      <c r="U63" s="2">
        <f>U8*'Output-Calculation-sheet'!U52/10^9</f>
        <v>0.15214016310826037</v>
      </c>
      <c r="V63" s="2">
        <f>V8*'Output-Calculation-sheet'!V52/10^9</f>
        <v>0.27001283597763898</v>
      </c>
      <c r="W63" s="2">
        <f>W8*'Output-Calculation-sheet'!W52/10^9</f>
        <v>9.7731996394619297E-2</v>
      </c>
      <c r="X63" s="2">
        <f>X8*'Output-Calculation-sheet'!X52/10^9</f>
        <v>0.11125424823126778</v>
      </c>
      <c r="Y63" s="2">
        <f>Y8*'Output-Calculation-sheet'!Y52/10^9</f>
        <v>6.3767408981955501E-2</v>
      </c>
      <c r="AA63" s="2">
        <f t="shared" si="4"/>
        <v>28.850819936804516</v>
      </c>
    </row>
    <row r="64" spans="1:27" x14ac:dyDescent="0.25">
      <c r="A64" s="2">
        <v>2032</v>
      </c>
      <c r="B64" s="2">
        <f>B9*'Output-Calculation-sheet'!B53/10^9</f>
        <v>7.0535016727211657</v>
      </c>
      <c r="C64" s="2">
        <f>C9*'Output-Calculation-sheet'!C53/10^9</f>
        <v>4.5001318977604106</v>
      </c>
      <c r="D64" s="2">
        <f>D9*'Output-Calculation-sheet'!D53/10^9</f>
        <v>2.0874252782934546</v>
      </c>
      <c r="E64" s="2">
        <f>E9*'Output-Calculation-sheet'!E53/10^9</f>
        <v>2.1376153273020502</v>
      </c>
      <c r="F64" s="2">
        <f>F9*'Output-Calculation-sheet'!F53/10^9</f>
        <v>0.90163274110736358</v>
      </c>
      <c r="G64" s="2">
        <f>G9*'Output-Calculation-sheet'!G53/10^9</f>
        <v>0.64175460318198385</v>
      </c>
      <c r="H64" s="2">
        <f>H9*'Output-Calculation-sheet'!H53/10^9</f>
        <v>1.3186192734544435</v>
      </c>
      <c r="I64" s="2">
        <f>I9*'Output-Calculation-sheet'!I53/10^9</f>
        <v>0.59993566794225806</v>
      </c>
      <c r="J64" s="2">
        <f>J9*'Output-Calculation-sheet'!J53/10^9</f>
        <v>0.79419292640735917</v>
      </c>
      <c r="K64" s="2">
        <f>K9*'Output-Calculation-sheet'!K53/10^9</f>
        <v>0.73690298296993773</v>
      </c>
      <c r="L64" s="2">
        <f>L9*'Output-Calculation-sheet'!L53/10^9</f>
        <v>0.94802348504031919</v>
      </c>
      <c r="M64" s="2">
        <f>M9*'Output-Calculation-sheet'!M53/10^9</f>
        <v>1.0334092852369956</v>
      </c>
      <c r="N64" s="2">
        <f>N9*'Output-Calculation-sheet'!N53/10^9</f>
        <v>0.87001464234342984</v>
      </c>
      <c r="O64" s="2">
        <f>O9*'Output-Calculation-sheet'!O53/10^9</f>
        <v>0.90924045341616011</v>
      </c>
      <c r="P64" s="2">
        <f>P9*'Output-Calculation-sheet'!P53/10^9</f>
        <v>0.56183840562895226</v>
      </c>
      <c r="Q64" s="2">
        <f>Q9*'Output-Calculation-sheet'!Q53/10^9</f>
        <v>0.62091604838525716</v>
      </c>
      <c r="R64" s="2">
        <f>R9*'Output-Calculation-sheet'!R53/10^9</f>
        <v>0.53227168390569612</v>
      </c>
      <c r="S64" s="2">
        <f>S9*'Output-Calculation-sheet'!S53/10^9</f>
        <v>0.43977536406071127</v>
      </c>
      <c r="T64" s="2">
        <f>T9*'Output-Calculation-sheet'!T53/10^9</f>
        <v>0.19133705556843206</v>
      </c>
      <c r="U64" s="2">
        <f>U9*'Output-Calculation-sheet'!U53/10^9</f>
        <v>0.14401541243240093</v>
      </c>
      <c r="V64" s="2">
        <f>V9*'Output-Calculation-sheet'!V53/10^9</f>
        <v>0.22710414635104781</v>
      </c>
      <c r="W64" s="2">
        <f>W9*'Output-Calculation-sheet'!W53/10^9</f>
        <v>8.4387661479639164E-2</v>
      </c>
      <c r="X64" s="2">
        <f>X9*'Output-Calculation-sheet'!X53/10^9</f>
        <v>0.1132972201646954</v>
      </c>
      <c r="Y64" s="2">
        <f>Y9*'Output-Calculation-sheet'!Y53/10^9</f>
        <v>5.9124780368094848E-2</v>
      </c>
      <c r="AA64" s="2">
        <f t="shared" si="4"/>
        <v>27.506468015522263</v>
      </c>
    </row>
    <row r="65" spans="1:27" x14ac:dyDescent="0.25">
      <c r="A65" s="2">
        <v>2033</v>
      </c>
      <c r="B65" s="2">
        <f>B10*'Output-Calculation-sheet'!B54/10^9</f>
        <v>6.8277677544369144</v>
      </c>
      <c r="C65" s="2">
        <f>C10*'Output-Calculation-sheet'!C54/10^9</f>
        <v>4.4324728611388382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1.2511016099585122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0.62862650187724323</v>
      </c>
      <c r="L65" s="2">
        <f>L10*'Output-Calculation-sheet'!L54/10^9</f>
        <v>0.74249392940048364</v>
      </c>
      <c r="M65" s="2">
        <f>M10*'Output-Calculation-sheet'!M54/10^9</f>
        <v>0.94464742719220018</v>
      </c>
      <c r="N65" s="2">
        <f>N10*'Output-Calculation-sheet'!N54/10^9</f>
        <v>0.81571153836602117</v>
      </c>
      <c r="O65" s="2">
        <f>O10*'Output-Calculation-sheet'!O54/10^9</f>
        <v>0.88602512921300547</v>
      </c>
      <c r="P65" s="2">
        <f>P10*'Output-Calculation-sheet'!P54/10^9</f>
        <v>0.53185839025967308</v>
      </c>
      <c r="Q65" s="2">
        <f>Q10*'Output-Calculation-sheet'!Q54/10^9</f>
        <v>0.58041814295941763</v>
      </c>
      <c r="R65" s="2">
        <f>R10*'Output-Calculation-sheet'!R54/10^9</f>
        <v>0.46824066264014885</v>
      </c>
      <c r="S65" s="2">
        <f>S10*'Output-Calculation-sheet'!S54/10^9</f>
        <v>0.42531872008287874</v>
      </c>
      <c r="T65" s="2">
        <f>T10*'Output-Calculation-sheet'!T54/10^9</f>
        <v>0.15655337118969856</v>
      </c>
      <c r="U65" s="2">
        <f>U10*'Output-Calculation-sheet'!U54/10^9</f>
        <v>0.13518015144799159</v>
      </c>
      <c r="V65" s="2">
        <f>V10*'Output-Calculation-sheet'!V54/10^9</f>
        <v>0.17325652876477496</v>
      </c>
      <c r="W65" s="2">
        <f>W10*'Output-Calculation-sheet'!W54/10^9</f>
        <v>6.596274502843108E-2</v>
      </c>
      <c r="X65" s="2">
        <f>X10*'Output-Calculation-sheet'!X54/10^9</f>
        <v>0.10785860470716455</v>
      </c>
      <c r="Y65" s="2">
        <f>Y10*'Output-Calculation-sheet'!Y54/10^9</f>
        <v>5.4295773669134823E-2</v>
      </c>
      <c r="AA65" s="2">
        <f t="shared" si="4"/>
        <v>24.982711486553239</v>
      </c>
    </row>
    <row r="66" spans="1:27" x14ac:dyDescent="0.25">
      <c r="A66" s="2">
        <v>2034</v>
      </c>
      <c r="B66" s="2">
        <f>B11*'Output-Calculation-sheet'!B55/10^9</f>
        <v>6.394178219329719</v>
      </c>
      <c r="C66" s="2">
        <f>C11*'Output-Calculation-sheet'!C55/10^9</f>
        <v>4.1079561038678163</v>
      </c>
      <c r="D66" s="2">
        <f>D11*'Output-Calculation-sheet'!D55/10^9</f>
        <v>1.3378540794789544</v>
      </c>
      <c r="E66" s="2">
        <f>E11*'Output-Calculation-sheet'!E55/10^9</f>
        <v>1.6200437388294031</v>
      </c>
      <c r="F66" s="2">
        <f>F11*'Output-Calculation-sheet'!F55/10^9</f>
        <v>0.6226091088015665</v>
      </c>
      <c r="G66" s="2">
        <f>G11*'Output-Calculation-sheet'!G55/10^9</f>
        <v>0.44505625081546313</v>
      </c>
      <c r="H66" s="2">
        <f>H11*'Output-Calculation-sheet'!H55/10^9</f>
        <v>1.1370536736750598</v>
      </c>
      <c r="I66" s="2">
        <f>I11*'Output-Calculation-sheet'!I55/10^9</f>
        <v>0.43519302934270448</v>
      </c>
      <c r="J66" s="2">
        <f>J11*'Output-Calculation-sheet'!J55/10^9</f>
        <v>0.44751171990644867</v>
      </c>
      <c r="K66" s="2">
        <f>K11*'Output-Calculation-sheet'!K55/10^9</f>
        <v>0.53525991068488721</v>
      </c>
      <c r="L66" s="2">
        <f>L11*'Output-Calculation-sheet'!L55/10^9</f>
        <v>0.56687720388963636</v>
      </c>
      <c r="M66" s="2">
        <f>M11*'Output-Calculation-sheet'!M55/10^9</f>
        <v>0.82426434835635165</v>
      </c>
      <c r="N66" s="2">
        <f>N11*'Output-Calculation-sheet'!N55/10^9</f>
        <v>0.7201838739436317</v>
      </c>
      <c r="O66" s="2">
        <f>O11*'Output-Calculation-sheet'!O55/10^9</f>
        <v>0.81052346193019775</v>
      </c>
      <c r="P66" s="2">
        <f>P11*'Output-Calculation-sheet'!P55/10^9</f>
        <v>0.49509922798461597</v>
      </c>
      <c r="Q66" s="2">
        <f>Q11*'Output-Calculation-sheet'!Q55/10^9</f>
        <v>0.53869475813268886</v>
      </c>
      <c r="R66" s="2">
        <f>R11*'Output-Calculation-sheet'!R55/10^9</f>
        <v>0.40099790240858418</v>
      </c>
      <c r="S66" s="2">
        <f>S11*'Output-Calculation-sheet'!S55/10^9</f>
        <v>0.39423493128909887</v>
      </c>
      <c r="T66" s="2">
        <f>T11*'Output-Calculation-sheet'!T55/10^9</f>
        <v>0.12568166235611103</v>
      </c>
      <c r="U66" s="2">
        <f>U11*'Output-Calculation-sheet'!U55/10^9</f>
        <v>0.12764537962144001</v>
      </c>
      <c r="V66" s="2">
        <f>V11*'Output-Calculation-sheet'!V55/10^9</f>
        <v>0.11922678747623693</v>
      </c>
      <c r="W66" s="2">
        <f>W11*'Output-Calculation-sheet'!W55/10^9</f>
        <v>5.3985647623808114E-2</v>
      </c>
      <c r="X66" s="2">
        <f>X11*'Output-Calculation-sheet'!X55/10^9</f>
        <v>9.6336525577520607E-2</v>
      </c>
      <c r="Y66" s="2">
        <f>Y11*'Output-Calculation-sheet'!Y55/10^9</f>
        <v>5.2974488639148457E-2</v>
      </c>
      <c r="AA66" s="2">
        <f t="shared" si="4"/>
        <v>22.409442033961092</v>
      </c>
    </row>
    <row r="67" spans="1:27" x14ac:dyDescent="0.25">
      <c r="A67" s="2">
        <v>2035</v>
      </c>
      <c r="B67" s="2">
        <f>B12*'Output-Calculation-sheet'!B56/10^9</f>
        <v>5.6832922189023085</v>
      </c>
      <c r="C67" s="2">
        <f>C12*'Output-Calculation-sheet'!C56/10^9</f>
        <v>3.5693994119178774</v>
      </c>
      <c r="D67" s="2">
        <f>D12*'Output-Calculation-sheet'!D56/10^9</f>
        <v>1.1824902949506644</v>
      </c>
      <c r="E67" s="2">
        <f>E12*'Output-Calculation-sheet'!E56/10^9</f>
        <v>1.6054392741257715</v>
      </c>
      <c r="F67" s="2">
        <f>F12*'Output-Calculation-sheet'!F56/10^9</f>
        <v>0.58639275713556693</v>
      </c>
      <c r="G67" s="2">
        <f>G12*'Output-Calculation-sheet'!G56/10^9</f>
        <v>0.41077386229923146</v>
      </c>
      <c r="H67" s="2">
        <f>H12*'Output-Calculation-sheet'!H56/10^9</f>
        <v>0.9922681453522243</v>
      </c>
      <c r="I67" s="2">
        <f>I12*'Output-Calculation-sheet'!I56/10^9</f>
        <v>0.39903166818121888</v>
      </c>
      <c r="J67" s="2">
        <f>J12*'Output-Calculation-sheet'!J56/10^9</f>
        <v>0.39503502699421156</v>
      </c>
      <c r="K67" s="2">
        <f>K12*'Output-Calculation-sheet'!K56/10^9</f>
        <v>0.47602148044898551</v>
      </c>
      <c r="L67" s="2">
        <f>L12*'Output-Calculation-sheet'!L56/10^9</f>
        <v>0.47819944260663344</v>
      </c>
      <c r="M67" s="2">
        <f>M12*'Output-Calculation-sheet'!M56/10^9</f>
        <v>0.72585734584337802</v>
      </c>
      <c r="N67" s="2">
        <f>N12*'Output-Calculation-sheet'!N56/10^9</f>
        <v>0.62344947873696777</v>
      </c>
      <c r="O67" s="2">
        <f>O12*'Output-Calculation-sheet'!O56/10^9</f>
        <v>0.69936799422014917</v>
      </c>
      <c r="P67" s="2">
        <f>P12*'Output-Calculation-sheet'!P56/10^9</f>
        <v>0.46106020326298564</v>
      </c>
      <c r="Q67" s="2">
        <f>Q12*'Output-Calculation-sheet'!Q56/10^9</f>
        <v>0.4745651282450829</v>
      </c>
      <c r="R67" s="2">
        <f>R12*'Output-Calculation-sheet'!R56/10^9</f>
        <v>0.36109275478251501</v>
      </c>
      <c r="S67" s="2">
        <f>S12*'Output-Calculation-sheet'!S56/10^9</f>
        <v>0.34408103946610574</v>
      </c>
      <c r="T67" s="2">
        <f>T12*'Output-Calculation-sheet'!T56/10^9</f>
        <v>0.10942584225235351</v>
      </c>
      <c r="U67" s="2">
        <f>U12*'Output-Calculation-sheet'!U56/10^9</f>
        <v>0.11442498466800863</v>
      </c>
      <c r="V67" s="2">
        <f>V12*'Output-Calculation-sheet'!V56/10^9</f>
        <v>8.7774265886507663E-2</v>
      </c>
      <c r="W67" s="2">
        <f>W12*'Output-Calculation-sheet'!W56/10^9</f>
        <v>5.2995331639524967E-2</v>
      </c>
      <c r="X67" s="2">
        <f>X12*'Output-Calculation-sheet'!X56/10^9</f>
        <v>8.3894515874623168E-2</v>
      </c>
      <c r="Y67" s="2">
        <f>Y12*'Output-Calculation-sheet'!Y56/10^9</f>
        <v>5.1211682151420274E-2</v>
      </c>
      <c r="AA67" s="2">
        <f t="shared" si="4"/>
        <v>19.967544149944317</v>
      </c>
    </row>
    <row r="68" spans="1:27" x14ac:dyDescent="0.25">
      <c r="B68" s="2">
        <f>SUM(B60:B67)</f>
        <v>33.067258935528649</v>
      </c>
      <c r="C68" s="2">
        <f t="shared" ref="C68:Y68" si="5">SUM(C60:C67)</f>
        <v>20.909657091780936</v>
      </c>
      <c r="D68" s="2">
        <f t="shared" si="5"/>
        <v>8.6584203550872942</v>
      </c>
      <c r="E68" s="2">
        <f t="shared" si="5"/>
        <v>9.602985828313134</v>
      </c>
      <c r="F68" s="2">
        <f t="shared" si="5"/>
        <v>3.8744114805929417</v>
      </c>
      <c r="G68" s="2">
        <f t="shared" si="5"/>
        <v>2.7417973652382832</v>
      </c>
      <c r="H68" s="2">
        <f t="shared" si="5"/>
        <v>5.9880331707295928</v>
      </c>
      <c r="I68" s="2">
        <f t="shared" si="5"/>
        <v>2.6135865759756149</v>
      </c>
      <c r="J68" s="2">
        <f t="shared" si="5"/>
        <v>3.1705614296982665</v>
      </c>
      <c r="K68" s="2">
        <f t="shared" si="5"/>
        <v>3.2067555990641994</v>
      </c>
      <c r="L68" s="2">
        <f t="shared" si="5"/>
        <v>3.8519096456094215</v>
      </c>
      <c r="M68" s="2">
        <f t="shared" si="5"/>
        <v>4.5744652932311638</v>
      </c>
      <c r="N68" s="2">
        <f t="shared" si="5"/>
        <v>3.9026251581625835</v>
      </c>
      <c r="O68" s="2">
        <f t="shared" si="5"/>
        <v>4.1827509975970747</v>
      </c>
      <c r="P68" s="2">
        <f t="shared" si="5"/>
        <v>2.6233256430322061</v>
      </c>
      <c r="Q68" s="2">
        <f t="shared" si="5"/>
        <v>2.8635934036523603</v>
      </c>
      <c r="R68" s="2">
        <f t="shared" si="5"/>
        <v>2.345275571888656</v>
      </c>
      <c r="S68" s="2">
        <f t="shared" si="5"/>
        <v>2.0351910730134808</v>
      </c>
      <c r="T68" s="2">
        <f t="shared" si="5"/>
        <v>0.80452171832421004</v>
      </c>
      <c r="U68" s="2">
        <f t="shared" si="5"/>
        <v>0.67340609127810158</v>
      </c>
      <c r="V68" s="2">
        <f t="shared" si="5"/>
        <v>0.87737456445620632</v>
      </c>
      <c r="W68" s="2">
        <f t="shared" si="5"/>
        <v>0.35506338216602262</v>
      </c>
      <c r="X68" s="2">
        <f t="shared" si="5"/>
        <v>0.5126411145552715</v>
      </c>
      <c r="Y68" s="2">
        <f t="shared" si="5"/>
        <v>0.28137413380975385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773.43209784283385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1410.5087108809616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951.20089530508699</v>
      </c>
      <c r="N74" s="2">
        <f>N8/'Output-Calculation-sheet'!N7*'Output-Calculation-sheet'!N61</f>
        <v>42.717482468731063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8.4407309660868126</v>
      </c>
      <c r="Y74" s="2">
        <f>Y8/'Output-Calculation-sheet'!Y7*'Output-Calculation-sheet'!Y61</f>
        <v>0</v>
      </c>
      <c r="AA74" s="2">
        <f t="shared" si="6"/>
        <v>3.1862999174637001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129.65090677756518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2334.4142462482341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1582.4424726642737</v>
      </c>
      <c r="N75" s="2">
        <f>N9/'Output-Calculation-sheet'!N8*'Output-Calculation-sheet'!N62</f>
        <v>609.86190435713945</v>
      </c>
      <c r="O75" s="2">
        <f>O9/'Output-Calculation-sheet'!O8*'Output-Calculation-sheet'!O62</f>
        <v>45.29019598263131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204.58327067760189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55.849207606923621</v>
      </c>
      <c r="Y75" s="2">
        <f>Y9/'Output-Calculation-sheet'!Y8*'Output-Calculation-sheet'!Y62</f>
        <v>0</v>
      </c>
      <c r="AA75" s="2">
        <f t="shared" si="6"/>
        <v>5.0103641867655266</v>
      </c>
    </row>
    <row r="76" spans="1:27" x14ac:dyDescent="0.25">
      <c r="A76" s="2">
        <v>2033</v>
      </c>
      <c r="B76" s="2">
        <f>B10/'Output-Calculation-sheet'!B9*'Output-Calculation-sheet'!B63</f>
        <v>4757.4469086654099</v>
      </c>
      <c r="C76" s="2">
        <f>C10/'Output-Calculation-sheet'!C9*'Output-Calculation-sheet'!C63</f>
        <v>980.60941921407539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3119.5645377921205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2119.3878489623548</v>
      </c>
      <c r="N76" s="2">
        <f>N10/'Output-Calculation-sheet'!N9*'Output-Calculation-sheet'!N63</f>
        <v>1212.1345366508535</v>
      </c>
      <c r="O76" s="2">
        <f>O10/'Output-Calculation-sheet'!O9*'Output-Calculation-sheet'!O63</f>
        <v>201.13930332738394</v>
      </c>
      <c r="P76" s="2">
        <f>P10/'Output-Calculation-sheet'!P9*'Output-Calculation-sheet'!P63</f>
        <v>418.57423322777345</v>
      </c>
      <c r="Q76" s="2">
        <f>Q10/'Output-Calculation-sheet'!Q9*'Output-Calculation-sheet'!Q63</f>
        <v>189.17490033173684</v>
      </c>
      <c r="R76" s="2">
        <f>R10/'Output-Calculation-sheet'!R9*'Output-Calculation-sheet'!R63</f>
        <v>318.52821965930582</v>
      </c>
      <c r="S76" s="2">
        <f>S10/'Output-Calculation-sheet'!S9*'Output-Calculation-sheet'!S63</f>
        <v>540.44322733922957</v>
      </c>
      <c r="T76" s="2">
        <f>T10/'Output-Calculation-sheet'!T9*'Output-Calculation-sheet'!T63</f>
        <v>20.933161846033592</v>
      </c>
      <c r="U76" s="2">
        <f>U10/'Output-Calculation-sheet'!U9*'Output-Calculation-sheet'!U63</f>
        <v>113.16391986395932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121.68694632443844</v>
      </c>
      <c r="Y76" s="2">
        <f>Y10/'Output-Calculation-sheet'!Y9*'Output-Calculation-sheet'!Y63</f>
        <v>5.3676393949754244</v>
      </c>
      <c r="AA76" s="2">
        <f t="shared" si="6"/>
        <v>14.2060267498101</v>
      </c>
    </row>
    <row r="77" spans="1:27" x14ac:dyDescent="0.25">
      <c r="A77" s="2">
        <v>2034</v>
      </c>
      <c r="B77" s="2">
        <f>B11/'Output-Calculation-sheet'!B10*'Output-Calculation-sheet'!B64</f>
        <v>10153.890423331892</v>
      </c>
      <c r="C77" s="2">
        <f>C11/'Output-Calculation-sheet'!C10*'Output-Calculation-sheet'!C64</f>
        <v>1524.9349051672427</v>
      </c>
      <c r="D77" s="2">
        <f>D11/'Output-Calculation-sheet'!D10*'Output-Calculation-sheet'!D64</f>
        <v>1304.6324948428432</v>
      </c>
      <c r="E77" s="2">
        <f>E11/'Output-Calculation-sheet'!E10*'Output-Calculation-sheet'!E64</f>
        <v>1608.7736110012227</v>
      </c>
      <c r="F77" s="2">
        <f>F11/'Output-Calculation-sheet'!F10*'Output-Calculation-sheet'!F64</f>
        <v>103.59232849717613</v>
      </c>
      <c r="G77" s="2">
        <f>G11/'Output-Calculation-sheet'!G10*'Output-Calculation-sheet'!G64</f>
        <v>649.98909590632434</v>
      </c>
      <c r="H77" s="2">
        <f>H11/'Output-Calculation-sheet'!H10*'Output-Calculation-sheet'!H64</f>
        <v>3463.8462891834838</v>
      </c>
      <c r="I77" s="2">
        <f>I11/'Output-Calculation-sheet'!I10*'Output-Calculation-sheet'!I64</f>
        <v>404.17390570350784</v>
      </c>
      <c r="J77" s="2">
        <f>J11/'Output-Calculation-sheet'!J10*'Output-Calculation-sheet'!J64</f>
        <v>283.61013576302719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258.82529128335631</v>
      </c>
      <c r="M77" s="2">
        <f>M11/'Output-Calculation-sheet'!M10*'Output-Calculation-sheet'!M64</f>
        <v>2455.2246302034214</v>
      </c>
      <c r="N77" s="2">
        <f>N11/'Output-Calculation-sheet'!N10*'Output-Calculation-sheet'!N64</f>
        <v>1722.6970576066526</v>
      </c>
      <c r="O77" s="2">
        <f>O11/'Output-Calculation-sheet'!O10*'Output-Calculation-sheet'!O64</f>
        <v>82.285263900632501</v>
      </c>
      <c r="P77" s="2">
        <f>P11/'Output-Calculation-sheet'!P10*'Output-Calculation-sheet'!P64</f>
        <v>756.64299099400523</v>
      </c>
      <c r="Q77" s="2">
        <f>Q11/'Output-Calculation-sheet'!Q10*'Output-Calculation-sheet'!Q64</f>
        <v>539.55452183262946</v>
      </c>
      <c r="R77" s="2">
        <f>R11/'Output-Calculation-sheet'!R10*'Output-Calculation-sheet'!R64</f>
        <v>652.49896933986724</v>
      </c>
      <c r="S77" s="2">
        <f>S11/'Output-Calculation-sheet'!S10*'Output-Calculation-sheet'!S64</f>
        <v>808.13925471674395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191.92995799719881</v>
      </c>
      <c r="V77" s="2">
        <f>V11/'Output-Calculation-sheet'!V10*'Output-Calculation-sheet'!V64</f>
        <v>93.135484825093968</v>
      </c>
      <c r="W77" s="2">
        <f>W11/'Output-Calculation-sheet'!W10*'Output-Calculation-sheet'!W64</f>
        <v>20.441777148320345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59.674681246938661</v>
      </c>
      <c r="AA77" s="2">
        <f t="shared" si="6"/>
        <v>28.036288021964804</v>
      </c>
    </row>
    <row r="78" spans="1:27" x14ac:dyDescent="0.25">
      <c r="A78" s="2">
        <v>2035</v>
      </c>
      <c r="B78" s="2">
        <f>B12/'Output-Calculation-sheet'!B11*'Output-Calculation-sheet'!B65</f>
        <v>9332.8110317748051</v>
      </c>
      <c r="C78" s="2">
        <f>C12/'Output-Calculation-sheet'!C11*'Output-Calculation-sheet'!C65</f>
        <v>3066.9936056609995</v>
      </c>
      <c r="D78" s="2">
        <f>D12/'Output-Calculation-sheet'!D11*'Output-Calculation-sheet'!D65</f>
        <v>1253.2543191277509</v>
      </c>
      <c r="E78" s="2">
        <f>E12/'Output-Calculation-sheet'!E11*'Output-Calculation-sheet'!E65</f>
        <v>2180.9425252064898</v>
      </c>
      <c r="F78" s="2">
        <f>F12/'Output-Calculation-sheet'!F11*'Output-Calculation-sheet'!F65</f>
        <v>281.61606179271638</v>
      </c>
      <c r="G78" s="2">
        <f>G12/'Output-Calculation-sheet'!G11*'Output-Calculation-sheet'!G65</f>
        <v>549.06377954579</v>
      </c>
      <c r="H78" s="2">
        <f>H12/'Output-Calculation-sheet'!H11*'Output-Calculation-sheet'!H65</f>
        <v>2970.7971353261023</v>
      </c>
      <c r="I78" s="2">
        <f>I12/'Output-Calculation-sheet'!I11*'Output-Calculation-sheet'!I65</f>
        <v>365.05021565399278</v>
      </c>
      <c r="J78" s="2">
        <f>J12/'Output-Calculation-sheet'!J11*'Output-Calculation-sheet'!J65</f>
        <v>531.7386012967429</v>
      </c>
      <c r="K78" s="2">
        <f>K12/'Output-Calculation-sheet'!K11*'Output-Calculation-sheet'!K65</f>
        <v>653.8356569986048</v>
      </c>
      <c r="L78" s="2">
        <f>L12/'Output-Calculation-sheet'!L11*'Output-Calculation-sheet'!L65</f>
        <v>558.52192533387245</v>
      </c>
      <c r="M78" s="2">
        <f>M12/'Output-Calculation-sheet'!M11*'Output-Calculation-sheet'!M65</f>
        <v>2169.3649836529389</v>
      </c>
      <c r="N78" s="2">
        <f>N12/'Output-Calculation-sheet'!N11*'Output-Calculation-sheet'!N65</f>
        <v>1562.819321156187</v>
      </c>
      <c r="O78" s="2">
        <f>O12/'Output-Calculation-sheet'!O11*'Output-Calculation-sheet'!O65</f>
        <v>7.3237163134542023</v>
      </c>
      <c r="P78" s="2">
        <f>P12/'Output-Calculation-sheet'!P11*'Output-Calculation-sheet'!P65</f>
        <v>754.6409181863113</v>
      </c>
      <c r="Q78" s="2">
        <f>Q12/'Output-Calculation-sheet'!Q11*'Output-Calculation-sheet'!Q65</f>
        <v>507.8608415019475</v>
      </c>
      <c r="R78" s="2">
        <f>R12/'Output-Calculation-sheet'!R11*'Output-Calculation-sheet'!R65</f>
        <v>702.94919374717176</v>
      </c>
      <c r="S78" s="2">
        <f>S12/'Output-Calculation-sheet'!S11*'Output-Calculation-sheet'!S65</f>
        <v>738.72541861666321</v>
      </c>
      <c r="T78" s="2">
        <f>T12/'Output-Calculation-sheet'!T11*'Output-Calculation-sheet'!T65</f>
        <v>242.508097204476</v>
      </c>
      <c r="U78" s="2">
        <f>U12/'Output-Calculation-sheet'!U11*'Output-Calculation-sheet'!U65</f>
        <v>165.91924851135079</v>
      </c>
      <c r="V78" s="2">
        <f>V12/'Output-Calculation-sheet'!V11*'Output-Calculation-sheet'!V65</f>
        <v>136.77687147814842</v>
      </c>
      <c r="W78" s="2">
        <f>W12/'Output-Calculation-sheet'!W11*'Output-Calculation-sheet'!W65</f>
        <v>64.676901343718185</v>
      </c>
      <c r="X78" s="2">
        <f>X12/'Output-Calculation-sheet'!X11*'Output-Calculation-sheet'!X65</f>
        <v>17.829681699956158</v>
      </c>
      <c r="Y78" s="2">
        <f>Y12/'Output-Calculation-sheet'!Y11*'Output-Calculation-sheet'!Y65</f>
        <v>60.526030717628451</v>
      </c>
      <c r="AA78" s="2">
        <f t="shared" si="6"/>
        <v>28.876546081847827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16.991897089193181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1.2813524525622046</v>
      </c>
      <c r="H88" s="2">
        <f>H11/'Output-Calculation-sheet'!H10*'Output-Calculation-sheet'!H73</f>
        <v>8.689028083019732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3.6775187730980696</v>
      </c>
      <c r="R88" s="2">
        <f>R11/'Output-Calculation-sheet'!R10*'Output-Calculation-sheet'!R73</f>
        <v>0</v>
      </c>
      <c r="S88" s="2">
        <f>S11/'Output-Calculation-sheet'!S10*'Output-Calculation-sheet'!S73</f>
        <v>1.9248514445015277</v>
      </c>
      <c r="T88" s="2">
        <f>T11/'Output-Calculation-sheet'!T10*'Output-Calculation-sheet'!T73</f>
        <v>0</v>
      </c>
      <c r="U88" s="2">
        <f>U11/'Output-Calculation-sheet'!U10*'Output-Calculation-sheet'!U73</f>
        <v>1.1733496072563849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3.3737997449631095E-2</v>
      </c>
    </row>
    <row r="89" spans="1:27" x14ac:dyDescent="0.25">
      <c r="A89" s="2">
        <v>2035</v>
      </c>
      <c r="B89" s="2">
        <f>B12/'Output-Calculation-sheet'!B11*'Output-Calculation-sheet'!B74</f>
        <v>203.58615439785862</v>
      </c>
      <c r="C89" s="2">
        <f>C12/'Output-Calculation-sheet'!C11*'Output-Calculation-sheet'!C74</f>
        <v>110.43051538378238</v>
      </c>
      <c r="D89" s="2">
        <f>D12/'Output-Calculation-sheet'!D11*'Output-Calculation-sheet'!D74</f>
        <v>18.34169392019032</v>
      </c>
      <c r="E89" s="2">
        <f>E12/'Output-Calculation-sheet'!E11*'Output-Calculation-sheet'!E74</f>
        <v>60.73654752242075</v>
      </c>
      <c r="F89" s="2">
        <f>F12/'Output-Calculation-sheet'!F11*'Output-Calculation-sheet'!F74</f>
        <v>18.335572745147235</v>
      </c>
      <c r="G89" s="2">
        <f>G12/'Output-Calculation-sheet'!G11*'Output-Calculation-sheet'!G74</f>
        <v>13.159160521011628</v>
      </c>
      <c r="H89" s="2">
        <f>H12/'Output-Calculation-sheet'!H11*'Output-Calculation-sheet'!H74</f>
        <v>45.679353694551594</v>
      </c>
      <c r="I89" s="2">
        <f>I12/'Output-Calculation-sheet'!I11*'Output-Calculation-sheet'!I74</f>
        <v>11.835851720549975</v>
      </c>
      <c r="J89" s="2">
        <f>J12/'Output-Calculation-sheet'!J11*'Output-Calculation-sheet'!J74</f>
        <v>5.8567862668322324</v>
      </c>
      <c r="K89" s="2">
        <f>K12/'Output-Calculation-sheet'!K11*'Output-Calculation-sheet'!K74</f>
        <v>8.7245686850514446</v>
      </c>
      <c r="L89" s="2">
        <f>L12/'Output-Calculation-sheet'!L11*'Output-Calculation-sheet'!L74</f>
        <v>4.6249169203806257</v>
      </c>
      <c r="M89" s="2">
        <f>M12/'Output-Calculation-sheet'!M11*'Output-Calculation-sheet'!M74</f>
        <v>24.122110408075464</v>
      </c>
      <c r="N89" s="2">
        <f>N12/'Output-Calculation-sheet'!N11*'Output-Calculation-sheet'!N74</f>
        <v>12.213275242425148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16.592530955646108</v>
      </c>
      <c r="Q89" s="2">
        <f>Q12/'Output-Calculation-sheet'!Q11*'Output-Calculation-sheet'!Q74</f>
        <v>13.847963463190894</v>
      </c>
      <c r="R89" s="2">
        <f>R12/'Output-Calculation-sheet'!R11*'Output-Calculation-sheet'!R74</f>
        <v>7.4906540543263169</v>
      </c>
      <c r="S89" s="2">
        <f>S12/'Output-Calculation-sheet'!S11*'Output-Calculation-sheet'!S74</f>
        <v>10.707520340663642</v>
      </c>
      <c r="T89" s="2">
        <f>T12/'Output-Calculation-sheet'!T11*'Output-Calculation-sheet'!T74</f>
        <v>1.3856299103483158</v>
      </c>
      <c r="U89" s="2">
        <f>U12/'Output-Calculation-sheet'!U11*'Output-Calculation-sheet'!U74</f>
        <v>4.0166663481953915</v>
      </c>
      <c r="V89" s="2">
        <f>V12/'Output-Calculation-sheet'!V11*'Output-Calculation-sheet'!V74</f>
        <v>0.30972006462230839</v>
      </c>
      <c r="W89" s="2">
        <f>W12/'Output-Calculation-sheet'!W11*'Output-Calculation-sheet'!W74</f>
        <v>1.8773747565094123</v>
      </c>
      <c r="X89" s="2">
        <f>X12/'Output-Calculation-sheet'!X11*'Output-Calculation-sheet'!X74</f>
        <v>0.24056778924584979</v>
      </c>
      <c r="Y89" s="2">
        <f>Y12/'Output-Calculation-sheet'!Y11*'Output-Calculation-sheet'!Y74</f>
        <v>2.5536777008013027</v>
      </c>
      <c r="AA89" s="2">
        <f t="shared" si="7"/>
        <v>0.59733923722719284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8114598676.8824902</v>
      </c>
      <c r="C96" s="2">
        <f>C8/'Output-Calculation-sheet'!C7*'Output-Calculation-sheet'!C79</f>
        <v>1959542846.7811182</v>
      </c>
      <c r="D96" s="2">
        <f>D8/'Output-Calculation-sheet'!D7*'Output-Calculation-sheet'!D79</f>
        <v>1590849393.2729232</v>
      </c>
      <c r="E96" s="2">
        <f>E8/'Output-Calculation-sheet'!E7*'Output-Calculation-sheet'!E79</f>
        <v>5960342374.9903526</v>
      </c>
      <c r="F96" s="2">
        <f>F8/'Output-Calculation-sheet'!F7*'Output-Calculation-sheet'!F79</f>
        <v>1738722457.5053947</v>
      </c>
      <c r="G96" s="2">
        <f>G8/'Output-Calculation-sheet'!G7*'Output-Calculation-sheet'!G79</f>
        <v>1116011996.3152833</v>
      </c>
      <c r="H96" s="2">
        <f>H8/'Output-Calculation-sheet'!H7*'Output-Calculation-sheet'!H79</f>
        <v>1374889783.6875122</v>
      </c>
      <c r="I96" s="2">
        <f>I8/'Output-Calculation-sheet'!I7*'Output-Calculation-sheet'!I79</f>
        <v>802519297.37784815</v>
      </c>
      <c r="J96" s="2">
        <f>J8/'Output-Calculation-sheet'!J7*'Output-Calculation-sheet'!J79</f>
        <v>608150594.20446956</v>
      </c>
      <c r="K96" s="2">
        <f>K8/'Output-Calculation-sheet'!K7*'Output-Calculation-sheet'!K79</f>
        <v>762700654.43050599</v>
      </c>
      <c r="L96" s="2">
        <f>L8/'Output-Calculation-sheet'!L7*'Output-Calculation-sheet'!L79</f>
        <v>692402109.74888515</v>
      </c>
      <c r="M96" s="2">
        <f>M8/'Output-Calculation-sheet'!M7*'Output-Calculation-sheet'!M79</f>
        <v>1060857684.4349214</v>
      </c>
      <c r="N96" s="2">
        <f>N8/'Output-Calculation-sheet'!N7*'Output-Calculation-sheet'!N79</f>
        <v>689628249.82798207</v>
      </c>
      <c r="O96" s="2">
        <f>O8/'Output-Calculation-sheet'!O7*'Output-Calculation-sheet'!O79</f>
        <v>258763019.20314842</v>
      </c>
      <c r="P96" s="2">
        <f>P8/'Output-Calculation-sheet'!P7*'Output-Calculation-sheet'!P79</f>
        <v>1313409797.2463181</v>
      </c>
      <c r="Q96" s="2">
        <f>Q8/'Output-Calculation-sheet'!Q7*'Output-Calculation-sheet'!Q79</f>
        <v>557630882.89012992</v>
      </c>
      <c r="R96" s="2">
        <f>R8/'Output-Calculation-sheet'!R7*'Output-Calculation-sheet'!R79</f>
        <v>740133841.02273321</v>
      </c>
      <c r="S96" s="2">
        <f>S8/'Output-Calculation-sheet'!S7*'Output-Calculation-sheet'!S79</f>
        <v>417405468.45535749</v>
      </c>
      <c r="T96" s="2">
        <f>T8/'Output-Calculation-sheet'!T7*'Output-Calculation-sheet'!T79</f>
        <v>251811969.29487127</v>
      </c>
      <c r="U96" s="2">
        <f>U8/'Output-Calculation-sheet'!U7*'Output-Calculation-sheet'!U79</f>
        <v>198207606.41961956</v>
      </c>
      <c r="V96" s="2">
        <f>V8/'Output-Calculation-sheet'!V7*'Output-Calculation-sheet'!V79</f>
        <v>90970390.177268386</v>
      </c>
      <c r="W96" s="2">
        <f>W8/'Output-Calculation-sheet'!W7*'Output-Calculation-sheet'!W79</f>
        <v>280089608.76333725</v>
      </c>
      <c r="X96" s="2">
        <f>X8/'Output-Calculation-sheet'!X7*'Output-Calculation-sheet'!X79</f>
        <v>126325929.35584567</v>
      </c>
      <c r="Y96" s="2">
        <f>Y8/'Output-Calculation-sheet'!Y7*'Output-Calculation-sheet'!Y79</f>
        <v>173847719.61618051</v>
      </c>
      <c r="AA96" s="2">
        <f t="shared" si="8"/>
        <v>30.879812351904498</v>
      </c>
    </row>
    <row r="97" spans="1:27" x14ac:dyDescent="0.25">
      <c r="A97" s="2">
        <v>2032</v>
      </c>
      <c r="B97" s="2">
        <f>B9/'Output-Calculation-sheet'!B8*'Output-Calculation-sheet'!B80</f>
        <v>9672338569.3545265</v>
      </c>
      <c r="C97" s="2">
        <f>C9/'Output-Calculation-sheet'!C8*'Output-Calculation-sheet'!C80</f>
        <v>2284435273.1142874</v>
      </c>
      <c r="D97" s="2">
        <f>D9/'Output-Calculation-sheet'!D8*'Output-Calculation-sheet'!D80</f>
        <v>1745052841.5689456</v>
      </c>
      <c r="E97" s="2">
        <f>E9/'Output-Calculation-sheet'!E8*'Output-Calculation-sheet'!E80</f>
        <v>7346424732.6378727</v>
      </c>
      <c r="F97" s="2">
        <f>F9/'Output-Calculation-sheet'!F8*'Output-Calculation-sheet'!F80</f>
        <v>2014641819.923106</v>
      </c>
      <c r="G97" s="2">
        <f>G9/'Output-Calculation-sheet'!G8*'Output-Calculation-sheet'!G80</f>
        <v>1234465140.3028677</v>
      </c>
      <c r="H97" s="2">
        <f>H9/'Output-Calculation-sheet'!H8*'Output-Calculation-sheet'!H80</f>
        <v>1616357839.1470187</v>
      </c>
      <c r="I97" s="2">
        <f>I9/'Output-Calculation-sheet'!I8*'Output-Calculation-sheet'!I80</f>
        <v>931018633.42348933</v>
      </c>
      <c r="J97" s="2">
        <f>J9/'Output-Calculation-sheet'!J8*'Output-Calculation-sheet'!J80</f>
        <v>695727613.88619494</v>
      </c>
      <c r="K97" s="2">
        <f>K9/'Output-Calculation-sheet'!K8*'Output-Calculation-sheet'!K80</f>
        <v>858068415.21933508</v>
      </c>
      <c r="L97" s="2">
        <f>L9/'Output-Calculation-sheet'!L8*'Output-Calculation-sheet'!L80</f>
        <v>827666543.8106885</v>
      </c>
      <c r="M97" s="2">
        <f>M9/'Output-Calculation-sheet'!M8*'Output-Calculation-sheet'!M80</f>
        <v>1275196847.4416339</v>
      </c>
      <c r="N97" s="2">
        <f>N9/'Output-Calculation-sheet'!N8*'Output-Calculation-sheet'!N80</f>
        <v>801212535.05909562</v>
      </c>
      <c r="O97" s="2">
        <f>O9/'Output-Calculation-sheet'!O8*'Output-Calculation-sheet'!O80</f>
        <v>297824693.15348446</v>
      </c>
      <c r="P97" s="2">
        <f>P9/'Output-Calculation-sheet'!P8*'Output-Calculation-sheet'!P80</f>
        <v>1502079812.9207416</v>
      </c>
      <c r="Q97" s="2">
        <f>Q9/'Output-Calculation-sheet'!Q8*'Output-Calculation-sheet'!Q80</f>
        <v>649701620.82713592</v>
      </c>
      <c r="R97" s="2">
        <f>R9/'Output-Calculation-sheet'!R8*'Output-Calculation-sheet'!R80</f>
        <v>870605041.39447653</v>
      </c>
      <c r="S97" s="2">
        <f>S9/'Output-Calculation-sheet'!S8*'Output-Calculation-sheet'!S80</f>
        <v>484545185.26814449</v>
      </c>
      <c r="T97" s="2">
        <f>T9/'Output-Calculation-sheet'!T8*'Output-Calculation-sheet'!T80</f>
        <v>282535005.09015077</v>
      </c>
      <c r="U97" s="2">
        <f>U9/'Output-Calculation-sheet'!U8*'Output-Calculation-sheet'!U80</f>
        <v>224819608.69415057</v>
      </c>
      <c r="V97" s="2">
        <f>V9/'Output-Calculation-sheet'!V8*'Output-Calculation-sheet'!V80</f>
        <v>103699832.26077801</v>
      </c>
      <c r="W97" s="2">
        <f>W9/'Output-Calculation-sheet'!W8*'Output-Calculation-sheet'!W80</f>
        <v>320898096.92237258</v>
      </c>
      <c r="X97" s="2">
        <f>X9/'Output-Calculation-sheet'!X8*'Output-Calculation-sheet'!X80</f>
        <v>155420675.4171986</v>
      </c>
      <c r="Y97" s="2">
        <f>Y9/'Output-Calculation-sheet'!Y8*'Output-Calculation-sheet'!Y80</f>
        <v>204021734.24214944</v>
      </c>
      <c r="AA97" s="2">
        <f t="shared" si="8"/>
        <v>36.39875811107985</v>
      </c>
    </row>
    <row r="98" spans="1:27" x14ac:dyDescent="0.25">
      <c r="A98" s="2">
        <v>2033</v>
      </c>
      <c r="B98" s="2">
        <f>B10/'Output-Calculation-sheet'!B9*'Output-Calculation-sheet'!B81</f>
        <v>10302249257.298727</v>
      </c>
      <c r="C98" s="2">
        <f>C10/'Output-Calculation-sheet'!C9*'Output-Calculation-sheet'!C81</f>
        <v>2385600452.0732274</v>
      </c>
      <c r="D98" s="2">
        <f>D10/'Output-Calculation-sheet'!D9*'Output-Calculation-sheet'!D81</f>
        <v>1716185547.7532089</v>
      </c>
      <c r="E98" s="2">
        <f>E10/'Output-Calculation-sheet'!E9*'Output-Calculation-sheet'!E81</f>
        <v>8101058334.1182642</v>
      </c>
      <c r="F98" s="2">
        <f>F10/'Output-Calculation-sheet'!F9*'Output-Calculation-sheet'!F81</f>
        <v>2087243009.6174545</v>
      </c>
      <c r="G98" s="2">
        <f>G10/'Output-Calculation-sheet'!G9*'Output-Calculation-sheet'!G81</f>
        <v>1219412513.3027713</v>
      </c>
      <c r="H98" s="2">
        <f>H10/'Output-Calculation-sheet'!H9*'Output-Calculation-sheet'!H81</f>
        <v>1697611139.6330624</v>
      </c>
      <c r="I98" s="2">
        <f>I10/'Output-Calculation-sheet'!I9*'Output-Calculation-sheet'!I81</f>
        <v>967453359.47503626</v>
      </c>
      <c r="J98" s="2">
        <f>J10/'Output-Calculation-sheet'!J9*'Output-Calculation-sheet'!J81</f>
        <v>713682079.60248411</v>
      </c>
      <c r="K98" s="2">
        <f>K10/'Output-Calculation-sheet'!K9*'Output-Calculation-sheet'!K81</f>
        <v>864234093.2720722</v>
      </c>
      <c r="L98" s="2">
        <f>L10/'Output-Calculation-sheet'!L9*'Output-Calculation-sheet'!L81</f>
        <v>885755415.81755328</v>
      </c>
      <c r="M98" s="2">
        <f>M10/'Output-Calculation-sheet'!M9*'Output-Calculation-sheet'!M81</f>
        <v>1372607291.0706184</v>
      </c>
      <c r="N98" s="2">
        <f>N10/'Output-Calculation-sheet'!N9*'Output-Calculation-sheet'!N81</f>
        <v>834153072.73034513</v>
      </c>
      <c r="O98" s="2">
        <f>O10/'Output-Calculation-sheet'!O9*'Output-Calculation-sheet'!O81</f>
        <v>307660279.27707982</v>
      </c>
      <c r="P98" s="2">
        <f>P10/'Output-Calculation-sheet'!P9*'Output-Calculation-sheet'!P81</f>
        <v>1526315886.0537381</v>
      </c>
      <c r="Q98" s="2">
        <f>Q10/'Output-Calculation-sheet'!Q9*'Output-Calculation-sheet'!Q81</f>
        <v>678191574.73216832</v>
      </c>
      <c r="R98" s="2">
        <f>R10/'Output-Calculation-sheet'!R9*'Output-Calculation-sheet'!R81</f>
        <v>915407726.79663694</v>
      </c>
      <c r="S98" s="2">
        <f>S10/'Output-Calculation-sheet'!S9*'Output-Calculation-sheet'!S81</f>
        <v>502740787.67747378</v>
      </c>
      <c r="T98" s="2">
        <f>T10/'Output-Calculation-sheet'!T9*'Output-Calculation-sheet'!T81</f>
        <v>283250760.33097446</v>
      </c>
      <c r="U98" s="2">
        <f>U10/'Output-Calculation-sheet'!U9*'Output-Calculation-sheet'!U81</f>
        <v>227600657.26936984</v>
      </c>
      <c r="V98" s="2">
        <f>V10/'Output-Calculation-sheet'!V9*'Output-Calculation-sheet'!V81</f>
        <v>105708228.39852342</v>
      </c>
      <c r="W98" s="2">
        <f>W10/'Output-Calculation-sheet'!W9*'Output-Calculation-sheet'!W81</f>
        <v>326903146.12001419</v>
      </c>
      <c r="X98" s="2">
        <f>X10/'Output-Calculation-sheet'!X9*'Output-Calculation-sheet'!X81</f>
        <v>171373782.0189701</v>
      </c>
      <c r="Y98" s="2">
        <f>Y10/'Output-Calculation-sheet'!Y9*'Output-Calculation-sheet'!Y81</f>
        <v>213356636.09715858</v>
      </c>
      <c r="AA98" s="2">
        <f t="shared" si="8"/>
        <v>38.40575503053693</v>
      </c>
    </row>
    <row r="99" spans="1:27" x14ac:dyDescent="0.25">
      <c r="A99" s="2">
        <v>2034</v>
      </c>
      <c r="B99" s="2">
        <f>B11/'Output-Calculation-sheet'!B10*'Output-Calculation-sheet'!B82</f>
        <v>9960148812.720911</v>
      </c>
      <c r="C99" s="2">
        <f>C11/'Output-Calculation-sheet'!C10*'Output-Calculation-sheet'!C82</f>
        <v>2267261053.7502613</v>
      </c>
      <c r="D99" s="2">
        <f>D11/'Output-Calculation-sheet'!D10*'Output-Calculation-sheet'!D82</f>
        <v>1537942177.1049244</v>
      </c>
      <c r="E99" s="2">
        <f>E11/'Output-Calculation-sheet'!E10*'Output-Calculation-sheet'!E82</f>
        <v>8117003547.8220978</v>
      </c>
      <c r="F99" s="2">
        <f>F11/'Output-Calculation-sheet'!F10*'Output-Calculation-sheet'!F82</f>
        <v>1964770931.1003056</v>
      </c>
      <c r="G99" s="2">
        <f>G11/'Output-Calculation-sheet'!G10*'Output-Calculation-sheet'!G82</f>
        <v>1093515536.8894892</v>
      </c>
      <c r="H99" s="2">
        <f>H11/'Output-Calculation-sheet'!H10*'Output-Calculation-sheet'!H82</f>
        <v>1618120461.2089801</v>
      </c>
      <c r="I99" s="2">
        <f>I11/'Output-Calculation-sheet'!I10*'Output-Calculation-sheet'!I82</f>
        <v>914974100.24661613</v>
      </c>
      <c r="J99" s="2">
        <f>J11/'Output-Calculation-sheet'!J10*'Output-Calculation-sheet'!J82</f>
        <v>667009745.37228215</v>
      </c>
      <c r="K99" s="2">
        <f>K11/'Output-Calculation-sheet'!K10*'Output-Calculation-sheet'!K82</f>
        <v>791978104.96613967</v>
      </c>
      <c r="L99" s="2">
        <f>L11/'Output-Calculation-sheet'!L10*'Output-Calculation-sheet'!L82</f>
        <v>862139043.55313623</v>
      </c>
      <c r="M99" s="2">
        <f>M11/'Output-Calculation-sheet'!M10*'Output-Calculation-sheet'!M82</f>
        <v>1343947556.3073132</v>
      </c>
      <c r="N99" s="2">
        <f>N11/'Output-Calculation-sheet'!N10*'Output-Calculation-sheet'!N82</f>
        <v>790738823.6884706</v>
      </c>
      <c r="O99" s="2">
        <f>O11/'Output-Calculation-sheet'!O10*'Output-Calculation-sheet'!O82</f>
        <v>289803953.75282568</v>
      </c>
      <c r="P99" s="2">
        <f>P11/'Output-Calculation-sheet'!P10*'Output-Calculation-sheet'!P82</f>
        <v>1400811981.9471555</v>
      </c>
      <c r="Q99" s="2">
        <f>Q11/'Output-Calculation-sheet'!Q10*'Output-Calculation-sheet'!Q82</f>
        <v>644356966.68100655</v>
      </c>
      <c r="R99" s="2">
        <f>R11/'Output-Calculation-sheet'!R10*'Output-Calculation-sheet'!R82</f>
        <v>874055010.02464747</v>
      </c>
      <c r="S99" s="2">
        <f>S11/'Output-Calculation-sheet'!S10*'Output-Calculation-sheet'!S82</f>
        <v>473663305.03233027</v>
      </c>
      <c r="T99" s="2">
        <f>T11/'Output-Calculation-sheet'!T10*'Output-Calculation-sheet'!T82</f>
        <v>257928412.76284626</v>
      </c>
      <c r="U99" s="2">
        <f>U11/'Output-Calculation-sheet'!U10*'Output-Calculation-sheet'!U82</f>
        <v>209034368.02901018</v>
      </c>
      <c r="V99" s="2">
        <f>V11/'Output-Calculation-sheet'!V10*'Output-Calculation-sheet'!V82</f>
        <v>97916029.557159543</v>
      </c>
      <c r="W99" s="2">
        <f>W11/'Output-Calculation-sheet'!W10*'Output-Calculation-sheet'!W82</f>
        <v>300993765.3069998</v>
      </c>
      <c r="X99" s="2">
        <f>X11/'Output-Calculation-sheet'!X10*'Output-Calculation-sheet'!X82</f>
        <v>172029620.88879052</v>
      </c>
      <c r="Y99" s="2">
        <f>Y11/'Output-Calculation-sheet'!Y10*'Output-Calculation-sheet'!Y82</f>
        <v>202027655.99078482</v>
      </c>
      <c r="AA99" s="2">
        <f t="shared" si="8"/>
        <v>36.852170964704484</v>
      </c>
    </row>
    <row r="100" spans="1:27" x14ac:dyDescent="0.25">
      <c r="A100" s="2">
        <v>2035</v>
      </c>
      <c r="B100" s="2">
        <f>B12/'Output-Calculation-sheet'!B11*'Output-Calculation-sheet'!B83</f>
        <v>8793045968.9933968</v>
      </c>
      <c r="C100" s="2">
        <f>C12/'Output-Calculation-sheet'!C11*'Output-Calculation-sheet'!C83</f>
        <v>1973188668.3593705</v>
      </c>
      <c r="D100" s="2">
        <f>D12/'Output-Calculation-sheet'!D11*'Output-Calculation-sheet'!D83</f>
        <v>1263985738.5455556</v>
      </c>
      <c r="E100" s="2">
        <f>E12/'Output-Calculation-sheet'!E11*'Output-Calculation-sheet'!E83</f>
        <v>7432962980.4128599</v>
      </c>
      <c r="F100" s="2">
        <f>F12/'Output-Calculation-sheet'!F11*'Output-Calculation-sheet'!F83</f>
        <v>1691088346.3205342</v>
      </c>
      <c r="G100" s="2">
        <f>G12/'Output-Calculation-sheet'!G11*'Output-Calculation-sheet'!G83</f>
        <v>896223159.76789737</v>
      </c>
      <c r="H100" s="2">
        <f>H12/'Output-Calculation-sheet'!H11*'Output-Calculation-sheet'!H83</f>
        <v>1408330592.9617608</v>
      </c>
      <c r="I100" s="2">
        <f>I12/'Output-Calculation-sheet'!I11*'Output-Calculation-sheet'!I83</f>
        <v>792535732.71905875</v>
      </c>
      <c r="J100" s="2">
        <f>J12/'Output-Calculation-sheet'!J11*'Output-Calculation-sheet'!J83</f>
        <v>571511841.60859168</v>
      </c>
      <c r="K100" s="2">
        <f>K12/'Output-Calculation-sheet'!K11*'Output-Calculation-sheet'!K83</f>
        <v>664614861.6089859</v>
      </c>
      <c r="L100" s="2">
        <f>L12/'Output-Calculation-sheet'!L11*'Output-Calculation-sheet'!L83</f>
        <v>767862314.85121286</v>
      </c>
      <c r="M100" s="2">
        <f>M12/'Output-Calculation-sheet'!M11*'Output-Calculation-sheet'!M83</f>
        <v>1204185985.1937246</v>
      </c>
      <c r="N100" s="2">
        <f>N12/'Output-Calculation-sheet'!N11*'Output-Calculation-sheet'!N83</f>
        <v>686775097.36216235</v>
      </c>
      <c r="O100" s="2">
        <f>O12/'Output-Calculation-sheet'!O11*'Output-Calculation-sheet'!O83</f>
        <v>250445286.58014217</v>
      </c>
      <c r="P100" s="2">
        <f>P12/'Output-Calculation-sheet'!P11*'Output-Calculation-sheet'!P83</f>
        <v>1169216587.0341792</v>
      </c>
      <c r="Q100" s="2">
        <f>Q12/'Output-Calculation-sheet'!Q11*'Output-Calculation-sheet'!Q83</f>
        <v>560639269.92276466</v>
      </c>
      <c r="R100" s="2">
        <f>R12/'Output-Calculation-sheet'!R11*'Output-Calculation-sheet'!R83</f>
        <v>762511129.4601475</v>
      </c>
      <c r="S100" s="2">
        <f>S12/'Output-Calculation-sheet'!S11*'Output-Calculation-sheet'!S83</f>
        <v>407751558.33030212</v>
      </c>
      <c r="T100" s="2">
        <f>T12/'Output-Calculation-sheet'!T11*'Output-Calculation-sheet'!T83</f>
        <v>214763144.53910309</v>
      </c>
      <c r="U100" s="2">
        <f>U12/'Output-Calculation-sheet'!U11*'Output-Calculation-sheet'!U83</f>
        <v>175323730.51569328</v>
      </c>
      <c r="V100" s="2">
        <f>V12/'Output-Calculation-sheet'!V11*'Output-Calculation-sheet'!V83</f>
        <v>82940013.535224125</v>
      </c>
      <c r="W100" s="2">
        <f>W12/'Output-Calculation-sheet'!W11*'Output-Calculation-sheet'!W83</f>
        <v>252195394.63913229</v>
      </c>
      <c r="X100" s="2">
        <f>X12/'Output-Calculation-sheet'!X11*'Output-Calculation-sheet'!X83</f>
        <v>158154236.38453272</v>
      </c>
      <c r="Y100" s="2">
        <f>Y12/'Output-Calculation-sheet'!Y11*'Output-Calculation-sheet'!Y83</f>
        <v>174334082.35743958</v>
      </c>
      <c r="AA100" s="2">
        <f t="shared" si="8"/>
        <v>32.354585722003783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1344.0368208959196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326.38626986300005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31.231171014088297</v>
      </c>
      <c r="Y107" s="2">
        <f>Y8/'Output-Calculation-sheet'!Y7*'Output-Calculation-sheet'!Y88</f>
        <v>0</v>
      </c>
      <c r="AA107" s="2">
        <f t="shared" si="9"/>
        <v>1.7016542617730079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2445.9010448744402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475.1706239467099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40.596439785189865</v>
      </c>
      <c r="Y108" s="2">
        <f>Y9/'Output-Calculation-sheet'!Y8*'Output-Calculation-sheet'!Y89</f>
        <v>0</v>
      </c>
      <c r="AA108" s="2">
        <f t="shared" si="9"/>
        <v>2.9616681086063399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594.45476732162706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3.6938623837963203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723.8414669235658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4.1969810673880481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2391.5108487800371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86.444025602342023</v>
      </c>
      <c r="Y111" s="2">
        <f>Y12/'Output-Calculation-sheet'!Y11*'Output-Calculation-sheet'!Y92</f>
        <v>0</v>
      </c>
      <c r="AA111" s="2">
        <f t="shared" si="9"/>
        <v>3.2522950741296888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11124117117.161119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6922833219.9378195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4776168533.1265001</v>
      </c>
      <c r="N118" s="2">
        <f>N8/'Output-Calculation-sheet'!N7*'Output-Calculation-sheet'!N97</f>
        <v>1601895599.5463412</v>
      </c>
      <c r="O118" s="2">
        <f>O8/'Output-Calculation-sheet'!O7*'Output-Calculation-sheet'!O97</f>
        <v>1535846622.4935136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479445794.49713713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260064293.23214874</v>
      </c>
      <c r="Y118" s="2">
        <f>Y8/'Output-Calculation-sheet'!Y7*'Output-Calculation-sheet'!Y97</f>
        <v>0</v>
      </c>
      <c r="AA118" s="2">
        <f t="shared" si="10"/>
        <v>28047.644076688801</v>
      </c>
    </row>
    <row r="119" spans="1:27" x14ac:dyDescent="0.25">
      <c r="A119" s="2">
        <v>2032</v>
      </c>
      <c r="B119" s="2">
        <f>B9/'Output-Calculation-sheet'!B8*'Output-Calculation-sheet'!B98</f>
        <v>5753728251.8080015</v>
      </c>
      <c r="C119" s="2">
        <f>C9/'Output-Calculation-sheet'!C8*'Output-Calculation-sheet'!C98</f>
        <v>8489286893.177906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8998825728.6818829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6208403403.9345903</v>
      </c>
      <c r="N119" s="2">
        <f>N9/'Output-Calculation-sheet'!N8*'Output-Calculation-sheet'!N98</f>
        <v>2921566153.5074449</v>
      </c>
      <c r="O119" s="2">
        <f>O9/'Output-Calculation-sheet'!O8*'Output-Calculation-sheet'!O98</f>
        <v>1637198180.863009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875265202.20092845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341450539.20593965</v>
      </c>
      <c r="Y119" s="2">
        <f>Y9/'Output-Calculation-sheet'!Y8*'Output-Calculation-sheet'!Y98</f>
        <v>0</v>
      </c>
      <c r="AA119" s="2">
        <f t="shared" si="10"/>
        <v>35225.724353379708</v>
      </c>
    </row>
    <row r="120" spans="1:27" x14ac:dyDescent="0.25">
      <c r="A120" s="2">
        <v>2033</v>
      </c>
      <c r="B120" s="2">
        <f>B10/'Output-Calculation-sheet'!B9*'Output-Calculation-sheet'!B99</f>
        <v>14155717527.33567</v>
      </c>
      <c r="C120" s="2">
        <f>C10/'Output-Calculation-sheet'!C9*'Output-Calculation-sheet'!C99</f>
        <v>8207202687.85923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4250042944.5891376</v>
      </c>
      <c r="O120" s="2">
        <f>O10/'Output-Calculation-sheet'!O9*'Output-Calculation-sheet'!O99</f>
        <v>1575311137.9959209</v>
      </c>
      <c r="P120" s="2">
        <f>P10/'Output-Calculation-sheet'!P9*'Output-Calculation-sheet'!P99</f>
        <v>0</v>
      </c>
      <c r="Q120" s="2">
        <f>Q10/'Output-Calculation-sheet'!Q9*'Output-Calculation-sheet'!Q99</f>
        <v>136937210.15592328</v>
      </c>
      <c r="R120" s="2">
        <f>R10/'Output-Calculation-sheet'!R9*'Output-Calculation-sheet'!R99</f>
        <v>0</v>
      </c>
      <c r="S120" s="2">
        <f>S10/'Output-Calculation-sheet'!S9*'Output-Calculation-sheet'!S99</f>
        <v>1714358302.280092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466220384.95785189</v>
      </c>
      <c r="Y120" s="2">
        <f>Y10/'Output-Calculation-sheet'!Y9*'Output-Calculation-sheet'!Y99</f>
        <v>0</v>
      </c>
      <c r="AA120" s="2">
        <f t="shared" si="10"/>
        <v>48262.771093293944</v>
      </c>
    </row>
    <row r="121" spans="1:27" x14ac:dyDescent="0.25">
      <c r="A121" s="2">
        <v>2034</v>
      </c>
      <c r="B121" s="2">
        <f>B11/'Output-Calculation-sheet'!B10*'Output-Calculation-sheet'!B100</f>
        <v>28807008827.39859</v>
      </c>
      <c r="C121" s="2">
        <f>C11/'Output-Calculation-sheet'!C10*'Output-Calculation-sheet'!C100</f>
        <v>7425765589.9732885</v>
      </c>
      <c r="D121" s="2">
        <f>D11/'Output-Calculation-sheet'!D10*'Output-Calculation-sheet'!D100</f>
        <v>0</v>
      </c>
      <c r="E121" s="2">
        <f>E11/'Output-Calculation-sheet'!E10*'Output-Calculation-sheet'!E100</f>
        <v>610415229.37508619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10943079890.279034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511753508.36945927</v>
      </c>
      <c r="M121" s="2">
        <f>M11/'Output-Calculation-sheet'!M10*'Output-Calculation-sheet'!M100</f>
        <v>7723976371.8941097</v>
      </c>
      <c r="N121" s="2">
        <f>N11/'Output-Calculation-sheet'!N10*'Output-Calculation-sheet'!N100</f>
        <v>5335092704.1826</v>
      </c>
      <c r="O121" s="2">
        <f>O11/'Output-Calculation-sheet'!O10*'Output-Calculation-sheet'!O100</f>
        <v>792986344.71361828</v>
      </c>
      <c r="P121" s="2">
        <f>P11/'Output-Calculation-sheet'!P10*'Output-Calculation-sheet'!P100</f>
        <v>0</v>
      </c>
      <c r="Q121" s="2">
        <f>Q11/'Output-Calculation-sheet'!Q10*'Output-Calculation-sheet'!Q100</f>
        <v>895817830.49527812</v>
      </c>
      <c r="R121" s="2">
        <f>R11/'Output-Calculation-sheet'!R10*'Output-Calculation-sheet'!R100</f>
        <v>0</v>
      </c>
      <c r="S121" s="2">
        <f>S11/'Output-Calculation-sheet'!S10*'Output-Calculation-sheet'!S100</f>
        <v>2466399736.5805321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33396935.839085493</v>
      </c>
      <c r="AA121" s="2">
        <f t="shared" si="10"/>
        <v>65915.725093156245</v>
      </c>
    </row>
    <row r="122" spans="1:27" x14ac:dyDescent="0.25">
      <c r="A122" s="2">
        <v>2035</v>
      </c>
      <c r="B122" s="2">
        <f>B12/'Output-Calculation-sheet'!B11*'Output-Calculation-sheet'!B101</f>
        <v>26601483071.318996</v>
      </c>
      <c r="C122" s="2">
        <f>C12/'Output-Calculation-sheet'!C11*'Output-Calculation-sheet'!C101</f>
        <v>11062231938.518959</v>
      </c>
      <c r="D122" s="2">
        <f>D12/'Output-Calculation-sheet'!D11*'Output-Calculation-sheet'!D101</f>
        <v>0</v>
      </c>
      <c r="E122" s="2">
        <f>E12/'Output-Calculation-sheet'!E11*'Output-Calculation-sheet'!E101</f>
        <v>2166901936.0426364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9590878531.8195419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1097848903.8091917</v>
      </c>
      <c r="M122" s="2">
        <f>M12/'Output-Calculation-sheet'!M11*'Output-Calculation-sheet'!M101</f>
        <v>6861714855.9186049</v>
      </c>
      <c r="N122" s="2">
        <f>N12/'Output-Calculation-sheet'!N11*'Output-Calculation-sheet'!N101</f>
        <v>4872856866.7905178</v>
      </c>
      <c r="O122" s="2">
        <f>O12/'Output-Calculation-sheet'!O11*'Output-Calculation-sheet'!O101</f>
        <v>31415726.074849386</v>
      </c>
      <c r="P122" s="2">
        <f>P12/'Output-Calculation-sheet'!P11*'Output-Calculation-sheet'!P101</f>
        <v>208234206.01952016</v>
      </c>
      <c r="Q122" s="2">
        <f>Q12/'Output-Calculation-sheet'!Q11*'Output-Calculation-sheet'!Q101</f>
        <v>937962850.3465395</v>
      </c>
      <c r="R122" s="2">
        <f>R12/'Output-Calculation-sheet'!R11*'Output-Calculation-sheet'!R101</f>
        <v>0</v>
      </c>
      <c r="S122" s="2">
        <f>S12/'Output-Calculation-sheet'!S11*'Output-Calculation-sheet'!S101</f>
        <v>2312689725.9236774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83959040.528695479</v>
      </c>
      <c r="Y122" s="2">
        <f>Y12/'Output-Calculation-sheet'!Y11*'Output-Calculation-sheet'!Y101</f>
        <v>49522991.869768605</v>
      </c>
      <c r="AA122" s="2">
        <f t="shared" si="10"/>
        <v>65877.700644981494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3086701945.5426459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2205698192.3298683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145358.31348594811</v>
      </c>
    </row>
    <row r="130" spans="1:27" x14ac:dyDescent="0.25">
      <c r="A130" s="2">
        <v>2032</v>
      </c>
      <c r="B130" s="2">
        <f>B9/'Output-Calculation-sheet'!B8*'Output-Calculation-sheet'!B107</f>
        <v>55462699031.230423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3172493764.6669259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2614884758.7701287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183852.26565266933</v>
      </c>
    </row>
    <row r="131" spans="1:27" x14ac:dyDescent="0.25">
      <c r="A131" s="2">
        <v>2033</v>
      </c>
      <c r="B131" s="2">
        <f>B10/'Output-Calculation-sheet'!B9*'Output-Calculation-sheet'!B108</f>
        <v>57318218255.536423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2865157747.4239359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6236585613.5849419</v>
      </c>
      <c r="R131" s="2">
        <f>R10/'Output-Calculation-sheet'!R9*'Output-Calculation-sheet'!R108</f>
        <v>6131403664.8127995</v>
      </c>
      <c r="S131" s="2">
        <f>S10/'Output-Calculation-sheet'!S9*'Output-Calculation-sheet'!S108</f>
        <v>2360578120.1902981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205560.9772417265</v>
      </c>
    </row>
    <row r="132" spans="1:27" x14ac:dyDescent="0.25">
      <c r="A132" s="2">
        <v>2034</v>
      </c>
      <c r="B132" s="2">
        <f>B11/'Output-Calculation-sheet'!B10*'Output-Calculation-sheet'!B109</f>
        <v>46719153079.148293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24766571152.213463</v>
      </c>
      <c r="F132" s="2">
        <f>F11/'Output-Calculation-sheet'!F10*'Output-Calculation-sheet'!F109</f>
        <v>16336880852.506899</v>
      </c>
      <c r="G132" s="2">
        <f>G11/'Output-Calculation-sheet'!G10*'Output-Calculation-sheet'!G109</f>
        <v>11446618732.507168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10178768593.760284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7575505286.329402</v>
      </c>
      <c r="M132" s="2">
        <f>M11/'Output-Calculation-sheet'!M10*'Output-Calculation-sheet'!M109</f>
        <v>4.1762116766550525E-9</v>
      </c>
      <c r="N132" s="2">
        <f>N11/'Output-Calculation-sheet'!N10*'Output-Calculation-sheet'!N109</f>
        <v>2245954307.5271354</v>
      </c>
      <c r="O132" s="2">
        <f>O11/'Output-Calculation-sheet'!O10*'Output-Calculation-sheet'!O109</f>
        <v>0</v>
      </c>
      <c r="P132" s="2">
        <f>P11/'Output-Calculation-sheet'!P10*'Output-Calculation-sheet'!P109</f>
        <v>6901606433.4108973</v>
      </c>
      <c r="Q132" s="2">
        <f>Q11/'Output-Calculation-sheet'!Q10*'Output-Calculation-sheet'!Q109</f>
        <v>5679287856.7834492</v>
      </c>
      <c r="R132" s="2">
        <f>R11/'Output-Calculation-sheet'!R10*'Output-Calculation-sheet'!R109</f>
        <v>6532413430.8913546</v>
      </c>
      <c r="S132" s="2">
        <f>S11/'Output-Calculation-sheet'!S10*'Output-Calculation-sheet'!S109</f>
        <v>1795602000.9190001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2023668323.5276792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780210211.66994357</v>
      </c>
      <c r="AA132" s="2">
        <f t="shared" si="11"/>
        <v>200914.08085363766</v>
      </c>
    </row>
    <row r="133" spans="1:27" x14ac:dyDescent="0.25">
      <c r="A133" s="2">
        <v>2035</v>
      </c>
      <c r="B133" s="2">
        <f>B12/'Output-Calculation-sheet'!B11*'Output-Calculation-sheet'!B110</f>
        <v>39463518257.053368</v>
      </c>
      <c r="C133" s="2">
        <f>C12/'Output-Calculation-sheet'!C11*'Output-Calculation-sheet'!C110</f>
        <v>0</v>
      </c>
      <c r="D133" s="2">
        <f>D12/'Output-Calculation-sheet'!D11*'Output-Calculation-sheet'!D110</f>
        <v>27691898191.233047</v>
      </c>
      <c r="E133" s="2">
        <f>E12/'Output-Calculation-sheet'!E11*'Output-Calculation-sheet'!E110</f>
        <v>21483425477.431152</v>
      </c>
      <c r="F133" s="2">
        <f>F12/'Output-Calculation-sheet'!F11*'Output-Calculation-sheet'!F110</f>
        <v>14658980232.972944</v>
      </c>
      <c r="G133" s="2">
        <f>G12/'Output-Calculation-sheet'!G11*'Output-Calculation-sheet'!G110</f>
        <v>9926274987.2384167</v>
      </c>
      <c r="H133" s="2">
        <f>H12/'Output-Calculation-sheet'!H11*'Output-Calculation-sheet'!H110</f>
        <v>0</v>
      </c>
      <c r="I133" s="2">
        <f>I12/'Output-Calculation-sheet'!I11*'Output-Calculation-sheet'!I110</f>
        <v>9104923241.2654819</v>
      </c>
      <c r="J133" s="2">
        <f>J12/'Output-Calculation-sheet'!J11*'Output-Calculation-sheet'!J110</f>
        <v>9115088266.1348305</v>
      </c>
      <c r="K133" s="2">
        <f>K12/'Output-Calculation-sheet'!K11*'Output-Calculation-sheet'!K110</f>
        <v>8944011944.8074207</v>
      </c>
      <c r="L133" s="2">
        <f>L12/'Output-Calculation-sheet'!L11*'Output-Calculation-sheet'!L110</f>
        <v>6429141718.5513382</v>
      </c>
      <c r="M133" s="2">
        <f>M12/'Output-Calculation-sheet'!M11*'Output-Calculation-sheet'!M110</f>
        <v>0</v>
      </c>
      <c r="N133" s="2">
        <f>N12/'Output-Calculation-sheet'!N11*'Output-Calculation-sheet'!N110</f>
        <v>1868355235.7561598</v>
      </c>
      <c r="O133" s="2">
        <f>O12/'Output-Calculation-sheet'!O11*'Output-Calculation-sheet'!O110</f>
        <v>0</v>
      </c>
      <c r="P133" s="2">
        <f>P12/'Output-Calculation-sheet'!P11*'Output-Calculation-sheet'!P110</f>
        <v>6021337893.0330982</v>
      </c>
      <c r="Q133" s="2">
        <f>Q12/'Output-Calculation-sheet'!Q11*'Output-Calculation-sheet'!Q110</f>
        <v>4809826997.6335564</v>
      </c>
      <c r="R133" s="2">
        <f>R12/'Output-Calculation-sheet'!R11*'Output-Calculation-sheet'!R110</f>
        <v>5953594938.5618916</v>
      </c>
      <c r="S133" s="2">
        <f>S12/'Output-Calculation-sheet'!S11*'Output-Calculation-sheet'!S110</f>
        <v>1434970397.5925651</v>
      </c>
      <c r="T133" s="2">
        <f>T12/'Output-Calculation-sheet'!T11*'Output-Calculation-sheet'!T110</f>
        <v>2225112636.8412509</v>
      </c>
      <c r="U133" s="2">
        <f>U12/'Output-Calculation-sheet'!U11*'Output-Calculation-sheet'!U110</f>
        <v>1758049070.6087537</v>
      </c>
      <c r="V133" s="2">
        <f>V12/'Output-Calculation-sheet'!V11*'Output-Calculation-sheet'!V110</f>
        <v>1530981587.5154374</v>
      </c>
      <c r="W133" s="2">
        <f>W12/'Output-Calculation-sheet'!W11*'Output-Calculation-sheet'!W110</f>
        <v>1289267401.5978956</v>
      </c>
      <c r="X133" s="2">
        <f>X12/'Output-Calculation-sheet'!X11*'Output-Calculation-sheet'!X110</f>
        <v>601724.42975474393</v>
      </c>
      <c r="Y133" s="2">
        <f>Y12/'Output-Calculation-sheet'!Y11*'Output-Calculation-sheet'!Y110</f>
        <v>679074902.80715537</v>
      </c>
      <c r="AA133" s="2">
        <f t="shared" si="11"/>
        <v>174388.43510306551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11068422500.456266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2776299258.8997455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257294554.80276617</v>
      </c>
      <c r="Y140" s="2">
        <f>Y8/'Output-Calculation-sheet'!Y7*'Output-Calculation-sheet'!Y115</f>
        <v>0</v>
      </c>
      <c r="AA140" s="2">
        <f t="shared" si="12"/>
        <v>14102.01631415878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20358908863.067997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3967987670.1989999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331007342.32312036</v>
      </c>
      <c r="Y141" s="2">
        <f>Y9/'Output-Calculation-sheet'!Y8*'Output-Calculation-sheet'!Y116</f>
        <v>0</v>
      </c>
      <c r="AA141" s="2">
        <f t="shared" si="12"/>
        <v>24657.90387559012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25476116673.180466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4969347629.7219458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318923077.62854892</v>
      </c>
      <c r="Y142" s="2">
        <f>Y10/'Output-Calculation-sheet'!Y9*'Output-Calculation-sheet'!Y117</f>
        <v>0</v>
      </c>
      <c r="AA142" s="2">
        <f t="shared" si="12"/>
        <v>30764.387380530959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28461663819.978943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6180134943.247076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35108.322862702138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19656769776.457493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6776918160.281991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728493313.39975035</v>
      </c>
      <c r="Y144" s="2">
        <f>Y12/'Output-Calculation-sheet'!Y11*'Output-Calculation-sheet'!Y119</f>
        <v>0</v>
      </c>
      <c r="AA144" s="2">
        <f t="shared" si="12"/>
        <v>27162.181250139234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11620792403.093395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1675504155.0850542</v>
      </c>
      <c r="H154" s="2">
        <f>H11/'Output-Calculation-sheet'!H10*'Output-Calculation-sheet'!H127</f>
        <v>1907208149.4002252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1214371126.1548245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712360571.68979239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377335622.83820921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44817.322444598081</v>
      </c>
    </row>
    <row r="155" spans="1:27" x14ac:dyDescent="0.25">
      <c r="A155" s="2">
        <v>2035</v>
      </c>
      <c r="B155" s="2">
        <f>B12/'Output-Calculation-sheet'!B11*'Output-Calculation-sheet'!B128</f>
        <v>9855983822.9727879</v>
      </c>
      <c r="C155" s="2">
        <f>C12/'Output-Calculation-sheet'!C11*'Output-Calculation-sheet'!C128</f>
        <v>4708277493.4132824</v>
      </c>
      <c r="D155" s="2">
        <f>D12/'Output-Calculation-sheet'!D11*'Output-Calculation-sheet'!D128</f>
        <v>3782708416.4774108</v>
      </c>
      <c r="E155" s="2">
        <f>E12/'Output-Calculation-sheet'!E11*'Output-Calculation-sheet'!E128</f>
        <v>1860107057.7354839</v>
      </c>
      <c r="F155" s="2">
        <f>F12/'Output-Calculation-sheet'!F11*'Output-Calculation-sheet'!F128</f>
        <v>1518916248.6685247</v>
      </c>
      <c r="G155" s="2">
        <f>G12/'Output-Calculation-sheet'!G11*'Output-Calculation-sheet'!G128</f>
        <v>1443917399.6824632</v>
      </c>
      <c r="H155" s="2">
        <f>H12/'Output-Calculation-sheet'!H11*'Output-Calculation-sheet'!H128</f>
        <v>1617240336.6863129</v>
      </c>
      <c r="I155" s="2">
        <f>I12/'Output-Calculation-sheet'!I11*'Output-Calculation-sheet'!I128</f>
        <v>1242807828.7807229</v>
      </c>
      <c r="J155" s="2">
        <f>J12/'Output-Calculation-sheet'!J11*'Output-Calculation-sheet'!J128</f>
        <v>904746678.80290306</v>
      </c>
      <c r="K155" s="2">
        <f>K12/'Output-Calculation-sheet'!K11*'Output-Calculation-sheet'!K128</f>
        <v>999962562.2510891</v>
      </c>
      <c r="L155" s="2">
        <f>L12/'Output-Calculation-sheet'!L11*'Output-Calculation-sheet'!L128</f>
        <v>435339421.45409727</v>
      </c>
      <c r="M155" s="2">
        <f>M12/'Output-Calculation-sheet'!M11*'Output-Calculation-sheet'!M128</f>
        <v>863687777.32288599</v>
      </c>
      <c r="N155" s="2">
        <f>N12/'Output-Calculation-sheet'!N11*'Output-Calculation-sheet'!N128</f>
        <v>761109041.8413167</v>
      </c>
      <c r="O155" s="2">
        <f>O12/'Output-Calculation-sheet'!O11*'Output-Calculation-sheet'!O128</f>
        <v>12473568.051597025</v>
      </c>
      <c r="P155" s="2">
        <f>P12/'Output-Calculation-sheet'!P11*'Output-Calculation-sheet'!P128</f>
        <v>663121694.30462551</v>
      </c>
      <c r="Q155" s="2">
        <f>Q12/'Output-Calculation-sheet'!Q11*'Output-Calculation-sheet'!Q128</f>
        <v>998419911.56240749</v>
      </c>
      <c r="R155" s="2">
        <f>R12/'Output-Calculation-sheet'!R11*'Output-Calculation-sheet'!R128</f>
        <v>511167164.01448035</v>
      </c>
      <c r="S155" s="2">
        <f>S12/'Output-Calculation-sheet'!S11*'Output-Calculation-sheet'!S128</f>
        <v>566208321.85412312</v>
      </c>
      <c r="T155" s="2">
        <f>T12/'Output-Calculation-sheet'!T11*'Output-Calculation-sheet'!T128</f>
        <v>139258438.68683541</v>
      </c>
      <c r="U155" s="2">
        <f>U12/'Output-Calculation-sheet'!U11*'Output-Calculation-sheet'!U128</f>
        <v>322739341.91081715</v>
      </c>
      <c r="V155" s="2">
        <f>V12/'Output-Calculation-sheet'!V11*'Output-Calculation-sheet'!V128</f>
        <v>48153030.177007996</v>
      </c>
      <c r="W155" s="2">
        <f>W12/'Output-Calculation-sheet'!W11*'Output-Calculation-sheet'!W128</f>
        <v>97081368.557907969</v>
      </c>
      <c r="X155" s="2">
        <f>X12/'Output-Calculation-sheet'!X11*'Output-Calculation-sheet'!X128</f>
        <v>6864669.2251113122</v>
      </c>
      <c r="Y155" s="2">
        <f>Y12/'Output-Calculation-sheet'!Y11*'Output-Calculation-sheet'!Y128</f>
        <v>92216551.911190599</v>
      </c>
      <c r="AA155" s="2">
        <f t="shared" si="13"/>
        <v>33452.508146345397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7490.6664885514219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4720.2048544562067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3276.4785205973167</v>
      </c>
      <c r="N19" s="2">
        <f>N8/'Output-Calculation-sheet'!N7*'Output-Calculation-sheet'!N25</f>
        <v>1119.3327895184982</v>
      </c>
      <c r="O19" s="2">
        <f>O8/'Output-Calculation-sheet'!O7*'Output-Calculation-sheet'!O25</f>
        <v>966.81898140507258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172.97698838568346</v>
      </c>
      <c r="Y19" s="2">
        <f>Y8/'Output-Calculation-sheet'!Y7*'Output-Calculation-sheet'!Y25</f>
        <v>0</v>
      </c>
      <c r="AA19" s="2">
        <f t="shared" si="0"/>
        <v>19.197188697059662</v>
      </c>
    </row>
    <row r="20" spans="1:27" x14ac:dyDescent="0.25">
      <c r="A20" s="2">
        <v>2032</v>
      </c>
      <c r="B20" s="2">
        <f>B9/'Output-Calculation-sheet'!B8*'Output-Calculation-sheet'!B26</f>
        <v>5749.1752825999902</v>
      </c>
      <c r="C20" s="2">
        <f>C9/'Output-Calculation-sheet'!C8*'Output-Calculation-sheet'!C26</f>
        <v>5549.3248437838947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6252.749774357093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4346.3379116742481</v>
      </c>
      <c r="N20" s="2">
        <f>N9/'Output-Calculation-sheet'!N8*'Output-Calculation-sheet'!N26</f>
        <v>1957.0026295934063</v>
      </c>
      <c r="O20" s="2">
        <f>O9/'Output-Calculation-sheet'!O8*'Output-Calculation-sheet'!O26</f>
        <v>1067.6316566684138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711.41406941078583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232.22817738793151</v>
      </c>
      <c r="Y20" s="2">
        <f>Y9/'Output-Calculation-sheet'!Y8*'Output-Calculation-sheet'!Y26</f>
        <v>0</v>
      </c>
      <c r="AA20" s="2">
        <f t="shared" si="0"/>
        <v>25.865864345475767</v>
      </c>
    </row>
    <row r="21" spans="1:27" x14ac:dyDescent="0.25">
      <c r="A21" s="2">
        <v>2033</v>
      </c>
      <c r="B21" s="2">
        <f>B10/'Output-Calculation-sheet'!B9*'Output-Calculation-sheet'!B27</f>
        <v>13142.769340551889</v>
      </c>
      <c r="C21" s="2">
        <f>C10/'Output-Calculation-sheet'!C9*'Output-Calculation-sheet'!C27</f>
        <v>5461.0464739504196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7635.5567986791539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5305.6266826330802</v>
      </c>
      <c r="N21" s="2">
        <f>N10/'Output-Calculation-sheet'!N9*'Output-Calculation-sheet'!N27</f>
        <v>2897.7014778797288</v>
      </c>
      <c r="O21" s="2">
        <f>O10/'Output-Calculation-sheet'!O9*'Output-Calculation-sheet'!O27</f>
        <v>1050.2214948750284</v>
      </c>
      <c r="P21" s="2">
        <f>P10/'Output-Calculation-sheet'!P9*'Output-Calculation-sheet'!P27</f>
        <v>0</v>
      </c>
      <c r="Q21" s="2">
        <f>Q10/'Output-Calculation-sheet'!Q9*'Output-Calculation-sheet'!Q27</f>
        <v>194.20911947884454</v>
      </c>
      <c r="R21" s="2">
        <f>R10/'Output-Calculation-sheet'!R9*'Output-Calculation-sheet'!R27</f>
        <v>0</v>
      </c>
      <c r="S21" s="2">
        <f>S10/'Output-Calculation-sheet'!S9*'Output-Calculation-sheet'!S27</f>
        <v>1261.4196701125777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336.20681254127584</v>
      </c>
      <c r="Y21" s="2">
        <f>Y10/'Output-Calculation-sheet'!Y9*'Output-Calculation-sheet'!Y27</f>
        <v>0</v>
      </c>
      <c r="AA21" s="2">
        <f t="shared" si="0"/>
        <v>37.284757870701995</v>
      </c>
    </row>
    <row r="22" spans="1:27" x14ac:dyDescent="0.25">
      <c r="A22" s="2">
        <v>2034</v>
      </c>
      <c r="B22" s="2">
        <f>B11/'Output-Calculation-sheet'!B10*'Output-Calculation-sheet'!B28</f>
        <v>24041.494919233897</v>
      </c>
      <c r="C22" s="2">
        <f>C11/'Output-Calculation-sheet'!C10*'Output-Calculation-sheet'!C28</f>
        <v>5233.6973097431674</v>
      </c>
      <c r="D22" s="2">
        <f>D11/'Output-Calculation-sheet'!D10*'Output-Calculation-sheet'!D28</f>
        <v>0</v>
      </c>
      <c r="E22" s="2">
        <f>E11/'Output-Calculation-sheet'!E10*'Output-Calculation-sheet'!E28</f>
        <v>1235.2470367688982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9182.0342723883005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749.13149502430258</v>
      </c>
      <c r="M22" s="2">
        <f>M11/'Output-Calculation-sheet'!M10*'Output-Calculation-sheet'!M28</f>
        <v>6812.55682200507</v>
      </c>
      <c r="N22" s="2">
        <f>N11/'Output-Calculation-sheet'!N10*'Output-Calculation-sheet'!N28</f>
        <v>3922.8747139856673</v>
      </c>
      <c r="O22" s="2">
        <f>O11/'Output-Calculation-sheet'!O10*'Output-Calculation-sheet'!O28</f>
        <v>556.67964374487724</v>
      </c>
      <c r="P22" s="2">
        <f>P11/'Output-Calculation-sheet'!P10*'Output-Calculation-sheet'!P28</f>
        <v>0</v>
      </c>
      <c r="Q22" s="2">
        <f>Q11/'Output-Calculation-sheet'!Q10*'Output-Calculation-sheet'!Q28</f>
        <v>1132.2015029896932</v>
      </c>
      <c r="R22" s="2">
        <f>R11/'Output-Calculation-sheet'!R10*'Output-Calculation-sheet'!R28</f>
        <v>0</v>
      </c>
      <c r="S22" s="2">
        <f>S11/'Output-Calculation-sheet'!S10*'Output-Calculation-sheet'!S28</f>
        <v>1871.2641855206152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68.19004847560376</v>
      </c>
      <c r="AA22" s="2">
        <f t="shared" si="0"/>
        <v>55.08433052379646</v>
      </c>
    </row>
    <row r="23" spans="1:27" x14ac:dyDescent="0.25">
      <c r="A23" s="2">
        <v>2035</v>
      </c>
      <c r="B23" s="2">
        <f>B12/'Output-Calculation-sheet'!B11*'Output-Calculation-sheet'!B29</f>
        <v>23933.482816720785</v>
      </c>
      <c r="C23" s="2">
        <f>C12/'Output-Calculation-sheet'!C11*'Output-Calculation-sheet'!C29</f>
        <v>9000.0635238718078</v>
      </c>
      <c r="D23" s="2">
        <f>D12/'Output-Calculation-sheet'!D11*'Output-Calculation-sheet'!D29</f>
        <v>0</v>
      </c>
      <c r="E23" s="2">
        <f>E12/'Output-Calculation-sheet'!E11*'Output-Calculation-sheet'!E29</f>
        <v>4061.0904236339729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8734.0139709871801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1459.7670630065952</v>
      </c>
      <c r="M23" s="2">
        <f>M12/'Output-Calculation-sheet'!M11*'Output-Calculation-sheet'!M29</f>
        <v>6711.8301669883576</v>
      </c>
      <c r="N23" s="2">
        <f>N12/'Output-Calculation-sheet'!N11*'Output-Calculation-sheet'!N29</f>
        <v>3993.1669311145629</v>
      </c>
      <c r="O23" s="2">
        <f>O12/'Output-Calculation-sheet'!O11*'Output-Calculation-sheet'!O29</f>
        <v>24.456413433783549</v>
      </c>
      <c r="P23" s="2">
        <f>P12/'Output-Calculation-sheet'!P11*'Output-Calculation-sheet'!P29</f>
        <v>452.64863163933001</v>
      </c>
      <c r="Q23" s="2">
        <f>Q12/'Output-Calculation-sheet'!Q11*'Output-Calculation-sheet'!Q29</f>
        <v>1233.9223592958813</v>
      </c>
      <c r="R23" s="2">
        <f>R12/'Output-Calculation-sheet'!R11*'Output-Calculation-sheet'!R29</f>
        <v>0</v>
      </c>
      <c r="S23" s="2">
        <f>S12/'Output-Calculation-sheet'!S11*'Output-Calculation-sheet'!S29</f>
        <v>1907.7202560084975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65.359961990802091</v>
      </c>
      <c r="Y23" s="2">
        <f>Y12/'Output-Calculation-sheet'!Y11*'Output-Calculation-sheet'!Y29</f>
        <v>95.878551311634823</v>
      </c>
      <c r="AA23" s="2">
        <f t="shared" si="0"/>
        <v>61.673401070003194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1525.6087977712505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39.210421521887859</v>
      </c>
    </row>
    <row r="31" spans="1:27" x14ac:dyDescent="0.25">
      <c r="A31" s="2">
        <v>2032</v>
      </c>
      <c r="B31" s="2">
        <f>B9/'Output-Calculation-sheet'!B8*'Output-Calculation-sheet'!B17</f>
        <v>24343.666847893779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1667.4451083110921</v>
      </c>
      <c r="O31" s="2">
        <f>O9/'Output-Calculation-sheet'!O8*'Output-Calculation-sheet'!O17</f>
        <v>0</v>
      </c>
      <c r="P31" s="2">
        <f>P9/'Output-Calculation-sheet'!P8*'Output-Calculation-sheet'!P17</f>
        <v>2064.1829415231186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1240.1549064255312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53.013176415932129</v>
      </c>
    </row>
    <row r="32" spans="1:27" x14ac:dyDescent="0.25">
      <c r="A32" s="2">
        <v>2033</v>
      </c>
      <c r="B32" s="2">
        <f>B10/'Output-Calculation-sheet'!B9*'Output-Calculation-sheet'!B18</f>
        <v>26837.549685941245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2554.1635110016355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1636.455210630394</v>
      </c>
      <c r="O32" s="2">
        <f>O10/'Output-Calculation-sheet'!O9*'Output-Calculation-sheet'!O18</f>
        <v>0</v>
      </c>
      <c r="P32" s="2">
        <f>P10/'Output-Calculation-sheet'!P9*'Output-Calculation-sheet'!P18</f>
        <v>2628.7444061665938</v>
      </c>
      <c r="Q32" s="2">
        <f>Q10/'Output-Calculation-sheet'!Q9*'Output-Calculation-sheet'!Q18</f>
        <v>2865.8068965980615</v>
      </c>
      <c r="R32" s="2">
        <f>R10/'Output-Calculation-sheet'!R9*'Output-Calculation-sheet'!R18</f>
        <v>1887.6417167375719</v>
      </c>
      <c r="S32" s="2">
        <f>S10/'Output-Calculation-sheet'!S9*'Output-Calculation-sheet'!S18</f>
        <v>1236.2046748438358</v>
      </c>
      <c r="T32" s="2">
        <f>T10/'Output-Calculation-sheet'!T9*'Output-Calculation-sheet'!T18</f>
        <v>551.13892736023672</v>
      </c>
      <c r="U32" s="2">
        <f>U10/'Output-Calculation-sheet'!U9*'Output-Calculation-sheet'!U18</f>
        <v>609.27141938903787</v>
      </c>
      <c r="V32" s="2">
        <f>V10/'Output-Calculation-sheet'!V9*'Output-Calculation-sheet'!V18</f>
        <v>449.72926740644266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260.39631639375079</v>
      </c>
      <c r="AA32" s="2">
        <f t="shared" si="1"/>
        <v>64.431280732772038</v>
      </c>
    </row>
    <row r="33" spans="1:27" x14ac:dyDescent="0.25">
      <c r="A33" s="2">
        <v>2034</v>
      </c>
      <c r="B33" s="2">
        <f>B11/'Output-Calculation-sheet'!B10*'Output-Calculation-sheet'!B19</f>
        <v>24495.973490427779</v>
      </c>
      <c r="C33" s="2">
        <f>C11/'Output-Calculation-sheet'!C10*'Output-Calculation-sheet'!C19</f>
        <v>0</v>
      </c>
      <c r="D33" s="2">
        <f>D11/'Output-Calculation-sheet'!D10*'Output-Calculation-sheet'!D19</f>
        <v>7412.8960770152516</v>
      </c>
      <c r="E33" s="2">
        <f>E11/'Output-Calculation-sheet'!E10*'Output-Calculation-sheet'!E19</f>
        <v>9190.8112931808246</v>
      </c>
      <c r="F33" s="2">
        <f>F11/'Output-Calculation-sheet'!F10*'Output-Calculation-sheet'!F19</f>
        <v>4208.1161787460969</v>
      </c>
      <c r="G33" s="2">
        <f>G11/'Output-Calculation-sheet'!G10*'Output-Calculation-sheet'!G19</f>
        <v>2506.9631803946236</v>
      </c>
      <c r="H33" s="2">
        <f>H11/'Output-Calculation-sheet'!H10*'Output-Calculation-sheet'!H19</f>
        <v>0</v>
      </c>
      <c r="I33" s="2">
        <f>I11/'Output-Calculation-sheet'!I10*'Output-Calculation-sheet'!I19</f>
        <v>2753.758041982233</v>
      </c>
      <c r="J33" s="2">
        <f>J11/'Output-Calculation-sheet'!J10*'Output-Calculation-sheet'!J19</f>
        <v>2328.38181548698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2626.9285516260115</v>
      </c>
      <c r="M33" s="2">
        <f>M11/'Output-Calculation-sheet'!M10*'Output-Calculation-sheet'!M19</f>
        <v>0</v>
      </c>
      <c r="N33" s="2">
        <f>N11/'Output-Calculation-sheet'!N10*'Output-Calculation-sheet'!N19</f>
        <v>1483.5622681939167</v>
      </c>
      <c r="O33" s="2">
        <f>O11/'Output-Calculation-sheet'!O10*'Output-Calculation-sheet'!O19</f>
        <v>0</v>
      </c>
      <c r="P33" s="2">
        <f>P11/'Output-Calculation-sheet'!P10*'Output-Calculation-sheet'!P19</f>
        <v>3268.8774153285394</v>
      </c>
      <c r="Q33" s="2">
        <f>Q11/'Output-Calculation-sheet'!Q10*'Output-Calculation-sheet'!Q19</f>
        <v>2661.4671777668264</v>
      </c>
      <c r="R33" s="2">
        <f>R11/'Output-Calculation-sheet'!R10*'Output-Calculation-sheet'!R19</f>
        <v>2333.2246153609158</v>
      </c>
      <c r="S33" s="2">
        <f>S11/'Output-Calculation-sheet'!S10*'Output-Calculation-sheet'!S19</f>
        <v>1082.8692965747064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732.36837681377585</v>
      </c>
      <c r="V33" s="2">
        <f>V11/'Output-Calculation-sheet'!V10*'Output-Calculation-sheet'!V19</f>
        <v>536.92153532581551</v>
      </c>
      <c r="W33" s="2">
        <f>W11/'Output-Calculation-sheet'!W10*'Output-Calculation-sheet'!W19</f>
        <v>334.28132655368915</v>
      </c>
      <c r="X33" s="2">
        <f>X11/'Output-Calculation-sheet'!X10*'Output-Calculation-sheet'!X19</f>
        <v>0</v>
      </c>
      <c r="Y33" s="2">
        <f>Y11/'Output-Calculation-sheet'!Y10*'Output-Calculation-sheet'!Y19</f>
        <v>301.33106676699629</v>
      </c>
      <c r="AA33" s="2">
        <f t="shared" si="1"/>
        <v>72.173247939519541</v>
      </c>
    </row>
    <row r="34" spans="1:27" x14ac:dyDescent="0.25">
      <c r="A34" s="2">
        <v>2035</v>
      </c>
      <c r="B34" s="2">
        <f>B12/'Output-Calculation-sheet'!B11*'Output-Calculation-sheet'!B20</f>
        <v>22140.729069049587</v>
      </c>
      <c r="C34" s="2">
        <f>C12/'Output-Calculation-sheet'!C11*'Output-Calculation-sheet'!C20</f>
        <v>0</v>
      </c>
      <c r="D34" s="2">
        <f>D12/'Output-Calculation-sheet'!D11*'Output-Calculation-sheet'!D20</f>
        <v>7060.9877067654479</v>
      </c>
      <c r="E34" s="2">
        <f>E12/'Output-Calculation-sheet'!E11*'Output-Calculation-sheet'!E20</f>
        <v>7825.1844280173018</v>
      </c>
      <c r="F34" s="2">
        <f>F12/'Output-Calculation-sheet'!F11*'Output-Calculation-sheet'!F20</f>
        <v>4395.2892126644283</v>
      </c>
      <c r="G34" s="2">
        <f>G12/'Output-Calculation-sheet'!G11*'Output-Calculation-sheet'!G20</f>
        <v>2368.685116475147</v>
      </c>
      <c r="H34" s="2">
        <f>H12/'Output-Calculation-sheet'!H11*'Output-Calculation-sheet'!H20</f>
        <v>0</v>
      </c>
      <c r="I34" s="2">
        <f>I12/'Output-Calculation-sheet'!I11*'Output-Calculation-sheet'!I20</f>
        <v>2629.5235656077334</v>
      </c>
      <c r="J34" s="2">
        <f>J12/'Output-Calculation-sheet'!J11*'Output-Calculation-sheet'!J20</f>
        <v>2432.3860981565308</v>
      </c>
      <c r="K34" s="2">
        <f>K12/'Output-Calculation-sheet'!K11*'Output-Calculation-sheet'!K20</f>
        <v>3237.905552831834</v>
      </c>
      <c r="L34" s="2">
        <f>L12/'Output-Calculation-sheet'!L11*'Output-Calculation-sheet'!L20</f>
        <v>2590.547872265844</v>
      </c>
      <c r="M34" s="2">
        <f>M12/'Output-Calculation-sheet'!M11*'Output-Calculation-sheet'!M20</f>
        <v>0</v>
      </c>
      <c r="N34" s="2">
        <f>N12/'Output-Calculation-sheet'!N11*'Output-Calculation-sheet'!N20</f>
        <v>1384.7854763435903</v>
      </c>
      <c r="O34" s="2">
        <f>O12/'Output-Calculation-sheet'!O11*'Output-Calculation-sheet'!O20</f>
        <v>0</v>
      </c>
      <c r="P34" s="2">
        <f>P12/'Output-Calculation-sheet'!P11*'Output-Calculation-sheet'!P20</f>
        <v>2970.7900179958219</v>
      </c>
      <c r="Q34" s="2">
        <f>Q12/'Output-Calculation-sheet'!Q11*'Output-Calculation-sheet'!Q20</f>
        <v>2430.5139191256039</v>
      </c>
      <c r="R34" s="2">
        <f>R12/'Output-Calculation-sheet'!R11*'Output-Calculation-sheet'!R20</f>
        <v>2485.7202472783993</v>
      </c>
      <c r="S34" s="2">
        <f>S12/'Output-Calculation-sheet'!S11*'Output-Calculation-sheet'!S20</f>
        <v>958.92846080134996</v>
      </c>
      <c r="T34" s="2">
        <f>T12/'Output-Calculation-sheet'!T11*'Output-Calculation-sheet'!T20</f>
        <v>754.16714599629506</v>
      </c>
      <c r="U34" s="2">
        <f>U12/'Output-Calculation-sheet'!U11*'Output-Calculation-sheet'!U20</f>
        <v>694.12609932079795</v>
      </c>
      <c r="V34" s="2">
        <f>V12/'Output-Calculation-sheet'!V11*'Output-Calculation-sheet'!V20</f>
        <v>683.09475198636756</v>
      </c>
      <c r="W34" s="2">
        <f>W12/'Output-Calculation-sheet'!W11*'Output-Calculation-sheet'!W20</f>
        <v>370.4486526530747</v>
      </c>
      <c r="X34" s="2">
        <f>X12/'Output-Calculation-sheet'!X11*'Output-Calculation-sheet'!X20</f>
        <v>0.82185211179744799</v>
      </c>
      <c r="Y34" s="2">
        <f>Y12/'Output-Calculation-sheet'!Y11*'Output-Calculation-sheet'!Y20</f>
        <v>268.2579451920584</v>
      </c>
      <c r="AA34" s="2">
        <f t="shared" si="1"/>
        <v>67.682893190639021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0.11071578151146004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1.6698069371815706E-2</v>
      </c>
      <c r="H44" s="2">
        <f>H11/'Output-Calculation-sheet'!H10*'Output-Calculation-sheet'!H37*0.0114</f>
        <v>1.617598804782901E-2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9.5847888637595677E-3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6.2709723008794573E-3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3.0581239533560233E-3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0.16250372404909982</v>
      </c>
    </row>
    <row r="45" spans="1:27" x14ac:dyDescent="0.25">
      <c r="A45" s="2">
        <v>2035</v>
      </c>
      <c r="B45" s="2">
        <f>B12/'Output-Calculation-sheet'!B11*'Output-Calculation-sheet'!B38*0.0114</f>
        <v>0.42029331174260193</v>
      </c>
      <c r="C45" s="2">
        <f>C12/'Output-Calculation-sheet'!C11*'Output-Calculation-sheet'!C38*0.0114</f>
        <v>0.24935116701388926</v>
      </c>
      <c r="D45" s="2">
        <f>D12/'Output-Calculation-sheet'!D11*'Output-Calculation-sheet'!D38*0.0114</f>
        <v>4.4176415241665316E-2</v>
      </c>
      <c r="E45" s="2">
        <f>E12/'Output-Calculation-sheet'!E11*'Output-Calculation-sheet'!E38*0.0114</f>
        <v>0.14043403172879065</v>
      </c>
      <c r="F45" s="2">
        <f>F12/'Output-Calculation-sheet'!F11*'Output-Calculation-sheet'!F38*0.0114</f>
        <v>4.4161672242919031E-2</v>
      </c>
      <c r="G45" s="2">
        <f>G12/'Output-Calculation-sheet'!G11*'Output-Calculation-sheet'!G38*0.0114</f>
        <v>3.1694157689984327E-2</v>
      </c>
      <c r="H45" s="2">
        <f>H12/'Output-Calculation-sheet'!H11*'Output-Calculation-sheet'!H38*0.0114</f>
        <v>9.2109627388039725E-2</v>
      </c>
      <c r="I45" s="2">
        <f>I12/'Output-Calculation-sheet'!I11*'Output-Calculation-sheet'!I38*0.0114</f>
        <v>2.8506936307024E-2</v>
      </c>
      <c r="J45" s="2">
        <f>J12/'Output-Calculation-sheet'!J11*'Output-Calculation-sheet'!J38*0.0114</f>
        <v>1.4106211957907263E-2</v>
      </c>
      <c r="K45" s="2">
        <f>K12/'Output-Calculation-sheet'!K11*'Output-Calculation-sheet'!K38*0.0114</f>
        <v>2.8017780743140389E-2</v>
      </c>
      <c r="L45" s="2">
        <f>L12/'Output-Calculation-sheet'!L11*'Output-Calculation-sheet'!L38*0.0114</f>
        <v>1.1139224720571418E-2</v>
      </c>
      <c r="M45" s="2">
        <f>M12/'Output-Calculation-sheet'!M11*'Output-Calculation-sheet'!M38*0.0114</f>
        <v>5.281698975664538E-2</v>
      </c>
      <c r="N45" s="2">
        <f>N12/'Output-Calculation-sheet'!N11*'Output-Calculation-sheet'!N38*0.0114</f>
        <v>3.1146321203292211E-2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3.836497321198535E-2</v>
      </c>
      <c r="Q45" s="2">
        <f>Q12/'Output-Calculation-sheet'!Q11*'Output-Calculation-sheet'!Q38*0.0114</f>
        <v>2.7288946066958013E-2</v>
      </c>
      <c r="R45" s="2">
        <f>R12/'Output-Calculation-sheet'!R11*'Output-Calculation-sheet'!R38*0.0114</f>
        <v>1.8041422203176186E-2</v>
      </c>
      <c r="S45" s="2">
        <f>S12/'Output-Calculation-sheet'!S11*'Output-Calculation-sheet'!S38*0.0114</f>
        <v>2.3805528716878892E-2</v>
      </c>
      <c r="T45" s="2">
        <f>T12/'Output-Calculation-sheet'!T11*'Output-Calculation-sheet'!T38*0.0114</f>
        <v>3.3373232896137845E-3</v>
      </c>
      <c r="U45" s="2">
        <f>U12/'Output-Calculation-sheet'!U11*'Output-Calculation-sheet'!U38*0.0114</f>
        <v>8.7068146012838788E-3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3.8757451661143075E-3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5.591449781269661E-3</v>
      </c>
      <c r="AA45" s="2">
        <f t="shared" si="2"/>
        <v>1.3300511833065287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2893.9308945118287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6665.813875109754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4558.9078229033857</v>
      </c>
      <c r="N52" s="2">
        <f>N8/'Output-Calculation-sheet'!N7*'Output-Calculation-sheet'!N43</f>
        <v>144.00842021840728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30.825237182738817</v>
      </c>
      <c r="Y52" s="2">
        <f>Y8/'Output-Calculation-sheet'!Y7*'Output-Calculation-sheet'!Y43</f>
        <v>0</v>
      </c>
      <c r="AA52" s="2">
        <f t="shared" si="3"/>
        <v>14.293486249926115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482.2919037918881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12506.698684303139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8561.6228772955747</v>
      </c>
      <c r="N53" s="2">
        <f>N9/'Output-Calculation-sheet'!N8*'Output-Calculation-sheet'!N44</f>
        <v>3038.2078228477772</v>
      </c>
      <c r="O53" s="2">
        <f>O9/'Output-Calculation-sheet'!O8*'Output-Calculation-sheet'!O44</f>
        <v>168.47246876019977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946.8977424689183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261.42344321370769</v>
      </c>
      <c r="Y53" s="2">
        <f>Y9/'Output-Calculation-sheet'!Y8*'Output-Calculation-sheet'!Y44</f>
        <v>0</v>
      </c>
      <c r="AA53" s="2">
        <f t="shared" si="3"/>
        <v>26.100289974447563</v>
      </c>
    </row>
    <row r="54" spans="1:27" x14ac:dyDescent="0.25">
      <c r="A54" s="2">
        <v>2033</v>
      </c>
      <c r="B54" s="2">
        <f>B10/'Output-Calculation-sheet'!B9*'Output-Calculation-sheet'!B45</f>
        <v>25241.020443897134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12609.112467715429</v>
      </c>
      <c r="N54" s="2">
        <f>N10/'Output-Calculation-sheet'!N9*'Output-Calculation-sheet'!N45</f>
        <v>7056.9205676780393</v>
      </c>
      <c r="O54" s="2">
        <f>O10/'Output-Calculation-sheet'!O9*'Output-Calculation-sheet'!O45</f>
        <v>939.72598997413058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733.81679042611665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77.076880727164124</v>
      </c>
    </row>
    <row r="55" spans="1:27" x14ac:dyDescent="0.25">
      <c r="A55" s="2">
        <v>2034</v>
      </c>
      <c r="B55" s="2">
        <f>B11/'Output-Calculation-sheet'!B10*'Output-Calculation-sheet'!B46</f>
        <v>68449.546323927221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242.87044405973697</v>
      </c>
      <c r="G55" s="2">
        <f>G11/'Output-Calculation-sheet'!G10*'Output-Calculation-sheet'!G46</f>
        <v>2737.6045312213646</v>
      </c>
      <c r="H55" s="2">
        <f>H11/'Output-Calculation-sheet'!H10*'Output-Calculation-sheet'!H46</f>
        <v>21180.611718416108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14914.100008746431</v>
      </c>
      <c r="N55" s="2">
        <f>N11/'Output-Calculation-sheet'!N10*'Output-Calculation-sheet'!N46</f>
        <v>11296.605112680692</v>
      </c>
      <c r="O55" s="2">
        <f>O11/'Output-Calculation-sheet'!O10*'Output-Calculation-sheet'!O46</f>
        <v>433.42070540892536</v>
      </c>
      <c r="P55" s="2">
        <f>P11/'Output-Calculation-sheet'!P10*'Output-Calculation-sheet'!P46</f>
        <v>4180.8144684493291</v>
      </c>
      <c r="Q55" s="2">
        <f>Q11/'Output-Calculation-sheet'!Q10*'Output-Calculation-sheet'!Q46</f>
        <v>3262.1912974900988</v>
      </c>
      <c r="R55" s="2">
        <f>R11/'Output-Calculation-sheet'!R10*'Output-Calculation-sheet'!R46</f>
        <v>3388.4935593800519</v>
      </c>
      <c r="S55" s="2">
        <f>S11/'Output-Calculation-sheet'!S10*'Output-Calculation-sheet'!S46</f>
        <v>5292.9206560580824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1000.8649535062563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169.13153724557637</v>
      </c>
    </row>
    <row r="56" spans="1:27" x14ac:dyDescent="0.25">
      <c r="A56" s="2">
        <v>2035</v>
      </c>
      <c r="B56" s="2">
        <f>B12/'Output-Calculation-sheet'!B11*'Output-Calculation-sheet'!B47</f>
        <v>68260.79532380942</v>
      </c>
      <c r="C56" s="2">
        <f>C12/'Output-Calculation-sheet'!C11*'Output-Calculation-sheet'!C47</f>
        <v>21273.591669974445</v>
      </c>
      <c r="D56" s="2">
        <f>D12/'Output-Calculation-sheet'!D11*'Output-Calculation-sheet'!D47</f>
        <v>6998.4742040743477</v>
      </c>
      <c r="E56" s="2">
        <f>E12/'Output-Calculation-sheet'!E11*'Output-Calculation-sheet'!E47</f>
        <v>17702.079262655454</v>
      </c>
      <c r="F56" s="2">
        <f>F12/'Output-Calculation-sheet'!F11*'Output-Calculation-sheet'!F47</f>
        <v>1016.8806108566882</v>
      </c>
      <c r="G56" s="2">
        <f>G12/'Output-Calculation-sheet'!G11*'Output-Calculation-sheet'!G47</f>
        <v>2589.7463059842453</v>
      </c>
      <c r="H56" s="2">
        <f>H12/'Output-Calculation-sheet'!H11*'Output-Calculation-sheet'!H47</f>
        <v>20190.053266504085</v>
      </c>
      <c r="I56" s="2">
        <f>I12/'Output-Calculation-sheet'!I11*'Output-Calculation-sheet'!I47</f>
        <v>1650.4015756698104</v>
      </c>
      <c r="J56" s="2">
        <f>J12/'Output-Calculation-sheet'!J11*'Output-Calculation-sheet'!J47</f>
        <v>2722.2514304733313</v>
      </c>
      <c r="K56" s="2">
        <f>K12/'Output-Calculation-sheet'!K11*'Output-Calculation-sheet'!K47</f>
        <v>3722.1867487268523</v>
      </c>
      <c r="L56" s="2">
        <f>L12/'Output-Calculation-sheet'!L11*'Output-Calculation-sheet'!L47</f>
        <v>3985.6927750184927</v>
      </c>
      <c r="M56" s="2">
        <f>M12/'Output-Calculation-sheet'!M11*'Output-Calculation-sheet'!M47</f>
        <v>14230.935590922101</v>
      </c>
      <c r="N56" s="2">
        <f>N12/'Output-Calculation-sheet'!N11*'Output-Calculation-sheet'!N47</f>
        <v>11516.853156047757</v>
      </c>
      <c r="O56" s="2">
        <f>O12/'Output-Calculation-sheet'!O11*'Output-Calculation-sheet'!O47</f>
        <v>51.841443495180052</v>
      </c>
      <c r="P56" s="2">
        <f>P12/'Output-Calculation-sheet'!P11*'Output-Calculation-sheet'!P47</f>
        <v>4936.9662896475884</v>
      </c>
      <c r="Q56" s="2">
        <f>Q12/'Output-Calculation-sheet'!Q11*'Output-Calculation-sheet'!Q47</f>
        <v>3472.5582831403881</v>
      </c>
      <c r="R56" s="2">
        <f>R12/'Output-Calculation-sheet'!R11*'Output-Calculation-sheet'!R47</f>
        <v>4057.7374148196259</v>
      </c>
      <c r="S56" s="2">
        <f>S12/'Output-Calculation-sheet'!S11*'Output-Calculation-sheet'!S47</f>
        <v>5355.1998591610454</v>
      </c>
      <c r="T56" s="2">
        <f>T12/'Output-Calculation-sheet'!T11*'Output-Calculation-sheet'!T47</f>
        <v>1370.9372776545044</v>
      </c>
      <c r="U56" s="2">
        <f>U12/'Output-Calculation-sheet'!U11*'Output-Calculation-sheet'!U47</f>
        <v>956.98585047444715</v>
      </c>
      <c r="V56" s="2">
        <f>V12/'Output-Calculation-sheet'!V11*'Output-Calculation-sheet'!V47</f>
        <v>945.61297056409796</v>
      </c>
      <c r="W56" s="2">
        <f>W12/'Output-Calculation-sheet'!W11*'Output-Calculation-sheet'!W47</f>
        <v>334.70799263504699</v>
      </c>
      <c r="X56" s="2">
        <f>X12/'Output-Calculation-sheet'!X11*'Output-Calculation-sheet'!X47</f>
        <v>112.32487118567471</v>
      </c>
      <c r="Y56" s="2">
        <f>Y12/'Output-Calculation-sheet'!Y11*'Output-Calculation-sheet'!Y47</f>
        <v>445.74645273840946</v>
      </c>
      <c r="AA56" s="2">
        <f t="shared" si="3"/>
        <v>197.90056062623304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7.1319022049006886</v>
      </c>
      <c r="C63" s="2">
        <f>C8*'Output-Calculation-sheet'!C52/10^9</f>
        <v>4.313840464896403</v>
      </c>
      <c r="D63" s="2">
        <f>D8*'Output-Calculation-sheet'!D52/10^9</f>
        <v>2.4456821042848511</v>
      </c>
      <c r="E63" s="2">
        <f>E8*'Output-Calculation-sheet'!E52/10^9</f>
        <v>2.4316640372002967</v>
      </c>
      <c r="F63" s="2">
        <f>F8*'Output-Calculation-sheet'!F52/10^9</f>
        <v>1.0298095187296905</v>
      </c>
      <c r="G63" s="2">
        <f>G8*'Output-Calculation-sheet'!G52/10^9</f>
        <v>0.74038652114531223</v>
      </c>
      <c r="H63" s="2">
        <f>H8*'Output-Calculation-sheet'!H52/10^9</f>
        <v>1.2932305410147327</v>
      </c>
      <c r="I63" s="2">
        <f>I8*'Output-Calculation-sheet'!I52/10^9</f>
        <v>0.68873135462986879</v>
      </c>
      <c r="J63" s="2">
        <f>J8*'Output-Calculation-sheet'!J52/10^9</f>
        <v>0.9477410275122744</v>
      </c>
      <c r="K63" s="2">
        <f>K8*'Output-Calculation-sheet'!K52/10^9</f>
        <v>0.83267478670307837</v>
      </c>
      <c r="L63" s="2">
        <f>L8*'Output-Calculation-sheet'!L52/10^9</f>
        <v>1.1199876515959835</v>
      </c>
      <c r="M63" s="2">
        <f>M8*'Output-Calculation-sheet'!M52/10^9</f>
        <v>1.04972859746042</v>
      </c>
      <c r="N63" s="2">
        <f>N8*'Output-Calculation-sheet'!N52/10^9</f>
        <v>0.87613819043434371</v>
      </c>
      <c r="O63" s="2">
        <f>O8*'Output-Calculation-sheet'!O52/10^9</f>
        <v>0.88048076232797035</v>
      </c>
      <c r="P63" s="2">
        <f>P8*'Output-Calculation-sheet'!P52/10^9</f>
        <v>0.57535581621390153</v>
      </c>
      <c r="Q63" s="2">
        <f>Q8*'Output-Calculation-sheet'!Q52/10^9</f>
        <v>0.65113417828791254</v>
      </c>
      <c r="R63" s="2">
        <f>R8*'Output-Calculation-sheet'!R52/10^9</f>
        <v>0.58458924180045191</v>
      </c>
      <c r="S63" s="2">
        <f>S8*'Output-Calculation-sheet'!S52/10^9</f>
        <v>0.43320134119952219</v>
      </c>
      <c r="T63" s="2">
        <f>T8*'Output-Calculation-sheet'!T52/10^9</f>
        <v>0.2222524788992615</v>
      </c>
      <c r="U63" s="2">
        <f>U8*'Output-Calculation-sheet'!U52/10^9</f>
        <v>0.15264062092536612</v>
      </c>
      <c r="V63" s="2">
        <f>V8*'Output-Calculation-sheet'!V52/10^9</f>
        <v>0.27090103033554658</v>
      </c>
      <c r="W63" s="2">
        <f>W8*'Output-Calculation-sheet'!W52/10^9</f>
        <v>9.8053481139855389E-2</v>
      </c>
      <c r="X63" s="2">
        <f>X8*'Output-Calculation-sheet'!X52/10^9</f>
        <v>0.11162021377958878</v>
      </c>
      <c r="Y63" s="2">
        <f>Y8*'Output-Calculation-sheet'!Y52/10^9</f>
        <v>6.3977168835301315E-2</v>
      </c>
      <c r="AA63" s="2">
        <f t="shared" si="4"/>
        <v>28.945723334252616</v>
      </c>
    </row>
    <row r="64" spans="1:27" x14ac:dyDescent="0.25">
      <c r="A64" s="2">
        <v>2032</v>
      </c>
      <c r="B64" s="2">
        <f>B9*'Output-Calculation-sheet'!B53/10^9</f>
        <v>7.2082740308828717</v>
      </c>
      <c r="C64" s="2">
        <f>C9*'Output-Calculation-sheet'!C53/10^9</f>
        <v>4.5988766146644586</v>
      </c>
      <c r="D64" s="2">
        <f>D9*'Output-Calculation-sheet'!D53/10^9</f>
        <v>2.1332288731316464</v>
      </c>
      <c r="E64" s="2">
        <f>E9*'Output-Calculation-sheet'!E53/10^9</f>
        <v>2.1845202236783634</v>
      </c>
      <c r="F64" s="2">
        <f>F9*'Output-Calculation-sheet'!F53/10^9</f>
        <v>0.9214169322810436</v>
      </c>
      <c r="G64" s="2">
        <f>G9*'Output-Calculation-sheet'!G53/10^9</f>
        <v>0.65583638523921906</v>
      </c>
      <c r="H64" s="2">
        <f>H9*'Output-Calculation-sheet'!H53/10^9</f>
        <v>1.3475532446845491</v>
      </c>
      <c r="I64" s="2">
        <f>I9*'Output-Calculation-sheet'!I53/10^9</f>
        <v>0.61309983269064716</v>
      </c>
      <c r="J64" s="2">
        <f>J9*'Output-Calculation-sheet'!J53/10^9</f>
        <v>0.8116196057729842</v>
      </c>
      <c r="K64" s="2">
        <f>K9*'Output-Calculation-sheet'!K53/10^9</f>
        <v>0.75307257046032405</v>
      </c>
      <c r="L64" s="2">
        <f>L9*'Output-Calculation-sheet'!L53/10^9</f>
        <v>0.96882561101695641</v>
      </c>
      <c r="M64" s="2">
        <f>M9*'Output-Calculation-sheet'!M53/10^9</f>
        <v>1.0560850000016064</v>
      </c>
      <c r="N64" s="2">
        <f>N9*'Output-Calculation-sheet'!N53/10^9</f>
        <v>0.88910504936090706</v>
      </c>
      <c r="O64" s="2">
        <f>O9*'Output-Calculation-sheet'!O53/10^9</f>
        <v>0.92919157778541894</v>
      </c>
      <c r="P64" s="2">
        <f>P9*'Output-Calculation-sheet'!P53/10^9</f>
        <v>0.57416661635034538</v>
      </c>
      <c r="Q64" s="2">
        <f>Q9*'Output-Calculation-sheet'!Q53/10^9</f>
        <v>0.63454057780171624</v>
      </c>
      <c r="R64" s="2">
        <f>R9*'Output-Calculation-sheet'!R53/10^9</f>
        <v>0.54395112307268279</v>
      </c>
      <c r="S64" s="2">
        <f>S9*'Output-Calculation-sheet'!S53/10^9</f>
        <v>0.44942519095737654</v>
      </c>
      <c r="T64" s="2">
        <f>T9*'Output-Calculation-sheet'!T53/10^9</f>
        <v>0.19553549326194988</v>
      </c>
      <c r="U64" s="2">
        <f>U9*'Output-Calculation-sheet'!U53/10^9</f>
        <v>0.1471754889487214</v>
      </c>
      <c r="V64" s="2">
        <f>V9*'Output-Calculation-sheet'!V53/10^9</f>
        <v>0.23208740798618574</v>
      </c>
      <c r="W64" s="2">
        <f>W9*'Output-Calculation-sheet'!W53/10^9</f>
        <v>8.6239348481779859E-2</v>
      </c>
      <c r="X64" s="2">
        <f>X9*'Output-Calculation-sheet'!X53/10^9</f>
        <v>0.11578325883763881</v>
      </c>
      <c r="Y64" s="2">
        <f>Y9*'Output-Calculation-sheet'!Y53/10^9</f>
        <v>6.0422133386206868E-2</v>
      </c>
      <c r="AA64" s="2">
        <f t="shared" si="4"/>
        <v>28.110032190735602</v>
      </c>
    </row>
    <row r="65" spans="1:27" x14ac:dyDescent="0.25">
      <c r="A65" s="2">
        <v>2033</v>
      </c>
      <c r="B65" s="2">
        <f>B10*'Output-Calculation-sheet'!B54/10^9</f>
        <v>7.2761439783382862</v>
      </c>
      <c r="C65" s="2">
        <f>C10*'Output-Calculation-sheet'!C54/10^9</f>
        <v>4.7235512216661482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1.3332608508356771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0.66990810185153715</v>
      </c>
      <c r="L65" s="2">
        <f>L10*'Output-Calculation-sheet'!L54/10^9</f>
        <v>0.79125314856372186</v>
      </c>
      <c r="M65" s="2">
        <f>M10*'Output-Calculation-sheet'!M54/10^9</f>
        <v>1.0066819693084494</v>
      </c>
      <c r="N65" s="2">
        <f>N10*'Output-Calculation-sheet'!N54/10^9</f>
        <v>0.86927892268832196</v>
      </c>
      <c r="O65" s="2">
        <f>O10*'Output-Calculation-sheet'!O54/10^9</f>
        <v>0.94420997322151623</v>
      </c>
      <c r="P65" s="2">
        <f>P10*'Output-Calculation-sheet'!P54/10^9</f>
        <v>0.56678527489483455</v>
      </c>
      <c r="Q65" s="2">
        <f>Q10*'Output-Calculation-sheet'!Q54/10^9</f>
        <v>0.61853392319445455</v>
      </c>
      <c r="R65" s="2">
        <f>R10*'Output-Calculation-sheet'!R54/10^9</f>
        <v>0.49898980170616858</v>
      </c>
      <c r="S65" s="2">
        <f>S10*'Output-Calculation-sheet'!S54/10^9</f>
        <v>0.45324919582898193</v>
      </c>
      <c r="T65" s="2">
        <f>T10*'Output-Calculation-sheet'!T54/10^9</f>
        <v>0.16683415576492835</v>
      </c>
      <c r="U65" s="2">
        <f>U10*'Output-Calculation-sheet'!U54/10^9</f>
        <v>0.14405736696447988</v>
      </c>
      <c r="V65" s="2">
        <f>V10*'Output-Calculation-sheet'!V54/10^9</f>
        <v>0.18463420166282091</v>
      </c>
      <c r="W65" s="2">
        <f>W10*'Output-Calculation-sheet'!W54/10^9</f>
        <v>7.0294486762733241E-2</v>
      </c>
      <c r="X65" s="2">
        <f>X10*'Output-Calculation-sheet'!X54/10^9</f>
        <v>0.11494162739235213</v>
      </c>
      <c r="Y65" s="2">
        <f>Y10*'Output-Calculation-sheet'!Y54/10^9</f>
        <v>5.7861351006728082E-2</v>
      </c>
      <c r="AA65" s="2">
        <f t="shared" si="4"/>
        <v>26.623314131814414</v>
      </c>
    </row>
    <row r="66" spans="1:27" x14ac:dyDescent="0.25">
      <c r="A66" s="2">
        <v>2034</v>
      </c>
      <c r="B66" s="2">
        <f>B11*'Output-Calculation-sheet'!B55/10^9</f>
        <v>7.3093295324522467</v>
      </c>
      <c r="C66" s="2">
        <f>C11*'Output-Calculation-sheet'!C55/10^9</f>
        <v>4.695897398863254</v>
      </c>
      <c r="D66" s="2">
        <f>D11*'Output-Calculation-sheet'!D55/10^9</f>
        <v>1.529331213147249</v>
      </c>
      <c r="E66" s="2">
        <f>E11*'Output-Calculation-sheet'!E55/10^9</f>
        <v>1.8519085858904025</v>
      </c>
      <c r="F66" s="2">
        <f>F11*'Output-Calculation-sheet'!F55/10^9</f>
        <v>0.71171853364670778</v>
      </c>
      <c r="G66" s="2">
        <f>G11*'Output-Calculation-sheet'!G55/10^9</f>
        <v>0.50875385172309873</v>
      </c>
      <c r="H66" s="2">
        <f>H11*'Output-Calculation-sheet'!H55/10^9</f>
        <v>1.299791734276631</v>
      </c>
      <c r="I66" s="2">
        <f>I11*'Output-Calculation-sheet'!I55/10^9</f>
        <v>0.49747898050070899</v>
      </c>
      <c r="J66" s="2">
        <f>J11*'Output-Calculation-sheet'!J55/10^9</f>
        <v>0.51156075389678346</v>
      </c>
      <c r="K66" s="2">
        <f>K11*'Output-Calculation-sheet'!K55/10^9</f>
        <v>0.61186769253311823</v>
      </c>
      <c r="L66" s="2">
        <f>L11*'Output-Calculation-sheet'!L55/10^9</f>
        <v>0.64801013445928335</v>
      </c>
      <c r="M66" s="2">
        <f>M11*'Output-Calculation-sheet'!M55/10^9</f>
        <v>0.94223519228404451</v>
      </c>
      <c r="N66" s="2">
        <f>N11*'Output-Calculation-sheet'!N55/10^9</f>
        <v>0.82325845136732345</v>
      </c>
      <c r="O66" s="2">
        <f>O11*'Output-Calculation-sheet'!O55/10^9</f>
        <v>0.92652767467792951</v>
      </c>
      <c r="P66" s="2">
        <f>P11*'Output-Calculation-sheet'!P55/10^9</f>
        <v>0.56595910912561542</v>
      </c>
      <c r="Q66" s="2">
        <f>Q11*'Output-Calculation-sheet'!Q55/10^9</f>
        <v>0.61579414422534473</v>
      </c>
      <c r="R66" s="2">
        <f>R11*'Output-Calculation-sheet'!R55/10^9</f>
        <v>0.45838975861916453</v>
      </c>
      <c r="S66" s="2">
        <f>S11*'Output-Calculation-sheet'!S55/10^9</f>
        <v>0.45065885359350544</v>
      </c>
      <c r="T66" s="2">
        <f>T11*'Output-Calculation-sheet'!T55/10^9</f>
        <v>0.14366954670893006</v>
      </c>
      <c r="U66" s="2">
        <f>U11*'Output-Calculation-sheet'!U55/10^9</f>
        <v>0.14591431626469012</v>
      </c>
      <c r="V66" s="2">
        <f>V11*'Output-Calculation-sheet'!V55/10^9</f>
        <v>0.13629083345299992</v>
      </c>
      <c r="W66" s="2">
        <f>W11*'Output-Calculation-sheet'!W55/10^9</f>
        <v>6.1712213042855367E-2</v>
      </c>
      <c r="X66" s="2">
        <f>X11*'Output-Calculation-sheet'!X55/10^9</f>
        <v>0.11012445810924347</v>
      </c>
      <c r="Y66" s="2">
        <f>Y11*'Output-Calculation-sheet'!Y55/10^9</f>
        <v>6.0556334370873016E-2</v>
      </c>
      <c r="AA66" s="2">
        <f t="shared" si="4"/>
        <v>25.616739297232005</v>
      </c>
    </row>
    <row r="67" spans="1:27" x14ac:dyDescent="0.25">
      <c r="A67" s="2">
        <v>2035</v>
      </c>
      <c r="B67" s="2">
        <f>B12*'Output-Calculation-sheet'!B56/10^9</f>
        <v>7.2043933316317323</v>
      </c>
      <c r="C67" s="2">
        <f>C12*'Output-Calculation-sheet'!C56/10^9</f>
        <v>4.524729035685259</v>
      </c>
      <c r="D67" s="2">
        <f>D12*'Output-Calculation-sheet'!D56/10^9</f>
        <v>1.4989771540037433</v>
      </c>
      <c r="E67" s="2">
        <f>E12*'Output-Calculation-sheet'!E56/10^9</f>
        <v>2.0351260423285669</v>
      </c>
      <c r="F67" s="2">
        <f>F12*'Output-Calculation-sheet'!F56/10^9</f>
        <v>0.74333747175164222</v>
      </c>
      <c r="G67" s="2">
        <f>G12*'Output-Calculation-sheet'!G56/10^9</f>
        <v>0.52071517007597734</v>
      </c>
      <c r="H67" s="2">
        <f>H12*'Output-Calculation-sheet'!H56/10^9</f>
        <v>1.2578431187806978</v>
      </c>
      <c r="I67" s="2">
        <f>I12*'Output-Calculation-sheet'!I56/10^9</f>
        <v>0.50583024391976539</v>
      </c>
      <c r="J67" s="2">
        <f>J12*'Output-Calculation-sheet'!J56/10^9</f>
        <v>0.50076392425722271</v>
      </c>
      <c r="K67" s="2">
        <f>K12*'Output-Calculation-sheet'!K56/10^9</f>
        <v>0.60342594527411286</v>
      </c>
      <c r="L67" s="2">
        <f>L12*'Output-Calculation-sheet'!L56/10^9</f>
        <v>0.60618682672112312</v>
      </c>
      <c r="M67" s="2">
        <f>M12*'Output-Calculation-sheet'!M56/10^9</f>
        <v>0.92012897114763481</v>
      </c>
      <c r="N67" s="2">
        <f>N12*'Output-Calculation-sheet'!N56/10^9</f>
        <v>0.79031221591653589</v>
      </c>
      <c r="O67" s="2">
        <f>O12*'Output-Calculation-sheet'!O56/10^9</f>
        <v>0.88654989394324335</v>
      </c>
      <c r="P67" s="2">
        <f>P12*'Output-Calculation-sheet'!P56/10^9</f>
        <v>0.58446036662006817</v>
      </c>
      <c r="Q67" s="2">
        <f>Q12*'Output-Calculation-sheet'!Q56/10^9</f>
        <v>0.60157980861560956</v>
      </c>
      <c r="R67" s="2">
        <f>R12*'Output-Calculation-sheet'!R56/10^9</f>
        <v>0.45773719429794468</v>
      </c>
      <c r="S67" s="2">
        <f>S12*'Output-Calculation-sheet'!S56/10^9</f>
        <v>0.43617238931087549</v>
      </c>
      <c r="T67" s="2">
        <f>T12*'Output-Calculation-sheet'!T56/10^9</f>
        <v>0.13871305184854732</v>
      </c>
      <c r="U67" s="2">
        <f>U12*'Output-Calculation-sheet'!U56/10^9</f>
        <v>0.14505018654020307</v>
      </c>
      <c r="V67" s="2">
        <f>V12*'Output-Calculation-sheet'!V56/10^9</f>
        <v>0.11126655316762203</v>
      </c>
      <c r="W67" s="2">
        <f>W12*'Output-Calculation-sheet'!W56/10^9</f>
        <v>6.7179233297482613E-2</v>
      </c>
      <c r="X67" s="2">
        <f>X12*'Output-Calculation-sheet'!X56/10^9</f>
        <v>0.10634840994404213</v>
      </c>
      <c r="Y67" s="2">
        <f>Y12*'Output-Calculation-sheet'!Y56/10^9</f>
        <v>6.4918200082380459E-2</v>
      </c>
      <c r="AA67" s="2">
        <f t="shared" si="4"/>
        <v>25.311744739162034</v>
      </c>
    </row>
    <row r="68" spans="1:27" x14ac:dyDescent="0.25">
      <c r="B68" s="2">
        <f>SUM(B60:B67)</f>
        <v>36.130043078205823</v>
      </c>
      <c r="C68" s="2">
        <f t="shared" ref="C68:Y68" si="5">SUM(C60:C67)</f>
        <v>22.856894735775523</v>
      </c>
      <c r="D68" s="2">
        <f t="shared" si="5"/>
        <v>9.3261306125809469</v>
      </c>
      <c r="E68" s="2">
        <f t="shared" si="5"/>
        <v>10.438683679504692</v>
      </c>
      <c r="F68" s="2">
        <f t="shared" si="5"/>
        <v>4.1920472239148596</v>
      </c>
      <c r="G68" s="2">
        <f t="shared" si="5"/>
        <v>2.9651909680388306</v>
      </c>
      <c r="H68" s="2">
        <f t="shared" si="5"/>
        <v>6.5316794895922872</v>
      </c>
      <c r="I68" s="2">
        <f t="shared" si="5"/>
        <v>2.8304653734659362</v>
      </c>
      <c r="J68" s="2">
        <f t="shared" si="5"/>
        <v>3.3995650640950776</v>
      </c>
      <c r="K68" s="2">
        <f t="shared" si="5"/>
        <v>3.4709490968221708</v>
      </c>
      <c r="L68" s="2">
        <f t="shared" si="5"/>
        <v>4.1342633723570685</v>
      </c>
      <c r="M68" s="2">
        <f t="shared" si="5"/>
        <v>4.9748597302021551</v>
      </c>
      <c r="N68" s="2">
        <f t="shared" si="5"/>
        <v>4.2480928297674323</v>
      </c>
      <c r="O68" s="2">
        <f t="shared" si="5"/>
        <v>4.5669598819560786</v>
      </c>
      <c r="P68" s="2">
        <f t="shared" si="5"/>
        <v>2.8667271832047647</v>
      </c>
      <c r="Q68" s="2">
        <f t="shared" si="5"/>
        <v>3.1215826321250377</v>
      </c>
      <c r="R68" s="2">
        <f t="shared" si="5"/>
        <v>2.5436571194964124</v>
      </c>
      <c r="S68" s="2">
        <f t="shared" si="5"/>
        <v>2.2227069708902616</v>
      </c>
      <c r="T68" s="2">
        <f t="shared" si="5"/>
        <v>0.86700472648361715</v>
      </c>
      <c r="U68" s="2">
        <f t="shared" si="5"/>
        <v>0.73483797964346054</v>
      </c>
      <c r="V68" s="2">
        <f t="shared" si="5"/>
        <v>0.9351800266051753</v>
      </c>
      <c r="W68" s="2">
        <f t="shared" si="5"/>
        <v>0.38347876272470643</v>
      </c>
      <c r="X68" s="2">
        <f t="shared" si="5"/>
        <v>0.55881796806286532</v>
      </c>
      <c r="Y68" s="2">
        <f t="shared" si="5"/>
        <v>0.30773518768148972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775.97626587485104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1415.1485120750342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954.32982532571975</v>
      </c>
      <c r="N74" s="2">
        <f>N8/'Output-Calculation-sheet'!N7*'Output-Calculation-sheet'!N61</f>
        <v>42.85799959183511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8.4684963484011373</v>
      </c>
      <c r="Y74" s="2">
        <f>Y8/'Output-Calculation-sheet'!Y7*'Output-Calculation-sheet'!Y61</f>
        <v>0</v>
      </c>
      <c r="AA74" s="2">
        <f t="shared" si="6"/>
        <v>3.1967810992158414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132.49578830036572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2385.6374279503698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1617.1654180201513</v>
      </c>
      <c r="N75" s="2">
        <f>N9/'Output-Calculation-sheet'!N8*'Output-Calculation-sheet'!N62</f>
        <v>623.24387681138671</v>
      </c>
      <c r="O75" s="2">
        <f>O9/'Output-Calculation-sheet'!O8*'Output-Calculation-sheet'!O62</f>
        <v>46.283981872120343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209.07236513201508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57.074685952837378</v>
      </c>
      <c r="Y75" s="2">
        <f>Y9/'Output-Calculation-sheet'!Y8*'Output-Calculation-sheet'!Y62</f>
        <v>0</v>
      </c>
      <c r="AA75" s="2">
        <f t="shared" si="6"/>
        <v>5.1203047406089732</v>
      </c>
    </row>
    <row r="76" spans="1:27" x14ac:dyDescent="0.25">
      <c r="A76" s="2">
        <v>2033</v>
      </c>
      <c r="B76" s="2">
        <f>B10/'Output-Calculation-sheet'!B9*'Output-Calculation-sheet'!B63</f>
        <v>5069.8661585633681</v>
      </c>
      <c r="C76" s="2">
        <f>C10/'Output-Calculation-sheet'!C9*'Output-Calculation-sheet'!C63</f>
        <v>1045.0055680467012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3324.4248403064976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2258.5670294613788</v>
      </c>
      <c r="N76" s="2">
        <f>N10/'Output-Calculation-sheet'!N9*'Output-Calculation-sheet'!N63</f>
        <v>1291.7348285692142</v>
      </c>
      <c r="O76" s="2">
        <f>O10/'Output-Calculation-sheet'!O9*'Output-Calculation-sheet'!O63</f>
        <v>214.34802461780549</v>
      </c>
      <c r="P76" s="2">
        <f>P10/'Output-Calculation-sheet'!P9*'Output-Calculation-sheet'!P63</f>
        <v>446.06180176657153</v>
      </c>
      <c r="Q76" s="2">
        <f>Q10/'Output-Calculation-sheet'!Q9*'Output-Calculation-sheet'!Q63</f>
        <v>201.59792503297138</v>
      </c>
      <c r="R76" s="2">
        <f>R10/'Output-Calculation-sheet'!R9*'Output-Calculation-sheet'!R63</f>
        <v>339.44581461470779</v>
      </c>
      <c r="S76" s="2">
        <f>S10/'Output-Calculation-sheet'!S9*'Output-Calculation-sheet'!S63</f>
        <v>575.93387409562581</v>
      </c>
      <c r="T76" s="2">
        <f>T10/'Output-Calculation-sheet'!T9*'Output-Calculation-sheet'!T63</f>
        <v>22.307832514458344</v>
      </c>
      <c r="U76" s="2">
        <f>U10/'Output-Calculation-sheet'!U9*'Output-Calculation-sheet'!U63</f>
        <v>120.59534004334471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129.67806955143814</v>
      </c>
      <c r="Y76" s="2">
        <f>Y10/'Output-Calculation-sheet'!Y9*'Output-Calculation-sheet'!Y63</f>
        <v>5.7201296919131543</v>
      </c>
      <c r="AA76" s="2">
        <f t="shared" si="6"/>
        <v>15.138929692588512</v>
      </c>
    </row>
    <row r="77" spans="1:27" x14ac:dyDescent="0.25">
      <c r="A77" s="2">
        <v>2034</v>
      </c>
      <c r="B77" s="2">
        <f>B11/'Output-Calculation-sheet'!B10*'Output-Calculation-sheet'!B64</f>
        <v>11607.141464431043</v>
      </c>
      <c r="C77" s="2">
        <f>C11/'Output-Calculation-sheet'!C10*'Output-Calculation-sheet'!C64</f>
        <v>1743.187530136534</v>
      </c>
      <c r="D77" s="2">
        <f>D11/'Output-Calculation-sheet'!D10*'Output-Calculation-sheet'!D64</f>
        <v>1491.3548694536191</v>
      </c>
      <c r="E77" s="2">
        <f>E11/'Output-Calculation-sheet'!E10*'Output-Calculation-sheet'!E64</f>
        <v>1839.0254482387174</v>
      </c>
      <c r="F77" s="2">
        <f>F11/'Output-Calculation-sheet'!F10*'Output-Calculation-sheet'!F64</f>
        <v>118.41873029608452</v>
      </c>
      <c r="G77" s="2">
        <f>G11/'Output-Calculation-sheet'!G10*'Output-Calculation-sheet'!G64</f>
        <v>743.01721527212362</v>
      </c>
      <c r="H77" s="2">
        <f>H11/'Output-Calculation-sheet'!H10*'Output-Calculation-sheet'!H64</f>
        <v>3959.6009227371846</v>
      </c>
      <c r="I77" s="2">
        <f>I11/'Output-Calculation-sheet'!I10*'Output-Calculation-sheet'!I64</f>
        <v>462.02031971434525</v>
      </c>
      <c r="J77" s="2">
        <f>J11/'Output-Calculation-sheet'!J10*'Output-Calculation-sheet'!J64</f>
        <v>324.20115141125854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295.8690359308294</v>
      </c>
      <c r="M77" s="2">
        <f>M11/'Output-Calculation-sheet'!M10*'Output-Calculation-sheet'!M64</f>
        <v>2806.6227250436636</v>
      </c>
      <c r="N77" s="2">
        <f>N11/'Output-Calculation-sheet'!N10*'Output-Calculation-sheet'!N64</f>
        <v>1969.2539129684831</v>
      </c>
      <c r="O77" s="2">
        <f>O11/'Output-Calculation-sheet'!O10*'Output-Calculation-sheet'!O64</f>
        <v>94.062143544314281</v>
      </c>
      <c r="P77" s="2">
        <f>P11/'Output-Calculation-sheet'!P10*'Output-Calculation-sheet'!P64</f>
        <v>864.93569148206075</v>
      </c>
      <c r="Q77" s="2">
        <f>Q11/'Output-Calculation-sheet'!Q10*'Output-Calculation-sheet'!Q64</f>
        <v>616.77695952816339</v>
      </c>
      <c r="R77" s="2">
        <f>R11/'Output-Calculation-sheet'!R10*'Output-Calculation-sheet'!R64</f>
        <v>745.88630827848579</v>
      </c>
      <c r="S77" s="2">
        <f>S11/'Output-Calculation-sheet'!S10*'Output-Calculation-sheet'!S64</f>
        <v>923.80223356587226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219.39946964729799</v>
      </c>
      <c r="V77" s="2">
        <f>V11/'Output-Calculation-sheet'!V10*'Output-Calculation-sheet'!V64</f>
        <v>106.46527613093011</v>
      </c>
      <c r="W77" s="2">
        <f>W11/'Output-Calculation-sheet'!W10*'Output-Calculation-sheet'!W64</f>
        <v>23.367457127538142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68.215475861985993</v>
      </c>
      <c r="AA77" s="2">
        <f t="shared" si="6"/>
        <v>32.048914026166486</v>
      </c>
    </row>
    <row r="78" spans="1:27" x14ac:dyDescent="0.25">
      <c r="A78" s="2">
        <v>2035</v>
      </c>
      <c r="B78" s="2">
        <f>B12/'Output-Calculation-sheet'!B11*'Output-Calculation-sheet'!B65</f>
        <v>11830.68527412161</v>
      </c>
      <c r="C78" s="2">
        <f>C12/'Output-Calculation-sheet'!C11*'Output-Calculation-sheet'!C65</f>
        <v>3887.8571485892967</v>
      </c>
      <c r="D78" s="2">
        <f>D12/'Output-Calculation-sheet'!D11*'Output-Calculation-sheet'!D65</f>
        <v>1588.6807701938849</v>
      </c>
      <c r="E78" s="2">
        <f>E12/'Output-Calculation-sheet'!E11*'Output-Calculation-sheet'!E65</f>
        <v>2764.6594931387222</v>
      </c>
      <c r="F78" s="2">
        <f>F12/'Output-Calculation-sheet'!F11*'Output-Calculation-sheet'!F65</f>
        <v>356.98901262052283</v>
      </c>
      <c r="G78" s="2">
        <f>G12/'Output-Calculation-sheet'!G11*'Output-Calculation-sheet'!G65</f>
        <v>696.01760381841098</v>
      </c>
      <c r="H78" s="2">
        <f>H12/'Output-Calculation-sheet'!H11*'Output-Calculation-sheet'!H65</f>
        <v>3765.9142354478181</v>
      </c>
      <c r="I78" s="2">
        <f>I12/'Output-Calculation-sheet'!I11*'Output-Calculation-sheet'!I65</f>
        <v>462.75384725445497</v>
      </c>
      <c r="J78" s="2">
        <f>J12/'Output-Calculation-sheet'!J11*'Output-Calculation-sheet'!J65</f>
        <v>674.05543931248769</v>
      </c>
      <c r="K78" s="2">
        <f>K12/'Output-Calculation-sheet'!K11*'Output-Calculation-sheet'!K65</f>
        <v>828.83108343382014</v>
      </c>
      <c r="L78" s="2">
        <f>L12/'Output-Calculation-sheet'!L11*'Output-Calculation-sheet'!L65</f>
        <v>708.00716898956841</v>
      </c>
      <c r="M78" s="2">
        <f>M12/'Output-Calculation-sheet'!M11*'Output-Calculation-sheet'!M65</f>
        <v>2749.9832878773291</v>
      </c>
      <c r="N78" s="2">
        <f>N12/'Output-Calculation-sheet'!N11*'Output-Calculation-sheet'!N65</f>
        <v>1981.0990992923989</v>
      </c>
      <c r="O78" s="2">
        <f>O12/'Output-Calculation-sheet'!O11*'Output-Calculation-sheet'!O65</f>
        <v>9.2838676842843757</v>
      </c>
      <c r="P78" s="2">
        <f>P12/'Output-Calculation-sheet'!P11*'Output-Calculation-sheet'!P65</f>
        <v>956.61630430961338</v>
      </c>
      <c r="Q78" s="2">
        <f>Q12/'Output-Calculation-sheet'!Q11*'Output-Calculation-sheet'!Q65</f>
        <v>643.78693176191996</v>
      </c>
      <c r="R78" s="2">
        <f>R12/'Output-Calculation-sheet'!R11*'Output-Calculation-sheet'!R65</f>
        <v>891.08958132829707</v>
      </c>
      <c r="S78" s="2">
        <f>S12/'Output-Calculation-sheet'!S11*'Output-Calculation-sheet'!S65</f>
        <v>936.44111103206137</v>
      </c>
      <c r="T78" s="2">
        <f>T12/'Output-Calculation-sheet'!T11*'Output-Calculation-sheet'!T65</f>
        <v>307.41402185088992</v>
      </c>
      <c r="U78" s="2">
        <f>U12/'Output-Calculation-sheet'!U11*'Output-Calculation-sheet'!U65</f>
        <v>210.32659971079181</v>
      </c>
      <c r="V78" s="2">
        <f>V12/'Output-Calculation-sheet'!V11*'Output-Calculation-sheet'!V65</f>
        <v>173.38442980659283</v>
      </c>
      <c r="W78" s="2">
        <f>W12/'Output-Calculation-sheet'!W11*'Output-Calculation-sheet'!W65</f>
        <v>81.987309257394372</v>
      </c>
      <c r="X78" s="2">
        <f>X12/'Output-Calculation-sheet'!X11*'Output-Calculation-sheet'!X65</f>
        <v>22.601695460433341</v>
      </c>
      <c r="Y78" s="2">
        <f>Y12/'Output-Calculation-sheet'!Y11*'Output-Calculation-sheet'!Y65</f>
        <v>76.725481516141485</v>
      </c>
      <c r="AA78" s="2">
        <f t="shared" si="6"/>
        <v>36.605190797808746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19.423821317800005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1.464742927352255</v>
      </c>
      <c r="H88" s="2">
        <f>H11/'Output-Calculation-sheet'!H10*'Output-Calculation-sheet'!H73</f>
        <v>9.9326242398950075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4.2038547648068283</v>
      </c>
      <c r="R88" s="2">
        <f>R11/'Output-Calculation-sheet'!R10*'Output-Calculation-sheet'!R73</f>
        <v>0</v>
      </c>
      <c r="S88" s="2">
        <f>S11/'Output-Calculation-sheet'!S10*'Output-Calculation-sheet'!S73</f>
        <v>2.2003411582033183</v>
      </c>
      <c r="T88" s="2">
        <f>T11/'Output-Calculation-sheet'!T10*'Output-Calculation-sheet'!T73</f>
        <v>0</v>
      </c>
      <c r="U88" s="2">
        <f>U11/'Output-Calculation-sheet'!U10*'Output-Calculation-sheet'!U73</f>
        <v>1.3412824356824662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3.8566666843739876E-2</v>
      </c>
    </row>
    <row r="89" spans="1:27" x14ac:dyDescent="0.25">
      <c r="A89" s="2">
        <v>2035</v>
      </c>
      <c r="B89" s="2">
        <f>B12/'Output-Calculation-sheet'!B11*'Output-Calculation-sheet'!B74</f>
        <v>258.07484054370292</v>
      </c>
      <c r="C89" s="2">
        <f>C12/'Output-Calculation-sheet'!C11*'Output-Calculation-sheet'!C74</f>
        <v>139.9866200779729</v>
      </c>
      <c r="D89" s="2">
        <f>D12/'Output-Calculation-sheet'!D11*'Output-Calculation-sheet'!D74</f>
        <v>23.250744864034377</v>
      </c>
      <c r="E89" s="2">
        <f>E12/'Output-Calculation-sheet'!E11*'Output-Calculation-sheet'!E74</f>
        <v>76.992341956573824</v>
      </c>
      <c r="F89" s="2">
        <f>F12/'Output-Calculation-sheet'!F11*'Output-Calculation-sheet'!F74</f>
        <v>23.242985391010016</v>
      </c>
      <c r="G89" s="2">
        <f>G12/'Output-Calculation-sheet'!G11*'Output-Calculation-sheet'!G74</f>
        <v>16.68113562630754</v>
      </c>
      <c r="H89" s="2">
        <f>H12/'Output-Calculation-sheet'!H11*'Output-Calculation-sheet'!H74</f>
        <v>57.905175112364148</v>
      </c>
      <c r="I89" s="2">
        <f>I12/'Output-Calculation-sheet'!I11*'Output-Calculation-sheet'!I74</f>
        <v>15.003650687907367</v>
      </c>
      <c r="J89" s="2">
        <f>J12/'Output-Calculation-sheet'!J11*'Output-Calculation-sheet'!J74</f>
        <v>7.424322083109085</v>
      </c>
      <c r="K89" s="2">
        <f>K12/'Output-Calculation-sheet'!K11*'Output-Calculation-sheet'!K74</f>
        <v>11.059650293344891</v>
      </c>
      <c r="L89" s="2">
        <f>L12/'Output-Calculation-sheet'!L11*'Output-Calculation-sheet'!L74</f>
        <v>5.8627498529323256</v>
      </c>
      <c r="M89" s="2">
        <f>M12/'Output-Calculation-sheet'!M11*'Output-Calculation-sheet'!M74</f>
        <v>30.578257227531534</v>
      </c>
      <c r="N89" s="2">
        <f>N12/'Output-Calculation-sheet'!N11*'Output-Calculation-sheet'!N74</f>
        <v>15.482089487016596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21.033428296044598</v>
      </c>
      <c r="Q89" s="2">
        <f>Q12/'Output-Calculation-sheet'!Q11*'Output-Calculation-sheet'!Q74</f>
        <v>17.554292791610415</v>
      </c>
      <c r="R89" s="2">
        <f>R12/'Output-Calculation-sheet'!R11*'Output-Calculation-sheet'!R74</f>
        <v>9.4954853700927284</v>
      </c>
      <c r="S89" s="2">
        <f>S12/'Output-Calculation-sheet'!S11*'Output-Calculation-sheet'!S74</f>
        <v>13.573327777167789</v>
      </c>
      <c r="T89" s="2">
        <f>T12/'Output-Calculation-sheet'!T11*'Output-Calculation-sheet'!T74</f>
        <v>1.7564859419019916</v>
      </c>
      <c r="U89" s="2">
        <f>U12/'Output-Calculation-sheet'!U11*'Output-Calculation-sheet'!U74</f>
        <v>5.0917044451952496</v>
      </c>
      <c r="V89" s="2">
        <f>V12/'Output-Calculation-sheet'!V11*'Output-Calculation-sheet'!V74</f>
        <v>0.39261489332119492</v>
      </c>
      <c r="W89" s="2">
        <f>W12/'Output-Calculation-sheet'!W11*'Output-Calculation-sheet'!W74</f>
        <v>2.3798435230526449</v>
      </c>
      <c r="X89" s="2">
        <f>X12/'Output-Calculation-sheet'!X11*'Output-Calculation-sheet'!X74</f>
        <v>0.3049544014090716</v>
      </c>
      <c r="Y89" s="2">
        <f>Y12/'Output-Calculation-sheet'!Y11*'Output-Calculation-sheet'!Y74</f>
        <v>3.2371551365245406</v>
      </c>
      <c r="AA89" s="2">
        <f t="shared" si="7"/>
        <v>0.75721371550955718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8141291262.5715942</v>
      </c>
      <c r="C96" s="2">
        <f>C8/'Output-Calculation-sheet'!C7*'Output-Calculation-sheet'!C79</f>
        <v>1965988669.6039014</v>
      </c>
      <c r="D96" s="2">
        <f>D8/'Output-Calculation-sheet'!D7*'Output-Calculation-sheet'!D79</f>
        <v>1596082416.5485377</v>
      </c>
      <c r="E96" s="2">
        <f>E8/'Output-Calculation-sheet'!E7*'Output-Calculation-sheet'!E79</f>
        <v>5979948637.2241316</v>
      </c>
      <c r="F96" s="2">
        <f>F8/'Output-Calculation-sheet'!F7*'Output-Calculation-sheet'!F79</f>
        <v>1744441902.1796892</v>
      </c>
      <c r="G96" s="2">
        <f>G8/'Output-Calculation-sheet'!G7*'Output-Calculation-sheet'!G79</f>
        <v>1119683064.5994833</v>
      </c>
      <c r="H96" s="2">
        <f>H8/'Output-Calculation-sheet'!H7*'Output-Calculation-sheet'!H79</f>
        <v>1379412418.1178143</v>
      </c>
      <c r="I96" s="2">
        <f>I8/'Output-Calculation-sheet'!I7*'Output-Calculation-sheet'!I79</f>
        <v>805159146.36673844</v>
      </c>
      <c r="J96" s="2">
        <f>J8/'Output-Calculation-sheet'!J7*'Output-Calculation-sheet'!J79</f>
        <v>610151076.60588884</v>
      </c>
      <c r="K96" s="2">
        <f>K8/'Output-Calculation-sheet'!K7*'Output-Calculation-sheet'!K79</f>
        <v>765209521.89076877</v>
      </c>
      <c r="L96" s="2">
        <f>L8/'Output-Calculation-sheet'!L7*'Output-Calculation-sheet'!L79</f>
        <v>694679733.4961251</v>
      </c>
      <c r="M96" s="2">
        <f>M8/'Output-Calculation-sheet'!M7*'Output-Calculation-sheet'!M79</f>
        <v>1064347325.2382795</v>
      </c>
      <c r="N96" s="2">
        <f>N8/'Output-Calculation-sheet'!N7*'Output-Calculation-sheet'!N79</f>
        <v>691896749.09518588</v>
      </c>
      <c r="O96" s="2">
        <f>O8/'Output-Calculation-sheet'!O7*'Output-Calculation-sheet'!O79</f>
        <v>259614207.82482713</v>
      </c>
      <c r="P96" s="2">
        <f>P8/'Output-Calculation-sheet'!P7*'Output-Calculation-sheet'!P79</f>
        <v>1317730196.190727</v>
      </c>
      <c r="Q96" s="2">
        <f>Q8/'Output-Calculation-sheet'!Q7*'Output-Calculation-sheet'!Q79</f>
        <v>559465183.10843158</v>
      </c>
      <c r="R96" s="2">
        <f>R8/'Output-Calculation-sheet'!R7*'Output-Calculation-sheet'!R79</f>
        <v>742568476.02559376</v>
      </c>
      <c r="S96" s="2">
        <f>S8/'Output-Calculation-sheet'!S7*'Output-Calculation-sheet'!S79</f>
        <v>418778503.85458022</v>
      </c>
      <c r="T96" s="2">
        <f>T8/'Output-Calculation-sheet'!T7*'Output-Calculation-sheet'!T79</f>
        <v>252640292.76909241</v>
      </c>
      <c r="U96" s="2">
        <f>U8/'Output-Calculation-sheet'!U7*'Output-Calculation-sheet'!U79</f>
        <v>198859600.89639643</v>
      </c>
      <c r="V96" s="2">
        <f>V8/'Output-Calculation-sheet'!V7*'Output-Calculation-sheet'!V79</f>
        <v>91269632.941041261</v>
      </c>
      <c r="W96" s="2">
        <f>W8/'Output-Calculation-sheet'!W7*'Output-Calculation-sheet'!W79</f>
        <v>281010950.18516779</v>
      </c>
      <c r="X96" s="2">
        <f>X8/'Output-Calculation-sheet'!X7*'Output-Calculation-sheet'!X79</f>
        <v>126741472.48106433</v>
      </c>
      <c r="Y96" s="2">
        <f>Y8/'Output-Calculation-sheet'!Y7*'Output-Calculation-sheet'!Y79</f>
        <v>174419583.40605965</v>
      </c>
      <c r="AA96" s="2">
        <f t="shared" si="8"/>
        <v>30.981390023221117</v>
      </c>
    </row>
    <row r="97" spans="1:27" x14ac:dyDescent="0.25">
      <c r="A97" s="2">
        <v>2032</v>
      </c>
      <c r="B97" s="2">
        <f>B9/'Output-Calculation-sheet'!B8*'Output-Calculation-sheet'!B80</f>
        <v>9884575089.4232731</v>
      </c>
      <c r="C97" s="2">
        <f>C9/'Output-Calculation-sheet'!C8*'Output-Calculation-sheet'!C80</f>
        <v>2334561784.8375454</v>
      </c>
      <c r="D97" s="2">
        <f>D9/'Output-Calculation-sheet'!D8*'Output-Calculation-sheet'!D80</f>
        <v>1783343885.6401398</v>
      </c>
      <c r="E97" s="2">
        <f>E9/'Output-Calculation-sheet'!E8*'Output-Calculation-sheet'!E80</f>
        <v>7507624592.322484</v>
      </c>
      <c r="F97" s="2">
        <f>F9/'Output-Calculation-sheet'!F8*'Output-Calculation-sheet'!F80</f>
        <v>2058848354.4627643</v>
      </c>
      <c r="G97" s="2">
        <f>G9/'Output-Calculation-sheet'!G8*'Output-Calculation-sheet'!G80</f>
        <v>1261552548.7558923</v>
      </c>
      <c r="H97" s="2">
        <f>H9/'Output-Calculation-sheet'!H8*'Output-Calculation-sheet'!H80</f>
        <v>1651824976.748395</v>
      </c>
      <c r="I97" s="2">
        <f>I9/'Output-Calculation-sheet'!I8*'Output-Calculation-sheet'!I80</f>
        <v>951447628.27929544</v>
      </c>
      <c r="J97" s="2">
        <f>J9/'Output-Calculation-sheet'!J8*'Output-Calculation-sheet'!J80</f>
        <v>710993705.60002041</v>
      </c>
      <c r="K97" s="2">
        <f>K9/'Output-Calculation-sheet'!K8*'Output-Calculation-sheet'!K80</f>
        <v>876896690.62773061</v>
      </c>
      <c r="L97" s="2">
        <f>L9/'Output-Calculation-sheet'!L8*'Output-Calculation-sheet'!L80</f>
        <v>845827722.28641534</v>
      </c>
      <c r="M97" s="2">
        <f>M9/'Output-Calculation-sheet'!M8*'Output-Calculation-sheet'!M80</f>
        <v>1303178016.5625269</v>
      </c>
      <c r="N97" s="2">
        <f>N9/'Output-Calculation-sheet'!N8*'Output-Calculation-sheet'!N80</f>
        <v>818793243.08095574</v>
      </c>
      <c r="O97" s="2">
        <f>O9/'Output-Calculation-sheet'!O8*'Output-Calculation-sheet'!O80</f>
        <v>304359749.3875277</v>
      </c>
      <c r="P97" s="2">
        <f>P9/'Output-Calculation-sheet'!P8*'Output-Calculation-sheet'!P80</f>
        <v>1535039390.3873401</v>
      </c>
      <c r="Q97" s="2">
        <f>Q9/'Output-Calculation-sheet'!Q8*'Output-Calculation-sheet'!Q80</f>
        <v>663957781.33047688</v>
      </c>
      <c r="R97" s="2">
        <f>R9/'Output-Calculation-sheet'!R8*'Output-Calculation-sheet'!R80</f>
        <v>889708403.31827223</v>
      </c>
      <c r="S97" s="2">
        <f>S9/'Output-Calculation-sheet'!S8*'Output-Calculation-sheet'!S80</f>
        <v>495177379.66456532</v>
      </c>
      <c r="T97" s="2">
        <f>T9/'Output-Calculation-sheet'!T8*'Output-Calculation-sheet'!T80</f>
        <v>288734565.39792657</v>
      </c>
      <c r="U97" s="2">
        <f>U9/'Output-Calculation-sheet'!U8*'Output-Calculation-sheet'!U80</f>
        <v>229752741.57099605</v>
      </c>
      <c r="V97" s="2">
        <f>V9/'Output-Calculation-sheet'!V8*'Output-Calculation-sheet'!V80</f>
        <v>105975279.02816807</v>
      </c>
      <c r="W97" s="2">
        <f>W9/'Output-Calculation-sheet'!W8*'Output-Calculation-sheet'!W80</f>
        <v>327939444.25519568</v>
      </c>
      <c r="X97" s="2">
        <f>X9/'Output-Calculation-sheet'!X8*'Output-Calculation-sheet'!X80</f>
        <v>158831013.36812514</v>
      </c>
      <c r="Y97" s="2">
        <f>Y9/'Output-Calculation-sheet'!Y8*'Output-Calculation-sheet'!Y80</f>
        <v>208498507.11186028</v>
      </c>
      <c r="AA97" s="2">
        <f t="shared" si="8"/>
        <v>37.197442493447909</v>
      </c>
    </row>
    <row r="98" spans="1:27" x14ac:dyDescent="0.25">
      <c r="A98" s="2">
        <v>2033</v>
      </c>
      <c r="B98" s="2">
        <f>B10/'Output-Calculation-sheet'!B9*'Output-Calculation-sheet'!B81</f>
        <v>10978793010.075987</v>
      </c>
      <c r="C98" s="2">
        <f>C10/'Output-Calculation-sheet'!C9*'Output-Calculation-sheet'!C81</f>
        <v>2542261686.1556115</v>
      </c>
      <c r="D98" s="2">
        <f>D10/'Output-Calculation-sheet'!D9*'Output-Calculation-sheet'!D81</f>
        <v>1828886627.0943513</v>
      </c>
      <c r="E98" s="2">
        <f>E10/'Output-Calculation-sheet'!E9*'Output-Calculation-sheet'!E81</f>
        <v>8633050937.8643818</v>
      </c>
      <c r="F98" s="2">
        <f>F10/'Output-Calculation-sheet'!F9*'Output-Calculation-sheet'!F81</f>
        <v>2224311253.9801373</v>
      </c>
      <c r="G98" s="2">
        <f>G10/'Output-Calculation-sheet'!G9*'Output-Calculation-sheet'!G81</f>
        <v>1299490746.4467556</v>
      </c>
      <c r="H98" s="2">
        <f>H10/'Output-Calculation-sheet'!H9*'Output-Calculation-sheet'!H81</f>
        <v>1809092446.5282686</v>
      </c>
      <c r="I98" s="2">
        <f>I10/'Output-Calculation-sheet'!I9*'Output-Calculation-sheet'!I81</f>
        <v>1030985556.1933893</v>
      </c>
      <c r="J98" s="2">
        <f>J10/'Output-Calculation-sheet'!J9*'Output-Calculation-sheet'!J81</f>
        <v>760549238.44957483</v>
      </c>
      <c r="K98" s="2">
        <f>K10/'Output-Calculation-sheet'!K9*'Output-Calculation-sheet'!K81</f>
        <v>920987930.43303084</v>
      </c>
      <c r="L98" s="2">
        <f>L10/'Output-Calculation-sheet'!L9*'Output-Calculation-sheet'!L81</f>
        <v>943922547.87713182</v>
      </c>
      <c r="M98" s="2">
        <f>M10/'Output-Calculation-sheet'!M9*'Output-Calculation-sheet'!M81</f>
        <v>1462745751.5754883</v>
      </c>
      <c r="N98" s="2">
        <f>N10/'Output-Calculation-sheet'!N9*'Output-Calculation-sheet'!N81</f>
        <v>888931503.74295688</v>
      </c>
      <c r="O98" s="2">
        <f>O10/'Output-Calculation-sheet'!O9*'Output-Calculation-sheet'!O81</f>
        <v>327864181.81565917</v>
      </c>
      <c r="P98" s="2">
        <f>P10/'Output-Calculation-sheet'!P9*'Output-Calculation-sheet'!P81</f>
        <v>1626548316.0488453</v>
      </c>
      <c r="Q98" s="2">
        <f>Q10/'Output-Calculation-sheet'!Q9*'Output-Calculation-sheet'!Q81</f>
        <v>722728089.19731379</v>
      </c>
      <c r="R98" s="2">
        <f>R10/'Output-Calculation-sheet'!R9*'Output-Calculation-sheet'!R81</f>
        <v>975522111.85381627</v>
      </c>
      <c r="S98" s="2">
        <f>S10/'Output-Calculation-sheet'!S9*'Output-Calculation-sheet'!S81</f>
        <v>535755533.35823351</v>
      </c>
      <c r="T98" s="2">
        <f>T10/'Output-Calculation-sheet'!T9*'Output-Calculation-sheet'!T81</f>
        <v>301851701.50268662</v>
      </c>
      <c r="U98" s="2">
        <f>U10/'Output-Calculation-sheet'!U9*'Output-Calculation-sheet'!U81</f>
        <v>242547082.94379231</v>
      </c>
      <c r="V98" s="2">
        <f>V10/'Output-Calculation-sheet'!V9*'Output-Calculation-sheet'!V81</f>
        <v>112650036.90597206</v>
      </c>
      <c r="W98" s="2">
        <f>W10/'Output-Calculation-sheet'!W9*'Output-Calculation-sheet'!W81</f>
        <v>348370718.46728987</v>
      </c>
      <c r="X98" s="2">
        <f>X10/'Output-Calculation-sheet'!X9*'Output-Calculation-sheet'!X81</f>
        <v>182627815.84392396</v>
      </c>
      <c r="Y98" s="2">
        <f>Y10/'Output-Calculation-sheet'!Y9*'Output-Calculation-sheet'!Y81</f>
        <v>227367663.75336111</v>
      </c>
      <c r="AA98" s="2">
        <f t="shared" si="8"/>
        <v>40.927842488107956</v>
      </c>
    </row>
    <row r="99" spans="1:27" x14ac:dyDescent="0.25">
      <c r="A99" s="2">
        <v>2034</v>
      </c>
      <c r="B99" s="2">
        <f>B11/'Output-Calculation-sheet'!B10*'Output-Calculation-sheet'!B82</f>
        <v>11385671053.765488</v>
      </c>
      <c r="C99" s="2">
        <f>C11/'Output-Calculation-sheet'!C10*'Output-Calculation-sheet'!C82</f>
        <v>2591757315.7184839</v>
      </c>
      <c r="D99" s="2">
        <f>D11/'Output-Calculation-sheet'!D10*'Output-Calculation-sheet'!D82</f>
        <v>1758056436.4524891</v>
      </c>
      <c r="E99" s="2">
        <f>E11/'Output-Calculation-sheet'!E10*'Output-Calculation-sheet'!E82</f>
        <v>9278730074.7671509</v>
      </c>
      <c r="F99" s="2">
        <f>F11/'Output-Calculation-sheet'!F10*'Output-Calculation-sheet'!F82</f>
        <v>2245974024.8998871</v>
      </c>
      <c r="G99" s="2">
        <f>G11/'Output-Calculation-sheet'!G10*'Output-Calculation-sheet'!G82</f>
        <v>1250022306.825784</v>
      </c>
      <c r="H99" s="2">
        <f>H11/'Output-Calculation-sheet'!H10*'Output-Calculation-sheet'!H82</f>
        <v>1849710043.8060477</v>
      </c>
      <c r="I99" s="2">
        <f>I11/'Output-Calculation-sheet'!I10*'Output-Calculation-sheet'!I82</f>
        <v>1045927558.3129711</v>
      </c>
      <c r="J99" s="2">
        <f>J11/'Output-Calculation-sheet'!J10*'Output-Calculation-sheet'!J82</f>
        <v>762473904.08116388</v>
      </c>
      <c r="K99" s="2">
        <f>K11/'Output-Calculation-sheet'!K10*'Output-Calculation-sheet'!K82</f>
        <v>905328058.29290664</v>
      </c>
      <c r="L99" s="2">
        <f>L11/'Output-Calculation-sheet'!L10*'Output-Calculation-sheet'!L82</f>
        <v>985530611.74820614</v>
      </c>
      <c r="M99" s="2">
        <f>M11/'Output-Calculation-sheet'!M10*'Output-Calculation-sheet'!M82</f>
        <v>1536296804.128463</v>
      </c>
      <c r="N99" s="2">
        <f>N11/'Output-Calculation-sheet'!N10*'Output-Calculation-sheet'!N82</f>
        <v>903911407.8757354</v>
      </c>
      <c r="O99" s="2">
        <f>O11/'Output-Calculation-sheet'!O10*'Output-Calculation-sheet'!O82</f>
        <v>331281444.6402787</v>
      </c>
      <c r="P99" s="2">
        <f>P11/'Output-Calculation-sheet'!P10*'Output-Calculation-sheet'!P82</f>
        <v>1601299813.3374875</v>
      </c>
      <c r="Q99" s="2">
        <f>Q11/'Output-Calculation-sheet'!Q10*'Output-Calculation-sheet'!Q82</f>
        <v>736579001.15529549</v>
      </c>
      <c r="R99" s="2">
        <f>R11/'Output-Calculation-sheet'!R10*'Output-Calculation-sheet'!R82</f>
        <v>999152022.13908803</v>
      </c>
      <c r="S99" s="2">
        <f>S11/'Output-Calculation-sheet'!S10*'Output-Calculation-sheet'!S82</f>
        <v>541455221.47718239</v>
      </c>
      <c r="T99" s="2">
        <f>T11/'Output-Calculation-sheet'!T10*'Output-Calculation-sheet'!T82</f>
        <v>294843793.83839476</v>
      </c>
      <c r="U99" s="2">
        <f>U11/'Output-Calculation-sheet'!U10*'Output-Calculation-sheet'!U82</f>
        <v>238951907.05086431</v>
      </c>
      <c r="V99" s="2">
        <f>V11/'Output-Calculation-sheet'!V10*'Output-Calculation-sheet'!V82</f>
        <v>111930024.78082915</v>
      </c>
      <c r="W99" s="2">
        <f>W11/'Output-Calculation-sheet'!W10*'Output-Calculation-sheet'!W82</f>
        <v>344072770.9452365</v>
      </c>
      <c r="X99" s="2">
        <f>X11/'Output-Calculation-sheet'!X10*'Output-Calculation-sheet'!X82</f>
        <v>196650944.85758826</v>
      </c>
      <c r="Y99" s="2">
        <f>Y11/'Output-Calculation-sheet'!Y10*'Output-Calculation-sheet'!Y82</f>
        <v>230942376.27620319</v>
      </c>
      <c r="AA99" s="2">
        <f t="shared" si="8"/>
        <v>42.126548921173232</v>
      </c>
    </row>
    <row r="100" spans="1:27" x14ac:dyDescent="0.25">
      <c r="A100" s="2">
        <v>2035</v>
      </c>
      <c r="B100" s="2">
        <f>B12/'Output-Calculation-sheet'!B11*'Output-Calculation-sheet'!B83</f>
        <v>11146455136.171528</v>
      </c>
      <c r="C100" s="2">
        <f>C12/'Output-Calculation-sheet'!C11*'Output-Calculation-sheet'!C83</f>
        <v>2501301488.0880437</v>
      </c>
      <c r="D100" s="2">
        <f>D12/'Output-Calculation-sheet'!D11*'Output-Calculation-sheet'!D83</f>
        <v>1602284393.5014172</v>
      </c>
      <c r="E100" s="2">
        <f>E12/'Output-Calculation-sheet'!E11*'Output-Calculation-sheet'!E83</f>
        <v>9422353605.5822868</v>
      </c>
      <c r="F100" s="2">
        <f>F12/'Output-Calculation-sheet'!F11*'Output-Calculation-sheet'!F83</f>
        <v>2143698605.6974046</v>
      </c>
      <c r="G100" s="2">
        <f>G12/'Output-Calculation-sheet'!G11*'Output-Calculation-sheet'!G83</f>
        <v>1136092234.4290154</v>
      </c>
      <c r="H100" s="2">
        <f>H12/'Output-Calculation-sheet'!H11*'Output-Calculation-sheet'!H83</f>
        <v>1785262334.2014849</v>
      </c>
      <c r="I100" s="2">
        <f>I12/'Output-Calculation-sheet'!I11*'Output-Calculation-sheet'!I83</f>
        <v>1004653452.2526901</v>
      </c>
      <c r="J100" s="2">
        <f>J12/'Output-Calculation-sheet'!J11*'Output-Calculation-sheet'!J83</f>
        <v>724473763.1014787</v>
      </c>
      <c r="K100" s="2">
        <f>K12/'Output-Calculation-sheet'!K11*'Output-Calculation-sheet'!K83</f>
        <v>842495281.37124777</v>
      </c>
      <c r="L100" s="2">
        <f>L12/'Output-Calculation-sheet'!L11*'Output-Calculation-sheet'!L83</f>
        <v>973376333.23275602</v>
      </c>
      <c r="M100" s="2">
        <f>M12/'Output-Calculation-sheet'!M11*'Output-Calculation-sheet'!M83</f>
        <v>1526479573.3923495</v>
      </c>
      <c r="N100" s="2">
        <f>N12/'Output-Calculation-sheet'!N11*'Output-Calculation-sheet'!N83</f>
        <v>870586579.25605142</v>
      </c>
      <c r="O100" s="2">
        <f>O12/'Output-Calculation-sheet'!O11*'Output-Calculation-sheet'!O83</f>
        <v>317475555.20294261</v>
      </c>
      <c r="P100" s="2">
        <f>P12/'Output-Calculation-sheet'!P11*'Output-Calculation-sheet'!P83</f>
        <v>1482150813.017529</v>
      </c>
      <c r="Q100" s="2">
        <f>Q12/'Output-Calculation-sheet'!Q11*'Output-Calculation-sheet'!Q83</f>
        <v>710691208.91738498</v>
      </c>
      <c r="R100" s="2">
        <f>R12/'Output-Calculation-sheet'!R11*'Output-Calculation-sheet'!R83</f>
        <v>966592933.24858928</v>
      </c>
      <c r="S100" s="2">
        <f>S12/'Output-Calculation-sheet'!S11*'Output-Calculation-sheet'!S83</f>
        <v>516883963.49337369</v>
      </c>
      <c r="T100" s="2">
        <f>T12/'Output-Calculation-sheet'!T11*'Output-Calculation-sheet'!T83</f>
        <v>272243289.06610668</v>
      </c>
      <c r="U100" s="2">
        <f>U12/'Output-Calculation-sheet'!U11*'Output-Calculation-sheet'!U83</f>
        <v>222248138.28911638</v>
      </c>
      <c r="V100" s="2">
        <f>V12/'Output-Calculation-sheet'!V11*'Output-Calculation-sheet'!V83</f>
        <v>105138440.43620612</v>
      </c>
      <c r="W100" s="2">
        <f>W12/'Output-Calculation-sheet'!W11*'Output-Calculation-sheet'!W83</f>
        <v>319694069.8145771</v>
      </c>
      <c r="X100" s="2">
        <f>X12/'Output-Calculation-sheet'!X11*'Output-Calculation-sheet'!X83</f>
        <v>200483325.87728614</v>
      </c>
      <c r="Y100" s="2">
        <f>Y12/'Output-Calculation-sheet'!Y11*'Output-Calculation-sheet'!Y83</f>
        <v>220993616.38220632</v>
      </c>
      <c r="AA100" s="2">
        <f t="shared" si="8"/>
        <v>41.014108134023068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1348.4579659752544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327.45990194549421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31.333904462982034</v>
      </c>
      <c r="Y107" s="2">
        <f>Y8/'Output-Calculation-sheet'!Y7*'Output-Calculation-sheet'!Y88</f>
        <v>0</v>
      </c>
      <c r="AA107" s="2">
        <f t="shared" si="9"/>
        <v>1.7072517723837306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2499.570539844497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485.59711583822286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41.487232331936298</v>
      </c>
      <c r="Y108" s="2">
        <f>Y9/'Output-Calculation-sheet'!Y8*'Output-Calculation-sheet'!Y89</f>
        <v>0</v>
      </c>
      <c r="AA108" s="2">
        <f t="shared" si="9"/>
        <v>3.0266548880146562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633.49232592614055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3.9364365495888847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827.43952850794847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4.79766384525613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3031.5852410636007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109.58028157299306</v>
      </c>
      <c r="Y111" s="2">
        <f>Y12/'Output-Calculation-sheet'!Y11*'Output-Calculation-sheet'!Y92</f>
        <v>0</v>
      </c>
      <c r="AA111" s="2">
        <f t="shared" si="9"/>
        <v>4.1227535101272981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11160709370.356754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6945605549.9436169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4791879511.9330416</v>
      </c>
      <c r="N118" s="2">
        <f>N8/'Output-Calculation-sheet'!N7*'Output-Calculation-sheet'!N97</f>
        <v>1607164958.7911432</v>
      </c>
      <c r="O118" s="2">
        <f>O8/'Output-Calculation-sheet'!O7*'Output-Calculation-sheet'!O97</f>
        <v>1540898716.775517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481022908.59266907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260919762.33274052</v>
      </c>
      <c r="Y118" s="2">
        <f>Y8/'Output-Calculation-sheet'!Y7*'Output-Calculation-sheet'!Y97</f>
        <v>0</v>
      </c>
      <c r="AA118" s="2">
        <f t="shared" si="10"/>
        <v>28139.905465416177</v>
      </c>
    </row>
    <row r="119" spans="1:27" x14ac:dyDescent="0.25">
      <c r="A119" s="2">
        <v>2032</v>
      </c>
      <c r="B119" s="2">
        <f>B9/'Output-Calculation-sheet'!B8*'Output-Calculation-sheet'!B98</f>
        <v>5879980166.2575245</v>
      </c>
      <c r="C119" s="2">
        <f>C9/'Output-Calculation-sheet'!C8*'Output-Calculation-sheet'!C98</f>
        <v>8675564151.2736721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9196283607.525341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6344632085.7767267</v>
      </c>
      <c r="N119" s="2">
        <f>N9/'Output-Calculation-sheet'!N8*'Output-Calculation-sheet'!N98</f>
        <v>2985672990.6621766</v>
      </c>
      <c r="O119" s="2">
        <f>O9/'Output-Calculation-sheet'!O8*'Output-Calculation-sheet'!O98</f>
        <v>1673122610.3148649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894470820.29632449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348942861.11930519</v>
      </c>
      <c r="Y119" s="2">
        <f>Y9/'Output-Calculation-sheet'!Y8*'Output-Calculation-sheet'!Y98</f>
        <v>0</v>
      </c>
      <c r="AA119" s="2">
        <f t="shared" si="10"/>
        <v>35998.669293225939</v>
      </c>
    </row>
    <row r="120" spans="1:27" x14ac:dyDescent="0.25">
      <c r="A120" s="2">
        <v>2033</v>
      </c>
      <c r="B120" s="2">
        <f>B10/'Output-Calculation-sheet'!B9*'Output-Calculation-sheet'!B99</f>
        <v>15085316687.675694</v>
      </c>
      <c r="C120" s="2">
        <f>C10/'Output-Calculation-sheet'!C9*'Output-Calculation-sheet'!C99</f>
        <v>8746165740.2542343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4529141220.2554712</v>
      </c>
      <c r="O120" s="2">
        <f>O10/'Output-Calculation-sheet'!O9*'Output-Calculation-sheet'!O99</f>
        <v>1678761062.6166556</v>
      </c>
      <c r="P120" s="2">
        <f>P10/'Output-Calculation-sheet'!P9*'Output-Calculation-sheet'!P99</f>
        <v>0</v>
      </c>
      <c r="Q120" s="2">
        <f>Q10/'Output-Calculation-sheet'!Q9*'Output-Calculation-sheet'!Q99</f>
        <v>145929810.8725194</v>
      </c>
      <c r="R120" s="2">
        <f>R10/'Output-Calculation-sheet'!R9*'Output-Calculation-sheet'!R99</f>
        <v>0</v>
      </c>
      <c r="S120" s="2">
        <f>S10/'Output-Calculation-sheet'!S9*'Output-Calculation-sheet'!S99</f>
        <v>1826939387.2900207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496836853.36033994</v>
      </c>
      <c r="Y120" s="2">
        <f>Y10/'Output-Calculation-sheet'!Y9*'Output-Calculation-sheet'!Y99</f>
        <v>0</v>
      </c>
      <c r="AA120" s="2">
        <f t="shared" si="10"/>
        <v>51432.164053938381</v>
      </c>
    </row>
    <row r="121" spans="1:27" x14ac:dyDescent="0.25">
      <c r="A121" s="2">
        <v>2034</v>
      </c>
      <c r="B121" s="2">
        <f>B11/'Output-Calculation-sheet'!B10*'Output-Calculation-sheet'!B100</f>
        <v>32929942385.276424</v>
      </c>
      <c r="C121" s="2">
        <f>C11/'Output-Calculation-sheet'!C10*'Output-Calculation-sheet'!C100</f>
        <v>8488560353.8196602</v>
      </c>
      <c r="D121" s="2">
        <f>D11/'Output-Calculation-sheet'!D10*'Output-Calculation-sheet'!D100</f>
        <v>0</v>
      </c>
      <c r="E121" s="2">
        <f>E11/'Output-Calculation-sheet'!E10*'Output-Calculation-sheet'!E100</f>
        <v>697779434.68044889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12509281767.62417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584996993.16373599</v>
      </c>
      <c r="M121" s="2">
        <f>M11/'Output-Calculation-sheet'!M10*'Output-Calculation-sheet'!M100</f>
        <v>8829451833.6035976</v>
      </c>
      <c r="N121" s="2">
        <f>N11/'Output-Calculation-sheet'!N10*'Output-Calculation-sheet'!N100</f>
        <v>6098664961.0683231</v>
      </c>
      <c r="O121" s="2">
        <f>O11/'Output-Calculation-sheet'!O10*'Output-Calculation-sheet'!O100</f>
        <v>906480599.91893768</v>
      </c>
      <c r="P121" s="2">
        <f>P11/'Output-Calculation-sheet'!P10*'Output-Calculation-sheet'!P100</f>
        <v>0</v>
      </c>
      <c r="Q121" s="2">
        <f>Q11/'Output-Calculation-sheet'!Q10*'Output-Calculation-sheet'!Q100</f>
        <v>1024029593.7235897</v>
      </c>
      <c r="R121" s="2">
        <f>R11/'Output-Calculation-sheet'!R10*'Output-Calculation-sheet'!R100</f>
        <v>0</v>
      </c>
      <c r="S121" s="2">
        <f>S11/'Output-Calculation-sheet'!S10*'Output-Calculation-sheet'!S100</f>
        <v>2819397241.5286102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38176791.613986269</v>
      </c>
      <c r="AA121" s="2">
        <f t="shared" si="10"/>
        <v>75349.754034055688</v>
      </c>
    </row>
    <row r="122" spans="1:27" x14ac:dyDescent="0.25">
      <c r="A122" s="2">
        <v>2035</v>
      </c>
      <c r="B122" s="2">
        <f>B12/'Output-Calculation-sheet'!B11*'Output-Calculation-sheet'!B101</f>
        <v>33721220002.222668</v>
      </c>
      <c r="C122" s="2">
        <f>C12/'Output-Calculation-sheet'!C11*'Output-Calculation-sheet'!C101</f>
        <v>14022975933.872084</v>
      </c>
      <c r="D122" s="2">
        <f>D12/'Output-Calculation-sheet'!D11*'Output-Calculation-sheet'!D101</f>
        <v>0</v>
      </c>
      <c r="E122" s="2">
        <f>E12/'Output-Calculation-sheet'!E11*'Output-Calculation-sheet'!E101</f>
        <v>2746861019.4639373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12157823085.239172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1391681971.8395166</v>
      </c>
      <c r="M122" s="2">
        <f>M12/'Output-Calculation-sheet'!M11*'Output-Calculation-sheet'!M101</f>
        <v>8698214141.9936237</v>
      </c>
      <c r="N122" s="2">
        <f>N12/'Output-Calculation-sheet'!N11*'Output-Calculation-sheet'!N101</f>
        <v>6177049527.7967587</v>
      </c>
      <c r="O122" s="2">
        <f>O12/'Output-Calculation-sheet'!O11*'Output-Calculation-sheet'!O101</f>
        <v>39823967.996797539</v>
      </c>
      <c r="P122" s="2">
        <f>P12/'Output-Calculation-sheet'!P11*'Output-Calculation-sheet'!P101</f>
        <v>263966916.97025099</v>
      </c>
      <c r="Q122" s="2">
        <f>Q12/'Output-Calculation-sheet'!Q11*'Output-Calculation-sheet'!Q101</f>
        <v>1189003317.8093491</v>
      </c>
      <c r="R122" s="2">
        <f>R12/'Output-Calculation-sheet'!R11*'Output-Calculation-sheet'!R101</f>
        <v>0</v>
      </c>
      <c r="S122" s="2">
        <f>S12/'Output-Calculation-sheet'!S11*'Output-Calculation-sheet'!S101</f>
        <v>2931668089.1688914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106430204.25790448</v>
      </c>
      <c r="Y122" s="2">
        <f>Y12/'Output-Calculation-sheet'!Y11*'Output-Calculation-sheet'!Y101</f>
        <v>62777541.369837187</v>
      </c>
      <c r="AA122" s="2">
        <f t="shared" si="10"/>
        <v>83509.495720000763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3096855504.5119696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2212953731.4325967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145836.46273187461</v>
      </c>
    </row>
    <row r="130" spans="1:27" x14ac:dyDescent="0.25">
      <c r="A130" s="2">
        <v>2032</v>
      </c>
      <c r="B130" s="2">
        <f>B9/'Output-Calculation-sheet'!B8*'Output-Calculation-sheet'!B107</f>
        <v>56679696363.530602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3242106612.8653975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2672262200.3891115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187886.46739086189</v>
      </c>
    </row>
    <row r="131" spans="1:27" x14ac:dyDescent="0.25">
      <c r="A131" s="2">
        <v>2033</v>
      </c>
      <c r="B131" s="2">
        <f>B10/'Output-Calculation-sheet'!B9*'Output-Calculation-sheet'!B108</f>
        <v>61082278075.156288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3053311278.3985186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6646139190.687748</v>
      </c>
      <c r="R131" s="2">
        <f>R10/'Output-Calculation-sheet'!R9*'Output-Calculation-sheet'!R108</f>
        <v>6534049993.9380512</v>
      </c>
      <c r="S131" s="2">
        <f>S10/'Output-Calculation-sheet'!S9*'Output-Calculation-sheet'!S108</f>
        <v>2515596149.7750506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219060.06773103424</v>
      </c>
    </row>
    <row r="132" spans="1:27" x14ac:dyDescent="0.25">
      <c r="A132" s="2">
        <v>2034</v>
      </c>
      <c r="B132" s="2">
        <f>B11/'Output-Calculation-sheet'!B10*'Output-Calculation-sheet'!B109</f>
        <v>53405719018.005844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28311226827.116848</v>
      </c>
      <c r="F132" s="2">
        <f>F11/'Output-Calculation-sheet'!F10*'Output-Calculation-sheet'!F109</f>
        <v>18675057464.366367</v>
      </c>
      <c r="G132" s="2">
        <f>G11/'Output-Calculation-sheet'!G10*'Output-Calculation-sheet'!G109</f>
        <v>13084888390.396839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11635580262.911186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8659731182.5349884</v>
      </c>
      <c r="M132" s="2">
        <f>M11/'Output-Calculation-sheet'!M10*'Output-Calculation-sheet'!M109</f>
        <v>4.7739218856409289E-9</v>
      </c>
      <c r="N132" s="2">
        <f>N11/'Output-Calculation-sheet'!N10*'Output-Calculation-sheet'!N109</f>
        <v>2567401092.9065576</v>
      </c>
      <c r="O132" s="2">
        <f>O11/'Output-Calculation-sheet'!O10*'Output-Calculation-sheet'!O109</f>
        <v>0</v>
      </c>
      <c r="P132" s="2">
        <f>P11/'Output-Calculation-sheet'!P10*'Output-Calculation-sheet'!P109</f>
        <v>7889382184.0300217</v>
      </c>
      <c r="Q132" s="2">
        <f>Q11/'Output-Calculation-sheet'!Q10*'Output-Calculation-sheet'!Q109</f>
        <v>6492122213.51507</v>
      </c>
      <c r="R132" s="2">
        <f>R11/'Output-Calculation-sheet'!R10*'Output-Calculation-sheet'!R109</f>
        <v>7467349324.7748604</v>
      </c>
      <c r="S132" s="2">
        <f>S11/'Output-Calculation-sheet'!S10*'Output-Calculation-sheet'!S109</f>
        <v>2052593200.1975715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2313300964.3574739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891875913.69290066</v>
      </c>
      <c r="AA132" s="2">
        <f t="shared" si="11"/>
        <v>229669.42338728491</v>
      </c>
    </row>
    <row r="133" spans="1:27" x14ac:dyDescent="0.25">
      <c r="A133" s="2">
        <v>2035</v>
      </c>
      <c r="B133" s="2">
        <f>B12/'Output-Calculation-sheet'!B11*'Output-Calculation-sheet'!B110</f>
        <v>50025706372.838097</v>
      </c>
      <c r="C133" s="2">
        <f>C12/'Output-Calculation-sheet'!C11*'Output-Calculation-sheet'!C110</f>
        <v>0</v>
      </c>
      <c r="D133" s="2">
        <f>D12/'Output-Calculation-sheet'!D11*'Output-Calculation-sheet'!D110</f>
        <v>35103478579.828667</v>
      </c>
      <c r="E133" s="2">
        <f>E12/'Output-Calculation-sheet'!E11*'Output-Calculation-sheet'!E110</f>
        <v>27233343155.47583</v>
      </c>
      <c r="F133" s="2">
        <f>F12/'Output-Calculation-sheet'!F11*'Output-Calculation-sheet'!F110</f>
        <v>18582373626.27631</v>
      </c>
      <c r="G133" s="2">
        <f>G12/'Output-Calculation-sheet'!G11*'Output-Calculation-sheet'!G110</f>
        <v>12582986510.55735</v>
      </c>
      <c r="H133" s="2">
        <f>H12/'Output-Calculation-sheet'!H11*'Output-Calculation-sheet'!H110</f>
        <v>0</v>
      </c>
      <c r="I133" s="2">
        <f>I12/'Output-Calculation-sheet'!I11*'Output-Calculation-sheet'!I110</f>
        <v>11541804601.604868</v>
      </c>
      <c r="J133" s="2">
        <f>J12/'Output-Calculation-sheet'!J11*'Output-Calculation-sheet'!J110</f>
        <v>11554690238.057106</v>
      </c>
      <c r="K133" s="2">
        <f>K12/'Output-Calculation-sheet'!K11*'Output-Calculation-sheet'!K110</f>
        <v>11337826304.073198</v>
      </c>
      <c r="L133" s="2">
        <f>L12/'Output-Calculation-sheet'!L11*'Output-Calculation-sheet'!L110</f>
        <v>8149865243.809804</v>
      </c>
      <c r="M133" s="2">
        <f>M12/'Output-Calculation-sheet'!M11*'Output-Calculation-sheet'!M110</f>
        <v>0</v>
      </c>
      <c r="N133" s="2">
        <f>N12/'Output-Calculation-sheet'!N11*'Output-Calculation-sheet'!N110</f>
        <v>2368409978.433362</v>
      </c>
      <c r="O133" s="2">
        <f>O12/'Output-Calculation-sheet'!O11*'Output-Calculation-sheet'!O110</f>
        <v>0</v>
      </c>
      <c r="P133" s="2">
        <f>P12/'Output-Calculation-sheet'!P11*'Output-Calculation-sheet'!P110</f>
        <v>7632915024.1103907</v>
      </c>
      <c r="Q133" s="2">
        <f>Q12/'Output-Calculation-sheet'!Q11*'Output-Calculation-sheet'!Q110</f>
        <v>6097150069.6028376</v>
      </c>
      <c r="R133" s="2">
        <f>R12/'Output-Calculation-sheet'!R11*'Output-Calculation-sheet'!R110</f>
        <v>7547041049.8962584</v>
      </c>
      <c r="S133" s="2">
        <f>S12/'Output-Calculation-sheet'!S11*'Output-Calculation-sheet'!S110</f>
        <v>1819032132.3124831</v>
      </c>
      <c r="T133" s="2">
        <f>T12/'Output-Calculation-sheet'!T11*'Output-Calculation-sheet'!T110</f>
        <v>2820651486.0650287</v>
      </c>
      <c r="U133" s="2">
        <f>U12/'Output-Calculation-sheet'!U11*'Output-Calculation-sheet'!U110</f>
        <v>2228580990.2312856</v>
      </c>
      <c r="V133" s="2">
        <f>V12/'Output-Calculation-sheet'!V11*'Output-Calculation-sheet'!V110</f>
        <v>1940740175.7845051</v>
      </c>
      <c r="W133" s="2">
        <f>W12/'Output-Calculation-sheet'!W11*'Output-Calculation-sheet'!W110</f>
        <v>1634332551.0994117</v>
      </c>
      <c r="X133" s="2">
        <f>X12/'Output-Calculation-sheet'!X11*'Output-Calculation-sheet'!X110</f>
        <v>762772.58008779131</v>
      </c>
      <c r="Y133" s="2">
        <f>Y12/'Output-Calculation-sheet'!Y11*'Output-Calculation-sheet'!Y110</f>
        <v>860825471.05192816</v>
      </c>
      <c r="AA133" s="2">
        <f t="shared" si="11"/>
        <v>221062.51633368884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11104831548.864086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2785431763.0219641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258140912.98077184</v>
      </c>
      <c r="Y140" s="2">
        <f>Y8/'Output-Calculation-sheet'!Y7*'Output-Calculation-sheet'!Y115</f>
        <v>0</v>
      </c>
      <c r="AA140" s="2">
        <f t="shared" si="12"/>
        <v>14148.404224866823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20805636811.89978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4055055744.6631174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338270513.05976588</v>
      </c>
      <c r="Y141" s="2">
        <f>Y9/'Output-Calculation-sheet'!Y8*'Output-Calculation-sheet'!Y116</f>
        <v>0</v>
      </c>
      <c r="AA141" s="2">
        <f t="shared" si="12"/>
        <v>25198.963069622663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27149120999.692368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5295682298.0357637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339866602.71684265</v>
      </c>
      <c r="Y142" s="2">
        <f>Y10/'Output-Calculation-sheet'!Y9*'Output-Calculation-sheet'!Y117</f>
        <v>0</v>
      </c>
      <c r="AA142" s="2">
        <f t="shared" si="12"/>
        <v>32784.669900444977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32535170707.817314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7064651829.4811068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40133.116771668218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24917793357.154274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8590722088.961935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923470440.55551875</v>
      </c>
      <c r="Y144" s="2">
        <f>Y12/'Output-Calculation-sheet'!Y11*'Output-Calculation-sheet'!Y119</f>
        <v>0</v>
      </c>
      <c r="AA144" s="2">
        <f t="shared" si="12"/>
        <v>34431.985886671733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13283990246.886059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1915306640.2633727</v>
      </c>
      <c r="H154" s="2">
        <f>H11/'Output-Calculation-sheet'!H10*'Output-Calculation-sheet'!H127</f>
        <v>2180172709.1063142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1388175060.3897338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814315457.87483323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431340872.43922722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51231.693467573583</v>
      </c>
    </row>
    <row r="155" spans="1:27" x14ac:dyDescent="0.25">
      <c r="A155" s="2">
        <v>2035</v>
      </c>
      <c r="B155" s="2">
        <f>B12/'Output-Calculation-sheet'!B11*'Output-Calculation-sheet'!B128</f>
        <v>12493882312.567383</v>
      </c>
      <c r="C155" s="2">
        <f>C12/'Output-Calculation-sheet'!C11*'Output-Calculation-sheet'!C128</f>
        <v>5968421413.2438011</v>
      </c>
      <c r="D155" s="2">
        <f>D12/'Output-Calculation-sheet'!D11*'Output-Calculation-sheet'!D128</f>
        <v>4795128992.4065619</v>
      </c>
      <c r="E155" s="2">
        <f>E12/'Output-Calculation-sheet'!E11*'Output-Calculation-sheet'!E128</f>
        <v>2357954222.0792131</v>
      </c>
      <c r="F155" s="2">
        <f>F12/'Output-Calculation-sheet'!F11*'Output-Calculation-sheet'!F128</f>
        <v>1925445617.035006</v>
      </c>
      <c r="G155" s="2">
        <f>G12/'Output-Calculation-sheet'!G11*'Output-Calculation-sheet'!G128</f>
        <v>1830373749.0571184</v>
      </c>
      <c r="H155" s="2">
        <f>H12/'Output-Calculation-sheet'!H11*'Output-Calculation-sheet'!H128</f>
        <v>2050085592.7339752</v>
      </c>
      <c r="I155" s="2">
        <f>I12/'Output-Calculation-sheet'!I11*'Output-Calculation-sheet'!I128</f>
        <v>1575438335.6161292</v>
      </c>
      <c r="J155" s="2">
        <f>J12/'Output-Calculation-sheet'!J11*'Output-Calculation-sheet'!J128</f>
        <v>1146897025.2672544</v>
      </c>
      <c r="K155" s="2">
        <f>K12/'Output-Calculation-sheet'!K11*'Output-Calculation-sheet'!K128</f>
        <v>1267596902.9715943</v>
      </c>
      <c r="L155" s="2">
        <f>L12/'Output-Calculation-sheet'!L11*'Output-Calculation-sheet'!L128</f>
        <v>551855562.60664725</v>
      </c>
      <c r="M155" s="2">
        <f>M12/'Output-Calculation-sheet'!M11*'Output-Calculation-sheet'!M128</f>
        <v>1094848940.3486342</v>
      </c>
      <c r="N155" s="2">
        <f>N12/'Output-Calculation-sheet'!N11*'Output-Calculation-sheet'!N128</f>
        <v>964815584.78533912</v>
      </c>
      <c r="O155" s="2">
        <f>O12/'Output-Calculation-sheet'!O11*'Output-Calculation-sheet'!O128</f>
        <v>15812048.198700042</v>
      </c>
      <c r="P155" s="2">
        <f>P12/'Output-Calculation-sheet'!P11*'Output-Calculation-sheet'!P128</f>
        <v>840602476.25825965</v>
      </c>
      <c r="Q155" s="2">
        <f>Q12/'Output-Calculation-sheet'!Q11*'Output-Calculation-sheet'!Q128</f>
        <v>1265641370.525522</v>
      </c>
      <c r="R155" s="2">
        <f>R12/'Output-Calculation-sheet'!R11*'Output-Calculation-sheet'!R128</f>
        <v>647978172.84966314</v>
      </c>
      <c r="S155" s="2">
        <f>S12/'Output-Calculation-sheet'!S11*'Output-Calculation-sheet'!S128</f>
        <v>717750786.19274414</v>
      </c>
      <c r="T155" s="2">
        <f>T12/'Output-Calculation-sheet'!T11*'Output-Calculation-sheet'!T128</f>
        <v>176530174.48443979</v>
      </c>
      <c r="U155" s="2">
        <f>U12/'Output-Calculation-sheet'!U11*'Output-Calculation-sheet'!U128</f>
        <v>409118706.75666058</v>
      </c>
      <c r="V155" s="2">
        <f>V12/'Output-Calculation-sheet'!V11*'Output-Calculation-sheet'!V128</f>
        <v>61040917.155602805</v>
      </c>
      <c r="W155" s="2">
        <f>W12/'Output-Calculation-sheet'!W11*'Output-Calculation-sheet'!W128</f>
        <v>123064649.38369147</v>
      </c>
      <c r="X155" s="2">
        <f>X12/'Output-Calculation-sheet'!X11*'Output-Calculation-sheet'!X128</f>
        <v>8701959.2314402517</v>
      </c>
      <c r="Y155" s="2">
        <f>Y12/'Output-Calculation-sheet'!Y11*'Output-Calculation-sheet'!Y128</f>
        <v>116897791.99552946</v>
      </c>
      <c r="AA155" s="2">
        <f t="shared" si="13"/>
        <v>42405.883303750896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9072.9874738584931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5717.2962624864067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3968.5986048345198</v>
      </c>
      <c r="N19" s="2">
        <f>N8/'Output-Calculation-sheet'!N7*'Output-Calculation-sheet'!N25</f>
        <v>1355.7795416338677</v>
      </c>
      <c r="O19" s="2">
        <f>O8/'Output-Calculation-sheet'!O7*'Output-Calculation-sheet'!O25</f>
        <v>1171.0488674383907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209.5164764427488</v>
      </c>
      <c r="Y19" s="2">
        <f>Y8/'Output-Calculation-sheet'!Y7*'Output-Calculation-sheet'!Y25</f>
        <v>0</v>
      </c>
      <c r="AA19" s="2">
        <f t="shared" si="0"/>
        <v>23.252383863028331</v>
      </c>
    </row>
    <row r="20" spans="1:27" x14ac:dyDescent="0.25">
      <c r="A20" s="2">
        <v>2032</v>
      </c>
      <c r="B20" s="2">
        <f>B9/'Output-Calculation-sheet'!B8*'Output-Calculation-sheet'!B26</f>
        <v>7258.7796214077089</v>
      </c>
      <c r="C20" s="2">
        <f>C9/'Output-Calculation-sheet'!C8*'Output-Calculation-sheet'!C26</f>
        <v>7006.4529447453806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7894.5814675768734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5487.5886558019683</v>
      </c>
      <c r="N20" s="2">
        <f>N9/'Output-Calculation-sheet'!N8*'Output-Calculation-sheet'!N26</f>
        <v>2470.8675781249945</v>
      </c>
      <c r="O20" s="2">
        <f>O9/'Output-Calculation-sheet'!O8*'Output-Calculation-sheet'!O26</f>
        <v>1347.9677574014986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898.21543014190229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293.20608238227851</v>
      </c>
      <c r="Y20" s="2">
        <f>Y9/'Output-Calculation-sheet'!Y8*'Output-Calculation-sheet'!Y26</f>
        <v>0</v>
      </c>
      <c r="AA20" s="2">
        <f t="shared" si="0"/>
        <v>32.65765953758261</v>
      </c>
    </row>
    <row r="21" spans="1:27" x14ac:dyDescent="0.25">
      <c r="A21" s="2">
        <v>2033</v>
      </c>
      <c r="B21" s="2">
        <f>B10/'Output-Calculation-sheet'!B9*'Output-Calculation-sheet'!B27</f>
        <v>17038.553484525764</v>
      </c>
      <c r="C21" s="2">
        <f>C10/'Output-Calculation-sheet'!C9*'Output-Calculation-sheet'!C27</f>
        <v>7079.8117213230944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9898.8911337742484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6878.3223427684898</v>
      </c>
      <c r="N21" s="2">
        <f>N10/'Output-Calculation-sheet'!N9*'Output-Calculation-sheet'!N27</f>
        <v>3756.6391324166584</v>
      </c>
      <c r="O21" s="2">
        <f>O10/'Output-Calculation-sheet'!O9*'Output-Calculation-sheet'!O27</f>
        <v>1361.5285064628063</v>
      </c>
      <c r="P21" s="2">
        <f>P10/'Output-Calculation-sheet'!P9*'Output-Calculation-sheet'!P27</f>
        <v>0</v>
      </c>
      <c r="Q21" s="2">
        <f>Q10/'Output-Calculation-sheet'!Q9*'Output-Calculation-sheet'!Q27</f>
        <v>251.77665252124061</v>
      </c>
      <c r="R21" s="2">
        <f>R10/'Output-Calculation-sheet'!R9*'Output-Calculation-sheet'!R27</f>
        <v>0</v>
      </c>
      <c r="S21" s="2">
        <f>S10/'Output-Calculation-sheet'!S9*'Output-Calculation-sheet'!S27</f>
        <v>1635.3301164108757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435.86534990546426</v>
      </c>
      <c r="Y21" s="2">
        <f>Y10/'Output-Calculation-sheet'!Y9*'Output-Calculation-sheet'!Y27</f>
        <v>0</v>
      </c>
      <c r="AA21" s="2">
        <f t="shared" si="0"/>
        <v>48.336718440108648</v>
      </c>
    </row>
    <row r="22" spans="1:27" x14ac:dyDescent="0.25">
      <c r="A22" s="2">
        <v>2034</v>
      </c>
      <c r="B22" s="2">
        <f>B11/'Output-Calculation-sheet'!B10*'Output-Calculation-sheet'!B28</f>
        <v>31428.291653812354</v>
      </c>
      <c r="C22" s="2">
        <f>C11/'Output-Calculation-sheet'!C10*'Output-Calculation-sheet'!C28</f>
        <v>6841.7611313674024</v>
      </c>
      <c r="D22" s="2">
        <f>D11/'Output-Calculation-sheet'!D10*'Output-Calculation-sheet'!D28</f>
        <v>0</v>
      </c>
      <c r="E22" s="2">
        <f>E11/'Output-Calculation-sheet'!E10*'Output-Calculation-sheet'!E28</f>
        <v>1614.7791252790153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12003.232413682032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979.30362449484903</v>
      </c>
      <c r="M22" s="2">
        <f>M11/'Output-Calculation-sheet'!M10*'Output-Calculation-sheet'!M28</f>
        <v>8905.7283429930339</v>
      </c>
      <c r="N22" s="2">
        <f>N11/'Output-Calculation-sheet'!N10*'Output-Calculation-sheet'!N28</f>
        <v>5128.1857075315338</v>
      </c>
      <c r="O22" s="2">
        <f>O11/'Output-Calculation-sheet'!O10*'Output-Calculation-sheet'!O28</f>
        <v>727.72056230818896</v>
      </c>
      <c r="P22" s="2">
        <f>P11/'Output-Calculation-sheet'!P10*'Output-Calculation-sheet'!P28</f>
        <v>0</v>
      </c>
      <c r="Q22" s="2">
        <f>Q11/'Output-Calculation-sheet'!Q10*'Output-Calculation-sheet'!Q28</f>
        <v>1480.0726479939985</v>
      </c>
      <c r="R22" s="2">
        <f>R11/'Output-Calculation-sheet'!R10*'Output-Calculation-sheet'!R28</f>
        <v>0</v>
      </c>
      <c r="S22" s="2">
        <f>S11/'Output-Calculation-sheet'!S10*'Output-Calculation-sheet'!S28</f>
        <v>2446.2137974966472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89.14157537118615</v>
      </c>
      <c r="AA22" s="2">
        <f t="shared" si="0"/>
        <v>72.009099728314226</v>
      </c>
    </row>
    <row r="23" spans="1:27" x14ac:dyDescent="0.25">
      <c r="A23" s="2">
        <v>2035</v>
      </c>
      <c r="B23" s="2">
        <f>B12/'Output-Calculation-sheet'!B11*'Output-Calculation-sheet'!B29</f>
        <v>30871.789268566205</v>
      </c>
      <c r="C23" s="2">
        <f>C12/'Output-Calculation-sheet'!C11*'Output-Calculation-sheet'!C29</f>
        <v>11609.178097496333</v>
      </c>
      <c r="D23" s="2">
        <f>D12/'Output-Calculation-sheet'!D11*'Output-Calculation-sheet'!D29</f>
        <v>0</v>
      </c>
      <c r="E23" s="2">
        <f>E12/'Output-Calculation-sheet'!E11*'Output-Calculation-sheet'!E29</f>
        <v>5238.3988038477255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11266.000892801649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1882.9529114270392</v>
      </c>
      <c r="M23" s="2">
        <f>M12/'Output-Calculation-sheet'!M11*'Output-Calculation-sheet'!M29</f>
        <v>8657.5868672531215</v>
      </c>
      <c r="N23" s="2">
        <f>N12/'Output-Calculation-sheet'!N11*'Output-Calculation-sheet'!N29</f>
        <v>5150.7843198421106</v>
      </c>
      <c r="O23" s="2">
        <f>O12/'Output-Calculation-sheet'!O11*'Output-Calculation-sheet'!O29</f>
        <v>31.546317248286915</v>
      </c>
      <c r="P23" s="2">
        <f>P12/'Output-Calculation-sheet'!P11*'Output-Calculation-sheet'!P29</f>
        <v>583.87127672498468</v>
      </c>
      <c r="Q23" s="2">
        <f>Q12/'Output-Calculation-sheet'!Q11*'Output-Calculation-sheet'!Q29</f>
        <v>1591.6359245191459</v>
      </c>
      <c r="R23" s="2">
        <f>R12/'Output-Calculation-sheet'!R11*'Output-Calculation-sheet'!R29</f>
        <v>0</v>
      </c>
      <c r="S23" s="2">
        <f>S12/'Output-Calculation-sheet'!S11*'Output-Calculation-sheet'!S29</f>
        <v>2460.7675438579931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84.307787071083808</v>
      </c>
      <c r="Y23" s="2">
        <f>Y12/'Output-Calculation-sheet'!Y11*'Output-Calculation-sheet'!Y29</f>
        <v>123.6737024082546</v>
      </c>
      <c r="AA23" s="2">
        <f t="shared" si="0"/>
        <v>79.552493713063924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1847.8768923089065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47.493192208801389</v>
      </c>
    </row>
    <row r="31" spans="1:27" x14ac:dyDescent="0.25">
      <c r="A31" s="2">
        <v>2032</v>
      </c>
      <c r="B31" s="2">
        <f>B9/'Output-Calculation-sheet'!B8*'Output-Calculation-sheet'!B17</f>
        <v>30735.767156140198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2105.2787533990136</v>
      </c>
      <c r="O31" s="2">
        <f>O9/'Output-Calculation-sheet'!O8*'Output-Calculation-sheet'!O17</f>
        <v>0</v>
      </c>
      <c r="P31" s="2">
        <f>P9/'Output-Calculation-sheet'!P8*'Output-Calculation-sheet'!P17</f>
        <v>2606.1910333701576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1565.7917387551608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66.933246199450423</v>
      </c>
    </row>
    <row r="32" spans="1:27" x14ac:dyDescent="0.25">
      <c r="A32" s="2">
        <v>2033</v>
      </c>
      <c r="B32" s="2">
        <f>B10/'Output-Calculation-sheet'!B9*'Output-Calculation-sheet'!B18</f>
        <v>34792.74526310189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3311.2695249202347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2121.5338190045413</v>
      </c>
      <c r="O32" s="2">
        <f>O10/'Output-Calculation-sheet'!O9*'Output-Calculation-sheet'!O18</f>
        <v>0</v>
      </c>
      <c r="P32" s="2">
        <f>P10/'Output-Calculation-sheet'!P9*'Output-Calculation-sheet'!P18</f>
        <v>3407.9577143165952</v>
      </c>
      <c r="Q32" s="2">
        <f>Q10/'Output-Calculation-sheet'!Q9*'Output-Calculation-sheet'!Q18</f>
        <v>3715.2903485376423</v>
      </c>
      <c r="R32" s="2">
        <f>R10/'Output-Calculation-sheet'!R9*'Output-Calculation-sheet'!R18</f>
        <v>2447.1771144166319</v>
      </c>
      <c r="S32" s="2">
        <f>S10/'Output-Calculation-sheet'!S9*'Output-Calculation-sheet'!S18</f>
        <v>1602.6408836954452</v>
      </c>
      <c r="T32" s="2">
        <f>T10/'Output-Calculation-sheet'!T9*'Output-Calculation-sheet'!T18</f>
        <v>714.50771507165666</v>
      </c>
      <c r="U32" s="2">
        <f>U10/'Output-Calculation-sheet'!U9*'Output-Calculation-sheet'!U18</f>
        <v>789.87186009741913</v>
      </c>
      <c r="V32" s="2">
        <f>V10/'Output-Calculation-sheet'!V9*'Output-Calculation-sheet'!V18</f>
        <v>583.03816933147903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337.58308078638981</v>
      </c>
      <c r="AA32" s="2">
        <f t="shared" si="1"/>
        <v>83.530022812964589</v>
      </c>
    </row>
    <row r="33" spans="1:27" x14ac:dyDescent="0.25">
      <c r="A33" s="2">
        <v>2034</v>
      </c>
      <c r="B33" s="2">
        <f>B11/'Output-Calculation-sheet'!B10*'Output-Calculation-sheet'!B19</f>
        <v>32022.409662441762</v>
      </c>
      <c r="C33" s="2">
        <f>C11/'Output-Calculation-sheet'!C10*'Output-Calculation-sheet'!C19</f>
        <v>0</v>
      </c>
      <c r="D33" s="2">
        <f>D11/'Output-Calculation-sheet'!D10*'Output-Calculation-sheet'!D19</f>
        <v>9690.5230182441865</v>
      </c>
      <c r="E33" s="2">
        <f>E11/'Output-Calculation-sheet'!E10*'Output-Calculation-sheet'!E19</f>
        <v>12014.706191425292</v>
      </c>
      <c r="F33" s="2">
        <f>F11/'Output-Calculation-sheet'!F10*'Output-Calculation-sheet'!F19</f>
        <v>5501.0681749640989</v>
      </c>
      <c r="G33" s="2">
        <f>G11/'Output-Calculation-sheet'!G10*'Output-Calculation-sheet'!G19</f>
        <v>3277.2325624301029</v>
      </c>
      <c r="H33" s="2">
        <f>H11/'Output-Calculation-sheet'!H10*'Output-Calculation-sheet'!H19</f>
        <v>0</v>
      </c>
      <c r="I33" s="2">
        <f>I11/'Output-Calculation-sheet'!I10*'Output-Calculation-sheet'!I19</f>
        <v>3599.8556320310017</v>
      </c>
      <c r="J33" s="2">
        <f>J11/'Output-Calculation-sheet'!J10*'Output-Calculation-sheet'!J19</f>
        <v>3043.7817209117939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3434.0575305980169</v>
      </c>
      <c r="M33" s="2">
        <f>M11/'Output-Calculation-sheet'!M10*'Output-Calculation-sheet'!M19</f>
        <v>0</v>
      </c>
      <c r="N33" s="2">
        <f>N11/'Output-Calculation-sheet'!N10*'Output-Calculation-sheet'!N19</f>
        <v>1939.3897013487199</v>
      </c>
      <c r="O33" s="2">
        <f>O11/'Output-Calculation-sheet'!O10*'Output-Calculation-sheet'!O19</f>
        <v>0</v>
      </c>
      <c r="P33" s="2">
        <f>P11/'Output-Calculation-sheet'!P10*'Output-Calculation-sheet'!P19</f>
        <v>4273.2464488851074</v>
      </c>
      <c r="Q33" s="2">
        <f>Q11/'Output-Calculation-sheet'!Q10*'Output-Calculation-sheet'!Q19</f>
        <v>3479.2082177463076</v>
      </c>
      <c r="R33" s="2">
        <f>R11/'Output-Calculation-sheet'!R10*'Output-Calculation-sheet'!R19</f>
        <v>3050.1124805991767</v>
      </c>
      <c r="S33" s="2">
        <f>S11/'Output-Calculation-sheet'!S10*'Output-Calculation-sheet'!S19</f>
        <v>1415.5830238527019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957.3900051497277</v>
      </c>
      <c r="V33" s="2">
        <f>V11/'Output-Calculation-sheet'!V10*'Output-Calculation-sheet'!V19</f>
        <v>701.89173610549176</v>
      </c>
      <c r="W33" s="2">
        <f>W11/'Output-Calculation-sheet'!W10*'Output-Calculation-sheet'!W19</f>
        <v>436.98992349047353</v>
      </c>
      <c r="X33" s="2">
        <f>X11/'Output-Calculation-sheet'!X10*'Output-Calculation-sheet'!X19</f>
        <v>0</v>
      </c>
      <c r="Y33" s="2">
        <f>Y11/'Output-Calculation-sheet'!Y10*'Output-Calculation-sheet'!Y19</f>
        <v>393.91563139158319</v>
      </c>
      <c r="AA33" s="2">
        <f t="shared" si="1"/>
        <v>94.348620727051369</v>
      </c>
    </row>
    <row r="34" spans="1:27" x14ac:dyDescent="0.25">
      <c r="A34" s="2">
        <v>2035</v>
      </c>
      <c r="B34" s="2">
        <f>B12/'Output-Calculation-sheet'!B11*'Output-Calculation-sheet'!B20</f>
        <v>28559.316974735604</v>
      </c>
      <c r="C34" s="2">
        <f>C12/'Output-Calculation-sheet'!C11*'Output-Calculation-sheet'!C20</f>
        <v>0</v>
      </c>
      <c r="D34" s="2">
        <f>D12/'Output-Calculation-sheet'!D11*'Output-Calculation-sheet'!D20</f>
        <v>9107.9650287632667</v>
      </c>
      <c r="E34" s="2">
        <f>E12/'Output-Calculation-sheet'!E11*'Output-Calculation-sheet'!E20</f>
        <v>10093.702053285837</v>
      </c>
      <c r="F34" s="2">
        <f>F12/'Output-Calculation-sheet'!F11*'Output-Calculation-sheet'!F20</f>
        <v>5669.4816791553767</v>
      </c>
      <c r="G34" s="2">
        <f>G12/'Output-Calculation-sheet'!G11*'Output-Calculation-sheet'!G20</f>
        <v>3055.3659205973072</v>
      </c>
      <c r="H34" s="2">
        <f>H12/'Output-Calculation-sheet'!H11*'Output-Calculation-sheet'!H20</f>
        <v>0</v>
      </c>
      <c r="I34" s="2">
        <f>I12/'Output-Calculation-sheet'!I11*'Output-Calculation-sheet'!I20</f>
        <v>3391.8213247867475</v>
      </c>
      <c r="J34" s="2">
        <f>J12/'Output-Calculation-sheet'!J11*'Output-Calculation-sheet'!J20</f>
        <v>3137.5337896754572</v>
      </c>
      <c r="K34" s="2">
        <f>K12/'Output-Calculation-sheet'!K11*'Output-Calculation-sheet'!K20</f>
        <v>4176.5729904010941</v>
      </c>
      <c r="L34" s="2">
        <f>L12/'Output-Calculation-sheet'!L11*'Output-Calculation-sheet'!L20</f>
        <v>3341.5465945829837</v>
      </c>
      <c r="M34" s="2">
        <f>M12/'Output-Calculation-sheet'!M11*'Output-Calculation-sheet'!M20</f>
        <v>0</v>
      </c>
      <c r="N34" s="2">
        <f>N12/'Output-Calculation-sheet'!N11*'Output-Calculation-sheet'!N20</f>
        <v>1786.2341947985585</v>
      </c>
      <c r="O34" s="2">
        <f>O12/'Output-Calculation-sheet'!O11*'Output-Calculation-sheet'!O20</f>
        <v>0</v>
      </c>
      <c r="P34" s="2">
        <f>P12/'Output-Calculation-sheet'!P11*'Output-Calculation-sheet'!P20</f>
        <v>3832.0207760423664</v>
      </c>
      <c r="Q34" s="2">
        <f>Q12/'Output-Calculation-sheet'!Q11*'Output-Calculation-sheet'!Q20</f>
        <v>3135.1188667426595</v>
      </c>
      <c r="R34" s="2">
        <f>R12/'Output-Calculation-sheet'!R11*'Output-Calculation-sheet'!R20</f>
        <v>3206.3294858604813</v>
      </c>
      <c r="S34" s="2">
        <f>S12/'Output-Calculation-sheet'!S11*'Output-Calculation-sheet'!S20</f>
        <v>1236.9214122404082</v>
      </c>
      <c r="T34" s="2">
        <f>T12/'Output-Calculation-sheet'!T11*'Output-Calculation-sheet'!T20</f>
        <v>972.7998796818506</v>
      </c>
      <c r="U34" s="2">
        <f>U12/'Output-Calculation-sheet'!U11*'Output-Calculation-sheet'!U20</f>
        <v>895.35295920544104</v>
      </c>
      <c r="V34" s="2">
        <f>V12/'Output-Calculation-sheet'!V11*'Output-Calculation-sheet'!V20</f>
        <v>881.1236289878193</v>
      </c>
      <c r="W34" s="2">
        <f>W12/'Output-Calculation-sheet'!W11*'Output-Calculation-sheet'!W20</f>
        <v>477.84155892012978</v>
      </c>
      <c r="X34" s="2">
        <f>X12/'Output-Calculation-sheet'!X11*'Output-Calculation-sheet'!X20</f>
        <v>1.0601066881754091</v>
      </c>
      <c r="Y34" s="2">
        <f>Y12/'Output-Calculation-sheet'!Y11*'Output-Calculation-sheet'!Y20</f>
        <v>346.0258089893203</v>
      </c>
      <c r="AA34" s="2">
        <f t="shared" si="1"/>
        <v>87.30413503414087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0.14473342376218643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2.1828584122411055E-2</v>
      </c>
      <c r="H44" s="2">
        <f>H11/'Output-Calculation-sheet'!H10*'Output-Calculation-sheet'!H37*0.0114</f>
        <v>2.1146092281850205E-2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1.252973414766537E-2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8.197740909503249E-3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3.9977385700208949E-3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0.21243331379363722</v>
      </c>
    </row>
    <row r="45" spans="1:27" x14ac:dyDescent="0.25">
      <c r="A45" s="2">
        <v>2035</v>
      </c>
      <c r="B45" s="2">
        <f>B12/'Output-Calculation-sheet'!B11*'Output-Calculation-sheet'!B38*0.0114</f>
        <v>0.54213616340202964</v>
      </c>
      <c r="C45" s="2">
        <f>C12/'Output-Calculation-sheet'!C11*'Output-Calculation-sheet'!C38*0.0114</f>
        <v>0.32163796388822297</v>
      </c>
      <c r="D45" s="2">
        <f>D12/'Output-Calculation-sheet'!D11*'Output-Calculation-sheet'!D38*0.0114</f>
        <v>5.6983139162201879E-2</v>
      </c>
      <c r="E45" s="2">
        <f>E12/'Output-Calculation-sheet'!E11*'Output-Calculation-sheet'!E38*0.0114</f>
        <v>0.18114579757850641</v>
      </c>
      <c r="F45" s="2">
        <f>F12/'Output-Calculation-sheet'!F11*'Output-Calculation-sheet'!F38*0.0114</f>
        <v>5.6964122174412532E-2</v>
      </c>
      <c r="G45" s="2">
        <f>G12/'Output-Calculation-sheet'!G11*'Output-Calculation-sheet'!G38*0.0114</f>
        <v>4.0882280474712998E-2</v>
      </c>
      <c r="H45" s="2">
        <f>H12/'Output-Calculation-sheet'!H11*'Output-Calculation-sheet'!H38*0.0114</f>
        <v>0.11881216904808703</v>
      </c>
      <c r="I45" s="2">
        <f>I12/'Output-Calculation-sheet'!I11*'Output-Calculation-sheet'!I38*0.0114</f>
        <v>3.6771084973393105E-2</v>
      </c>
      <c r="J45" s="2">
        <f>J12/'Output-Calculation-sheet'!J11*'Output-Calculation-sheet'!J38*0.0114</f>
        <v>1.8195596782846706E-2</v>
      </c>
      <c r="K45" s="2">
        <f>K12/'Output-Calculation-sheet'!K11*'Output-Calculation-sheet'!K38*0.0114</f>
        <v>3.6140123420350299E-2</v>
      </c>
      <c r="L45" s="2">
        <f>L12/'Output-Calculation-sheet'!L11*'Output-Calculation-sheet'!L38*0.0114</f>
        <v>1.4368481211954319E-2</v>
      </c>
      <c r="M45" s="2">
        <f>M12/'Output-Calculation-sheet'!M11*'Output-Calculation-sheet'!M38*0.0114</f>
        <v>6.8128612540587372E-2</v>
      </c>
      <c r="N45" s="2">
        <f>N12/'Output-Calculation-sheet'!N11*'Output-Calculation-sheet'!N38*0.0114</f>
        <v>4.0175626424389203E-2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4.9486962568905286E-2</v>
      </c>
      <c r="Q45" s="2">
        <f>Q12/'Output-Calculation-sheet'!Q11*'Output-Calculation-sheet'!Q38*0.0114</f>
        <v>3.519999988266749E-2</v>
      </c>
      <c r="R45" s="2">
        <f>R12/'Output-Calculation-sheet'!R11*'Output-Calculation-sheet'!R38*0.0114</f>
        <v>2.327162279835707E-2</v>
      </c>
      <c r="S45" s="2">
        <f>S12/'Output-Calculation-sheet'!S11*'Output-Calculation-sheet'!S38*0.0114</f>
        <v>3.0706741329801168E-2</v>
      </c>
      <c r="T45" s="2">
        <f>T12/'Output-Calculation-sheet'!T11*'Output-Calculation-sheet'!T38*0.0114</f>
        <v>4.3048118866367011E-3</v>
      </c>
      <c r="U45" s="2">
        <f>U12/'Output-Calculation-sheet'!U11*'Output-Calculation-sheet'!U38*0.0114</f>
        <v>1.1230916437432223E-2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4.9993220352932679E-3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7.2124086859824002E-3</v>
      </c>
      <c r="AA45" s="2">
        <f t="shared" si="2"/>
        <v>1.7156324535750207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3505.2419963227521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8073.8938096333013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5521.9270054134877</v>
      </c>
      <c r="N52" s="2">
        <f>N8/'Output-Calculation-sheet'!N7*'Output-Calculation-sheet'!N43</f>
        <v>174.42861656819446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37.336729817721668</v>
      </c>
      <c r="Y52" s="2">
        <f>Y8/'Output-Calculation-sheet'!Y7*'Output-Calculation-sheet'!Y43</f>
        <v>0</v>
      </c>
      <c r="AA52" s="2">
        <f t="shared" si="3"/>
        <v>17.312828157755458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608.93092847767036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15790.676936823298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10809.712804544381</v>
      </c>
      <c r="N53" s="2">
        <f>N9/'Output-Calculation-sheet'!N8*'Output-Calculation-sheet'!N44</f>
        <v>3835.9729780434595</v>
      </c>
      <c r="O53" s="2">
        <f>O9/'Output-Calculation-sheet'!O8*'Output-Calculation-sheet'!O44</f>
        <v>212.70955622207822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1195.5318282593707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330.06736947142184</v>
      </c>
      <c r="Y53" s="2">
        <f>Y9/'Output-Calculation-sheet'!Y8*'Output-Calculation-sheet'!Y44</f>
        <v>0</v>
      </c>
      <c r="AA53" s="2">
        <f t="shared" si="3"/>
        <v>32.9536400729937</v>
      </c>
    </row>
    <row r="54" spans="1:27" x14ac:dyDescent="0.25">
      <c r="A54" s="2">
        <v>2033</v>
      </c>
      <c r="B54" s="2">
        <f>B10/'Output-Calculation-sheet'!B9*'Output-Calculation-sheet'!B45</f>
        <v>32722.972281828854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16346.709860507104</v>
      </c>
      <c r="N54" s="2">
        <f>N10/'Output-Calculation-sheet'!N9*'Output-Calculation-sheet'!N45</f>
        <v>9148.7353549935378</v>
      </c>
      <c r="O54" s="2">
        <f>O10/'Output-Calculation-sheet'!O9*'Output-Calculation-sheet'!O45</f>
        <v>1218.2798865357543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951.33501224433644</v>
      </c>
      <c r="R54" s="2">
        <f>R10/'Output-Calculation-sheet'!R9*'Output-Calculation-sheet'!R45</f>
        <v>1624.240898160107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99.924035845176888</v>
      </c>
    </row>
    <row r="55" spans="1:27" x14ac:dyDescent="0.25">
      <c r="A55" s="2">
        <v>2034</v>
      </c>
      <c r="B55" s="2">
        <f>B11/'Output-Calculation-sheet'!B10*'Output-Calculation-sheet'!B46</f>
        <v>89480.804445253496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317.49286704687012</v>
      </c>
      <c r="G55" s="2">
        <f>G11/'Output-Calculation-sheet'!G10*'Output-Calculation-sheet'!G46</f>
        <v>3578.7389232268652</v>
      </c>
      <c r="H55" s="2">
        <f>H11/'Output-Calculation-sheet'!H10*'Output-Calculation-sheet'!H46</f>
        <v>27688.396446594561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19496.486653748587</v>
      </c>
      <c r="N55" s="2">
        <f>N11/'Output-Calculation-sheet'!N10*'Output-Calculation-sheet'!N46</f>
        <v>14767.509315539268</v>
      </c>
      <c r="O55" s="2">
        <f>O11/'Output-Calculation-sheet'!O10*'Output-Calculation-sheet'!O46</f>
        <v>566.59007204643729</v>
      </c>
      <c r="P55" s="2">
        <f>P11/'Output-Calculation-sheet'!P10*'Output-Calculation-sheet'!P46</f>
        <v>5465.3779603273933</v>
      </c>
      <c r="Q55" s="2">
        <f>Q11/'Output-Calculation-sheet'!Q10*'Output-Calculation-sheet'!Q46</f>
        <v>4264.5060081527754</v>
      </c>
      <c r="R55" s="2">
        <f>R11/'Output-Calculation-sheet'!R10*'Output-Calculation-sheet'!R46</f>
        <v>4429.6148891332969</v>
      </c>
      <c r="S55" s="2">
        <f>S11/'Output-Calculation-sheet'!S10*'Output-Calculation-sheet'!S46</f>
        <v>6919.1809676526545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1308.382684627014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221.09753566776047</v>
      </c>
    </row>
    <row r="56" spans="1:27" x14ac:dyDescent="0.25">
      <c r="A56" s="2">
        <v>2035</v>
      </c>
      <c r="B56" s="2">
        <f>B12/'Output-Calculation-sheet'!B11*'Output-Calculation-sheet'!B47</f>
        <v>88049.57074902262</v>
      </c>
      <c r="C56" s="2">
        <f>C12/'Output-Calculation-sheet'!C11*'Output-Calculation-sheet'!C47</f>
        <v>27440.796813832076</v>
      </c>
      <c r="D56" s="2">
        <f>D12/'Output-Calculation-sheet'!D11*'Output-Calculation-sheet'!D47</f>
        <v>9027.328888327771</v>
      </c>
      <c r="E56" s="2">
        <f>E12/'Output-Calculation-sheet'!E11*'Output-Calculation-sheet'!E47</f>
        <v>22833.904484238043</v>
      </c>
      <c r="F56" s="2">
        <f>F12/'Output-Calculation-sheet'!F11*'Output-Calculation-sheet'!F47</f>
        <v>1311.6738658581833</v>
      </c>
      <c r="G56" s="2">
        <f>G12/'Output-Calculation-sheet'!G11*'Output-Calculation-sheet'!G47</f>
        <v>3340.5126545785229</v>
      </c>
      <c r="H56" s="2">
        <f>H12/'Output-Calculation-sheet'!H11*'Output-Calculation-sheet'!H47</f>
        <v>26043.141089736382</v>
      </c>
      <c r="I56" s="2">
        <f>I12/'Output-Calculation-sheet'!I11*'Output-Calculation-sheet'!I47</f>
        <v>2128.852287933285</v>
      </c>
      <c r="J56" s="2">
        <f>J12/'Output-Calculation-sheet'!J11*'Output-Calculation-sheet'!J47</f>
        <v>3511.4309580932236</v>
      </c>
      <c r="K56" s="2">
        <f>K12/'Output-Calculation-sheet'!K11*'Output-Calculation-sheet'!K47</f>
        <v>4801.2470982561863</v>
      </c>
      <c r="L56" s="2">
        <f>L12/'Output-Calculation-sheet'!L11*'Output-Calculation-sheet'!L47</f>
        <v>5141.1434090843568</v>
      </c>
      <c r="M56" s="2">
        <f>M12/'Output-Calculation-sheet'!M11*'Output-Calculation-sheet'!M47</f>
        <v>18356.477743830543</v>
      </c>
      <c r="N56" s="2">
        <f>N12/'Output-Calculation-sheet'!N11*'Output-Calculation-sheet'!N47</f>
        <v>14855.583969673271</v>
      </c>
      <c r="O56" s="2">
        <f>O12/'Output-Calculation-sheet'!O11*'Output-Calculation-sheet'!O47</f>
        <v>66.870255834364301</v>
      </c>
      <c r="P56" s="2">
        <f>P12/'Output-Calculation-sheet'!P11*'Output-Calculation-sheet'!P47</f>
        <v>6368.1907095249171</v>
      </c>
      <c r="Q56" s="2">
        <f>Q12/'Output-Calculation-sheet'!Q11*'Output-Calculation-sheet'!Q47</f>
        <v>4479.2514470575707</v>
      </c>
      <c r="R56" s="2">
        <f>R12/'Output-Calculation-sheet'!R11*'Output-Calculation-sheet'!R47</f>
        <v>5234.073759209432</v>
      </c>
      <c r="S56" s="2">
        <f>S12/'Output-Calculation-sheet'!S11*'Output-Calculation-sheet'!S47</f>
        <v>6907.6700123048331</v>
      </c>
      <c r="T56" s="2">
        <f>T12/'Output-Calculation-sheet'!T11*'Output-Calculation-sheet'!T47</f>
        <v>1768.3714092210237</v>
      </c>
      <c r="U56" s="2">
        <f>U12/'Output-Calculation-sheet'!U11*'Output-Calculation-sheet'!U47</f>
        <v>1234.4156400089978</v>
      </c>
      <c r="V56" s="2">
        <f>V12/'Output-Calculation-sheet'!V11*'Output-Calculation-sheet'!V47</f>
        <v>1219.7457670674919</v>
      </c>
      <c r="W56" s="2">
        <f>W12/'Output-Calculation-sheet'!W11*'Output-Calculation-sheet'!W47</f>
        <v>431.73969681984403</v>
      </c>
      <c r="X56" s="2">
        <f>X12/'Output-Calculation-sheet'!X11*'Output-Calculation-sheet'!X47</f>
        <v>144.88780339317586</v>
      </c>
      <c r="Y56" s="2">
        <f>Y12/'Output-Calculation-sheet'!Y11*'Output-Calculation-sheet'!Y47</f>
        <v>574.96815910708824</v>
      </c>
      <c r="AA56" s="2">
        <f t="shared" si="3"/>
        <v>255.27184867201311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8.6384381775300714</v>
      </c>
      <c r="C63" s="2">
        <f>C8*'Output-Calculation-sheet'!C52/10^9</f>
        <v>5.2250918609243708</v>
      </c>
      <c r="D63" s="2">
        <f>D8*'Output-Calculation-sheet'!D52/10^9</f>
        <v>2.9623055746949247</v>
      </c>
      <c r="E63" s="2">
        <f>E8*'Output-Calculation-sheet'!E52/10^9</f>
        <v>2.9453263449748119</v>
      </c>
      <c r="F63" s="2">
        <f>F8*'Output-Calculation-sheet'!F52/10^9</f>
        <v>1.2473454636079526</v>
      </c>
      <c r="G63" s="2">
        <f>G8*'Output-Calculation-sheet'!G52/10^9</f>
        <v>0.89678503807798637</v>
      </c>
      <c r="H63" s="2">
        <f>H8*'Output-Calculation-sheet'!H52/10^9</f>
        <v>1.566411282276563</v>
      </c>
      <c r="I63" s="2">
        <f>I8*'Output-Calculation-sheet'!I52/10^9</f>
        <v>0.83421828524351005</v>
      </c>
      <c r="J63" s="2">
        <f>J8*'Output-Calculation-sheet'!J52/10^9</f>
        <v>1.1479409054218253</v>
      </c>
      <c r="K63" s="2">
        <f>K8*'Output-Calculation-sheet'!K52/10^9</f>
        <v>1.0085681856349491</v>
      </c>
      <c r="L63" s="2">
        <f>L8*'Output-Calculation-sheet'!L52/10^9</f>
        <v>1.3565727361293389</v>
      </c>
      <c r="M63" s="2">
        <f>M8*'Output-Calculation-sheet'!M52/10^9</f>
        <v>1.271472228841851</v>
      </c>
      <c r="N63" s="2">
        <f>N8*'Output-Calculation-sheet'!N52/10^9</f>
        <v>1.0612127558114122</v>
      </c>
      <c r="O63" s="2">
        <f>O8*'Output-Calculation-sheet'!O52/10^9</f>
        <v>1.0664726482996738</v>
      </c>
      <c r="P63" s="2">
        <f>P8*'Output-Calculation-sheet'!P52/10^9</f>
        <v>0.69689341015232709</v>
      </c>
      <c r="Q63" s="2">
        <f>Q8*'Output-Calculation-sheet'!Q52/10^9</f>
        <v>0.78867911853192629</v>
      </c>
      <c r="R63" s="2">
        <f>R8*'Output-Calculation-sheet'!R52/10^9</f>
        <v>0.70807729543351217</v>
      </c>
      <c r="S63" s="2">
        <f>S8*'Output-Calculation-sheet'!S52/10^9</f>
        <v>0.5247103643406299</v>
      </c>
      <c r="T63" s="2">
        <f>T8*'Output-Calculation-sheet'!T52/10^9</f>
        <v>0.26920087286878491</v>
      </c>
      <c r="U63" s="2">
        <f>U8*'Output-Calculation-sheet'!U52/10^9</f>
        <v>0.18488427482047046</v>
      </c>
      <c r="V63" s="2">
        <f>V8*'Output-Calculation-sheet'!V52/10^9</f>
        <v>0.32812589622650384</v>
      </c>
      <c r="W63" s="2">
        <f>W8*'Output-Calculation-sheet'!W52/10^9</f>
        <v>0.11876620158030425</v>
      </c>
      <c r="X63" s="2">
        <f>X8*'Output-Calculation-sheet'!X52/10^9</f>
        <v>0.13519875741356924</v>
      </c>
      <c r="Y63" s="2">
        <f>Y8*'Output-Calculation-sheet'!Y52/10^9</f>
        <v>7.7491642745380271E-2</v>
      </c>
      <c r="AA63" s="2">
        <f t="shared" si="4"/>
        <v>35.060189321582648</v>
      </c>
    </row>
    <row r="64" spans="1:27" x14ac:dyDescent="0.25">
      <c r="A64" s="2">
        <v>2032</v>
      </c>
      <c r="B64" s="2">
        <f>B9*'Output-Calculation-sheet'!B53/10^9</f>
        <v>9.1010049387870584</v>
      </c>
      <c r="C64" s="2">
        <f>C9*'Output-Calculation-sheet'!C53/10^9</f>
        <v>5.8064383517627194</v>
      </c>
      <c r="D64" s="2">
        <f>D9*'Output-Calculation-sheet'!D53/10^9</f>
        <v>2.693366876280697</v>
      </c>
      <c r="E64" s="2">
        <f>E9*'Output-Calculation-sheet'!E53/10^9</f>
        <v>2.7581261837990816</v>
      </c>
      <c r="F64" s="2">
        <f>F9*'Output-Calculation-sheet'!F53/10^9</f>
        <v>1.163360329455275</v>
      </c>
      <c r="G64" s="2">
        <f>G9*'Output-Calculation-sheet'!G53/10^9</f>
        <v>0.82804429403294055</v>
      </c>
      <c r="H64" s="2">
        <f>H9*'Output-Calculation-sheet'!H53/10^9</f>
        <v>1.7013904691482018</v>
      </c>
      <c r="I64" s="2">
        <f>I9*'Output-Calculation-sheet'!I53/10^9</f>
        <v>0.77408608237992882</v>
      </c>
      <c r="J64" s="2">
        <f>J9*'Output-Calculation-sheet'!J53/10^9</f>
        <v>1.0247326903652174</v>
      </c>
      <c r="K64" s="2">
        <f>K9*'Output-Calculation-sheet'!K53/10^9</f>
        <v>0.95081251817850621</v>
      </c>
      <c r="L64" s="2">
        <f>L9*'Output-Calculation-sheet'!L53/10^9</f>
        <v>1.223217462725785</v>
      </c>
      <c r="M64" s="2">
        <f>M9*'Output-Calculation-sheet'!M53/10^9</f>
        <v>1.3333892079594458</v>
      </c>
      <c r="N64" s="2">
        <f>N9*'Output-Calculation-sheet'!N53/10^9</f>
        <v>1.1225640716024565</v>
      </c>
      <c r="O64" s="2">
        <f>O9*'Output-Calculation-sheet'!O53/10^9</f>
        <v>1.1731764222993442</v>
      </c>
      <c r="P64" s="2">
        <f>P9*'Output-Calculation-sheet'!P53/10^9</f>
        <v>0.72492987762441208</v>
      </c>
      <c r="Q64" s="2">
        <f>Q9*'Output-Calculation-sheet'!Q53/10^9</f>
        <v>0.8011566857325616</v>
      </c>
      <c r="R64" s="2">
        <f>R9*'Output-Calculation-sheet'!R53/10^9</f>
        <v>0.68678047426242406</v>
      </c>
      <c r="S64" s="2">
        <f>S9*'Output-Calculation-sheet'!S53/10^9</f>
        <v>0.56743415483296078</v>
      </c>
      <c r="T64" s="2">
        <f>T9*'Output-Calculation-sheet'!T53/10^9</f>
        <v>0.2468787232922674</v>
      </c>
      <c r="U64" s="2">
        <f>U9*'Output-Calculation-sheet'!U53/10^9</f>
        <v>0.18582046770864208</v>
      </c>
      <c r="V64" s="2">
        <f>V9*'Output-Calculation-sheet'!V53/10^9</f>
        <v>0.29302835009643186</v>
      </c>
      <c r="W64" s="2">
        <f>W9*'Output-Calculation-sheet'!W53/10^9</f>
        <v>0.10888386499844628</v>
      </c>
      <c r="X64" s="2">
        <f>X9*'Output-Calculation-sheet'!X53/10^9</f>
        <v>0.1461853428429036</v>
      </c>
      <c r="Y64" s="2">
        <f>Y9*'Output-Calculation-sheet'!Y53/10^9</f>
        <v>7.6287628911434008E-2</v>
      </c>
      <c r="AA64" s="2">
        <f t="shared" si="4"/>
        <v>35.491095469079163</v>
      </c>
    </row>
    <row r="65" spans="1:27" x14ac:dyDescent="0.25">
      <c r="A65" s="2">
        <v>2033</v>
      </c>
      <c r="B65" s="2">
        <f>B10*'Output-Calculation-sheet'!B54/10^9</f>
        <v>9.4329410433692527</v>
      </c>
      <c r="C65" s="2">
        <f>C10*'Output-Calculation-sheet'!C54/10^9</f>
        <v>6.123707876309429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1.728466484281622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0.86848248853428045</v>
      </c>
      <c r="L65" s="2">
        <f>L10*'Output-Calculation-sheet'!L54/10^9</f>
        <v>1.0257966751348511</v>
      </c>
      <c r="M65" s="2">
        <f>M10*'Output-Calculation-sheet'!M54/10^9</f>
        <v>1.3050829799657337</v>
      </c>
      <c r="N65" s="2">
        <f>N10*'Output-Calculation-sheet'!N54/10^9</f>
        <v>1.1269508756800535</v>
      </c>
      <c r="O65" s="2">
        <f>O10*'Output-Calculation-sheet'!O54/10^9</f>
        <v>1.2240930136176216</v>
      </c>
      <c r="P65" s="2">
        <f>P10*'Output-Calculation-sheet'!P54/10^9</f>
        <v>0.734791958247344</v>
      </c>
      <c r="Q65" s="2">
        <f>Q10*'Output-Calculation-sheet'!Q54/10^9</f>
        <v>0.80187995842128335</v>
      </c>
      <c r="R65" s="2">
        <f>R10*'Output-Calculation-sheet'!R54/10^9</f>
        <v>0.64690052791008223</v>
      </c>
      <c r="S65" s="2">
        <f>S10*'Output-Calculation-sheet'!S54/10^9</f>
        <v>0.58760147613045688</v>
      </c>
      <c r="T65" s="2">
        <f>T10*'Output-Calculation-sheet'!T54/10^9</f>
        <v>0.21628719278178152</v>
      </c>
      <c r="U65" s="2">
        <f>U10*'Output-Calculation-sheet'!U54/10^9</f>
        <v>0.18675890052264854</v>
      </c>
      <c r="V65" s="2">
        <f>V10*'Output-Calculation-sheet'!V54/10^9</f>
        <v>0.23936353431982152</v>
      </c>
      <c r="W65" s="2">
        <f>W10*'Output-Calculation-sheet'!W54/10^9</f>
        <v>9.1131202362243119E-2</v>
      </c>
      <c r="X65" s="2">
        <f>X10*'Output-Calculation-sheet'!X54/10^9</f>
        <v>0.14901266355487794</v>
      </c>
      <c r="Y65" s="2">
        <f>Y10*'Output-Calculation-sheet'!Y54/10^9</f>
        <v>7.5012632289996217E-2</v>
      </c>
      <c r="AA65" s="2">
        <f t="shared" si="4"/>
        <v>34.515005933384366</v>
      </c>
    </row>
    <row r="66" spans="1:27" x14ac:dyDescent="0.25">
      <c r="A66" s="2">
        <v>2034</v>
      </c>
      <c r="B66" s="2">
        <f>B11*'Output-Calculation-sheet'!B55/10^9</f>
        <v>9.5551354485843785</v>
      </c>
      <c r="C66" s="2">
        <f>C11*'Output-Calculation-sheet'!C55/10^9</f>
        <v>6.1387211370862627</v>
      </c>
      <c r="D66" s="2">
        <f>D11*'Output-Calculation-sheet'!D55/10^9</f>
        <v>1.9992212449159137</v>
      </c>
      <c r="E66" s="2">
        <f>E11*'Output-Calculation-sheet'!E55/10^9</f>
        <v>2.4209111517021022</v>
      </c>
      <c r="F66" s="2">
        <f>F11*'Output-Calculation-sheet'!F55/10^9</f>
        <v>0.93039545693879711</v>
      </c>
      <c r="G66" s="2">
        <f>G11*'Output-Calculation-sheet'!G55/10^9</f>
        <v>0.66506947615649603</v>
      </c>
      <c r="H66" s="2">
        <f>H11*'Output-Calculation-sheet'!H55/10^9</f>
        <v>1.6991553084071795</v>
      </c>
      <c r="I66" s="2">
        <f>I11*'Output-Calculation-sheet'!I55/10^9</f>
        <v>0.65033037851190867</v>
      </c>
      <c r="J66" s="2">
        <f>J11*'Output-Calculation-sheet'!J55/10^9</f>
        <v>0.66873880455951928</v>
      </c>
      <c r="K66" s="2">
        <f>K11*'Output-Calculation-sheet'!K55/10^9</f>
        <v>0.79986524794227742</v>
      </c>
      <c r="L66" s="2">
        <f>L11*'Output-Calculation-sheet'!L55/10^9</f>
        <v>0.84711252643941204</v>
      </c>
      <c r="M66" s="2">
        <f>M11*'Output-Calculation-sheet'!M55/10^9</f>
        <v>1.231738813625012</v>
      </c>
      <c r="N66" s="2">
        <f>N11*'Output-Calculation-sheet'!N55/10^9</f>
        <v>1.0762062343859693</v>
      </c>
      <c r="O66" s="2">
        <f>O11*'Output-Calculation-sheet'!O55/10^9</f>
        <v>1.2112051302521269</v>
      </c>
      <c r="P66" s="2">
        <f>P11*'Output-Calculation-sheet'!P55/10^9</f>
        <v>0.73985116173043919</v>
      </c>
      <c r="Q66" s="2">
        <f>Q11*'Output-Calculation-sheet'!Q55/10^9</f>
        <v>0.80499810966166974</v>
      </c>
      <c r="R66" s="2">
        <f>R11*'Output-Calculation-sheet'!R55/10^9</f>
        <v>0.59923091610572854</v>
      </c>
      <c r="S66" s="2">
        <f>S11*'Output-Calculation-sheet'!S55/10^9</f>
        <v>0.58912467526211287</v>
      </c>
      <c r="T66" s="2">
        <f>T11*'Output-Calculation-sheet'!T55/10^9</f>
        <v>0.18781229831622939</v>
      </c>
      <c r="U66" s="2">
        <f>U11*'Output-Calculation-sheet'!U55/10^9</f>
        <v>0.19074677774569218</v>
      </c>
      <c r="V66" s="2">
        <f>V11*'Output-Calculation-sheet'!V55/10^9</f>
        <v>0.17816646085827262</v>
      </c>
      <c r="W66" s="2">
        <f>W11*'Output-Calculation-sheet'!W55/10^9</f>
        <v>8.0673412224520055E-2</v>
      </c>
      <c r="X66" s="2">
        <f>X11*'Output-Calculation-sheet'!X55/10^9</f>
        <v>0.14396041507828305</v>
      </c>
      <c r="Y66" s="2">
        <f>Y11*'Output-Calculation-sheet'!Y55/10^9</f>
        <v>7.9162387550658395E-2</v>
      </c>
      <c r="AA66" s="2">
        <f t="shared" si="4"/>
        <v>33.48753297404096</v>
      </c>
    </row>
    <row r="67" spans="1:27" x14ac:dyDescent="0.25">
      <c r="A67" s="2">
        <v>2035</v>
      </c>
      <c r="B67" s="2">
        <f>B12*'Output-Calculation-sheet'!B56/10^9</f>
        <v>9.2929438830613122</v>
      </c>
      <c r="C67" s="2">
        <f>C12*'Output-Calculation-sheet'!C56/10^9</f>
        <v>5.8364460516146908</v>
      </c>
      <c r="D67" s="2">
        <f>D12*'Output-Calculation-sheet'!D56/10^9</f>
        <v>1.9335299910662622</v>
      </c>
      <c r="E67" s="2">
        <f>E12*'Output-Calculation-sheet'!E56/10^9</f>
        <v>2.6251082132452859</v>
      </c>
      <c r="F67" s="2">
        <f>F12*'Output-Calculation-sheet'!F56/10^9</f>
        <v>0.95883068749664313</v>
      </c>
      <c r="G67" s="2">
        <f>G12*'Output-Calculation-sheet'!G56/10^9</f>
        <v>0.67167027559818127</v>
      </c>
      <c r="H67" s="2">
        <f>H12*'Output-Calculation-sheet'!H56/10^9</f>
        <v>1.6224913019673197</v>
      </c>
      <c r="I67" s="2">
        <f>I12*'Output-Calculation-sheet'!I56/10^9</f>
        <v>0.6524702157033585</v>
      </c>
      <c r="J67" s="2">
        <f>J12*'Output-Calculation-sheet'!J56/10^9</f>
        <v>0.64593517213335472</v>
      </c>
      <c r="K67" s="2">
        <f>K12*'Output-Calculation-sheet'!K56/10^9</f>
        <v>0.77835886921869146</v>
      </c>
      <c r="L67" s="2">
        <f>L12*'Output-Calculation-sheet'!L56/10^9</f>
        <v>0.7819201290186254</v>
      </c>
      <c r="M67" s="2">
        <f>M12*'Output-Calculation-sheet'!M56/10^9</f>
        <v>1.1868739670988022</v>
      </c>
      <c r="N67" s="2">
        <f>N12*'Output-Calculation-sheet'!N56/10^9</f>
        <v>1.0194233899423668</v>
      </c>
      <c r="O67" s="2">
        <f>O12*'Output-Calculation-sheet'!O56/10^9</f>
        <v>1.1435603297470898</v>
      </c>
      <c r="P67" s="2">
        <f>P12*'Output-Calculation-sheet'!P56/10^9</f>
        <v>0.75389517740886314</v>
      </c>
      <c r="Q67" s="2">
        <f>Q12*'Output-Calculation-sheet'!Q56/10^9</f>
        <v>0.7759775383309665</v>
      </c>
      <c r="R67" s="2">
        <f>R12*'Output-Calculation-sheet'!R56/10^9</f>
        <v>0.59043501152612665</v>
      </c>
      <c r="S67" s="2">
        <f>S12*'Output-Calculation-sheet'!S56/10^9</f>
        <v>0.56261857877888699</v>
      </c>
      <c r="T67" s="2">
        <f>T12*'Output-Calculation-sheet'!T56/10^9</f>
        <v>0.17892590636563216</v>
      </c>
      <c r="U67" s="2">
        <f>U12*'Output-Calculation-sheet'!U56/10^9</f>
        <v>0.18710017369920373</v>
      </c>
      <c r="V67" s="2">
        <f>V12*'Output-Calculation-sheet'!V56/10^9</f>
        <v>0.14352267943346436</v>
      </c>
      <c r="W67" s="2">
        <f>W12*'Output-Calculation-sheet'!W56/10^9</f>
        <v>8.6654464352960689E-2</v>
      </c>
      <c r="X67" s="2">
        <f>X12*'Output-Calculation-sheet'!X56/10^9</f>
        <v>0.13717876858882497</v>
      </c>
      <c r="Y67" s="2">
        <f>Y12*'Output-Calculation-sheet'!Y56/10^9</f>
        <v>8.3737958573989982E-2</v>
      </c>
      <c r="AA67" s="2">
        <f t="shared" si="4"/>
        <v>32.649608733970915</v>
      </c>
    </row>
    <row r="68" spans="1:27" x14ac:dyDescent="0.25">
      <c r="B68" s="2">
        <f>SUM(B60:B67)</f>
        <v>46.020463491332073</v>
      </c>
      <c r="C68" s="2">
        <f t="shared" ref="C68:Y68" si="5">SUM(C60:C67)</f>
        <v>29.130405277697474</v>
      </c>
      <c r="D68" s="2">
        <f t="shared" si="5"/>
        <v>11.816855215831563</v>
      </c>
      <c r="E68" s="2">
        <f t="shared" si="5"/>
        <v>13.258647813518895</v>
      </c>
      <c r="F68" s="2">
        <f t="shared" si="5"/>
        <v>5.3186133638015436</v>
      </c>
      <c r="G68" s="2">
        <f t="shared" si="5"/>
        <v>3.7609866120315147</v>
      </c>
      <c r="H68" s="2">
        <f t="shared" si="5"/>
        <v>8.3179148460808854</v>
      </c>
      <c r="I68" s="2">
        <f t="shared" si="5"/>
        <v>3.5921469268292499</v>
      </c>
      <c r="J68" s="2">
        <f t="shared" si="5"/>
        <v>4.3013436543001911</v>
      </c>
      <c r="K68" s="2">
        <f t="shared" si="5"/>
        <v>4.4060873095087043</v>
      </c>
      <c r="L68" s="2">
        <f t="shared" si="5"/>
        <v>5.2346195294480129</v>
      </c>
      <c r="M68" s="2">
        <f t="shared" si="5"/>
        <v>6.328557197490845</v>
      </c>
      <c r="N68" s="2">
        <f t="shared" si="5"/>
        <v>5.4063573274222589</v>
      </c>
      <c r="O68" s="2">
        <f t="shared" si="5"/>
        <v>5.8185075442158567</v>
      </c>
      <c r="P68" s="2">
        <f t="shared" si="5"/>
        <v>3.6503615851633855</v>
      </c>
      <c r="Q68" s="2">
        <f t="shared" si="5"/>
        <v>3.9726914106784075</v>
      </c>
      <c r="R68" s="2">
        <f t="shared" si="5"/>
        <v>3.2314242252378738</v>
      </c>
      <c r="S68" s="2">
        <f t="shared" si="5"/>
        <v>2.8314892493450476</v>
      </c>
      <c r="T68" s="2">
        <f t="shared" si="5"/>
        <v>1.0991049936246953</v>
      </c>
      <c r="U68" s="2">
        <f t="shared" si="5"/>
        <v>0.93531059449665699</v>
      </c>
      <c r="V68" s="2">
        <f t="shared" si="5"/>
        <v>1.1822069209344941</v>
      </c>
      <c r="W68" s="2">
        <f t="shared" si="5"/>
        <v>0.48610914551847445</v>
      </c>
      <c r="X68" s="2">
        <f t="shared" si="5"/>
        <v>0.71153594747845883</v>
      </c>
      <c r="Y68" s="2">
        <f t="shared" si="5"/>
        <v>0.39169225007145886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939.89272530748042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1714.0830850405748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1155.9215143730505</v>
      </c>
      <c r="N74" s="2">
        <f>N8/'Output-Calculation-sheet'!N7*'Output-Calculation-sheet'!N61</f>
        <v>51.911281064997716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10.257373146821081</v>
      </c>
      <c r="Y74" s="2">
        <f>Y8/'Output-Calculation-sheet'!Y7*'Output-Calculation-sheet'!Y61</f>
        <v>0</v>
      </c>
      <c r="AA74" s="2">
        <f t="shared" si="6"/>
        <v>3.8720659789329246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167.2862072839954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3012.05225008244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2041.7967454040302</v>
      </c>
      <c r="N75" s="2">
        <f>N9/'Output-Calculation-sheet'!N8*'Output-Calculation-sheet'!N62</f>
        <v>786.89372471519346</v>
      </c>
      <c r="O75" s="2">
        <f>O9/'Output-Calculation-sheet'!O8*'Output-Calculation-sheet'!O62</f>
        <v>58.437116263920039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263.97007376220813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72.061216944727136</v>
      </c>
      <c r="Y75" s="2">
        <f>Y9/'Output-Calculation-sheet'!Y8*'Output-Calculation-sheet'!Y62</f>
        <v>0</v>
      </c>
      <c r="AA75" s="2">
        <f t="shared" si="6"/>
        <v>6.4647817955763101</v>
      </c>
    </row>
    <row r="76" spans="1:27" x14ac:dyDescent="0.25">
      <c r="A76" s="2">
        <v>2033</v>
      </c>
      <c r="B76" s="2">
        <f>B10/'Output-Calculation-sheet'!B9*'Output-Calculation-sheet'!B63</f>
        <v>6572.6776042195788</v>
      </c>
      <c r="C76" s="2">
        <f>C10/'Output-Calculation-sheet'!C9*'Output-Calculation-sheet'!C63</f>
        <v>1354.7664728355696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4309.8519786142524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2928.0522341000187</v>
      </c>
      <c r="N76" s="2">
        <f>N10/'Output-Calculation-sheet'!N9*'Output-Calculation-sheet'!N63</f>
        <v>1674.6313044155627</v>
      </c>
      <c r="O76" s="2">
        <f>O10/'Output-Calculation-sheet'!O9*'Output-Calculation-sheet'!O63</f>
        <v>277.88513874957516</v>
      </c>
      <c r="P76" s="2">
        <f>P10/'Output-Calculation-sheet'!P9*'Output-Calculation-sheet'!P63</f>
        <v>578.2835922831855</v>
      </c>
      <c r="Q76" s="2">
        <f>Q10/'Output-Calculation-sheet'!Q9*'Output-Calculation-sheet'!Q63</f>
        <v>261.35565032289145</v>
      </c>
      <c r="R76" s="2">
        <f>R10/'Output-Calculation-sheet'!R9*'Output-Calculation-sheet'!R63</f>
        <v>440.06445807168438</v>
      </c>
      <c r="S76" s="2">
        <f>S10/'Output-Calculation-sheet'!S9*'Output-Calculation-sheet'!S63</f>
        <v>746.65238832506066</v>
      </c>
      <c r="T76" s="2">
        <f>T10/'Output-Calculation-sheet'!T9*'Output-Calculation-sheet'!T63</f>
        <v>28.92032779185034</v>
      </c>
      <c r="U76" s="2">
        <f>U10/'Output-Calculation-sheet'!U9*'Output-Calculation-sheet'!U63</f>
        <v>156.34225162676537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168.11728689514143</v>
      </c>
      <c r="Y76" s="2">
        <f>Y10/'Output-Calculation-sheet'!Y9*'Output-Calculation-sheet'!Y63</f>
        <v>7.4156924745963408</v>
      </c>
      <c r="AA76" s="2">
        <f t="shared" si="6"/>
        <v>19.62641636490995</v>
      </c>
    </row>
    <row r="77" spans="1:27" x14ac:dyDescent="0.25">
      <c r="A77" s="2">
        <v>2034</v>
      </c>
      <c r="B77" s="2">
        <f>B11/'Output-Calculation-sheet'!B10*'Output-Calculation-sheet'!B64</f>
        <v>15173.458573882306</v>
      </c>
      <c r="C77" s="2">
        <f>C11/'Output-Calculation-sheet'!C10*'Output-Calculation-sheet'!C64</f>
        <v>2278.785337121024</v>
      </c>
      <c r="D77" s="2">
        <f>D11/'Output-Calculation-sheet'!D10*'Output-Calculation-sheet'!D64</f>
        <v>1949.5765947159812</v>
      </c>
      <c r="E77" s="2">
        <f>E11/'Output-Calculation-sheet'!E10*'Output-Calculation-sheet'!E64</f>
        <v>2404.0696445955937</v>
      </c>
      <c r="F77" s="2">
        <f>F11/'Output-Calculation-sheet'!F10*'Output-Calculation-sheet'!F64</f>
        <v>154.80311875456721</v>
      </c>
      <c r="G77" s="2">
        <f>G11/'Output-Calculation-sheet'!G10*'Output-Calculation-sheet'!G64</f>
        <v>971.31072022870273</v>
      </c>
      <c r="H77" s="2">
        <f>H11/'Output-Calculation-sheet'!H10*'Output-Calculation-sheet'!H64</f>
        <v>5176.196116362561</v>
      </c>
      <c r="I77" s="2">
        <f>I11/'Output-Calculation-sheet'!I10*'Output-Calculation-sheet'!I64</f>
        <v>603.97697425850333</v>
      </c>
      <c r="J77" s="2">
        <f>J11/'Output-Calculation-sheet'!J10*'Output-Calculation-sheet'!J64</f>
        <v>423.81259465289094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386.77538080742193</v>
      </c>
      <c r="M77" s="2">
        <f>M11/'Output-Calculation-sheet'!M10*'Output-Calculation-sheet'!M64</f>
        <v>3668.9630932359946</v>
      </c>
      <c r="N77" s="2">
        <f>N11/'Output-Calculation-sheet'!N10*'Output-Calculation-sheet'!N64</f>
        <v>2574.3110619826998</v>
      </c>
      <c r="O77" s="2">
        <f>O11/'Output-Calculation-sheet'!O10*'Output-Calculation-sheet'!O64</f>
        <v>122.96292268116886</v>
      </c>
      <c r="P77" s="2">
        <f>P11/'Output-Calculation-sheet'!P10*'Output-Calculation-sheet'!P64</f>
        <v>1130.688888732227</v>
      </c>
      <c r="Q77" s="2">
        <f>Q11/'Output-Calculation-sheet'!Q10*'Output-Calculation-sheet'!Q64</f>
        <v>806.28289690483336</v>
      </c>
      <c r="R77" s="2">
        <f>R11/'Output-Calculation-sheet'!R10*'Output-Calculation-sheet'!R64</f>
        <v>975.06134772041185</v>
      </c>
      <c r="S77" s="2">
        <f>S11/'Output-Calculation-sheet'!S10*'Output-Calculation-sheet'!S64</f>
        <v>1207.6422919825936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286.81038945088852</v>
      </c>
      <c r="V77" s="2">
        <f>V11/'Output-Calculation-sheet'!V10*'Output-Calculation-sheet'!V64</f>
        <v>139.17694221957981</v>
      </c>
      <c r="W77" s="2">
        <f>W11/'Output-Calculation-sheet'!W10*'Output-Calculation-sheet'!W64</f>
        <v>30.547154421112307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89.174815372188561</v>
      </c>
      <c r="AA77" s="2">
        <f t="shared" si="6"/>
        <v>41.896006075582854</v>
      </c>
    </row>
    <row r="78" spans="1:27" x14ac:dyDescent="0.25">
      <c r="A78" s="2">
        <v>2035</v>
      </c>
      <c r="B78" s="2">
        <f>B12/'Output-Calculation-sheet'!B11*'Output-Calculation-sheet'!B65</f>
        <v>15260.395884808122</v>
      </c>
      <c r="C78" s="2">
        <f>C12/'Output-Calculation-sheet'!C11*'Output-Calculation-sheet'!C65</f>
        <v>5014.9452763173949</v>
      </c>
      <c r="D78" s="2">
        <f>D12/'Output-Calculation-sheet'!D11*'Output-Calculation-sheet'!D65</f>
        <v>2049.238647297258</v>
      </c>
      <c r="E78" s="2">
        <f>E12/'Output-Calculation-sheet'!E11*'Output-Calculation-sheet'!E65</f>
        <v>3566.1331000221639</v>
      </c>
      <c r="F78" s="2">
        <f>F12/'Output-Calculation-sheet'!F11*'Output-Calculation-sheet'!F65</f>
        <v>460.47997498779057</v>
      </c>
      <c r="G78" s="2">
        <f>G12/'Output-Calculation-sheet'!G11*'Output-Calculation-sheet'!G65</f>
        <v>897.79281004946699</v>
      </c>
      <c r="H78" s="2">
        <f>H12/'Output-Calculation-sheet'!H11*'Output-Calculation-sheet'!H65</f>
        <v>4857.6511647111756</v>
      </c>
      <c r="I78" s="2">
        <f>I12/'Output-Calculation-sheet'!I11*'Output-Calculation-sheet'!I65</f>
        <v>596.90599003322109</v>
      </c>
      <c r="J78" s="2">
        <f>J12/'Output-Calculation-sheet'!J11*'Output-Calculation-sheet'!J65</f>
        <v>869.46382342848221</v>
      </c>
      <c r="K78" s="2">
        <f>K12/'Output-Calculation-sheet'!K11*'Output-Calculation-sheet'!K65</f>
        <v>1069.1088607099828</v>
      </c>
      <c r="L78" s="2">
        <f>L12/'Output-Calculation-sheet'!L11*'Output-Calculation-sheet'!L65</f>
        <v>913.25814504563891</v>
      </c>
      <c r="M78" s="2">
        <f>M12/'Output-Calculation-sheet'!M11*'Output-Calculation-sheet'!M65</f>
        <v>3547.2022691204697</v>
      </c>
      <c r="N78" s="2">
        <f>N12/'Output-Calculation-sheet'!N11*'Output-Calculation-sheet'!N65</f>
        <v>2555.4188824859475</v>
      </c>
      <c r="O78" s="2">
        <f>O12/'Output-Calculation-sheet'!O11*'Output-Calculation-sheet'!O65</f>
        <v>11.975256962862224</v>
      </c>
      <c r="P78" s="2">
        <f>P12/'Output-Calculation-sheet'!P11*'Output-Calculation-sheet'!P65</f>
        <v>1233.9389625687306</v>
      </c>
      <c r="Q78" s="2">
        <f>Q12/'Output-Calculation-sheet'!Q11*'Output-Calculation-sheet'!Q65</f>
        <v>830.42048846002137</v>
      </c>
      <c r="R78" s="2">
        <f>R12/'Output-Calculation-sheet'!R11*'Output-Calculation-sheet'!R65</f>
        <v>1149.4160705671693</v>
      </c>
      <c r="S78" s="2">
        <f>S12/'Output-Calculation-sheet'!S11*'Output-Calculation-sheet'!S65</f>
        <v>1207.9149893723998</v>
      </c>
      <c r="T78" s="2">
        <f>T12/'Output-Calculation-sheet'!T11*'Output-Calculation-sheet'!T65</f>
        <v>396.53321555660636</v>
      </c>
      <c r="U78" s="2">
        <f>U12/'Output-Calculation-sheet'!U11*'Output-Calculation-sheet'!U65</f>
        <v>271.30019118275965</v>
      </c>
      <c r="V78" s="2">
        <f>V12/'Output-Calculation-sheet'!V11*'Output-Calculation-sheet'!V65</f>
        <v>223.64850199320193</v>
      </c>
      <c r="W78" s="2">
        <f>W12/'Output-Calculation-sheet'!W11*'Output-Calculation-sheet'!W65</f>
        <v>105.7553952123814</v>
      </c>
      <c r="X78" s="2">
        <f>X12/'Output-Calculation-sheet'!X11*'Output-Calculation-sheet'!X65</f>
        <v>29.15391732620424</v>
      </c>
      <c r="Y78" s="2">
        <f>Y12/'Output-Calculation-sheet'!Y11*'Output-Calculation-sheet'!Y65</f>
        <v>98.968165855107614</v>
      </c>
      <c r="AA78" s="2">
        <f t="shared" si="6"/>
        <v>47.217019984074554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25.391828730208143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1.9147880809132505</v>
      </c>
      <c r="H88" s="2">
        <f>H11/'Output-Calculation-sheet'!H10*'Output-Calculation-sheet'!H73</f>
        <v>12.984442629206267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5.495497433186566</v>
      </c>
      <c r="R88" s="2">
        <f>R11/'Output-Calculation-sheet'!R10*'Output-Calculation-sheet'!R73</f>
        <v>0</v>
      </c>
      <c r="S88" s="2">
        <f>S11/'Output-Calculation-sheet'!S10*'Output-Calculation-sheet'!S73</f>
        <v>2.8764003191239471</v>
      </c>
      <c r="T88" s="2">
        <f>T11/'Output-Calculation-sheet'!T10*'Output-Calculation-sheet'!T73</f>
        <v>0</v>
      </c>
      <c r="U88" s="2">
        <f>U11/'Output-Calculation-sheet'!U10*'Output-Calculation-sheet'!U73</f>
        <v>1.7533941096582872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5.0416351302296457E-2</v>
      </c>
    </row>
    <row r="89" spans="1:27" x14ac:dyDescent="0.25">
      <c r="A89" s="2">
        <v>2035</v>
      </c>
      <c r="B89" s="2">
        <f>B12/'Output-Calculation-sheet'!B11*'Output-Calculation-sheet'!B74</f>
        <v>332.89062665036909</v>
      </c>
      <c r="C89" s="2">
        <f>C12/'Output-Calculation-sheet'!C11*'Output-Calculation-sheet'!C74</f>
        <v>180.56868148110763</v>
      </c>
      <c r="D89" s="2">
        <f>D12/'Output-Calculation-sheet'!D11*'Output-Calculation-sheet'!D74</f>
        <v>29.991125874843092</v>
      </c>
      <c r="E89" s="2">
        <f>E12/'Output-Calculation-sheet'!E11*'Output-Calculation-sheet'!E74</f>
        <v>99.31238902330395</v>
      </c>
      <c r="F89" s="2">
        <f>F12/'Output-Calculation-sheet'!F11*'Output-Calculation-sheet'!F74</f>
        <v>29.981116933901333</v>
      </c>
      <c r="G89" s="2">
        <f>G12/'Output-Calculation-sheet'!G11*'Output-Calculation-sheet'!G74</f>
        <v>21.516989723533158</v>
      </c>
      <c r="H89" s="2">
        <f>H12/'Output-Calculation-sheet'!H11*'Output-Calculation-sheet'!H74</f>
        <v>74.691860658885119</v>
      </c>
      <c r="I89" s="2">
        <f>I12/'Output-Calculation-sheet'!I11*'Output-Calculation-sheet'!I74</f>
        <v>19.353202617575317</v>
      </c>
      <c r="J89" s="2">
        <f>J12/'Output-Calculation-sheet'!J11*'Output-Calculation-sheet'!J74</f>
        <v>9.5766298857087921</v>
      </c>
      <c r="K89" s="2">
        <f>K12/'Output-Calculation-sheet'!K11*'Output-Calculation-sheet'!K74</f>
        <v>14.265838192243539</v>
      </c>
      <c r="L89" s="2">
        <f>L12/'Output-Calculation-sheet'!L11*'Output-Calculation-sheet'!L74</f>
        <v>7.5623585326075364</v>
      </c>
      <c r="M89" s="2">
        <f>M12/'Output-Calculation-sheet'!M11*'Output-Calculation-sheet'!M74</f>
        <v>39.442880944550581</v>
      </c>
      <c r="N89" s="2">
        <f>N12/'Output-Calculation-sheet'!N11*'Output-Calculation-sheet'!N74</f>
        <v>19.970340620310424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27.131010180320882</v>
      </c>
      <c r="Q89" s="2">
        <f>Q12/'Output-Calculation-sheet'!Q11*'Output-Calculation-sheet'!Q74</f>
        <v>22.64327477832412</v>
      </c>
      <c r="R89" s="2">
        <f>R12/'Output-Calculation-sheet'!R11*'Output-Calculation-sheet'!R74</f>
        <v>12.248222525451089</v>
      </c>
      <c r="S89" s="2">
        <f>S12/'Output-Calculation-sheet'!S11*'Output-Calculation-sheet'!S74</f>
        <v>17.508229705588384</v>
      </c>
      <c r="T89" s="2">
        <f>T12/'Output-Calculation-sheet'!T11*'Output-Calculation-sheet'!T74</f>
        <v>2.265690466650895</v>
      </c>
      <c r="U89" s="2">
        <f>U12/'Output-Calculation-sheet'!U11*'Output-Calculation-sheet'!U74</f>
        <v>6.567787390311242</v>
      </c>
      <c r="V89" s="2">
        <f>V12/'Output-Calculation-sheet'!V11*'Output-Calculation-sheet'!V74</f>
        <v>0.50643378329561628</v>
      </c>
      <c r="W89" s="2">
        <f>W12/'Output-Calculation-sheet'!W11*'Output-Calculation-sheet'!W74</f>
        <v>3.0697591444783221</v>
      </c>
      <c r="X89" s="2">
        <f>X12/'Output-Calculation-sheet'!X11*'Output-Calculation-sheet'!X74</f>
        <v>0.3933605521986675</v>
      </c>
      <c r="Y89" s="2">
        <f>Y12/'Output-Calculation-sheet'!Y11*'Output-Calculation-sheet'!Y74</f>
        <v>4.1756050287266531</v>
      </c>
      <c r="AA89" s="2">
        <f t="shared" si="7"/>
        <v>0.97672964839648824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9861049582.068655</v>
      </c>
      <c r="C96" s="2">
        <f>C8/'Output-Calculation-sheet'!C7*'Output-Calculation-sheet'!C79</f>
        <v>2381282172.9983859</v>
      </c>
      <c r="D96" s="2">
        <f>D8/'Output-Calculation-sheet'!D7*'Output-Calculation-sheet'!D79</f>
        <v>1933237288.6609616</v>
      </c>
      <c r="E96" s="2">
        <f>E8/'Output-Calculation-sheet'!E7*'Output-Calculation-sheet'!E79</f>
        <v>7243147076.8022385</v>
      </c>
      <c r="F96" s="2">
        <f>F8/'Output-Calculation-sheet'!F7*'Output-Calculation-sheet'!F79</f>
        <v>2112936085.3991189</v>
      </c>
      <c r="G96" s="2">
        <f>G8/'Output-Calculation-sheet'!G7*'Output-Calculation-sheet'!G79</f>
        <v>1356203808.4767499</v>
      </c>
      <c r="H96" s="2">
        <f>H8/'Output-Calculation-sheet'!H7*'Output-Calculation-sheet'!H79</f>
        <v>1670798133.9171953</v>
      </c>
      <c r="I96" s="2">
        <f>I8/'Output-Calculation-sheet'!I7*'Output-Calculation-sheet'!I79</f>
        <v>975240168.63027191</v>
      </c>
      <c r="J96" s="2">
        <f>J8/'Output-Calculation-sheet'!J7*'Output-Calculation-sheet'!J79</f>
        <v>739038786.95806944</v>
      </c>
      <c r="K96" s="2">
        <f>K8/'Output-Calculation-sheet'!K7*'Output-Calculation-sheet'!K79</f>
        <v>926851624.96599257</v>
      </c>
      <c r="L96" s="2">
        <f>L8/'Output-Calculation-sheet'!L7*'Output-Calculation-sheet'!L79</f>
        <v>841423193.78212857</v>
      </c>
      <c r="M96" s="2">
        <f>M8/'Output-Calculation-sheet'!M7*'Output-Calculation-sheet'!M79</f>
        <v>1289179002.2264333</v>
      </c>
      <c r="N96" s="2">
        <f>N8/'Output-Calculation-sheet'!N7*'Output-Calculation-sheet'!N79</f>
        <v>838052334.50702178</v>
      </c>
      <c r="O96" s="2">
        <f>O8/'Output-Calculation-sheet'!O7*'Output-Calculation-sheet'!O79</f>
        <v>314454856.48445475</v>
      </c>
      <c r="P96" s="2">
        <f>P8/'Output-Calculation-sheet'!P7*'Output-Calculation-sheet'!P79</f>
        <v>1596086220.3966067</v>
      </c>
      <c r="Q96" s="2">
        <f>Q8/'Output-Calculation-sheet'!Q7*'Output-Calculation-sheet'!Q79</f>
        <v>677646055.41587424</v>
      </c>
      <c r="R96" s="2">
        <f>R8/'Output-Calculation-sheet'!R7*'Output-Calculation-sheet'!R79</f>
        <v>899427906.95054662</v>
      </c>
      <c r="S96" s="2">
        <f>S8/'Output-Calculation-sheet'!S7*'Output-Calculation-sheet'!S79</f>
        <v>507240861.09039748</v>
      </c>
      <c r="T96" s="2">
        <f>T8/'Output-Calculation-sheet'!T7*'Output-Calculation-sheet'!T79</f>
        <v>306007778.50532681</v>
      </c>
      <c r="U96" s="2">
        <f>U8/'Output-Calculation-sheet'!U7*'Output-Calculation-sheet'!U79</f>
        <v>240866506.43798962</v>
      </c>
      <c r="V96" s="2">
        <f>V8/'Output-Calculation-sheet'!V7*'Output-Calculation-sheet'!V79</f>
        <v>110549339.99309178</v>
      </c>
      <c r="W96" s="2">
        <f>W8/'Output-Calculation-sheet'!W7*'Output-Calculation-sheet'!W79</f>
        <v>340371425.55256861</v>
      </c>
      <c r="X96" s="2">
        <f>X8/'Output-Calculation-sheet'!X7*'Output-Calculation-sheet'!X79</f>
        <v>153514215.85737357</v>
      </c>
      <c r="Y96" s="2">
        <f>Y8/'Output-Calculation-sheet'!Y7*'Output-Calculation-sheet'!Y79</f>
        <v>211263803.80937612</v>
      </c>
      <c r="AA96" s="2">
        <f t="shared" si="8"/>
        <v>37.525868229886832</v>
      </c>
    </row>
    <row r="97" spans="1:27" x14ac:dyDescent="0.25">
      <c r="A97" s="2">
        <v>2032</v>
      </c>
      <c r="B97" s="2">
        <f>B9/'Output-Calculation-sheet'!B8*'Output-Calculation-sheet'!B80</f>
        <v>12480042562.371128</v>
      </c>
      <c r="C97" s="2">
        <f>C9/'Output-Calculation-sheet'!C8*'Output-Calculation-sheet'!C80</f>
        <v>2947565289.9266524</v>
      </c>
      <c r="D97" s="2">
        <f>D9/'Output-Calculation-sheet'!D8*'Output-Calculation-sheet'!D80</f>
        <v>2251609947.2953491</v>
      </c>
      <c r="E97" s="2">
        <f>E9/'Output-Calculation-sheet'!E8*'Output-Calculation-sheet'!E80</f>
        <v>9478958236.1254139</v>
      </c>
      <c r="F97" s="2">
        <f>F9/'Output-Calculation-sheet'!F8*'Output-Calculation-sheet'!F80</f>
        <v>2599455703.5291071</v>
      </c>
      <c r="G97" s="2">
        <f>G9/'Output-Calculation-sheet'!G8*'Output-Calculation-sheet'!G80</f>
        <v>1592807921.5046899</v>
      </c>
      <c r="H97" s="2">
        <f>H9/'Output-Calculation-sheet'!H8*'Output-Calculation-sheet'!H80</f>
        <v>2085557126.0180964</v>
      </c>
      <c r="I97" s="2">
        <f>I9/'Output-Calculation-sheet'!I8*'Output-Calculation-sheet'!I80</f>
        <v>1201276411.9216661</v>
      </c>
      <c r="J97" s="2">
        <f>J9/'Output-Calculation-sheet'!J8*'Output-Calculation-sheet'!J80</f>
        <v>897684688.23316324</v>
      </c>
      <c r="K97" s="2">
        <f>K9/'Output-Calculation-sheet'!K8*'Output-Calculation-sheet'!K80</f>
        <v>1107150071.9890823</v>
      </c>
      <c r="L97" s="2">
        <f>L9/'Output-Calculation-sheet'!L8*'Output-Calculation-sheet'!L80</f>
        <v>1067923090.1754215</v>
      </c>
      <c r="M97" s="2">
        <f>M9/'Output-Calculation-sheet'!M8*'Output-Calculation-sheet'!M80</f>
        <v>1645363302.5105233</v>
      </c>
      <c r="N97" s="2">
        <f>N9/'Output-Calculation-sheet'!N8*'Output-Calculation-sheet'!N80</f>
        <v>1033789963.7553802</v>
      </c>
      <c r="O97" s="2">
        <f>O9/'Output-Calculation-sheet'!O8*'Output-Calculation-sheet'!O80</f>
        <v>384277785.5664587</v>
      </c>
      <c r="P97" s="2">
        <f>P9/'Output-Calculation-sheet'!P8*'Output-Calculation-sheet'!P80</f>
        <v>1938106266.9501147</v>
      </c>
      <c r="Q97" s="2">
        <f>Q9/'Output-Calculation-sheet'!Q8*'Output-Calculation-sheet'!Q80</f>
        <v>838298186.38216484</v>
      </c>
      <c r="R97" s="2">
        <f>R9/'Output-Calculation-sheet'!R8*'Output-Calculation-sheet'!R80</f>
        <v>1123325852.7614818</v>
      </c>
      <c r="S97" s="2">
        <f>S9/'Output-Calculation-sheet'!S8*'Output-Calculation-sheet'!S80</f>
        <v>625199840.98757589</v>
      </c>
      <c r="T97" s="2">
        <f>T9/'Output-Calculation-sheet'!T8*'Output-Calculation-sheet'!T80</f>
        <v>364549779.10477883</v>
      </c>
      <c r="U97" s="2">
        <f>U9/'Output-Calculation-sheet'!U8*'Output-Calculation-sheet'!U80</f>
        <v>290080652.70257187</v>
      </c>
      <c r="V97" s="2">
        <f>V9/'Output-Calculation-sheet'!V8*'Output-Calculation-sheet'!V80</f>
        <v>133802007.76115119</v>
      </c>
      <c r="W97" s="2">
        <f>W9/'Output-Calculation-sheet'!W8*'Output-Calculation-sheet'!W80</f>
        <v>414048978.85438293</v>
      </c>
      <c r="X97" s="2">
        <f>X9/'Output-Calculation-sheet'!X8*'Output-Calculation-sheet'!X80</f>
        <v>200536471.13063657</v>
      </c>
      <c r="Y97" s="2">
        <f>Y9/'Output-Calculation-sheet'!Y8*'Output-Calculation-sheet'!Y80</f>
        <v>263245533.51121101</v>
      </c>
      <c r="AA97" s="2">
        <f t="shared" si="8"/>
        <v>46.964655671068208</v>
      </c>
    </row>
    <row r="98" spans="1:27" x14ac:dyDescent="0.25">
      <c r="A98" s="2">
        <v>2033</v>
      </c>
      <c r="B98" s="2">
        <f>B10/'Output-Calculation-sheet'!B9*'Output-Calculation-sheet'!B81</f>
        <v>14233130556.475412</v>
      </c>
      <c r="C98" s="2">
        <f>C10/'Output-Calculation-sheet'!C9*'Output-Calculation-sheet'!C81</f>
        <v>3295839757.1180463</v>
      </c>
      <c r="D98" s="2">
        <f>D10/'Output-Calculation-sheet'!D9*'Output-Calculation-sheet'!D81</f>
        <v>2371005821.1804924</v>
      </c>
      <c r="E98" s="2">
        <f>E10/'Output-Calculation-sheet'!E9*'Output-Calculation-sheet'!E81</f>
        <v>11192062823.896505</v>
      </c>
      <c r="F98" s="2">
        <f>F10/'Output-Calculation-sheet'!F9*'Output-Calculation-sheet'!F81</f>
        <v>2883642350.0362282</v>
      </c>
      <c r="G98" s="2">
        <f>G10/'Output-Calculation-sheet'!G9*'Output-Calculation-sheet'!G81</f>
        <v>1684686234.1000035</v>
      </c>
      <c r="H98" s="2">
        <f>H10/'Output-Calculation-sheet'!H9*'Output-Calculation-sheet'!H81</f>
        <v>2345344242.8998079</v>
      </c>
      <c r="I98" s="2">
        <f>I10/'Output-Calculation-sheet'!I9*'Output-Calculation-sheet'!I81</f>
        <v>1336590644.3152227</v>
      </c>
      <c r="J98" s="2">
        <f>J10/'Output-Calculation-sheet'!J9*'Output-Calculation-sheet'!J81</f>
        <v>985991501.57452762</v>
      </c>
      <c r="K98" s="2">
        <f>K10/'Output-Calculation-sheet'!K9*'Output-Calculation-sheet'!K81</f>
        <v>1193987485.0323548</v>
      </c>
      <c r="L98" s="2">
        <f>L10/'Output-Calculation-sheet'!L9*'Output-Calculation-sheet'!L81</f>
        <v>1223720389.5552034</v>
      </c>
      <c r="M98" s="2">
        <f>M10/'Output-Calculation-sheet'!M9*'Output-Calculation-sheet'!M81</f>
        <v>1896333343.2005002</v>
      </c>
      <c r="N98" s="2">
        <f>N10/'Output-Calculation-sheet'!N9*'Output-Calculation-sheet'!N81</f>
        <v>1152428881.4740982</v>
      </c>
      <c r="O98" s="2">
        <f>O10/'Output-Calculation-sheet'!O9*'Output-Calculation-sheet'!O81</f>
        <v>425049793.75159663</v>
      </c>
      <c r="P98" s="2">
        <f>P10/'Output-Calculation-sheet'!P9*'Output-Calculation-sheet'!P81</f>
        <v>2108690319.3722038</v>
      </c>
      <c r="Q98" s="2">
        <f>Q10/'Output-Calculation-sheet'!Q9*'Output-Calculation-sheet'!Q81</f>
        <v>936959394.437675</v>
      </c>
      <c r="R98" s="2">
        <f>R10/'Output-Calculation-sheet'!R9*'Output-Calculation-sheet'!R81</f>
        <v>1264686706.9996686</v>
      </c>
      <c r="S98" s="2">
        <f>S10/'Output-Calculation-sheet'!S9*'Output-Calculation-sheet'!S81</f>
        <v>694564370.20384991</v>
      </c>
      <c r="T98" s="2">
        <f>T10/'Output-Calculation-sheet'!T9*'Output-Calculation-sheet'!T81</f>
        <v>391326685.20473808</v>
      </c>
      <c r="U98" s="2">
        <f>U10/'Output-Calculation-sheet'!U9*'Output-Calculation-sheet'!U81</f>
        <v>314442971.50542367</v>
      </c>
      <c r="V98" s="2">
        <f>V10/'Output-Calculation-sheet'!V9*'Output-Calculation-sheet'!V81</f>
        <v>146041799.03956279</v>
      </c>
      <c r="W98" s="2">
        <f>W10/'Output-Calculation-sheet'!W9*'Output-Calculation-sheet'!W81</f>
        <v>451634884.95023173</v>
      </c>
      <c r="X98" s="2">
        <f>X10/'Output-Calculation-sheet'!X9*'Output-Calculation-sheet'!X81</f>
        <v>236762414.93622333</v>
      </c>
      <c r="Y98" s="2">
        <f>Y10/'Output-Calculation-sheet'!Y9*'Output-Calculation-sheet'!Y81</f>
        <v>294764063.73199236</v>
      </c>
      <c r="AA98" s="2">
        <f t="shared" si="8"/>
        <v>53.059687434991588</v>
      </c>
    </row>
    <row r="99" spans="1:27" x14ac:dyDescent="0.25">
      <c r="A99" s="2">
        <v>2034</v>
      </c>
      <c r="B99" s="2">
        <f>B11/'Output-Calculation-sheet'!B10*'Output-Calculation-sheet'!B82</f>
        <v>14883940942.700472</v>
      </c>
      <c r="C99" s="2">
        <f>C11/'Output-Calculation-sheet'!C10*'Output-Calculation-sheet'!C82</f>
        <v>3388079863.0844026</v>
      </c>
      <c r="D99" s="2">
        <f>D11/'Output-Calculation-sheet'!D10*'Output-Calculation-sheet'!D82</f>
        <v>2298222744.2307286</v>
      </c>
      <c r="E99" s="2">
        <f>E11/'Output-Calculation-sheet'!E10*'Output-Calculation-sheet'!E82</f>
        <v>12129638192.069407</v>
      </c>
      <c r="F99" s="2">
        <f>F11/'Output-Calculation-sheet'!F10*'Output-Calculation-sheet'!F82</f>
        <v>2936053974.1215796</v>
      </c>
      <c r="G99" s="2">
        <f>G11/'Output-Calculation-sheet'!G10*'Output-Calculation-sheet'!G82</f>
        <v>1634094126.2043586</v>
      </c>
      <c r="H99" s="2">
        <f>H11/'Output-Calculation-sheet'!H10*'Output-Calculation-sheet'!H82</f>
        <v>2418037103.2258148</v>
      </c>
      <c r="I99" s="2">
        <f>I11/'Output-Calculation-sheet'!I10*'Output-Calculation-sheet'!I82</f>
        <v>1367290863.6443214</v>
      </c>
      <c r="J99" s="2">
        <f>J11/'Output-Calculation-sheet'!J10*'Output-Calculation-sheet'!J82</f>
        <v>996745515.05166435</v>
      </c>
      <c r="K99" s="2">
        <f>K11/'Output-Calculation-sheet'!K10*'Output-Calculation-sheet'!K82</f>
        <v>1183491889.917625</v>
      </c>
      <c r="L99" s="2">
        <f>L11/'Output-Calculation-sheet'!L10*'Output-Calculation-sheet'!L82</f>
        <v>1288336836.1175818</v>
      </c>
      <c r="M99" s="2">
        <f>M11/'Output-Calculation-sheet'!M10*'Output-Calculation-sheet'!M82</f>
        <v>2008327027.4653847</v>
      </c>
      <c r="N99" s="2">
        <f>N11/'Output-Calculation-sheet'!N10*'Output-Calculation-sheet'!N82</f>
        <v>1181639970.8655059</v>
      </c>
      <c r="O99" s="2">
        <f>O11/'Output-Calculation-sheet'!O10*'Output-Calculation-sheet'!O82</f>
        <v>433068321.94205099</v>
      </c>
      <c r="P99" s="2">
        <f>P11/'Output-Calculation-sheet'!P10*'Output-Calculation-sheet'!P82</f>
        <v>2093302339.4690595</v>
      </c>
      <c r="Q99" s="2">
        <f>Q11/'Output-Calculation-sheet'!Q10*'Output-Calculation-sheet'!Q82</f>
        <v>962894352.12542474</v>
      </c>
      <c r="R99" s="2">
        <f>R11/'Output-Calculation-sheet'!R10*'Output-Calculation-sheet'!R82</f>
        <v>1306143451.7186117</v>
      </c>
      <c r="S99" s="2">
        <f>S11/'Output-Calculation-sheet'!S10*'Output-Calculation-sheet'!S82</f>
        <v>707818406.26933479</v>
      </c>
      <c r="T99" s="2">
        <f>T11/'Output-Calculation-sheet'!T10*'Output-Calculation-sheet'!T82</f>
        <v>385435131.05984813</v>
      </c>
      <c r="U99" s="2">
        <f>U11/'Output-Calculation-sheet'!U10*'Output-Calculation-sheet'!U82</f>
        <v>312370351.81290346</v>
      </c>
      <c r="V99" s="2">
        <f>V11/'Output-Calculation-sheet'!V10*'Output-Calculation-sheet'!V82</f>
        <v>146320745.67110318</v>
      </c>
      <c r="W99" s="2">
        <f>W11/'Output-Calculation-sheet'!W10*'Output-Calculation-sheet'!W82</f>
        <v>449789808.48445714</v>
      </c>
      <c r="X99" s="2">
        <f>X11/'Output-Calculation-sheet'!X10*'Output-Calculation-sheet'!X82</f>
        <v>257072335.54921544</v>
      </c>
      <c r="Y99" s="2">
        <f>Y11/'Output-Calculation-sheet'!Y10*'Output-Calculation-sheet'!Y82</f>
        <v>301899876.90932965</v>
      </c>
      <c r="AA99" s="2">
        <f t="shared" si="8"/>
        <v>55.070014169710205</v>
      </c>
    </row>
    <row r="100" spans="1:27" x14ac:dyDescent="0.25">
      <c r="A100" s="2">
        <v>2035</v>
      </c>
      <c r="B100" s="2">
        <f>B12/'Output-Calculation-sheet'!B11*'Output-Calculation-sheet'!B83</f>
        <v>14377807721.95038</v>
      </c>
      <c r="C100" s="2">
        <f>C12/'Output-Calculation-sheet'!C11*'Output-Calculation-sheet'!C83</f>
        <v>3226427721.7295237</v>
      </c>
      <c r="D100" s="2">
        <f>D12/'Output-Calculation-sheet'!D11*'Output-Calculation-sheet'!D83</f>
        <v>2066785955.1945307</v>
      </c>
      <c r="E100" s="2">
        <f>E12/'Output-Calculation-sheet'!E11*'Output-Calculation-sheet'!E83</f>
        <v>12153889893.627546</v>
      </c>
      <c r="F100" s="2">
        <f>F12/'Output-Calculation-sheet'!F11*'Output-Calculation-sheet'!F83</f>
        <v>2765155916.3873086</v>
      </c>
      <c r="G100" s="2">
        <f>G12/'Output-Calculation-sheet'!G11*'Output-Calculation-sheet'!G83</f>
        <v>1465444888.2150862</v>
      </c>
      <c r="H100" s="2">
        <f>H12/'Output-Calculation-sheet'!H11*'Output-Calculation-sheet'!H83</f>
        <v>2302809122.7939491</v>
      </c>
      <c r="I100" s="2">
        <f>I12/'Output-Calculation-sheet'!I11*'Output-Calculation-sheet'!I83</f>
        <v>1295902059.1944137</v>
      </c>
      <c r="J100" s="2">
        <f>J12/'Output-Calculation-sheet'!J11*'Output-Calculation-sheet'!J83</f>
        <v>934498397.76133442</v>
      </c>
      <c r="K100" s="2">
        <f>K12/'Output-Calculation-sheet'!K11*'Output-Calculation-sheet'!K83</f>
        <v>1086734303.7964997</v>
      </c>
      <c r="L100" s="2">
        <f>L12/'Output-Calculation-sheet'!L11*'Output-Calculation-sheet'!L83</f>
        <v>1255557716.7221735</v>
      </c>
      <c r="M100" s="2">
        <f>M12/'Output-Calculation-sheet'!M11*'Output-Calculation-sheet'!M83</f>
        <v>1969005350.0953963</v>
      </c>
      <c r="N100" s="2">
        <f>N12/'Output-Calculation-sheet'!N11*'Output-Calculation-sheet'!N83</f>
        <v>1122969256.9464986</v>
      </c>
      <c r="O100" s="2">
        <f>O12/'Output-Calculation-sheet'!O11*'Output-Calculation-sheet'!O83</f>
        <v>409511583.13235325</v>
      </c>
      <c r="P100" s="2">
        <f>P12/'Output-Calculation-sheet'!P11*'Output-Calculation-sheet'!P83</f>
        <v>1911825701.0109706</v>
      </c>
      <c r="Q100" s="2">
        <f>Q12/'Output-Calculation-sheet'!Q11*'Output-Calculation-sheet'!Q83</f>
        <v>916720287.00276673</v>
      </c>
      <c r="R100" s="2">
        <f>R12/'Output-Calculation-sheet'!R11*'Output-Calculation-sheet'!R83</f>
        <v>1246807811.9782937</v>
      </c>
      <c r="S100" s="2">
        <f>S12/'Output-Calculation-sheet'!S11*'Output-Calculation-sheet'!S83</f>
        <v>666728403.86274552</v>
      </c>
      <c r="T100" s="2">
        <f>T12/'Output-Calculation-sheet'!T11*'Output-Calculation-sheet'!T83</f>
        <v>351166502.35119218</v>
      </c>
      <c r="U100" s="2">
        <f>U12/'Output-Calculation-sheet'!U11*'Output-Calculation-sheet'!U83</f>
        <v>286677778.70587575</v>
      </c>
      <c r="V100" s="2">
        <f>V12/'Output-Calculation-sheet'!V11*'Output-Calculation-sheet'!V83</f>
        <v>135618029.43717891</v>
      </c>
      <c r="W100" s="2">
        <f>W12/'Output-Calculation-sheet'!W11*'Output-Calculation-sheet'!W83</f>
        <v>412373244.18286127</v>
      </c>
      <c r="X100" s="2">
        <f>X12/'Output-Calculation-sheet'!X11*'Output-Calculation-sheet'!X83</f>
        <v>258603356.46681613</v>
      </c>
      <c r="Y100" s="2">
        <f>Y12/'Output-Calculation-sheet'!Y11*'Output-Calculation-sheet'!Y83</f>
        <v>285059571.43368256</v>
      </c>
      <c r="AA100" s="2">
        <f t="shared" si="8"/>
        <v>52.9040805739794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1633.3048938992551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396.63220797285175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37.952847471479451</v>
      </c>
      <c r="Y107" s="2">
        <f>Y8/'Output-Calculation-sheet'!Y7*'Output-Calculation-sheet'!Y88</f>
        <v>0</v>
      </c>
      <c r="AA107" s="2">
        <f t="shared" si="9"/>
        <v>2.0678899493435865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3155.9016389371573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613.10401499304896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52.380847999380634</v>
      </c>
      <c r="Y108" s="2">
        <f>Y9/'Output-Calculation-sheet'!Y8*'Output-Calculation-sheet'!Y89</f>
        <v>0</v>
      </c>
      <c r="AA108" s="2">
        <f t="shared" si="9"/>
        <v>3.8213865019295867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821.27233596233248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5.1032764062642997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1081.6719557250167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6.2717555248625674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3910.4405083252373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141.34755842338785</v>
      </c>
      <c r="Y111" s="2">
        <f>Y12/'Output-Calculation-sheet'!Y11*'Output-Calculation-sheet'!Y92</f>
        <v>0</v>
      </c>
      <c r="AA111" s="2">
        <f t="shared" si="9"/>
        <v>5.3179379927927357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13518286586.565708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8412788401.3144808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5804111403.7658014</v>
      </c>
      <c r="N118" s="2">
        <f>N8/'Output-Calculation-sheet'!N7*'Output-Calculation-sheet'!N97</f>
        <v>1946660896.1729698</v>
      </c>
      <c r="O118" s="2">
        <f>O8/'Output-Calculation-sheet'!O7*'Output-Calculation-sheet'!O97</f>
        <v>1866396638.69116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582633712.36332476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316036195.03621668</v>
      </c>
      <c r="Y118" s="2">
        <f>Y8/'Output-Calculation-sheet'!Y7*'Output-Calculation-sheet'!Y97</f>
        <v>0</v>
      </c>
      <c r="AA118" s="2">
        <f t="shared" si="10"/>
        <v>34084.151282599247</v>
      </c>
    </row>
    <row r="119" spans="1:27" x14ac:dyDescent="0.25">
      <c r="A119" s="2">
        <v>2032</v>
      </c>
      <c r="B119" s="2">
        <f>B9/'Output-Calculation-sheet'!B8*'Output-Calculation-sheet'!B98</f>
        <v>7423930930.4567747</v>
      </c>
      <c r="C119" s="2">
        <f>C9/'Output-Calculation-sheet'!C8*'Output-Calculation-sheet'!C98</f>
        <v>10953572498.663048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11611021192.034725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8010590010.8751154</v>
      </c>
      <c r="N119" s="2">
        <f>N9/'Output-Calculation-sheet'!N8*'Output-Calculation-sheet'!N98</f>
        <v>3769643678.528616</v>
      </c>
      <c r="O119" s="2">
        <f>O9/'Output-Calculation-sheet'!O8*'Output-Calculation-sheet'!O98</f>
        <v>2112447039.9479058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1129338773.5039675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440567421.3820529</v>
      </c>
      <c r="Y119" s="2">
        <f>Y9/'Output-Calculation-sheet'!Y8*'Output-Calculation-sheet'!Y98</f>
        <v>0</v>
      </c>
      <c r="AA119" s="2">
        <f t="shared" si="10"/>
        <v>45451.111545392203</v>
      </c>
    </row>
    <row r="120" spans="1:27" x14ac:dyDescent="0.25">
      <c r="A120" s="2">
        <v>2033</v>
      </c>
      <c r="B120" s="2">
        <f>B10/'Output-Calculation-sheet'!B9*'Output-Calculation-sheet'!B99</f>
        <v>19556911374.903431</v>
      </c>
      <c r="C120" s="2">
        <f>C10/'Output-Calculation-sheet'!C9*'Output-Calculation-sheet'!C99</f>
        <v>11338707154.362257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5871670796.3660135</v>
      </c>
      <c r="O120" s="2">
        <f>O10/'Output-Calculation-sheet'!O9*'Output-Calculation-sheet'!O99</f>
        <v>2176379985.9803424</v>
      </c>
      <c r="P120" s="2">
        <f>P10/'Output-Calculation-sheet'!P9*'Output-Calculation-sheet'!P99</f>
        <v>0</v>
      </c>
      <c r="Q120" s="2">
        <f>Q10/'Output-Calculation-sheet'!Q9*'Output-Calculation-sheet'!Q99</f>
        <v>189186374.88876003</v>
      </c>
      <c r="R120" s="2">
        <f>R10/'Output-Calculation-sheet'!R9*'Output-Calculation-sheet'!R99</f>
        <v>0</v>
      </c>
      <c r="S120" s="2">
        <f>S10/'Output-Calculation-sheet'!S9*'Output-Calculation-sheet'!S99</f>
        <v>2368481379.8931522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644109401.88562727</v>
      </c>
      <c r="Y120" s="2">
        <f>Y10/'Output-Calculation-sheet'!Y9*'Output-Calculation-sheet'!Y99</f>
        <v>0</v>
      </c>
      <c r="AA120" s="2">
        <f t="shared" si="10"/>
        <v>66677.703560848895</v>
      </c>
    </row>
    <row r="121" spans="1:27" x14ac:dyDescent="0.25">
      <c r="A121" s="2">
        <v>2034</v>
      </c>
      <c r="B121" s="2">
        <f>B11/'Output-Calculation-sheet'!B10*'Output-Calculation-sheet'!B100</f>
        <v>43047732135.813614</v>
      </c>
      <c r="C121" s="2">
        <f>C11/'Output-Calculation-sheet'!C10*'Output-Calculation-sheet'!C100</f>
        <v>11096687265.790628</v>
      </c>
      <c r="D121" s="2">
        <f>D11/'Output-Calculation-sheet'!D10*'Output-Calculation-sheet'!D100</f>
        <v>0</v>
      </c>
      <c r="E121" s="2">
        <f>E11/'Output-Calculation-sheet'!E10*'Output-Calculation-sheet'!E100</f>
        <v>912173542.32098103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16352783264.658054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764738473.19054437</v>
      </c>
      <c r="M121" s="2">
        <f>M11/'Output-Calculation-sheet'!M10*'Output-Calculation-sheet'!M100</f>
        <v>11542318325.129539</v>
      </c>
      <c r="N121" s="2">
        <f>N11/'Output-Calculation-sheet'!N10*'Output-Calculation-sheet'!N100</f>
        <v>7972491799.6675539</v>
      </c>
      <c r="O121" s="2">
        <f>O11/'Output-Calculation-sheet'!O10*'Output-Calculation-sheet'!O100</f>
        <v>1184998552.2315845</v>
      </c>
      <c r="P121" s="2">
        <f>P11/'Output-Calculation-sheet'!P10*'Output-Calculation-sheet'!P100</f>
        <v>0</v>
      </c>
      <c r="Q121" s="2">
        <f>Q11/'Output-Calculation-sheet'!Q10*'Output-Calculation-sheet'!Q100</f>
        <v>1338664706.2422152</v>
      </c>
      <c r="R121" s="2">
        <f>R11/'Output-Calculation-sheet'!R10*'Output-Calculation-sheet'!R100</f>
        <v>0</v>
      </c>
      <c r="S121" s="2">
        <f>S11/'Output-Calculation-sheet'!S10*'Output-Calculation-sheet'!S100</f>
        <v>3685662605.1080337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49906686.139191695</v>
      </c>
      <c r="AA121" s="2">
        <f t="shared" si="10"/>
        <v>98501.114584632858</v>
      </c>
    </row>
    <row r="122" spans="1:27" x14ac:dyDescent="0.25">
      <c r="A122" s="2">
        <v>2035</v>
      </c>
      <c r="B122" s="2">
        <f>B12/'Output-Calculation-sheet'!B11*'Output-Calculation-sheet'!B101</f>
        <v>43496987285.957146</v>
      </c>
      <c r="C122" s="2">
        <f>C12/'Output-Calculation-sheet'!C11*'Output-Calculation-sheet'!C101</f>
        <v>18088230670.975513</v>
      </c>
      <c r="D122" s="2">
        <f>D12/'Output-Calculation-sheet'!D11*'Output-Calculation-sheet'!D101</f>
        <v>0</v>
      </c>
      <c r="E122" s="2">
        <f>E12/'Output-Calculation-sheet'!E11*'Output-Calculation-sheet'!E101</f>
        <v>3543174856.4268684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15682370807.720116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1795129981.394779</v>
      </c>
      <c r="M122" s="2">
        <f>M12/'Output-Calculation-sheet'!M11*'Output-Calculation-sheet'!M101</f>
        <v>11219822708.665089</v>
      </c>
      <c r="N122" s="2">
        <f>N12/'Output-Calculation-sheet'!N11*'Output-Calculation-sheet'!N101</f>
        <v>7967773549.0469656</v>
      </c>
      <c r="O122" s="2">
        <f>O12/'Output-Calculation-sheet'!O11*'Output-Calculation-sheet'!O101</f>
        <v>51368919.319019035</v>
      </c>
      <c r="P122" s="2">
        <f>P12/'Output-Calculation-sheet'!P11*'Output-Calculation-sheet'!P101</f>
        <v>340490813.51776469</v>
      </c>
      <c r="Q122" s="2">
        <f>Q12/'Output-Calculation-sheet'!Q11*'Output-Calculation-sheet'!Q101</f>
        <v>1533694872.0807023</v>
      </c>
      <c r="R122" s="2">
        <f>R12/'Output-Calculation-sheet'!R11*'Output-Calculation-sheet'!R101</f>
        <v>0</v>
      </c>
      <c r="S122" s="2">
        <f>S12/'Output-Calculation-sheet'!S11*'Output-Calculation-sheet'!S101</f>
        <v>3781557416.7488708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137284275.03935969</v>
      </c>
      <c r="Y122" s="2">
        <f>Y12/'Output-Calculation-sheet'!Y11*'Output-Calculation-sheet'!Y101</f>
        <v>80976723.814484522</v>
      </c>
      <c r="AA122" s="2">
        <f t="shared" si="10"/>
        <v>107718.86288070667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3751032200.3697281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2680415890.3888345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176642.8129753792</v>
      </c>
    </row>
    <row r="130" spans="1:27" x14ac:dyDescent="0.25">
      <c r="A130" s="2">
        <v>2032</v>
      </c>
      <c r="B130" s="2">
        <f>B9/'Output-Calculation-sheet'!B8*'Output-Calculation-sheet'!B107</f>
        <v>71562511958.25618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4093411012.0322676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3373938251.9696641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237221.23497655828</v>
      </c>
    </row>
    <row r="131" spans="1:27" x14ac:dyDescent="0.25">
      <c r="A131" s="2">
        <v>2033</v>
      </c>
      <c r="B131" s="2">
        <f>B10/'Output-Calculation-sheet'!B9*'Output-Calculation-sheet'!B108</f>
        <v>79188307652.101166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3958374842.7646308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8616190022.9606247</v>
      </c>
      <c r="R131" s="2">
        <f>R10/'Output-Calculation-sheet'!R9*'Output-Calculation-sheet'!R108</f>
        <v>8470875308.5066118</v>
      </c>
      <c r="S131" s="2">
        <f>S10/'Output-Calculation-sheet'!S9*'Output-Calculation-sheet'!S108</f>
        <v>3261270013.4026275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283993.92728004232</v>
      </c>
    </row>
    <row r="132" spans="1:27" x14ac:dyDescent="0.25">
      <c r="A132" s="2">
        <v>2034</v>
      </c>
      <c r="B132" s="2">
        <f>B11/'Output-Calculation-sheet'!B10*'Output-Calculation-sheet'!B109</f>
        <v>69814731526.392365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37009907112.224541</v>
      </c>
      <c r="F132" s="2">
        <f>F11/'Output-Calculation-sheet'!F10*'Output-Calculation-sheet'!F109</f>
        <v>24413005705.907845</v>
      </c>
      <c r="G132" s="2">
        <f>G11/'Output-Calculation-sheet'!G10*'Output-Calculation-sheet'!G109</f>
        <v>17105246157.632839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15210635249.289576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11320450669.254618</v>
      </c>
      <c r="M132" s="2">
        <f>M11/'Output-Calculation-sheet'!M10*'Output-Calculation-sheet'!M109</f>
        <v>6.2407188013257687E-9</v>
      </c>
      <c r="N132" s="2">
        <f>N11/'Output-Calculation-sheet'!N10*'Output-Calculation-sheet'!N109</f>
        <v>3356240142.7720828</v>
      </c>
      <c r="O132" s="2">
        <f>O11/'Output-Calculation-sheet'!O10*'Output-Calculation-sheet'!O109</f>
        <v>0</v>
      </c>
      <c r="P132" s="2">
        <f>P11/'Output-Calculation-sheet'!P10*'Output-Calculation-sheet'!P109</f>
        <v>10313410421.484209</v>
      </c>
      <c r="Q132" s="2">
        <f>Q11/'Output-Calculation-sheet'!Q10*'Output-Calculation-sheet'!Q109</f>
        <v>8486839569.0032768</v>
      </c>
      <c r="R132" s="2">
        <f>R11/'Output-Calculation-sheet'!R10*'Output-Calculation-sheet'!R109</f>
        <v>9761707133.7842369</v>
      </c>
      <c r="S132" s="2">
        <f>S11/'Output-Calculation-sheet'!S10*'Output-Calculation-sheet'!S109</f>
        <v>2683256509.5954919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3024067248.5265241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1165906547.3555858</v>
      </c>
      <c r="AA132" s="2">
        <f t="shared" si="11"/>
        <v>300235.80673445552</v>
      </c>
    </row>
    <row r="133" spans="1:27" x14ac:dyDescent="0.25">
      <c r="A133" s="2">
        <v>2035</v>
      </c>
      <c r="B133" s="2">
        <f>B12/'Output-Calculation-sheet'!B11*'Output-Calculation-sheet'!B110</f>
        <v>64528137295.357033</v>
      </c>
      <c r="C133" s="2">
        <f>C12/'Output-Calculation-sheet'!C11*'Output-Calculation-sheet'!C110</f>
        <v>0</v>
      </c>
      <c r="D133" s="2">
        <f>D12/'Output-Calculation-sheet'!D11*'Output-Calculation-sheet'!D110</f>
        <v>45279962035.152771</v>
      </c>
      <c r="E133" s="2">
        <f>E12/'Output-Calculation-sheet'!E11*'Output-Calculation-sheet'!E110</f>
        <v>35128277710.882393</v>
      </c>
      <c r="F133" s="2">
        <f>F12/'Output-Calculation-sheet'!F11*'Output-Calculation-sheet'!F110</f>
        <v>23969395808.092651</v>
      </c>
      <c r="G133" s="2">
        <f>G12/'Output-Calculation-sheet'!G11*'Output-Calculation-sheet'!G110</f>
        <v>16230788928.544333</v>
      </c>
      <c r="H133" s="2">
        <f>H12/'Output-Calculation-sheet'!H11*'Output-Calculation-sheet'!H110</f>
        <v>0</v>
      </c>
      <c r="I133" s="2">
        <f>I12/'Output-Calculation-sheet'!I11*'Output-Calculation-sheet'!I110</f>
        <v>14887768828.646118</v>
      </c>
      <c r="J133" s="2">
        <f>J12/'Output-Calculation-sheet'!J11*'Output-Calculation-sheet'!J110</f>
        <v>14904390005.60524</v>
      </c>
      <c r="K133" s="2">
        <f>K12/'Output-Calculation-sheet'!K11*'Output-Calculation-sheet'!K110</f>
        <v>14624657309.734245</v>
      </c>
      <c r="L133" s="2">
        <f>L12/'Output-Calculation-sheet'!L11*'Output-Calculation-sheet'!L110</f>
        <v>10512507698.976885</v>
      </c>
      <c r="M133" s="2">
        <f>M12/'Output-Calculation-sheet'!M11*'Output-Calculation-sheet'!M110</f>
        <v>0</v>
      </c>
      <c r="N133" s="2">
        <f>N12/'Output-Calculation-sheet'!N11*'Output-Calculation-sheet'!N110</f>
        <v>3055011020.1546593</v>
      </c>
      <c r="O133" s="2">
        <f>O12/'Output-Calculation-sheet'!O11*'Output-Calculation-sheet'!O110</f>
        <v>0</v>
      </c>
      <c r="P133" s="2">
        <f>P12/'Output-Calculation-sheet'!P11*'Output-Calculation-sheet'!P110</f>
        <v>9845693831.2622528</v>
      </c>
      <c r="Q133" s="2">
        <f>Q12/'Output-Calculation-sheet'!Q11*'Output-Calculation-sheet'!Q110</f>
        <v>7864711272.0300941</v>
      </c>
      <c r="R133" s="2">
        <f>R12/'Output-Calculation-sheet'!R11*'Output-Calculation-sheet'!R110</f>
        <v>9734925028.5813122</v>
      </c>
      <c r="S133" s="2">
        <f>S12/'Output-Calculation-sheet'!S11*'Output-Calculation-sheet'!S110</f>
        <v>2346368770.9616785</v>
      </c>
      <c r="T133" s="2">
        <f>T12/'Output-Calculation-sheet'!T11*'Output-Calculation-sheet'!T110</f>
        <v>3638357147.7959509</v>
      </c>
      <c r="U133" s="2">
        <f>U12/'Output-Calculation-sheet'!U11*'Output-Calculation-sheet'!U110</f>
        <v>2874645667.9629807</v>
      </c>
      <c r="V133" s="2">
        <f>V12/'Output-Calculation-sheet'!V11*'Output-Calculation-sheet'!V110</f>
        <v>2503359924.281527</v>
      </c>
      <c r="W133" s="2">
        <f>W12/'Output-Calculation-sheet'!W11*'Output-Calculation-sheet'!W110</f>
        <v>2108124859.9994707</v>
      </c>
      <c r="X133" s="2">
        <f>X12/'Output-Calculation-sheet'!X11*'Output-Calculation-sheet'!X110</f>
        <v>983900.02544298547</v>
      </c>
      <c r="Y133" s="2">
        <f>Y12/'Output-Calculation-sheet'!Y11*'Output-Calculation-sheet'!Y110</f>
        <v>1110378407.6408203</v>
      </c>
      <c r="AA133" s="2">
        <f t="shared" si="11"/>
        <v>285148.44545168779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13450605189.290266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3373823615.5369267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312670344.29373789</v>
      </c>
      <c r="Y140" s="2">
        <f>Y8/'Output-Calculation-sheet'!Y7*'Output-Calculation-sheet'!Y115</f>
        <v>0</v>
      </c>
      <c r="AA140" s="2">
        <f t="shared" si="12"/>
        <v>17137.099149120928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26268729874.649036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5119822332.1035042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427092754.35605121</v>
      </c>
      <c r="Y141" s="2">
        <f>Y9/'Output-Calculation-sheet'!Y8*'Output-Calculation-sheet'!Y116</f>
        <v>0</v>
      </c>
      <c r="AA141" s="2">
        <f t="shared" si="12"/>
        <v>31815.644961108592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35196672651.313179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6865430240.3171988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440609976.32572204</v>
      </c>
      <c r="Y142" s="2">
        <f>Y10/'Output-Calculation-sheet'!Y9*'Output-Calculation-sheet'!Y117</f>
        <v>0</v>
      </c>
      <c r="AA142" s="2">
        <f t="shared" si="12"/>
        <v>42502.712867956099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42531666081.787842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9235280038.7608509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52464.096060324759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32141451014.48901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11081168755.345707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1191184127.0616257</v>
      </c>
      <c r="Y144" s="2">
        <f>Y12/'Output-Calculation-sheet'!Y11*'Output-Calculation-sheet'!Y119</f>
        <v>0</v>
      </c>
      <c r="AA144" s="2">
        <f t="shared" si="12"/>
        <v>44413.803896896337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17365522452.246811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2503788383.3306518</v>
      </c>
      <c r="H154" s="2">
        <f>H11/'Output-Calculation-sheet'!H10*'Output-Calculation-sheet'!H127</f>
        <v>2850035074.2606344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1814694585.8002152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1064515488.5033051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563871206.29443312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66972.732337433394</v>
      </c>
    </row>
    <row r="155" spans="1:27" x14ac:dyDescent="0.25">
      <c r="A155" s="2">
        <v>2035</v>
      </c>
      <c r="B155" s="2">
        <f>B12/'Output-Calculation-sheet'!B11*'Output-Calculation-sheet'!B128</f>
        <v>16115853461.593861</v>
      </c>
      <c r="C155" s="2">
        <f>C12/'Output-Calculation-sheet'!C11*'Output-Calculation-sheet'!C128</f>
        <v>7698664233.1442461</v>
      </c>
      <c r="D155" s="2">
        <f>D12/'Output-Calculation-sheet'!D11*'Output-Calculation-sheet'!D128</f>
        <v>6185234840.3612022</v>
      </c>
      <c r="E155" s="2">
        <f>E12/'Output-Calculation-sheet'!E11*'Output-Calculation-sheet'!E128</f>
        <v>3041524144.4967947</v>
      </c>
      <c r="F155" s="2">
        <f>F12/'Output-Calculation-sheet'!F11*'Output-Calculation-sheet'!F128</f>
        <v>2483631479.4794874</v>
      </c>
      <c r="G155" s="2">
        <f>G12/'Output-Calculation-sheet'!G11*'Output-Calculation-sheet'!G128</f>
        <v>2360998317.5590768</v>
      </c>
      <c r="H155" s="2">
        <f>H12/'Output-Calculation-sheet'!H11*'Output-Calculation-sheet'!H128</f>
        <v>2644404530.9272909</v>
      </c>
      <c r="I155" s="2">
        <f>I12/'Output-Calculation-sheet'!I11*'Output-Calculation-sheet'!I128</f>
        <v>2032157236.5883393</v>
      </c>
      <c r="J155" s="2">
        <f>J12/'Output-Calculation-sheet'!J11*'Output-Calculation-sheet'!J128</f>
        <v>1479381983.3049829</v>
      </c>
      <c r="K155" s="2">
        <f>K12/'Output-Calculation-sheet'!K11*'Output-Calculation-sheet'!K128</f>
        <v>1635072704.0314634</v>
      </c>
      <c r="L155" s="2">
        <f>L12/'Output-Calculation-sheet'!L11*'Output-Calculation-sheet'!L128</f>
        <v>711838254.63028574</v>
      </c>
      <c r="M155" s="2">
        <f>M12/'Output-Calculation-sheet'!M11*'Output-Calculation-sheet'!M128</f>
        <v>1412245180.7867346</v>
      </c>
      <c r="N155" s="2">
        <f>N12/'Output-Calculation-sheet'!N11*'Output-Calculation-sheet'!N128</f>
        <v>1244515210.9542615</v>
      </c>
      <c r="O155" s="2">
        <f>O12/'Output-Calculation-sheet'!O11*'Output-Calculation-sheet'!O128</f>
        <v>20395954.22165817</v>
      </c>
      <c r="P155" s="2">
        <f>P12/'Output-Calculation-sheet'!P11*'Output-Calculation-sheet'!P128</f>
        <v>1084292775.289257</v>
      </c>
      <c r="Q155" s="2">
        <f>Q12/'Output-Calculation-sheet'!Q11*'Output-Calculation-sheet'!Q128</f>
        <v>1632550263.5640521</v>
      </c>
      <c r="R155" s="2">
        <f>R12/'Output-Calculation-sheet'!R11*'Output-Calculation-sheet'!R128</f>
        <v>835826768.54994488</v>
      </c>
      <c r="S155" s="2">
        <f>S12/'Output-Calculation-sheet'!S11*'Output-Calculation-sheet'!S128</f>
        <v>925826432.71666098</v>
      </c>
      <c r="T155" s="2">
        <f>T12/'Output-Calculation-sheet'!T11*'Output-Calculation-sheet'!T128</f>
        <v>227706196.71030161</v>
      </c>
      <c r="U155" s="2">
        <f>U12/'Output-Calculation-sheet'!U11*'Output-Calculation-sheet'!U128</f>
        <v>527722045.20087779</v>
      </c>
      <c r="V155" s="2">
        <f>V12/'Output-Calculation-sheet'!V11*'Output-Calculation-sheet'!V128</f>
        <v>78736652.981873527</v>
      </c>
      <c r="W155" s="2">
        <f>W12/'Output-Calculation-sheet'!W11*'Output-Calculation-sheet'!W128</f>
        <v>158741038.70620257</v>
      </c>
      <c r="X155" s="2">
        <f>X12/'Output-Calculation-sheet'!X11*'Output-Calculation-sheet'!X128</f>
        <v>11224653.497943593</v>
      </c>
      <c r="Y155" s="2">
        <f>Y12/'Output-Calculation-sheet'!Y11*'Output-Calculation-sheet'!Y128</f>
        <v>150786411.99371964</v>
      </c>
      <c r="AA155" s="2">
        <f t="shared" si="13"/>
        <v>54699.330771290508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9219.4139326099994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5809.5661402704518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4032.646730282328</v>
      </c>
      <c r="N19" s="2">
        <f>N8/'Output-Calculation-sheet'!N7*'Output-Calculation-sheet'!N25</f>
        <v>1377.6600961591744</v>
      </c>
      <c r="O19" s="2">
        <f>O8/'Output-Calculation-sheet'!O7*'Output-Calculation-sheet'!O25</f>
        <v>1189.9481042309048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212.8978054464533</v>
      </c>
      <c r="Y19" s="2">
        <f>Y8/'Output-Calculation-sheet'!Y7*'Output-Calculation-sheet'!Y25</f>
        <v>0</v>
      </c>
      <c r="AA19" s="2">
        <f t="shared" si="0"/>
        <v>23.62764771480856</v>
      </c>
    </row>
    <row r="20" spans="1:27" x14ac:dyDescent="0.25">
      <c r="A20" s="2">
        <v>2032</v>
      </c>
      <c r="B20" s="2">
        <f>B9/'Output-Calculation-sheet'!B8*'Output-Calculation-sheet'!B26</f>
        <v>7661.4703517257149</v>
      </c>
      <c r="C20" s="2">
        <f>C9/'Output-Calculation-sheet'!C8*'Output-Calculation-sheet'!C26</f>
        <v>7395.1455074644964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8332.5441751589788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5792.0201441161344</v>
      </c>
      <c r="N20" s="2">
        <f>N9/'Output-Calculation-sheet'!N8*'Output-Calculation-sheet'!N26</f>
        <v>2607.9423374440098</v>
      </c>
      <c r="O20" s="2">
        <f>O9/'Output-Calculation-sheet'!O8*'Output-Calculation-sheet'!O26</f>
        <v>1422.748112913637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948.04515998795023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309.47209094107029</v>
      </c>
      <c r="Y20" s="2">
        <f>Y9/'Output-Calculation-sheet'!Y8*'Output-Calculation-sheet'!Y26</f>
        <v>0</v>
      </c>
      <c r="AA20" s="2">
        <f t="shared" si="0"/>
        <v>34.469387879751984</v>
      </c>
    </row>
    <row r="21" spans="1:27" x14ac:dyDescent="0.25">
      <c r="A21" s="2">
        <v>2033</v>
      </c>
      <c r="B21" s="2">
        <f>B10/'Output-Calculation-sheet'!B9*'Output-Calculation-sheet'!B27</f>
        <v>19119.273379746606</v>
      </c>
      <c r="C21" s="2">
        <f>C10/'Output-Calculation-sheet'!C9*'Output-Calculation-sheet'!C27</f>
        <v>7944.3865877490116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11107.727302958157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7718.2916604302445</v>
      </c>
      <c r="N21" s="2">
        <f>N10/'Output-Calculation-sheet'!N9*'Output-Calculation-sheet'!N27</f>
        <v>4215.3936733513328</v>
      </c>
      <c r="O21" s="2">
        <f>O10/'Output-Calculation-sheet'!O9*'Output-Calculation-sheet'!O27</f>
        <v>1527.7961097473424</v>
      </c>
      <c r="P21" s="2">
        <f>P10/'Output-Calculation-sheet'!P9*'Output-Calculation-sheet'!P27</f>
        <v>0</v>
      </c>
      <c r="Q21" s="2">
        <f>Q10/'Output-Calculation-sheet'!Q9*'Output-Calculation-sheet'!Q27</f>
        <v>282.52319978705339</v>
      </c>
      <c r="R21" s="2">
        <f>R10/'Output-Calculation-sheet'!R9*'Output-Calculation-sheet'!R27</f>
        <v>0</v>
      </c>
      <c r="S21" s="2">
        <f>S10/'Output-Calculation-sheet'!S9*'Output-Calculation-sheet'!S27</f>
        <v>1835.0339182365519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489.09250360776326</v>
      </c>
      <c r="Y21" s="2">
        <f>Y10/'Output-Calculation-sheet'!Y9*'Output-Calculation-sheet'!Y27</f>
        <v>0</v>
      </c>
      <c r="AA21" s="2">
        <f t="shared" si="0"/>
        <v>54.239518335614058</v>
      </c>
    </row>
    <row r="22" spans="1:27" x14ac:dyDescent="0.25">
      <c r="A22" s="2">
        <v>2034</v>
      </c>
      <c r="B22" s="2">
        <f>B11/'Output-Calculation-sheet'!B10*'Output-Calculation-sheet'!B28</f>
        <v>38682.989344133319</v>
      </c>
      <c r="C22" s="2">
        <f>C11/'Output-Calculation-sheet'!C10*'Output-Calculation-sheet'!C28</f>
        <v>8421.0677390632754</v>
      </c>
      <c r="D22" s="2">
        <f>D11/'Output-Calculation-sheet'!D10*'Output-Calculation-sheet'!D28</f>
        <v>0</v>
      </c>
      <c r="E22" s="2">
        <f>E11/'Output-Calculation-sheet'!E10*'Output-Calculation-sheet'!E28</f>
        <v>1987.523992215464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14773.978702634769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1205.3595559149694</v>
      </c>
      <c r="M22" s="2">
        <f>M11/'Output-Calculation-sheet'!M10*'Output-Calculation-sheet'!M28</f>
        <v>10961.467406134265</v>
      </c>
      <c r="N22" s="2">
        <f>N11/'Output-Calculation-sheet'!N10*'Output-Calculation-sheet'!N28</f>
        <v>6311.9419682207181</v>
      </c>
      <c r="O22" s="2">
        <f>O11/'Output-Calculation-sheet'!O10*'Output-Calculation-sheet'!O28</f>
        <v>895.70273393653099</v>
      </c>
      <c r="P22" s="2">
        <f>P11/'Output-Calculation-sheet'!P10*'Output-Calculation-sheet'!P28</f>
        <v>0</v>
      </c>
      <c r="Q22" s="2">
        <f>Q11/'Output-Calculation-sheet'!Q10*'Output-Calculation-sheet'!Q28</f>
        <v>1821.7227681845693</v>
      </c>
      <c r="R22" s="2">
        <f>R11/'Output-Calculation-sheet'!R10*'Output-Calculation-sheet'!R28</f>
        <v>0</v>
      </c>
      <c r="S22" s="2">
        <f>S11/'Output-Calculation-sheet'!S10*'Output-Calculation-sheet'!S28</f>
        <v>3010.8815109763113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109.71842339335572</v>
      </c>
      <c r="AA22" s="2">
        <f t="shared" si="0"/>
        <v>88.631201089580031</v>
      </c>
    </row>
    <row r="23" spans="1:27" x14ac:dyDescent="0.25">
      <c r="A23" s="2">
        <v>2035</v>
      </c>
      <c r="B23" s="2">
        <f>B12/'Output-Calculation-sheet'!B11*'Output-Calculation-sheet'!B29</f>
        <v>43300.747437609338</v>
      </c>
      <c r="C23" s="2">
        <f>C12/'Output-Calculation-sheet'!C11*'Output-Calculation-sheet'!C29</f>
        <v>16283.024102841751</v>
      </c>
      <c r="D23" s="2">
        <f>D12/'Output-Calculation-sheet'!D11*'Output-Calculation-sheet'!D29</f>
        <v>0</v>
      </c>
      <c r="E23" s="2">
        <f>E12/'Output-Calculation-sheet'!E11*'Output-Calculation-sheet'!E29</f>
        <v>7347.3740575782267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15801.684024443393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2641.0282781254582</v>
      </c>
      <c r="M23" s="2">
        <f>M12/'Output-Calculation-sheet'!M11*'Output-Calculation-sheet'!M29</f>
        <v>12143.124556107126</v>
      </c>
      <c r="N23" s="2">
        <f>N12/'Output-Calculation-sheet'!N11*'Output-Calculation-sheet'!N29</f>
        <v>7224.4860509648079</v>
      </c>
      <c r="O23" s="2">
        <f>O12/'Output-Calculation-sheet'!O11*'Output-Calculation-sheet'!O29</f>
        <v>44.246839853419729</v>
      </c>
      <c r="P23" s="2">
        <f>P12/'Output-Calculation-sheet'!P11*'Output-Calculation-sheet'!P29</f>
        <v>818.93739522527051</v>
      </c>
      <c r="Q23" s="2">
        <f>Q12/'Output-Calculation-sheet'!Q11*'Output-Calculation-sheet'!Q29</f>
        <v>2232.4273005582813</v>
      </c>
      <c r="R23" s="2">
        <f>R12/'Output-Calculation-sheet'!R11*'Output-Calculation-sheet'!R29</f>
        <v>0</v>
      </c>
      <c r="S23" s="2">
        <f>S12/'Output-Calculation-sheet'!S11*'Output-Calculation-sheet'!S29</f>
        <v>3451.47062880978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118.25003608410196</v>
      </c>
      <c r="Y23" s="2">
        <f>Y12/'Output-Calculation-sheet'!Y11*'Output-Calculation-sheet'!Y29</f>
        <v>173.46463808971845</v>
      </c>
      <c r="AA23" s="2">
        <f t="shared" si="0"/>
        <v>111.58026534629069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1877.6992711371734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48.259671824250695</v>
      </c>
    </row>
    <row r="31" spans="1:27" x14ac:dyDescent="0.25">
      <c r="A31" s="2">
        <v>2032</v>
      </c>
      <c r="B31" s="2">
        <f>B9/'Output-Calculation-sheet'!B8*'Output-Calculation-sheet'!B17</f>
        <v>32440.875889085859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2222.0719725000527</v>
      </c>
      <c r="O31" s="2">
        <f>O9/'Output-Calculation-sheet'!O8*'Output-Calculation-sheet'!O17</f>
        <v>0</v>
      </c>
      <c r="P31" s="2">
        <f>P9/'Output-Calculation-sheet'!P8*'Output-Calculation-sheet'!P17</f>
        <v>2750.7730465064838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1652.6561776404037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70.646459604513723</v>
      </c>
    </row>
    <row r="32" spans="1:27" x14ac:dyDescent="0.25">
      <c r="A32" s="2">
        <v>2033</v>
      </c>
      <c r="B32" s="2">
        <f>B10/'Output-Calculation-sheet'!B9*'Output-Calculation-sheet'!B18</f>
        <v>39041.577615216425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3715.6362679772237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2380.6120106829394</v>
      </c>
      <c r="O32" s="2">
        <f>O10/'Output-Calculation-sheet'!O9*'Output-Calculation-sheet'!O18</f>
        <v>0</v>
      </c>
      <c r="P32" s="2">
        <f>P10/'Output-Calculation-sheet'!P9*'Output-Calculation-sheet'!P18</f>
        <v>3824.131858717401</v>
      </c>
      <c r="Q32" s="2">
        <f>Q10/'Output-Calculation-sheet'!Q9*'Output-Calculation-sheet'!Q18</f>
        <v>4168.9954445567973</v>
      </c>
      <c r="R32" s="2">
        <f>R10/'Output-Calculation-sheet'!R9*'Output-Calculation-sheet'!R18</f>
        <v>2746.0223252920869</v>
      </c>
      <c r="S32" s="2">
        <f>S10/'Output-Calculation-sheet'!S9*'Output-Calculation-sheet'!S18</f>
        <v>1798.3527306329161</v>
      </c>
      <c r="T32" s="2">
        <f>T10/'Output-Calculation-sheet'!T9*'Output-Calculation-sheet'!T18</f>
        <v>801.76221231454633</v>
      </c>
      <c r="U32" s="2">
        <f>U10/'Output-Calculation-sheet'!U9*'Output-Calculation-sheet'!U18</f>
        <v>886.32970174884827</v>
      </c>
      <c r="V32" s="2">
        <f>V10/'Output-Calculation-sheet'!V9*'Output-Calculation-sheet'!V18</f>
        <v>654.23782367437309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378.80816677271571</v>
      </c>
      <c r="AA32" s="2">
        <f t="shared" si="1"/>
        <v>93.730570674790471</v>
      </c>
    </row>
    <row r="33" spans="1:27" x14ac:dyDescent="0.25">
      <c r="A33" s="2">
        <v>2034</v>
      </c>
      <c r="B33" s="2">
        <f>B11/'Output-Calculation-sheet'!B10*'Output-Calculation-sheet'!B19</f>
        <v>39414.249600023853</v>
      </c>
      <c r="C33" s="2">
        <f>C11/'Output-Calculation-sheet'!C10*'Output-Calculation-sheet'!C19</f>
        <v>0</v>
      </c>
      <c r="D33" s="2">
        <f>D11/'Output-Calculation-sheet'!D10*'Output-Calculation-sheet'!D19</f>
        <v>11927.41886141772</v>
      </c>
      <c r="E33" s="2">
        <f>E11/'Output-Calculation-sheet'!E10*'Output-Calculation-sheet'!E19</f>
        <v>14788.101010874378</v>
      </c>
      <c r="F33" s="2">
        <f>F11/'Output-Calculation-sheet'!F10*'Output-Calculation-sheet'!F19</f>
        <v>6770.8981429053965</v>
      </c>
      <c r="G33" s="2">
        <f>G11/'Output-Calculation-sheet'!G10*'Output-Calculation-sheet'!G19</f>
        <v>4033.7271171833627</v>
      </c>
      <c r="H33" s="2">
        <f>H11/'Output-Calculation-sheet'!H10*'Output-Calculation-sheet'!H19</f>
        <v>0</v>
      </c>
      <c r="I33" s="2">
        <f>I11/'Output-Calculation-sheet'!I10*'Output-Calculation-sheet'!I19</f>
        <v>4430.8223491168246</v>
      </c>
      <c r="J33" s="2">
        <f>J11/'Output-Calculation-sheet'!J10*'Output-Calculation-sheet'!J19</f>
        <v>3746.3880370225647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4226.7525173341719</v>
      </c>
      <c r="M33" s="2">
        <f>M11/'Output-Calculation-sheet'!M10*'Output-Calculation-sheet'!M19</f>
        <v>0</v>
      </c>
      <c r="N33" s="2">
        <f>N11/'Output-Calculation-sheet'!N10*'Output-Calculation-sheet'!N19</f>
        <v>2387.0655133841515</v>
      </c>
      <c r="O33" s="2">
        <f>O11/'Output-Calculation-sheet'!O10*'Output-Calculation-sheet'!O19</f>
        <v>0</v>
      </c>
      <c r="P33" s="2">
        <f>P11/'Output-Calculation-sheet'!P10*'Output-Calculation-sheet'!P19</f>
        <v>5259.6542207227021</v>
      </c>
      <c r="Q33" s="2">
        <f>Q11/'Output-Calculation-sheet'!Q10*'Output-Calculation-sheet'!Q19</f>
        <v>4282.3254886262885</v>
      </c>
      <c r="R33" s="2">
        <f>R11/'Output-Calculation-sheet'!R10*'Output-Calculation-sheet'!R19</f>
        <v>3754.1801471450244</v>
      </c>
      <c r="S33" s="2">
        <f>S11/'Output-Calculation-sheet'!S10*'Output-Calculation-sheet'!S19</f>
        <v>1742.3467883844608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1178.3875425151923</v>
      </c>
      <c r="V33" s="2">
        <f>V11/'Output-Calculation-sheet'!V10*'Output-Calculation-sheet'!V19</f>
        <v>863.91175338384767</v>
      </c>
      <c r="W33" s="2">
        <f>W11/'Output-Calculation-sheet'!W10*'Output-Calculation-sheet'!W19</f>
        <v>537.86176926435348</v>
      </c>
      <c r="X33" s="2">
        <f>X11/'Output-Calculation-sheet'!X10*'Output-Calculation-sheet'!X19</f>
        <v>0</v>
      </c>
      <c r="Y33" s="2">
        <f>Y11/'Output-Calculation-sheet'!Y10*'Output-Calculation-sheet'!Y19</f>
        <v>484.84449423644594</v>
      </c>
      <c r="AA33" s="2">
        <f t="shared" si="1"/>
        <v>116.12742844632109</v>
      </c>
    </row>
    <row r="34" spans="1:27" x14ac:dyDescent="0.25">
      <c r="A34" s="2">
        <v>2035</v>
      </c>
      <c r="B34" s="2">
        <f>B12/'Output-Calculation-sheet'!B11*'Output-Calculation-sheet'!B20</f>
        <v>40057.275610286961</v>
      </c>
      <c r="C34" s="2">
        <f>C12/'Output-Calculation-sheet'!C11*'Output-Calculation-sheet'!C20</f>
        <v>0</v>
      </c>
      <c r="D34" s="2">
        <f>D12/'Output-Calculation-sheet'!D11*'Output-Calculation-sheet'!D20</f>
        <v>12774.82461253445</v>
      </c>
      <c r="E34" s="2">
        <f>E12/'Output-Calculation-sheet'!E11*'Output-Calculation-sheet'!E20</f>
        <v>14157.418590727109</v>
      </c>
      <c r="F34" s="2">
        <f>F12/'Output-Calculation-sheet'!F11*'Output-Calculation-sheet'!F20</f>
        <v>7952.0105606973057</v>
      </c>
      <c r="G34" s="2">
        <f>G12/'Output-Calculation-sheet'!G11*'Output-Calculation-sheet'!G20</f>
        <v>4285.453846109619</v>
      </c>
      <c r="H34" s="2">
        <f>H12/'Output-Calculation-sheet'!H11*'Output-Calculation-sheet'!H20</f>
        <v>0</v>
      </c>
      <c r="I34" s="2">
        <f>I12/'Output-Calculation-sheet'!I11*'Output-Calculation-sheet'!I20</f>
        <v>4757.3659323863849</v>
      </c>
      <c r="J34" s="2">
        <f>J12/'Output-Calculation-sheet'!J11*'Output-Calculation-sheet'!J20</f>
        <v>4400.7024348936275</v>
      </c>
      <c r="K34" s="2">
        <f>K12/'Output-Calculation-sheet'!K11*'Output-Calculation-sheet'!K20</f>
        <v>5858.0580036622468</v>
      </c>
      <c r="L34" s="2">
        <f>L12/'Output-Calculation-sheet'!L11*'Output-Calculation-sheet'!L20</f>
        <v>4686.8506351968026</v>
      </c>
      <c r="M34" s="2">
        <f>M12/'Output-Calculation-sheet'!M11*'Output-Calculation-sheet'!M20</f>
        <v>0</v>
      </c>
      <c r="N34" s="2">
        <f>N12/'Output-Calculation-sheet'!N11*'Output-Calculation-sheet'!N20</f>
        <v>2505.3706819690933</v>
      </c>
      <c r="O34" s="2">
        <f>O12/'Output-Calculation-sheet'!O11*'Output-Calculation-sheet'!O20</f>
        <v>0</v>
      </c>
      <c r="P34" s="2">
        <f>P12/'Output-Calculation-sheet'!P11*'Output-Calculation-sheet'!P20</f>
        <v>5374.7893377865284</v>
      </c>
      <c r="Q34" s="2">
        <f>Q12/'Output-Calculation-sheet'!Q11*'Output-Calculation-sheet'!Q20</f>
        <v>4397.3152658803683</v>
      </c>
      <c r="R34" s="2">
        <f>R12/'Output-Calculation-sheet'!R11*'Output-Calculation-sheet'!R20</f>
        <v>4497.1952244558888</v>
      </c>
      <c r="S34" s="2">
        <f>S12/'Output-Calculation-sheet'!S11*'Output-Calculation-sheet'!S20</f>
        <v>1734.9050035829193</v>
      </c>
      <c r="T34" s="2">
        <f>T12/'Output-Calculation-sheet'!T11*'Output-Calculation-sheet'!T20</f>
        <v>1364.4483489763372</v>
      </c>
      <c r="U34" s="2">
        <f>U12/'Output-Calculation-sheet'!U11*'Output-Calculation-sheet'!U20</f>
        <v>1255.8213590018952</v>
      </c>
      <c r="V34" s="2">
        <f>V12/'Output-Calculation-sheet'!V11*'Output-Calculation-sheet'!V20</f>
        <v>1235.8633115884613</v>
      </c>
      <c r="W34" s="2">
        <f>W12/'Output-Calculation-sheet'!W11*'Output-Calculation-sheet'!W20</f>
        <v>670.22019611482733</v>
      </c>
      <c r="X34" s="2">
        <f>X12/'Output-Calculation-sheet'!X11*'Output-Calculation-sheet'!X20</f>
        <v>1.4869048101576321</v>
      </c>
      <c r="Y34" s="2">
        <f>Y12/'Output-Calculation-sheet'!Y11*'Output-Calculation-sheet'!Y20</f>
        <v>485.33552854990978</v>
      </c>
      <c r="AA34" s="2">
        <f t="shared" si="1"/>
        <v>122.45271138921089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0.17814272410360069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2.6867349212164927E-2</v>
      </c>
      <c r="H44" s="2">
        <f>H11/'Output-Calculation-sheet'!H10*'Output-Calculation-sheet'!H37*0.0114</f>
        <v>2.6027315497107083E-2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1.542201459302573E-2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1.0090052865148757E-2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4.9205499366043407E-3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0.26147000620765154</v>
      </c>
    </row>
    <row r="45" spans="1:27" x14ac:dyDescent="0.25">
      <c r="A45" s="2">
        <v>2035</v>
      </c>
      <c r="B45" s="2">
        <f>B12/'Output-Calculation-sheet'!B11*'Output-Calculation-sheet'!B38*0.0114</f>
        <v>0.76039975798124682</v>
      </c>
      <c r="C45" s="2">
        <f>C12/'Output-Calculation-sheet'!C11*'Output-Calculation-sheet'!C38*0.0114</f>
        <v>0.45112915612091059</v>
      </c>
      <c r="D45" s="2">
        <f>D12/'Output-Calculation-sheet'!D11*'Output-Calculation-sheet'!D38*0.0114</f>
        <v>7.9924506338120802E-2</v>
      </c>
      <c r="E45" s="2">
        <f>E12/'Output-Calculation-sheet'!E11*'Output-Calculation-sheet'!E38*0.0114</f>
        <v>0.2540749537415945</v>
      </c>
      <c r="F45" s="2">
        <f>F12/'Output-Calculation-sheet'!F11*'Output-Calculation-sheet'!F38*0.0114</f>
        <v>7.9897833125948767E-2</v>
      </c>
      <c r="G45" s="2">
        <f>G12/'Output-Calculation-sheet'!G11*'Output-Calculation-sheet'!G38*0.0114</f>
        <v>5.7341454559341469E-2</v>
      </c>
      <c r="H45" s="2">
        <f>H12/'Output-Calculation-sheet'!H11*'Output-Calculation-sheet'!H38*0.0114</f>
        <v>0.16664585520814224</v>
      </c>
      <c r="I45" s="2">
        <f>I12/'Output-Calculation-sheet'!I11*'Output-Calculation-sheet'!I38*0.0114</f>
        <v>5.1575094970636108E-2</v>
      </c>
      <c r="J45" s="2">
        <f>J12/'Output-Calculation-sheet'!J11*'Output-Calculation-sheet'!J38*0.0114</f>
        <v>2.5521129789935697E-2</v>
      </c>
      <c r="K45" s="2">
        <f>K12/'Output-Calculation-sheet'!K11*'Output-Calculation-sheet'!K38*0.0114</f>
        <v>5.0690108790746397E-2</v>
      </c>
      <c r="L45" s="2">
        <f>L12/'Output-Calculation-sheet'!L11*'Output-Calculation-sheet'!L38*0.0114</f>
        <v>2.0153220489048915E-2</v>
      </c>
      <c r="M45" s="2">
        <f>M12/'Output-Calculation-sheet'!M11*'Output-Calculation-sheet'!M38*0.0114</f>
        <v>9.5557138565286887E-2</v>
      </c>
      <c r="N45" s="2">
        <f>N12/'Output-Calculation-sheet'!N11*'Output-Calculation-sheet'!N38*0.0114</f>
        <v>5.6350302142076501E-2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6.9410374922208543E-2</v>
      </c>
      <c r="Q45" s="2">
        <f>Q12/'Output-Calculation-sheet'!Q11*'Output-Calculation-sheet'!Q38*0.0114</f>
        <v>4.9371492253453442E-2</v>
      </c>
      <c r="R45" s="2">
        <f>R12/'Output-Calculation-sheet'!R11*'Output-Calculation-sheet'!R38*0.0114</f>
        <v>3.2640759901823822E-2</v>
      </c>
      <c r="S45" s="2">
        <f>S12/'Output-Calculation-sheet'!S11*'Output-Calculation-sheet'!S38*0.0114</f>
        <v>4.3069251328025582E-2</v>
      </c>
      <c r="T45" s="2">
        <f>T12/'Output-Calculation-sheet'!T11*'Output-Calculation-sheet'!T38*0.0114</f>
        <v>6.0379257790370211E-3</v>
      </c>
      <c r="U45" s="2">
        <f>U12/'Output-Calculation-sheet'!U11*'Output-Calculation-sheet'!U38*0.0114</f>
        <v>1.5752474594833671E-2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7.0120451693392472E-3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1.0116118771467899E-2</v>
      </c>
      <c r="AA45" s="2">
        <f t="shared" si="2"/>
        <v>2.4063447350509919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3561.8121364301237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8204.196169499508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5611.0438722907584</v>
      </c>
      <c r="N52" s="2">
        <f>N8/'Output-Calculation-sheet'!N7*'Output-Calculation-sheet'!N43</f>
        <v>177.24367221580718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37.939297069613382</v>
      </c>
      <c r="Y52" s="2">
        <f>Y8/'Output-Calculation-sheet'!Y7*'Output-Calculation-sheet'!Y43</f>
        <v>0</v>
      </c>
      <c r="AA52" s="2">
        <f t="shared" si="3"/>
        <v>17.592235147505811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642.7122048204202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16666.686343301451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11409.396411269678</v>
      </c>
      <c r="N53" s="2">
        <f>N9/'Output-Calculation-sheet'!N8*'Output-Calculation-sheet'!N44</f>
        <v>4048.778827039449</v>
      </c>
      <c r="O53" s="2">
        <f>O9/'Output-Calculation-sheet'!O8*'Output-Calculation-sheet'!O44</f>
        <v>224.50990986390377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1261.8555920529905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348.37830836183736</v>
      </c>
      <c r="Y53" s="2">
        <f>Y9/'Output-Calculation-sheet'!Y8*'Output-Calculation-sheet'!Y44</f>
        <v>0</v>
      </c>
      <c r="AA53" s="2">
        <f t="shared" si="3"/>
        <v>34.781788340299421</v>
      </c>
    </row>
    <row r="54" spans="1:27" x14ac:dyDescent="0.25">
      <c r="A54" s="2">
        <v>2033</v>
      </c>
      <c r="B54" s="2">
        <f>B10/'Output-Calculation-sheet'!B9*'Output-Calculation-sheet'!B45</f>
        <v>36719.047389929881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18342.942959698885</v>
      </c>
      <c r="N54" s="2">
        <f>N10/'Output-Calculation-sheet'!N9*'Output-Calculation-sheet'!N45</f>
        <v>10265.963744512263</v>
      </c>
      <c r="O54" s="2">
        <f>O10/'Output-Calculation-sheet'!O9*'Output-Calculation-sheet'!O45</f>
        <v>1367.0542059147149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1067.5104662695085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112.1265933910769</v>
      </c>
    </row>
    <row r="55" spans="1:27" x14ac:dyDescent="0.25">
      <c r="A55" s="2">
        <v>2034</v>
      </c>
      <c r="B55" s="2">
        <f>B11/'Output-Calculation-sheet'!B10*'Output-Calculation-sheet'!B46</f>
        <v>110135.95784931383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390.78080756332236</v>
      </c>
      <c r="G55" s="2">
        <f>G11/'Output-Calculation-sheet'!G10*'Output-Calculation-sheet'!G46</f>
        <v>4404.8311997838809</v>
      </c>
      <c r="H55" s="2">
        <f>H11/'Output-Calculation-sheet'!H10*'Output-Calculation-sheet'!H46</f>
        <v>34079.801616255914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23996.925883927564</v>
      </c>
      <c r="N55" s="2">
        <f>N11/'Output-Calculation-sheet'!N10*'Output-Calculation-sheet'!N46</f>
        <v>18176.342888274692</v>
      </c>
      <c r="O55" s="2">
        <f>O11/'Output-Calculation-sheet'!O10*'Output-Calculation-sheet'!O46</f>
        <v>697.3779536249599</v>
      </c>
      <c r="P55" s="2">
        <f>P11/'Output-Calculation-sheet'!P10*'Output-Calculation-sheet'!P46</f>
        <v>6726.9694366400645</v>
      </c>
      <c r="Q55" s="2">
        <f>Q11/'Output-Calculation-sheet'!Q10*'Output-Calculation-sheet'!Q46</f>
        <v>5248.8961948192837</v>
      </c>
      <c r="R55" s="2">
        <f>R11/'Output-Calculation-sheet'!R10*'Output-Calculation-sheet'!R46</f>
        <v>5452.1177110869867</v>
      </c>
      <c r="S55" s="2">
        <f>S11/'Output-Calculation-sheet'!S10*'Output-Calculation-sheet'!S46</f>
        <v>8516.358655128186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1610.4010362693678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272.13421939886598</v>
      </c>
    </row>
    <row r="56" spans="1:27" x14ac:dyDescent="0.25">
      <c r="A56" s="2">
        <v>2035</v>
      </c>
      <c r="B56" s="2">
        <f>B12/'Output-Calculation-sheet'!B11*'Output-Calculation-sheet'!B47</f>
        <v>123498.25893879635</v>
      </c>
      <c r="C56" s="2">
        <f>C12/'Output-Calculation-sheet'!C11*'Output-Calculation-sheet'!C47</f>
        <v>38488.440109052426</v>
      </c>
      <c r="D56" s="2">
        <f>D12/'Output-Calculation-sheet'!D11*'Output-Calculation-sheet'!D47</f>
        <v>12661.724425144401</v>
      </c>
      <c r="E56" s="2">
        <f>E12/'Output-Calculation-sheet'!E11*'Output-Calculation-sheet'!E47</f>
        <v>32026.816537427305</v>
      </c>
      <c r="F56" s="2">
        <f>F12/'Output-Calculation-sheet'!F11*'Output-Calculation-sheet'!F47</f>
        <v>1839.7527364527675</v>
      </c>
      <c r="G56" s="2">
        <f>G12/'Output-Calculation-sheet'!G11*'Output-Calculation-sheet'!G47</f>
        <v>4685.4004317567169</v>
      </c>
      <c r="H56" s="2">
        <f>H12/'Output-Calculation-sheet'!H11*'Output-Calculation-sheet'!H47</f>
        <v>36528.089285609305</v>
      </c>
      <c r="I56" s="2">
        <f>I12/'Output-Calculation-sheet'!I11*'Output-Calculation-sheet'!I47</f>
        <v>2985.9265509315637</v>
      </c>
      <c r="J56" s="2">
        <f>J12/'Output-Calculation-sheet'!J11*'Output-Calculation-sheet'!J47</f>
        <v>4925.130310338468</v>
      </c>
      <c r="K56" s="2">
        <f>K12/'Output-Calculation-sheet'!K11*'Output-Calculation-sheet'!K47</f>
        <v>6734.2254178583698</v>
      </c>
      <c r="L56" s="2">
        <f>L12/'Output-Calculation-sheet'!L11*'Output-Calculation-sheet'!L47</f>
        <v>7210.9637170903961</v>
      </c>
      <c r="M56" s="2">
        <f>M12/'Output-Calculation-sheet'!M11*'Output-Calculation-sheet'!M47</f>
        <v>25746.781299748702</v>
      </c>
      <c r="N56" s="2">
        <f>N12/'Output-Calculation-sheet'!N11*'Output-Calculation-sheet'!N47</f>
        <v>20836.430435342088</v>
      </c>
      <c r="O56" s="2">
        <f>O12/'Output-Calculation-sheet'!O11*'Output-Calculation-sheet'!O47</f>
        <v>93.792168435160136</v>
      </c>
      <c r="P56" s="2">
        <f>P12/'Output-Calculation-sheet'!P11*'Output-Calculation-sheet'!P47</f>
        <v>8932.0192991999938</v>
      </c>
      <c r="Q56" s="2">
        <f>Q12/'Output-Calculation-sheet'!Q11*'Output-Calculation-sheet'!Q47</f>
        <v>6282.5945697961806</v>
      </c>
      <c r="R56" s="2">
        <f>R12/'Output-Calculation-sheet'!R11*'Output-Calculation-sheet'!R47</f>
        <v>7341.3077533575688</v>
      </c>
      <c r="S56" s="2">
        <f>S12/'Output-Calculation-sheet'!S11*'Output-Calculation-sheet'!S47</f>
        <v>9688.6925465545264</v>
      </c>
      <c r="T56" s="2">
        <f>T12/'Output-Calculation-sheet'!T11*'Output-Calculation-sheet'!T47</f>
        <v>2480.3163529149447</v>
      </c>
      <c r="U56" s="2">
        <f>U12/'Output-Calculation-sheet'!U11*'Output-Calculation-sheet'!U47</f>
        <v>1731.390409414613</v>
      </c>
      <c r="V56" s="2">
        <f>V12/'Output-Calculation-sheet'!V11*'Output-Calculation-sheet'!V47</f>
        <v>1710.814457121859</v>
      </c>
      <c r="W56" s="2">
        <f>W12/'Output-Calculation-sheet'!W11*'Output-Calculation-sheet'!W47</f>
        <v>605.55776045741129</v>
      </c>
      <c r="X56" s="2">
        <f>X12/'Output-Calculation-sheet'!X11*'Output-Calculation-sheet'!X47</f>
        <v>203.21951950824777</v>
      </c>
      <c r="Y56" s="2">
        <f>Y12/'Output-Calculation-sheet'!Y11*'Output-Calculation-sheet'!Y47</f>
        <v>806.44988943070405</v>
      </c>
      <c r="AA56" s="2">
        <f t="shared" si="3"/>
        <v>358.04409492174005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8.7778515642589756</v>
      </c>
      <c r="C63" s="2">
        <f>C8*'Output-Calculation-sheet'!C52/10^9</f>
        <v>5.3094181867405243</v>
      </c>
      <c r="D63" s="2">
        <f>D8*'Output-Calculation-sheet'!D52/10^9</f>
        <v>3.010113412663642</v>
      </c>
      <c r="E63" s="2">
        <f>E8*'Output-Calculation-sheet'!E52/10^9</f>
        <v>2.9928601598075537</v>
      </c>
      <c r="F63" s="2">
        <f>F8*'Output-Calculation-sheet'!F52/10^9</f>
        <v>1.2674760302600185</v>
      </c>
      <c r="G63" s="2">
        <f>G8*'Output-Calculation-sheet'!G52/10^9</f>
        <v>0.91125800607947871</v>
      </c>
      <c r="H63" s="2">
        <f>H8*'Output-Calculation-sheet'!H52/10^9</f>
        <v>1.5916911647489038</v>
      </c>
      <c r="I63" s="2">
        <f>I8*'Output-Calculation-sheet'!I52/10^9</f>
        <v>0.84768150556492117</v>
      </c>
      <c r="J63" s="2">
        <f>J8*'Output-Calculation-sheet'!J52/10^9</f>
        <v>1.166467209147166</v>
      </c>
      <c r="K63" s="2">
        <f>K8*'Output-Calculation-sheet'!K52/10^9</f>
        <v>1.0248451912251655</v>
      </c>
      <c r="L63" s="2">
        <f>L8*'Output-Calculation-sheet'!L52/10^9</f>
        <v>1.3784660918032652</v>
      </c>
      <c r="M63" s="2">
        <f>M8*'Output-Calculation-sheet'!M52/10^9</f>
        <v>1.2919921707470525</v>
      </c>
      <c r="N63" s="2">
        <f>N8*'Output-Calculation-sheet'!N52/10^9</f>
        <v>1.0783393776945689</v>
      </c>
      <c r="O63" s="2">
        <f>O8*'Output-Calculation-sheet'!O52/10^9</f>
        <v>1.0836841581464356</v>
      </c>
      <c r="P63" s="2">
        <f>P8*'Output-Calculation-sheet'!P52/10^9</f>
        <v>0.70814038194302775</v>
      </c>
      <c r="Q63" s="2">
        <f>Q8*'Output-Calculation-sheet'!Q52/10^9</f>
        <v>0.80140739471996525</v>
      </c>
      <c r="R63" s="2">
        <f>R8*'Output-Calculation-sheet'!R52/10^9</f>
        <v>0.71950476088426962</v>
      </c>
      <c r="S63" s="2">
        <f>S8*'Output-Calculation-sheet'!S52/10^9</f>
        <v>0.53317852113484809</v>
      </c>
      <c r="T63" s="2">
        <f>T8*'Output-Calculation-sheet'!T52/10^9</f>
        <v>0.27354543199228909</v>
      </c>
      <c r="U63" s="2">
        <f>U8*'Output-Calculation-sheet'!U52/10^9</f>
        <v>0.18786807147166196</v>
      </c>
      <c r="V63" s="2">
        <f>V8*'Output-Calculation-sheet'!V52/10^9</f>
        <v>0.33342143015593378</v>
      </c>
      <c r="W63" s="2">
        <f>W8*'Output-Calculation-sheet'!W52/10^9</f>
        <v>0.12068293676448454</v>
      </c>
      <c r="X63" s="2">
        <f>X8*'Output-Calculation-sheet'!X52/10^9</f>
        <v>0.13738069311365833</v>
      </c>
      <c r="Y63" s="2">
        <f>Y8*'Output-Calculation-sheet'!Y52/10^9</f>
        <v>7.8742259134164647E-2</v>
      </c>
      <c r="AA63" s="2">
        <f t="shared" si="4"/>
        <v>35.626016110201974</v>
      </c>
    </row>
    <row r="64" spans="1:27" x14ac:dyDescent="0.25">
      <c r="A64" s="2">
        <v>2032</v>
      </c>
      <c r="B64" s="2">
        <f>B9*'Output-Calculation-sheet'!B53/10^9</f>
        <v>9.6058956389564631</v>
      </c>
      <c r="C64" s="2">
        <f>C9*'Output-Calculation-sheet'!C53/10^9</f>
        <v>6.1285584631822685</v>
      </c>
      <c r="D64" s="2">
        <f>D9*'Output-Calculation-sheet'!D53/10^9</f>
        <v>2.8427850885687653</v>
      </c>
      <c r="E64" s="2">
        <f>E9*'Output-Calculation-sheet'!E53/10^9</f>
        <v>2.9111370072696907</v>
      </c>
      <c r="F64" s="2">
        <f>F9*'Output-Calculation-sheet'!F53/10^9</f>
        <v>1.2278993353385377</v>
      </c>
      <c r="G64" s="2">
        <f>G9*'Output-Calculation-sheet'!G53/10^9</f>
        <v>0.87398118410140024</v>
      </c>
      <c r="H64" s="2">
        <f>H9*'Output-Calculation-sheet'!H53/10^9</f>
        <v>1.7957774331161911</v>
      </c>
      <c r="I64" s="2">
        <f>I9*'Output-Calculation-sheet'!I53/10^9</f>
        <v>0.81702956683608374</v>
      </c>
      <c r="J64" s="2">
        <f>J9*'Output-Calculation-sheet'!J53/10^9</f>
        <v>1.0815811383118819</v>
      </c>
      <c r="K64" s="2">
        <f>K9*'Output-Calculation-sheet'!K53/10^9</f>
        <v>1.0035601434420698</v>
      </c>
      <c r="L64" s="2">
        <f>L9*'Output-Calculation-sheet'!L53/10^9</f>
        <v>1.291077124968466</v>
      </c>
      <c r="M64" s="2">
        <f>M9*'Output-Calculation-sheet'!M53/10^9</f>
        <v>1.407360798496204</v>
      </c>
      <c r="N64" s="2">
        <f>N9*'Output-Calculation-sheet'!N53/10^9</f>
        <v>1.1848398492675016</v>
      </c>
      <c r="O64" s="2">
        <f>O9*'Output-Calculation-sheet'!O53/10^9</f>
        <v>1.2382599893626418</v>
      </c>
      <c r="P64" s="2">
        <f>P9*'Output-Calculation-sheet'!P53/10^9</f>
        <v>0.7651463543705822</v>
      </c>
      <c r="Q64" s="2">
        <f>Q9*'Output-Calculation-sheet'!Q53/10^9</f>
        <v>0.84560194894530971</v>
      </c>
      <c r="R64" s="2">
        <f>R9*'Output-Calculation-sheet'!R53/10^9</f>
        <v>0.7248805606644475</v>
      </c>
      <c r="S64" s="2">
        <f>S9*'Output-Calculation-sheet'!S53/10^9</f>
        <v>0.59891334088555392</v>
      </c>
      <c r="T64" s="2">
        <f>T9*'Output-Calculation-sheet'!T53/10^9</f>
        <v>0.26057465822454462</v>
      </c>
      <c r="U64" s="2">
        <f>U9*'Output-Calculation-sheet'!U53/10^9</f>
        <v>0.1961291123779115</v>
      </c>
      <c r="V64" s="2">
        <f>V9*'Output-Calculation-sheet'!V53/10^9</f>
        <v>0.3092844987135086</v>
      </c>
      <c r="W64" s="2">
        <f>W9*'Output-Calculation-sheet'!W53/10^9</f>
        <v>0.114924346374511</v>
      </c>
      <c r="X64" s="2">
        <f>X9*'Output-Calculation-sheet'!X53/10^9</f>
        <v>0.15429517473497317</v>
      </c>
      <c r="Y64" s="2">
        <f>Y9*'Output-Calculation-sheet'!Y53/10^9</f>
        <v>8.0519789495283878E-2</v>
      </c>
      <c r="AA64" s="2">
        <f t="shared" si="4"/>
        <v>37.460012546004776</v>
      </c>
    </row>
    <row r="65" spans="1:27" x14ac:dyDescent="0.25">
      <c r="A65" s="2">
        <v>2033</v>
      </c>
      <c r="B65" s="2">
        <f>B10*'Output-Calculation-sheet'!B54/10^9</f>
        <v>10.58487616023284</v>
      </c>
      <c r="C65" s="2">
        <f>C10*'Output-Calculation-sheet'!C54/10^9</f>
        <v>6.8715249267608955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1.9395439448966592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0.97454012976452598</v>
      </c>
      <c r="L65" s="2">
        <f>L10*'Output-Calculation-sheet'!L54/10^9</f>
        <v>1.1510652639468597</v>
      </c>
      <c r="M65" s="2">
        <f>M10*'Output-Calculation-sheet'!M54/10^9</f>
        <v>1.4644575491622918</v>
      </c>
      <c r="N65" s="2">
        <f>N10*'Output-Calculation-sheet'!N54/10^9</f>
        <v>1.264572247711055</v>
      </c>
      <c r="O65" s="2">
        <f>O10*'Output-Calculation-sheet'!O54/10^9</f>
        <v>1.3735772224354756</v>
      </c>
      <c r="P65" s="2">
        <f>P10*'Output-Calculation-sheet'!P54/10^9</f>
        <v>0.82452353362796882</v>
      </c>
      <c r="Q65" s="2">
        <f>Q10*'Output-Calculation-sheet'!Q54/10^9</f>
        <v>0.89980420912609393</v>
      </c>
      <c r="R65" s="2">
        <f>R10*'Output-Calculation-sheet'!R54/10^9</f>
        <v>0.72589894757486262</v>
      </c>
      <c r="S65" s="2">
        <f>S10*'Output-Calculation-sheet'!S54/10^9</f>
        <v>0.6593583939319686</v>
      </c>
      <c r="T65" s="2">
        <f>T10*'Output-Calculation-sheet'!T54/10^9</f>
        <v>0.24269982607904084</v>
      </c>
      <c r="U65" s="2">
        <f>U10*'Output-Calculation-sheet'!U54/10^9</f>
        <v>0.20956558773820125</v>
      </c>
      <c r="V65" s="2">
        <f>V10*'Output-Calculation-sheet'!V54/10^9</f>
        <v>0.26859421217648066</v>
      </c>
      <c r="W65" s="2">
        <f>W10*'Output-Calculation-sheet'!W54/10^9</f>
        <v>0.10225999366502159</v>
      </c>
      <c r="X65" s="2">
        <f>X10*'Output-Calculation-sheet'!X54/10^9</f>
        <v>0.16720984290933849</v>
      </c>
      <c r="Y65" s="2">
        <f>Y10*'Output-Calculation-sheet'!Y54/10^9</f>
        <v>8.4173050546183931E-2</v>
      </c>
      <c r="AA65" s="2">
        <f t="shared" si="4"/>
        <v>38.729921219149723</v>
      </c>
    </row>
    <row r="66" spans="1:27" x14ac:dyDescent="0.25">
      <c r="A66" s="2">
        <v>2034</v>
      </c>
      <c r="B66" s="2">
        <f>B11*'Output-Calculation-sheet'!B55/10^9</f>
        <v>11.760779326180904</v>
      </c>
      <c r="C66" s="2">
        <f>C11*'Output-Calculation-sheet'!C55/10^9</f>
        <v>7.5557426712281641</v>
      </c>
      <c r="D66" s="2">
        <f>D11*'Output-Calculation-sheet'!D55/10^9</f>
        <v>2.4607081722899236</v>
      </c>
      <c r="E66" s="2">
        <f>E11*'Output-Calculation-sheet'!E55/10^9</f>
        <v>2.9797381708154709</v>
      </c>
      <c r="F66" s="2">
        <f>F11*'Output-Calculation-sheet'!F55/10^9</f>
        <v>1.1451617524437663</v>
      </c>
      <c r="G66" s="2">
        <f>G11*'Output-Calculation-sheet'!G55/10^9</f>
        <v>0.81858968800008958</v>
      </c>
      <c r="H66" s="2">
        <f>H11*'Output-Calculation-sheet'!H55/10^9</f>
        <v>2.0913770119340684</v>
      </c>
      <c r="I66" s="2">
        <f>I11*'Output-Calculation-sheet'!I55/10^9</f>
        <v>0.80044831514380965</v>
      </c>
      <c r="J66" s="2">
        <f>J11*'Output-Calculation-sheet'!J55/10^9</f>
        <v>0.82310601975231346</v>
      </c>
      <c r="K66" s="2">
        <f>K11*'Output-Calculation-sheet'!K55/10^9</f>
        <v>0.98450081868005102</v>
      </c>
      <c r="L66" s="2">
        <f>L11*'Output-Calculation-sheet'!L55/10^9</f>
        <v>1.0426543445151806</v>
      </c>
      <c r="M66" s="2">
        <f>M11*'Output-Calculation-sheet'!M55/10^9</f>
        <v>1.5160652041496498</v>
      </c>
      <c r="N66" s="2">
        <f>N11*'Output-Calculation-sheet'!N55/10^9</f>
        <v>1.3246305193872141</v>
      </c>
      <c r="O66" s="2">
        <f>O11*'Output-Calculation-sheet'!O55/10^9</f>
        <v>1.4907916619584767</v>
      </c>
      <c r="P66" s="2">
        <f>P11*'Output-Calculation-sheet'!P55/10^9</f>
        <v>0.9106334802003655</v>
      </c>
      <c r="Q66" s="2">
        <f>Q11*'Output-Calculation-sheet'!Q55/10^9</f>
        <v>0.9908185160395917</v>
      </c>
      <c r="R66" s="2">
        <f>R11*'Output-Calculation-sheet'!R55/10^9</f>
        <v>0.73755339290232558</v>
      </c>
      <c r="S66" s="2">
        <f>S11*'Output-Calculation-sheet'!S55/10^9</f>
        <v>0.72511429467932687</v>
      </c>
      <c r="T66" s="2">
        <f>T11*'Output-Calculation-sheet'!T55/10^9</f>
        <v>0.23116563937011214</v>
      </c>
      <c r="U66" s="2">
        <f>U11*'Output-Calculation-sheet'!U55/10^9</f>
        <v>0.23477749450213356</v>
      </c>
      <c r="V66" s="2">
        <f>V11*'Output-Calculation-sheet'!V55/10^9</f>
        <v>0.2192932209863365</v>
      </c>
      <c r="W66" s="2">
        <f>W11*'Output-Calculation-sheet'!W55/10^9</f>
        <v>9.9295525821475425E-2</v>
      </c>
      <c r="X66" s="2">
        <f>X11*'Output-Calculation-sheet'!X55/10^9</f>
        <v>0.17719127923947206</v>
      </c>
      <c r="Y66" s="2">
        <f>Y11*'Output-Calculation-sheet'!Y55/10^9</f>
        <v>9.7435706267757383E-2</v>
      </c>
      <c r="AA66" s="2">
        <f t="shared" si="4"/>
        <v>41.217572226487974</v>
      </c>
    </row>
    <row r="67" spans="1:27" x14ac:dyDescent="0.25">
      <c r="A67" s="2">
        <v>2035</v>
      </c>
      <c r="B67" s="2">
        <f>B12*'Output-Calculation-sheet'!B56/10^9</f>
        <v>13.034275808627367</v>
      </c>
      <c r="C67" s="2">
        <f>C12*'Output-Calculation-sheet'!C56/10^9</f>
        <v>8.1861946586789873</v>
      </c>
      <c r="D67" s="2">
        <f>D12*'Output-Calculation-sheet'!D56/10^9</f>
        <v>2.7119676503963022</v>
      </c>
      <c r="E67" s="2">
        <f>E12*'Output-Calculation-sheet'!E56/10^9</f>
        <v>3.6819747229185222</v>
      </c>
      <c r="F67" s="2">
        <f>F12*'Output-Calculation-sheet'!F56/10^9</f>
        <v>1.3448551709633287</v>
      </c>
      <c r="G67" s="2">
        <f>G12*'Output-Calculation-sheet'!G56/10^9</f>
        <v>0.9420842022473761</v>
      </c>
      <c r="H67" s="2">
        <f>H12*'Output-Calculation-sheet'!H56/10^9</f>
        <v>2.2757050287894689</v>
      </c>
      <c r="I67" s="2">
        <f>I12*'Output-Calculation-sheet'!I56/10^9</f>
        <v>0.91515421328365909</v>
      </c>
      <c r="J67" s="2">
        <f>J12*'Output-Calculation-sheet'!J56/10^9</f>
        <v>0.90598816629309353</v>
      </c>
      <c r="K67" s="2">
        <f>K12*'Output-Calculation-sheet'!K56/10^9</f>
        <v>1.0917255400605765</v>
      </c>
      <c r="L67" s="2">
        <f>L12*'Output-Calculation-sheet'!L56/10^9</f>
        <v>1.0967205602654362</v>
      </c>
      <c r="M67" s="2">
        <f>M12*'Output-Calculation-sheet'!M56/10^9</f>
        <v>1.6647084962434229</v>
      </c>
      <c r="N67" s="2">
        <f>N12*'Output-Calculation-sheet'!N56/10^9</f>
        <v>1.4298424479345397</v>
      </c>
      <c r="O67" s="2">
        <f>O12*'Output-Calculation-sheet'!O56/10^9</f>
        <v>1.6039568224335619</v>
      </c>
      <c r="P67" s="2">
        <f>P12*'Output-Calculation-sheet'!P56/10^9</f>
        <v>1.0574127850973432</v>
      </c>
      <c r="Q67" s="2">
        <f>Q12*'Output-Calculation-sheet'!Q56/10^9</f>
        <v>1.0883854872234142</v>
      </c>
      <c r="R67" s="2">
        <f>R12*'Output-Calculation-sheet'!R56/10^9</f>
        <v>0.82814368451414844</v>
      </c>
      <c r="S67" s="2">
        <f>S12*'Output-Calculation-sheet'!S56/10^9</f>
        <v>0.78912837773923916</v>
      </c>
      <c r="T67" s="2">
        <f>T12*'Output-Calculation-sheet'!T56/10^9</f>
        <v>0.25096133606587689</v>
      </c>
      <c r="U67" s="2">
        <f>U12*'Output-Calculation-sheet'!U56/10^9</f>
        <v>0.26242655702276124</v>
      </c>
      <c r="V67" s="2">
        <f>V12*'Output-Calculation-sheet'!V56/10^9</f>
        <v>0.20130479771203869</v>
      </c>
      <c r="W67" s="2">
        <f>W12*'Output-Calculation-sheet'!W56/10^9</f>
        <v>0.12154148380085579</v>
      </c>
      <c r="X67" s="2">
        <f>X12*'Output-Calculation-sheet'!X56/10^9</f>
        <v>0.19240683333230196</v>
      </c>
      <c r="Y67" s="2">
        <f>Y12*'Output-Calculation-sheet'!Y56/10^9</f>
        <v>0.11745079508058374</v>
      </c>
      <c r="AA67" s="2">
        <f t="shared" si="4"/>
        <v>45.794315626724199</v>
      </c>
    </row>
    <row r="68" spans="1:27" x14ac:dyDescent="0.25">
      <c r="B68" s="2">
        <f>SUM(B60:B67)</f>
        <v>53.763678498256553</v>
      </c>
      <c r="C68" s="2">
        <f t="shared" ref="C68:Y68" si="5">SUM(C60:C67)</f>
        <v>34.051438906590839</v>
      </c>
      <c r="D68" s="2">
        <f t="shared" si="5"/>
        <v>13.526138215523545</v>
      </c>
      <c r="E68" s="2">
        <f t="shared" si="5"/>
        <v>15.38130238278017</v>
      </c>
      <c r="F68" s="2">
        <f t="shared" si="5"/>
        <v>6.1284734017329248</v>
      </c>
      <c r="G68" s="2">
        <f t="shared" si="5"/>
        <v>4.3307423172374024</v>
      </c>
      <c r="H68" s="2">
        <f t="shared" si="5"/>
        <v>9.6940945834852918</v>
      </c>
      <c r="I68" s="2">
        <f t="shared" si="5"/>
        <v>4.1445232811607617</v>
      </c>
      <c r="J68" s="2">
        <f t="shared" si="5"/>
        <v>4.8905424669259503</v>
      </c>
      <c r="K68" s="2">
        <f t="shared" si="5"/>
        <v>5.0791718231723895</v>
      </c>
      <c r="L68" s="2">
        <f t="shared" si="5"/>
        <v>5.9599833854992079</v>
      </c>
      <c r="M68" s="2">
        <f t="shared" si="5"/>
        <v>7.3445842187986212</v>
      </c>
      <c r="N68" s="2">
        <f t="shared" si="5"/>
        <v>6.2822244419948792</v>
      </c>
      <c r="O68" s="2">
        <f t="shared" si="5"/>
        <v>6.7902698543365911</v>
      </c>
      <c r="P68" s="2">
        <f t="shared" si="5"/>
        <v>4.265856535239287</v>
      </c>
      <c r="Q68" s="2">
        <f t="shared" si="5"/>
        <v>4.626017556054375</v>
      </c>
      <c r="R68" s="2">
        <f t="shared" si="5"/>
        <v>3.7359813465400533</v>
      </c>
      <c r="S68" s="2">
        <f t="shared" si="5"/>
        <v>3.3056929283709366</v>
      </c>
      <c r="T68" s="2">
        <f t="shared" si="5"/>
        <v>1.2589468917318636</v>
      </c>
      <c r="U68" s="2">
        <f t="shared" si="5"/>
        <v>1.0907668231126695</v>
      </c>
      <c r="V68" s="2">
        <f t="shared" si="5"/>
        <v>1.331898159744298</v>
      </c>
      <c r="W68" s="2">
        <f t="shared" si="5"/>
        <v>0.5587042864263484</v>
      </c>
      <c r="X68" s="2">
        <f t="shared" si="5"/>
        <v>0.82848382332974402</v>
      </c>
      <c r="Y68" s="2">
        <f t="shared" si="5"/>
        <v>0.45832160052397364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955.06139646123313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1741.7462022741763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1174.5766149594886</v>
      </c>
      <c r="N74" s="2">
        <f>N8/'Output-Calculation-sheet'!N7*'Output-Calculation-sheet'!N61</f>
        <v>52.749063005896737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10.42291408141504</v>
      </c>
      <c r="Y74" s="2">
        <f>Y8/'Output-Calculation-sheet'!Y7*'Output-Calculation-sheet'!Y61</f>
        <v>0</v>
      </c>
      <c r="AA74" s="2">
        <f t="shared" si="6"/>
        <v>3.9345561907822098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176.56663849927139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3179.1499694793083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2155.0682132610777</v>
      </c>
      <c r="N75" s="2">
        <f>N9/'Output-Calculation-sheet'!N8*'Output-Calculation-sheet'!N62</f>
        <v>830.54773065218114</v>
      </c>
      <c r="O75" s="2">
        <f>O9/'Output-Calculation-sheet'!O8*'Output-Calculation-sheet'!O62</f>
        <v>61.678995237156116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278.6141747446797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76.058911542520818</v>
      </c>
      <c r="Y75" s="2">
        <f>Y9/'Output-Calculation-sheet'!Y8*'Output-Calculation-sheet'!Y62</f>
        <v>0</v>
      </c>
      <c r="AA75" s="2">
        <f t="shared" si="6"/>
        <v>6.8234244102287063</v>
      </c>
    </row>
    <row r="76" spans="1:27" x14ac:dyDescent="0.25">
      <c r="A76" s="2">
        <v>2033</v>
      </c>
      <c r="B76" s="2">
        <f>B10/'Output-Calculation-sheet'!B9*'Output-Calculation-sheet'!B63</f>
        <v>7375.3220932833046</v>
      </c>
      <c r="C76" s="2">
        <f>C10/'Output-Calculation-sheet'!C9*'Output-Calculation-sheet'!C63</f>
        <v>1520.2083077875347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4836.1639548922776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3285.6211171199793</v>
      </c>
      <c r="N76" s="2">
        <f>N10/'Output-Calculation-sheet'!N9*'Output-Calculation-sheet'!N63</f>
        <v>1879.134502144268</v>
      </c>
      <c r="O76" s="2">
        <f>O10/'Output-Calculation-sheet'!O9*'Output-Calculation-sheet'!O63</f>
        <v>311.82001105593395</v>
      </c>
      <c r="P76" s="2">
        <f>P10/'Output-Calculation-sheet'!P9*'Output-Calculation-sheet'!P63</f>
        <v>648.90262556181312</v>
      </c>
      <c r="Q76" s="2">
        <f>Q10/'Output-Calculation-sheet'!Q9*'Output-Calculation-sheet'!Q63</f>
        <v>293.2719689146723</v>
      </c>
      <c r="R76" s="2">
        <f>R10/'Output-Calculation-sheet'!R9*'Output-Calculation-sheet'!R63</f>
        <v>493.80439989954652</v>
      </c>
      <c r="S76" s="2">
        <f>S10/'Output-Calculation-sheet'!S9*'Output-Calculation-sheet'!S63</f>
        <v>837.83233975773646</v>
      </c>
      <c r="T76" s="2">
        <f>T10/'Output-Calculation-sheet'!T9*'Output-Calculation-sheet'!T63</f>
        <v>32.452030261045373</v>
      </c>
      <c r="U76" s="2">
        <f>U10/'Output-Calculation-sheet'!U9*'Output-Calculation-sheet'!U63</f>
        <v>175.43450812135993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188.64749116928718</v>
      </c>
      <c r="Y76" s="2">
        <f>Y10/'Output-Calculation-sheet'!Y9*'Output-Calculation-sheet'!Y63</f>
        <v>8.3212845415957748</v>
      </c>
      <c r="AA76" s="2">
        <f t="shared" si="6"/>
        <v>22.023161783436475</v>
      </c>
    </row>
    <row r="77" spans="1:27" x14ac:dyDescent="0.25">
      <c r="A77" s="2">
        <v>2034</v>
      </c>
      <c r="B77" s="2">
        <f>B11/'Output-Calculation-sheet'!B10*'Output-Calculation-sheet'!B64</f>
        <v>18675.998771824372</v>
      </c>
      <c r="C77" s="2">
        <f>C11/'Output-Calculation-sheet'!C10*'Output-Calculation-sheet'!C64</f>
        <v>2804.8049790427262</v>
      </c>
      <c r="D77" s="2">
        <f>D11/'Output-Calculation-sheet'!D10*'Output-Calculation-sheet'!D64</f>
        <v>2399.6038814226131</v>
      </c>
      <c r="E77" s="2">
        <f>E11/'Output-Calculation-sheet'!E10*'Output-Calculation-sheet'!E64</f>
        <v>2959.0090822885991</v>
      </c>
      <c r="F77" s="2">
        <f>F11/'Output-Calculation-sheet'!F10*'Output-Calculation-sheet'!F64</f>
        <v>190.53684047427808</v>
      </c>
      <c r="G77" s="2">
        <f>G11/'Output-Calculation-sheet'!G10*'Output-Calculation-sheet'!G64</f>
        <v>1195.5216228207437</v>
      </c>
      <c r="H77" s="2">
        <f>H11/'Output-Calculation-sheet'!H10*'Output-Calculation-sheet'!H64</f>
        <v>6371.03478031739</v>
      </c>
      <c r="I77" s="2">
        <f>I11/'Output-Calculation-sheet'!I10*'Output-Calculation-sheet'!I64</f>
        <v>743.39499953410564</v>
      </c>
      <c r="J77" s="2">
        <f>J11/'Output-Calculation-sheet'!J10*'Output-Calculation-sheet'!J64</f>
        <v>521.64267353292769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476.05603572575097</v>
      </c>
      <c r="M77" s="2">
        <f>M11/'Output-Calculation-sheet'!M10*'Output-Calculation-sheet'!M64</f>
        <v>4515.8821167567439</v>
      </c>
      <c r="N77" s="2">
        <f>N11/'Output-Calculation-sheet'!N10*'Output-Calculation-sheet'!N64</f>
        <v>3168.5478955099893</v>
      </c>
      <c r="O77" s="2">
        <f>O11/'Output-Calculation-sheet'!O10*'Output-Calculation-sheet'!O64</f>
        <v>151.34686543556234</v>
      </c>
      <c r="P77" s="2">
        <f>P11/'Output-Calculation-sheet'!P10*'Output-Calculation-sheet'!P64</f>
        <v>1391.6895870811065</v>
      </c>
      <c r="Q77" s="2">
        <f>Q11/'Output-Calculation-sheet'!Q10*'Output-Calculation-sheet'!Q64</f>
        <v>992.39987501971768</v>
      </c>
      <c r="R77" s="2">
        <f>R11/'Output-Calculation-sheet'!R10*'Output-Calculation-sheet'!R64</f>
        <v>1200.138020202241</v>
      </c>
      <c r="S77" s="2">
        <f>S11/'Output-Calculation-sheet'!S10*'Output-Calculation-sheet'!S64</f>
        <v>1486.4064018134666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353.01579103074255</v>
      </c>
      <c r="V77" s="2">
        <f>V11/'Output-Calculation-sheet'!V10*'Output-Calculation-sheet'!V64</f>
        <v>171.30362134004173</v>
      </c>
      <c r="W77" s="2">
        <f>W11/'Output-Calculation-sheet'!W10*'Output-Calculation-sheet'!W64</f>
        <v>37.598456256598482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109.75933629497759</v>
      </c>
      <c r="AA77" s="2">
        <f t="shared" si="6"/>
        <v>51.567001300464405</v>
      </c>
    </row>
    <row r="78" spans="1:27" x14ac:dyDescent="0.25">
      <c r="A78" s="2">
        <v>2035</v>
      </c>
      <c r="B78" s="2">
        <f>B12/'Output-Calculation-sheet'!B11*'Output-Calculation-sheet'!B65</f>
        <v>21404.219310308174</v>
      </c>
      <c r="C78" s="2">
        <f>C12/'Output-Calculation-sheet'!C11*'Output-Calculation-sheet'!C65</f>
        <v>7033.9583149576465</v>
      </c>
      <c r="D78" s="2">
        <f>D12/'Output-Calculation-sheet'!D11*'Output-Calculation-sheet'!D65</f>
        <v>2874.2605209590392</v>
      </c>
      <c r="E78" s="2">
        <f>E12/'Output-Calculation-sheet'!E11*'Output-Calculation-sheet'!E65</f>
        <v>5001.8554917445572</v>
      </c>
      <c r="F78" s="2">
        <f>F12/'Output-Calculation-sheet'!F11*'Output-Calculation-sheet'!F65</f>
        <v>645.86885209549837</v>
      </c>
      <c r="G78" s="2">
        <f>G12/'Output-Calculation-sheet'!G11*'Output-Calculation-sheet'!G65</f>
        <v>1259.2434918839101</v>
      </c>
      <c r="H78" s="2">
        <f>H12/'Output-Calculation-sheet'!H11*'Output-Calculation-sheet'!H65</f>
        <v>6813.3377172711062</v>
      </c>
      <c r="I78" s="2">
        <f>I12/'Output-Calculation-sheet'!I11*'Output-Calculation-sheet'!I65</f>
        <v>837.21987389767719</v>
      </c>
      <c r="J78" s="2">
        <f>J12/'Output-Calculation-sheet'!J11*'Output-Calculation-sheet'!J65</f>
        <v>1219.5092774473123</v>
      </c>
      <c r="K78" s="2">
        <f>K12/'Output-Calculation-sheet'!K11*'Output-Calculation-sheet'!K65</f>
        <v>1499.5312503007128</v>
      </c>
      <c r="L78" s="2">
        <f>L12/'Output-Calculation-sheet'!L11*'Output-Calculation-sheet'!L65</f>
        <v>1280.9351586312316</v>
      </c>
      <c r="M78" s="2">
        <f>M12/'Output-Calculation-sheet'!M11*'Output-Calculation-sheet'!M65</f>
        <v>4975.3031231556388</v>
      </c>
      <c r="N78" s="2">
        <f>N12/'Output-Calculation-sheet'!N11*'Output-Calculation-sheet'!N65</f>
        <v>3584.2285222025603</v>
      </c>
      <c r="O78" s="2">
        <f>O12/'Output-Calculation-sheet'!O11*'Output-Calculation-sheet'!O65</f>
        <v>16.796486032552284</v>
      </c>
      <c r="P78" s="2">
        <f>P12/'Output-Calculation-sheet'!P11*'Output-Calculation-sheet'!P65</f>
        <v>1730.7218220104087</v>
      </c>
      <c r="Q78" s="2">
        <f>Q12/'Output-Calculation-sheet'!Q11*'Output-Calculation-sheet'!Q65</f>
        <v>1164.7471264140813</v>
      </c>
      <c r="R78" s="2">
        <f>R12/'Output-Calculation-sheet'!R11*'Output-Calculation-sheet'!R65</f>
        <v>1612.1700799193707</v>
      </c>
      <c r="S78" s="2">
        <f>S12/'Output-Calculation-sheet'!S11*'Output-Calculation-sheet'!S65</f>
        <v>1694.2206175970705</v>
      </c>
      <c r="T78" s="2">
        <f>T12/'Output-Calculation-sheet'!T11*'Output-Calculation-sheet'!T65</f>
        <v>556.17717742464879</v>
      </c>
      <c r="U78" s="2">
        <f>U12/'Output-Calculation-sheet'!U11*'Output-Calculation-sheet'!U65</f>
        <v>380.52543556784258</v>
      </c>
      <c r="V78" s="2">
        <f>V12/'Output-Calculation-sheet'!V11*'Output-Calculation-sheet'!V65</f>
        <v>313.68921364942548</v>
      </c>
      <c r="W78" s="2">
        <f>W12/'Output-Calculation-sheet'!W11*'Output-Calculation-sheet'!W65</f>
        <v>148.33243445719353</v>
      </c>
      <c r="X78" s="2">
        <f>X12/'Output-Calculation-sheet'!X11*'Output-Calculation-sheet'!X65</f>
        <v>40.891261597340588</v>
      </c>
      <c r="Y78" s="2">
        <f>Y12/'Output-Calculation-sheet'!Y11*'Output-Calculation-sheet'!Y65</f>
        <v>138.81267187901082</v>
      </c>
      <c r="AA78" s="2">
        <f t="shared" si="6"/>
        <v>66.226555231404021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31.253109491859767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2.3567850186109585</v>
      </c>
      <c r="H88" s="2">
        <f>H11/'Output-Calculation-sheet'!H10*'Output-Calculation-sheet'!H73</f>
        <v>15.981684954363999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6.7640414881691804</v>
      </c>
      <c r="R88" s="2">
        <f>R11/'Output-Calculation-sheet'!R10*'Output-Calculation-sheet'!R73</f>
        <v>0</v>
      </c>
      <c r="S88" s="2">
        <f>S11/'Output-Calculation-sheet'!S10*'Output-Calculation-sheet'!S73</f>
        <v>3.5403694263679846</v>
      </c>
      <c r="T88" s="2">
        <f>T11/'Output-Calculation-sheet'!T10*'Output-Calculation-sheet'!T73</f>
        <v>0</v>
      </c>
      <c r="U88" s="2">
        <f>U11/'Output-Calculation-sheet'!U10*'Output-Calculation-sheet'!U73</f>
        <v>2.1581359371071667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6.2054126316479066E-2</v>
      </c>
    </row>
    <row r="89" spans="1:27" x14ac:dyDescent="0.25">
      <c r="A89" s="2">
        <v>2035</v>
      </c>
      <c r="B89" s="2">
        <f>B12/'Output-Calculation-sheet'!B11*'Output-Calculation-sheet'!B74</f>
        <v>466.91213209374803</v>
      </c>
      <c r="C89" s="2">
        <f>C12/'Output-Calculation-sheet'!C11*'Output-Calculation-sheet'!C74</f>
        <v>253.26549115559894</v>
      </c>
      <c r="D89" s="2">
        <f>D12/'Output-Calculation-sheet'!D11*'Output-Calculation-sheet'!D74</f>
        <v>42.065529651642528</v>
      </c>
      <c r="E89" s="2">
        <f>E12/'Output-Calculation-sheet'!E11*'Output-Calculation-sheet'!E74</f>
        <v>139.29547902499698</v>
      </c>
      <c r="F89" s="2">
        <f>F12/'Output-Calculation-sheet'!F11*'Output-Calculation-sheet'!F74</f>
        <v>42.051491118920396</v>
      </c>
      <c r="G89" s="2">
        <f>G12/'Output-Calculation-sheet'!G11*'Output-Calculation-sheet'!G74</f>
        <v>30.179712925969191</v>
      </c>
      <c r="H89" s="2">
        <f>H12/'Output-Calculation-sheet'!H11*'Output-Calculation-sheet'!H74</f>
        <v>104.76274523318882</v>
      </c>
      <c r="I89" s="2">
        <f>I12/'Output-Calculation-sheet'!I11*'Output-Calculation-sheet'!I74</f>
        <v>27.144786826650581</v>
      </c>
      <c r="J89" s="2">
        <f>J12/'Output-Calculation-sheet'!J11*'Output-Calculation-sheet'!J74</f>
        <v>13.432173573650367</v>
      </c>
      <c r="K89" s="2">
        <f>K12/'Output-Calculation-sheet'!K11*'Output-Calculation-sheet'!K74</f>
        <v>20.009253470031471</v>
      </c>
      <c r="L89" s="2">
        <f>L12/'Output-Calculation-sheet'!L11*'Output-Calculation-sheet'!L74</f>
        <v>10.606958152131007</v>
      </c>
      <c r="M89" s="2">
        <f>M12/'Output-Calculation-sheet'!M11*'Output-Calculation-sheet'!M74</f>
        <v>55.322553906218722</v>
      </c>
      <c r="N89" s="2">
        <f>N12/'Output-Calculation-sheet'!N11*'Output-Calculation-sheet'!N74</f>
        <v>28.010384105710543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38.053933619631877</v>
      </c>
      <c r="Q89" s="2">
        <f>Q12/'Output-Calculation-sheet'!Q11*'Output-Calculation-sheet'!Q74</f>
        <v>31.759439461285837</v>
      </c>
      <c r="R89" s="2">
        <f>R12/'Output-Calculation-sheet'!R11*'Output-Calculation-sheet'!R74</f>
        <v>17.179347316749379</v>
      </c>
      <c r="S89" s="2">
        <f>S12/'Output-Calculation-sheet'!S11*'Output-Calculation-sheet'!S74</f>
        <v>24.557029265979494</v>
      </c>
      <c r="T89" s="2">
        <f>T12/'Output-Calculation-sheet'!T11*'Output-Calculation-sheet'!T74</f>
        <v>3.1778556731773793</v>
      </c>
      <c r="U89" s="2">
        <f>U12/'Output-Calculation-sheet'!U11*'Output-Calculation-sheet'!U74</f>
        <v>9.2119734472711521</v>
      </c>
      <c r="V89" s="2">
        <f>V12/'Output-Calculation-sheet'!V11*'Output-Calculation-sheet'!V74</f>
        <v>0.71032362761962176</v>
      </c>
      <c r="W89" s="2">
        <f>W12/'Output-Calculation-sheet'!W11*'Output-Calculation-sheet'!W74</f>
        <v>4.3056417706469059</v>
      </c>
      <c r="X89" s="2">
        <f>X12/'Output-Calculation-sheet'!X11*'Output-Calculation-sheet'!X74</f>
        <v>0.55172720228483563</v>
      </c>
      <c r="Y89" s="2">
        <f>Y12/'Output-Calculation-sheet'!Y11*'Output-Calculation-sheet'!Y74</f>
        <v>5.8567003413761514</v>
      </c>
      <c r="AA89" s="2">
        <f t="shared" si="7"/>
        <v>1.369960239496204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10020194359.247684</v>
      </c>
      <c r="C96" s="2">
        <f>C8/'Output-Calculation-sheet'!C7*'Output-Calculation-sheet'!C79</f>
        <v>2419713033.4933319</v>
      </c>
      <c r="D96" s="2">
        <f>D8/'Output-Calculation-sheet'!D7*'Output-Calculation-sheet'!D79</f>
        <v>1964437275.5363545</v>
      </c>
      <c r="E96" s="2">
        <f>E8/'Output-Calculation-sheet'!E7*'Output-Calculation-sheet'!E79</f>
        <v>7360042242.780179</v>
      </c>
      <c r="F96" s="2">
        <f>F8/'Output-Calculation-sheet'!F7*'Output-Calculation-sheet'!F79</f>
        <v>2147036181.9158053</v>
      </c>
      <c r="G96" s="2">
        <f>G8/'Output-Calculation-sheet'!G7*'Output-Calculation-sheet'!G79</f>
        <v>1378091210.1283808</v>
      </c>
      <c r="H96" s="2">
        <f>H8/'Output-Calculation-sheet'!H7*'Output-Calculation-sheet'!H79</f>
        <v>1697762687.1851251</v>
      </c>
      <c r="I96" s="2">
        <f>I8/'Output-Calculation-sheet'!I7*'Output-Calculation-sheet'!I79</f>
        <v>990979302.48625875</v>
      </c>
      <c r="J96" s="2">
        <f>J8/'Output-Calculation-sheet'!J7*'Output-Calculation-sheet'!J79</f>
        <v>750965931.43678391</v>
      </c>
      <c r="K96" s="2">
        <f>K8/'Output-Calculation-sheet'!K7*'Output-Calculation-sheet'!K79</f>
        <v>941809829.37472558</v>
      </c>
      <c r="L96" s="2">
        <f>L8/'Output-Calculation-sheet'!L7*'Output-Calculation-sheet'!L79</f>
        <v>855002692.14822769</v>
      </c>
      <c r="M96" s="2">
        <f>M8/'Output-Calculation-sheet'!M7*'Output-Calculation-sheet'!M79</f>
        <v>1309984708.8954558</v>
      </c>
      <c r="N96" s="2">
        <f>N8/'Output-Calculation-sheet'!N7*'Output-Calculation-sheet'!N79</f>
        <v>851577431.4989289</v>
      </c>
      <c r="O96" s="2">
        <f>O8/'Output-Calculation-sheet'!O7*'Output-Calculation-sheet'!O79</f>
        <v>319529757.24948913</v>
      </c>
      <c r="P96" s="2">
        <f>P8/'Output-Calculation-sheet'!P7*'Output-Calculation-sheet'!P79</f>
        <v>1621845018.5640378</v>
      </c>
      <c r="Q96" s="2">
        <f>Q8/'Output-Calculation-sheet'!Q7*'Output-Calculation-sheet'!Q79</f>
        <v>688582399.42245054</v>
      </c>
      <c r="R96" s="2">
        <f>R8/'Output-Calculation-sheet'!R7*'Output-Calculation-sheet'!R79</f>
        <v>913943527.48860049</v>
      </c>
      <c r="S96" s="2">
        <f>S8/'Output-Calculation-sheet'!S7*'Output-Calculation-sheet'!S79</f>
        <v>515427082.35847837</v>
      </c>
      <c r="T96" s="2">
        <f>T8/'Output-Calculation-sheet'!T7*'Output-Calculation-sheet'!T79</f>
        <v>310946354.19343972</v>
      </c>
      <c r="U96" s="2">
        <f>U8/'Output-Calculation-sheet'!U7*'Output-Calculation-sheet'!U79</f>
        <v>244753784.98556623</v>
      </c>
      <c r="V96" s="2">
        <f>V8/'Output-Calculation-sheet'!V7*'Output-Calculation-sheet'!V79</f>
        <v>112333465.49961807</v>
      </c>
      <c r="W96" s="2">
        <f>W8/'Output-Calculation-sheet'!W7*'Output-Calculation-sheet'!W79</f>
        <v>345864586.7243948</v>
      </c>
      <c r="X96" s="2">
        <f>X8/'Output-Calculation-sheet'!X7*'Output-Calculation-sheet'!X79</f>
        <v>155991739.72266889</v>
      </c>
      <c r="Y96" s="2">
        <f>Y8/'Output-Calculation-sheet'!Y7*'Output-Calculation-sheet'!Y79</f>
        <v>214673332.45066544</v>
      </c>
      <c r="AA96" s="2">
        <f t="shared" si="8"/>
        <v>38.131487934786655</v>
      </c>
    </row>
    <row r="97" spans="1:27" x14ac:dyDescent="0.25">
      <c r="A97" s="2">
        <v>2032</v>
      </c>
      <c r="B97" s="2">
        <f>B9/'Output-Calculation-sheet'!B8*'Output-Calculation-sheet'!B80</f>
        <v>13172389997.609341</v>
      </c>
      <c r="C97" s="2">
        <f>C9/'Output-Calculation-sheet'!C8*'Output-Calculation-sheet'!C80</f>
        <v>3111085506.9835219</v>
      </c>
      <c r="D97" s="2">
        <f>D9/'Output-Calculation-sheet'!D8*'Output-Calculation-sheet'!D80</f>
        <v>2376521089.5751877</v>
      </c>
      <c r="E97" s="2">
        <f>E9/'Output-Calculation-sheet'!E8*'Output-Calculation-sheet'!E80</f>
        <v>10004816412.546942</v>
      </c>
      <c r="F97" s="2">
        <f>F9/'Output-Calculation-sheet'!F8*'Output-Calculation-sheet'!F80</f>
        <v>2743664065.0278187</v>
      </c>
      <c r="G97" s="2">
        <f>G9/'Output-Calculation-sheet'!G8*'Output-Calculation-sheet'!G80</f>
        <v>1681171120.0891151</v>
      </c>
      <c r="H97" s="2">
        <f>H9/'Output-Calculation-sheet'!H8*'Output-Calculation-sheet'!H80</f>
        <v>2201256260.8587928</v>
      </c>
      <c r="I97" s="2">
        <f>I9/'Output-Calculation-sheet'!I8*'Output-Calculation-sheet'!I80</f>
        <v>1267918864.3531833</v>
      </c>
      <c r="J97" s="2">
        <f>J9/'Output-Calculation-sheet'!J8*'Output-Calculation-sheet'!J80</f>
        <v>947484974.44570971</v>
      </c>
      <c r="K97" s="2">
        <f>K9/'Output-Calculation-sheet'!K8*'Output-Calculation-sheet'!K80</f>
        <v>1168570736.9375045</v>
      </c>
      <c r="L97" s="2">
        <f>L9/'Output-Calculation-sheet'!L8*'Output-Calculation-sheet'!L80</f>
        <v>1127167584.6408427</v>
      </c>
      <c r="M97" s="2">
        <f>M9/'Output-Calculation-sheet'!M8*'Output-Calculation-sheet'!M80</f>
        <v>1736642082.7578719</v>
      </c>
      <c r="N97" s="2">
        <f>N9/'Output-Calculation-sheet'!N8*'Output-Calculation-sheet'!N80</f>
        <v>1091140876.3347244</v>
      </c>
      <c r="O97" s="2">
        <f>O9/'Output-Calculation-sheet'!O8*'Output-Calculation-sheet'!O80</f>
        <v>405596121.45564407</v>
      </c>
      <c r="P97" s="2">
        <f>P9/'Output-Calculation-sheet'!P8*'Output-Calculation-sheet'!P80</f>
        <v>2045625363.6547875</v>
      </c>
      <c r="Q97" s="2">
        <f>Q9/'Output-Calculation-sheet'!Q8*'Output-Calculation-sheet'!Q80</f>
        <v>884803925.15716672</v>
      </c>
      <c r="R97" s="2">
        <f>R9/'Output-Calculation-sheet'!R8*'Output-Calculation-sheet'!R80</f>
        <v>1185643891.2785251</v>
      </c>
      <c r="S97" s="2">
        <f>S9/'Output-Calculation-sheet'!S8*'Output-Calculation-sheet'!S80</f>
        <v>659883657.50950015</v>
      </c>
      <c r="T97" s="2">
        <f>T9/'Output-Calculation-sheet'!T8*'Output-Calculation-sheet'!T80</f>
        <v>384773676.84538847</v>
      </c>
      <c r="U97" s="2">
        <f>U9/'Output-Calculation-sheet'!U8*'Output-Calculation-sheet'!U80</f>
        <v>306173273.77394533</v>
      </c>
      <c r="V97" s="2">
        <f>V9/'Output-Calculation-sheet'!V8*'Output-Calculation-sheet'!V80</f>
        <v>141224857.19777647</v>
      </c>
      <c r="W97" s="2">
        <f>W9/'Output-Calculation-sheet'!W8*'Output-Calculation-sheet'!W80</f>
        <v>437018912.42152995</v>
      </c>
      <c r="X97" s="2">
        <f>X9/'Output-Calculation-sheet'!X8*'Output-Calculation-sheet'!X80</f>
        <v>211661506.22287583</v>
      </c>
      <c r="Y97" s="2">
        <f>Y9/'Output-Calculation-sheet'!Y8*'Output-Calculation-sheet'!Y80</f>
        <v>277849439.63200665</v>
      </c>
      <c r="AA97" s="2">
        <f t="shared" si="8"/>
        <v>49.570084197309704</v>
      </c>
    </row>
    <row r="98" spans="1:27" x14ac:dyDescent="0.25">
      <c r="A98" s="2">
        <v>2033</v>
      </c>
      <c r="B98" s="2">
        <f>B10/'Output-Calculation-sheet'!B9*'Output-Calculation-sheet'!B81</f>
        <v>15971256856.165716</v>
      </c>
      <c r="C98" s="2">
        <f>C10/'Output-Calculation-sheet'!C9*'Output-Calculation-sheet'!C81</f>
        <v>3698322242.5193725</v>
      </c>
      <c r="D98" s="2">
        <f>D10/'Output-Calculation-sheet'!D9*'Output-Calculation-sheet'!D81</f>
        <v>2660549120.0465112</v>
      </c>
      <c r="E98" s="2">
        <f>E10/'Output-Calculation-sheet'!E9*'Output-Calculation-sheet'!E81</f>
        <v>12558818975.314671</v>
      </c>
      <c r="F98" s="2">
        <f>F10/'Output-Calculation-sheet'!F9*'Output-Calculation-sheet'!F81</f>
        <v>3235787971.6625566</v>
      </c>
      <c r="G98" s="2">
        <f>G10/'Output-Calculation-sheet'!G9*'Output-Calculation-sheet'!G81</f>
        <v>1890417323.16693</v>
      </c>
      <c r="H98" s="2">
        <f>H10/'Output-Calculation-sheet'!H9*'Output-Calculation-sheet'!H81</f>
        <v>2631753792.3827062</v>
      </c>
      <c r="I98" s="2">
        <f>I10/'Output-Calculation-sheet'!I9*'Output-Calculation-sheet'!I81</f>
        <v>1499812877.2306206</v>
      </c>
      <c r="J98" s="2">
        <f>J10/'Output-Calculation-sheet'!J9*'Output-Calculation-sheet'!J81</f>
        <v>1106399148.6032503</v>
      </c>
      <c r="K98" s="2">
        <f>K10/'Output-Calculation-sheet'!K9*'Output-Calculation-sheet'!K81</f>
        <v>1339795256.6256289</v>
      </c>
      <c r="L98" s="2">
        <f>L10/'Output-Calculation-sheet'!L9*'Output-Calculation-sheet'!L81</f>
        <v>1373159094.1405051</v>
      </c>
      <c r="M98" s="2">
        <f>M10/'Output-Calculation-sheet'!M9*'Output-Calculation-sheet'!M81</f>
        <v>2127910426.2405252</v>
      </c>
      <c r="N98" s="2">
        <f>N10/'Output-Calculation-sheet'!N9*'Output-Calculation-sheet'!N81</f>
        <v>1293161585.3205831</v>
      </c>
      <c r="O98" s="2">
        <f>O10/'Output-Calculation-sheet'!O9*'Output-Calculation-sheet'!O81</f>
        <v>476956169.6726321</v>
      </c>
      <c r="P98" s="2">
        <f>P10/'Output-Calculation-sheet'!P9*'Output-Calculation-sheet'!P81</f>
        <v>2366200084.1748381</v>
      </c>
      <c r="Q98" s="2">
        <f>Q10/'Output-Calculation-sheet'!Q9*'Output-Calculation-sheet'!Q81</f>
        <v>1051379321.8564612</v>
      </c>
      <c r="R98" s="2">
        <f>R10/'Output-Calculation-sheet'!R9*'Output-Calculation-sheet'!R81</f>
        <v>1419128150.333776</v>
      </c>
      <c r="S98" s="2">
        <f>S10/'Output-Calculation-sheet'!S9*'Output-Calculation-sheet'!S81</f>
        <v>779383419.2450254</v>
      </c>
      <c r="T98" s="2">
        <f>T10/'Output-Calculation-sheet'!T9*'Output-Calculation-sheet'!T81</f>
        <v>439114851.03558803</v>
      </c>
      <c r="U98" s="2">
        <f>U10/'Output-Calculation-sheet'!U9*'Output-Calculation-sheet'!U81</f>
        <v>352842225.72133428</v>
      </c>
      <c r="V98" s="2">
        <f>V10/'Output-Calculation-sheet'!V9*'Output-Calculation-sheet'!V81</f>
        <v>163876181.34622023</v>
      </c>
      <c r="W98" s="2">
        <f>W10/'Output-Calculation-sheet'!W9*'Output-Calculation-sheet'!W81</f>
        <v>506787788.12039655</v>
      </c>
      <c r="X98" s="2">
        <f>X10/'Output-Calculation-sheet'!X9*'Output-Calculation-sheet'!X81</f>
        <v>265675448.4073886</v>
      </c>
      <c r="Y98" s="2">
        <f>Y10/'Output-Calculation-sheet'!Y9*'Output-Calculation-sheet'!Y81</f>
        <v>330760162.36561841</v>
      </c>
      <c r="AA98" s="2">
        <f t="shared" si="8"/>
        <v>59.539248471698855</v>
      </c>
    </row>
    <row r="99" spans="1:27" x14ac:dyDescent="0.25">
      <c r="A99" s="2">
        <v>2034</v>
      </c>
      <c r="B99" s="2">
        <f>B11/'Output-Calculation-sheet'!B10*'Output-Calculation-sheet'!B82</f>
        <v>18319650817.398186</v>
      </c>
      <c r="C99" s="2">
        <f>C11/'Output-Calculation-sheet'!C10*'Output-Calculation-sheet'!C82</f>
        <v>4170161671.0327468</v>
      </c>
      <c r="D99" s="2">
        <f>D11/'Output-Calculation-sheet'!D10*'Output-Calculation-sheet'!D82</f>
        <v>2828729187.8538365</v>
      </c>
      <c r="E99" s="2">
        <f>E11/'Output-Calculation-sheet'!E10*'Output-Calculation-sheet'!E82</f>
        <v>14929563149.675579</v>
      </c>
      <c r="F99" s="2">
        <f>F11/'Output-Calculation-sheet'!F10*'Output-Calculation-sheet'!F82</f>
        <v>3613793134.0906444</v>
      </c>
      <c r="G99" s="2">
        <f>G11/'Output-Calculation-sheet'!G10*'Output-Calculation-sheet'!G82</f>
        <v>2011297539.4132278</v>
      </c>
      <c r="H99" s="2">
        <f>H11/'Output-Calculation-sheet'!H10*'Output-Calculation-sheet'!H82</f>
        <v>2976200696.1156888</v>
      </c>
      <c r="I99" s="2">
        <f>I11/'Output-Calculation-sheet'!I10*'Output-Calculation-sheet'!I82</f>
        <v>1682907187.2975409</v>
      </c>
      <c r="J99" s="2">
        <f>J11/'Output-Calculation-sheet'!J10*'Output-Calculation-sheet'!J82</f>
        <v>1226827616.4122689</v>
      </c>
      <c r="K99" s="2">
        <f>K11/'Output-Calculation-sheet'!K10*'Output-Calculation-sheet'!K82</f>
        <v>1456681281.6565647</v>
      </c>
      <c r="L99" s="2">
        <f>L11/'Output-Calculation-sheet'!L10*'Output-Calculation-sheet'!L82</f>
        <v>1585727937.4949901</v>
      </c>
      <c r="M99" s="2">
        <f>M11/'Output-Calculation-sheet'!M10*'Output-Calculation-sheet'!M82</f>
        <v>2471915873.0841999</v>
      </c>
      <c r="N99" s="2">
        <f>N11/'Output-Calculation-sheet'!N10*'Output-Calculation-sheet'!N82</f>
        <v>1454401877.9349618</v>
      </c>
      <c r="O99" s="2">
        <f>O11/'Output-Calculation-sheet'!O10*'Output-Calculation-sheet'!O82</f>
        <v>533034931.31272191</v>
      </c>
      <c r="P99" s="2">
        <f>P11/'Output-Calculation-sheet'!P10*'Output-Calculation-sheet'!P82</f>
        <v>2576506320.60074</v>
      </c>
      <c r="Q99" s="2">
        <f>Q11/'Output-Calculation-sheet'!Q10*'Output-Calculation-sheet'!Q82</f>
        <v>1185162476.3153713</v>
      </c>
      <c r="R99" s="2">
        <f>R11/'Output-Calculation-sheet'!R10*'Output-Calculation-sheet'!R82</f>
        <v>1607644913.7384682</v>
      </c>
      <c r="S99" s="2">
        <f>S11/'Output-Calculation-sheet'!S10*'Output-Calculation-sheet'!S82</f>
        <v>871206496.64636695</v>
      </c>
      <c r="T99" s="2">
        <f>T11/'Output-Calculation-sheet'!T10*'Output-Calculation-sheet'!T82</f>
        <v>474406411.64579916</v>
      </c>
      <c r="U99" s="2">
        <f>U11/'Output-Calculation-sheet'!U10*'Output-Calculation-sheet'!U82</f>
        <v>384475845.00304729</v>
      </c>
      <c r="V99" s="2">
        <f>V11/'Output-Calculation-sheet'!V10*'Output-Calculation-sheet'!V82</f>
        <v>180096452.83835638</v>
      </c>
      <c r="W99" s="2">
        <f>W11/'Output-Calculation-sheet'!W10*'Output-Calculation-sheet'!W82</f>
        <v>553616294.52720976</v>
      </c>
      <c r="X99" s="2">
        <f>X11/'Output-Calculation-sheet'!X10*'Output-Calculation-sheet'!X82</f>
        <v>316413202.67293268</v>
      </c>
      <c r="Y99" s="2">
        <f>Y11/'Output-Calculation-sheet'!Y10*'Output-Calculation-sheet'!Y82</f>
        <v>371588435.3536644</v>
      </c>
      <c r="AA99" s="2">
        <f t="shared" si="8"/>
        <v>67.782009750115094</v>
      </c>
    </row>
    <row r="100" spans="1:27" x14ac:dyDescent="0.25">
      <c r="A100" s="2">
        <v>2035</v>
      </c>
      <c r="B100" s="2">
        <f>B12/'Output-Calculation-sheet'!B11*'Output-Calculation-sheet'!B83</f>
        <v>20166301844.661335</v>
      </c>
      <c r="C100" s="2">
        <f>C12/'Output-Calculation-sheet'!C11*'Output-Calculation-sheet'!C83</f>
        <v>4525384994.3372555</v>
      </c>
      <c r="D100" s="2">
        <f>D12/'Output-Calculation-sheet'!D11*'Output-Calculation-sheet'!D83</f>
        <v>2898872361.2660546</v>
      </c>
      <c r="E100" s="2">
        <f>E12/'Output-Calculation-sheet'!E11*'Output-Calculation-sheet'!E83</f>
        <v>17047036441.270739</v>
      </c>
      <c r="F100" s="2">
        <f>F12/'Output-Calculation-sheet'!F11*'Output-Calculation-sheet'!F83</f>
        <v>3878405521.6071019</v>
      </c>
      <c r="G100" s="2">
        <f>G12/'Output-Calculation-sheet'!G11*'Output-Calculation-sheet'!G83</f>
        <v>2055431851.9188359</v>
      </c>
      <c r="H100" s="2">
        <f>H12/'Output-Calculation-sheet'!H11*'Output-Calculation-sheet'!H83</f>
        <v>3229918271.1982331</v>
      </c>
      <c r="I100" s="2">
        <f>I12/'Output-Calculation-sheet'!I11*'Output-Calculation-sheet'!I83</f>
        <v>1817631212.7846189</v>
      </c>
      <c r="J100" s="2">
        <f>J12/'Output-Calculation-sheet'!J11*'Output-Calculation-sheet'!J83</f>
        <v>1310726720.4468529</v>
      </c>
      <c r="K100" s="2">
        <f>K12/'Output-Calculation-sheet'!K11*'Output-Calculation-sheet'!K83</f>
        <v>1524252682.9629369</v>
      </c>
      <c r="L100" s="2">
        <f>L12/'Output-Calculation-sheet'!L11*'Output-Calculation-sheet'!L83</f>
        <v>1761044269.6460288</v>
      </c>
      <c r="M100" s="2">
        <f>M12/'Output-Calculation-sheet'!M11*'Output-Calculation-sheet'!M83</f>
        <v>2761725361.172823</v>
      </c>
      <c r="N100" s="2">
        <f>N12/'Output-Calculation-sheet'!N11*'Output-Calculation-sheet'!N83</f>
        <v>1575075799.858182</v>
      </c>
      <c r="O100" s="2">
        <f>O12/'Output-Calculation-sheet'!O11*'Output-Calculation-sheet'!O83</f>
        <v>574380625.61681676</v>
      </c>
      <c r="P100" s="2">
        <f>P12/'Output-Calculation-sheet'!P11*'Output-Calculation-sheet'!P83</f>
        <v>2681525230.1717725</v>
      </c>
      <c r="Q100" s="2">
        <f>Q12/'Output-Calculation-sheet'!Q11*'Output-Calculation-sheet'!Q83</f>
        <v>1285791156.227438</v>
      </c>
      <c r="R100" s="2">
        <f>R12/'Output-Calculation-sheet'!R11*'Output-Calculation-sheet'!R83</f>
        <v>1748771660.1085031</v>
      </c>
      <c r="S100" s="2">
        <f>S12/'Output-Calculation-sheet'!S11*'Output-Calculation-sheet'!S83</f>
        <v>935152736.82360041</v>
      </c>
      <c r="T100" s="2">
        <f>T12/'Output-Calculation-sheet'!T11*'Output-Calculation-sheet'!T83</f>
        <v>492545861.03113252</v>
      </c>
      <c r="U100" s="2">
        <f>U12/'Output-Calculation-sheet'!U11*'Output-Calculation-sheet'!U83</f>
        <v>402094027.77821261</v>
      </c>
      <c r="V100" s="2">
        <f>V12/'Output-Calculation-sheet'!V11*'Output-Calculation-sheet'!V83</f>
        <v>190217741.82116541</v>
      </c>
      <c r="W100" s="2">
        <f>W12/'Output-Calculation-sheet'!W11*'Output-Calculation-sheet'!W83</f>
        <v>578394389.16392219</v>
      </c>
      <c r="X100" s="2">
        <f>X12/'Output-Calculation-sheet'!X11*'Output-Calculation-sheet'!X83</f>
        <v>362716865.1442315</v>
      </c>
      <c r="Y100" s="2">
        <f>Y12/'Output-Calculation-sheet'!Y11*'Output-Calculation-sheet'!Y83</f>
        <v>399824331.52622753</v>
      </c>
      <c r="AA100" s="2">
        <f t="shared" si="8"/>
        <v>74.20322195854402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1659.6643540400576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403.03334649614317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38.565358077362774</v>
      </c>
      <c r="Y107" s="2">
        <f>Y8/'Output-Calculation-sheet'!Y7*'Output-Calculation-sheet'!Y88</f>
        <v>0</v>
      </c>
      <c r="AA107" s="2">
        <f t="shared" si="9"/>
        <v>2.1012630586135632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3330.9795999827543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647.1167990194873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55.286747204990675</v>
      </c>
      <c r="Y108" s="2">
        <f>Y9/'Output-Calculation-sheet'!Y8*'Output-Calculation-sheet'!Y89</f>
        <v>0</v>
      </c>
      <c r="AA108" s="2">
        <f t="shared" si="9"/>
        <v>4.0333831462072318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921.56475165262384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5.7264800578517931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1331.3579114658326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7.7194858317358959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5484.7807928384391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198.25397468768426</v>
      </c>
      <c r="Y111" s="2">
        <f>Y12/'Output-Calculation-sheet'!Y11*'Output-Calculation-sheet'!Y92</f>
        <v>0</v>
      </c>
      <c r="AA111" s="2">
        <f t="shared" si="9"/>
        <v>7.4589356616672706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13736454509.640886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8548560088.1353302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5897782367.3267403</v>
      </c>
      <c r="N118" s="2">
        <f>N8/'Output-Calculation-sheet'!N7*'Output-Calculation-sheet'!N97</f>
        <v>1978077522.9717963</v>
      </c>
      <c r="O118" s="2">
        <f>O8/'Output-Calculation-sheet'!O7*'Output-Calculation-sheet'!O97</f>
        <v>1896517902.6316955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592036678.19970596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321136616.59083545</v>
      </c>
      <c r="Y118" s="2">
        <f>Y8/'Output-Calculation-sheet'!Y7*'Output-Calculation-sheet'!Y97</f>
        <v>0</v>
      </c>
      <c r="AA118" s="2">
        <f t="shared" si="10"/>
        <v>34634.226060751578</v>
      </c>
    </row>
    <row r="119" spans="1:27" x14ac:dyDescent="0.25">
      <c r="A119" s="2">
        <v>2032</v>
      </c>
      <c r="B119" s="2">
        <f>B9/'Output-Calculation-sheet'!B8*'Output-Calculation-sheet'!B98</f>
        <v>7835783655.589695</v>
      </c>
      <c r="C119" s="2">
        <f>C9/'Output-Calculation-sheet'!C8*'Output-Calculation-sheet'!C98</f>
        <v>11561236918.735691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12255158477.835331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8454988451.1093197</v>
      </c>
      <c r="N119" s="2">
        <f>N9/'Output-Calculation-sheet'!N8*'Output-Calculation-sheet'!N98</f>
        <v>3978769818.8881373</v>
      </c>
      <c r="O119" s="2">
        <f>O9/'Output-Calculation-sheet'!O8*'Output-Calculation-sheet'!O98</f>
        <v>2229637929.5522604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1191990387.025547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465008501.82861066</v>
      </c>
      <c r="Y119" s="2">
        <f>Y9/'Output-Calculation-sheet'!Y8*'Output-Calculation-sheet'!Y98</f>
        <v>0</v>
      </c>
      <c r="AA119" s="2">
        <f t="shared" si="10"/>
        <v>47972.574140564589</v>
      </c>
    </row>
    <row r="120" spans="1:27" x14ac:dyDescent="0.25">
      <c r="A120" s="2">
        <v>2033</v>
      </c>
      <c r="B120" s="2">
        <f>B10/'Output-Calculation-sheet'!B9*'Output-Calculation-sheet'!B99</f>
        <v>21945168959.315678</v>
      </c>
      <c r="C120" s="2">
        <f>C10/'Output-Calculation-sheet'!C9*'Output-Calculation-sheet'!C99</f>
        <v>12723371268.225626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6588709496.5867567</v>
      </c>
      <c r="O120" s="2">
        <f>O10/'Output-Calculation-sheet'!O9*'Output-Calculation-sheet'!O99</f>
        <v>2442155900.6143184</v>
      </c>
      <c r="P120" s="2">
        <f>P10/'Output-Calculation-sheet'!P9*'Output-Calculation-sheet'!P99</f>
        <v>0</v>
      </c>
      <c r="Q120" s="2">
        <f>Q10/'Output-Calculation-sheet'!Q9*'Output-Calculation-sheet'!Q99</f>
        <v>212289501.24823979</v>
      </c>
      <c r="R120" s="2">
        <f>R10/'Output-Calculation-sheet'!R9*'Output-Calculation-sheet'!R99</f>
        <v>0</v>
      </c>
      <c r="S120" s="2">
        <f>S10/'Output-Calculation-sheet'!S9*'Output-Calculation-sheet'!S99</f>
        <v>2657716398.1756301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722766973.86903477</v>
      </c>
      <c r="Y120" s="2">
        <f>Y10/'Output-Calculation-sheet'!Y9*'Output-Calculation-sheet'!Y99</f>
        <v>0</v>
      </c>
      <c r="AA120" s="2">
        <f t="shared" si="10"/>
        <v>74820.27414306975</v>
      </c>
    </row>
    <row r="121" spans="1:27" x14ac:dyDescent="0.25">
      <c r="A121" s="2">
        <v>2034</v>
      </c>
      <c r="B121" s="2">
        <f>B11/'Output-Calculation-sheet'!B10*'Output-Calculation-sheet'!B100</f>
        <v>52984584139.710556</v>
      </c>
      <c r="C121" s="2">
        <f>C11/'Output-Calculation-sheet'!C10*'Output-Calculation-sheet'!C100</f>
        <v>13658172705.85527</v>
      </c>
      <c r="D121" s="2">
        <f>D11/'Output-Calculation-sheet'!D10*'Output-Calculation-sheet'!D100</f>
        <v>0</v>
      </c>
      <c r="E121" s="2">
        <f>E11/'Output-Calculation-sheet'!E10*'Output-Calculation-sheet'!E100</f>
        <v>1122733612.3222783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20127550925.821827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941265613.01305044</v>
      </c>
      <c r="M121" s="2">
        <f>M11/'Output-Calculation-sheet'!M10*'Output-Calculation-sheet'!M100</f>
        <v>14206670273.26062</v>
      </c>
      <c r="N121" s="2">
        <f>N11/'Output-Calculation-sheet'!N10*'Output-Calculation-sheet'!N100</f>
        <v>9812808749.8297215</v>
      </c>
      <c r="O121" s="2">
        <f>O11/'Output-Calculation-sheet'!O10*'Output-Calculation-sheet'!O100</f>
        <v>1458535731.8722522</v>
      </c>
      <c r="P121" s="2">
        <f>P11/'Output-Calculation-sheet'!P10*'Output-Calculation-sheet'!P100</f>
        <v>0</v>
      </c>
      <c r="Q121" s="2">
        <f>Q11/'Output-Calculation-sheet'!Q10*'Output-Calculation-sheet'!Q100</f>
        <v>1647673158.2275951</v>
      </c>
      <c r="R121" s="2">
        <f>R11/'Output-Calculation-sheet'!R10*'Output-Calculation-sheet'!R100</f>
        <v>0</v>
      </c>
      <c r="S121" s="2">
        <f>S11/'Output-Calculation-sheet'!S10*'Output-Calculation-sheet'!S100</f>
        <v>4536436432.8141985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61426813.438941032</v>
      </c>
      <c r="AA121" s="2">
        <f t="shared" si="10"/>
        <v>121238.4563511712</v>
      </c>
    </row>
    <row r="122" spans="1:27" x14ac:dyDescent="0.25">
      <c r="A122" s="2">
        <v>2035</v>
      </c>
      <c r="B122" s="2">
        <f>B12/'Output-Calculation-sheet'!B11*'Output-Calculation-sheet'!B101</f>
        <v>61008840283.963539</v>
      </c>
      <c r="C122" s="2">
        <f>C12/'Output-Calculation-sheet'!C11*'Output-Calculation-sheet'!C101</f>
        <v>25370538165.554981</v>
      </c>
      <c r="D122" s="2">
        <f>D12/'Output-Calculation-sheet'!D11*'Output-Calculation-sheet'!D101</f>
        <v>0</v>
      </c>
      <c r="E122" s="2">
        <f>E12/'Output-Calculation-sheet'!E11*'Output-Calculation-sheet'!E101</f>
        <v>4969654277.2673903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21996081006.533909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2517847905.2784023</v>
      </c>
      <c r="M122" s="2">
        <f>M12/'Output-Calculation-sheet'!M11*'Output-Calculation-sheet'!M101</f>
        <v>15736914539.557699</v>
      </c>
      <c r="N122" s="2">
        <f>N12/'Output-Calculation-sheet'!N11*'Output-Calculation-sheet'!N101</f>
        <v>11175592936.514311</v>
      </c>
      <c r="O122" s="2">
        <f>O12/'Output-Calculation-sheet'!O11*'Output-Calculation-sheet'!O101</f>
        <v>72050005.985256538</v>
      </c>
      <c r="P122" s="2">
        <f>P12/'Output-Calculation-sheet'!P11*'Output-Calculation-sheet'!P101</f>
        <v>477572148.23861116</v>
      </c>
      <c r="Q122" s="2">
        <f>Q12/'Output-Calculation-sheet'!Q11*'Output-Calculation-sheet'!Q101</f>
        <v>2151159225.8095045</v>
      </c>
      <c r="R122" s="2">
        <f>R12/'Output-Calculation-sheet'!R11*'Output-Calculation-sheet'!R101</f>
        <v>0</v>
      </c>
      <c r="S122" s="2">
        <f>S12/'Output-Calculation-sheet'!S11*'Output-Calculation-sheet'!S101</f>
        <v>5304009469.5834951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192554816.59714934</v>
      </c>
      <c r="Y122" s="2">
        <f>Y12/'Output-Calculation-sheet'!Y11*'Output-Calculation-sheet'!Y101</f>
        <v>113577889.37054659</v>
      </c>
      <c r="AA122" s="2">
        <f t="shared" si="10"/>
        <v>151086.39267025481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3811569081.231245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2723674387.9831214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179493.60293209559</v>
      </c>
    </row>
    <row r="130" spans="1:27" x14ac:dyDescent="0.25">
      <c r="A130" s="2">
        <v>2032</v>
      </c>
      <c r="B130" s="2">
        <f>B9/'Output-Calculation-sheet'!B8*'Output-Calculation-sheet'!B107</f>
        <v>75532540214.641312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4320498588.1677399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3561112092.4216533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250381.40753199992</v>
      </c>
    </row>
    <row r="131" spans="1:27" x14ac:dyDescent="0.25">
      <c r="A131" s="2">
        <v>2033</v>
      </c>
      <c r="B131" s="2">
        <f>B10/'Output-Calculation-sheet'!B9*'Output-Calculation-sheet'!B108</f>
        <v>88858652458.67392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4441765014.0935602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9668384859.6913033</v>
      </c>
      <c r="R131" s="2">
        <f>R10/'Output-Calculation-sheet'!R9*'Output-Calculation-sheet'!R108</f>
        <v>9505324553.2944412</v>
      </c>
      <c r="S131" s="2">
        <f>S10/'Output-Calculation-sheet'!S9*'Output-Calculation-sheet'!S108</f>
        <v>3659530899.0310206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318674.79471108003</v>
      </c>
    </row>
    <row r="132" spans="1:27" x14ac:dyDescent="0.25">
      <c r="A132" s="2">
        <v>2034</v>
      </c>
      <c r="B132" s="2">
        <f>B11/'Output-Calculation-sheet'!B10*'Output-Calculation-sheet'!B109</f>
        <v>85930299535.430466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45553027769.356392</v>
      </c>
      <c r="F132" s="2">
        <f>F11/'Output-Calculation-sheet'!F10*'Output-Calculation-sheet'!F109</f>
        <v>30048341474.689873</v>
      </c>
      <c r="G132" s="2">
        <f>G11/'Output-Calculation-sheet'!G10*'Output-Calculation-sheet'!G109</f>
        <v>21053707345.376011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18721757063.572159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13933588164.231119</v>
      </c>
      <c r="M132" s="2">
        <f>M11/'Output-Calculation-sheet'!M10*'Output-Calculation-sheet'!M109</f>
        <v>7.6812847974870262E-9</v>
      </c>
      <c r="N132" s="2">
        <f>N11/'Output-Calculation-sheet'!N10*'Output-Calculation-sheet'!N109</f>
        <v>4130972281.5766296</v>
      </c>
      <c r="O132" s="2">
        <f>O11/'Output-Calculation-sheet'!O10*'Output-Calculation-sheet'!O109</f>
        <v>0</v>
      </c>
      <c r="P132" s="2">
        <f>P11/'Output-Calculation-sheet'!P10*'Output-Calculation-sheet'!P109</f>
        <v>12694089447.510679</v>
      </c>
      <c r="Q132" s="2">
        <f>Q11/'Output-Calculation-sheet'!Q10*'Output-Calculation-sheet'!Q109</f>
        <v>10445885135.258358</v>
      </c>
      <c r="R132" s="2">
        <f>R11/'Output-Calculation-sheet'!R10*'Output-Calculation-sheet'!R109</f>
        <v>12015034644.45928</v>
      </c>
      <c r="S132" s="2">
        <f>S11/'Output-Calculation-sheet'!S10*'Output-Calculation-sheet'!S109</f>
        <v>3302641585.2185836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3722122807.0315456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1435036655.6478274</v>
      </c>
      <c r="AA132" s="2">
        <f t="shared" si="11"/>
        <v>369540.24229399668</v>
      </c>
    </row>
    <row r="133" spans="1:27" x14ac:dyDescent="0.25">
      <c r="A133" s="2">
        <v>2035</v>
      </c>
      <c r="B133" s="2">
        <f>B12/'Output-Calculation-sheet'!B11*'Output-Calculation-sheet'!B110</f>
        <v>90507114807.583145</v>
      </c>
      <c r="C133" s="2">
        <f>C12/'Output-Calculation-sheet'!C11*'Output-Calculation-sheet'!C110</f>
        <v>0</v>
      </c>
      <c r="D133" s="2">
        <f>D12/'Output-Calculation-sheet'!D11*'Output-Calculation-sheet'!D110</f>
        <v>63509639270.083984</v>
      </c>
      <c r="E133" s="2">
        <f>E12/'Output-Calculation-sheet'!E11*'Output-Calculation-sheet'!E110</f>
        <v>49270894791.507645</v>
      </c>
      <c r="F133" s="2">
        <f>F12/'Output-Calculation-sheet'!F11*'Output-Calculation-sheet'!F110</f>
        <v>33619455778.518764</v>
      </c>
      <c r="G133" s="2">
        <f>G12/'Output-Calculation-sheet'!G11*'Output-Calculation-sheet'!G110</f>
        <v>22765291833.073093</v>
      </c>
      <c r="H133" s="2">
        <f>H12/'Output-Calculation-sheet'!H11*'Output-Calculation-sheet'!H110</f>
        <v>0</v>
      </c>
      <c r="I133" s="2">
        <f>I12/'Output-Calculation-sheet'!I11*'Output-Calculation-sheet'!I110</f>
        <v>20881572893.318031</v>
      </c>
      <c r="J133" s="2">
        <f>J12/'Output-Calculation-sheet'!J11*'Output-Calculation-sheet'!J110</f>
        <v>20904885743.096893</v>
      </c>
      <c r="K133" s="2">
        <f>K12/'Output-Calculation-sheet'!K11*'Output-Calculation-sheet'!K110</f>
        <v>20512532883.06086</v>
      </c>
      <c r="L133" s="2">
        <f>L12/'Output-Calculation-sheet'!L11*'Output-Calculation-sheet'!L110</f>
        <v>14744835061.206118</v>
      </c>
      <c r="M133" s="2">
        <f>M12/'Output-Calculation-sheet'!M11*'Output-Calculation-sheet'!M110</f>
        <v>0</v>
      </c>
      <c r="N133" s="2">
        <f>N12/'Output-Calculation-sheet'!N11*'Output-Calculation-sheet'!N110</f>
        <v>4284956063.0268545</v>
      </c>
      <c r="O133" s="2">
        <f>O12/'Output-Calculation-sheet'!O11*'Output-Calculation-sheet'!O110</f>
        <v>0</v>
      </c>
      <c r="P133" s="2">
        <f>P12/'Output-Calculation-sheet'!P11*'Output-Calculation-sheet'!P110</f>
        <v>13809562452.850826</v>
      </c>
      <c r="Q133" s="2">
        <f>Q12/'Output-Calculation-sheet'!Q11*'Output-Calculation-sheet'!Q110</f>
        <v>11031037867.527872</v>
      </c>
      <c r="R133" s="2">
        <f>R12/'Output-Calculation-sheet'!R11*'Output-Calculation-sheet'!R110</f>
        <v>13654198217.006634</v>
      </c>
      <c r="S133" s="2">
        <f>S12/'Output-Calculation-sheet'!S11*'Output-Calculation-sheet'!S110</f>
        <v>3291014999.5858703</v>
      </c>
      <c r="T133" s="2">
        <f>T12/'Output-Calculation-sheet'!T11*'Output-Calculation-sheet'!T110</f>
        <v>5103156884.5588331</v>
      </c>
      <c r="U133" s="2">
        <f>U12/'Output-Calculation-sheet'!U11*'Output-Calculation-sheet'!U110</f>
        <v>4031975761.3732843</v>
      </c>
      <c r="V133" s="2">
        <f>V12/'Output-Calculation-sheet'!V11*'Output-Calculation-sheet'!V110</f>
        <v>3511210668.217339</v>
      </c>
      <c r="W133" s="2">
        <f>W12/'Output-Calculation-sheet'!W11*'Output-Calculation-sheet'!W110</f>
        <v>2956854276.753171</v>
      </c>
      <c r="X133" s="2">
        <f>X12/'Output-Calculation-sheet'!X11*'Output-Calculation-sheet'!X110</f>
        <v>1380017.4047230652</v>
      </c>
      <c r="Y133" s="2">
        <f>Y12/'Output-Calculation-sheet'!Y11*'Output-Calculation-sheet'!Y110</f>
        <v>1557415884.4879613</v>
      </c>
      <c r="AA133" s="2">
        <f t="shared" si="11"/>
        <v>399948.98615424195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13667680820.840195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3428272830.406744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317716445.30550051</v>
      </c>
      <c r="Y140" s="2">
        <f>Y8/'Output-Calculation-sheet'!Y7*'Output-Calculation-sheet'!Y115</f>
        <v>0</v>
      </c>
      <c r="AA140" s="2">
        <f t="shared" si="12"/>
        <v>17413.67009655244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27726023602.998569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5403851480.4651346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450786309.21449357</v>
      </c>
      <c r="Y141" s="2">
        <f>Y9/'Output-Calculation-sheet'!Y8*'Output-Calculation-sheet'!Y116</f>
        <v>0</v>
      </c>
      <c r="AA141" s="2">
        <f t="shared" si="12"/>
        <v>33580.661392678194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39494831946.213036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7703825195.8075418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494416535.93809354</v>
      </c>
      <c r="Y142" s="2">
        <f>Y10/'Output-Calculation-sheet'!Y9*'Output-Calculation-sheet'!Y117</f>
        <v>0</v>
      </c>
      <c r="AA142" s="2">
        <f t="shared" si="12"/>
        <v>47693.073677958673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52349392832.189194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11367090622.189062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64574.55884672462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45081574007.560555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15542438613.278242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1670753923.229929</v>
      </c>
      <c r="Y144" s="2">
        <f>Y12/'Output-Calculation-sheet'!Y11*'Output-Calculation-sheet'!Y119</f>
        <v>0</v>
      </c>
      <c r="AA144" s="2">
        <f t="shared" si="12"/>
        <v>62294.766544068727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21374064087.701878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3081746231.0458012</v>
      </c>
      <c r="H154" s="2">
        <f>H11/'Output-Calculation-sheet'!H10*'Output-Calculation-sheet'!H127</f>
        <v>3507918203.8409309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2233586607.2074881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1310241159.5268219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694031482.99679434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82432.27216717547</v>
      </c>
    </row>
    <row r="155" spans="1:27" x14ac:dyDescent="0.25">
      <c r="A155" s="2">
        <v>2035</v>
      </c>
      <c r="B155" s="2">
        <f>B12/'Output-Calculation-sheet'!B11*'Output-Calculation-sheet'!B128</f>
        <v>22604083437.189373</v>
      </c>
      <c r="C155" s="2">
        <f>C12/'Output-Calculation-sheet'!C11*'Output-Calculation-sheet'!C128</f>
        <v>10798140420.897532</v>
      </c>
      <c r="D155" s="2">
        <f>D12/'Output-Calculation-sheet'!D11*'Output-Calculation-sheet'!D128</f>
        <v>8675405540.471323</v>
      </c>
      <c r="E155" s="2">
        <f>E12/'Output-Calculation-sheet'!E11*'Output-Calculation-sheet'!E128</f>
        <v>4266039381.7971649</v>
      </c>
      <c r="F155" s="2">
        <f>F12/'Output-Calculation-sheet'!F11*'Output-Calculation-sheet'!F128</f>
        <v>3483539566.9967909</v>
      </c>
      <c r="G155" s="2">
        <f>G12/'Output-Calculation-sheet'!G11*'Output-Calculation-sheet'!G128</f>
        <v>3311534390.179976</v>
      </c>
      <c r="H155" s="2">
        <f>H12/'Output-Calculation-sheet'!H11*'Output-Calculation-sheet'!H128</f>
        <v>3709039722.979116</v>
      </c>
      <c r="I155" s="2">
        <f>I12/'Output-Calculation-sheet'!I11*'Output-Calculation-sheet'!I128</f>
        <v>2850302147.683342</v>
      </c>
      <c r="J155" s="2">
        <f>J12/'Output-Calculation-sheet'!J11*'Output-Calculation-sheet'!J128</f>
        <v>2074980010.5711122</v>
      </c>
      <c r="K155" s="2">
        <f>K12/'Output-Calculation-sheet'!K11*'Output-Calculation-sheet'!K128</f>
        <v>2293351693.466115</v>
      </c>
      <c r="L155" s="2">
        <f>L12/'Output-Calculation-sheet'!L11*'Output-Calculation-sheet'!L128</f>
        <v>998423778.16302657</v>
      </c>
      <c r="M155" s="2">
        <f>M12/'Output-Calculation-sheet'!M11*'Output-Calculation-sheet'!M128</f>
        <v>1980813983.9659965</v>
      </c>
      <c r="N155" s="2">
        <f>N12/'Output-Calculation-sheet'!N11*'Output-Calculation-sheet'!N128</f>
        <v>1745556059.7086294</v>
      </c>
      <c r="O155" s="2">
        <f>O12/'Output-Calculation-sheet'!O11*'Output-Calculation-sheet'!O128</f>
        <v>28607349.409459069</v>
      </c>
      <c r="P155" s="2">
        <f>P12/'Output-Calculation-sheet'!P11*'Output-Calculation-sheet'!P128</f>
        <v>1520828196.9918084</v>
      </c>
      <c r="Q155" s="2">
        <f>Q12/'Output-Calculation-sheet'!Q11*'Output-Calculation-sheet'!Q128</f>
        <v>2289813720.4430556</v>
      </c>
      <c r="R155" s="2">
        <f>R12/'Output-Calculation-sheet'!R11*'Output-Calculation-sheet'!R128</f>
        <v>1172329970.6319613</v>
      </c>
      <c r="S155" s="2">
        <f>S12/'Output-Calculation-sheet'!S11*'Output-Calculation-sheet'!S128</f>
        <v>1298563429.0703628</v>
      </c>
      <c r="T155" s="2">
        <f>T12/'Output-Calculation-sheet'!T11*'Output-Calculation-sheet'!T128</f>
        <v>319380533.08010566</v>
      </c>
      <c r="U155" s="2">
        <f>U12/'Output-Calculation-sheet'!U11*'Output-Calculation-sheet'!U128</f>
        <v>740182527.08690941</v>
      </c>
      <c r="V155" s="2">
        <f>V12/'Output-Calculation-sheet'!V11*'Output-Calculation-sheet'!V128</f>
        <v>110435967.77599855</v>
      </c>
      <c r="W155" s="2">
        <f>W12/'Output-Calculation-sheet'!W11*'Output-Calculation-sheet'!W128</f>
        <v>222650056.50319669</v>
      </c>
      <c r="X155" s="2">
        <f>X12/'Output-Calculation-sheet'!X11*'Output-Calculation-sheet'!X128</f>
        <v>15743690.200814424</v>
      </c>
      <c r="Y155" s="2">
        <f>Y12/'Output-Calculation-sheet'!Y11*'Output-Calculation-sheet'!Y128</f>
        <v>211492903.30934548</v>
      </c>
      <c r="AA155" s="2">
        <f t="shared" si="13"/>
        <v>76721.238478572515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9230.0178195553653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5816.2481249392558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4037.2849567825251</v>
      </c>
      <c r="N19" s="2">
        <f>N8/'Output-Calculation-sheet'!N7*'Output-Calculation-sheet'!N25</f>
        <v>1379.2446385189817</v>
      </c>
      <c r="O19" s="2">
        <f>O8/'Output-Calculation-sheet'!O7*'Output-Calculation-sheet'!O25</f>
        <v>1191.3167460188049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213.14267396807216</v>
      </c>
      <c r="Y19" s="2">
        <f>Y8/'Output-Calculation-sheet'!Y7*'Output-Calculation-sheet'!Y25</f>
        <v>0</v>
      </c>
      <c r="AA19" s="2">
        <f t="shared" si="0"/>
        <v>23.654823510036341</v>
      </c>
    </row>
    <row r="20" spans="1:27" x14ac:dyDescent="0.25">
      <c r="A20" s="2">
        <v>2032</v>
      </c>
      <c r="B20" s="2">
        <f>B9/'Output-Calculation-sheet'!B8*'Output-Calculation-sheet'!B26</f>
        <v>7672.553653750706</v>
      </c>
      <c r="C20" s="2">
        <f>C9/'Output-Calculation-sheet'!C8*'Output-Calculation-sheet'!C26</f>
        <v>7405.8435363564995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8344.5982717605602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5800.3990460298655</v>
      </c>
      <c r="N20" s="2">
        <f>N9/'Output-Calculation-sheet'!N8*'Output-Calculation-sheet'!N26</f>
        <v>2611.7150613811509</v>
      </c>
      <c r="O20" s="2">
        <f>O9/'Output-Calculation-sheet'!O8*'Output-Calculation-sheet'!O26</f>
        <v>1424.8063010050851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949.41662921762747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309.91978211453181</v>
      </c>
      <c r="Y20" s="2">
        <f>Y9/'Output-Calculation-sheet'!Y8*'Output-Calculation-sheet'!Y26</f>
        <v>0</v>
      </c>
      <c r="AA20" s="2">
        <f t="shared" si="0"/>
        <v>34.519252281616033</v>
      </c>
    </row>
    <row r="21" spans="1:27" x14ac:dyDescent="0.25">
      <c r="A21" s="2">
        <v>2033</v>
      </c>
      <c r="B21" s="2">
        <f>B10/'Output-Calculation-sheet'!B9*'Output-Calculation-sheet'!B27</f>
        <v>19133.804201970037</v>
      </c>
      <c r="C21" s="2">
        <f>C10/'Output-Calculation-sheet'!C9*'Output-Calculation-sheet'!C27</f>
        <v>7950.4243940446768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11116.169277061454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7724.1576325181341</v>
      </c>
      <c r="N21" s="2">
        <f>N10/'Output-Calculation-sheet'!N9*'Output-Calculation-sheet'!N27</f>
        <v>4218.5974110066636</v>
      </c>
      <c r="O21" s="2">
        <f>O10/'Output-Calculation-sheet'!O9*'Output-Calculation-sheet'!O27</f>
        <v>1528.9572487312073</v>
      </c>
      <c r="P21" s="2">
        <f>P10/'Output-Calculation-sheet'!P9*'Output-Calculation-sheet'!P27</f>
        <v>0</v>
      </c>
      <c r="Q21" s="2">
        <f>Q10/'Output-Calculation-sheet'!Q9*'Output-Calculation-sheet'!Q27</f>
        <v>282.73791999678951</v>
      </c>
      <c r="R21" s="2">
        <f>R10/'Output-Calculation-sheet'!R9*'Output-Calculation-sheet'!R27</f>
        <v>0</v>
      </c>
      <c r="S21" s="2">
        <f>S10/'Output-Calculation-sheet'!S9*'Output-Calculation-sheet'!S27</f>
        <v>1836.4285607582763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489.46421837325562</v>
      </c>
      <c r="Y21" s="2">
        <f>Y10/'Output-Calculation-sheet'!Y9*'Output-Calculation-sheet'!Y27</f>
        <v>0</v>
      </c>
      <c r="AA21" s="2">
        <f t="shared" si="0"/>
        <v>54.280740864460498</v>
      </c>
    </row>
    <row r="22" spans="1:27" x14ac:dyDescent="0.25">
      <c r="A22" s="2">
        <v>2034</v>
      </c>
      <c r="B22" s="2">
        <f>B11/'Output-Calculation-sheet'!B10*'Output-Calculation-sheet'!B28</f>
        <v>38705.46231287191</v>
      </c>
      <c r="C22" s="2">
        <f>C11/'Output-Calculation-sheet'!C10*'Output-Calculation-sheet'!C28</f>
        <v>8425.9599771052181</v>
      </c>
      <c r="D22" s="2">
        <f>D11/'Output-Calculation-sheet'!D10*'Output-Calculation-sheet'!D28</f>
        <v>0</v>
      </c>
      <c r="E22" s="2">
        <f>E11/'Output-Calculation-sheet'!E10*'Output-Calculation-sheet'!E28</f>
        <v>1988.678648701469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14782.561678437783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1206.0598122311981</v>
      </c>
      <c r="M22" s="2">
        <f>M11/'Output-Calculation-sheet'!M10*'Output-Calculation-sheet'!M28</f>
        <v>10967.835495015805</v>
      </c>
      <c r="N22" s="2">
        <f>N11/'Output-Calculation-sheet'!N10*'Output-Calculation-sheet'!N28</f>
        <v>6315.6089049527718</v>
      </c>
      <c r="O22" s="2">
        <f>O11/'Output-Calculation-sheet'!O10*'Output-Calculation-sheet'!O28</f>
        <v>896.22309443296922</v>
      </c>
      <c r="P22" s="2">
        <f>P11/'Output-Calculation-sheet'!P10*'Output-Calculation-sheet'!P28</f>
        <v>0</v>
      </c>
      <c r="Q22" s="2">
        <f>Q11/'Output-Calculation-sheet'!Q10*'Output-Calculation-sheet'!Q28</f>
        <v>1822.7811020805252</v>
      </c>
      <c r="R22" s="2">
        <f>R11/'Output-Calculation-sheet'!R10*'Output-Calculation-sheet'!R28</f>
        <v>0</v>
      </c>
      <c r="S22" s="2">
        <f>S11/'Output-Calculation-sheet'!S10*'Output-Calculation-sheet'!S28</f>
        <v>3012.6306892900611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109.78216455557641</v>
      </c>
      <c r="AA22" s="2">
        <f t="shared" si="0"/>
        <v>88.682691583079119</v>
      </c>
    </row>
    <row r="23" spans="1:27" x14ac:dyDescent="0.25">
      <c r="A23" s="2">
        <v>2035</v>
      </c>
      <c r="B23" s="2">
        <f>B12/'Output-Calculation-sheet'!B11*'Output-Calculation-sheet'!B29</f>
        <v>43408.160824024591</v>
      </c>
      <c r="C23" s="2">
        <f>C12/'Output-Calculation-sheet'!C11*'Output-Calculation-sheet'!C29</f>
        <v>16323.416356173813</v>
      </c>
      <c r="D23" s="2">
        <f>D12/'Output-Calculation-sheet'!D11*'Output-Calculation-sheet'!D29</f>
        <v>0</v>
      </c>
      <c r="E23" s="2">
        <f>E12/'Output-Calculation-sheet'!E11*'Output-Calculation-sheet'!E29</f>
        <v>7365.6002170670736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15840.882248321052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2647.5797075524142</v>
      </c>
      <c r="M23" s="2">
        <f>M12/'Output-Calculation-sheet'!M11*'Output-Calculation-sheet'!M29</f>
        <v>12173.247226209143</v>
      </c>
      <c r="N23" s="2">
        <f>N12/'Output-Calculation-sheet'!N11*'Output-Calculation-sheet'!N29</f>
        <v>7242.4073700589433</v>
      </c>
      <c r="O23" s="2">
        <f>O12/'Output-Calculation-sheet'!O11*'Output-Calculation-sheet'!O29</f>
        <v>44.356600150598837</v>
      </c>
      <c r="P23" s="2">
        <f>P12/'Output-Calculation-sheet'!P11*'Output-Calculation-sheet'!P29</f>
        <v>820.96888068657768</v>
      </c>
      <c r="Q23" s="2">
        <f>Q12/'Output-Calculation-sheet'!Q11*'Output-Calculation-sheet'!Q29</f>
        <v>2237.9651397520352</v>
      </c>
      <c r="R23" s="2">
        <f>R12/'Output-Calculation-sheet'!R11*'Output-Calculation-sheet'!R29</f>
        <v>0</v>
      </c>
      <c r="S23" s="2">
        <f>S12/'Output-Calculation-sheet'!S11*'Output-Calculation-sheet'!S29</f>
        <v>3460.0324705860094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118.54337136284794</v>
      </c>
      <c r="Y23" s="2">
        <f>Y12/'Output-Calculation-sheet'!Y11*'Output-Calculation-sheet'!Y29</f>
        <v>173.89494068962995</v>
      </c>
      <c r="AA23" s="2">
        <f t="shared" si="0"/>
        <v>111.85705535263472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1879.8589432089645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48.315178617609305</v>
      </c>
    </row>
    <row r="31" spans="1:27" x14ac:dyDescent="0.25">
      <c r="A31" s="2">
        <v>2032</v>
      </c>
      <c r="B31" s="2">
        <f>B9/'Output-Calculation-sheet'!B8*'Output-Calculation-sheet'!B17</f>
        <v>32487.805787516256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2225.2864853366045</v>
      </c>
      <c r="O31" s="2">
        <f>O9/'Output-Calculation-sheet'!O8*'Output-Calculation-sheet'!O17</f>
        <v>0</v>
      </c>
      <c r="P31" s="2">
        <f>P9/'Output-Calculation-sheet'!P8*'Output-Calculation-sheet'!P17</f>
        <v>2754.7523934303763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1655.0469573105395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70.748658792508607</v>
      </c>
    </row>
    <row r="32" spans="1:27" x14ac:dyDescent="0.25">
      <c r="A32" s="2">
        <v>2033</v>
      </c>
      <c r="B32" s="2">
        <f>B10/'Output-Calculation-sheet'!B9*'Output-Calculation-sheet'!B18</f>
        <v>39071.24957044093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3718.4601854444072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2382.4212975330793</v>
      </c>
      <c r="O32" s="2">
        <f>O10/'Output-Calculation-sheet'!O9*'Output-Calculation-sheet'!O18</f>
        <v>0</v>
      </c>
      <c r="P32" s="2">
        <f>P10/'Output-Calculation-sheet'!P9*'Output-Calculation-sheet'!P18</f>
        <v>3827.0382338235213</v>
      </c>
      <c r="Q32" s="2">
        <f>Q10/'Output-Calculation-sheet'!Q9*'Output-Calculation-sheet'!Q18</f>
        <v>4172.1639191348804</v>
      </c>
      <c r="R32" s="2">
        <f>R10/'Output-Calculation-sheet'!R9*'Output-Calculation-sheet'!R18</f>
        <v>2748.1093273155357</v>
      </c>
      <c r="S32" s="2">
        <f>S10/'Output-Calculation-sheet'!S9*'Output-Calculation-sheet'!S18</f>
        <v>1799.7194951173624</v>
      </c>
      <c r="T32" s="2">
        <f>T10/'Output-Calculation-sheet'!T9*'Output-Calculation-sheet'!T18</f>
        <v>802.37155891162752</v>
      </c>
      <c r="U32" s="2">
        <f>U10/'Output-Calculation-sheet'!U9*'Output-Calculation-sheet'!U18</f>
        <v>887.00332040953992</v>
      </c>
      <c r="V32" s="2">
        <f>V10/'Output-Calculation-sheet'!V9*'Output-Calculation-sheet'!V18</f>
        <v>654.73505038999349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379.09606443591815</v>
      </c>
      <c r="AA32" s="2">
        <f t="shared" si="1"/>
        <v>93.801806763752907</v>
      </c>
    </row>
    <row r="33" spans="1:27" x14ac:dyDescent="0.25">
      <c r="A33" s="2">
        <v>2034</v>
      </c>
      <c r="B33" s="2">
        <f>B11/'Output-Calculation-sheet'!B10*'Output-Calculation-sheet'!B19</f>
        <v>39437.14739603534</v>
      </c>
      <c r="C33" s="2">
        <f>C11/'Output-Calculation-sheet'!C10*'Output-Calculation-sheet'!C19</f>
        <v>0</v>
      </c>
      <c r="D33" s="2">
        <f>D11/'Output-Calculation-sheet'!D10*'Output-Calculation-sheet'!D19</f>
        <v>11934.348121946687</v>
      </c>
      <c r="E33" s="2">
        <f>E11/'Output-Calculation-sheet'!E10*'Output-Calculation-sheet'!E19</f>
        <v>14796.69219106379</v>
      </c>
      <c r="F33" s="2">
        <f>F11/'Output-Calculation-sheet'!F10*'Output-Calculation-sheet'!F19</f>
        <v>6774.8317112484219</v>
      </c>
      <c r="G33" s="2">
        <f>G11/'Output-Calculation-sheet'!G10*'Output-Calculation-sheet'!G19</f>
        <v>4036.0705199281197</v>
      </c>
      <c r="H33" s="2">
        <f>H11/'Output-Calculation-sheet'!H10*'Output-Calculation-sheet'!H19</f>
        <v>0</v>
      </c>
      <c r="I33" s="2">
        <f>I11/'Output-Calculation-sheet'!I10*'Output-Calculation-sheet'!I19</f>
        <v>4433.396445220209</v>
      </c>
      <c r="J33" s="2">
        <f>J11/'Output-Calculation-sheet'!J10*'Output-Calculation-sheet'!J19</f>
        <v>3748.5645094893025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4229.2080586146758</v>
      </c>
      <c r="M33" s="2">
        <f>M11/'Output-Calculation-sheet'!M10*'Output-Calculation-sheet'!M19</f>
        <v>0</v>
      </c>
      <c r="N33" s="2">
        <f>N11/'Output-Calculation-sheet'!N10*'Output-Calculation-sheet'!N19</f>
        <v>2388.452284405957</v>
      </c>
      <c r="O33" s="2">
        <f>O11/'Output-Calculation-sheet'!O10*'Output-Calculation-sheet'!O19</f>
        <v>0</v>
      </c>
      <c r="P33" s="2">
        <f>P11/'Output-Calculation-sheet'!P10*'Output-Calculation-sheet'!P19</f>
        <v>5262.709828546248</v>
      </c>
      <c r="Q33" s="2">
        <f>Q11/'Output-Calculation-sheet'!Q10*'Output-Calculation-sheet'!Q19</f>
        <v>4284.8133151481288</v>
      </c>
      <c r="R33" s="2">
        <f>R11/'Output-Calculation-sheet'!R10*'Output-Calculation-sheet'!R19</f>
        <v>3756.3611464554774</v>
      </c>
      <c r="S33" s="2">
        <f>S11/'Output-Calculation-sheet'!S10*'Output-Calculation-sheet'!S19</f>
        <v>1743.3590086283207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1179.0721293802169</v>
      </c>
      <c r="V33" s="2">
        <f>V11/'Output-Calculation-sheet'!V10*'Output-Calculation-sheet'!V19</f>
        <v>864.41364483939105</v>
      </c>
      <c r="W33" s="2">
        <f>W11/'Output-Calculation-sheet'!W10*'Output-Calculation-sheet'!W19</f>
        <v>538.17424125608159</v>
      </c>
      <c r="X33" s="2">
        <f>X11/'Output-Calculation-sheet'!X10*'Output-Calculation-sheet'!X19</f>
        <v>0</v>
      </c>
      <c r="Y33" s="2">
        <f>Y11/'Output-Calculation-sheet'!Y10*'Output-Calculation-sheet'!Y19</f>
        <v>485.12616572427021</v>
      </c>
      <c r="AA33" s="2">
        <f t="shared" si="1"/>
        <v>116.19489293428894</v>
      </c>
    </row>
    <row r="34" spans="1:27" x14ac:dyDescent="0.25">
      <c r="A34" s="2">
        <v>2035</v>
      </c>
      <c r="B34" s="2">
        <f>B12/'Output-Calculation-sheet'!B11*'Output-Calculation-sheet'!B20</f>
        <v>40156.643124209659</v>
      </c>
      <c r="C34" s="2">
        <f>C12/'Output-Calculation-sheet'!C11*'Output-Calculation-sheet'!C20</f>
        <v>0</v>
      </c>
      <c r="D34" s="2">
        <f>D12/'Output-Calculation-sheet'!D11*'Output-Calculation-sheet'!D20</f>
        <v>12806.514300442734</v>
      </c>
      <c r="E34" s="2">
        <f>E12/'Output-Calculation-sheet'!E11*'Output-Calculation-sheet'!E20</f>
        <v>14192.537990823366</v>
      </c>
      <c r="F34" s="2">
        <f>F12/'Output-Calculation-sheet'!F11*'Output-Calculation-sheet'!F20</f>
        <v>7971.7366031718657</v>
      </c>
      <c r="G34" s="2">
        <f>G12/'Output-Calculation-sheet'!G11*'Output-Calculation-sheet'!G20</f>
        <v>4296.0844965527831</v>
      </c>
      <c r="H34" s="2">
        <f>H12/'Output-Calculation-sheet'!H11*'Output-Calculation-sheet'!H20</f>
        <v>0</v>
      </c>
      <c r="I34" s="2">
        <f>I12/'Output-Calculation-sheet'!I11*'Output-Calculation-sheet'!I20</f>
        <v>4769.1672248687037</v>
      </c>
      <c r="J34" s="2">
        <f>J12/'Output-Calculation-sheet'!J11*'Output-Calculation-sheet'!J20</f>
        <v>4411.6189751177635</v>
      </c>
      <c r="K34" s="2">
        <f>K12/'Output-Calculation-sheet'!K11*'Output-Calculation-sheet'!K20</f>
        <v>5872.5897123561235</v>
      </c>
      <c r="L34" s="2">
        <f>L12/'Output-Calculation-sheet'!L11*'Output-Calculation-sheet'!L20</f>
        <v>4698.4770049049557</v>
      </c>
      <c r="M34" s="2">
        <f>M12/'Output-Calculation-sheet'!M11*'Output-Calculation-sheet'!M20</f>
        <v>0</v>
      </c>
      <c r="N34" s="2">
        <f>N12/'Output-Calculation-sheet'!N11*'Output-Calculation-sheet'!N20</f>
        <v>2511.5855942997309</v>
      </c>
      <c r="O34" s="2">
        <f>O12/'Output-Calculation-sheet'!O11*'Output-Calculation-sheet'!O20</f>
        <v>0</v>
      </c>
      <c r="P34" s="2">
        <f>P12/'Output-Calculation-sheet'!P11*'Output-Calculation-sheet'!P20</f>
        <v>5388.1222329027642</v>
      </c>
      <c r="Q34" s="2">
        <f>Q12/'Output-Calculation-sheet'!Q11*'Output-Calculation-sheet'!Q20</f>
        <v>4408.2234037716207</v>
      </c>
      <c r="R34" s="2">
        <f>R12/'Output-Calculation-sheet'!R11*'Output-Calculation-sheet'!R20</f>
        <v>4508.3511281530564</v>
      </c>
      <c r="S34" s="2">
        <f>S12/'Output-Calculation-sheet'!S11*'Output-Calculation-sheet'!S20</f>
        <v>1739.2086711307402</v>
      </c>
      <c r="T34" s="2">
        <f>T12/'Output-Calculation-sheet'!T11*'Output-Calculation-sheet'!T20</f>
        <v>1367.8330484659575</v>
      </c>
      <c r="U34" s="2">
        <f>U12/'Output-Calculation-sheet'!U11*'Output-Calculation-sheet'!U20</f>
        <v>1258.9365944859335</v>
      </c>
      <c r="V34" s="2">
        <f>V12/'Output-Calculation-sheet'!V11*'Output-Calculation-sheet'!V20</f>
        <v>1238.9290384245944</v>
      </c>
      <c r="W34" s="2">
        <f>W12/'Output-Calculation-sheet'!W11*'Output-Calculation-sheet'!W20</f>
        <v>671.8827683605449</v>
      </c>
      <c r="X34" s="2">
        <f>X12/'Output-Calculation-sheet'!X11*'Output-Calculation-sheet'!X20</f>
        <v>1.490593279534894</v>
      </c>
      <c r="Y34" s="2">
        <f>Y12/'Output-Calculation-sheet'!Y11*'Output-Calculation-sheet'!Y20</f>
        <v>486.53946926119431</v>
      </c>
      <c r="AA34" s="2">
        <f t="shared" si="1"/>
        <v>122.75647197498363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0.17824621651557981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2.6882957858476157E-2</v>
      </c>
      <c r="H44" s="2">
        <f>H11/'Output-Calculation-sheet'!H10*'Output-Calculation-sheet'!H37*0.0114</f>
        <v>2.6042436123962277E-2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1.5430974046721307E-2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1.0095914703813602E-2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4.9234085410394379E-3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0.2616219077895926</v>
      </c>
    </row>
    <row r="45" spans="1:27" x14ac:dyDescent="0.25">
      <c r="A45" s="2">
        <v>2035</v>
      </c>
      <c r="B45" s="2">
        <f>B12/'Output-Calculation-sheet'!B11*'Output-Calculation-sheet'!B38*0.0114</f>
        <v>0.76228603288104591</v>
      </c>
      <c r="C45" s="2">
        <f>C12/'Output-Calculation-sheet'!C11*'Output-Calculation-sheet'!C38*0.0114</f>
        <v>0.45224824327845736</v>
      </c>
      <c r="D45" s="2">
        <f>D12/'Output-Calculation-sheet'!D11*'Output-Calculation-sheet'!D38*0.0114</f>
        <v>8.0122769933817728E-2</v>
      </c>
      <c r="E45" s="2">
        <f>E12/'Output-Calculation-sheet'!E11*'Output-Calculation-sheet'!E38*0.0114</f>
        <v>0.25470522118037275</v>
      </c>
      <c r="F45" s="2">
        <f>F12/'Output-Calculation-sheet'!F11*'Output-Calculation-sheet'!F38*0.0114</f>
        <v>8.0096030555119366E-2</v>
      </c>
      <c r="G45" s="2">
        <f>G12/'Output-Calculation-sheet'!G11*'Output-Calculation-sheet'!G38*0.0114</f>
        <v>5.7483697827198928E-2</v>
      </c>
      <c r="H45" s="2">
        <f>H12/'Output-Calculation-sheet'!H11*'Output-Calculation-sheet'!H38*0.0114</f>
        <v>0.16705924289078591</v>
      </c>
      <c r="I45" s="2">
        <f>I12/'Output-Calculation-sheet'!I11*'Output-Calculation-sheet'!I38*0.0114</f>
        <v>5.1703034000175195E-2</v>
      </c>
      <c r="J45" s="2">
        <f>J12/'Output-Calculation-sheet'!J11*'Output-Calculation-sheet'!J38*0.0114</f>
        <v>2.5584438419419063E-2</v>
      </c>
      <c r="K45" s="2">
        <f>K12/'Output-Calculation-sheet'!K11*'Output-Calculation-sheet'!K38*0.0114</f>
        <v>5.0815852491841118E-2</v>
      </c>
      <c r="L45" s="2">
        <f>L12/'Output-Calculation-sheet'!L11*'Output-Calculation-sheet'!L38*0.0114</f>
        <v>2.0203213290282226E-2</v>
      </c>
      <c r="M45" s="2">
        <f>M12/'Output-Calculation-sheet'!M11*'Output-Calculation-sheet'!M38*0.0114</f>
        <v>9.5794181028912698E-2</v>
      </c>
      <c r="N45" s="2">
        <f>N12/'Output-Calculation-sheet'!N11*'Output-Calculation-sheet'!N38*0.0114</f>
        <v>5.6490086721715106E-2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6.958255678658605E-2</v>
      </c>
      <c r="Q45" s="2">
        <f>Q12/'Output-Calculation-sheet'!Q11*'Output-Calculation-sheet'!Q38*0.0114</f>
        <v>4.9493964947093641E-2</v>
      </c>
      <c r="R45" s="2">
        <f>R12/'Output-Calculation-sheet'!R11*'Output-Calculation-sheet'!R38*0.0114</f>
        <v>3.2721729740999787E-2</v>
      </c>
      <c r="S45" s="2">
        <f>S12/'Output-Calculation-sheet'!S11*'Output-Calculation-sheet'!S38*0.0114</f>
        <v>4.317609045689233E-2</v>
      </c>
      <c r="T45" s="2">
        <f>T12/'Output-Calculation-sheet'!T11*'Output-Calculation-sheet'!T38*0.0114</f>
        <v>6.0529036741827072E-3</v>
      </c>
      <c r="U45" s="2">
        <f>U12/'Output-Calculation-sheet'!U11*'Output-Calculation-sheet'!U38*0.0114</f>
        <v>1.5791550748036096E-2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7.0294394999664668E-3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1.014121317835286E-2</v>
      </c>
      <c r="AA45" s="2">
        <f t="shared" si="2"/>
        <v>2.4123140000676475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3565.908823431208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8213.632384132552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5617.4975227399282</v>
      </c>
      <c r="N52" s="2">
        <f>N8/'Output-Calculation-sheet'!N7*'Output-Calculation-sheet'!N43</f>
        <v>177.44753244767188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37.98293368467953</v>
      </c>
      <c r="Y52" s="2">
        <f>Y8/'Output-Calculation-sheet'!Y7*'Output-Calculation-sheet'!Y43</f>
        <v>0</v>
      </c>
      <c r="AA52" s="2">
        <f t="shared" si="3"/>
        <v>17.612469196436038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643.64197066876909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16690.796848206945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11425.901570272279</v>
      </c>
      <c r="N53" s="2">
        <f>N9/'Output-Calculation-sheet'!N8*'Output-Calculation-sheet'!N44</f>
        <v>4054.6359062308288</v>
      </c>
      <c r="O53" s="2">
        <f>O9/'Output-Calculation-sheet'!O8*'Output-Calculation-sheet'!O44</f>
        <v>224.83469231745255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1263.681028424417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348.88228238161014</v>
      </c>
      <c r="Y53" s="2">
        <f>Y9/'Output-Calculation-sheet'!Y8*'Output-Calculation-sheet'!Y44</f>
        <v>0</v>
      </c>
      <c r="AA53" s="2">
        <f t="shared" si="3"/>
        <v>34.832104669600099</v>
      </c>
    </row>
    <row r="54" spans="1:27" x14ac:dyDescent="0.25">
      <c r="A54" s="2">
        <v>2033</v>
      </c>
      <c r="B54" s="2">
        <f>B10/'Output-Calculation-sheet'!B9*'Output-Calculation-sheet'!B45</f>
        <v>36746.954200991124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18356.883763719416</v>
      </c>
      <c r="N54" s="2">
        <f>N10/'Output-Calculation-sheet'!N9*'Output-Calculation-sheet'!N45</f>
        <v>10273.765970630424</v>
      </c>
      <c r="O54" s="2">
        <f>O10/'Output-Calculation-sheet'!O9*'Output-Calculation-sheet'!O45</f>
        <v>1368.0931795849688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1068.3217839644292</v>
      </c>
      <c r="R54" s="2">
        <f>R10/'Output-Calculation-sheet'!R9*'Output-Calculation-sheet'!R45</f>
        <v>1823.975688455718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112.21181062515919</v>
      </c>
    </row>
    <row r="55" spans="1:27" x14ac:dyDescent="0.25">
      <c r="A55" s="2">
        <v>2034</v>
      </c>
      <c r="B55" s="2">
        <f>B11/'Output-Calculation-sheet'!B10*'Output-Calculation-sheet'!B46</f>
        <v>110199.94157910584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391.00783254305918</v>
      </c>
      <c r="G55" s="2">
        <f>G11/'Output-Calculation-sheet'!G10*'Output-Calculation-sheet'!G46</f>
        <v>4407.3901962712225</v>
      </c>
      <c r="H55" s="2">
        <f>H11/'Output-Calculation-sheet'!H10*'Output-Calculation-sheet'!H46</f>
        <v>34099.600352840775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24010.866951418859</v>
      </c>
      <c r="N55" s="2">
        <f>N11/'Output-Calculation-sheet'!N10*'Output-Calculation-sheet'!N46</f>
        <v>18186.90247512245</v>
      </c>
      <c r="O55" s="2">
        <f>O11/'Output-Calculation-sheet'!O10*'Output-Calculation-sheet'!O46</f>
        <v>697.78309689895502</v>
      </c>
      <c r="P55" s="2">
        <f>P11/'Output-Calculation-sheet'!P10*'Output-Calculation-sheet'!P46</f>
        <v>6730.8774845034332</v>
      </c>
      <c r="Q55" s="2">
        <f>Q11/'Output-Calculation-sheet'!Q10*'Output-Calculation-sheet'!Q46</f>
        <v>5251.9455527437431</v>
      </c>
      <c r="R55" s="2">
        <f>R11/'Output-Calculation-sheet'!R10*'Output-Calculation-sheet'!R46</f>
        <v>5455.2851310035376</v>
      </c>
      <c r="S55" s="2">
        <f>S11/'Output-Calculation-sheet'!S10*'Output-Calculation-sheet'!S46</f>
        <v>8521.3062526398662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1611.3366023349247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272.29231637919094</v>
      </c>
    </row>
    <row r="56" spans="1:27" x14ac:dyDescent="0.25">
      <c r="A56" s="2">
        <v>2035</v>
      </c>
      <c r="B56" s="2">
        <f>B12/'Output-Calculation-sheet'!B11*'Output-Calculation-sheet'!B47</f>
        <v>123804.61314730319</v>
      </c>
      <c r="C56" s="2">
        <f>C12/'Output-Calculation-sheet'!C11*'Output-Calculation-sheet'!C47</f>
        <v>38583.915913388388</v>
      </c>
      <c r="D56" s="2">
        <f>D12/'Output-Calculation-sheet'!D11*'Output-Calculation-sheet'!D47</f>
        <v>12693.133552673229</v>
      </c>
      <c r="E56" s="2">
        <f>E12/'Output-Calculation-sheet'!E11*'Output-Calculation-sheet'!E47</f>
        <v>32106.263406683825</v>
      </c>
      <c r="F56" s="2">
        <f>F12/'Output-Calculation-sheet'!F11*'Output-Calculation-sheet'!F47</f>
        <v>1844.3164930455118</v>
      </c>
      <c r="G56" s="2">
        <f>G12/'Output-Calculation-sheet'!G11*'Output-Calculation-sheet'!G47</f>
        <v>4697.023204038228</v>
      </c>
      <c r="H56" s="2">
        <f>H12/'Output-Calculation-sheet'!H11*'Output-Calculation-sheet'!H47</f>
        <v>36618.702173414524</v>
      </c>
      <c r="I56" s="2">
        <f>I12/'Output-Calculation-sheet'!I11*'Output-Calculation-sheet'!I47</f>
        <v>2993.3335473785637</v>
      </c>
      <c r="J56" s="2">
        <f>J12/'Output-Calculation-sheet'!J11*'Output-Calculation-sheet'!J47</f>
        <v>4937.3477651510475</v>
      </c>
      <c r="K56" s="2">
        <f>K12/'Output-Calculation-sheet'!K11*'Output-Calculation-sheet'!K47</f>
        <v>6750.9305788502961</v>
      </c>
      <c r="L56" s="2">
        <f>L12/'Output-Calculation-sheet'!L11*'Output-Calculation-sheet'!L47</f>
        <v>7228.8514921983515</v>
      </c>
      <c r="M56" s="2">
        <f>M12/'Output-Calculation-sheet'!M11*'Output-Calculation-sheet'!M47</f>
        <v>25810.649688456862</v>
      </c>
      <c r="N56" s="2">
        <f>N12/'Output-Calculation-sheet'!N11*'Output-Calculation-sheet'!N47</f>
        <v>20888.118031661088</v>
      </c>
      <c r="O56" s="2">
        <f>O12/'Output-Calculation-sheet'!O11*'Output-Calculation-sheet'!O47</f>
        <v>94.024832650607394</v>
      </c>
      <c r="P56" s="2">
        <f>P12/'Output-Calculation-sheet'!P11*'Output-Calculation-sheet'!P47</f>
        <v>8954.1763864843615</v>
      </c>
      <c r="Q56" s="2">
        <f>Q12/'Output-Calculation-sheet'!Q11*'Output-Calculation-sheet'!Q47</f>
        <v>6298.1793991155419</v>
      </c>
      <c r="R56" s="2">
        <f>R12/'Output-Calculation-sheet'!R11*'Output-Calculation-sheet'!R47</f>
        <v>7359.5188645546887</v>
      </c>
      <c r="S56" s="2">
        <f>S12/'Output-Calculation-sheet'!S11*'Output-Calculation-sheet'!S47</f>
        <v>9712.72666462284</v>
      </c>
      <c r="T56" s="2">
        <f>T12/'Output-Calculation-sheet'!T11*'Output-Calculation-sheet'!T47</f>
        <v>2486.4691145787383</v>
      </c>
      <c r="U56" s="2">
        <f>U12/'Output-Calculation-sheet'!U11*'Output-Calculation-sheet'!U47</f>
        <v>1735.685358534143</v>
      </c>
      <c r="V56" s="2">
        <f>V12/'Output-Calculation-sheet'!V11*'Output-Calculation-sheet'!V47</f>
        <v>1715.0583647964884</v>
      </c>
      <c r="W56" s="2">
        <f>W12/'Output-Calculation-sheet'!W11*'Output-Calculation-sheet'!W47</f>
        <v>607.0599287471041</v>
      </c>
      <c r="X56" s="2">
        <f>X12/'Output-Calculation-sheet'!X11*'Output-Calculation-sheet'!X47</f>
        <v>203.72363313371153</v>
      </c>
      <c r="Y56" s="2">
        <f>Y12/'Output-Calculation-sheet'!Y11*'Output-Calculation-sheet'!Y47</f>
        <v>808.45039793746309</v>
      </c>
      <c r="AA56" s="2">
        <f t="shared" si="3"/>
        <v>358.93227193939885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8.7879475797205853</v>
      </c>
      <c r="C63" s="2">
        <f>C8*'Output-Calculation-sheet'!C52/10^9</f>
        <v>5.3155249165835921</v>
      </c>
      <c r="D63" s="2">
        <f>D8*'Output-Calculation-sheet'!D52/10^9</f>
        <v>3.0135755527252472</v>
      </c>
      <c r="E63" s="2">
        <f>E8*'Output-Calculation-sheet'!E52/10^9</f>
        <v>2.9963024557072573</v>
      </c>
      <c r="F63" s="2">
        <f>F8*'Output-Calculation-sheet'!F52/10^9</f>
        <v>1.2689338422889698</v>
      </c>
      <c r="G63" s="2">
        <f>G8*'Output-Calculation-sheet'!G52/10^9</f>
        <v>0.91230610706997106</v>
      </c>
      <c r="H63" s="2">
        <f>H8*'Output-Calculation-sheet'!H52/10^9</f>
        <v>1.5935218790748151</v>
      </c>
      <c r="I63" s="2">
        <f>I8*'Output-Calculation-sheet'!I52/10^9</f>
        <v>0.84865648281579542</v>
      </c>
      <c r="J63" s="2">
        <f>J8*'Output-Calculation-sheet'!J52/10^9</f>
        <v>1.1678088439302103</v>
      </c>
      <c r="K63" s="2">
        <f>K8*'Output-Calculation-sheet'!K52/10^9</f>
        <v>1.0260239367098232</v>
      </c>
      <c r="L63" s="2">
        <f>L8*'Output-Calculation-sheet'!L52/10^9</f>
        <v>1.3800515611945245</v>
      </c>
      <c r="M63" s="2">
        <f>M8*'Output-Calculation-sheet'!M52/10^9</f>
        <v>1.2934781804883484</v>
      </c>
      <c r="N63" s="2">
        <f>N8*'Output-Calculation-sheet'!N52/10^9</f>
        <v>1.0795796505506736</v>
      </c>
      <c r="O63" s="2">
        <f>O8*'Output-Calculation-sheet'!O52/10^9</f>
        <v>1.0849305784049754</v>
      </c>
      <c r="P63" s="2">
        <f>P8*'Output-Calculation-sheet'!P52/10^9</f>
        <v>0.708954863276273</v>
      </c>
      <c r="Q63" s="2">
        <f>Q8*'Output-Calculation-sheet'!Q52/10^9</f>
        <v>0.80232914890877893</v>
      </c>
      <c r="R63" s="2">
        <f>R8*'Output-Calculation-sheet'!R52/10^9</f>
        <v>0.72033231317738045</v>
      </c>
      <c r="S63" s="2">
        <f>S8*'Output-Calculation-sheet'!S52/10^9</f>
        <v>0.53379176670567707</v>
      </c>
      <c r="T63" s="2">
        <f>T8*'Output-Calculation-sheet'!T52/10^9</f>
        <v>0.27386005555257936</v>
      </c>
      <c r="U63" s="2">
        <f>U8*'Output-Calculation-sheet'!U52/10^9</f>
        <v>0.18808415156146935</v>
      </c>
      <c r="V63" s="2">
        <f>V8*'Output-Calculation-sheet'!V52/10^9</f>
        <v>0.33380492125161298</v>
      </c>
      <c r="W63" s="2">
        <f>W8*'Output-Calculation-sheet'!W52/10^9</f>
        <v>0.12082174257438087</v>
      </c>
      <c r="X63" s="2">
        <f>X8*'Output-Calculation-sheet'!X52/10^9</f>
        <v>0.13753870417042413</v>
      </c>
      <c r="Y63" s="2">
        <f>Y8*'Output-Calculation-sheet'!Y52/10^9</f>
        <v>7.8832826063883255E-2</v>
      </c>
      <c r="AA63" s="2">
        <f t="shared" si="4"/>
        <v>35.666992060507241</v>
      </c>
    </row>
    <row r="64" spans="1:27" x14ac:dyDescent="0.25">
      <c r="A64" s="2">
        <v>2032</v>
      </c>
      <c r="B64" s="2">
        <f>B9*'Output-Calculation-sheet'!B53/10^9</f>
        <v>9.6197918021861621</v>
      </c>
      <c r="C64" s="2">
        <f>C9*'Output-Calculation-sheet'!C53/10^9</f>
        <v>6.1374242110487938</v>
      </c>
      <c r="D64" s="2">
        <f>D9*'Output-Calculation-sheet'!D53/10^9</f>
        <v>2.8468975427430019</v>
      </c>
      <c r="E64" s="2">
        <f>E9*'Output-Calculation-sheet'!E53/10^9</f>
        <v>2.9153483412834582</v>
      </c>
      <c r="F64" s="2">
        <f>F9*'Output-Calculation-sheet'!F53/10^9</f>
        <v>1.2296756496183125</v>
      </c>
      <c r="G64" s="2">
        <f>G9*'Output-Calculation-sheet'!G53/10^9</f>
        <v>0.87524551026633468</v>
      </c>
      <c r="H64" s="2">
        <f>H9*'Output-Calculation-sheet'!H53/10^9</f>
        <v>1.7983752560858257</v>
      </c>
      <c r="I64" s="2">
        <f>I9*'Output-Calculation-sheet'!I53/10^9</f>
        <v>0.81821150516343788</v>
      </c>
      <c r="J64" s="2">
        <f>J9*'Output-Calculation-sheet'!J53/10^9</f>
        <v>1.0831457845051209</v>
      </c>
      <c r="K64" s="2">
        <f>K9*'Output-Calculation-sheet'!K53/10^9</f>
        <v>1.0050119222337877</v>
      </c>
      <c r="L64" s="2">
        <f>L9*'Output-Calculation-sheet'!L53/10^9</f>
        <v>1.2929448340447476</v>
      </c>
      <c r="M64" s="2">
        <f>M9*'Output-Calculation-sheet'!M53/10^9</f>
        <v>1.4093967268587475</v>
      </c>
      <c r="N64" s="2">
        <f>N9*'Output-Calculation-sheet'!N53/10^9</f>
        <v>1.1865538724638087</v>
      </c>
      <c r="O64" s="2">
        <f>O9*'Output-Calculation-sheet'!O53/10^9</f>
        <v>1.240051291660702</v>
      </c>
      <c r="P64" s="2">
        <f>P9*'Output-Calculation-sheet'!P53/10^9</f>
        <v>0.7662532369596271</v>
      </c>
      <c r="Q64" s="2">
        <f>Q9*'Output-Calculation-sheet'!Q53/10^9</f>
        <v>0.84682522089740586</v>
      </c>
      <c r="R64" s="2">
        <f>R9*'Output-Calculation-sheet'!R53/10^9</f>
        <v>0.72592919360526154</v>
      </c>
      <c r="S64" s="2">
        <f>S9*'Output-Calculation-sheet'!S53/10^9</f>
        <v>0.59977974604528095</v>
      </c>
      <c r="T64" s="2">
        <f>T9*'Output-Calculation-sheet'!T53/10^9</f>
        <v>0.26095161297403485</v>
      </c>
      <c r="U64" s="2">
        <f>U9*'Output-Calculation-sheet'!U53/10^9</f>
        <v>0.19641283835851106</v>
      </c>
      <c r="V64" s="2">
        <f>V9*'Output-Calculation-sheet'!V53/10^9</f>
        <v>0.30973191851069115</v>
      </c>
      <c r="W64" s="2">
        <f>W9*'Output-Calculation-sheet'!W53/10^9</f>
        <v>0.11509059921925463</v>
      </c>
      <c r="X64" s="2">
        <f>X9*'Output-Calculation-sheet'!X53/10^9</f>
        <v>0.15451838254549494</v>
      </c>
      <c r="Y64" s="2">
        <f>Y9*'Output-Calculation-sheet'!Y53/10^9</f>
        <v>8.0636271724542102E-2</v>
      </c>
      <c r="AA64" s="2">
        <f t="shared" si="4"/>
        <v>37.514203271002351</v>
      </c>
    </row>
    <row r="65" spans="1:27" x14ac:dyDescent="0.25">
      <c r="A65" s="2">
        <v>2033</v>
      </c>
      <c r="B65" s="2">
        <f>B10*'Output-Calculation-sheet'!B54/10^9</f>
        <v>10.592920762696881</v>
      </c>
      <c r="C65" s="2">
        <f>C10*'Output-Calculation-sheet'!C54/10^9</f>
        <v>6.8767473484048285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1.9410180159922525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0.97528078915539018</v>
      </c>
      <c r="L65" s="2">
        <f>L10*'Output-Calculation-sheet'!L54/10^9</f>
        <v>1.1519400840504155</v>
      </c>
      <c r="M65" s="2">
        <f>M10*'Output-Calculation-sheet'!M54/10^9</f>
        <v>1.4655705502621759</v>
      </c>
      <c r="N65" s="2">
        <f>N10*'Output-Calculation-sheet'!N54/10^9</f>
        <v>1.2655333341579722</v>
      </c>
      <c r="O65" s="2">
        <f>O10*'Output-Calculation-sheet'!O54/10^9</f>
        <v>1.3746211536578052</v>
      </c>
      <c r="P65" s="2">
        <f>P10*'Output-Calculation-sheet'!P54/10^9</f>
        <v>0.82515017903693499</v>
      </c>
      <c r="Q65" s="2">
        <f>Q10*'Output-Calculation-sheet'!Q54/10^9</f>
        <v>0.90048806853534125</v>
      </c>
      <c r="R65" s="2">
        <f>R10*'Output-Calculation-sheet'!R54/10^9</f>
        <v>0.72645063739852311</v>
      </c>
      <c r="S65" s="2">
        <f>S10*'Output-Calculation-sheet'!S54/10^9</f>
        <v>0.65985951232770756</v>
      </c>
      <c r="T65" s="2">
        <f>T10*'Output-Calculation-sheet'!T54/10^9</f>
        <v>0.24288428016138841</v>
      </c>
      <c r="U65" s="2">
        <f>U10*'Output-Calculation-sheet'!U54/10^9</f>
        <v>0.20972485949707467</v>
      </c>
      <c r="V65" s="2">
        <f>V10*'Output-Calculation-sheet'!V54/10^9</f>
        <v>0.26879834622853699</v>
      </c>
      <c r="W65" s="2">
        <f>W10*'Output-Calculation-sheet'!W54/10^9</f>
        <v>0.10233771219328373</v>
      </c>
      <c r="X65" s="2">
        <f>X10*'Output-Calculation-sheet'!X54/10^9</f>
        <v>0.16733692391566471</v>
      </c>
      <c r="Y65" s="2">
        <f>Y10*'Output-Calculation-sheet'!Y54/10^9</f>
        <v>8.4237022832640521E-2</v>
      </c>
      <c r="AA65" s="2">
        <f t="shared" si="4"/>
        <v>38.759356312669496</v>
      </c>
    </row>
    <row r="66" spans="1:27" x14ac:dyDescent="0.25">
      <c r="A66" s="2">
        <v>2034</v>
      </c>
      <c r="B66" s="2">
        <f>B11*'Output-Calculation-sheet'!B55/10^9</f>
        <v>11.76761177710106</v>
      </c>
      <c r="C66" s="2">
        <f>C11*'Output-Calculation-sheet'!C55/10^9</f>
        <v>7.5601321967463884</v>
      </c>
      <c r="D66" s="2">
        <f>D11*'Output-Calculation-sheet'!D55/10^9</f>
        <v>2.4621377261782929</v>
      </c>
      <c r="E66" s="2">
        <f>E11*'Output-Calculation-sheet'!E55/10^9</f>
        <v>2.9814692563364531</v>
      </c>
      <c r="F66" s="2">
        <f>F11*'Output-Calculation-sheet'!F55/10^9</f>
        <v>1.1458270367121137</v>
      </c>
      <c r="G66" s="2">
        <f>G11*'Output-Calculation-sheet'!G55/10^9</f>
        <v>0.81906524950089554</v>
      </c>
      <c r="H66" s="2">
        <f>H11*'Output-Calculation-sheet'!H55/10^9</f>
        <v>2.0925920020629771</v>
      </c>
      <c r="I66" s="2">
        <f>I11*'Output-Calculation-sheet'!I55/10^9</f>
        <v>0.80091333737368586</v>
      </c>
      <c r="J66" s="2">
        <f>J11*'Output-Calculation-sheet'!J55/10^9</f>
        <v>0.82358420502610086</v>
      </c>
      <c r="K66" s="2">
        <f>K11*'Output-Calculation-sheet'!K55/10^9</f>
        <v>0.98507276662141818</v>
      </c>
      <c r="L66" s="2">
        <f>L11*'Output-Calculation-sheet'!L55/10^9</f>
        <v>1.0432600768767877</v>
      </c>
      <c r="M66" s="2">
        <f>M11*'Output-Calculation-sheet'!M55/10^9</f>
        <v>1.5169459656036164</v>
      </c>
      <c r="N66" s="2">
        <f>N11*'Output-Calculation-sheet'!N55/10^9</f>
        <v>1.3254000664350793</v>
      </c>
      <c r="O66" s="2">
        <f>O11*'Output-Calculation-sheet'!O55/10^9</f>
        <v>1.4916577406918676</v>
      </c>
      <c r="P66" s="2">
        <f>P11*'Output-Calculation-sheet'!P55/10^9</f>
        <v>0.91116251474707022</v>
      </c>
      <c r="Q66" s="2">
        <f>Q11*'Output-Calculation-sheet'!Q55/10^9</f>
        <v>0.99139413426129852</v>
      </c>
      <c r="R66" s="2">
        <f>R11*'Output-Calculation-sheet'!R55/10^9</f>
        <v>0.73798187618716904</v>
      </c>
      <c r="S66" s="2">
        <f>S11*'Output-Calculation-sheet'!S55/10^9</f>
        <v>0.72553555144237758</v>
      </c>
      <c r="T66" s="2">
        <f>T11*'Output-Calculation-sheet'!T55/10^9</f>
        <v>0.23129993556270431</v>
      </c>
      <c r="U66" s="2">
        <f>U11*'Output-Calculation-sheet'!U55/10^9</f>
        <v>0.23491388901000193</v>
      </c>
      <c r="V66" s="2">
        <f>V11*'Output-Calculation-sheet'!V55/10^9</f>
        <v>0.21942061987104955</v>
      </c>
      <c r="W66" s="2">
        <f>W11*'Output-Calculation-sheet'!W55/10^9</f>
        <v>9.9353211778158229E-2</v>
      </c>
      <c r="X66" s="2">
        <f>X11*'Output-Calculation-sheet'!X55/10^9</f>
        <v>0.17729421890744013</v>
      </c>
      <c r="Y66" s="2">
        <f>Y11*'Output-Calculation-sheet'!Y55/10^9</f>
        <v>9.7492311758131903E-2</v>
      </c>
      <c r="AA66" s="2">
        <f t="shared" si="4"/>
        <v>41.241517666792141</v>
      </c>
    </row>
    <row r="67" spans="1:27" x14ac:dyDescent="0.25">
      <c r="A67" s="2">
        <v>2035</v>
      </c>
      <c r="B67" s="2">
        <f>B12*'Output-Calculation-sheet'!B56/10^9</f>
        <v>13.066609100473942</v>
      </c>
      <c r="C67" s="2">
        <f>C12*'Output-Calculation-sheet'!C56/10^9</f>
        <v>8.206501626622444</v>
      </c>
      <c r="D67" s="2">
        <f>D12*'Output-Calculation-sheet'!D56/10^9</f>
        <v>2.7186950545732715</v>
      </c>
      <c r="E67" s="2">
        <f>E12*'Output-Calculation-sheet'!E56/10^9</f>
        <v>3.6911083614141149</v>
      </c>
      <c r="F67" s="2">
        <f>F12*'Output-Calculation-sheet'!F56/10^9</f>
        <v>1.3481912669131597</v>
      </c>
      <c r="G67" s="2">
        <f>G12*'Output-Calculation-sheet'!G56/10^9</f>
        <v>0.94442117009296622</v>
      </c>
      <c r="H67" s="2">
        <f>H12*'Output-Calculation-sheet'!H56/10^9</f>
        <v>2.2813502242673698</v>
      </c>
      <c r="I67" s="2">
        <f>I12*'Output-Calculation-sheet'!I56/10^9</f>
        <v>0.91742437763319218</v>
      </c>
      <c r="J67" s="2">
        <f>J12*'Output-Calculation-sheet'!J56/10^9</f>
        <v>0.90823559301786128</v>
      </c>
      <c r="K67" s="2">
        <f>K12*'Output-Calculation-sheet'!K56/10^9</f>
        <v>1.0944337135733526</v>
      </c>
      <c r="L67" s="2">
        <f>L12*'Output-Calculation-sheet'!L56/10^9</f>
        <v>1.0994411246044025</v>
      </c>
      <c r="M67" s="2">
        <f>M12*'Output-Calculation-sheet'!M56/10^9</f>
        <v>1.6688380318186093</v>
      </c>
      <c r="N67" s="2">
        <f>N12*'Output-Calculation-sheet'!N56/10^9</f>
        <v>1.4333893663703987</v>
      </c>
      <c r="O67" s="2">
        <f>O12*'Output-Calculation-sheet'!O56/10^9</f>
        <v>1.6079356552287623</v>
      </c>
      <c r="P67" s="2">
        <f>P12*'Output-Calculation-sheet'!P56/10^9</f>
        <v>1.0600358411600532</v>
      </c>
      <c r="Q67" s="2">
        <f>Q12*'Output-Calculation-sheet'!Q56/10^9</f>
        <v>1.0910853752813821</v>
      </c>
      <c r="R67" s="2">
        <f>R12*'Output-Calculation-sheet'!R56/10^9</f>
        <v>0.83019800742670891</v>
      </c>
      <c r="S67" s="2">
        <f>S12*'Output-Calculation-sheet'!S56/10^9</f>
        <v>0.79108591788312432</v>
      </c>
      <c r="T67" s="2">
        <f>T12*'Output-Calculation-sheet'!T56/10^9</f>
        <v>0.25158387975302626</v>
      </c>
      <c r="U67" s="2">
        <f>U12*'Output-Calculation-sheet'!U56/10^9</f>
        <v>0.26307754174804177</v>
      </c>
      <c r="V67" s="2">
        <f>V12*'Output-Calculation-sheet'!V56/10^9</f>
        <v>0.20180416160997244</v>
      </c>
      <c r="W67" s="2">
        <f>W12*'Output-Calculation-sheet'!W56/10^9</f>
        <v>0.12184298396280557</v>
      </c>
      <c r="X67" s="2">
        <f>X12*'Output-Calculation-sheet'!X56/10^9</f>
        <v>0.19288412462080545</v>
      </c>
      <c r="Y67" s="2">
        <f>Y12*'Output-Calculation-sheet'!Y56/10^9</f>
        <v>0.11774214773344381</v>
      </c>
      <c r="AA67" s="2">
        <f t="shared" si="4"/>
        <v>45.907914647783208</v>
      </c>
    </row>
    <row r="68" spans="1:27" x14ac:dyDescent="0.25">
      <c r="B68" s="2">
        <f>SUM(B60:B67)</f>
        <v>53.834881022178628</v>
      </c>
      <c r="C68" s="2">
        <f t="shared" ref="C68:Y68" si="5">SUM(C60:C67)</f>
        <v>34.096330299406048</v>
      </c>
      <c r="D68" s="2">
        <f t="shared" si="5"/>
        <v>13.543770219198876</v>
      </c>
      <c r="E68" s="2">
        <f t="shared" si="5"/>
        <v>15.401960612565933</v>
      </c>
      <c r="F68" s="2">
        <f t="shared" si="5"/>
        <v>6.1365776603356066</v>
      </c>
      <c r="G68" s="2">
        <f t="shared" si="5"/>
        <v>4.3364637511204167</v>
      </c>
      <c r="H68" s="2">
        <f t="shared" si="5"/>
        <v>9.7068573774832405</v>
      </c>
      <c r="I68" s="2">
        <f t="shared" si="5"/>
        <v>4.1499961896485242</v>
      </c>
      <c r="J68" s="2">
        <f t="shared" si="5"/>
        <v>4.8968685521845554</v>
      </c>
      <c r="K68" s="2">
        <f t="shared" si="5"/>
        <v>5.0858231282937716</v>
      </c>
      <c r="L68" s="2">
        <f t="shared" si="5"/>
        <v>5.9676376807708778</v>
      </c>
      <c r="M68" s="2">
        <f t="shared" si="5"/>
        <v>7.3542294550314971</v>
      </c>
      <c r="N68" s="2">
        <f t="shared" si="5"/>
        <v>6.2904562899779322</v>
      </c>
      <c r="O68" s="2">
        <f t="shared" si="5"/>
        <v>6.7991964196441126</v>
      </c>
      <c r="P68" s="2">
        <f t="shared" si="5"/>
        <v>4.2715566351799588</v>
      </c>
      <c r="Q68" s="2">
        <f t="shared" si="5"/>
        <v>4.6321219478842064</v>
      </c>
      <c r="R68" s="2">
        <f t="shared" si="5"/>
        <v>3.7408920277950428</v>
      </c>
      <c r="S68" s="2">
        <f t="shared" si="5"/>
        <v>3.3100524944041676</v>
      </c>
      <c r="T68" s="2">
        <f t="shared" si="5"/>
        <v>1.2605797640037333</v>
      </c>
      <c r="U68" s="2">
        <f t="shared" si="5"/>
        <v>1.0922132801750988</v>
      </c>
      <c r="V68" s="2">
        <f t="shared" si="5"/>
        <v>1.333559967471863</v>
      </c>
      <c r="W68" s="2">
        <f t="shared" si="5"/>
        <v>0.55944624972788304</v>
      </c>
      <c r="X68" s="2">
        <f t="shared" si="5"/>
        <v>0.82957235415982944</v>
      </c>
      <c r="Y68" s="2">
        <f t="shared" si="5"/>
        <v>0.45894058011264161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956.15987876693998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1743.7495052987981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1175.9275769322064</v>
      </c>
      <c r="N74" s="2">
        <f>N8/'Output-Calculation-sheet'!N7*'Output-Calculation-sheet'!N61</f>
        <v>52.809733359205232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10.434902197294038</v>
      </c>
      <c r="Y74" s="2">
        <f>Y8/'Output-Calculation-sheet'!Y7*'Output-Calculation-sheet'!Y61</f>
        <v>0</v>
      </c>
      <c r="AA74" s="2">
        <f t="shared" si="6"/>
        <v>3.9390815965544439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176.82206484593658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3183.7490187057456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2158.1857965441154</v>
      </c>
      <c r="N75" s="2">
        <f>N9/'Output-Calculation-sheet'!N8*'Output-Calculation-sheet'!N62</f>
        <v>831.74922474174775</v>
      </c>
      <c r="O75" s="2">
        <f>O9/'Output-Calculation-sheet'!O8*'Output-Calculation-sheet'!O62</f>
        <v>61.768221834849236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279.01722597445348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76.168940538211942</v>
      </c>
      <c r="Y75" s="2">
        <f>Y9/'Output-Calculation-sheet'!Y8*'Output-Calculation-sheet'!Y62</f>
        <v>0</v>
      </c>
      <c r="AA75" s="2">
        <f t="shared" si="6"/>
        <v>6.8332953710379734</v>
      </c>
    </row>
    <row r="76" spans="1:27" x14ac:dyDescent="0.25">
      <c r="A76" s="2">
        <v>2033</v>
      </c>
      <c r="B76" s="2">
        <f>B10/'Output-Calculation-sheet'!B9*'Output-Calculation-sheet'!B63</f>
        <v>7380.9274053707177</v>
      </c>
      <c r="C76" s="2">
        <f>C10/'Output-Calculation-sheet'!C9*'Output-Calculation-sheet'!C63</f>
        <v>1521.3636799726744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4839.8394836258312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3288.1182191488151</v>
      </c>
      <c r="N76" s="2">
        <f>N10/'Output-Calculation-sheet'!N9*'Output-Calculation-sheet'!N63</f>
        <v>1880.5626615121603</v>
      </c>
      <c r="O76" s="2">
        <f>O10/'Output-Calculation-sheet'!O9*'Output-Calculation-sheet'!O63</f>
        <v>312.05699710955474</v>
      </c>
      <c r="P76" s="2">
        <f>P10/'Output-Calculation-sheet'!P9*'Output-Calculation-sheet'!P63</f>
        <v>649.39579747818664</v>
      </c>
      <c r="Q76" s="2">
        <f>Q10/'Output-Calculation-sheet'!Q9*'Output-Calculation-sheet'!Q63</f>
        <v>293.49485828702313</v>
      </c>
      <c r="R76" s="2">
        <f>R10/'Output-Calculation-sheet'!R9*'Output-Calculation-sheet'!R63</f>
        <v>494.17969574921477</v>
      </c>
      <c r="S76" s="2">
        <f>S10/'Output-Calculation-sheet'!S9*'Output-Calculation-sheet'!S63</f>
        <v>838.46909998079821</v>
      </c>
      <c r="T76" s="2">
        <f>T10/'Output-Calculation-sheet'!T9*'Output-Calculation-sheet'!T63</f>
        <v>32.476694100154049</v>
      </c>
      <c r="U76" s="2">
        <f>U10/'Output-Calculation-sheet'!U9*'Output-Calculation-sheet'!U63</f>
        <v>175.56783994829365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188.79086498389987</v>
      </c>
      <c r="Y76" s="2">
        <f>Y10/'Output-Calculation-sheet'!Y9*'Output-Calculation-sheet'!Y63</f>
        <v>8.32760879377539</v>
      </c>
      <c r="AA76" s="2">
        <f t="shared" si="6"/>
        <v>22.039899587343399</v>
      </c>
    </row>
    <row r="77" spans="1:27" x14ac:dyDescent="0.25">
      <c r="A77" s="2">
        <v>2034</v>
      </c>
      <c r="B77" s="2">
        <f>B11/'Output-Calculation-sheet'!B10*'Output-Calculation-sheet'!B64</f>
        <v>18686.84863486953</v>
      </c>
      <c r="C77" s="2">
        <f>C11/'Output-Calculation-sheet'!C10*'Output-Calculation-sheet'!C64</f>
        <v>2806.434436736678</v>
      </c>
      <c r="D77" s="2">
        <f>D11/'Output-Calculation-sheet'!D10*'Output-Calculation-sheet'!D64</f>
        <v>2400.9979366372313</v>
      </c>
      <c r="E77" s="2">
        <f>E11/'Output-Calculation-sheet'!E10*'Output-Calculation-sheet'!E64</f>
        <v>2960.7281251994741</v>
      </c>
      <c r="F77" s="2">
        <f>F11/'Output-Calculation-sheet'!F10*'Output-Calculation-sheet'!F64</f>
        <v>190.64753327574269</v>
      </c>
      <c r="G77" s="2">
        <f>G11/'Output-Calculation-sheet'!G10*'Output-Calculation-sheet'!G64</f>
        <v>1196.2161637678494</v>
      </c>
      <c r="H77" s="2">
        <f>H11/'Output-Calculation-sheet'!H10*'Output-Calculation-sheet'!H64</f>
        <v>6374.736047150127</v>
      </c>
      <c r="I77" s="2">
        <f>I11/'Output-Calculation-sheet'!I10*'Output-Calculation-sheet'!I64</f>
        <v>743.82687651332083</v>
      </c>
      <c r="J77" s="2">
        <f>J11/'Output-Calculation-sheet'!J10*'Output-Calculation-sheet'!J64</f>
        <v>521.94572300489926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476.33260153904706</v>
      </c>
      <c r="M77" s="2">
        <f>M11/'Output-Calculation-sheet'!M10*'Output-Calculation-sheet'!M64</f>
        <v>4518.5056285214159</v>
      </c>
      <c r="N77" s="2">
        <f>N11/'Output-Calculation-sheet'!N10*'Output-Calculation-sheet'!N64</f>
        <v>3170.3886704606807</v>
      </c>
      <c r="O77" s="2">
        <f>O11/'Output-Calculation-sheet'!O10*'Output-Calculation-sheet'!O64</f>
        <v>151.43479073382093</v>
      </c>
      <c r="P77" s="2">
        <f>P11/'Output-Calculation-sheet'!P10*'Output-Calculation-sheet'!P64</f>
        <v>1392.4980922435711</v>
      </c>
      <c r="Q77" s="2">
        <f>Q11/'Output-Calculation-sheet'!Q10*'Output-Calculation-sheet'!Q64</f>
        <v>992.97641193544302</v>
      </c>
      <c r="R77" s="2">
        <f>R11/'Output-Calculation-sheet'!R10*'Output-Calculation-sheet'!R64</f>
        <v>1200.8352430556781</v>
      </c>
      <c r="S77" s="2">
        <f>S11/'Output-Calculation-sheet'!S10*'Output-Calculation-sheet'!S64</f>
        <v>1487.269932920218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353.2208763400883</v>
      </c>
      <c r="V77" s="2">
        <f>V11/'Output-Calculation-sheet'!V10*'Output-Calculation-sheet'!V64</f>
        <v>171.4031405600517</v>
      </c>
      <c r="W77" s="2">
        <f>W11/'Output-Calculation-sheet'!W10*'Output-Calculation-sheet'!W64</f>
        <v>37.620299163426502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109.82310122563952</v>
      </c>
      <c r="AA77" s="2">
        <f t="shared" si="6"/>
        <v>51.596959264619123</v>
      </c>
    </row>
    <row r="78" spans="1:27" x14ac:dyDescent="0.25">
      <c r="A78" s="2">
        <v>2035</v>
      </c>
      <c r="B78" s="2">
        <f>B12/'Output-Calculation-sheet'!B11*'Output-Calculation-sheet'!B65</f>
        <v>21457.315384065507</v>
      </c>
      <c r="C78" s="2">
        <f>C12/'Output-Calculation-sheet'!C11*'Output-Calculation-sheet'!C65</f>
        <v>7051.4070041194682</v>
      </c>
      <c r="D78" s="2">
        <f>D12/'Output-Calculation-sheet'!D11*'Output-Calculation-sheet'!D65</f>
        <v>2881.3905146488878</v>
      </c>
      <c r="E78" s="2">
        <f>E12/'Output-Calculation-sheet'!E11*'Output-Calculation-sheet'!E65</f>
        <v>5014.2632737927124</v>
      </c>
      <c r="F78" s="2">
        <f>F12/'Output-Calculation-sheet'!F11*'Output-Calculation-sheet'!F65</f>
        <v>647.47101752425181</v>
      </c>
      <c r="G78" s="2">
        <f>G12/'Output-Calculation-sheet'!G11*'Output-Calculation-sheet'!G65</f>
        <v>1262.3672164334582</v>
      </c>
      <c r="H78" s="2">
        <f>H12/'Output-Calculation-sheet'!H11*'Output-Calculation-sheet'!H65</f>
        <v>6830.2391270691105</v>
      </c>
      <c r="I78" s="2">
        <f>I12/'Output-Calculation-sheet'!I11*'Output-Calculation-sheet'!I65</f>
        <v>839.29671153100173</v>
      </c>
      <c r="J78" s="2">
        <f>J12/'Output-Calculation-sheet'!J11*'Output-Calculation-sheet'!J65</f>
        <v>1222.5344358800667</v>
      </c>
      <c r="K78" s="2">
        <f>K12/'Output-Calculation-sheet'!K11*'Output-Calculation-sheet'!K65</f>
        <v>1503.2510412780491</v>
      </c>
      <c r="L78" s="2">
        <f>L12/'Output-Calculation-sheet'!L11*'Output-Calculation-sheet'!L65</f>
        <v>1284.1126923069542</v>
      </c>
      <c r="M78" s="2">
        <f>M12/'Output-Calculation-sheet'!M11*'Output-Calculation-sheet'!M65</f>
        <v>4987.645038446376</v>
      </c>
      <c r="N78" s="2">
        <f>N12/'Output-Calculation-sheet'!N11*'Output-Calculation-sheet'!N65</f>
        <v>3593.1196879684785</v>
      </c>
      <c r="O78" s="2">
        <f>O12/'Output-Calculation-sheet'!O11*'Output-Calculation-sheet'!O65</f>
        <v>16.838151997954672</v>
      </c>
      <c r="P78" s="2">
        <f>P12/'Output-Calculation-sheet'!P11*'Output-Calculation-sheet'!P65</f>
        <v>1735.0151126080543</v>
      </c>
      <c r="Q78" s="2">
        <f>Q12/'Output-Calculation-sheet'!Q11*'Output-Calculation-sheet'!Q65</f>
        <v>1167.6364398917724</v>
      </c>
      <c r="R78" s="2">
        <f>R12/'Output-Calculation-sheet'!R11*'Output-Calculation-sheet'!R65</f>
        <v>1616.1692868155335</v>
      </c>
      <c r="S78" s="2">
        <f>S12/'Output-Calculation-sheet'!S11*'Output-Calculation-sheet'!S65</f>
        <v>1698.4233619984893</v>
      </c>
      <c r="T78" s="2">
        <f>T12/'Output-Calculation-sheet'!T11*'Output-Calculation-sheet'!T65</f>
        <v>557.55685046978829</v>
      </c>
      <c r="U78" s="2">
        <f>U12/'Output-Calculation-sheet'!U11*'Output-Calculation-sheet'!U65</f>
        <v>381.46938060505886</v>
      </c>
      <c r="V78" s="2">
        <f>V12/'Output-Calculation-sheet'!V11*'Output-Calculation-sheet'!V65</f>
        <v>314.46736235848817</v>
      </c>
      <c r="W78" s="2">
        <f>W12/'Output-Calculation-sheet'!W11*'Output-Calculation-sheet'!W65</f>
        <v>148.70039321179064</v>
      </c>
      <c r="X78" s="2">
        <f>X12/'Output-Calculation-sheet'!X11*'Output-Calculation-sheet'!X65</f>
        <v>40.992697926800986</v>
      </c>
      <c r="Y78" s="2">
        <f>Y12/'Output-Calculation-sheet'!Y11*'Output-Calculation-sheet'!Y65</f>
        <v>139.15701556927525</v>
      </c>
      <c r="AA78" s="2">
        <f t="shared" si="6"/>
        <v>66.390839198517327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31.27126605536488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2.3581541981119436</v>
      </c>
      <c r="H88" s="2">
        <f>H11/'Output-Calculation-sheet'!H10*'Output-Calculation-sheet'!H73</f>
        <v>15.990969549801397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6.7679710731233804</v>
      </c>
      <c r="R88" s="2">
        <f>R11/'Output-Calculation-sheet'!R10*'Output-Calculation-sheet'!R73</f>
        <v>0</v>
      </c>
      <c r="S88" s="2">
        <f>S11/'Output-Calculation-sheet'!S10*'Output-Calculation-sheet'!S73</f>
        <v>3.5424262118644214</v>
      </c>
      <c r="T88" s="2">
        <f>T11/'Output-Calculation-sheet'!T10*'Output-Calculation-sheet'!T73</f>
        <v>0</v>
      </c>
      <c r="U88" s="2">
        <f>U11/'Output-Calculation-sheet'!U10*'Output-Calculation-sheet'!U73</f>
        <v>2.1593897109822096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6.2090176799248241E-2</v>
      </c>
    </row>
    <row r="89" spans="1:27" x14ac:dyDescent="0.25">
      <c r="A89" s="2">
        <v>2035</v>
      </c>
      <c r="B89" s="2">
        <f>B12/'Output-Calculation-sheet'!B11*'Output-Calculation-sheet'!B74</f>
        <v>468.07037106730888</v>
      </c>
      <c r="C89" s="2">
        <f>C12/'Output-Calculation-sheet'!C11*'Output-Calculation-sheet'!C74</f>
        <v>253.8937506124673</v>
      </c>
      <c r="D89" s="2">
        <f>D12/'Output-Calculation-sheet'!D11*'Output-Calculation-sheet'!D74</f>
        <v>42.169878912535644</v>
      </c>
      <c r="E89" s="2">
        <f>E12/'Output-Calculation-sheet'!E11*'Output-Calculation-sheet'!E74</f>
        <v>139.64102038397627</v>
      </c>
      <c r="F89" s="2">
        <f>F12/'Output-Calculation-sheet'!F11*'Output-Calculation-sheet'!F74</f>
        <v>42.155805555325983</v>
      </c>
      <c r="G89" s="2">
        <f>G12/'Output-Calculation-sheet'!G11*'Output-Calculation-sheet'!G74</f>
        <v>30.254577803788905</v>
      </c>
      <c r="H89" s="2">
        <f>H12/'Output-Calculation-sheet'!H11*'Output-Calculation-sheet'!H74</f>
        <v>105.02262345473383</v>
      </c>
      <c r="I89" s="2">
        <f>I12/'Output-Calculation-sheet'!I11*'Output-Calculation-sheet'!I74</f>
        <v>27.212123157986944</v>
      </c>
      <c r="J89" s="2">
        <f>J12/'Output-Calculation-sheet'!J11*'Output-Calculation-sheet'!J74</f>
        <v>13.465493904957402</v>
      </c>
      <c r="K89" s="2">
        <f>K12/'Output-Calculation-sheet'!K11*'Output-Calculation-sheet'!K74</f>
        <v>20.058889141516232</v>
      </c>
      <c r="L89" s="2">
        <f>L12/'Output-Calculation-sheet'!L11*'Output-Calculation-sheet'!L74</f>
        <v>10.633270152780121</v>
      </c>
      <c r="M89" s="2">
        <f>M12/'Output-Calculation-sheet'!M11*'Output-Calculation-sheet'!M74</f>
        <v>55.459789016738931</v>
      </c>
      <c r="N89" s="2">
        <f>N12/'Output-Calculation-sheet'!N11*'Output-Calculation-sheet'!N74</f>
        <v>28.079867668688795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38.148331571593225</v>
      </c>
      <c r="Q89" s="2">
        <f>Q12/'Output-Calculation-sheet'!Q11*'Output-Calculation-sheet'!Q74</f>
        <v>31.838223065381875</v>
      </c>
      <c r="R89" s="2">
        <f>R12/'Output-Calculation-sheet'!R11*'Output-Calculation-sheet'!R74</f>
        <v>17.221963021578837</v>
      </c>
      <c r="S89" s="2">
        <f>S12/'Output-Calculation-sheet'!S11*'Output-Calculation-sheet'!S74</f>
        <v>24.617946313140362</v>
      </c>
      <c r="T89" s="2">
        <f>T12/'Output-Calculation-sheet'!T11*'Output-Calculation-sheet'!T74</f>
        <v>3.1857387758856355</v>
      </c>
      <c r="U89" s="2">
        <f>U12/'Output-Calculation-sheet'!U11*'Output-Calculation-sheet'!U74</f>
        <v>9.2348249988515185</v>
      </c>
      <c r="V89" s="2">
        <f>V12/'Output-Calculation-sheet'!V11*'Output-Calculation-sheet'!V74</f>
        <v>0.71208568187522869</v>
      </c>
      <c r="W89" s="2">
        <f>W12/'Output-Calculation-sheet'!W11*'Output-Calculation-sheet'!W74</f>
        <v>4.3163224999794094</v>
      </c>
      <c r="X89" s="2">
        <f>X12/'Output-Calculation-sheet'!X11*'Output-Calculation-sheet'!X74</f>
        <v>0.55309583656211281</v>
      </c>
      <c r="Y89" s="2">
        <f>Y12/'Output-Calculation-sheet'!Y11*'Output-Calculation-sheet'!Y74</f>
        <v>5.8712286822042872</v>
      </c>
      <c r="AA89" s="2">
        <f t="shared" si="7"/>
        <v>1.3733586119790482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10031719279.262419</v>
      </c>
      <c r="C96" s="2">
        <f>C8/'Output-Calculation-sheet'!C7*'Output-Calculation-sheet'!C79</f>
        <v>2422496113.1592355</v>
      </c>
      <c r="D96" s="2">
        <f>D8/'Output-Calculation-sheet'!D7*'Output-Calculation-sheet'!D79</f>
        <v>1966696710.9986641</v>
      </c>
      <c r="E96" s="2">
        <f>E8/'Output-Calculation-sheet'!E7*'Output-Calculation-sheet'!E79</f>
        <v>7368507537.4752703</v>
      </c>
      <c r="F96" s="2">
        <f>F8/'Output-Calculation-sheet'!F7*'Output-Calculation-sheet'!F79</f>
        <v>2149505637.035953</v>
      </c>
      <c r="G96" s="2">
        <f>G8/'Output-Calculation-sheet'!G7*'Output-Calculation-sheet'!G79</f>
        <v>1379676248.3422434</v>
      </c>
      <c r="H96" s="2">
        <f>H8/'Output-Calculation-sheet'!H7*'Output-Calculation-sheet'!H79</f>
        <v>1699715401.7206223</v>
      </c>
      <c r="I96" s="2">
        <f>I8/'Output-Calculation-sheet'!I7*'Output-Calculation-sheet'!I79</f>
        <v>992119096.4650923</v>
      </c>
      <c r="J96" s="2">
        <f>J8/'Output-Calculation-sheet'!J7*'Output-Calculation-sheet'!J79</f>
        <v>751829669.40266597</v>
      </c>
      <c r="K96" s="2">
        <f>K8/'Output-Calculation-sheet'!K7*'Output-Calculation-sheet'!K79</f>
        <v>942893070.13468325</v>
      </c>
      <c r="L96" s="2">
        <f>L8/'Output-Calculation-sheet'!L7*'Output-Calculation-sheet'!L79</f>
        <v>855986090.00321019</v>
      </c>
      <c r="M96" s="2">
        <f>M8/'Output-Calculation-sheet'!M7*'Output-Calculation-sheet'!M79</f>
        <v>1311491413.101908</v>
      </c>
      <c r="N96" s="2">
        <f>N8/'Output-Calculation-sheet'!N7*'Output-Calculation-sheet'!N79</f>
        <v>852556889.72423995</v>
      </c>
      <c r="O96" s="2">
        <f>O8/'Output-Calculation-sheet'!O7*'Output-Calculation-sheet'!O79</f>
        <v>319897270.56935102</v>
      </c>
      <c r="P96" s="2">
        <f>P8/'Output-Calculation-sheet'!P7*'Output-Calculation-sheet'!P79</f>
        <v>1623710414.9271331</v>
      </c>
      <c r="Q96" s="2">
        <f>Q8/'Output-Calculation-sheet'!Q7*'Output-Calculation-sheet'!Q79</f>
        <v>689374385.76446927</v>
      </c>
      <c r="R96" s="2">
        <f>R8/'Output-Calculation-sheet'!R7*'Output-Calculation-sheet'!R79</f>
        <v>914994717.28339422</v>
      </c>
      <c r="S96" s="2">
        <f>S8/'Output-Calculation-sheet'!S7*'Output-Calculation-sheet'!S79</f>
        <v>516019910.76924938</v>
      </c>
      <c r="T96" s="2">
        <f>T8/'Output-Calculation-sheet'!T7*'Output-Calculation-sheet'!T79</f>
        <v>311303995.14654613</v>
      </c>
      <c r="U96" s="2">
        <f>U8/'Output-Calculation-sheet'!U7*'Output-Calculation-sheet'!U79</f>
        <v>245035293.27713534</v>
      </c>
      <c r="V96" s="2">
        <f>V8/'Output-Calculation-sheet'!V7*'Output-Calculation-sheet'!V79</f>
        <v>112462668.00392543</v>
      </c>
      <c r="W96" s="2">
        <f>W8/'Output-Calculation-sheet'!W7*'Output-Calculation-sheet'!W79</f>
        <v>346262389.55685675</v>
      </c>
      <c r="X96" s="2">
        <f>X8/'Output-Calculation-sheet'!X7*'Output-Calculation-sheet'!X79</f>
        <v>156171156.63403884</v>
      </c>
      <c r="Y96" s="2">
        <f>Y8/'Output-Calculation-sheet'!Y7*'Output-Calculation-sheet'!Y79</f>
        <v>214920243.12895057</v>
      </c>
      <c r="AA96" s="2">
        <f t="shared" si="8"/>
        <v>38.175345601887265</v>
      </c>
    </row>
    <row r="97" spans="1:27" x14ac:dyDescent="0.25">
      <c r="A97" s="2">
        <v>2032</v>
      </c>
      <c r="B97" s="2">
        <f>B9/'Output-Calculation-sheet'!B8*'Output-Calculation-sheet'!B80</f>
        <v>13191445553.531656</v>
      </c>
      <c r="C97" s="2">
        <f>C9/'Output-Calculation-sheet'!C8*'Output-Calculation-sheet'!C80</f>
        <v>3115586092.2127924</v>
      </c>
      <c r="D97" s="2">
        <f>D9/'Output-Calculation-sheet'!D8*'Output-Calculation-sheet'!D80</f>
        <v>2379959032.919651</v>
      </c>
      <c r="E97" s="2">
        <f>E9/'Output-Calculation-sheet'!E8*'Output-Calculation-sheet'!E80</f>
        <v>10019289665.971443</v>
      </c>
      <c r="F97" s="2">
        <f>F9/'Output-Calculation-sheet'!F8*'Output-Calculation-sheet'!F80</f>
        <v>2747633127.8958836</v>
      </c>
      <c r="G97" s="2">
        <f>G9/'Output-Calculation-sheet'!G8*'Output-Calculation-sheet'!G80</f>
        <v>1683603150.2901385</v>
      </c>
      <c r="H97" s="2">
        <f>H9/'Output-Calculation-sheet'!H8*'Output-Calculation-sheet'!H80</f>
        <v>2204440661.0918374</v>
      </c>
      <c r="I97" s="2">
        <f>I9/'Output-Calculation-sheet'!I8*'Output-Calculation-sheet'!I80</f>
        <v>1269753072.0276468</v>
      </c>
      <c r="J97" s="2">
        <f>J9/'Output-Calculation-sheet'!J8*'Output-Calculation-sheet'!J80</f>
        <v>948855633.29496789</v>
      </c>
      <c r="K97" s="2">
        <f>K9/'Output-Calculation-sheet'!K8*'Output-Calculation-sheet'!K80</f>
        <v>1170261224.7708387</v>
      </c>
      <c r="L97" s="2">
        <f>L9/'Output-Calculation-sheet'!L8*'Output-Calculation-sheet'!L80</f>
        <v>1128798177.4904957</v>
      </c>
      <c r="M97" s="2">
        <f>M9/'Output-Calculation-sheet'!M8*'Output-Calculation-sheet'!M80</f>
        <v>1739154358.8392091</v>
      </c>
      <c r="N97" s="2">
        <f>N9/'Output-Calculation-sheet'!N8*'Output-Calculation-sheet'!N80</f>
        <v>1092719351.9182665</v>
      </c>
      <c r="O97" s="2">
        <f>O9/'Output-Calculation-sheet'!O8*'Output-Calculation-sheet'!O80</f>
        <v>406182868.39949203</v>
      </c>
      <c r="P97" s="2">
        <f>P9/'Output-Calculation-sheet'!P8*'Output-Calculation-sheet'!P80</f>
        <v>2048584623.7830031</v>
      </c>
      <c r="Q97" s="2">
        <f>Q9/'Output-Calculation-sheet'!Q8*'Output-Calculation-sheet'!Q80</f>
        <v>886083907.80869591</v>
      </c>
      <c r="R97" s="2">
        <f>R9/'Output-Calculation-sheet'!R8*'Output-Calculation-sheet'!R80</f>
        <v>1187359077.6249902</v>
      </c>
      <c r="S97" s="2">
        <f>S9/'Output-Calculation-sheet'!S8*'Output-Calculation-sheet'!S80</f>
        <v>660838264.07217979</v>
      </c>
      <c r="T97" s="2">
        <f>T9/'Output-Calculation-sheet'!T8*'Output-Calculation-sheet'!T80</f>
        <v>385330301.4456237</v>
      </c>
      <c r="U97" s="2">
        <f>U9/'Output-Calculation-sheet'!U8*'Output-Calculation-sheet'!U80</f>
        <v>306616192.78419155</v>
      </c>
      <c r="V97" s="2">
        <f>V9/'Output-Calculation-sheet'!V8*'Output-Calculation-sheet'!V80</f>
        <v>141429157.11331508</v>
      </c>
      <c r="W97" s="2">
        <f>W9/'Output-Calculation-sheet'!W8*'Output-Calculation-sheet'!W80</f>
        <v>437651116.47305512</v>
      </c>
      <c r="X97" s="2">
        <f>X9/'Output-Calculation-sheet'!X8*'Output-Calculation-sheet'!X80</f>
        <v>211967701.80842733</v>
      </c>
      <c r="Y97" s="2">
        <f>Y9/'Output-Calculation-sheet'!Y8*'Output-Calculation-sheet'!Y80</f>
        <v>278251384.57410538</v>
      </c>
      <c r="AA97" s="2">
        <f t="shared" si="8"/>
        <v>49.641793698141896</v>
      </c>
    </row>
    <row r="98" spans="1:27" x14ac:dyDescent="0.25">
      <c r="A98" s="2">
        <v>2033</v>
      </c>
      <c r="B98" s="2">
        <f>B10/'Output-Calculation-sheet'!B9*'Output-Calculation-sheet'!B81</f>
        <v>15983395157.106983</v>
      </c>
      <c r="C98" s="2">
        <f>C10/'Output-Calculation-sheet'!C9*'Output-Calculation-sheet'!C81</f>
        <v>3701133001.1692247</v>
      </c>
      <c r="D98" s="2">
        <f>D10/'Output-Calculation-sheet'!D9*'Output-Calculation-sheet'!D81</f>
        <v>2662571161.654068</v>
      </c>
      <c r="E98" s="2">
        <f>E10/'Output-Calculation-sheet'!E9*'Output-Calculation-sheet'!E81</f>
        <v>12568363792.329523</v>
      </c>
      <c r="F98" s="2">
        <f>F10/'Output-Calculation-sheet'!F9*'Output-Calculation-sheet'!F81</f>
        <v>3238247200.0461397</v>
      </c>
      <c r="G98" s="2">
        <f>G10/'Output-Calculation-sheet'!G9*'Output-Calculation-sheet'!G81</f>
        <v>1891854057.5817504</v>
      </c>
      <c r="H98" s="2">
        <f>H10/'Output-Calculation-sheet'!H9*'Output-Calculation-sheet'!H81</f>
        <v>2633753949.2784948</v>
      </c>
      <c r="I98" s="2">
        <f>I10/'Output-Calculation-sheet'!I9*'Output-Calculation-sheet'!I81</f>
        <v>1500952748.7024384</v>
      </c>
      <c r="J98" s="2">
        <f>J10/'Output-Calculation-sheet'!J9*'Output-Calculation-sheet'!J81</f>
        <v>1107240022.0515866</v>
      </c>
      <c r="K98" s="2">
        <f>K10/'Output-Calculation-sheet'!K9*'Output-Calculation-sheet'!K81</f>
        <v>1340813513.2456975</v>
      </c>
      <c r="L98" s="2">
        <f>L10/'Output-Calculation-sheet'!L9*'Output-Calculation-sheet'!L81</f>
        <v>1374202707.5815151</v>
      </c>
      <c r="M98" s="2">
        <f>M10/'Output-Calculation-sheet'!M9*'Output-Calculation-sheet'!M81</f>
        <v>2129527657.5806997</v>
      </c>
      <c r="N98" s="2">
        <f>N10/'Output-Calculation-sheet'!N9*'Output-Calculation-sheet'!N81</f>
        <v>1294144399.9249485</v>
      </c>
      <c r="O98" s="2">
        <f>O10/'Output-Calculation-sheet'!O9*'Output-Calculation-sheet'!O81</f>
        <v>477318660.71359527</v>
      </c>
      <c r="P98" s="2">
        <f>P10/'Output-Calculation-sheet'!P9*'Output-Calculation-sheet'!P81</f>
        <v>2367998417.8293295</v>
      </c>
      <c r="Q98" s="2">
        <f>Q10/'Output-Calculation-sheet'!Q9*'Output-Calculation-sheet'!Q81</f>
        <v>1052178379.7344385</v>
      </c>
      <c r="R98" s="2">
        <f>R10/'Output-Calculation-sheet'!R9*'Output-Calculation-sheet'!R81</f>
        <v>1420206700.6769402</v>
      </c>
      <c r="S98" s="2">
        <f>S10/'Output-Calculation-sheet'!S9*'Output-Calculation-sheet'!S81</f>
        <v>779975757.75517714</v>
      </c>
      <c r="T98" s="2">
        <f>T10/'Output-Calculation-sheet'!T9*'Output-Calculation-sheet'!T81</f>
        <v>439448582.32910192</v>
      </c>
      <c r="U98" s="2">
        <f>U10/'Output-Calculation-sheet'!U9*'Output-Calculation-sheet'!U81</f>
        <v>353110389.03241014</v>
      </c>
      <c r="V98" s="2">
        <f>V10/'Output-Calculation-sheet'!V9*'Output-Calculation-sheet'!V81</f>
        <v>164000728.73934031</v>
      </c>
      <c r="W98" s="2">
        <f>W10/'Output-Calculation-sheet'!W9*'Output-Calculation-sheet'!W81</f>
        <v>507172951.46358013</v>
      </c>
      <c r="X98" s="2">
        <f>X10/'Output-Calculation-sheet'!X9*'Output-Calculation-sheet'!X81</f>
        <v>265877364.17234793</v>
      </c>
      <c r="Y98" s="2">
        <f>Y10/'Output-Calculation-sheet'!Y9*'Output-Calculation-sheet'!Y81</f>
        <v>331011543.10705489</v>
      </c>
      <c r="AA98" s="2">
        <f t="shared" si="8"/>
        <v>59.584498843806379</v>
      </c>
    </row>
    <row r="99" spans="1:27" x14ac:dyDescent="0.25">
      <c r="A99" s="2">
        <v>2034</v>
      </c>
      <c r="B99" s="2">
        <f>B11/'Output-Calculation-sheet'!B10*'Output-Calculation-sheet'!B82</f>
        <v>18330293659.306259</v>
      </c>
      <c r="C99" s="2">
        <f>C11/'Output-Calculation-sheet'!C10*'Output-Calculation-sheet'!C82</f>
        <v>4172584335.7351627</v>
      </c>
      <c r="D99" s="2">
        <f>D11/'Output-Calculation-sheet'!D10*'Output-Calculation-sheet'!D82</f>
        <v>2830372544.3701348</v>
      </c>
      <c r="E99" s="2">
        <f>E11/'Output-Calculation-sheet'!E10*'Output-Calculation-sheet'!E82</f>
        <v>14938236512.609314</v>
      </c>
      <c r="F99" s="2">
        <f>F11/'Output-Calculation-sheet'!F10*'Output-Calculation-sheet'!F82</f>
        <v>3615892575.2534685</v>
      </c>
      <c r="G99" s="2">
        <f>G11/'Output-Calculation-sheet'!G10*'Output-Calculation-sheet'!G82</f>
        <v>2012466007.1943789</v>
      </c>
      <c r="H99" s="2">
        <f>H11/'Output-Calculation-sheet'!H10*'Output-Calculation-sheet'!H82</f>
        <v>2977929726.5328722</v>
      </c>
      <c r="I99" s="2">
        <f>I11/'Output-Calculation-sheet'!I10*'Output-Calculation-sheet'!I82</f>
        <v>1683884875.9728818</v>
      </c>
      <c r="J99" s="2">
        <f>J11/'Output-Calculation-sheet'!J10*'Output-Calculation-sheet'!J82</f>
        <v>1227540344.6460152</v>
      </c>
      <c r="K99" s="2">
        <f>K11/'Output-Calculation-sheet'!K10*'Output-Calculation-sheet'!K82</f>
        <v>1457527543.8886151</v>
      </c>
      <c r="L99" s="2">
        <f>L11/'Output-Calculation-sheet'!L10*'Output-Calculation-sheet'!L82</f>
        <v>1586649169.6689105</v>
      </c>
      <c r="M99" s="2">
        <f>M11/'Output-Calculation-sheet'!M10*'Output-Calculation-sheet'!M82</f>
        <v>2473351938.1112857</v>
      </c>
      <c r="N99" s="2">
        <f>N11/'Output-Calculation-sheet'!N10*'Output-Calculation-sheet'!N82</f>
        <v>1455246815.9423482</v>
      </c>
      <c r="O99" s="2">
        <f>O11/'Output-Calculation-sheet'!O10*'Output-Calculation-sheet'!O82</f>
        <v>533344599.14220119</v>
      </c>
      <c r="P99" s="2">
        <f>P11/'Output-Calculation-sheet'!P10*'Output-Calculation-sheet'!P82</f>
        <v>2578003147.6810498</v>
      </c>
      <c r="Q99" s="2">
        <f>Q11/'Output-Calculation-sheet'!Q10*'Output-Calculation-sheet'!Q82</f>
        <v>1185850999.0932631</v>
      </c>
      <c r="R99" s="2">
        <f>R11/'Output-Calculation-sheet'!R10*'Output-Calculation-sheet'!R82</f>
        <v>1608578878.6285079</v>
      </c>
      <c r="S99" s="2">
        <f>S11/'Output-Calculation-sheet'!S10*'Output-Calculation-sheet'!S82</f>
        <v>871712625.99924135</v>
      </c>
      <c r="T99" s="2">
        <f>T11/'Output-Calculation-sheet'!T10*'Output-Calculation-sheet'!T82</f>
        <v>474682019.10631514</v>
      </c>
      <c r="U99" s="2">
        <f>U11/'Output-Calculation-sheet'!U10*'Output-Calculation-sheet'!U82</f>
        <v>384699207.10075462</v>
      </c>
      <c r="V99" s="2">
        <f>V11/'Output-Calculation-sheet'!V10*'Output-Calculation-sheet'!V82</f>
        <v>180201080.27339149</v>
      </c>
      <c r="W99" s="2">
        <f>W11/'Output-Calculation-sheet'!W10*'Output-Calculation-sheet'!W82</f>
        <v>553937919.1454469</v>
      </c>
      <c r="X99" s="2">
        <f>X11/'Output-Calculation-sheet'!X10*'Output-Calculation-sheet'!X82</f>
        <v>316597023.62712228</v>
      </c>
      <c r="Y99" s="2">
        <f>Y11/'Output-Calculation-sheet'!Y10*'Output-Calculation-sheet'!Y82</f>
        <v>371804310.48205829</v>
      </c>
      <c r="AA99" s="2">
        <f t="shared" si="8"/>
        <v>67.821387859511006</v>
      </c>
    </row>
    <row r="100" spans="1:27" x14ac:dyDescent="0.25">
      <c r="A100" s="2">
        <v>2035</v>
      </c>
      <c r="B100" s="2">
        <f>B12/'Output-Calculation-sheet'!B11*'Output-Calculation-sheet'!B83</f>
        <v>20216327095.974335</v>
      </c>
      <c r="C100" s="2">
        <f>C12/'Output-Calculation-sheet'!C11*'Output-Calculation-sheet'!C83</f>
        <v>4536610826.5881872</v>
      </c>
      <c r="D100" s="2">
        <f>D12/'Output-Calculation-sheet'!D11*'Output-Calculation-sheet'!D83</f>
        <v>2906063407.9692969</v>
      </c>
      <c r="E100" s="2">
        <f>E12/'Output-Calculation-sheet'!E11*'Output-Calculation-sheet'!E83</f>
        <v>17089323930.99917</v>
      </c>
      <c r="F100" s="2">
        <f>F12/'Output-Calculation-sheet'!F11*'Output-Calculation-sheet'!F83</f>
        <v>3888026433.3839192</v>
      </c>
      <c r="G100" s="2">
        <f>G12/'Output-Calculation-sheet'!G11*'Output-Calculation-sheet'!G83</f>
        <v>2060530629.8574505</v>
      </c>
      <c r="H100" s="2">
        <f>H12/'Output-Calculation-sheet'!H11*'Output-Calculation-sheet'!H83</f>
        <v>3237930522.253571</v>
      </c>
      <c r="I100" s="2">
        <f>I12/'Output-Calculation-sheet'!I11*'Output-Calculation-sheet'!I83</f>
        <v>1822140093.9327004</v>
      </c>
      <c r="J100" s="2">
        <f>J12/'Output-Calculation-sheet'!J11*'Output-Calculation-sheet'!J83</f>
        <v>1313978156.1388357</v>
      </c>
      <c r="K100" s="2">
        <f>K12/'Output-Calculation-sheet'!K11*'Output-Calculation-sheet'!K83</f>
        <v>1528033798.8123925</v>
      </c>
      <c r="L100" s="2">
        <f>L12/'Output-Calculation-sheet'!L11*'Output-Calculation-sheet'!L83</f>
        <v>1765412779.1943324</v>
      </c>
      <c r="M100" s="2">
        <f>M12/'Output-Calculation-sheet'!M11*'Output-Calculation-sheet'!M83</f>
        <v>2768576196.1109476</v>
      </c>
      <c r="N100" s="2">
        <f>N12/'Output-Calculation-sheet'!N11*'Output-Calculation-sheet'!N83</f>
        <v>1578982989.3534043</v>
      </c>
      <c r="O100" s="2">
        <f>O12/'Output-Calculation-sheet'!O11*'Output-Calculation-sheet'!O83</f>
        <v>575805454.788131</v>
      </c>
      <c r="P100" s="2">
        <f>P12/'Output-Calculation-sheet'!P11*'Output-Calculation-sheet'!P83</f>
        <v>2688177117.7897797</v>
      </c>
      <c r="Q100" s="2">
        <f>Q12/'Output-Calculation-sheet'!Q11*'Output-Calculation-sheet'!Q83</f>
        <v>1288980735.8648837</v>
      </c>
      <c r="R100" s="2">
        <f>R12/'Output-Calculation-sheet'!R11*'Output-Calculation-sheet'!R83</f>
        <v>1753109725.7816176</v>
      </c>
      <c r="S100" s="2">
        <f>S12/'Output-Calculation-sheet'!S11*'Output-Calculation-sheet'!S83</f>
        <v>937472510.22756886</v>
      </c>
      <c r="T100" s="2">
        <f>T12/'Output-Calculation-sheet'!T11*'Output-Calculation-sheet'!T83</f>
        <v>493767687.95165867</v>
      </c>
      <c r="U100" s="2">
        <f>U12/'Output-Calculation-sheet'!U11*'Output-Calculation-sheet'!U83</f>
        <v>403091476.63849485</v>
      </c>
      <c r="V100" s="2">
        <f>V12/'Output-Calculation-sheet'!V11*'Output-Calculation-sheet'!V83</f>
        <v>190689602.77078795</v>
      </c>
      <c r="W100" s="2">
        <f>W12/'Output-Calculation-sheet'!W11*'Output-Calculation-sheet'!W83</f>
        <v>579829175.02098405</v>
      </c>
      <c r="X100" s="2">
        <f>X12/'Output-Calculation-sheet'!X11*'Output-Calculation-sheet'!X83</f>
        <v>363616633.60322189</v>
      </c>
      <c r="Y100" s="2">
        <f>Y12/'Output-Calculation-sheet'!Y11*'Output-Calculation-sheet'!Y83</f>
        <v>400816150.09661895</v>
      </c>
      <c r="AA100" s="2">
        <f t="shared" si="8"/>
        <v>74.387293131102282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1661.5732490420758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403.49690308148547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38.609714768585128</v>
      </c>
      <c r="Y107" s="2">
        <f>Y8/'Output-Calculation-sheet'!Y7*'Output-Calculation-sheet'!Y88</f>
        <v>0</v>
      </c>
      <c r="AA107" s="2">
        <f t="shared" si="9"/>
        <v>2.1036798668921466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3335.798290292948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648.05293667971614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55.366726593948847</v>
      </c>
      <c r="Y108" s="2">
        <f>Y9/'Output-Calculation-sheet'!Y8*'Output-Calculation-sheet'!Y89</f>
        <v>0</v>
      </c>
      <c r="AA108" s="2">
        <f t="shared" si="9"/>
        <v>4.0392179535666131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922.2651492727465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5.7308322349473322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1332.1313668070959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7.7239704842075874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5498.3865367012449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198.74577060465251</v>
      </c>
      <c r="Y111" s="2">
        <f>Y12/'Output-Calculation-sheet'!Y11*'Output-Calculation-sheet'!Y92</f>
        <v>0</v>
      </c>
      <c r="AA111" s="2">
        <f t="shared" si="9"/>
        <v>7.4774385648706767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13752253758.022087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8558392379.5784588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5904565815.5923939</v>
      </c>
      <c r="N118" s="2">
        <f>N8/'Output-Calculation-sheet'!N7*'Output-Calculation-sheet'!N97</f>
        <v>1980352647.0280638</v>
      </c>
      <c r="O118" s="2">
        <f>O8/'Output-Calculation-sheet'!O7*'Output-Calculation-sheet'!O97</f>
        <v>1898699219.3158545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592717620.61633122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321505978.07099432</v>
      </c>
      <c r="Y118" s="2">
        <f>Y8/'Output-Calculation-sheet'!Y7*'Output-Calculation-sheet'!Y97</f>
        <v>0</v>
      </c>
      <c r="AA118" s="2">
        <f t="shared" si="10"/>
        <v>34674.061284581738</v>
      </c>
    </row>
    <row r="119" spans="1:27" x14ac:dyDescent="0.25">
      <c r="A119" s="2">
        <v>2032</v>
      </c>
      <c r="B119" s="2">
        <f>B9/'Output-Calculation-sheet'!B8*'Output-Calculation-sheet'!B98</f>
        <v>7847119124.223052</v>
      </c>
      <c r="C119" s="2">
        <f>C9/'Output-Calculation-sheet'!C8*'Output-Calculation-sheet'!C98</f>
        <v>11577961734.556974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12272887140.420753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8467219679.1007385</v>
      </c>
      <c r="N119" s="2">
        <f>N9/'Output-Calculation-sheet'!N8*'Output-Calculation-sheet'!N98</f>
        <v>3984525621.0470166</v>
      </c>
      <c r="O119" s="2">
        <f>O9/'Output-Calculation-sheet'!O8*'Output-Calculation-sheet'!O98</f>
        <v>2232863387.5185676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1193714754.3941829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465681196.42029476</v>
      </c>
      <c r="Y119" s="2">
        <f>Y9/'Output-Calculation-sheet'!Y8*'Output-Calculation-sheet'!Y98</f>
        <v>0</v>
      </c>
      <c r="AA119" s="2">
        <f t="shared" si="10"/>
        <v>48041.972637681582</v>
      </c>
    </row>
    <row r="120" spans="1:27" x14ac:dyDescent="0.25">
      <c r="A120" s="2">
        <v>2033</v>
      </c>
      <c r="B120" s="2">
        <f>B10/'Output-Calculation-sheet'!B9*'Output-Calculation-sheet'!B99</f>
        <v>21961847487.964619</v>
      </c>
      <c r="C120" s="2">
        <f>C10/'Output-Calculation-sheet'!C9*'Output-Calculation-sheet'!C99</f>
        <v>12733041146.484554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6593716975.923193</v>
      </c>
      <c r="O120" s="2">
        <f>O10/'Output-Calculation-sheet'!O9*'Output-Calculation-sheet'!O99</f>
        <v>2444011961.3823667</v>
      </c>
      <c r="P120" s="2">
        <f>P10/'Output-Calculation-sheet'!P9*'Output-Calculation-sheet'!P99</f>
        <v>0</v>
      </c>
      <c r="Q120" s="2">
        <f>Q10/'Output-Calculation-sheet'!Q9*'Output-Calculation-sheet'!Q99</f>
        <v>212450843.20623526</v>
      </c>
      <c r="R120" s="2">
        <f>R10/'Output-Calculation-sheet'!R9*'Output-Calculation-sheet'!R99</f>
        <v>0</v>
      </c>
      <c r="S120" s="2">
        <f>S10/'Output-Calculation-sheet'!S9*'Output-Calculation-sheet'!S99</f>
        <v>2659736286.8887186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723316283.36410081</v>
      </c>
      <c r="Y120" s="2">
        <f>Y10/'Output-Calculation-sheet'!Y9*'Output-Calculation-sheet'!Y99</f>
        <v>0</v>
      </c>
      <c r="AA120" s="2">
        <f t="shared" si="10"/>
        <v>74877.138234120051</v>
      </c>
    </row>
    <row r="121" spans="1:27" x14ac:dyDescent="0.25">
      <c r="A121" s="2">
        <v>2034</v>
      </c>
      <c r="B121" s="2">
        <f>B11/'Output-Calculation-sheet'!B10*'Output-Calculation-sheet'!B100</f>
        <v>53015365651.770187</v>
      </c>
      <c r="C121" s="2">
        <f>C11/'Output-Calculation-sheet'!C10*'Output-Calculation-sheet'!C100</f>
        <v>13666107451.681511</v>
      </c>
      <c r="D121" s="2">
        <f>D11/'Output-Calculation-sheet'!D10*'Output-Calculation-sheet'!D100</f>
        <v>0</v>
      </c>
      <c r="E121" s="2">
        <f>E11/'Output-Calculation-sheet'!E10*'Output-Calculation-sheet'!E100</f>
        <v>1123385866.912714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20139244071.320911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941812443.36547673</v>
      </c>
      <c r="M121" s="2">
        <f>M11/'Output-Calculation-sheet'!M10*'Output-Calculation-sheet'!M100</f>
        <v>14214923669.969185</v>
      </c>
      <c r="N121" s="2">
        <f>N11/'Output-Calculation-sheet'!N10*'Output-Calculation-sheet'!N100</f>
        <v>9818509522.9088364</v>
      </c>
      <c r="O121" s="2">
        <f>O11/'Output-Calculation-sheet'!O10*'Output-Calculation-sheet'!O100</f>
        <v>1459383071.4512823</v>
      </c>
      <c r="P121" s="2">
        <f>P11/'Output-Calculation-sheet'!P10*'Output-Calculation-sheet'!P100</f>
        <v>0</v>
      </c>
      <c r="Q121" s="2">
        <f>Q11/'Output-Calculation-sheet'!Q10*'Output-Calculation-sheet'!Q100</f>
        <v>1648630377.6153436</v>
      </c>
      <c r="R121" s="2">
        <f>R11/'Output-Calculation-sheet'!R10*'Output-Calculation-sheet'!R100</f>
        <v>0</v>
      </c>
      <c r="S121" s="2">
        <f>S11/'Output-Calculation-sheet'!S10*'Output-Calculation-sheet'!S100</f>
        <v>4539071885.6545229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61462499.482898071</v>
      </c>
      <c r="AA121" s="2">
        <f t="shared" si="10"/>
        <v>121308.89010217367</v>
      </c>
    </row>
    <row r="122" spans="1:27" x14ac:dyDescent="0.25">
      <c r="A122" s="2">
        <v>2035</v>
      </c>
      <c r="B122" s="2">
        <f>B12/'Output-Calculation-sheet'!B11*'Output-Calculation-sheet'!B101</f>
        <v>61160181000.324379</v>
      </c>
      <c r="C122" s="2">
        <f>C12/'Output-Calculation-sheet'!C11*'Output-Calculation-sheet'!C101</f>
        <v>25433473232.056232</v>
      </c>
      <c r="D122" s="2">
        <f>D12/'Output-Calculation-sheet'!D11*'Output-Calculation-sheet'!D101</f>
        <v>0</v>
      </c>
      <c r="E122" s="2">
        <f>E12/'Output-Calculation-sheet'!E11*'Output-Calculation-sheet'!E101</f>
        <v>4981982179.8285074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22050645273.633003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2524093769.0564866</v>
      </c>
      <c r="M122" s="2">
        <f>M12/'Output-Calculation-sheet'!M11*'Output-Calculation-sheet'!M101</f>
        <v>15775952093.92918</v>
      </c>
      <c r="N122" s="2">
        <f>N12/'Output-Calculation-sheet'!N11*'Output-Calculation-sheet'!N101</f>
        <v>11203315512.994986</v>
      </c>
      <c r="O122" s="2">
        <f>O12/'Output-Calculation-sheet'!O11*'Output-Calculation-sheet'!O101</f>
        <v>72228735.813079193</v>
      </c>
      <c r="P122" s="2">
        <f>P12/'Output-Calculation-sheet'!P11*'Output-Calculation-sheet'!P101</f>
        <v>478756830.83038008</v>
      </c>
      <c r="Q122" s="2">
        <f>Q12/'Output-Calculation-sheet'!Q11*'Output-Calculation-sheet'!Q101</f>
        <v>2156495468.5035954</v>
      </c>
      <c r="R122" s="2">
        <f>R12/'Output-Calculation-sheet'!R11*'Output-Calculation-sheet'!R101</f>
        <v>0</v>
      </c>
      <c r="S122" s="2">
        <f>S12/'Output-Calculation-sheet'!S11*'Output-Calculation-sheet'!S101</f>
        <v>5317166785.6212254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193032474.97824475</v>
      </c>
      <c r="Y122" s="2">
        <f>Y12/'Output-Calculation-sheet'!Y11*'Output-Calculation-sheet'!Y101</f>
        <v>113859634.75465958</v>
      </c>
      <c r="AA122" s="2">
        <f t="shared" si="10"/>
        <v>151461.18299232397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3815953031.0047636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2726807074.6698537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179700.05096521587</v>
      </c>
    </row>
    <row r="130" spans="1:27" x14ac:dyDescent="0.25">
      <c r="A130" s="2">
        <v>2032</v>
      </c>
      <c r="B130" s="2">
        <f>B9/'Output-Calculation-sheet'!B8*'Output-Calculation-sheet'!B107</f>
        <v>75641807746.522461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4326748744.9330692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3566263698.9740772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250743.61643364956</v>
      </c>
    </row>
    <row r="131" spans="1:27" x14ac:dyDescent="0.25">
      <c r="A131" s="2">
        <v>2033</v>
      </c>
      <c r="B131" s="2">
        <f>B10/'Output-Calculation-sheet'!B9*'Output-Calculation-sheet'!B108</f>
        <v>88926185845.337997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4445140796.0333929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9675732920.4043598</v>
      </c>
      <c r="R131" s="2">
        <f>R10/'Output-Calculation-sheet'!R9*'Output-Calculation-sheet'!R108</f>
        <v>9512548686.6867847</v>
      </c>
      <c r="S131" s="2">
        <f>S10/'Output-Calculation-sheet'!S9*'Output-Calculation-sheet'!S108</f>
        <v>3662312175.9058685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318916.99046282563</v>
      </c>
    </row>
    <row r="132" spans="1:27" x14ac:dyDescent="0.25">
      <c r="A132" s="2">
        <v>2034</v>
      </c>
      <c r="B132" s="2">
        <f>B11/'Output-Calculation-sheet'!B10*'Output-Calculation-sheet'!B109</f>
        <v>85980220934.161514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45579491902.205635</v>
      </c>
      <c r="F132" s="2">
        <f>F11/'Output-Calculation-sheet'!F10*'Output-Calculation-sheet'!F109</f>
        <v>30065798125.534504</v>
      </c>
      <c r="G132" s="2">
        <f>G11/'Output-Calculation-sheet'!G10*'Output-Calculation-sheet'!G109</f>
        <v>21065938543.507954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18732633509.99873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13941682913.280771</v>
      </c>
      <c r="M132" s="2">
        <f>M11/'Output-Calculation-sheet'!M10*'Output-Calculation-sheet'!M109</f>
        <v>7.6857472569828633E-9</v>
      </c>
      <c r="N132" s="2">
        <f>N11/'Output-Calculation-sheet'!N10*'Output-Calculation-sheet'!N109</f>
        <v>4133372179.1160359</v>
      </c>
      <c r="O132" s="2">
        <f>O11/'Output-Calculation-sheet'!O10*'Output-Calculation-sheet'!O109</f>
        <v>0</v>
      </c>
      <c r="P132" s="2">
        <f>P11/'Output-Calculation-sheet'!P10*'Output-Calculation-sheet'!P109</f>
        <v>12701464107.022665</v>
      </c>
      <c r="Q132" s="2">
        <f>Q11/'Output-Calculation-sheet'!Q10*'Output-Calculation-sheet'!Q109</f>
        <v>10451953695.472338</v>
      </c>
      <c r="R132" s="2">
        <f>R11/'Output-Calculation-sheet'!R10*'Output-Calculation-sheet'!R109</f>
        <v>12022014805.572371</v>
      </c>
      <c r="S132" s="2">
        <f>S11/'Output-Calculation-sheet'!S10*'Output-Calculation-sheet'!S109</f>
        <v>3304560262.196702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3724285182.5589242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1435870343.3862336</v>
      </c>
      <c r="AA132" s="2">
        <f t="shared" si="11"/>
        <v>369754.92752007482</v>
      </c>
    </row>
    <row r="133" spans="1:27" x14ac:dyDescent="0.25">
      <c r="A133" s="2">
        <v>2035</v>
      </c>
      <c r="B133" s="2">
        <f>B12/'Output-Calculation-sheet'!B11*'Output-Calculation-sheet'!B110</f>
        <v>90731630001.233414</v>
      </c>
      <c r="C133" s="2">
        <f>C12/'Output-Calculation-sheet'!C11*'Output-Calculation-sheet'!C110</f>
        <v>0</v>
      </c>
      <c r="D133" s="2">
        <f>D12/'Output-Calculation-sheet'!D11*'Output-Calculation-sheet'!D110</f>
        <v>63667183558.062851</v>
      </c>
      <c r="E133" s="2">
        <f>E12/'Output-Calculation-sheet'!E11*'Output-Calculation-sheet'!E110</f>
        <v>49393117939.477356</v>
      </c>
      <c r="F133" s="2">
        <f>F12/'Output-Calculation-sheet'!F11*'Output-Calculation-sheet'!F110</f>
        <v>33702853405.77248</v>
      </c>
      <c r="G133" s="2">
        <f>G12/'Output-Calculation-sheet'!G11*'Output-Calculation-sheet'!G110</f>
        <v>22821764232.124531</v>
      </c>
      <c r="H133" s="2">
        <f>H12/'Output-Calculation-sheet'!H11*'Output-Calculation-sheet'!H110</f>
        <v>0</v>
      </c>
      <c r="I133" s="2">
        <f>I12/'Output-Calculation-sheet'!I11*'Output-Calculation-sheet'!I110</f>
        <v>20933372471.636631</v>
      </c>
      <c r="J133" s="2">
        <f>J12/'Output-Calculation-sheet'!J11*'Output-Calculation-sheet'!J110</f>
        <v>20956743152.106415</v>
      </c>
      <c r="K133" s="2">
        <f>K12/'Output-Calculation-sheet'!K11*'Output-Calculation-sheet'!K110</f>
        <v>20563417007.500027</v>
      </c>
      <c r="L133" s="2">
        <f>L12/'Output-Calculation-sheet'!L11*'Output-Calculation-sheet'!L110</f>
        <v>14781411627.657787</v>
      </c>
      <c r="M133" s="2">
        <f>M12/'Output-Calculation-sheet'!M11*'Output-Calculation-sheet'!M110</f>
        <v>0</v>
      </c>
      <c r="N133" s="2">
        <f>N12/'Output-Calculation-sheet'!N11*'Output-Calculation-sheet'!N110</f>
        <v>4295585478.6514578</v>
      </c>
      <c r="O133" s="2">
        <f>O12/'Output-Calculation-sheet'!O11*'Output-Calculation-sheet'!O110</f>
        <v>0</v>
      </c>
      <c r="P133" s="2">
        <f>P12/'Output-Calculation-sheet'!P11*'Output-Calculation-sheet'!P110</f>
        <v>13843818948.540907</v>
      </c>
      <c r="Q133" s="2">
        <f>Q12/'Output-Calculation-sheet'!Q11*'Output-Calculation-sheet'!Q110</f>
        <v>11058401855.522152</v>
      </c>
      <c r="R133" s="2">
        <f>R12/'Output-Calculation-sheet'!R11*'Output-Calculation-sheet'!R110</f>
        <v>13688069310.603508</v>
      </c>
      <c r="S133" s="2">
        <f>S12/'Output-Calculation-sheet'!S11*'Output-Calculation-sheet'!S110</f>
        <v>3299178809.3759503</v>
      </c>
      <c r="T133" s="2">
        <f>T12/'Output-Calculation-sheet'!T11*'Output-Calculation-sheet'!T110</f>
        <v>5115815958.4736338</v>
      </c>
      <c r="U133" s="2">
        <f>U12/'Output-Calculation-sheet'!U11*'Output-Calculation-sheet'!U110</f>
        <v>4041977624.9923229</v>
      </c>
      <c r="V133" s="2">
        <f>V12/'Output-Calculation-sheet'!V11*'Output-Calculation-sheet'!V110</f>
        <v>3519920703.276989</v>
      </c>
      <c r="W133" s="2">
        <f>W12/'Output-Calculation-sheet'!W11*'Output-Calculation-sheet'!W110</f>
        <v>2964189155.4746099</v>
      </c>
      <c r="X133" s="2">
        <f>X12/'Output-Calculation-sheet'!X11*'Output-Calculation-sheet'!X110</f>
        <v>1383440.7253705179</v>
      </c>
      <c r="Y133" s="2">
        <f>Y12/'Output-Calculation-sheet'!Y11*'Output-Calculation-sheet'!Y110</f>
        <v>1561279266.1640122</v>
      </c>
      <c r="AA133" s="2">
        <f t="shared" si="11"/>
        <v>400941.1139473723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13683400967.83532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3432215924.5965948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318081873.00961804</v>
      </c>
      <c r="Y140" s="2">
        <f>Y8/'Output-Calculation-sheet'!Y7*'Output-Calculation-sheet'!Y115</f>
        <v>0</v>
      </c>
      <c r="AA140" s="2">
        <f t="shared" si="12"/>
        <v>17433.698765441532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27766132861.331059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5411668846.4936657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451438429.57578021</v>
      </c>
      <c r="Y141" s="2">
        <f>Y9/'Output-Calculation-sheet'!Y8*'Output-Calculation-sheet'!Y116</f>
        <v>0</v>
      </c>
      <c r="AA141" s="2">
        <f t="shared" si="12"/>
        <v>33629.240137400498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39524848378.864845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7709680173.2503185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494792297.01673645</v>
      </c>
      <c r="Y142" s="2">
        <f>Y10/'Output-Calculation-sheet'!Y9*'Output-Calculation-sheet'!Y117</f>
        <v>0</v>
      </c>
      <c r="AA142" s="2">
        <f t="shared" si="12"/>
        <v>47729.320849131902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52379805328.445259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11373694358.780582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64612.073580380813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45193404976.207443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15580993743.695078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1674898455.3080251</v>
      </c>
      <c r="Y144" s="2">
        <f>Y12/'Output-Calculation-sheet'!Y11*'Output-Calculation-sheet'!Y119</f>
        <v>0</v>
      </c>
      <c r="AA144" s="2">
        <f t="shared" si="12"/>
        <v>62449.297175210544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21386481397.79615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3083536578.3763661</v>
      </c>
      <c r="H154" s="2">
        <f>H11/'Output-Calculation-sheet'!H10*'Output-Calculation-sheet'!H127</f>
        <v>3509956136.7274289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2234884214.3172221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1311002347.0440562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694434682.13123119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82480.161379122947</v>
      </c>
    </row>
    <row r="155" spans="1:27" x14ac:dyDescent="0.25">
      <c r="A155" s="2">
        <v>2035</v>
      </c>
      <c r="B155" s="2">
        <f>B12/'Output-Calculation-sheet'!B11*'Output-Calculation-sheet'!B128</f>
        <v>22660155936.914688</v>
      </c>
      <c r="C155" s="2">
        <f>C12/'Output-Calculation-sheet'!C11*'Output-Calculation-sheet'!C128</f>
        <v>10824926675.136383</v>
      </c>
      <c r="D155" s="2">
        <f>D12/'Output-Calculation-sheet'!D11*'Output-Calculation-sheet'!D128</f>
        <v>8696926062.4662457</v>
      </c>
      <c r="E155" s="2">
        <f>E12/'Output-Calculation-sheet'!E11*'Output-Calculation-sheet'!E128</f>
        <v>4276621872.0241513</v>
      </c>
      <c r="F155" s="2">
        <f>F12/'Output-Calculation-sheet'!F11*'Output-Calculation-sheet'!F128</f>
        <v>3492180960.1307507</v>
      </c>
      <c r="G155" s="2">
        <f>G12/'Output-Calculation-sheet'!G11*'Output-Calculation-sheet'!G128</f>
        <v>3319749101.1059794</v>
      </c>
      <c r="H155" s="2">
        <f>H12/'Output-Calculation-sheet'!H11*'Output-Calculation-sheet'!H128</f>
        <v>3718240499.8841324</v>
      </c>
      <c r="I155" s="2">
        <f>I12/'Output-Calculation-sheet'!I11*'Output-Calculation-sheet'!I128</f>
        <v>2857372709.3735418</v>
      </c>
      <c r="J155" s="2">
        <f>J12/'Output-Calculation-sheet'!J11*'Output-Calculation-sheet'!J128</f>
        <v>2080127280.3728762</v>
      </c>
      <c r="K155" s="2">
        <f>K12/'Output-Calculation-sheet'!K11*'Output-Calculation-sheet'!K128</f>
        <v>2299040663.8930421</v>
      </c>
      <c r="L155" s="2">
        <f>L12/'Output-Calculation-sheet'!L11*'Output-Calculation-sheet'!L128</f>
        <v>1000900503.9803935</v>
      </c>
      <c r="M155" s="2">
        <f>M12/'Output-Calculation-sheet'!M11*'Output-Calculation-sheet'!M128</f>
        <v>1985727662.1463344</v>
      </c>
      <c r="N155" s="2">
        <f>N12/'Output-Calculation-sheet'!N11*'Output-Calculation-sheet'!N128</f>
        <v>1749886148.6481135</v>
      </c>
      <c r="O155" s="2">
        <f>O12/'Output-Calculation-sheet'!O11*'Output-Calculation-sheet'!O128</f>
        <v>28678313.825970866</v>
      </c>
      <c r="P155" s="2">
        <f>P12/'Output-Calculation-sheet'!P11*'Output-Calculation-sheet'!P128</f>
        <v>1524600817.9385965</v>
      </c>
      <c r="Q155" s="2">
        <f>Q12/'Output-Calculation-sheet'!Q11*'Output-Calculation-sheet'!Q128</f>
        <v>2295493914.4472651</v>
      </c>
      <c r="R155" s="2">
        <f>R12/'Output-Calculation-sheet'!R11*'Output-Calculation-sheet'!R128</f>
        <v>1175238094.3848622</v>
      </c>
      <c r="S155" s="2">
        <f>S12/'Output-Calculation-sheet'!S11*'Output-Calculation-sheet'!S128</f>
        <v>1301784692.0657058</v>
      </c>
      <c r="T155" s="2">
        <f>T12/'Output-Calculation-sheet'!T11*'Output-Calculation-sheet'!T128</f>
        <v>320172799.88018054</v>
      </c>
      <c r="U155" s="2">
        <f>U12/'Output-Calculation-sheet'!U11*'Output-Calculation-sheet'!U128</f>
        <v>742018650.39896941</v>
      </c>
      <c r="V155" s="2">
        <f>V12/'Output-Calculation-sheet'!V11*'Output-Calculation-sheet'!V128</f>
        <v>110709919.19676696</v>
      </c>
      <c r="W155" s="2">
        <f>W12/'Output-Calculation-sheet'!W11*'Output-Calculation-sheet'!W128</f>
        <v>223202370.21531025</v>
      </c>
      <c r="X155" s="2">
        <f>X12/'Output-Calculation-sheet'!X11*'Output-Calculation-sheet'!X128</f>
        <v>15782744.563134125</v>
      </c>
      <c r="Y155" s="2">
        <f>Y12/'Output-Calculation-sheet'!Y11*'Output-Calculation-sheet'!Y128</f>
        <v>212017540.18726507</v>
      </c>
      <c r="AA155" s="2">
        <f t="shared" si="13"/>
        <v>76911.555933180702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8975.7055251805177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5655.9945442611252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3926.0466882897913</v>
      </c>
      <c r="N19" s="2">
        <f>N8/'Output-Calculation-sheet'!N7*'Output-Calculation-sheet'!N25</f>
        <v>1341.2426676254015</v>
      </c>
      <c r="O19" s="2">
        <f>O8/'Output-Calculation-sheet'!O7*'Output-Calculation-sheet'!O25</f>
        <v>1158.4927037547336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207.27000898456924</v>
      </c>
      <c r="Y19" s="2">
        <f>Y8/'Output-Calculation-sheet'!Y7*'Output-Calculation-sheet'!Y25</f>
        <v>0</v>
      </c>
      <c r="AA19" s="2">
        <f t="shared" si="0"/>
        <v>23.003068274296265</v>
      </c>
    </row>
    <row r="20" spans="1:27" x14ac:dyDescent="0.25">
      <c r="A20" s="2">
        <v>2032</v>
      </c>
      <c r="B20" s="2">
        <f>B9/'Output-Calculation-sheet'!B8*'Output-Calculation-sheet'!B26</f>
        <v>6935.9548805732147</v>
      </c>
      <c r="C20" s="2">
        <f>C9/'Output-Calculation-sheet'!C8*'Output-Calculation-sheet'!C26</f>
        <v>6694.8501032173372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7543.480270241851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5243.5353192891807</v>
      </c>
      <c r="N20" s="2">
        <f>N9/'Output-Calculation-sheet'!N8*'Output-Calculation-sheet'!N26</f>
        <v>2360.9789705149642</v>
      </c>
      <c r="O20" s="2">
        <f>O9/'Output-Calculation-sheet'!O8*'Output-Calculation-sheet'!O26</f>
        <v>1288.0186523683301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858.26847230977148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280.16612491105269</v>
      </c>
      <c r="Y20" s="2">
        <f>Y9/'Output-Calculation-sheet'!Y8*'Output-Calculation-sheet'!Y26</f>
        <v>0</v>
      </c>
      <c r="AA20" s="2">
        <f t="shared" si="0"/>
        <v>31.205252793425696</v>
      </c>
    </row>
    <row r="21" spans="1:27" x14ac:dyDescent="0.25">
      <c r="A21" s="2">
        <v>2033</v>
      </c>
      <c r="B21" s="2">
        <f>B10/'Output-Calculation-sheet'!B9*'Output-Calculation-sheet'!B27</f>
        <v>15301.453953440063</v>
      </c>
      <c r="C21" s="2">
        <f>C10/'Output-Calculation-sheet'!C9*'Output-Calculation-sheet'!C27</f>
        <v>6358.0170201206347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8889.6881423134819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6177.0697084336098</v>
      </c>
      <c r="N21" s="2">
        <f>N10/'Output-Calculation-sheet'!N9*'Output-Calculation-sheet'!N27</f>
        <v>3373.6455830343298</v>
      </c>
      <c r="O21" s="2">
        <f>O10/'Output-Calculation-sheet'!O9*'Output-Calculation-sheet'!O27</f>
        <v>1222.7191566970339</v>
      </c>
      <c r="P21" s="2">
        <f>P10/'Output-Calculation-sheet'!P9*'Output-Calculation-sheet'!P27</f>
        <v>0</v>
      </c>
      <c r="Q21" s="2">
        <f>Q10/'Output-Calculation-sheet'!Q9*'Output-Calculation-sheet'!Q27</f>
        <v>226.10774198665905</v>
      </c>
      <c r="R21" s="2">
        <f>R10/'Output-Calculation-sheet'!R9*'Output-Calculation-sheet'!R27</f>
        <v>0</v>
      </c>
      <c r="S21" s="2">
        <f>S10/'Output-Calculation-sheet'!S9*'Output-Calculation-sheet'!S27</f>
        <v>1468.6063871361116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391.42839135584825</v>
      </c>
      <c r="Y21" s="2">
        <f>Y10/'Output-Calculation-sheet'!Y9*'Output-Calculation-sheet'!Y27</f>
        <v>0</v>
      </c>
      <c r="AA21" s="2">
        <f t="shared" si="0"/>
        <v>43.408736084517777</v>
      </c>
    </row>
    <row r="22" spans="1:27" x14ac:dyDescent="0.25">
      <c r="A22" s="2">
        <v>2034</v>
      </c>
      <c r="B22" s="2">
        <f>B11/'Output-Calculation-sheet'!B10*'Output-Calculation-sheet'!B28</f>
        <v>25772.850696576752</v>
      </c>
      <c r="C22" s="2">
        <f>C11/'Output-Calculation-sheet'!C10*'Output-Calculation-sheet'!C28</f>
        <v>5610.6036587255767</v>
      </c>
      <c r="D22" s="2">
        <f>D11/'Output-Calculation-sheet'!D10*'Output-Calculation-sheet'!D28</f>
        <v>0</v>
      </c>
      <c r="E22" s="2">
        <f>E11/'Output-Calculation-sheet'!E10*'Output-Calculation-sheet'!E28</f>
        <v>1324.2037385355793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9843.2813428664867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803.08043398409109</v>
      </c>
      <c r="M22" s="2">
        <f>M11/'Output-Calculation-sheet'!M10*'Output-Calculation-sheet'!M28</f>
        <v>7303.165232666699</v>
      </c>
      <c r="N22" s="2">
        <f>N11/'Output-Calculation-sheet'!N10*'Output-Calculation-sheet'!N28</f>
        <v>4205.3817636790518</v>
      </c>
      <c r="O22" s="2">
        <f>O11/'Output-Calculation-sheet'!O10*'Output-Calculation-sheet'!O28</f>
        <v>596.76910243139923</v>
      </c>
      <c r="P22" s="2">
        <f>P11/'Output-Calculation-sheet'!P10*'Output-Calculation-sheet'!P28</f>
        <v>0</v>
      </c>
      <c r="Q22" s="2">
        <f>Q11/'Output-Calculation-sheet'!Q10*'Output-Calculation-sheet'!Q28</f>
        <v>1213.7373484062446</v>
      </c>
      <c r="R22" s="2">
        <f>R11/'Output-Calculation-sheet'!R10*'Output-Calculation-sheet'!R28</f>
        <v>0</v>
      </c>
      <c r="S22" s="2">
        <f>S11/'Output-Calculation-sheet'!S10*'Output-Calculation-sheet'!S28</f>
        <v>2006.0238612154876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73.100776147994608</v>
      </c>
      <c r="AA22" s="2">
        <f t="shared" si="0"/>
        <v>59.051245818116982</v>
      </c>
    </row>
    <row r="23" spans="1:27" x14ac:dyDescent="0.25">
      <c r="A23" s="2">
        <v>2035</v>
      </c>
      <c r="B23" s="2">
        <f>B12/'Output-Calculation-sheet'!B11*'Output-Calculation-sheet'!B29</f>
        <v>22431.6893547047</v>
      </c>
      <c r="C23" s="2">
        <f>C12/'Output-Calculation-sheet'!C11*'Output-Calculation-sheet'!C29</f>
        <v>8435.3217910707117</v>
      </c>
      <c r="D23" s="2">
        <f>D12/'Output-Calculation-sheet'!D11*'Output-Calculation-sheet'!D29</f>
        <v>0</v>
      </c>
      <c r="E23" s="2">
        <f>E12/'Output-Calculation-sheet'!E11*'Output-Calculation-sheet'!E29</f>
        <v>3806.2625286061461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8185.9664854109524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1368.1686672328667</v>
      </c>
      <c r="M23" s="2">
        <f>M12/'Output-Calculation-sheet'!M11*'Output-Calculation-sheet'!M29</f>
        <v>6290.671961969264</v>
      </c>
      <c r="N23" s="2">
        <f>N12/'Output-Calculation-sheet'!N11*'Output-Calculation-sheet'!N29</f>
        <v>3742.6011427664912</v>
      </c>
      <c r="O23" s="2">
        <f>O12/'Output-Calculation-sheet'!O11*'Output-Calculation-sheet'!O29</f>
        <v>22.921806787501435</v>
      </c>
      <c r="P23" s="2">
        <f>P12/'Output-Calculation-sheet'!P11*'Output-Calculation-sheet'!P29</f>
        <v>424.24554627176497</v>
      </c>
      <c r="Q23" s="2">
        <f>Q12/'Output-Calculation-sheet'!Q11*'Output-Calculation-sheet'!Q29</f>
        <v>1156.4954111990762</v>
      </c>
      <c r="R23" s="2">
        <f>R12/'Output-Calculation-sheet'!R11*'Output-Calculation-sheet'!R29</f>
        <v>0</v>
      </c>
      <c r="S23" s="2">
        <f>S12/'Output-Calculation-sheet'!S11*'Output-Calculation-sheet'!S29</f>
        <v>1788.0134072490002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61.258713361545738</v>
      </c>
      <c r="Y23" s="2">
        <f>Y12/'Output-Calculation-sheet'!Y11*'Output-Calculation-sheet'!Y29</f>
        <v>89.862302752658252</v>
      </c>
      <c r="AA23" s="2">
        <f t="shared" si="0"/>
        <v>57.803479119382672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1828.0636758221917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46.983962994022711</v>
      </c>
    </row>
    <row r="31" spans="1:27" x14ac:dyDescent="0.25">
      <c r="A31" s="2">
        <v>2032</v>
      </c>
      <c r="B31" s="2">
        <f>B9/'Output-Calculation-sheet'!B8*'Output-Calculation-sheet'!B17</f>
        <v>29368.834064898881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2011.6492311655502</v>
      </c>
      <c r="O31" s="2">
        <f>O9/'Output-Calculation-sheet'!O8*'Output-Calculation-sheet'!O17</f>
        <v>0</v>
      </c>
      <c r="P31" s="2">
        <f>P9/'Output-Calculation-sheet'!P8*'Output-Calculation-sheet'!P17</f>
        <v>2490.2840918738757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1496.1551967152745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63.956477515934637</v>
      </c>
    </row>
    <row r="32" spans="1:27" x14ac:dyDescent="0.25">
      <c r="A32" s="2">
        <v>2033</v>
      </c>
      <c r="B32" s="2">
        <f>B10/'Output-Calculation-sheet'!B9*'Output-Calculation-sheet'!B18</f>
        <v>31245.586078690601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2973.6819037491518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1905.2410799805268</v>
      </c>
      <c r="O32" s="2">
        <f>O10/'Output-Calculation-sheet'!O9*'Output-Calculation-sheet'!O18</f>
        <v>0</v>
      </c>
      <c r="P32" s="2">
        <f>P10/'Output-Calculation-sheet'!P9*'Output-Calculation-sheet'!P18</f>
        <v>3060.5126243988561</v>
      </c>
      <c r="Q32" s="2">
        <f>Q10/'Output-Calculation-sheet'!Q9*'Output-Calculation-sheet'!Q18</f>
        <v>3336.5123537886593</v>
      </c>
      <c r="R32" s="2">
        <f>R10/'Output-Calculation-sheet'!R9*'Output-Calculation-sheet'!R18</f>
        <v>2197.6846782308075</v>
      </c>
      <c r="S32" s="2">
        <f>S10/'Output-Calculation-sheet'!S9*'Output-Calculation-sheet'!S18</f>
        <v>1439.2498581547804</v>
      </c>
      <c r="T32" s="2">
        <f>T10/'Output-Calculation-sheet'!T9*'Output-Calculation-sheet'!T18</f>
        <v>641.6628566195991</v>
      </c>
      <c r="U32" s="2">
        <f>U10/'Output-Calculation-sheet'!U9*'Output-Calculation-sheet'!U18</f>
        <v>709.34354300529424</v>
      </c>
      <c r="V32" s="2">
        <f>V10/'Output-Calculation-sheet'!V9*'Output-Calculation-sheet'!V18</f>
        <v>523.59677769746577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303.16610918906025</v>
      </c>
      <c r="AA32" s="2">
        <f t="shared" si="1"/>
        <v>75.014043824973783</v>
      </c>
    </row>
    <row r="33" spans="1:27" x14ac:dyDescent="0.25">
      <c r="A33" s="2">
        <v>2034</v>
      </c>
      <c r="B33" s="2">
        <f>B11/'Output-Calculation-sheet'!B10*'Output-Calculation-sheet'!B19</f>
        <v>26260.058684246545</v>
      </c>
      <c r="C33" s="2">
        <f>C11/'Output-Calculation-sheet'!C10*'Output-Calculation-sheet'!C19</f>
        <v>0</v>
      </c>
      <c r="D33" s="2">
        <f>D11/'Output-Calculation-sheet'!D10*'Output-Calculation-sheet'!D19</f>
        <v>7946.7381069264065</v>
      </c>
      <c r="E33" s="2">
        <f>E11/'Output-Calculation-sheet'!E10*'Output-Calculation-sheet'!E19</f>
        <v>9852.6904435570359</v>
      </c>
      <c r="F33" s="2">
        <f>F11/'Output-Calculation-sheet'!F10*'Output-Calculation-sheet'!F19</f>
        <v>4511.1649817543148</v>
      </c>
      <c r="G33" s="2">
        <f>G11/'Output-Calculation-sheet'!G10*'Output-Calculation-sheet'!G19</f>
        <v>2687.5029180666584</v>
      </c>
      <c r="H33" s="2">
        <f>H11/'Output-Calculation-sheet'!H10*'Output-Calculation-sheet'!H19</f>
        <v>0</v>
      </c>
      <c r="I33" s="2">
        <f>I11/'Output-Calculation-sheet'!I10*'Output-Calculation-sheet'!I19</f>
        <v>2952.0707888146258</v>
      </c>
      <c r="J33" s="2">
        <f>J11/'Output-Calculation-sheet'!J10*'Output-Calculation-sheet'!J19</f>
        <v>2496.0609603008202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2816.1076330352103</v>
      </c>
      <c r="M33" s="2">
        <f>M11/'Output-Calculation-sheet'!M10*'Output-Calculation-sheet'!M19</f>
        <v>0</v>
      </c>
      <c r="N33" s="2">
        <f>N11/'Output-Calculation-sheet'!N10*'Output-Calculation-sheet'!N19</f>
        <v>1590.4014690304032</v>
      </c>
      <c r="O33" s="2">
        <f>O11/'Output-Calculation-sheet'!O10*'Output-Calculation-sheet'!O19</f>
        <v>0</v>
      </c>
      <c r="P33" s="2">
        <f>P11/'Output-Calculation-sheet'!P10*'Output-Calculation-sheet'!P19</f>
        <v>3504.2866449736889</v>
      </c>
      <c r="Q33" s="2">
        <f>Q11/'Output-Calculation-sheet'!Q10*'Output-Calculation-sheet'!Q19</f>
        <v>2853.133569142035</v>
      </c>
      <c r="R33" s="2">
        <f>R11/'Output-Calculation-sheet'!R10*'Output-Calculation-sheet'!R19</f>
        <v>2501.252515922617</v>
      </c>
      <c r="S33" s="2">
        <f>S11/'Output-Calculation-sheet'!S10*'Output-Calculation-sheet'!S19</f>
        <v>1160.8524677140306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785.11011457174322</v>
      </c>
      <c r="V33" s="2">
        <f>V11/'Output-Calculation-sheet'!V10*'Output-Calculation-sheet'!V19</f>
        <v>575.58810765374653</v>
      </c>
      <c r="W33" s="2">
        <f>W11/'Output-Calculation-sheet'!W10*'Output-Calculation-sheet'!W19</f>
        <v>358.35470085636354</v>
      </c>
      <c r="X33" s="2">
        <f>X11/'Output-Calculation-sheet'!X10*'Output-Calculation-sheet'!X19</f>
        <v>0</v>
      </c>
      <c r="Y33" s="2">
        <f>Y11/'Output-Calculation-sheet'!Y10*'Output-Calculation-sheet'!Y19</f>
        <v>323.03151780353062</v>
      </c>
      <c r="AA33" s="2">
        <f t="shared" si="1"/>
        <v>77.37082696734096</v>
      </c>
    </row>
    <row r="34" spans="1:27" x14ac:dyDescent="0.25">
      <c r="A34" s="2">
        <v>2035</v>
      </c>
      <c r="B34" s="2">
        <f>B12/'Output-Calculation-sheet'!B11*'Output-Calculation-sheet'!B20</f>
        <v>20751.428463918353</v>
      </c>
      <c r="C34" s="2">
        <f>C12/'Output-Calculation-sheet'!C11*'Output-Calculation-sheet'!C20</f>
        <v>0</v>
      </c>
      <c r="D34" s="2">
        <f>D12/'Output-Calculation-sheet'!D11*'Output-Calculation-sheet'!D20</f>
        <v>6617.9203414930671</v>
      </c>
      <c r="E34" s="2">
        <f>E12/'Output-Calculation-sheet'!E11*'Output-Calculation-sheet'!E20</f>
        <v>7334.1647589177337</v>
      </c>
      <c r="F34" s="2">
        <f>F12/'Output-Calculation-sheet'!F11*'Output-Calculation-sheet'!F20</f>
        <v>4119.4907986267654</v>
      </c>
      <c r="G34" s="2">
        <f>G12/'Output-Calculation-sheet'!G11*'Output-Calculation-sheet'!G20</f>
        <v>2220.0533503114711</v>
      </c>
      <c r="H34" s="2">
        <f>H12/'Output-Calculation-sheet'!H11*'Output-Calculation-sheet'!H20</f>
        <v>0</v>
      </c>
      <c r="I34" s="2">
        <f>I12/'Output-Calculation-sheet'!I11*'Output-Calculation-sheet'!I20</f>
        <v>2464.5245418848672</v>
      </c>
      <c r="J34" s="2">
        <f>J12/'Output-Calculation-sheet'!J11*'Output-Calculation-sheet'!J20</f>
        <v>2279.7571821193619</v>
      </c>
      <c r="K34" s="2">
        <f>K12/'Output-Calculation-sheet'!K11*'Output-Calculation-sheet'!K20</f>
        <v>3034.7313877048432</v>
      </c>
      <c r="L34" s="2">
        <f>L12/'Output-Calculation-sheet'!L11*'Output-Calculation-sheet'!L20</f>
        <v>2427.9945202359213</v>
      </c>
      <c r="M34" s="2">
        <f>M12/'Output-Calculation-sheet'!M11*'Output-Calculation-sheet'!M20</f>
        <v>0</v>
      </c>
      <c r="N34" s="2">
        <f>N12/'Output-Calculation-sheet'!N11*'Output-Calculation-sheet'!N20</f>
        <v>1297.8920730477398</v>
      </c>
      <c r="O34" s="2">
        <f>O12/'Output-Calculation-sheet'!O11*'Output-Calculation-sheet'!O20</f>
        <v>0</v>
      </c>
      <c r="P34" s="2">
        <f>P12/'Output-Calculation-sheet'!P11*'Output-Calculation-sheet'!P20</f>
        <v>2784.3769890098447</v>
      </c>
      <c r="Q34" s="2">
        <f>Q12/'Output-Calculation-sheet'!Q11*'Output-Calculation-sheet'!Q20</f>
        <v>2278.0024797737087</v>
      </c>
      <c r="R34" s="2">
        <f>R12/'Output-Calculation-sheet'!R11*'Output-Calculation-sheet'!R20</f>
        <v>2329.7446859967094</v>
      </c>
      <c r="S34" s="2">
        <f>S12/'Output-Calculation-sheet'!S11*'Output-Calculation-sheet'!S20</f>
        <v>898.75700543896937</v>
      </c>
      <c r="T34" s="2">
        <f>T12/'Output-Calculation-sheet'!T11*'Output-Calculation-sheet'!T20</f>
        <v>706.84418436142209</v>
      </c>
      <c r="U34" s="2">
        <f>U12/'Output-Calculation-sheet'!U11*'Output-Calculation-sheet'!U20</f>
        <v>650.57063162069289</v>
      </c>
      <c r="V34" s="2">
        <f>V12/'Output-Calculation-sheet'!V11*'Output-Calculation-sheet'!V20</f>
        <v>640.23148631264303</v>
      </c>
      <c r="W34" s="2">
        <f>W12/'Output-Calculation-sheet'!W11*'Output-Calculation-sheet'!W20</f>
        <v>347.20350405404264</v>
      </c>
      <c r="X34" s="2">
        <f>X12/'Output-Calculation-sheet'!X11*'Output-Calculation-sheet'!X20</f>
        <v>0.77028201070964353</v>
      </c>
      <c r="Y34" s="2">
        <f>Y12/'Output-Calculation-sheet'!Y11*'Output-Calculation-sheet'!Y20</f>
        <v>251.42512435656155</v>
      </c>
      <c r="AA34" s="2">
        <f t="shared" si="1"/>
        <v>63.435883791195423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0.1186890131514584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1.790058606116832E-2</v>
      </c>
      <c r="H44" s="2">
        <f>H11/'Output-Calculation-sheet'!H10*'Output-Calculation-sheet'!H37*0.0114</f>
        <v>1.7340906887315644E-2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1.027504043212628E-2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6.7225783328320916E-3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3.2783557065086772E-3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0.17420648057140944</v>
      </c>
    </row>
    <row r="45" spans="1:27" x14ac:dyDescent="0.25">
      <c r="A45" s="2">
        <v>2035</v>
      </c>
      <c r="B45" s="2">
        <f>B12/'Output-Calculation-sheet'!B11*'Output-Calculation-sheet'!B38*0.0114</f>
        <v>0.39392047864773982</v>
      </c>
      <c r="C45" s="2">
        <f>C12/'Output-Calculation-sheet'!C11*'Output-Calculation-sheet'!C38*0.0114</f>
        <v>0.23370472076804996</v>
      </c>
      <c r="D45" s="2">
        <f>D12/'Output-Calculation-sheet'!D11*'Output-Calculation-sheet'!D38*0.0114</f>
        <v>4.1404405330141267E-2</v>
      </c>
      <c r="E45" s="2">
        <f>E12/'Output-Calculation-sheet'!E11*'Output-Calculation-sheet'!E38*0.0114</f>
        <v>0.13162198743461409</v>
      </c>
      <c r="F45" s="2">
        <f>F12/'Output-Calculation-sheet'!F11*'Output-Calculation-sheet'!F38*0.0114</f>
        <v>4.1390587434494149E-2</v>
      </c>
      <c r="G45" s="2">
        <f>G12/'Output-Calculation-sheet'!G11*'Output-Calculation-sheet'!G38*0.0114</f>
        <v>2.9705392445601605E-2</v>
      </c>
      <c r="H45" s="2">
        <f>H12/'Output-Calculation-sheet'!H11*'Output-Calculation-sheet'!H38*0.0114</f>
        <v>8.6329873673989643E-2</v>
      </c>
      <c r="I45" s="2">
        <f>I12/'Output-Calculation-sheet'!I11*'Output-Calculation-sheet'!I38*0.0114</f>
        <v>2.6718164865113841E-2</v>
      </c>
      <c r="J45" s="2">
        <f>J12/'Output-Calculation-sheet'!J11*'Output-Calculation-sheet'!J38*0.0114</f>
        <v>1.3221066362741399E-2</v>
      </c>
      <c r="K45" s="2">
        <f>K12/'Output-Calculation-sheet'!K11*'Output-Calculation-sheet'!K38*0.0114</f>
        <v>2.6259703146893014E-2</v>
      </c>
      <c r="L45" s="2">
        <f>L12/'Output-Calculation-sheet'!L11*'Output-Calculation-sheet'!L38*0.0114</f>
        <v>1.0440253535082496E-2</v>
      </c>
      <c r="M45" s="2">
        <f>M12/'Output-Calculation-sheet'!M11*'Output-Calculation-sheet'!M38*0.0114</f>
        <v>4.9502795558194472E-2</v>
      </c>
      <c r="N45" s="2">
        <f>N12/'Output-Calculation-sheet'!N11*'Output-Calculation-sheet'!N38*0.0114</f>
        <v>2.9191931952586164E-2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3.5957623375716265E-2</v>
      </c>
      <c r="Q45" s="2">
        <f>Q12/'Output-Calculation-sheet'!Q11*'Output-Calculation-sheet'!Q38*0.0114</f>
        <v>2.5576601854354095E-2</v>
      </c>
      <c r="R45" s="2">
        <f>R12/'Output-Calculation-sheet'!R11*'Output-Calculation-sheet'!R38*0.0114</f>
        <v>1.6909347522792741E-2</v>
      </c>
      <c r="S45" s="2">
        <f>S12/'Output-Calculation-sheet'!S11*'Output-Calculation-sheet'!S38*0.0114</f>
        <v>2.2311764200422142E-2</v>
      </c>
      <c r="T45" s="2">
        <f>T12/'Output-Calculation-sheet'!T11*'Output-Calculation-sheet'!T38*0.0114</f>
        <v>3.1279107968580511E-3</v>
      </c>
      <c r="U45" s="2">
        <f>U12/'Output-Calculation-sheet'!U11*'Output-Calculation-sheet'!U38*0.0114</f>
        <v>8.1604738391253904E-3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3.6325474336537209E-3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5.2405939200894629E-3</v>
      </c>
      <c r="AA45" s="2">
        <f t="shared" si="2"/>
        <v>1.2465922823796232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3467.658259656891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7987.324294852946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5462.7200660132157</v>
      </c>
      <c r="N52" s="2">
        <f>N8/'Output-Calculation-sheet'!N7*'Output-Calculation-sheet'!N43</f>
        <v>172.55836646878143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36.936399734119519</v>
      </c>
      <c r="Y52" s="2">
        <f>Y8/'Output-Calculation-sheet'!Y7*'Output-Calculation-sheet'!Y43</f>
        <v>0</v>
      </c>
      <c r="AA52" s="2">
        <f t="shared" si="3"/>
        <v>17.127197386725953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581.84952093746074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15088.407208906883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10328.964949308407</v>
      </c>
      <c r="N53" s="2">
        <f>N9/'Output-Calculation-sheet'!N8*'Output-Calculation-sheet'!N44</f>
        <v>3665.3730911378357</v>
      </c>
      <c r="O53" s="2">
        <f>O9/'Output-Calculation-sheet'!O8*'Output-Calculation-sheet'!O44</f>
        <v>203.24957659163232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1142.3621120333842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315.38805441227817</v>
      </c>
      <c r="Y53" s="2">
        <f>Y9/'Output-Calculation-sheet'!Y8*'Output-Calculation-sheet'!Y44</f>
        <v>0</v>
      </c>
      <c r="AA53" s="2">
        <f t="shared" si="3"/>
        <v>31.488069981191646</v>
      </c>
    </row>
    <row r="54" spans="1:27" x14ac:dyDescent="0.25">
      <c r="A54" s="2">
        <v>2033</v>
      </c>
      <c r="B54" s="2">
        <f>B10/'Output-Calculation-sheet'!B9*'Output-Calculation-sheet'!B45</f>
        <v>29386.82876130526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14680.144558513028</v>
      </c>
      <c r="N54" s="2">
        <f>N10/'Output-Calculation-sheet'!N9*'Output-Calculation-sheet'!N45</f>
        <v>8216.0115818387567</v>
      </c>
      <c r="O54" s="2">
        <f>O10/'Output-Calculation-sheet'!O9*'Output-Calculation-sheet'!O45</f>
        <v>1094.0748933387451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854.34534670870949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89.736668944078801</v>
      </c>
    </row>
    <row r="55" spans="1:27" x14ac:dyDescent="0.25">
      <c r="A55" s="2">
        <v>2034</v>
      </c>
      <c r="B55" s="2">
        <f>B11/'Output-Calculation-sheet'!B10*'Output-Calculation-sheet'!B46</f>
        <v>73378.961815041999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260.36083506417663</v>
      </c>
      <c r="G55" s="2">
        <f>G11/'Output-Calculation-sheet'!G10*'Output-Calculation-sheet'!G46</f>
        <v>2934.753977923122</v>
      </c>
      <c r="H55" s="2">
        <f>H11/'Output-Calculation-sheet'!H10*'Output-Calculation-sheet'!H46</f>
        <v>22705.940097101808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15988.143586350843</v>
      </c>
      <c r="N55" s="2">
        <f>N11/'Output-Calculation-sheet'!N10*'Output-Calculation-sheet'!N46</f>
        <v>12110.133663709072</v>
      </c>
      <c r="O55" s="2">
        <f>O11/'Output-Calculation-sheet'!O10*'Output-Calculation-sheet'!O46</f>
        <v>464.63363309294442</v>
      </c>
      <c r="P55" s="2">
        <f>P11/'Output-Calculation-sheet'!P10*'Output-Calculation-sheet'!P46</f>
        <v>4481.8971302499203</v>
      </c>
      <c r="Q55" s="2">
        <f>Q11/'Output-Calculation-sheet'!Q10*'Output-Calculation-sheet'!Q46</f>
        <v>3497.1190242675411</v>
      </c>
      <c r="R55" s="2">
        <f>R11/'Output-Calculation-sheet'!R10*'Output-Calculation-sheet'!R46</f>
        <v>3632.5169830577606</v>
      </c>
      <c r="S55" s="2">
        <f>S11/'Output-Calculation-sheet'!S10*'Output-Calculation-sheet'!S46</f>
        <v>5674.0919928517878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1072.9425562266556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181.31159780856305</v>
      </c>
    </row>
    <row r="56" spans="1:27" x14ac:dyDescent="0.25">
      <c r="A56" s="2">
        <v>2035</v>
      </c>
      <c r="B56" s="2">
        <f>B12/'Output-Calculation-sheet'!B11*'Output-Calculation-sheet'!B47</f>
        <v>63977.523352306162</v>
      </c>
      <c r="C56" s="2">
        <f>C12/'Output-Calculation-sheet'!C11*'Output-Calculation-sheet'!C47</f>
        <v>19938.702756053102</v>
      </c>
      <c r="D56" s="2">
        <f>D12/'Output-Calculation-sheet'!D11*'Output-Calculation-sheet'!D47</f>
        <v>6559.3294759855371</v>
      </c>
      <c r="E56" s="2">
        <f>E12/'Output-Calculation-sheet'!E11*'Output-Calculation-sheet'!E47</f>
        <v>16591.297889784251</v>
      </c>
      <c r="F56" s="2">
        <f>F12/'Output-Calculation-sheet'!F11*'Output-Calculation-sheet'!F47</f>
        <v>953.0727369784837</v>
      </c>
      <c r="G56" s="2">
        <f>G12/'Output-Calculation-sheet'!G11*'Output-Calculation-sheet'!G47</f>
        <v>2427.2432511471834</v>
      </c>
      <c r="H56" s="2">
        <f>H12/'Output-Calculation-sheet'!H11*'Output-Calculation-sheet'!H47</f>
        <v>18923.154912194834</v>
      </c>
      <c r="I56" s="2">
        <f>I12/'Output-Calculation-sheet'!I11*'Output-Calculation-sheet'!I47</f>
        <v>1546.8411237697487</v>
      </c>
      <c r="J56" s="2">
        <f>J12/'Output-Calculation-sheet'!J11*'Output-Calculation-sheet'!J47</f>
        <v>2551.4338594764104</v>
      </c>
      <c r="K56" s="2">
        <f>K12/'Output-Calculation-sheet'!K11*'Output-Calculation-sheet'!K47</f>
        <v>3488.6245978920583</v>
      </c>
      <c r="L56" s="2">
        <f>L12/'Output-Calculation-sheet'!L11*'Output-Calculation-sheet'!L47</f>
        <v>3735.5959797896053</v>
      </c>
      <c r="M56" s="2">
        <f>M12/'Output-Calculation-sheet'!M11*'Output-Calculation-sheet'!M47</f>
        <v>13337.963757592117</v>
      </c>
      <c r="N56" s="2">
        <f>N12/'Output-Calculation-sheet'!N11*'Output-Calculation-sheet'!N47</f>
        <v>10794.186300362708</v>
      </c>
      <c r="O56" s="2">
        <f>O12/'Output-Calculation-sheet'!O11*'Output-Calculation-sheet'!O47</f>
        <v>48.588463496458544</v>
      </c>
      <c r="P56" s="2">
        <f>P12/'Output-Calculation-sheet'!P11*'Output-Calculation-sheet'!P47</f>
        <v>4627.1783765066457</v>
      </c>
      <c r="Q56" s="2">
        <f>Q12/'Output-Calculation-sheet'!Q11*'Output-Calculation-sheet'!Q47</f>
        <v>3254.6599786593279</v>
      </c>
      <c r="R56" s="2">
        <f>R12/'Output-Calculation-sheet'!R11*'Output-Calculation-sheet'!R47</f>
        <v>3803.1199165298758</v>
      </c>
      <c r="S56" s="2">
        <f>S12/'Output-Calculation-sheet'!S11*'Output-Calculation-sheet'!S47</f>
        <v>5019.1683589458398</v>
      </c>
      <c r="T56" s="2">
        <f>T12/'Output-Calculation-sheet'!T11*'Output-Calculation-sheet'!T47</f>
        <v>1284.9128299724782</v>
      </c>
      <c r="U56" s="2">
        <f>U12/'Output-Calculation-sheet'!U11*'Output-Calculation-sheet'!U47</f>
        <v>896.9362912652731</v>
      </c>
      <c r="V56" s="2">
        <f>V12/'Output-Calculation-sheet'!V11*'Output-Calculation-sheet'!V47</f>
        <v>886.27704408545674</v>
      </c>
      <c r="W56" s="2">
        <f>W12/'Output-Calculation-sheet'!W11*'Output-Calculation-sheet'!W47</f>
        <v>313.70552179228844</v>
      </c>
      <c r="X56" s="2">
        <f>X12/'Output-Calculation-sheet'!X11*'Output-Calculation-sheet'!X47</f>
        <v>105.27663844578306</v>
      </c>
      <c r="Y56" s="2">
        <f>Y12/'Output-Calculation-sheet'!Y11*'Output-Calculation-sheet'!Y47</f>
        <v>417.77646969976348</v>
      </c>
      <c r="AA56" s="2">
        <f t="shared" si="3"/>
        <v>185.48256988273138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8.5458155323577252</v>
      </c>
      <c r="C63" s="2">
        <f>C8*'Output-Calculation-sheet'!C52/10^9</f>
        <v>5.1690676329931957</v>
      </c>
      <c r="D63" s="2">
        <f>D8*'Output-Calculation-sheet'!D52/10^9</f>
        <v>2.9305432847417796</v>
      </c>
      <c r="E63" s="2">
        <f>E8*'Output-Calculation-sheet'!E52/10^9</f>
        <v>2.9137461088996179</v>
      </c>
      <c r="F63" s="2">
        <f>F8*'Output-Calculation-sheet'!F52/10^9</f>
        <v>1.2339712362408328</v>
      </c>
      <c r="G63" s="2">
        <f>G8*'Output-Calculation-sheet'!G52/10^9</f>
        <v>0.8871695727970258</v>
      </c>
      <c r="H63" s="2">
        <f>H8*'Output-Calculation-sheet'!H52/10^9</f>
        <v>1.5496159827779046</v>
      </c>
      <c r="I63" s="2">
        <f>I8*'Output-Calculation-sheet'!I52/10^9</f>
        <v>0.82527367018203068</v>
      </c>
      <c r="J63" s="2">
        <f>J8*'Output-Calculation-sheet'!J52/10^9</f>
        <v>1.1356325088139434</v>
      </c>
      <c r="K63" s="2">
        <f>K8*'Output-Calculation-sheet'!K52/10^9</f>
        <v>0.99775416448085075</v>
      </c>
      <c r="L63" s="2">
        <f>L8*'Output-Calculation-sheet'!L52/10^9</f>
        <v>1.3420273573691113</v>
      </c>
      <c r="M63" s="2">
        <f>M8*'Output-Calculation-sheet'!M52/10^9</f>
        <v>1.257839310636238</v>
      </c>
      <c r="N63" s="2">
        <f>N8*'Output-Calculation-sheet'!N52/10^9</f>
        <v>1.0498342715861546</v>
      </c>
      <c r="O63" s="2">
        <f>O8*'Output-Calculation-sheet'!O52/10^9</f>
        <v>1.0550377667088773</v>
      </c>
      <c r="P63" s="2">
        <f>P8*'Output-Calculation-sheet'!P52/10^9</f>
        <v>0.68942121324300787</v>
      </c>
      <c r="Q63" s="2">
        <f>Q8*'Output-Calculation-sheet'!Q52/10^9</f>
        <v>0.78022278132728706</v>
      </c>
      <c r="R63" s="2">
        <f>R8*'Output-Calculation-sheet'!R52/10^9</f>
        <v>0.70048518320885944</v>
      </c>
      <c r="S63" s="2">
        <f>S8*'Output-Calculation-sheet'!S52/10^9</f>
        <v>0.51908434018026839</v>
      </c>
      <c r="T63" s="2">
        <f>T8*'Output-Calculation-sheet'!T52/10^9</f>
        <v>0.26631446025398275</v>
      </c>
      <c r="U63" s="2">
        <f>U8*'Output-Calculation-sheet'!U52/10^9</f>
        <v>0.18290191756644894</v>
      </c>
      <c r="V63" s="2">
        <f>V8*'Output-Calculation-sheet'!V52/10^9</f>
        <v>0.32460768056836564</v>
      </c>
      <c r="W63" s="2">
        <f>W8*'Output-Calculation-sheet'!W52/10^9</f>
        <v>0.11749277234212857</v>
      </c>
      <c r="X63" s="2">
        <f>X8*'Output-Calculation-sheet'!X52/10^9</f>
        <v>0.1337491358178238</v>
      </c>
      <c r="Y63" s="2">
        <f>Y8*'Output-Calculation-sheet'!Y52/10^9</f>
        <v>7.6660765591163055E-2</v>
      </c>
      <c r="AA63" s="2">
        <f t="shared" si="4"/>
        <v>34.684268650684629</v>
      </c>
    </row>
    <row r="64" spans="1:27" x14ac:dyDescent="0.25">
      <c r="A64" s="2">
        <v>2032</v>
      </c>
      <c r="B64" s="2">
        <f>B9*'Output-Calculation-sheet'!B53/10^9</f>
        <v>8.6962496336345918</v>
      </c>
      <c r="C64" s="2">
        <f>C9*'Output-Calculation-sheet'!C53/10^9</f>
        <v>5.5482045915654714</v>
      </c>
      <c r="D64" s="2">
        <f>D9*'Output-Calculation-sheet'!D53/10^9</f>
        <v>2.5735829030569848</v>
      </c>
      <c r="E64" s="2">
        <f>E9*'Output-Calculation-sheet'!E53/10^9</f>
        <v>2.6354621249746737</v>
      </c>
      <c r="F64" s="2">
        <f>F9*'Output-Calculation-sheet'!F53/10^9</f>
        <v>1.1116213986099412</v>
      </c>
      <c r="G64" s="2">
        <f>G9*'Output-Calculation-sheet'!G53/10^9</f>
        <v>0.7912181058080906</v>
      </c>
      <c r="H64" s="2">
        <f>H9*'Output-Calculation-sheet'!H53/10^9</f>
        <v>1.6257233507194799</v>
      </c>
      <c r="I64" s="2">
        <f>I9*'Output-Calculation-sheet'!I53/10^9</f>
        <v>0.73965961512765155</v>
      </c>
      <c r="J64" s="2">
        <f>J9*'Output-Calculation-sheet'!J53/10^9</f>
        <v>0.97915904266607012</v>
      </c>
      <c r="K64" s="2">
        <f>K9*'Output-Calculation-sheet'!K53/10^9</f>
        <v>0.90852637356847843</v>
      </c>
      <c r="L64" s="2">
        <f>L9*'Output-Calculation-sheet'!L53/10^9</f>
        <v>1.168816464075257</v>
      </c>
      <c r="M64" s="2">
        <f>M9*'Output-Calculation-sheet'!M53/10^9</f>
        <v>1.27408846486738</v>
      </c>
      <c r="N64" s="2">
        <f>N9*'Output-Calculation-sheet'!N53/10^9</f>
        <v>1.0726395010291323</v>
      </c>
      <c r="O64" s="2">
        <f>O9*'Output-Calculation-sheet'!O53/10^9</f>
        <v>1.121000933548457</v>
      </c>
      <c r="P64" s="2">
        <f>P9*'Output-Calculation-sheet'!P53/10^9</f>
        <v>0.6926895683612555</v>
      </c>
      <c r="Q64" s="2">
        <f>Q9*'Output-Calculation-sheet'!Q53/10^9</f>
        <v>0.76552628876105533</v>
      </c>
      <c r="R64" s="2">
        <f>R9*'Output-Calculation-sheet'!R53/10^9</f>
        <v>0.65623680987563249</v>
      </c>
      <c r="S64" s="2">
        <f>S9*'Output-Calculation-sheet'!S53/10^9</f>
        <v>0.54219826208945487</v>
      </c>
      <c r="T64" s="2">
        <f>T9*'Output-Calculation-sheet'!T53/10^9</f>
        <v>0.23589911459477661</v>
      </c>
      <c r="U64" s="2">
        <f>U9*'Output-Calculation-sheet'!U53/10^9</f>
        <v>0.17755634516208191</v>
      </c>
      <c r="V64" s="2">
        <f>V9*'Output-Calculation-sheet'!V53/10^9</f>
        <v>0.27999629703643064</v>
      </c>
      <c r="W64" s="2">
        <f>W9*'Output-Calculation-sheet'!W53/10^9</f>
        <v>0.10404139734789034</v>
      </c>
      <c r="X64" s="2">
        <f>X9*'Output-Calculation-sheet'!X53/10^9</f>
        <v>0.13968394069564977</v>
      </c>
      <c r="Y64" s="2">
        <f>Y9*'Output-Calculation-sheet'!Y53/10^9</f>
        <v>7.2894836277314093E-2</v>
      </c>
      <c r="AA64" s="2">
        <f t="shared" si="4"/>
        <v>33.912675363453204</v>
      </c>
    </row>
    <row r="65" spans="1:27" x14ac:dyDescent="0.25">
      <c r="A65" s="2">
        <v>2033</v>
      </c>
      <c r="B65" s="2">
        <f>B10*'Output-Calculation-sheet'!B54/10^9</f>
        <v>8.4712421833059643</v>
      </c>
      <c r="C65" s="2">
        <f>C10*'Output-Calculation-sheet'!C54/10^9</f>
        <v>5.4993890284621765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1.5522473984261347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0.77993973019747831</v>
      </c>
      <c r="L65" s="2">
        <f>L10*'Output-Calculation-sheet'!L54/10^9</f>
        <v>0.92121556001939608</v>
      </c>
      <c r="M65" s="2">
        <f>M10*'Output-Calculation-sheet'!M54/10^9</f>
        <v>1.1720283145808275</v>
      </c>
      <c r="N65" s="2">
        <f>N10*'Output-Calculation-sheet'!N54/10^9</f>
        <v>1.0120569770003129</v>
      </c>
      <c r="O65" s="2">
        <f>O10*'Output-Calculation-sheet'!O54/10^9</f>
        <v>1.0992953656311535</v>
      </c>
      <c r="P65" s="2">
        <f>P10*'Output-Calculation-sheet'!P54/10^9</f>
        <v>0.65987909858022353</v>
      </c>
      <c r="Q65" s="2">
        <f>Q10*'Output-Calculation-sheet'!Q54/10^9</f>
        <v>0.72012740231223982</v>
      </c>
      <c r="R65" s="2">
        <f>R10*'Output-Calculation-sheet'!R54/10^9</f>
        <v>0.58094829759239364</v>
      </c>
      <c r="S65" s="2">
        <f>S10*'Output-Calculation-sheet'!S54/10^9</f>
        <v>0.5276948502787675</v>
      </c>
      <c r="T65" s="2">
        <f>T10*'Output-Calculation-sheet'!T54/10^9</f>
        <v>0.19423647224953133</v>
      </c>
      <c r="U65" s="2">
        <f>U10*'Output-Calculation-sheet'!U54/10^9</f>
        <v>0.16771862231953652</v>
      </c>
      <c r="V65" s="2">
        <f>V10*'Output-Calculation-sheet'!V54/10^9</f>
        <v>0.21496015503039995</v>
      </c>
      <c r="W65" s="2">
        <f>W10*'Output-Calculation-sheet'!W54/10^9</f>
        <v>8.184027464150094E-2</v>
      </c>
      <c r="X65" s="2">
        <f>X10*'Output-Calculation-sheet'!X54/10^9</f>
        <v>0.13382065630953904</v>
      </c>
      <c r="Y65" s="2">
        <f>Y10*'Output-Calculation-sheet'!Y54/10^9</f>
        <v>6.7365010765387479E-2</v>
      </c>
      <c r="AA65" s="2">
        <f t="shared" si="4"/>
        <v>30.996162583404356</v>
      </c>
    </row>
    <row r="66" spans="1:27" x14ac:dyDescent="0.25">
      <c r="A66" s="2">
        <v>2034</v>
      </c>
      <c r="B66" s="2">
        <f>B11*'Output-Calculation-sheet'!B55/10^9</f>
        <v>7.8357131852586921</v>
      </c>
      <c r="C66" s="2">
        <f>C11*'Output-Calculation-sheet'!C55/10^9</f>
        <v>5.0340739190274268</v>
      </c>
      <c r="D66" s="2">
        <f>D11*'Output-Calculation-sheet'!D55/10^9</f>
        <v>1.6394664788721318</v>
      </c>
      <c r="E66" s="2">
        <f>E11*'Output-Calculation-sheet'!E55/10^9</f>
        <v>1.9852743620230271</v>
      </c>
      <c r="F66" s="2">
        <f>F11*'Output-Calculation-sheet'!F55/10^9</f>
        <v>0.76297316648925151</v>
      </c>
      <c r="G66" s="2">
        <f>G11*'Output-Calculation-sheet'!G55/10^9</f>
        <v>0.54539191950487897</v>
      </c>
      <c r="H66" s="2">
        <f>H11*'Output-Calculation-sheet'!H55/10^9</f>
        <v>1.3933966426254016</v>
      </c>
      <c r="I66" s="2">
        <f>I11*'Output-Calculation-sheet'!I55/10^9</f>
        <v>0.53330508490436901</v>
      </c>
      <c r="J66" s="2">
        <f>J11*'Output-Calculation-sheet'!J55/10^9</f>
        <v>0.54840096161666541</v>
      </c>
      <c r="K66" s="2">
        <f>K11*'Output-Calculation-sheet'!K55/10^9</f>
        <v>0.65593153581722019</v>
      </c>
      <c r="L66" s="2">
        <f>L11*'Output-Calculation-sheet'!L55/10^9</f>
        <v>0.69467678700488755</v>
      </c>
      <c r="M66" s="2">
        <f>M11*'Output-Calculation-sheet'!M55/10^9</f>
        <v>1.0100905544092846</v>
      </c>
      <c r="N66" s="2">
        <f>N11*'Output-Calculation-sheet'!N55/10^9</f>
        <v>0.88254566627677644</v>
      </c>
      <c r="O66" s="2">
        <f>O11*'Output-Calculation-sheet'!O55/10^9</f>
        <v>0.99325185500909152</v>
      </c>
      <c r="P66" s="2">
        <f>P11*'Output-Calculation-sheet'!P55/10^9</f>
        <v>0.60671683141436206</v>
      </c>
      <c r="Q66" s="2">
        <f>Q11*'Output-Calculation-sheet'!Q55/10^9</f>
        <v>0.66014075215634704</v>
      </c>
      <c r="R66" s="2">
        <f>R11*'Output-Calculation-sheet'!R55/10^9</f>
        <v>0.49140084048101473</v>
      </c>
      <c r="S66" s="2">
        <f>S11*'Output-Calculation-sheet'!S55/10^9</f>
        <v>0.48311319191152735</v>
      </c>
      <c r="T66" s="2">
        <f>T11*'Output-Calculation-sheet'!T55/10^9</f>
        <v>0.15401595405832216</v>
      </c>
      <c r="U66" s="2">
        <f>U11*'Output-Calculation-sheet'!U55/10^9</f>
        <v>0.15642238139585601</v>
      </c>
      <c r="V66" s="2">
        <f>V11*'Output-Calculation-sheet'!V55/10^9</f>
        <v>0.14610586045903451</v>
      </c>
      <c r="W66" s="2">
        <f>W11*'Output-Calculation-sheet'!W55/10^9</f>
        <v>6.6156437370140472E-2</v>
      </c>
      <c r="X66" s="2">
        <f>X11*'Output-Calculation-sheet'!X55/10^9</f>
        <v>0.11805510540945159</v>
      </c>
      <c r="Y66" s="2">
        <f>Y11*'Output-Calculation-sheet'!Y55/10^9</f>
        <v>6.4917317734009813E-2</v>
      </c>
      <c r="AA66" s="2">
        <f t="shared" si="4"/>
        <v>27.461536791229172</v>
      </c>
    </row>
    <row r="67" spans="1:27" x14ac:dyDescent="0.25">
      <c r="A67" s="2">
        <v>2035</v>
      </c>
      <c r="B67" s="2">
        <f>B12*'Output-Calculation-sheet'!B56/10^9</f>
        <v>6.7523274586415321</v>
      </c>
      <c r="C67" s="2">
        <f>C12*'Output-Calculation-sheet'!C56/10^9</f>
        <v>4.240808448981551</v>
      </c>
      <c r="D67" s="2">
        <f>D12*'Output-Calculation-sheet'!D56/10^9</f>
        <v>1.4049183784033299</v>
      </c>
      <c r="E67" s="2">
        <f>E12*'Output-Calculation-sheet'!E56/10^9</f>
        <v>1.9074246539367177</v>
      </c>
      <c r="F67" s="2">
        <f>F12*'Output-Calculation-sheet'!F56/10^9</f>
        <v>0.69669405743133839</v>
      </c>
      <c r="G67" s="2">
        <f>G12*'Output-Calculation-sheet'!G56/10^9</f>
        <v>0.48804100209210338</v>
      </c>
      <c r="H67" s="2">
        <f>H12*'Output-Calculation-sheet'!H56/10^9</f>
        <v>1.1789151755936311</v>
      </c>
      <c r="I67" s="2">
        <f>I12*'Output-Calculation-sheet'!I56/10^9</f>
        <v>0.47409008478680437</v>
      </c>
      <c r="J67" s="2">
        <f>J12*'Output-Calculation-sheet'!J56/10^9</f>
        <v>0.46934166978544106</v>
      </c>
      <c r="K67" s="2">
        <f>K12*'Output-Calculation-sheet'!K56/10^9</f>
        <v>0.56556178875484442</v>
      </c>
      <c r="L67" s="2">
        <f>L12*'Output-Calculation-sheet'!L56/10^9</f>
        <v>0.56814942864991369</v>
      </c>
      <c r="M67" s="2">
        <f>M12*'Output-Calculation-sheet'!M56/10^9</f>
        <v>0.86239213093666067</v>
      </c>
      <c r="N67" s="2">
        <f>N12*'Output-Calculation-sheet'!N56/10^9</f>
        <v>0.74072120035461797</v>
      </c>
      <c r="O67" s="2">
        <f>O12*'Output-Calculation-sheet'!O56/10^9</f>
        <v>0.83092009510991838</v>
      </c>
      <c r="P67" s="2">
        <f>P12*'Output-Calculation-sheet'!P56/10^9</f>
        <v>0.5477862743402635</v>
      </c>
      <c r="Q67" s="2">
        <f>Q12*'Output-Calculation-sheet'!Q56/10^9</f>
        <v>0.56383149465820126</v>
      </c>
      <c r="R67" s="2">
        <f>R12*'Output-Calculation-sheet'!R56/10^9</f>
        <v>0.42901480855147989</v>
      </c>
      <c r="S67" s="2">
        <f>S12*'Output-Calculation-sheet'!S56/10^9</f>
        <v>0.40880316571750136</v>
      </c>
      <c r="T67" s="2">
        <f>T12*'Output-Calculation-sheet'!T56/10^9</f>
        <v>0.13000899669879248</v>
      </c>
      <c r="U67" s="2">
        <f>U12*'Output-Calculation-sheet'!U56/10^9</f>
        <v>0.13594848481636942</v>
      </c>
      <c r="V67" s="2">
        <f>V12*'Output-Calculation-sheet'!V56/10^9</f>
        <v>0.10428472844249435</v>
      </c>
      <c r="W67" s="2">
        <f>W12*'Output-Calculation-sheet'!W56/10^9</f>
        <v>6.2963827870616454E-2</v>
      </c>
      <c r="X67" s="2">
        <f>X12*'Output-Calculation-sheet'!X56/10^9</f>
        <v>9.967519201028667E-2</v>
      </c>
      <c r="Y67" s="2">
        <f>Y12*'Output-Calculation-sheet'!Y56/10^9</f>
        <v>6.0844671411431725E-2</v>
      </c>
      <c r="AA67" s="2">
        <f t="shared" si="4"/>
        <v>23.723467217975845</v>
      </c>
    </row>
    <row r="68" spans="1:27" x14ac:dyDescent="0.25">
      <c r="B68" s="2">
        <f>SUM(B60:B67)</f>
        <v>40.301347993198505</v>
      </c>
      <c r="C68" s="2">
        <f t="shared" ref="C68:Y68" si="5">SUM(C60:C67)</f>
        <v>25.49154362102982</v>
      </c>
      <c r="D68" s="2">
        <f t="shared" si="5"/>
        <v>10.54975149417829</v>
      </c>
      <c r="E68" s="2">
        <f t="shared" si="5"/>
        <v>11.695269886089095</v>
      </c>
      <c r="F68" s="2">
        <f t="shared" si="5"/>
        <v>4.7200855775129416</v>
      </c>
      <c r="G68" s="2">
        <f t="shared" si="5"/>
        <v>3.3399317313012906</v>
      </c>
      <c r="H68" s="2">
        <f t="shared" si="5"/>
        <v>7.2998985501425526</v>
      </c>
      <c r="I68" s="2">
        <f t="shared" si="5"/>
        <v>3.1839374320849334</v>
      </c>
      <c r="J68" s="2">
        <f t="shared" si="5"/>
        <v>3.8635424562995406</v>
      </c>
      <c r="K68" s="2">
        <f t="shared" si="5"/>
        <v>3.907713592818872</v>
      </c>
      <c r="L68" s="2">
        <f t="shared" si="5"/>
        <v>4.6948855971185655</v>
      </c>
      <c r="M68" s="2">
        <f t="shared" si="5"/>
        <v>5.5764387754303906</v>
      </c>
      <c r="N68" s="2">
        <f t="shared" si="5"/>
        <v>4.7577976162469939</v>
      </c>
      <c r="O68" s="2">
        <f t="shared" si="5"/>
        <v>5.0995060160074974</v>
      </c>
      <c r="P68" s="2">
        <f t="shared" si="5"/>
        <v>3.1964929859391127</v>
      </c>
      <c r="Q68" s="2">
        <f t="shared" si="5"/>
        <v>3.4898487192151304</v>
      </c>
      <c r="R68" s="2">
        <f t="shared" si="5"/>
        <v>2.8580859397093801</v>
      </c>
      <c r="S68" s="2">
        <f t="shared" si="5"/>
        <v>2.4808938101775193</v>
      </c>
      <c r="T68" s="2">
        <f t="shared" si="5"/>
        <v>0.98047499785540537</v>
      </c>
      <c r="U68" s="2">
        <f t="shared" si="5"/>
        <v>0.82054775126029278</v>
      </c>
      <c r="V68" s="2">
        <f t="shared" si="5"/>
        <v>1.0699547215367249</v>
      </c>
      <c r="W68" s="2">
        <f t="shared" si="5"/>
        <v>0.43249470957227676</v>
      </c>
      <c r="X68" s="2">
        <f t="shared" si="5"/>
        <v>0.62498403024275084</v>
      </c>
      <c r="Y68" s="2">
        <f t="shared" si="5"/>
        <v>0.34268260177930621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929.81505286170557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1695.7044260609225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1143.5275484647977</v>
      </c>
      <c r="N74" s="2">
        <f>N8/'Output-Calculation-sheet'!N7*'Output-Calculation-sheet'!N61</f>
        <v>51.354680430981261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10.147392035206526</v>
      </c>
      <c r="Y74" s="2">
        <f>Y8/'Output-Calculation-sheet'!Y7*'Output-Calculation-sheet'!Y61</f>
        <v>0</v>
      </c>
      <c r="AA74" s="2">
        <f t="shared" si="6"/>
        <v>3.8305490998536134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159.84637175677108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2878.0951611876199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1950.9905025436167</v>
      </c>
      <c r="N75" s="2">
        <f>N9/'Output-Calculation-sheet'!N8*'Output-Calculation-sheet'!N62</f>
        <v>751.89765430188504</v>
      </c>
      <c r="O75" s="2">
        <f>O9/'Output-Calculation-sheet'!O8*'Output-Calculation-sheet'!O62</f>
        <v>55.838201859992083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252.23034958060782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68.856388461466409</v>
      </c>
      <c r="Y75" s="2">
        <f>Y9/'Output-Calculation-sheet'!Y8*'Output-Calculation-sheet'!Y62</f>
        <v>0</v>
      </c>
      <c r="AA75" s="2">
        <f t="shared" si="6"/>
        <v>6.177269070771513</v>
      </c>
    </row>
    <row r="76" spans="1:27" x14ac:dyDescent="0.25">
      <c r="A76" s="2">
        <v>2033</v>
      </c>
      <c r="B76" s="2">
        <f>B10/'Output-Calculation-sheet'!B9*'Output-Calculation-sheet'!B63</f>
        <v>5902.5857918696347</v>
      </c>
      <c r="C76" s="2">
        <f>C10/'Output-Calculation-sheet'!C9*'Output-Calculation-sheet'!C63</f>
        <v>1216.6465199398854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3870.4577625560119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2629.5340431356904</v>
      </c>
      <c r="N76" s="2">
        <f>N10/'Output-Calculation-sheet'!N9*'Output-Calculation-sheet'!N63</f>
        <v>1503.9007751905535</v>
      </c>
      <c r="O76" s="2">
        <f>O10/'Output-Calculation-sheet'!O9*'Output-Calculation-sheet'!O63</f>
        <v>249.55443892485309</v>
      </c>
      <c r="P76" s="2">
        <f>P10/'Output-Calculation-sheet'!P9*'Output-Calculation-sheet'!P63</f>
        <v>519.3269350820924</v>
      </c>
      <c r="Q76" s="2">
        <f>Q10/'Output-Calculation-sheet'!Q9*'Output-Calculation-sheet'!Q63</f>
        <v>234.71015027884064</v>
      </c>
      <c r="R76" s="2">
        <f>R10/'Output-Calculation-sheet'!R9*'Output-Calculation-sheet'!R63</f>
        <v>395.19939576119776</v>
      </c>
      <c r="S76" s="2">
        <f>S10/'Output-Calculation-sheet'!S9*'Output-Calculation-sheet'!S63</f>
        <v>670.53034458341244</v>
      </c>
      <c r="T76" s="2">
        <f>T10/'Output-Calculation-sheet'!T9*'Output-Calculation-sheet'!T63</f>
        <v>25.971868118222929</v>
      </c>
      <c r="U76" s="2">
        <f>U10/'Output-Calculation-sheet'!U9*'Output-Calculation-sheet'!U63</f>
        <v>140.40298470270486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150.97754199260763</v>
      </c>
      <c r="Y76" s="2">
        <f>Y10/'Output-Calculation-sheet'!Y9*'Output-Calculation-sheet'!Y63</f>
        <v>6.659654355985146</v>
      </c>
      <c r="AA76" s="2">
        <f t="shared" si="6"/>
        <v>17.625481326889236</v>
      </c>
    </row>
    <row r="77" spans="1:27" x14ac:dyDescent="0.25">
      <c r="A77" s="2">
        <v>2034</v>
      </c>
      <c r="B77" s="2">
        <f>B11/'Output-Calculation-sheet'!B10*'Output-Calculation-sheet'!B64</f>
        <v>12443.033387973661</v>
      </c>
      <c r="C77" s="2">
        <f>C11/'Output-Calculation-sheet'!C10*'Output-Calculation-sheet'!C64</f>
        <v>1868.7237254285897</v>
      </c>
      <c r="D77" s="2">
        <f>D11/'Output-Calculation-sheet'!D10*'Output-Calculation-sheet'!D64</f>
        <v>1598.7552569075287</v>
      </c>
      <c r="E77" s="2">
        <f>E11/'Output-Calculation-sheet'!E10*'Output-Calculation-sheet'!E64</f>
        <v>1971.4634411832135</v>
      </c>
      <c r="F77" s="2">
        <f>F11/'Output-Calculation-sheet'!F10*'Output-Calculation-sheet'!F64</f>
        <v>126.94669220246769</v>
      </c>
      <c r="G77" s="2">
        <f>G11/'Output-Calculation-sheet'!G10*'Output-Calculation-sheet'!G64</f>
        <v>796.52583246287122</v>
      </c>
      <c r="H77" s="2">
        <f>H11/'Output-Calculation-sheet'!H10*'Output-Calculation-sheet'!H64</f>
        <v>4244.752821842616</v>
      </c>
      <c r="I77" s="2">
        <f>I11/'Output-Calculation-sheet'!I10*'Output-Calculation-sheet'!I64</f>
        <v>495.29285756918819</v>
      </c>
      <c r="J77" s="2">
        <f>J11/'Output-Calculation-sheet'!J10*'Output-Calculation-sheet'!J64</f>
        <v>347.5485987477395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317.1761371080479</v>
      </c>
      <c r="M77" s="2">
        <f>M11/'Output-Calculation-sheet'!M10*'Output-Calculation-sheet'!M64</f>
        <v>3008.7425385640177</v>
      </c>
      <c r="N77" s="2">
        <f>N11/'Output-Calculation-sheet'!N10*'Output-Calculation-sheet'!N64</f>
        <v>2111.0703495389607</v>
      </c>
      <c r="O77" s="2">
        <f>O11/'Output-Calculation-sheet'!O10*'Output-Calculation-sheet'!O64</f>
        <v>100.8360582364665</v>
      </c>
      <c r="P77" s="2">
        <f>P11/'Output-Calculation-sheet'!P10*'Output-Calculation-sheet'!P64</f>
        <v>927.22430587597876</v>
      </c>
      <c r="Q77" s="2">
        <f>Q11/'Output-Calculation-sheet'!Q10*'Output-Calculation-sheet'!Q64</f>
        <v>661.19434521064545</v>
      </c>
      <c r="R77" s="2">
        <f>R11/'Output-Calculation-sheet'!R10*'Output-Calculation-sheet'!R64</f>
        <v>799.60154409960501</v>
      </c>
      <c r="S77" s="2">
        <f>S11/'Output-Calculation-sheet'!S10*'Output-Calculation-sheet'!S64</f>
        <v>990.33014040276828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235.19959108716358</v>
      </c>
      <c r="V77" s="2">
        <f>V11/'Output-Calculation-sheet'!V10*'Output-Calculation-sheet'!V64</f>
        <v>114.13240629629344</v>
      </c>
      <c r="W77" s="2">
        <f>W11/'Output-Calculation-sheet'!W10*'Output-Calculation-sheet'!W64</f>
        <v>25.050271862457453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73.128034695561439</v>
      </c>
      <c r="AA77" s="2">
        <f t="shared" si="6"/>
        <v>34.356926595400502</v>
      </c>
    </row>
    <row r="78" spans="1:27" x14ac:dyDescent="0.25">
      <c r="A78" s="2">
        <v>2035</v>
      </c>
      <c r="B78" s="2">
        <f>B12/'Output-Calculation-sheet'!B11*'Output-Calculation-sheet'!B65</f>
        <v>11088.325880300625</v>
      </c>
      <c r="C78" s="2">
        <f>C12/'Output-Calculation-sheet'!C11*'Output-Calculation-sheet'!C65</f>
        <v>3643.8994057185118</v>
      </c>
      <c r="D78" s="2">
        <f>D12/'Output-Calculation-sheet'!D11*'Output-Calculation-sheet'!D65</f>
        <v>1488.9932148063758</v>
      </c>
      <c r="E78" s="2">
        <f>E12/'Output-Calculation-sheet'!E11*'Output-Calculation-sheet'!E65</f>
        <v>2591.1808739468788</v>
      </c>
      <c r="F78" s="2">
        <f>F12/'Output-Calculation-sheet'!F11*'Output-Calculation-sheet'!F65</f>
        <v>334.58843810862925</v>
      </c>
      <c r="G78" s="2">
        <f>G12/'Output-Calculation-sheet'!G11*'Output-Calculation-sheet'!G65</f>
        <v>652.34344678630839</v>
      </c>
      <c r="H78" s="2">
        <f>H12/'Output-Calculation-sheet'!H11*'Output-Calculation-sheet'!H65</f>
        <v>3529.6082443549712</v>
      </c>
      <c r="I78" s="2">
        <f>I12/'Output-Calculation-sheet'!I11*'Output-Calculation-sheet'!I65</f>
        <v>433.71667336499468</v>
      </c>
      <c r="J78" s="2">
        <f>J12/'Output-Calculation-sheet'!J11*'Output-Calculation-sheet'!J65</f>
        <v>631.75937820229058</v>
      </c>
      <c r="K78" s="2">
        <f>K12/'Output-Calculation-sheet'!K11*'Output-Calculation-sheet'!K65</f>
        <v>776.82306137749811</v>
      </c>
      <c r="L78" s="2">
        <f>L12/'Output-Calculation-sheet'!L11*'Output-Calculation-sheet'!L65</f>
        <v>663.58068306641621</v>
      </c>
      <c r="M78" s="2">
        <f>M12/'Output-Calculation-sheet'!M11*'Output-Calculation-sheet'!M65</f>
        <v>2577.4255805844159</v>
      </c>
      <c r="N78" s="2">
        <f>N12/'Output-Calculation-sheet'!N11*'Output-Calculation-sheet'!N65</f>
        <v>1856.7878280199752</v>
      </c>
      <c r="O78" s="2">
        <f>O12/'Output-Calculation-sheet'!O11*'Output-Calculation-sheet'!O65</f>
        <v>8.7013176268084109</v>
      </c>
      <c r="P78" s="2">
        <f>P12/'Output-Calculation-sheet'!P11*'Output-Calculation-sheet'!P65</f>
        <v>896.58993361915634</v>
      </c>
      <c r="Q78" s="2">
        <f>Q12/'Output-Calculation-sheet'!Q11*'Output-Calculation-sheet'!Q65</f>
        <v>603.39017829083798</v>
      </c>
      <c r="R78" s="2">
        <f>R12/'Output-Calculation-sheet'!R11*'Output-Calculation-sheet'!R65</f>
        <v>835.17492329221091</v>
      </c>
      <c r="S78" s="2">
        <f>S12/'Output-Calculation-sheet'!S11*'Output-Calculation-sheet'!S65</f>
        <v>877.68070625183816</v>
      </c>
      <c r="T78" s="2">
        <f>T12/'Output-Calculation-sheet'!T11*'Output-Calculation-sheet'!T65</f>
        <v>288.12421051489844</v>
      </c>
      <c r="U78" s="2">
        <f>U12/'Output-Calculation-sheet'!U11*'Output-Calculation-sheet'!U65</f>
        <v>197.12889193242097</v>
      </c>
      <c r="V78" s="2">
        <f>V12/'Output-Calculation-sheet'!V11*'Output-Calculation-sheet'!V65</f>
        <v>162.50479289403236</v>
      </c>
      <c r="W78" s="2">
        <f>W12/'Output-Calculation-sheet'!W11*'Output-Calculation-sheet'!W65</f>
        <v>76.842717224803778</v>
      </c>
      <c r="X78" s="2">
        <f>X12/'Output-Calculation-sheet'!X11*'Output-Calculation-sheet'!X65</f>
        <v>21.183469841834963</v>
      </c>
      <c r="Y78" s="2">
        <f>Y12/'Output-Calculation-sheet'!Y11*'Output-Calculation-sheet'!Y65</f>
        <v>71.911062010490753</v>
      </c>
      <c r="AA78" s="2">
        <f t="shared" si="6"/>
        <v>34.308264912137226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20.822633886220771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1.5702268474709054</v>
      </c>
      <c r="H88" s="2">
        <f>H11/'Output-Calculation-sheet'!H10*'Output-Calculation-sheet'!H73</f>
        <v>10.647925281685044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4.5065966807571405</v>
      </c>
      <c r="R88" s="2">
        <f>R11/'Output-Calculation-sheet'!R10*'Output-Calculation-sheet'!R73</f>
        <v>0</v>
      </c>
      <c r="S88" s="2">
        <f>S11/'Output-Calculation-sheet'!S10*'Output-Calculation-sheet'!S73</f>
        <v>2.3587994150288041</v>
      </c>
      <c r="T88" s="2">
        <f>T11/'Output-Calculation-sheet'!T10*'Output-Calculation-sheet'!T73</f>
        <v>0</v>
      </c>
      <c r="U88" s="2">
        <f>U11/'Output-Calculation-sheet'!U10*'Output-Calculation-sheet'!U73</f>
        <v>1.437875309872227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4.1344057421034898E-2</v>
      </c>
    </row>
    <row r="89" spans="1:27" x14ac:dyDescent="0.25">
      <c r="A89" s="2">
        <v>2035</v>
      </c>
      <c r="B89" s="2">
        <f>B12/'Output-Calculation-sheet'!B11*'Output-Calculation-sheet'!B74</f>
        <v>241.88099566089284</v>
      </c>
      <c r="C89" s="2">
        <f>C12/'Output-Calculation-sheet'!C11*'Output-Calculation-sheet'!C74</f>
        <v>131.20265025574733</v>
      </c>
      <c r="D89" s="2">
        <f>D12/'Output-Calculation-sheet'!D11*'Output-Calculation-sheet'!D74</f>
        <v>21.79179227902172</v>
      </c>
      <c r="E89" s="2">
        <f>E12/'Output-Calculation-sheet'!E11*'Output-Calculation-sheet'!E74</f>
        <v>72.161177321608605</v>
      </c>
      <c r="F89" s="2">
        <f>F12/'Output-Calculation-sheet'!F11*'Output-Calculation-sheet'!F74</f>
        <v>21.784519702365341</v>
      </c>
      <c r="G89" s="2">
        <f>G12/'Output-Calculation-sheet'!G11*'Output-Calculation-sheet'!G74</f>
        <v>15.634417076632422</v>
      </c>
      <c r="H89" s="2">
        <f>H12/'Output-Calculation-sheet'!H11*'Output-Calculation-sheet'!H74</f>
        <v>54.271704210256644</v>
      </c>
      <c r="I89" s="2">
        <f>I12/'Output-Calculation-sheet'!I11*'Output-Calculation-sheet'!I74</f>
        <v>14.062192034270442</v>
      </c>
      <c r="J89" s="2">
        <f>J12/'Output-Calculation-sheet'!J11*'Output-Calculation-sheet'!J74</f>
        <v>6.9584559803902097</v>
      </c>
      <c r="K89" s="2">
        <f>K12/'Output-Calculation-sheet'!K11*'Output-Calculation-sheet'!K74</f>
        <v>10.365672294826188</v>
      </c>
      <c r="L89" s="2">
        <f>L12/'Output-Calculation-sheet'!L11*'Output-Calculation-sheet'!L74</f>
        <v>5.494870281622366</v>
      </c>
      <c r="M89" s="2">
        <f>M12/'Output-Calculation-sheet'!M11*'Output-Calculation-sheet'!M74</f>
        <v>28.65951321790206</v>
      </c>
      <c r="N89" s="2">
        <f>N12/'Output-Calculation-sheet'!N11*'Output-Calculation-sheet'!N74</f>
        <v>14.510609450115927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19.713609306861986</v>
      </c>
      <c r="Q89" s="2">
        <f>Q12/'Output-Calculation-sheet'!Q11*'Output-Calculation-sheet'!Q74</f>
        <v>16.452784818590352</v>
      </c>
      <c r="R89" s="2">
        <f>R12/'Output-Calculation-sheet'!R11*'Output-Calculation-sheet'!R74</f>
        <v>8.8996565909435468</v>
      </c>
      <c r="S89" s="2">
        <f>S12/'Output-Calculation-sheet'!S11*'Output-Calculation-sheet'!S74</f>
        <v>12.721619938837184</v>
      </c>
      <c r="T89" s="2">
        <f>T12/'Output-Calculation-sheet'!T11*'Output-Calculation-sheet'!T74</f>
        <v>1.6462688404516057</v>
      </c>
      <c r="U89" s="2">
        <f>U12/'Output-Calculation-sheet'!U11*'Output-Calculation-sheet'!U74</f>
        <v>4.7722069234651405</v>
      </c>
      <c r="V89" s="2">
        <f>V12/'Output-Calculation-sheet'!V11*'Output-Calculation-sheet'!V74</f>
        <v>0.36797884329892327</v>
      </c>
      <c r="W89" s="2">
        <f>W12/'Output-Calculation-sheet'!W11*'Output-Calculation-sheet'!W74</f>
        <v>2.2305115820680741</v>
      </c>
      <c r="X89" s="2">
        <f>X12/'Output-Calculation-sheet'!X11*'Output-Calculation-sheet'!X74</f>
        <v>0.28581892790710334</v>
      </c>
      <c r="Y89" s="2">
        <f>Y12/'Output-Calculation-sheet'!Y11*'Output-Calculation-sheet'!Y74</f>
        <v>3.0340280589991626</v>
      </c>
      <c r="AA89" s="2">
        <f t="shared" si="7"/>
        <v>0.70969958578554171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9755317911.8643532</v>
      </c>
      <c r="C96" s="2">
        <f>C8/'Output-Calculation-sheet'!C7*'Output-Calculation-sheet'!C79</f>
        <v>2355749704.1386127</v>
      </c>
      <c r="D96" s="2">
        <f>D8/'Output-Calculation-sheet'!D7*'Output-Calculation-sheet'!D79</f>
        <v>1912508825.0496395</v>
      </c>
      <c r="E96" s="2">
        <f>E8/'Output-Calculation-sheet'!E7*'Output-Calculation-sheet'!E79</f>
        <v>7165484954.5715275</v>
      </c>
      <c r="F96" s="2">
        <f>F8/'Output-Calculation-sheet'!F7*'Output-Calculation-sheet'!F79</f>
        <v>2090280864.0167596</v>
      </c>
      <c r="G96" s="2">
        <f>G8/'Output-Calculation-sheet'!G7*'Output-Calculation-sheet'!G79</f>
        <v>1341662385.4148047</v>
      </c>
      <c r="H96" s="2">
        <f>H8/'Output-Calculation-sheet'!H7*'Output-Calculation-sheet'!H79</f>
        <v>1652883582.7527301</v>
      </c>
      <c r="I96" s="2">
        <f>I8/'Output-Calculation-sheet'!I7*'Output-Calculation-sheet'!I79</f>
        <v>964783495.53260219</v>
      </c>
      <c r="J96" s="2">
        <f>J8/'Output-Calculation-sheet'!J7*'Output-Calculation-sheet'!J79</f>
        <v>731114700.92234683</v>
      </c>
      <c r="K96" s="2">
        <f>K8/'Output-Calculation-sheet'!K7*'Output-Calculation-sheet'!K79</f>
        <v>916913781.17729247</v>
      </c>
      <c r="L96" s="2">
        <f>L8/'Output-Calculation-sheet'!L7*'Output-Calculation-sheet'!L79</f>
        <v>832401326.59782839</v>
      </c>
      <c r="M96" s="2">
        <f>M8/'Output-Calculation-sheet'!M7*'Output-Calculation-sheet'!M79</f>
        <v>1275356229.3092809</v>
      </c>
      <c r="N96" s="2">
        <f>N8/'Output-Calculation-sheet'!N7*'Output-Calculation-sheet'!N79</f>
        <v>829066610.18745565</v>
      </c>
      <c r="O96" s="2">
        <f>O8/'Output-Calculation-sheet'!O7*'Output-Calculation-sheet'!O79</f>
        <v>311083223.78924829</v>
      </c>
      <c r="P96" s="2">
        <f>P8/'Output-Calculation-sheet'!P7*'Output-Calculation-sheet'!P79</f>
        <v>1578972741.7077386</v>
      </c>
      <c r="Q96" s="2">
        <f>Q8/'Output-Calculation-sheet'!Q7*'Output-Calculation-sheet'!Q79</f>
        <v>670380231.5651592</v>
      </c>
      <c r="R96" s="2">
        <f>R8/'Output-Calculation-sheet'!R7*'Output-Calculation-sheet'!R79</f>
        <v>889784104.42843294</v>
      </c>
      <c r="S96" s="2">
        <f>S8/'Output-Calculation-sheet'!S7*'Output-Calculation-sheet'!S79</f>
        <v>501802147.5951851</v>
      </c>
      <c r="T96" s="2">
        <f>T8/'Output-Calculation-sheet'!T7*'Output-Calculation-sheet'!T79</f>
        <v>302726716.66220319</v>
      </c>
      <c r="U96" s="2">
        <f>U8/'Output-Calculation-sheet'!U7*'Output-Calculation-sheet'!U79</f>
        <v>238283899.20029008</v>
      </c>
      <c r="V96" s="2">
        <f>V8/'Output-Calculation-sheet'!V7*'Output-Calculation-sheet'!V79</f>
        <v>109364013.1919055</v>
      </c>
      <c r="W96" s="2">
        <f>W8/'Output-Calculation-sheet'!W7*'Output-Calculation-sheet'!W79</f>
        <v>336721911.47052473</v>
      </c>
      <c r="X96" s="2">
        <f>X8/'Output-Calculation-sheet'!X7*'Output-Calculation-sheet'!X79</f>
        <v>151868213.1365051</v>
      </c>
      <c r="Y96" s="2">
        <f>Y8/'Output-Calculation-sheet'!Y7*'Output-Calculation-sheet'!Y79</f>
        <v>208998601.2419844</v>
      </c>
      <c r="AA96" s="2">
        <f t="shared" si="8"/>
        <v>37.123510175524402</v>
      </c>
    </row>
    <row r="97" spans="1:27" x14ac:dyDescent="0.25">
      <c r="A97" s="2">
        <v>2032</v>
      </c>
      <c r="B97" s="2">
        <f>B9/'Output-Calculation-sheet'!B8*'Output-Calculation-sheet'!B80</f>
        <v>11925008973.264921</v>
      </c>
      <c r="C97" s="2">
        <f>C9/'Output-Calculation-sheet'!C8*'Output-Calculation-sheet'!C80</f>
        <v>2816476174.3393712</v>
      </c>
      <c r="D97" s="2">
        <f>D9/'Output-Calculation-sheet'!D8*'Output-Calculation-sheet'!D80</f>
        <v>2151472536.3795695</v>
      </c>
      <c r="E97" s="2">
        <f>E9/'Output-Calculation-sheet'!E8*'Output-Calculation-sheet'!E80</f>
        <v>9057393951.8298187</v>
      </c>
      <c r="F97" s="2">
        <f>F9/'Output-Calculation-sheet'!F8*'Output-Calculation-sheet'!F80</f>
        <v>2483848307.0285106</v>
      </c>
      <c r="G97" s="2">
        <f>G9/'Output-Calculation-sheet'!G8*'Output-Calculation-sheet'!G80</f>
        <v>1521969870.0308032</v>
      </c>
      <c r="H97" s="2">
        <f>H9/'Output-Calculation-sheet'!H8*'Output-Calculation-sheet'!H80</f>
        <v>1992804697.3981795</v>
      </c>
      <c r="I97" s="2">
        <f>I9/'Output-Calculation-sheet'!I8*'Output-Calculation-sheet'!I80</f>
        <v>1147851212.84199</v>
      </c>
      <c r="J97" s="2">
        <f>J9/'Output-Calculation-sheet'!J8*'Output-Calculation-sheet'!J80</f>
        <v>857761334.45406556</v>
      </c>
      <c r="K97" s="2">
        <f>K9/'Output-Calculation-sheet'!K8*'Output-Calculation-sheet'!K80</f>
        <v>1057911018.9118032</v>
      </c>
      <c r="L97" s="2">
        <f>L9/'Output-Calculation-sheet'!L8*'Output-Calculation-sheet'!L80</f>
        <v>1020428605.868403</v>
      </c>
      <c r="M97" s="2">
        <f>M9/'Output-Calculation-sheet'!M8*'Output-Calculation-sheet'!M80</f>
        <v>1572187919.1244469</v>
      </c>
      <c r="N97" s="2">
        <f>N9/'Output-Calculation-sheet'!N8*'Output-Calculation-sheet'!N80</f>
        <v>987813505.65457475</v>
      </c>
      <c r="O97" s="2">
        <f>O9/'Output-Calculation-sheet'!O8*'Output-Calculation-sheet'!O80</f>
        <v>367187533.07166159</v>
      </c>
      <c r="P97" s="2">
        <f>P9/'Output-Calculation-sheet'!P8*'Output-Calculation-sheet'!P80</f>
        <v>1851911522.658299</v>
      </c>
      <c r="Q97" s="2">
        <f>Q9/'Output-Calculation-sheet'!Q8*'Output-Calculation-sheet'!Q80</f>
        <v>801015969.69070864</v>
      </c>
      <c r="R97" s="2">
        <f>R9/'Output-Calculation-sheet'!R8*'Output-Calculation-sheet'!R80</f>
        <v>1073367402.9662961</v>
      </c>
      <c r="S97" s="2">
        <f>S9/'Output-Calculation-sheet'!S8*'Output-Calculation-sheet'!S80</f>
        <v>597394894.81710088</v>
      </c>
      <c r="T97" s="2">
        <f>T9/'Output-Calculation-sheet'!T8*'Output-Calculation-sheet'!T80</f>
        <v>348336903.92481166</v>
      </c>
      <c r="U97" s="2">
        <f>U9/'Output-Calculation-sheet'!U8*'Output-Calculation-sheet'!U80</f>
        <v>277179694.63330787</v>
      </c>
      <c r="V97" s="2">
        <f>V9/'Output-Calculation-sheet'!V8*'Output-Calculation-sheet'!V80</f>
        <v>127851338.26414114</v>
      </c>
      <c r="W97" s="2">
        <f>W9/'Output-Calculation-sheet'!W8*'Output-Calculation-sheet'!W80</f>
        <v>395634691.43101966</v>
      </c>
      <c r="X97" s="2">
        <f>X9/'Output-Calculation-sheet'!X8*'Output-Calculation-sheet'!X80</f>
        <v>191617873.55678472</v>
      </c>
      <c r="Y97" s="2">
        <f>Y9/'Output-Calculation-sheet'!Y8*'Output-Calculation-sheet'!Y80</f>
        <v>251538032.31073868</v>
      </c>
      <c r="AA97" s="2">
        <f t="shared" si="8"/>
        <v>44.87596396445133</v>
      </c>
    </row>
    <row r="98" spans="1:27" x14ac:dyDescent="0.25">
      <c r="A98" s="2">
        <v>2033</v>
      </c>
      <c r="B98" s="2">
        <f>B10/'Output-Calculation-sheet'!B9*'Output-Calculation-sheet'!B81</f>
        <v>12782047021.832085</v>
      </c>
      <c r="C98" s="2">
        <f>C10/'Output-Calculation-sheet'!C9*'Output-Calculation-sheet'!C81</f>
        <v>2959825217.9834337</v>
      </c>
      <c r="D98" s="2">
        <f>D10/'Output-Calculation-sheet'!D9*'Output-Calculation-sheet'!D81</f>
        <v>2129279133.2950075</v>
      </c>
      <c r="E98" s="2">
        <f>E10/'Output-Calculation-sheet'!E9*'Output-Calculation-sheet'!E81</f>
        <v>10051019536.335203</v>
      </c>
      <c r="F98" s="2">
        <f>F10/'Output-Calculation-sheet'!F9*'Output-Calculation-sheet'!F81</f>
        <v>2589651796.2831717</v>
      </c>
      <c r="G98" s="2">
        <f>G10/'Output-Calculation-sheet'!G9*'Output-Calculation-sheet'!G81</f>
        <v>1512930593.5792613</v>
      </c>
      <c r="H98" s="2">
        <f>H10/'Output-Calculation-sheet'!H9*'Output-Calculation-sheet'!H81</f>
        <v>2106233781.5407577</v>
      </c>
      <c r="I98" s="2">
        <f>I10/'Output-Calculation-sheet'!I9*'Output-Calculation-sheet'!I81</f>
        <v>1200323737.4089448</v>
      </c>
      <c r="J98" s="2">
        <f>J10/'Output-Calculation-sheet'!J9*'Output-Calculation-sheet'!J81</f>
        <v>885468568.29881752</v>
      </c>
      <c r="K98" s="2">
        <f>K10/'Output-Calculation-sheet'!K9*'Output-Calculation-sheet'!K81</f>
        <v>1072259129.2622741</v>
      </c>
      <c r="L98" s="2">
        <f>L10/'Output-Calculation-sheet'!L9*'Output-Calculation-sheet'!L81</f>
        <v>1098960731.0074918</v>
      </c>
      <c r="M98" s="2">
        <f>M10/'Output-Calculation-sheet'!M9*'Output-Calculation-sheet'!M81</f>
        <v>1703000043.853965</v>
      </c>
      <c r="N98" s="2">
        <f>N10/'Output-Calculation-sheet'!N9*'Output-Calculation-sheet'!N81</f>
        <v>1034937471.6876769</v>
      </c>
      <c r="O98" s="2">
        <f>O10/'Output-Calculation-sheet'!O9*'Output-Calculation-sheet'!O81</f>
        <v>381715493.21460927</v>
      </c>
      <c r="P98" s="2">
        <f>P10/'Output-Calculation-sheet'!P9*'Output-Calculation-sheet'!P81</f>
        <v>1893706989.4602416</v>
      </c>
      <c r="Q98" s="2">
        <f>Q10/'Output-Calculation-sheet'!Q9*'Output-Calculation-sheet'!Q81</f>
        <v>841435339.17076576</v>
      </c>
      <c r="R98" s="2">
        <f>R10/'Output-Calculation-sheet'!R9*'Output-Calculation-sheet'!R81</f>
        <v>1135750486.6981838</v>
      </c>
      <c r="S98" s="2">
        <f>S10/'Output-Calculation-sheet'!S9*'Output-Calculation-sheet'!S81</f>
        <v>623752758.00415826</v>
      </c>
      <c r="T98" s="2">
        <f>T10/'Output-Calculation-sheet'!T9*'Output-Calculation-sheet'!T81</f>
        <v>351430493.1959601</v>
      </c>
      <c r="U98" s="2">
        <f>U10/'Output-Calculation-sheet'!U9*'Output-Calculation-sheet'!U81</f>
        <v>282385159.85777777</v>
      </c>
      <c r="V98" s="2">
        <f>V10/'Output-Calculation-sheet'!V9*'Output-Calculation-sheet'!V81</f>
        <v>131152674.74500726</v>
      </c>
      <c r="W98" s="2">
        <f>W10/'Output-Calculation-sheet'!W9*'Output-Calculation-sheet'!W81</f>
        <v>405590204.71481758</v>
      </c>
      <c r="X98" s="2">
        <f>X10/'Output-Calculation-sheet'!X9*'Output-Calculation-sheet'!X81</f>
        <v>212624222.66902462</v>
      </c>
      <c r="Y98" s="2">
        <f>Y10/'Output-Calculation-sheet'!Y9*'Output-Calculation-sheet'!Y81</f>
        <v>264712538.68001047</v>
      </c>
      <c r="AA98" s="2">
        <f t="shared" si="8"/>
        <v>47.650193122778646</v>
      </c>
    </row>
    <row r="99" spans="1:27" x14ac:dyDescent="0.25">
      <c r="A99" s="2">
        <v>2034</v>
      </c>
      <c r="B99" s="2">
        <f>B11/'Output-Calculation-sheet'!B10*'Output-Calculation-sheet'!B82</f>
        <v>12205613716.402973</v>
      </c>
      <c r="C99" s="2">
        <f>C11/'Output-Calculation-sheet'!C10*'Output-Calculation-sheet'!C82</f>
        <v>2778403529.5714283</v>
      </c>
      <c r="D99" s="2">
        <f>D11/'Output-Calculation-sheet'!D10*'Output-Calculation-sheet'!D82</f>
        <v>1884663420.6842253</v>
      </c>
      <c r="E99" s="2">
        <f>E11/'Output-Calculation-sheet'!E10*'Output-Calculation-sheet'!E82</f>
        <v>9946940723.7023239</v>
      </c>
      <c r="F99" s="2">
        <f>F11/'Output-Calculation-sheet'!F10*'Output-Calculation-sheet'!F82</f>
        <v>2407718546.8955398</v>
      </c>
      <c r="G99" s="2">
        <f>G11/'Output-Calculation-sheet'!G10*'Output-Calculation-sheet'!G82</f>
        <v>1340043054.2876573</v>
      </c>
      <c r="H99" s="2">
        <f>H11/'Output-Calculation-sheet'!H10*'Output-Calculation-sheet'!H82</f>
        <v>1982917491.242713</v>
      </c>
      <c r="I99" s="2">
        <f>I11/'Output-Calculation-sheet'!I10*'Output-Calculation-sheet'!I82</f>
        <v>1121250358.6151485</v>
      </c>
      <c r="J99" s="2">
        <f>J11/'Output-Calculation-sheet'!J10*'Output-Calculation-sheet'!J82</f>
        <v>817383700.80299568</v>
      </c>
      <c r="K99" s="2">
        <f>K11/'Output-Calculation-sheet'!K10*'Output-Calculation-sheet'!K82</f>
        <v>970525541.61837196</v>
      </c>
      <c r="L99" s="2">
        <f>L11/'Output-Calculation-sheet'!L10*'Output-Calculation-sheet'!L82</f>
        <v>1056503907.0499636</v>
      </c>
      <c r="M99" s="2">
        <f>M11/'Output-Calculation-sheet'!M10*'Output-Calculation-sheet'!M82</f>
        <v>1646933699.0668557</v>
      </c>
      <c r="N99" s="2">
        <f>N11/'Output-Calculation-sheet'!N10*'Output-Calculation-sheet'!N82</f>
        <v>969006870.67824709</v>
      </c>
      <c r="O99" s="2">
        <f>O11/'Output-Calculation-sheet'!O10*'Output-Calculation-sheet'!O82</f>
        <v>355138781.50852662</v>
      </c>
      <c r="P99" s="2">
        <f>P11/'Output-Calculation-sheet'!P10*'Output-Calculation-sheet'!P82</f>
        <v>1716617920.3185086</v>
      </c>
      <c r="Q99" s="2">
        <f>Q11/'Output-Calculation-sheet'!Q10*'Output-Calculation-sheet'!Q82</f>
        <v>789623968.34239769</v>
      </c>
      <c r="R99" s="2">
        <f>R11/'Output-Calculation-sheet'!R10*'Output-Calculation-sheet'!R82</f>
        <v>1071106267.5712364</v>
      </c>
      <c r="S99" s="2">
        <f>S11/'Output-Calculation-sheet'!S10*'Output-Calculation-sheet'!S82</f>
        <v>580448288.63154578</v>
      </c>
      <c r="T99" s="2">
        <f>T11/'Output-Calculation-sheet'!T10*'Output-Calculation-sheet'!T82</f>
        <v>316077061.88560718</v>
      </c>
      <c r="U99" s="2">
        <f>U11/'Output-Calculation-sheet'!U10*'Output-Calculation-sheet'!U82</f>
        <v>256160103.38680118</v>
      </c>
      <c r="V99" s="2">
        <f>V11/'Output-Calculation-sheet'!V10*'Output-Calculation-sheet'!V82</f>
        <v>119990700.52971441</v>
      </c>
      <c r="W99" s="2">
        <f>W11/'Output-Calculation-sheet'!W10*'Output-Calculation-sheet'!W82</f>
        <v>368851279.17875785</v>
      </c>
      <c r="X99" s="2">
        <f>X11/'Output-Calculation-sheet'!X10*'Output-Calculation-sheet'!X82</f>
        <v>210812824.16845953</v>
      </c>
      <c r="Y99" s="2">
        <f>Y11/'Output-Calculation-sheet'!Y10*'Output-Calculation-sheet'!Y82</f>
        <v>247573763.74783686</v>
      </c>
      <c r="AA99" s="2">
        <f t="shared" si="8"/>
        <v>45.160305519887835</v>
      </c>
    </row>
    <row r="100" spans="1:27" x14ac:dyDescent="0.25">
      <c r="A100" s="2">
        <v>2035</v>
      </c>
      <c r="B100" s="2">
        <f>B12/'Output-Calculation-sheet'!B11*'Output-Calculation-sheet'!B83</f>
        <v>10447030251.947697</v>
      </c>
      <c r="C100" s="2">
        <f>C12/'Output-Calculation-sheet'!C11*'Output-Calculation-sheet'!C83</f>
        <v>2344348225.1589494</v>
      </c>
      <c r="D100" s="2">
        <f>D12/'Output-Calculation-sheet'!D11*'Output-Calculation-sheet'!D83</f>
        <v>1501743229.2722936</v>
      </c>
      <c r="E100" s="2">
        <f>E12/'Output-Calculation-sheet'!E11*'Output-Calculation-sheet'!E83</f>
        <v>8831113745.0893898</v>
      </c>
      <c r="F100" s="2">
        <f>F12/'Output-Calculation-sheet'!F11*'Output-Calculation-sheet'!F83</f>
        <v>2009184436.7725136</v>
      </c>
      <c r="G100" s="2">
        <f>G12/'Output-Calculation-sheet'!G11*'Output-Calculation-sheet'!G83</f>
        <v>1064803993.4747673</v>
      </c>
      <c r="H100" s="2">
        <f>H12/'Output-Calculation-sheet'!H11*'Output-Calculation-sheet'!H83</f>
        <v>1673239553.3125181</v>
      </c>
      <c r="I100" s="2">
        <f>I12/'Output-Calculation-sheet'!I11*'Output-Calculation-sheet'!I83</f>
        <v>941612815.92996931</v>
      </c>
      <c r="J100" s="2">
        <f>J12/'Output-Calculation-sheet'!J11*'Output-Calculation-sheet'!J83</f>
        <v>679014020.81658781</v>
      </c>
      <c r="K100" s="2">
        <f>K12/'Output-Calculation-sheet'!K11*'Output-Calculation-sheet'!K83</f>
        <v>789629849.49775589</v>
      </c>
      <c r="L100" s="2">
        <f>L12/'Output-Calculation-sheet'!L11*'Output-Calculation-sheet'!L83</f>
        <v>912298293.54565835</v>
      </c>
      <c r="M100" s="2">
        <f>M12/'Output-Calculation-sheet'!M11*'Output-Calculation-sheet'!M83</f>
        <v>1430695058.4190359</v>
      </c>
      <c r="N100" s="2">
        <f>N12/'Output-Calculation-sheet'!N11*'Output-Calculation-sheet'!N83</f>
        <v>815958456.68576443</v>
      </c>
      <c r="O100" s="2">
        <f>O12/'Output-Calculation-sheet'!O11*'Output-Calculation-sheet'!O83</f>
        <v>297554396.34759176</v>
      </c>
      <c r="P100" s="2">
        <f>P12/'Output-Calculation-sheet'!P11*'Output-Calculation-sheet'!P83</f>
        <v>1389147867.4054317</v>
      </c>
      <c r="Q100" s="2">
        <f>Q12/'Output-Calculation-sheet'!Q11*'Output-Calculation-sheet'!Q83</f>
        <v>666096303.1430037</v>
      </c>
      <c r="R100" s="2">
        <f>R12/'Output-Calculation-sheet'!R11*'Output-Calculation-sheet'!R83</f>
        <v>905940542.67509842</v>
      </c>
      <c r="S100" s="2">
        <f>S12/'Output-Calculation-sheet'!S11*'Output-Calculation-sheet'!S83</f>
        <v>484450198.5064829</v>
      </c>
      <c r="T100" s="2">
        <f>T12/'Output-Calculation-sheet'!T11*'Output-Calculation-sheet'!T83</f>
        <v>255160393.3284418</v>
      </c>
      <c r="U100" s="2">
        <f>U12/'Output-Calculation-sheet'!U11*'Output-Calculation-sheet'!U83</f>
        <v>208302370.19577995</v>
      </c>
      <c r="V100" s="2">
        <f>V12/'Output-Calculation-sheet'!V11*'Output-Calculation-sheet'!V83</f>
        <v>98541146.441729486</v>
      </c>
      <c r="W100" s="2">
        <f>W12/'Output-Calculation-sheet'!W11*'Output-Calculation-sheet'!W83</f>
        <v>299633702.18778855</v>
      </c>
      <c r="X100" s="2">
        <f>X12/'Output-Calculation-sheet'!X11*'Output-Calculation-sheet'!X83</f>
        <v>187903270.13063982</v>
      </c>
      <c r="Y100" s="2">
        <f>Y12/'Output-Calculation-sheet'!Y11*'Output-Calculation-sheet'!Y83</f>
        <v>207126567.83053377</v>
      </c>
      <c r="AA100" s="2">
        <f t="shared" si="8"/>
        <v>38.440528688115435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1615.792350944512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392.3794572431479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37.545911280887168</v>
      </c>
      <c r="Y107" s="2">
        <f>Y8/'Output-Calculation-sheet'!Y7*'Output-Calculation-sheet'!Y88</f>
        <v>0</v>
      </c>
      <c r="AA107" s="2">
        <f t="shared" si="9"/>
        <v>2.0457177194685472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3015.5470363970321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585.83701488176382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50.051278214644306</v>
      </c>
      <c r="Y108" s="2">
        <f>Y9/'Output-Calculation-sheet'!Y8*'Output-Calculation-sheet'!Y89</f>
        <v>0</v>
      </c>
      <c r="AA108" s="2">
        <f t="shared" si="9"/>
        <v>3.6514353294934403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737.54270533438751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4.5829916848897163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887.02784499562108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5.1431691078921782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2841.3573946010283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102.70426809461914</v>
      </c>
      <c r="Y111" s="2">
        <f>Y12/'Output-Calculation-sheet'!Y11*'Output-Calculation-sheet'!Y92</f>
        <v>0</v>
      </c>
      <c r="AA111" s="2">
        <f t="shared" si="9"/>
        <v>3.8640563403744936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13373341466.150021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8322585207.2889862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5741878840.4200182</v>
      </c>
      <c r="N118" s="2">
        <f>N8/'Output-Calculation-sheet'!N7*'Output-Calculation-sheet'!N97</f>
        <v>1925788502.6046381</v>
      </c>
      <c r="O118" s="2">
        <f>O8/'Output-Calculation-sheet'!O7*'Output-Calculation-sheet'!O97</f>
        <v>1846384850.6730423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576386625.27459085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312647606.98906255</v>
      </c>
      <c r="Y118" s="2">
        <f>Y8/'Output-Calculation-sheet'!Y7*'Output-Calculation-sheet'!Y97</f>
        <v>0</v>
      </c>
      <c r="AA118" s="2">
        <f t="shared" si="10"/>
        <v>33718.695839685905</v>
      </c>
    </row>
    <row r="119" spans="1:27" x14ac:dyDescent="0.25">
      <c r="A119" s="2">
        <v>2032</v>
      </c>
      <c r="B119" s="2">
        <f>B9/'Output-Calculation-sheet'!B8*'Output-Calculation-sheet'!B98</f>
        <v>7093761300.905036</v>
      </c>
      <c r="C119" s="2">
        <f>C9/'Output-Calculation-sheet'!C8*'Output-Calculation-sheet'!C98</f>
        <v>10466426671.468616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11094636193.089748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7654329485.1297932</v>
      </c>
      <c r="N119" s="2">
        <f>N9/'Output-Calculation-sheet'!N8*'Output-Calculation-sheet'!N98</f>
        <v>3601993700.5667024</v>
      </c>
      <c r="O119" s="2">
        <f>O9/'Output-Calculation-sheet'!O8*'Output-Calculation-sheet'!O98</f>
        <v>2018498717.5347884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1079112906.9140046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420973760.87081105</v>
      </c>
      <c r="Y119" s="2">
        <f>Y9/'Output-Calculation-sheet'!Y8*'Output-Calculation-sheet'!Y98</f>
        <v>0</v>
      </c>
      <c r="AA119" s="2">
        <f t="shared" si="10"/>
        <v>43429.732736479498</v>
      </c>
    </row>
    <row r="120" spans="1:27" x14ac:dyDescent="0.25">
      <c r="A120" s="2">
        <v>2033</v>
      </c>
      <c r="B120" s="2">
        <f>B10/'Output-Calculation-sheet'!B9*'Output-Calculation-sheet'!B99</f>
        <v>17563062448.133759</v>
      </c>
      <c r="C120" s="2">
        <f>C10/'Output-Calculation-sheet'!C9*'Output-Calculation-sheet'!C99</f>
        <v>10182713313.755489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5273047409.9194918</v>
      </c>
      <c r="O120" s="2">
        <f>O10/'Output-Calculation-sheet'!O9*'Output-Calculation-sheet'!O99</f>
        <v>1954495619.0624435</v>
      </c>
      <c r="P120" s="2">
        <f>P10/'Output-Calculation-sheet'!P9*'Output-Calculation-sheet'!P99</f>
        <v>0</v>
      </c>
      <c r="Q120" s="2">
        <f>Q10/'Output-Calculation-sheet'!Q9*'Output-Calculation-sheet'!Q99</f>
        <v>169898612.96662667</v>
      </c>
      <c r="R120" s="2">
        <f>R10/'Output-Calculation-sheet'!R9*'Output-Calculation-sheet'!R99</f>
        <v>0</v>
      </c>
      <c r="S120" s="2">
        <f>S10/'Output-Calculation-sheet'!S9*'Output-Calculation-sheet'!S99</f>
        <v>2127012061.6124563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578441729.97911417</v>
      </c>
      <c r="Y120" s="2">
        <f>Y10/'Output-Calculation-sheet'!Y9*'Output-Calculation-sheet'!Y99</f>
        <v>0</v>
      </c>
      <c r="AA120" s="2">
        <f t="shared" si="10"/>
        <v>59879.837316239951</v>
      </c>
    </row>
    <row r="121" spans="1:27" x14ac:dyDescent="0.25">
      <c r="A121" s="2">
        <v>2034</v>
      </c>
      <c r="B121" s="2">
        <f>B11/'Output-Calculation-sheet'!B10*'Output-Calculation-sheet'!B100</f>
        <v>35301402487.397751</v>
      </c>
      <c r="C121" s="2">
        <f>C11/'Output-Calculation-sheet'!C10*'Output-Calculation-sheet'!C100</f>
        <v>9099866683.117485</v>
      </c>
      <c r="D121" s="2">
        <f>D11/'Output-Calculation-sheet'!D10*'Output-Calculation-sheet'!D100</f>
        <v>0</v>
      </c>
      <c r="E121" s="2">
        <f>E11/'Output-Calculation-sheet'!E10*'Output-Calculation-sheet'!E100</f>
        <v>748030238.95046556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13410141607.311539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627125734.62697709</v>
      </c>
      <c r="M121" s="2">
        <f>M11/'Output-Calculation-sheet'!M10*'Output-Calculation-sheet'!M100</f>
        <v>9465307569.4567814</v>
      </c>
      <c r="N121" s="2">
        <f>N11/'Output-Calculation-sheet'!N10*'Output-Calculation-sheet'!N100</f>
        <v>6537862226.0427475</v>
      </c>
      <c r="O121" s="2">
        <f>O11/'Output-Calculation-sheet'!O10*'Output-Calculation-sheet'!O100</f>
        <v>971761083.89014328</v>
      </c>
      <c r="P121" s="2">
        <f>P11/'Output-Calculation-sheet'!P10*'Output-Calculation-sheet'!P100</f>
        <v>0</v>
      </c>
      <c r="Q121" s="2">
        <f>Q11/'Output-Calculation-sheet'!Q10*'Output-Calculation-sheet'!Q100</f>
        <v>1097775405.2556741</v>
      </c>
      <c r="R121" s="2">
        <f>R11/'Output-Calculation-sheet'!R10*'Output-Calculation-sheet'!R100</f>
        <v>0</v>
      </c>
      <c r="S121" s="2">
        <f>S11/'Output-Calculation-sheet'!S10*'Output-Calculation-sheet'!S100</f>
        <v>3022437015.8497906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40926105.204648614</v>
      </c>
      <c r="AA121" s="2">
        <f t="shared" si="10"/>
        <v>80776.090141959532</v>
      </c>
    </row>
    <row r="122" spans="1:27" x14ac:dyDescent="0.25">
      <c r="A122" s="2">
        <v>2035</v>
      </c>
      <c r="B122" s="2">
        <f>B12/'Output-Calculation-sheet'!B11*'Output-Calculation-sheet'!B101</f>
        <v>31605259357.532734</v>
      </c>
      <c r="C122" s="2">
        <f>C12/'Output-Calculation-sheet'!C11*'Output-Calculation-sheet'!C101</f>
        <v>13143053285.891027</v>
      </c>
      <c r="D122" s="2">
        <f>D12/'Output-Calculation-sheet'!D11*'Output-Calculation-sheet'!D101</f>
        <v>0</v>
      </c>
      <c r="E122" s="2">
        <f>E12/'Output-Calculation-sheet'!E11*'Output-Calculation-sheet'!E101</f>
        <v>2574499230.2630882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11394936239.159071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1304355822.8406725</v>
      </c>
      <c r="M122" s="2">
        <f>M12/'Output-Calculation-sheet'!M11*'Output-Calculation-sheet'!M101</f>
        <v>8152413046.9463263</v>
      </c>
      <c r="N122" s="2">
        <f>N12/'Output-Calculation-sheet'!N11*'Output-Calculation-sheet'!N101</f>
        <v>5789448079.7988234</v>
      </c>
      <c r="O122" s="2">
        <f>O12/'Output-Calculation-sheet'!O11*'Output-Calculation-sheet'!O101</f>
        <v>37325068.224159986</v>
      </c>
      <c r="P122" s="2">
        <f>P12/'Output-Calculation-sheet'!P11*'Output-Calculation-sheet'!P101</f>
        <v>247403352.31356388</v>
      </c>
      <c r="Q122" s="2">
        <f>Q12/'Output-Calculation-sheet'!Q11*'Output-Calculation-sheet'!Q101</f>
        <v>1114394978.4098694</v>
      </c>
      <c r="R122" s="2">
        <f>R12/'Output-Calculation-sheet'!R11*'Output-Calculation-sheet'!R101</f>
        <v>0</v>
      </c>
      <c r="S122" s="2">
        <f>S12/'Output-Calculation-sheet'!S11*'Output-Calculation-sheet'!S101</f>
        <v>2747709907.9534473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99751853.84231472</v>
      </c>
      <c r="Y122" s="2">
        <f>Y12/'Output-Calculation-sheet'!Y11*'Output-Calculation-sheet'!Y101</f>
        <v>58838336.118656643</v>
      </c>
      <c r="AA122" s="2">
        <f t="shared" si="10"/>
        <v>78269.388559293759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3710813063.833148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2651676064.4124694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174748.82192604561</v>
      </c>
    </row>
    <row r="130" spans="1:27" x14ac:dyDescent="0.25">
      <c r="A130" s="2">
        <v>2032</v>
      </c>
      <c r="B130" s="2">
        <f>B9/'Output-Calculation-sheet'!B8*'Output-Calculation-sheet'!B107</f>
        <v>68379862727.763458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3911361904.8805466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3223886755.9066839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226671.13045542187</v>
      </c>
    </row>
    <row r="131" spans="1:27" x14ac:dyDescent="0.25">
      <c r="A131" s="2">
        <v>2033</v>
      </c>
      <c r="B131" s="2">
        <f>B10/'Output-Calculation-sheet'!B9*'Output-Calculation-sheet'!B108</f>
        <v>71114971367.136368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3554814112.7136517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7737759840.3618937</v>
      </c>
      <c r="R131" s="2">
        <f>R10/'Output-Calculation-sheet'!R9*'Output-Calculation-sheet'!R108</f>
        <v>7607260123.1180115</v>
      </c>
      <c r="S131" s="2">
        <f>S10/'Output-Calculation-sheet'!S9*'Output-Calculation-sheet'!S108</f>
        <v>2928779898.1959229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255040.42965142135</v>
      </c>
    </row>
    <row r="132" spans="1:27" x14ac:dyDescent="0.25">
      <c r="A132" s="2">
        <v>2034</v>
      </c>
      <c r="B132" s="2">
        <f>B11/'Output-Calculation-sheet'!B10*'Output-Calculation-sheet'!B109</f>
        <v>57251748579.628464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30350068683.476528</v>
      </c>
      <c r="F132" s="2">
        <f>F11/'Output-Calculation-sheet'!F10*'Output-Calculation-sheet'!F109</f>
        <v>20019947569.651505</v>
      </c>
      <c r="G132" s="2">
        <f>G11/'Output-Calculation-sheet'!G10*'Output-Calculation-sheet'!G109</f>
        <v>14027200721.08621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12473520215.422663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9283364432.6089287</v>
      </c>
      <c r="M132" s="2">
        <f>M11/'Output-Calculation-sheet'!M10*'Output-Calculation-sheet'!M109</f>
        <v>5.1177173636282563E-9</v>
      </c>
      <c r="N132" s="2">
        <f>N11/'Output-Calculation-sheet'!N10*'Output-Calculation-sheet'!N109</f>
        <v>2752293285.7545123</v>
      </c>
      <c r="O132" s="2">
        <f>O11/'Output-Calculation-sheet'!O10*'Output-Calculation-sheet'!O109</f>
        <v>0</v>
      </c>
      <c r="P132" s="2">
        <f>P11/'Output-Calculation-sheet'!P10*'Output-Calculation-sheet'!P109</f>
        <v>8457538509.9936905</v>
      </c>
      <c r="Q132" s="2">
        <f>Q11/'Output-Calculation-sheet'!Q10*'Output-Calculation-sheet'!Q109</f>
        <v>6959654425.6069517</v>
      </c>
      <c r="R132" s="2">
        <f>R11/'Output-Calculation-sheet'!R10*'Output-Calculation-sheet'!R109</f>
        <v>8005112822.3576546</v>
      </c>
      <c r="S132" s="2">
        <f>S11/'Output-Calculation-sheet'!S10*'Output-Calculation-sheet'!S109</f>
        <v>2200411341.6083035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2479894056.9595847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956104636.61685538</v>
      </c>
      <c r="AA132" s="2">
        <f t="shared" si="11"/>
        <v>246209.1387584141</v>
      </c>
    </row>
    <row r="133" spans="1:27" x14ac:dyDescent="0.25">
      <c r="A133" s="2">
        <v>2035</v>
      </c>
      <c r="B133" s="2">
        <f>B12/'Output-Calculation-sheet'!B11*'Output-Calculation-sheet'!B110</f>
        <v>46886661406.47084</v>
      </c>
      <c r="C133" s="2">
        <f>C12/'Output-Calculation-sheet'!C11*'Output-Calculation-sheet'!C110</f>
        <v>0</v>
      </c>
      <c r="D133" s="2">
        <f>D12/'Output-Calculation-sheet'!D11*'Output-Calculation-sheet'!D110</f>
        <v>32900783091.29837</v>
      </c>
      <c r="E133" s="2">
        <f>E12/'Output-Calculation-sheet'!E11*'Output-Calculation-sheet'!E110</f>
        <v>25524487949.865696</v>
      </c>
      <c r="F133" s="2">
        <f>F12/'Output-Calculation-sheet'!F11*'Output-Calculation-sheet'!F110</f>
        <v>17416354980.58279</v>
      </c>
      <c r="G133" s="2">
        <f>G12/'Output-Calculation-sheet'!G11*'Output-Calculation-sheet'!G110</f>
        <v>11793421238.386034</v>
      </c>
      <c r="H133" s="2">
        <f>H12/'Output-Calculation-sheet'!H11*'Output-Calculation-sheet'!H110</f>
        <v>0</v>
      </c>
      <c r="I133" s="2">
        <f>I12/'Output-Calculation-sheet'!I11*'Output-Calculation-sheet'!I110</f>
        <v>10817572076.681767</v>
      </c>
      <c r="J133" s="2">
        <f>J12/'Output-Calculation-sheet'!J11*'Output-Calculation-sheet'!J110</f>
        <v>10829649156.990042</v>
      </c>
      <c r="K133" s="2">
        <f>K12/'Output-Calculation-sheet'!K11*'Output-Calculation-sheet'!K110</f>
        <v>10626393139.609756</v>
      </c>
      <c r="L133" s="2">
        <f>L12/'Output-Calculation-sheet'!L11*'Output-Calculation-sheet'!L110</f>
        <v>7638472295.5626402</v>
      </c>
      <c r="M133" s="2">
        <f>M12/'Output-Calculation-sheet'!M11*'Output-Calculation-sheet'!M110</f>
        <v>0</v>
      </c>
      <c r="N133" s="2">
        <f>N12/'Output-Calculation-sheet'!N11*'Output-Calculation-sheet'!N110</f>
        <v>2219795476.8072166</v>
      </c>
      <c r="O133" s="2">
        <f>O12/'Output-Calculation-sheet'!O11*'Output-Calculation-sheet'!O110</f>
        <v>0</v>
      </c>
      <c r="P133" s="2">
        <f>P12/'Output-Calculation-sheet'!P11*'Output-Calculation-sheet'!P110</f>
        <v>7153959998.3368416</v>
      </c>
      <c r="Q133" s="2">
        <f>Q12/'Output-Calculation-sheet'!Q11*'Output-Calculation-sheet'!Q110</f>
        <v>5714562203.8258057</v>
      </c>
      <c r="R133" s="2">
        <f>R12/'Output-Calculation-sheet'!R11*'Output-Calculation-sheet'!R110</f>
        <v>7073474499.0897541</v>
      </c>
      <c r="S133" s="2">
        <f>S12/'Output-Calculation-sheet'!S11*'Output-Calculation-sheet'!S110</f>
        <v>1704890342.5686381</v>
      </c>
      <c r="T133" s="2">
        <f>T12/'Output-Calculation-sheet'!T11*'Output-Calculation-sheet'!T110</f>
        <v>2643659445.5485106</v>
      </c>
      <c r="U133" s="2">
        <f>U12/'Output-Calculation-sheet'!U11*'Output-Calculation-sheet'!U110</f>
        <v>2088740567.2417645</v>
      </c>
      <c r="V133" s="2">
        <f>V12/'Output-Calculation-sheet'!V11*'Output-Calculation-sheet'!V110</f>
        <v>1818961372.0147138</v>
      </c>
      <c r="W133" s="2">
        <f>W12/'Output-Calculation-sheet'!W11*'Output-Calculation-sheet'!W110</f>
        <v>1531780408.6136382</v>
      </c>
      <c r="X133" s="2">
        <f>X12/'Output-Calculation-sheet'!X11*'Output-Calculation-sheet'!X110</f>
        <v>714909.63917972252</v>
      </c>
      <c r="Y133" s="2">
        <f>Y12/'Output-Calculation-sheet'!Y11*'Output-Calculation-sheet'!Y110</f>
        <v>806809844.73198783</v>
      </c>
      <c r="AA133" s="2">
        <f t="shared" si="11"/>
        <v>207191.14440386606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13306385759.087994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3337648966.6948719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309317845.40907091</v>
      </c>
      <c r="Y140" s="2">
        <f>Y8/'Output-Calculation-sheet'!Y7*'Output-Calculation-sheet'!Y115</f>
        <v>0</v>
      </c>
      <c r="AA140" s="2">
        <f t="shared" si="12"/>
        <v>16953.352571191936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25100462430.79044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4892124922.3894119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408098362.0575639</v>
      </c>
      <c r="Y141" s="2">
        <f>Y9/'Output-Calculation-sheet'!Y8*'Output-Calculation-sheet'!Y116</f>
        <v>0</v>
      </c>
      <c r="AA141" s="2">
        <f t="shared" si="12"/>
        <v>30400.685715237414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31608332619.16785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6165491970.2059708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395689297.82081217</v>
      </c>
      <c r="Y142" s="2">
        <f>Y10/'Output-Calculation-sheet'!Y9*'Output-Calculation-sheet'!Y117</f>
        <v>0</v>
      </c>
      <c r="AA142" s="2">
        <f t="shared" si="12"/>
        <v>38169.513887194633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34878201204.092735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7573414940.9672565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43023.315730544673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23354235748.835846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8051665973.8951073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865523927.68851209</v>
      </c>
      <c r="Y144" s="2">
        <f>Y12/'Output-Calculation-sheet'!Y11*'Output-Calculation-sheet'!Y119</f>
        <v>0</v>
      </c>
      <c r="AA144" s="2">
        <f t="shared" si="12"/>
        <v>32271.425650419464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14240640960.054157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2053238047.1140406</v>
      </c>
      <c r="H154" s="2">
        <f>H11/'Output-Calculation-sheet'!H10*'Output-Calculation-sheet'!H127</f>
        <v>2337178528.7609234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1488144921.616883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872958640.31034994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462404020.30131364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54921.159899096514</v>
      </c>
    </row>
    <row r="155" spans="1:27" x14ac:dyDescent="0.25">
      <c r="A155" s="2">
        <v>2035</v>
      </c>
      <c r="B155" s="2">
        <f>B12/'Output-Calculation-sheet'!B11*'Output-Calculation-sheet'!B128</f>
        <v>11709908207.507193</v>
      </c>
      <c r="C155" s="2">
        <f>C12/'Output-Calculation-sheet'!C11*'Output-Calculation-sheet'!C128</f>
        <v>5593911095.3930178</v>
      </c>
      <c r="D155" s="2">
        <f>D12/'Output-Calculation-sheet'!D11*'Output-Calculation-sheet'!D128</f>
        <v>4494241176.5601835</v>
      </c>
      <c r="E155" s="2">
        <f>E12/'Output-Calculation-sheet'!E11*'Output-Calculation-sheet'!E128</f>
        <v>2209995804.9290857</v>
      </c>
      <c r="F155" s="2">
        <f>F12/'Output-Calculation-sheet'!F11*'Output-Calculation-sheet'!F128</f>
        <v>1804626526.0036538</v>
      </c>
      <c r="G155" s="2">
        <f>G12/'Output-Calculation-sheet'!G11*'Output-Calculation-sheet'!G128</f>
        <v>1715520288.3038251</v>
      </c>
      <c r="H155" s="2">
        <f>H12/'Output-Calculation-sheet'!H11*'Output-Calculation-sheet'!H128</f>
        <v>1921445512.9211748</v>
      </c>
      <c r="I155" s="2">
        <f>I12/'Output-Calculation-sheet'!I11*'Output-Calculation-sheet'!I128</f>
        <v>1476581724.9691887</v>
      </c>
      <c r="J155" s="2">
        <f>J12/'Output-Calculation-sheet'!J11*'Output-Calculation-sheet'!J128</f>
        <v>1074930798.3983119</v>
      </c>
      <c r="K155" s="2">
        <f>K12/'Output-Calculation-sheet'!K11*'Output-Calculation-sheet'!K128</f>
        <v>1188056923.1060393</v>
      </c>
      <c r="L155" s="2">
        <f>L12/'Output-Calculation-sheet'!L11*'Output-Calculation-sheet'!L128</f>
        <v>517227377.38820261</v>
      </c>
      <c r="M155" s="2">
        <f>M12/'Output-Calculation-sheet'!M11*'Output-Calculation-sheet'!M128</f>
        <v>1026148659.9463981</v>
      </c>
      <c r="N155" s="2">
        <f>N12/'Output-Calculation-sheet'!N11*'Output-Calculation-sheet'!N128</f>
        <v>904274720.40810966</v>
      </c>
      <c r="O155" s="2">
        <f>O12/'Output-Calculation-sheet'!O11*'Output-Calculation-sheet'!O128</f>
        <v>14819863.70187032</v>
      </c>
      <c r="P155" s="2">
        <f>P12/'Output-Calculation-sheet'!P11*'Output-Calculation-sheet'!P128</f>
        <v>787855815.32860947</v>
      </c>
      <c r="Q155" s="2">
        <f>Q12/'Output-Calculation-sheet'!Q11*'Output-Calculation-sheet'!Q128</f>
        <v>1186224097.6585581</v>
      </c>
      <c r="R155" s="2">
        <f>R12/'Output-Calculation-sheet'!R11*'Output-Calculation-sheet'!R128</f>
        <v>607318424.7065767</v>
      </c>
      <c r="S155" s="2">
        <f>S12/'Output-Calculation-sheet'!S11*'Output-Calculation-sheet'!S128</f>
        <v>672712901.55574095</v>
      </c>
      <c r="T155" s="2">
        <f>T12/'Output-Calculation-sheet'!T11*'Output-Calculation-sheet'!T128</f>
        <v>165453146.37618324</v>
      </c>
      <c r="U155" s="2">
        <f>U12/'Output-Calculation-sheet'!U11*'Output-Calculation-sheet'!U128</f>
        <v>383447064.91077018</v>
      </c>
      <c r="V155" s="2">
        <f>V12/'Output-Calculation-sheet'!V11*'Output-Calculation-sheet'!V128</f>
        <v>57210682.709502675</v>
      </c>
      <c r="W155" s="2">
        <f>W12/'Output-Calculation-sheet'!W11*'Output-Calculation-sheet'!W128</f>
        <v>115342510.18376653</v>
      </c>
      <c r="X155" s="2">
        <f>X12/'Output-Calculation-sheet'!X11*'Output-Calculation-sheet'!X128</f>
        <v>8155923.1371290078</v>
      </c>
      <c r="Y155" s="2">
        <f>Y12/'Output-Calculation-sheet'!Y11*'Output-Calculation-sheet'!Y128</f>
        <v>109562614.70071666</v>
      </c>
      <c r="AA155" s="2">
        <f t="shared" si="13"/>
        <v>39744.971860803809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9150.4489268184043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5766.1081975596644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4002.480875148558</v>
      </c>
      <c r="N19" s="2">
        <f>N8/'Output-Calculation-sheet'!N7*'Output-Calculation-sheet'!N25</f>
        <v>1367.3546323623486</v>
      </c>
      <c r="O19" s="2">
        <f>O8/'Output-Calculation-sheet'!O7*'Output-Calculation-sheet'!O25</f>
        <v>1181.046803291405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211.3052423515586</v>
      </c>
      <c r="Y19" s="2">
        <f>Y8/'Output-Calculation-sheet'!Y7*'Output-Calculation-sheet'!Y25</f>
        <v>0</v>
      </c>
      <c r="AA19" s="2">
        <f t="shared" si="0"/>
        <v>23.450903197922308</v>
      </c>
    </row>
    <row r="20" spans="1:27" x14ac:dyDescent="0.25">
      <c r="A20" s="2">
        <v>2032</v>
      </c>
      <c r="B20" s="2">
        <f>B9/'Output-Calculation-sheet'!B8*'Output-Calculation-sheet'!B26</f>
        <v>7446.8526459773921</v>
      </c>
      <c r="C20" s="2">
        <f>C9/'Output-Calculation-sheet'!C8*'Output-Calculation-sheet'!C26</f>
        <v>7187.9882530962741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8099.1279467040385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5629.7705995886563</v>
      </c>
      <c r="N20" s="2">
        <f>N9/'Output-Calculation-sheet'!N8*'Output-Calculation-sheet'!N26</f>
        <v>2534.8870914545664</v>
      </c>
      <c r="O20" s="2">
        <f>O9/'Output-Calculation-sheet'!O8*'Output-Calculation-sheet'!O26</f>
        <v>1382.8932388707576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921.4879499693036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300.80297299089131</v>
      </c>
      <c r="Y20" s="2">
        <f>Y9/'Output-Calculation-sheet'!Y8*'Output-Calculation-sheet'!Y26</f>
        <v>0</v>
      </c>
      <c r="AA20" s="2">
        <f t="shared" si="0"/>
        <v>33.503810698651876</v>
      </c>
    </row>
    <row r="21" spans="1:27" x14ac:dyDescent="0.25">
      <c r="A21" s="2">
        <v>2033</v>
      </c>
      <c r="B21" s="2">
        <f>B10/'Output-Calculation-sheet'!B9*'Output-Calculation-sheet'!B27</f>
        <v>17949.383795336795</v>
      </c>
      <c r="C21" s="2">
        <f>C10/'Output-Calculation-sheet'!C9*'Output-Calculation-sheet'!C27</f>
        <v>7458.2773649279197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10428.056364628412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7246.0169644399848</v>
      </c>
      <c r="N21" s="2">
        <f>N10/'Output-Calculation-sheet'!N9*'Output-Calculation-sheet'!N27</f>
        <v>3957.4578692707855</v>
      </c>
      <c r="O21" s="2">
        <f>O10/'Output-Calculation-sheet'!O9*'Output-Calculation-sheet'!O27</f>
        <v>1434.3117643752728</v>
      </c>
      <c r="P21" s="2">
        <f>P10/'Output-Calculation-sheet'!P9*'Output-Calculation-sheet'!P27</f>
        <v>0</v>
      </c>
      <c r="Q21" s="2">
        <f>Q10/'Output-Calculation-sheet'!Q9*'Output-Calculation-sheet'!Q27</f>
        <v>265.23588231320343</v>
      </c>
      <c r="R21" s="2">
        <f>R10/'Output-Calculation-sheet'!R9*'Output-Calculation-sheet'!R27</f>
        <v>0</v>
      </c>
      <c r="S21" s="2">
        <f>S10/'Output-Calculation-sheet'!S9*'Output-Calculation-sheet'!S27</f>
        <v>1722.7499927261924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459.16541305264997</v>
      </c>
      <c r="Y21" s="2">
        <f>Y10/'Output-Calculation-sheet'!Y9*'Output-Calculation-sheet'!Y27</f>
        <v>0</v>
      </c>
      <c r="AA21" s="2">
        <f t="shared" si="0"/>
        <v>50.920655411071209</v>
      </c>
    </row>
    <row r="22" spans="1:27" x14ac:dyDescent="0.25">
      <c r="A22" s="2">
        <v>2034</v>
      </c>
      <c r="B22" s="2">
        <f>B11/'Output-Calculation-sheet'!B10*'Output-Calculation-sheet'!B28</f>
        <v>34560.284683252976</v>
      </c>
      <c r="C22" s="2">
        <f>C11/'Output-Calculation-sheet'!C10*'Output-Calculation-sheet'!C28</f>
        <v>7523.5782790691337</v>
      </c>
      <c r="D22" s="2">
        <f>D11/'Output-Calculation-sheet'!D10*'Output-Calculation-sheet'!D28</f>
        <v>0</v>
      </c>
      <c r="E22" s="2">
        <f>E11/'Output-Calculation-sheet'!E10*'Output-Calculation-sheet'!E28</f>
        <v>1775.700279383381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13199.417069994637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1076.8963336185011</v>
      </c>
      <c r="M22" s="2">
        <f>M11/'Output-Calculation-sheet'!M10*'Output-Calculation-sheet'!M28</f>
        <v>9793.2305782270796</v>
      </c>
      <c r="N22" s="2">
        <f>N11/'Output-Calculation-sheet'!N10*'Output-Calculation-sheet'!N28</f>
        <v>5639.236135171227</v>
      </c>
      <c r="O22" s="2">
        <f>O11/'Output-Calculation-sheet'!O10*'Output-Calculation-sheet'!O28</f>
        <v>800.24170833915321</v>
      </c>
      <c r="P22" s="2">
        <f>P11/'Output-Calculation-sheet'!P10*'Output-Calculation-sheet'!P28</f>
        <v>0</v>
      </c>
      <c r="Q22" s="2">
        <f>Q11/'Output-Calculation-sheet'!Q10*'Output-Calculation-sheet'!Q28</f>
        <v>1627.5695997101318</v>
      </c>
      <c r="R22" s="2">
        <f>R11/'Output-Calculation-sheet'!R10*'Output-Calculation-sheet'!R28</f>
        <v>0</v>
      </c>
      <c r="S22" s="2">
        <f>S11/'Output-Calculation-sheet'!S10*'Output-Calculation-sheet'!S28</f>
        <v>2689.9917491166048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98.024997854700132</v>
      </c>
      <c r="AA22" s="2">
        <f t="shared" si="0"/>
        <v>79.185181740332098</v>
      </c>
    </row>
    <row r="23" spans="1:27" x14ac:dyDescent="0.25">
      <c r="A23" s="2">
        <v>2035</v>
      </c>
      <c r="B23" s="2">
        <f>B12/'Output-Calculation-sheet'!B11*'Output-Calculation-sheet'!B29</f>
        <v>36294.095967907102</v>
      </c>
      <c r="C23" s="2">
        <f>C12/'Output-Calculation-sheet'!C11*'Output-Calculation-sheet'!C29</f>
        <v>13648.20873560679</v>
      </c>
      <c r="D23" s="2">
        <f>D12/'Output-Calculation-sheet'!D11*'Output-Calculation-sheet'!D29</f>
        <v>0</v>
      </c>
      <c r="E23" s="2">
        <f>E12/'Output-Calculation-sheet'!E11*'Output-Calculation-sheet'!E29</f>
        <v>6158.4687317946691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13244.756046394863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2213.67388446018</v>
      </c>
      <c r="M23" s="2">
        <f>M12/'Output-Calculation-sheet'!M11*'Output-Calculation-sheet'!M29</f>
        <v>10178.201395359889</v>
      </c>
      <c r="N23" s="2">
        <f>N12/'Output-Calculation-sheet'!N11*'Output-Calculation-sheet'!N29</f>
        <v>6055.4656805942559</v>
      </c>
      <c r="O23" s="2">
        <f>O12/'Output-Calculation-sheet'!O11*'Output-Calculation-sheet'!O29</f>
        <v>37.087097728059341</v>
      </c>
      <c r="P23" s="2">
        <f>P12/'Output-Calculation-sheet'!P11*'Output-Calculation-sheet'!P29</f>
        <v>686.42215603414638</v>
      </c>
      <c r="Q23" s="2">
        <f>Q12/'Output-Calculation-sheet'!Q11*'Output-Calculation-sheet'!Q29</f>
        <v>1871.1901175512699</v>
      </c>
      <c r="R23" s="2">
        <f>R12/'Output-Calculation-sheet'!R11*'Output-Calculation-sheet'!R29</f>
        <v>0</v>
      </c>
      <c r="S23" s="2">
        <f>S12/'Output-Calculation-sheet'!S11*'Output-Calculation-sheet'!S29</f>
        <v>2892.9756100152663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99.115567555242805</v>
      </c>
      <c r="Y23" s="2">
        <f>Y12/'Output-Calculation-sheet'!Y11*'Output-Calculation-sheet'!Y29</f>
        <v>145.39569394126164</v>
      </c>
      <c r="AA23" s="2">
        <f t="shared" si="0"/>
        <v>93.525056684942996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1863.6533087739037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47.898669642204425</v>
      </c>
    </row>
    <row r="31" spans="1:27" x14ac:dyDescent="0.25">
      <c r="A31" s="2">
        <v>2032</v>
      </c>
      <c r="B31" s="2">
        <f>B9/'Output-Calculation-sheet'!B8*'Output-Calculation-sheet'!B17</f>
        <v>31532.122603339154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2159.8259587648186</v>
      </c>
      <c r="O31" s="2">
        <f>O9/'Output-Calculation-sheet'!O8*'Output-Calculation-sheet'!O17</f>
        <v>0</v>
      </c>
      <c r="P31" s="2">
        <f>P9/'Output-Calculation-sheet'!P8*'Output-Calculation-sheet'!P17</f>
        <v>2673.7167409707495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1606.3609809023412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68.667468577530613</v>
      </c>
    </row>
    <row r="32" spans="1:27" x14ac:dyDescent="0.25">
      <c r="A32" s="2">
        <v>2033</v>
      </c>
      <c r="B32" s="2">
        <f>B10/'Output-Calculation-sheet'!B9*'Output-Calculation-sheet'!B18</f>
        <v>36652.661776011329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3488.2801293298917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2234.9446968419684</v>
      </c>
      <c r="O32" s="2">
        <f>O10/'Output-Calculation-sheet'!O9*'Output-Calculation-sheet'!O18</f>
        <v>0</v>
      </c>
      <c r="P32" s="2">
        <f>P10/'Output-Calculation-sheet'!P9*'Output-Calculation-sheet'!P18</f>
        <v>3590.1369812937414</v>
      </c>
      <c r="Q32" s="2">
        <f>Q10/'Output-Calculation-sheet'!Q9*'Output-Calculation-sheet'!Q18</f>
        <v>3913.8987025851302</v>
      </c>
      <c r="R32" s="2">
        <f>R10/'Output-Calculation-sheet'!R9*'Output-Calculation-sheet'!R18</f>
        <v>2577.9959127235461</v>
      </c>
      <c r="S32" s="2">
        <f>S10/'Output-Calculation-sheet'!S9*'Output-Calculation-sheet'!S18</f>
        <v>1688.3132910122104</v>
      </c>
      <c r="T32" s="2">
        <f>T10/'Output-Calculation-sheet'!T9*'Output-Calculation-sheet'!T18</f>
        <v>752.70316897486748</v>
      </c>
      <c r="U32" s="2">
        <f>U10/'Output-Calculation-sheet'!U9*'Output-Calculation-sheet'!U18</f>
        <v>832.09605668117285</v>
      </c>
      <c r="V32" s="2">
        <f>V10/'Output-Calculation-sheet'!V9*'Output-Calculation-sheet'!V18</f>
        <v>614.20565297198743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355.62926661293096</v>
      </c>
      <c r="AA32" s="2">
        <f t="shared" si="1"/>
        <v>87.995288993563832</v>
      </c>
    </row>
    <row r="33" spans="1:27" x14ac:dyDescent="0.25">
      <c r="A33" s="2">
        <v>2034</v>
      </c>
      <c r="B33" s="2">
        <f>B11/'Output-Calculation-sheet'!B10*'Output-Calculation-sheet'!B19</f>
        <v>35213.609647264784</v>
      </c>
      <c r="C33" s="2">
        <f>C11/'Output-Calculation-sheet'!C10*'Output-Calculation-sheet'!C19</f>
        <v>0</v>
      </c>
      <c r="D33" s="2">
        <f>D11/'Output-Calculation-sheet'!D10*'Output-Calculation-sheet'!D19</f>
        <v>10656.234132265019</v>
      </c>
      <c r="E33" s="2">
        <f>E11/'Output-Calculation-sheet'!E10*'Output-Calculation-sheet'!E19</f>
        <v>13212.034269477426</v>
      </c>
      <c r="F33" s="2">
        <f>F11/'Output-Calculation-sheet'!F10*'Output-Calculation-sheet'!F19</f>
        <v>6049.2782834946156</v>
      </c>
      <c r="G33" s="2">
        <f>G11/'Output-Calculation-sheet'!G10*'Output-Calculation-sheet'!G19</f>
        <v>3603.825864237579</v>
      </c>
      <c r="H33" s="2">
        <f>H11/'Output-Calculation-sheet'!H10*'Output-Calculation-sheet'!H19</f>
        <v>0</v>
      </c>
      <c r="I33" s="2">
        <f>I11/'Output-Calculation-sheet'!I10*'Output-Calculation-sheet'!I19</f>
        <v>3958.6000038443517</v>
      </c>
      <c r="J33" s="2">
        <f>J11/'Output-Calculation-sheet'!J10*'Output-Calculation-sheet'!J19</f>
        <v>3347.1104298993264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3776.2792576649549</v>
      </c>
      <c r="M33" s="2">
        <f>M11/'Output-Calculation-sheet'!M10*'Output-Calculation-sheet'!M19</f>
        <v>0</v>
      </c>
      <c r="N33" s="2">
        <f>N11/'Output-Calculation-sheet'!N10*'Output-Calculation-sheet'!N19</f>
        <v>2132.6599908350499</v>
      </c>
      <c r="O33" s="2">
        <f>O11/'Output-Calculation-sheet'!O10*'Output-Calculation-sheet'!O19</f>
        <v>0</v>
      </c>
      <c r="P33" s="2">
        <f>P11/'Output-Calculation-sheet'!P10*'Output-Calculation-sheet'!P19</f>
        <v>4699.0977244941841</v>
      </c>
      <c r="Q33" s="2">
        <f>Q11/'Output-Calculation-sheet'!Q10*'Output-Calculation-sheet'!Q19</f>
        <v>3825.9294460581914</v>
      </c>
      <c r="R33" s="2">
        <f>R11/'Output-Calculation-sheet'!R10*'Output-Calculation-sheet'!R19</f>
        <v>3354.0720827777973</v>
      </c>
      <c r="S33" s="2">
        <f>S11/'Output-Calculation-sheet'!S10*'Output-Calculation-sheet'!S19</f>
        <v>1556.6532484814509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1052.7989079184322</v>
      </c>
      <c r="V33" s="2">
        <f>V11/'Output-Calculation-sheet'!V10*'Output-Calculation-sheet'!V19</f>
        <v>771.83890501684164</v>
      </c>
      <c r="W33" s="2">
        <f>W11/'Output-Calculation-sheet'!W10*'Output-Calculation-sheet'!W19</f>
        <v>480.53824642777624</v>
      </c>
      <c r="X33" s="2">
        <f>X11/'Output-Calculation-sheet'!X10*'Output-Calculation-sheet'!X19</f>
        <v>0</v>
      </c>
      <c r="Y33" s="2">
        <f>Y11/'Output-Calculation-sheet'!Y10*'Output-Calculation-sheet'!Y19</f>
        <v>433.17137667026384</v>
      </c>
      <c r="AA33" s="2">
        <f t="shared" si="1"/>
        <v>103.75095241308232</v>
      </c>
    </row>
    <row r="34" spans="1:27" x14ac:dyDescent="0.25">
      <c r="A34" s="2">
        <v>2035</v>
      </c>
      <c r="B34" s="2">
        <f>B12/'Output-Calculation-sheet'!B11*'Output-Calculation-sheet'!B20</f>
        <v>33575.462116617149</v>
      </c>
      <c r="C34" s="2">
        <f>C12/'Output-Calculation-sheet'!C11*'Output-Calculation-sheet'!C20</f>
        <v>0</v>
      </c>
      <c r="D34" s="2">
        <f>D12/'Output-Calculation-sheet'!D11*'Output-Calculation-sheet'!D20</f>
        <v>10707.683767550814</v>
      </c>
      <c r="E34" s="2">
        <f>E12/'Output-Calculation-sheet'!E11*'Output-Calculation-sheet'!E20</f>
        <v>11866.555184296627</v>
      </c>
      <c r="F34" s="2">
        <f>F12/'Output-Calculation-sheet'!F11*'Output-Calculation-sheet'!F20</f>
        <v>6665.2668026945548</v>
      </c>
      <c r="G34" s="2">
        <f>G12/'Output-Calculation-sheet'!G11*'Output-Calculation-sheet'!G20</f>
        <v>3592.0089689178449</v>
      </c>
      <c r="H34" s="2">
        <f>H12/'Output-Calculation-sheet'!H11*'Output-Calculation-sheet'!H20</f>
        <v>0</v>
      </c>
      <c r="I34" s="2">
        <f>I12/'Output-Calculation-sheet'!I11*'Output-Calculation-sheet'!I20</f>
        <v>3987.5592437121277</v>
      </c>
      <c r="J34" s="2">
        <f>J12/'Output-Calculation-sheet'!J11*'Output-Calculation-sheet'!J20</f>
        <v>3688.6087642797984</v>
      </c>
      <c r="K34" s="2">
        <f>K12/'Output-Calculation-sheet'!K11*'Output-Calculation-sheet'!K20</f>
        <v>4910.1443266500446</v>
      </c>
      <c r="L34" s="2">
        <f>L12/'Output-Calculation-sheet'!L11*'Output-Calculation-sheet'!L20</f>
        <v>3928.4542832933312</v>
      </c>
      <c r="M34" s="2">
        <f>M12/'Output-Calculation-sheet'!M11*'Output-Calculation-sheet'!M20</f>
        <v>0</v>
      </c>
      <c r="N34" s="2">
        <f>N12/'Output-Calculation-sheet'!N11*'Output-Calculation-sheet'!N20</f>
        <v>2099.9675374561498</v>
      </c>
      <c r="O34" s="2">
        <f>O12/'Output-Calculation-sheet'!O11*'Output-Calculation-sheet'!O20</f>
        <v>0</v>
      </c>
      <c r="P34" s="2">
        <f>P12/'Output-Calculation-sheet'!P11*'Output-Calculation-sheet'!P20</f>
        <v>4505.0751217166126</v>
      </c>
      <c r="Q34" s="2">
        <f>Q12/'Output-Calculation-sheet'!Q11*'Output-Calculation-sheet'!Q20</f>
        <v>3685.7696854069936</v>
      </c>
      <c r="R34" s="2">
        <f>R12/'Output-Calculation-sheet'!R11*'Output-Calculation-sheet'!R20</f>
        <v>3769.4877045251096</v>
      </c>
      <c r="S34" s="2">
        <f>S12/'Output-Calculation-sheet'!S11*'Output-Calculation-sheet'!S20</f>
        <v>1454.1737134207108</v>
      </c>
      <c r="T34" s="2">
        <f>T12/'Output-Calculation-sheet'!T11*'Output-Calculation-sheet'!T20</f>
        <v>1143.6619978062372</v>
      </c>
      <c r="U34" s="2">
        <f>U12/'Output-Calculation-sheet'!U11*'Output-Calculation-sheet'!U20</f>
        <v>1052.6123362612966</v>
      </c>
      <c r="V34" s="2">
        <f>V12/'Output-Calculation-sheet'!V11*'Output-Calculation-sheet'!V20</f>
        <v>1035.8837731066094</v>
      </c>
      <c r="W34" s="2">
        <f>W12/'Output-Calculation-sheet'!W11*'Output-Calculation-sheet'!W20</f>
        <v>561.76942794048136</v>
      </c>
      <c r="X34" s="2">
        <f>X12/'Output-Calculation-sheet'!X11*'Output-Calculation-sheet'!X20</f>
        <v>1.2463033335108473</v>
      </c>
      <c r="Y34" s="2">
        <f>Y12/'Output-Calculation-sheet'!Y11*'Output-Calculation-sheet'!Y20</f>
        <v>406.80162103912801</v>
      </c>
      <c r="AA34" s="2">
        <f t="shared" si="1"/>
        <v>102.63819268002513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0.15915686361515266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2.4003916274314915E-2</v>
      </c>
      <c r="H44" s="2">
        <f>H11/'Output-Calculation-sheet'!H10*'Output-Calculation-sheet'!H37*0.0114</f>
        <v>2.3253410565522464E-2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1.377838744525788E-2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9.0146885078182196E-3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4.396134049888238E-3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0.23360340045795439</v>
      </c>
    </row>
    <row r="45" spans="1:27" x14ac:dyDescent="0.25">
      <c r="A45" s="2">
        <v>2035</v>
      </c>
      <c r="B45" s="2">
        <f>B12/'Output-Calculation-sheet'!B11*'Output-Calculation-sheet'!B38*0.0114</f>
        <v>0.63735670683074952</v>
      </c>
      <c r="C45" s="2">
        <f>C12/'Output-Calculation-sheet'!C11*'Output-Calculation-sheet'!C38*0.0114</f>
        <v>0.3781303061746239</v>
      </c>
      <c r="D45" s="2">
        <f>D12/'Output-Calculation-sheet'!D11*'Output-Calculation-sheet'!D38*0.0114</f>
        <v>6.6991631204588523E-2</v>
      </c>
      <c r="E45" s="2">
        <f>E12/'Output-Calculation-sheet'!E11*'Output-Calculation-sheet'!E38*0.0114</f>
        <v>0.21296216115959293</v>
      </c>
      <c r="F45" s="2">
        <f>F12/'Output-Calculation-sheet'!F11*'Output-Calculation-sheet'!F38*0.0114</f>
        <v>6.6969274081914387E-2</v>
      </c>
      <c r="G45" s="2">
        <f>G12/'Output-Calculation-sheet'!G11*'Output-Calculation-sheet'!G38*0.0114</f>
        <v>4.8062825190599665E-2</v>
      </c>
      <c r="H45" s="2">
        <f>H12/'Output-Calculation-sheet'!H11*'Output-Calculation-sheet'!H38*0.0114</f>
        <v>0.13968028312428118</v>
      </c>
      <c r="I45" s="2">
        <f>I12/'Output-Calculation-sheet'!I11*'Output-Calculation-sheet'!I38*0.0114</f>
        <v>4.3229541224786242E-2</v>
      </c>
      <c r="J45" s="2">
        <f>J12/'Output-Calculation-sheet'!J11*'Output-Calculation-sheet'!J38*0.0114</f>
        <v>2.1391462933520185E-2</v>
      </c>
      <c r="K45" s="2">
        <f>K12/'Output-Calculation-sheet'!K11*'Output-Calculation-sheet'!K38*0.0114</f>
        <v>4.2487757878217722E-2</v>
      </c>
      <c r="L45" s="2">
        <f>L12/'Output-Calculation-sheet'!L11*'Output-Calculation-sheet'!L38*0.0114</f>
        <v>1.68921545649032E-2</v>
      </c>
      <c r="M45" s="2">
        <f>M12/'Output-Calculation-sheet'!M11*'Output-Calculation-sheet'!M38*0.0114</f>
        <v>8.0094690340028904E-2</v>
      </c>
      <c r="N45" s="2">
        <f>N12/'Output-Calculation-sheet'!N11*'Output-Calculation-sheet'!N38*0.0114</f>
        <v>4.7232054751755161E-2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5.8178829643180309E-2</v>
      </c>
      <c r="Q45" s="2">
        <f>Q12/'Output-Calculation-sheet'!Q11*'Output-Calculation-sheet'!Q38*0.0114</f>
        <v>4.13825114799116E-2</v>
      </c>
      <c r="R45" s="2">
        <f>R12/'Output-Calculation-sheet'!R11*'Output-Calculation-sheet'!R38*0.0114</f>
        <v>2.7359039796002519E-2</v>
      </c>
      <c r="S45" s="2">
        <f>S12/'Output-Calculation-sheet'!S11*'Output-Calculation-sheet'!S38*0.0114</f>
        <v>3.610005908599101E-2</v>
      </c>
      <c r="T45" s="2">
        <f>T12/'Output-Calculation-sheet'!T11*'Output-Calculation-sheet'!T38*0.0114</f>
        <v>5.0609070429378459E-3</v>
      </c>
      <c r="U45" s="2">
        <f>U12/'Output-Calculation-sheet'!U11*'Output-Calculation-sheet'!U38*0.0114</f>
        <v>1.3203509373612725E-2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5.8774006308780925E-3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8.4791927909194861E-3</v>
      </c>
      <c r="AA45" s="2">
        <f t="shared" si="2"/>
        <v>2.0169653392622959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3535.1683175916373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8142.8254098741481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5569.07095774565</v>
      </c>
      <c r="N52" s="2">
        <f>N8/'Output-Calculation-sheet'!N7*'Output-Calculation-sheet'!N43</f>
        <v>175.9178166928601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37.655495532849727</v>
      </c>
      <c r="Y52" s="2">
        <f>Y8/'Output-Calculation-sheet'!Y7*'Output-Calculation-sheet'!Y43</f>
        <v>0</v>
      </c>
      <c r="AA52" s="2">
        <f t="shared" si="3"/>
        <v>17.46063799743715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624.70816479644043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16199.809122453033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11089.789551313834</v>
      </c>
      <c r="N53" s="2">
        <f>N9/'Output-Calculation-sheet'!N8*'Output-Calculation-sheet'!N44</f>
        <v>3935.3620045432472</v>
      </c>
      <c r="O53" s="2">
        <f>O9/'Output-Calculation-sheet'!O8*'Output-Calculation-sheet'!O44</f>
        <v>218.22080352259937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1226.5077358688179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338.61932609856223</v>
      </c>
      <c r="Y53" s="2">
        <f>Y9/'Output-Calculation-sheet'!Y8*'Output-Calculation-sheet'!Y44</f>
        <v>0</v>
      </c>
      <c r="AA53" s="2">
        <f t="shared" si="3"/>
        <v>33.807460010002167</v>
      </c>
    </row>
    <row r="54" spans="1:27" x14ac:dyDescent="0.25">
      <c r="A54" s="2">
        <v>2033</v>
      </c>
      <c r="B54" s="2">
        <f>B10/'Output-Calculation-sheet'!B9*'Output-Calculation-sheet'!B45</f>
        <v>34472.244897088567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17220.556272205456</v>
      </c>
      <c r="N54" s="2">
        <f>N10/'Output-Calculation-sheet'!N9*'Output-Calculation-sheet'!N45</f>
        <v>9637.7994926554893</v>
      </c>
      <c r="O54" s="2">
        <f>O10/'Output-Calculation-sheet'!O9*'Output-Calculation-sheet'!O45</f>
        <v>1283.4054999697794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1002.1905479372502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105.26567712411602</v>
      </c>
    </row>
    <row r="55" spans="1:27" x14ac:dyDescent="0.25">
      <c r="A55" s="2">
        <v>2034</v>
      </c>
      <c r="B55" s="2">
        <f>B11/'Output-Calculation-sheet'!B10*'Output-Calculation-sheet'!B46</f>
        <v>98398.032873648757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349.13268563584177</v>
      </c>
      <c r="G55" s="2">
        <f>G11/'Output-Calculation-sheet'!G10*'Output-Calculation-sheet'!G46</f>
        <v>3935.3789049732081</v>
      </c>
      <c r="H55" s="2">
        <f>H11/'Output-Calculation-sheet'!H10*'Output-Calculation-sheet'!H46</f>
        <v>30447.689430838054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21439.413140836714</v>
      </c>
      <c r="N55" s="2">
        <f>N11/'Output-Calculation-sheet'!N10*'Output-Calculation-sheet'!N46</f>
        <v>16239.168569180501</v>
      </c>
      <c r="O55" s="2">
        <f>O11/'Output-Calculation-sheet'!O10*'Output-Calculation-sheet'!O46</f>
        <v>623.05372510613029</v>
      </c>
      <c r="P55" s="2">
        <f>P11/'Output-Calculation-sheet'!P10*'Output-Calculation-sheet'!P46</f>
        <v>6010.0313529952527</v>
      </c>
      <c r="Q55" s="2">
        <f>Q11/'Output-Calculation-sheet'!Q10*'Output-Calculation-sheet'!Q46</f>
        <v>4689.4862532982961</v>
      </c>
      <c r="R55" s="2">
        <f>R11/'Output-Calculation-sheet'!R10*'Output-Calculation-sheet'!R46</f>
        <v>4871.0490946157634</v>
      </c>
      <c r="S55" s="2">
        <f>S11/'Output-Calculation-sheet'!S10*'Output-Calculation-sheet'!S46</f>
        <v>7608.7134054585003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1438.7698368537733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243.13105718925007</v>
      </c>
    </row>
    <row r="56" spans="1:27" x14ac:dyDescent="0.25">
      <c r="A56" s="2">
        <v>2035</v>
      </c>
      <c r="B56" s="2">
        <f>B12/'Output-Calculation-sheet'!B11*'Output-Calculation-sheet'!B47</f>
        <v>103514.55637694147</v>
      </c>
      <c r="C56" s="2">
        <f>C12/'Output-Calculation-sheet'!C11*'Output-Calculation-sheet'!C47</f>
        <v>32260.485595213962</v>
      </c>
      <c r="D56" s="2">
        <f>D12/'Output-Calculation-sheet'!D11*'Output-Calculation-sheet'!D47</f>
        <v>10612.884732937444</v>
      </c>
      <c r="E56" s="2">
        <f>E12/'Output-Calculation-sheet'!E11*'Output-Calculation-sheet'!E47</f>
        <v>26844.440840906584</v>
      </c>
      <c r="F56" s="2">
        <f>F12/'Output-Calculation-sheet'!F11*'Output-Calculation-sheet'!F47</f>
        <v>1542.0556532019762</v>
      </c>
      <c r="G56" s="2">
        <f>G12/'Output-Calculation-sheet'!G11*'Output-Calculation-sheet'!G47</f>
        <v>3927.2387425476827</v>
      </c>
      <c r="H56" s="2">
        <f>H12/'Output-Calculation-sheet'!H11*'Output-Calculation-sheet'!H47</f>
        <v>30617.346270209764</v>
      </c>
      <c r="I56" s="2">
        <f>I12/'Output-Calculation-sheet'!I11*'Output-Calculation-sheet'!I47</f>
        <v>2502.7629130139403</v>
      </c>
      <c r="J56" s="2">
        <f>J12/'Output-Calculation-sheet'!J11*'Output-Calculation-sheet'!J47</f>
        <v>4128.1770573460008</v>
      </c>
      <c r="K56" s="2">
        <f>K12/'Output-Calculation-sheet'!K11*'Output-Calculation-sheet'!K47</f>
        <v>5644.535904084275</v>
      </c>
      <c r="L56" s="2">
        <f>L12/'Output-Calculation-sheet'!L11*'Output-Calculation-sheet'!L47</f>
        <v>6044.131444757908</v>
      </c>
      <c r="M56" s="2">
        <f>M12/'Output-Calculation-sheet'!M11*'Output-Calculation-sheet'!M47</f>
        <v>21580.600951616911</v>
      </c>
      <c r="N56" s="2">
        <f>N12/'Output-Calculation-sheet'!N11*'Output-Calculation-sheet'!N47</f>
        <v>17464.811824289351</v>
      </c>
      <c r="O56" s="2">
        <f>O12/'Output-Calculation-sheet'!O11*'Output-Calculation-sheet'!O47</f>
        <v>78.615316447566457</v>
      </c>
      <c r="P56" s="2">
        <f>P12/'Output-Calculation-sheet'!P11*'Output-Calculation-sheet'!P47</f>
        <v>7486.696761977676</v>
      </c>
      <c r="Q56" s="2">
        <f>Q12/'Output-Calculation-sheet'!Q11*'Output-Calculation-sheet'!Q47</f>
        <v>5265.9850865665294</v>
      </c>
      <c r="R56" s="2">
        <f>R12/'Output-Calculation-sheet'!R11*'Output-Calculation-sheet'!R47</f>
        <v>6153.3840383289871</v>
      </c>
      <c r="S56" s="2">
        <f>S12/'Output-Calculation-sheet'!S11*'Output-Calculation-sheet'!S47</f>
        <v>8120.929958423153</v>
      </c>
      <c r="T56" s="2">
        <f>T12/'Output-Calculation-sheet'!T11*'Output-Calculation-sheet'!T47</f>
        <v>2078.9673405331519</v>
      </c>
      <c r="U56" s="2">
        <f>U12/'Output-Calculation-sheet'!U11*'Output-Calculation-sheet'!U47</f>
        <v>1451.2278285207669</v>
      </c>
      <c r="V56" s="2">
        <f>V12/'Output-Calculation-sheet'!V11*'Output-Calculation-sheet'!V47</f>
        <v>1433.9813459232016</v>
      </c>
      <c r="W56" s="2">
        <f>W12/'Output-Calculation-sheet'!W11*'Output-Calculation-sheet'!W47</f>
        <v>507.57025623679664</v>
      </c>
      <c r="X56" s="2">
        <f>X12/'Output-Calculation-sheet'!X11*'Output-Calculation-sheet'!X47</f>
        <v>170.33582975009105</v>
      </c>
      <c r="Y56" s="2">
        <f>Y12/'Output-Calculation-sheet'!Y11*'Output-Calculation-sheet'!Y47</f>
        <v>675.9552989813709</v>
      </c>
      <c r="AA56" s="2">
        <f t="shared" si="3"/>
        <v>300.1076773687567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8.7121896264837719</v>
      </c>
      <c r="C63" s="2">
        <f>C8*'Output-Calculation-sheet'!C52/10^9</f>
        <v>5.2697015563044616</v>
      </c>
      <c r="D63" s="2">
        <f>D8*'Output-Calculation-sheet'!D52/10^9</f>
        <v>2.9875965270508344</v>
      </c>
      <c r="E63" s="2">
        <f>E8*'Output-Calculation-sheet'!E52/10^9</f>
        <v>2.9704723356179397</v>
      </c>
      <c r="F63" s="2">
        <f>F8*'Output-Calculation-sheet'!F52/10^9</f>
        <v>1.2579947885665086</v>
      </c>
      <c r="G63" s="2">
        <f>G8*'Output-Calculation-sheet'!G52/10^9</f>
        <v>0.90444142162776886</v>
      </c>
      <c r="H63" s="2">
        <f>H8*'Output-Calculation-sheet'!H52/10^9</f>
        <v>1.5797846605830514</v>
      </c>
      <c r="I63" s="2">
        <f>I8*'Output-Calculation-sheet'!I52/10^9</f>
        <v>0.84134049946973632</v>
      </c>
      <c r="J63" s="2">
        <f>J8*'Output-Calculation-sheet'!J52/10^9</f>
        <v>1.1577415549545502</v>
      </c>
      <c r="K63" s="2">
        <f>K8*'Output-Calculation-sheet'!K52/10^9</f>
        <v>1.0171789279393471</v>
      </c>
      <c r="L63" s="2">
        <f>L8*'Output-Calculation-sheet'!L52/10^9</f>
        <v>1.3681545988277226</v>
      </c>
      <c r="M63" s="2">
        <f>M8*'Output-Calculation-sheet'!M52/10^9</f>
        <v>1.282327538245511</v>
      </c>
      <c r="N63" s="2">
        <f>N8*'Output-Calculation-sheet'!N52/10^9</f>
        <v>1.0702729559055477</v>
      </c>
      <c r="O63" s="2">
        <f>O8*'Output-Calculation-sheet'!O52/10^9</f>
        <v>1.0755777552026999</v>
      </c>
      <c r="P63" s="2">
        <f>P8*'Output-Calculation-sheet'!P52/10^9</f>
        <v>0.70284320080993845</v>
      </c>
      <c r="Q63" s="2">
        <f>Q8*'Output-Calculation-sheet'!Q52/10^9</f>
        <v>0.79541253799455058</v>
      </c>
      <c r="R63" s="2">
        <f>R8*'Output-Calculation-sheet'!R52/10^9</f>
        <v>0.71412256952545128</v>
      </c>
      <c r="S63" s="2">
        <f>S8*'Output-Calculation-sheet'!S52/10^9</f>
        <v>0.52919012663745424</v>
      </c>
      <c r="T63" s="2">
        <f>T8*'Output-Calculation-sheet'!T52/10^9</f>
        <v>0.27149919972204839</v>
      </c>
      <c r="U63" s="2">
        <f>U8*'Output-Calculation-sheet'!U52/10^9</f>
        <v>0.186462741075196</v>
      </c>
      <c r="V63" s="2">
        <f>V8*'Output-Calculation-sheet'!V52/10^9</f>
        <v>0.33092730080781851</v>
      </c>
      <c r="W63" s="2">
        <f>W8*'Output-Calculation-sheet'!W52/10^9</f>
        <v>0.11978017879160838</v>
      </c>
      <c r="X63" s="2">
        <f>X8*'Output-Calculation-sheet'!X52/10^9</f>
        <v>0.13635302905979427</v>
      </c>
      <c r="Y63" s="2">
        <f>Y8*'Output-Calculation-sheet'!Y52/10^9</f>
        <v>7.8153234669385743E-2</v>
      </c>
      <c r="AA63" s="2">
        <f t="shared" si="4"/>
        <v>35.359518865872694</v>
      </c>
    </row>
    <row r="64" spans="1:27" x14ac:dyDescent="0.25">
      <c r="A64" s="2">
        <v>2032</v>
      </c>
      <c r="B64" s="2">
        <f>B9*'Output-Calculation-sheet'!B53/10^9</f>
        <v>9.3368095250584577</v>
      </c>
      <c r="C64" s="2">
        <f>C9*'Output-Calculation-sheet'!C53/10^9</f>
        <v>5.9568816052777835</v>
      </c>
      <c r="D64" s="2">
        <f>D9*'Output-Calculation-sheet'!D53/10^9</f>
        <v>2.7631512864870609</v>
      </c>
      <c r="E64" s="2">
        <f>E9*'Output-Calculation-sheet'!E53/10^9</f>
        <v>2.8295884902179305</v>
      </c>
      <c r="F64" s="2">
        <f>F9*'Output-Calculation-sheet'!F53/10^9</f>
        <v>1.1935026821972921</v>
      </c>
      <c r="G64" s="2">
        <f>G9*'Output-Calculation-sheet'!G53/10^9</f>
        <v>0.8494986986269516</v>
      </c>
      <c r="H64" s="2">
        <f>H9*'Output-Calculation-sheet'!H53/10^9</f>
        <v>1.7454730378713283</v>
      </c>
      <c r="I64" s="2">
        <f>I9*'Output-Calculation-sheet'!I53/10^9</f>
        <v>0.79414244424565195</v>
      </c>
      <c r="J64" s="2">
        <f>J9*'Output-Calculation-sheet'!J53/10^9</f>
        <v>1.0512832383228972</v>
      </c>
      <c r="K64" s="2">
        <f>K9*'Output-Calculation-sheet'!K53/10^9</f>
        <v>0.97544781438796313</v>
      </c>
      <c r="L64" s="2">
        <f>L9*'Output-Calculation-sheet'!L53/10^9</f>
        <v>1.254910697666106</v>
      </c>
      <c r="M64" s="2">
        <f>M9*'Output-Calculation-sheet'!M53/10^9</f>
        <v>1.3679369631399334</v>
      </c>
      <c r="N64" s="2">
        <f>N9*'Output-Calculation-sheet'!N53/10^9</f>
        <v>1.1516494042934895</v>
      </c>
      <c r="O64" s="2">
        <f>O9*'Output-Calculation-sheet'!O53/10^9</f>
        <v>1.2035731073626228</v>
      </c>
      <c r="P64" s="2">
        <f>P9*'Output-Calculation-sheet'!P53/10^9</f>
        <v>0.74371261546696321</v>
      </c>
      <c r="Q64" s="2">
        <f>Q9*'Output-Calculation-sheet'!Q53/10^9</f>
        <v>0.82191443963868238</v>
      </c>
      <c r="R64" s="2">
        <f>R9*'Output-Calculation-sheet'!R53/10^9</f>
        <v>0.70457477134082003</v>
      </c>
      <c r="S64" s="2">
        <f>S9*'Output-Calculation-sheet'!S53/10^9</f>
        <v>0.58213622092528838</v>
      </c>
      <c r="T64" s="2">
        <f>T9*'Output-Calculation-sheet'!T53/10^9</f>
        <v>0.25327528450684722</v>
      </c>
      <c r="U64" s="2">
        <f>U9*'Output-Calculation-sheet'!U53/10^9</f>
        <v>0.19063502596935145</v>
      </c>
      <c r="V64" s="2">
        <f>V9*'Output-Calculation-sheet'!V53/10^9</f>
        <v>0.30062063570939718</v>
      </c>
      <c r="W64" s="2">
        <f>W9*'Output-Calculation-sheet'!W53/10^9</f>
        <v>0.11170501660865639</v>
      </c>
      <c r="X64" s="2">
        <f>X9*'Output-Calculation-sheet'!X53/10^9</f>
        <v>0.14997296569552973</v>
      </c>
      <c r="Y64" s="2">
        <f>Y9*'Output-Calculation-sheet'!Y53/10^9</f>
        <v>7.8264220825632475E-2</v>
      </c>
      <c r="AA64" s="2">
        <f t="shared" si="4"/>
        <v>36.410660191842645</v>
      </c>
    </row>
    <row r="65" spans="1:27" x14ac:dyDescent="0.25">
      <c r="A65" s="2">
        <v>2033</v>
      </c>
      <c r="B65" s="2">
        <f>B10*'Output-Calculation-sheet'!B54/10^9</f>
        <v>9.9371979704726652</v>
      </c>
      <c r="C65" s="2">
        <f>C10*'Output-Calculation-sheet'!C54/10^9</f>
        <v>6.4510630566280183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1.8208651533666749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0.91490897513034175</v>
      </c>
      <c r="L65" s="2">
        <f>L10*'Output-Calculation-sheet'!L54/10^9</f>
        <v>1.0806327095018846</v>
      </c>
      <c r="M65" s="2">
        <f>M10*'Output-Calculation-sheet'!M54/10^9</f>
        <v>1.3748488281849467</v>
      </c>
      <c r="N65" s="2">
        <f>N10*'Output-Calculation-sheet'!N54/10^9</f>
        <v>1.1871943122661841</v>
      </c>
      <c r="O65" s="2">
        <f>O10*'Output-Calculation-sheet'!O54/10^9</f>
        <v>1.2895293795079259</v>
      </c>
      <c r="P65" s="2">
        <f>P10*'Output-Calculation-sheet'!P54/10^9</f>
        <v>0.77407174736322726</v>
      </c>
      <c r="Q65" s="2">
        <f>Q10*'Output-Calculation-sheet'!Q54/10^9</f>
        <v>0.84474607216886821</v>
      </c>
      <c r="R65" s="2">
        <f>R10*'Output-Calculation-sheet'!R54/10^9</f>
        <v>0.68148190299190936</v>
      </c>
      <c r="S65" s="2">
        <f>S10*'Output-Calculation-sheet'!S54/10^9</f>
        <v>0.61901290055818137</v>
      </c>
      <c r="T65" s="2">
        <f>T10*'Output-Calculation-sheet'!T54/10^9</f>
        <v>0.22784926178046674</v>
      </c>
      <c r="U65" s="2">
        <f>U10*'Output-Calculation-sheet'!U54/10^9</f>
        <v>0.19674247498301914</v>
      </c>
      <c r="V65" s="2">
        <f>V10*'Output-Calculation-sheet'!V54/10^9</f>
        <v>0.25215919579186802</v>
      </c>
      <c r="W65" s="2">
        <f>W10*'Output-Calculation-sheet'!W54/10^9</f>
        <v>9.6002804957355956E-2</v>
      </c>
      <c r="X65" s="2">
        <f>X10*'Output-Calculation-sheet'!X54/10^9</f>
        <v>0.15697843663436692</v>
      </c>
      <c r="Y65" s="2">
        <f>Y10*'Output-Calculation-sheet'!Y54/10^9</f>
        <v>7.9022584146854355E-2</v>
      </c>
      <c r="AA65" s="2">
        <f t="shared" si="4"/>
        <v>36.360075329122694</v>
      </c>
    </row>
    <row r="66" spans="1:27" x14ac:dyDescent="0.25">
      <c r="A66" s="2">
        <v>2034</v>
      </c>
      <c r="B66" s="2">
        <f>B11*'Output-Calculation-sheet'!B55/10^9</f>
        <v>10.507354485812801</v>
      </c>
      <c r="C66" s="2">
        <f>C11*'Output-Calculation-sheet'!C55/10^9</f>
        <v>6.7504766859661132</v>
      </c>
      <c r="D66" s="2">
        <f>D11*'Output-Calculation-sheet'!D55/10^9</f>
        <v>2.198454059488153</v>
      </c>
      <c r="E66" s="2">
        <f>E11*'Output-Calculation-sheet'!E55/10^9</f>
        <v>2.6621675628219315</v>
      </c>
      <c r="F66" s="2">
        <f>F11*'Output-Calculation-sheet'!F55/10^9</f>
        <v>1.0231142123154375</v>
      </c>
      <c r="G66" s="2">
        <f>G11*'Output-Calculation-sheet'!G55/10^9</f>
        <v>0.73134711499096949</v>
      </c>
      <c r="H66" s="2">
        <f>H11*'Output-Calculation-sheet'!H55/10^9</f>
        <v>1.8684849888265982</v>
      </c>
      <c r="I66" s="2">
        <f>I11*'Output-Calculation-sheet'!I55/10^9</f>
        <v>0.71513918946379851</v>
      </c>
      <c r="J66" s="2">
        <f>J11*'Output-Calculation-sheet'!J55/10^9</f>
        <v>0.7353821110894434</v>
      </c>
      <c r="K66" s="2">
        <f>K11*'Output-Calculation-sheet'!K55/10^9</f>
        <v>0.87957598782727908</v>
      </c>
      <c r="L66" s="2">
        <f>L11*'Output-Calculation-sheet'!L55/10^9</f>
        <v>0.93153170382216488</v>
      </c>
      <c r="M66" s="2">
        <f>M11*'Output-Calculation-sheet'!M55/10^9</f>
        <v>1.3544880047315235</v>
      </c>
      <c r="N66" s="2">
        <f>N11*'Output-Calculation-sheet'!N55/10^9</f>
        <v>1.1834557935241459</v>
      </c>
      <c r="O66" s="2">
        <f>O11*'Output-Calculation-sheet'!O55/10^9</f>
        <v>1.3319080328138773</v>
      </c>
      <c r="P66" s="2">
        <f>P11*'Output-Calculation-sheet'!P55/10^9</f>
        <v>0.81358118520380251</v>
      </c>
      <c r="Q66" s="2">
        <f>Q11*'Output-Calculation-sheet'!Q55/10^9</f>
        <v>0.8852203659632587</v>
      </c>
      <c r="R66" s="2">
        <f>R11*'Output-Calculation-sheet'!R55/10^9</f>
        <v>0.65894739936042046</v>
      </c>
      <c r="S66" s="2">
        <f>S11*'Output-Calculation-sheet'!S55/10^9</f>
        <v>0.6478340189552686</v>
      </c>
      <c r="T66" s="2">
        <f>T11*'Output-Calculation-sheet'!T55/10^9</f>
        <v>0.20652877249335191</v>
      </c>
      <c r="U66" s="2">
        <f>U11*'Output-Calculation-sheet'!U55/10^9</f>
        <v>0.20975568808890838</v>
      </c>
      <c r="V66" s="2">
        <f>V11*'Output-Calculation-sheet'!V55/10^9</f>
        <v>0.19592167707030389</v>
      </c>
      <c r="W66" s="2">
        <f>W11*'Output-Calculation-sheet'!W55/10^9</f>
        <v>8.8712938124673082E-2</v>
      </c>
      <c r="X66" s="2">
        <f>X11*'Output-Calculation-sheet'!X55/10^9</f>
        <v>0.15830682058791462</v>
      </c>
      <c r="Y66" s="2">
        <f>Y11*'Output-Calculation-sheet'!Y55/10^9</f>
        <v>8.7051331968433135E-2</v>
      </c>
      <c r="AA66" s="2">
        <f t="shared" si="4"/>
        <v>36.82474013131057</v>
      </c>
    </row>
    <row r="67" spans="1:27" x14ac:dyDescent="0.25">
      <c r="A67" s="2">
        <v>2035</v>
      </c>
      <c r="B67" s="2">
        <f>B12*'Output-Calculation-sheet'!B56/10^9</f>
        <v>10.925152221728254</v>
      </c>
      <c r="C67" s="2">
        <f>C12*'Output-Calculation-sheet'!C56/10^9</f>
        <v>6.8615567198270844</v>
      </c>
      <c r="D67" s="2">
        <f>D12*'Output-Calculation-sheet'!D56/10^9</f>
        <v>2.2731342988285661</v>
      </c>
      <c r="E67" s="2">
        <f>E12*'Output-Calculation-sheet'!E56/10^9</f>
        <v>3.0861809980892807</v>
      </c>
      <c r="F67" s="2">
        <f>F12*'Output-Calculation-sheet'!F56/10^9</f>
        <v>1.1272392632069084</v>
      </c>
      <c r="G67" s="2">
        <f>G12*'Output-Calculation-sheet'!G56/10^9</f>
        <v>0.78964213020760843</v>
      </c>
      <c r="H67" s="2">
        <f>H12*'Output-Calculation-sheet'!H56/10^9</f>
        <v>1.9074649191342894</v>
      </c>
      <c r="I67" s="2">
        <f>I12*'Output-Calculation-sheet'!I56/10^9</f>
        <v>0.76706978072860399</v>
      </c>
      <c r="J67" s="2">
        <f>J12*'Output-Calculation-sheet'!J56/10^9</f>
        <v>0.75938692514738659</v>
      </c>
      <c r="K67" s="2">
        <f>K12*'Output-Calculation-sheet'!K56/10^9</f>
        <v>0.91506945875854862</v>
      </c>
      <c r="L67" s="2">
        <f>L12*'Output-Calculation-sheet'!L56/10^9</f>
        <v>0.9192562165723257</v>
      </c>
      <c r="M67" s="2">
        <f>M12*'Output-Calculation-sheet'!M56/10^9</f>
        <v>1.3953359583066103</v>
      </c>
      <c r="N67" s="2">
        <f>N12*'Output-Calculation-sheet'!N56/10^9</f>
        <v>1.1984744397102389</v>
      </c>
      <c r="O67" s="2">
        <f>O12*'Output-Calculation-sheet'!O56/10^9</f>
        <v>1.3444147338486931</v>
      </c>
      <c r="P67" s="2">
        <f>P12*'Output-Calculation-sheet'!P56/10^9</f>
        <v>0.88630897550469112</v>
      </c>
      <c r="Q67" s="2">
        <f>Q12*'Output-Calculation-sheet'!Q56/10^9</f>
        <v>0.91226987202197962</v>
      </c>
      <c r="R67" s="2">
        <f>R12*'Output-Calculation-sheet'!R56/10^9</f>
        <v>0.69413874216098614</v>
      </c>
      <c r="S67" s="2">
        <f>S12*'Output-Calculation-sheet'!S56/10^9</f>
        <v>0.66143664411184289</v>
      </c>
      <c r="T67" s="2">
        <f>T12*'Output-Calculation-sheet'!T56/10^9</f>
        <v>0.21035236928723108</v>
      </c>
      <c r="U67" s="2">
        <f>U12*'Output-Calculation-sheet'!U56/10^9</f>
        <v>0.21996236113095144</v>
      </c>
      <c r="V67" s="2">
        <f>V12*'Output-Calculation-sheet'!V56/10^9</f>
        <v>0.16873093605342715</v>
      </c>
      <c r="W67" s="2">
        <f>W12*'Output-Calculation-sheet'!W56/10^9</f>
        <v>0.10187441414276044</v>
      </c>
      <c r="X67" s="2">
        <f>X12*'Output-Calculation-sheet'!X56/10^9</f>
        <v>0.1612727836605036</v>
      </c>
      <c r="Y67" s="2">
        <f>Y12*'Output-Calculation-sheet'!Y56/10^9</f>
        <v>9.8445654646118735E-2</v>
      </c>
      <c r="AA67" s="2">
        <f t="shared" si="4"/>
        <v>38.384170816814894</v>
      </c>
    </row>
    <row r="68" spans="1:27" x14ac:dyDescent="0.25">
      <c r="B68" s="2">
        <f>SUM(B60:B67)</f>
        <v>49.418703829555952</v>
      </c>
      <c r="C68" s="2">
        <f t="shared" ref="C68:Y68" si="5">SUM(C60:C67)</f>
        <v>31.289679624003462</v>
      </c>
      <c r="D68" s="2">
        <f t="shared" si="5"/>
        <v>12.569893011683241</v>
      </c>
      <c r="E68" s="2">
        <f t="shared" si="5"/>
        <v>14.191718376290579</v>
      </c>
      <c r="F68" s="2">
        <f t="shared" si="5"/>
        <v>5.6749880469500837</v>
      </c>
      <c r="G68" s="2">
        <f t="shared" si="5"/>
        <v>4.0117356710846561</v>
      </c>
      <c r="H68" s="2">
        <f t="shared" si="5"/>
        <v>8.9220727597819423</v>
      </c>
      <c r="I68" s="2">
        <f t="shared" si="5"/>
        <v>3.8351403534978985</v>
      </c>
      <c r="J68" s="2">
        <f t="shared" si="5"/>
        <v>4.561303716944674</v>
      </c>
      <c r="K68" s="2">
        <f t="shared" si="5"/>
        <v>4.7021811640434796</v>
      </c>
      <c r="L68" s="2">
        <f t="shared" si="5"/>
        <v>5.5544859263902033</v>
      </c>
      <c r="M68" s="2">
        <f t="shared" si="5"/>
        <v>6.7749372926085245</v>
      </c>
      <c r="N68" s="2">
        <f t="shared" si="5"/>
        <v>5.7910469056996057</v>
      </c>
      <c r="O68" s="2">
        <f t="shared" si="5"/>
        <v>6.2450030087358188</v>
      </c>
      <c r="P68" s="2">
        <f t="shared" si="5"/>
        <v>3.9205177243486222</v>
      </c>
      <c r="Q68" s="2">
        <f t="shared" si="5"/>
        <v>4.2595632877873397</v>
      </c>
      <c r="R68" s="2">
        <f t="shared" si="5"/>
        <v>3.4532653853795874</v>
      </c>
      <c r="S68" s="2">
        <f t="shared" si="5"/>
        <v>3.0396099111880357</v>
      </c>
      <c r="T68" s="2">
        <f t="shared" si="5"/>
        <v>1.1695048877899452</v>
      </c>
      <c r="U68" s="2">
        <f t="shared" si="5"/>
        <v>1.0035582912474263</v>
      </c>
      <c r="V68" s="2">
        <f t="shared" si="5"/>
        <v>1.2483597454328148</v>
      </c>
      <c r="W68" s="2">
        <f t="shared" si="5"/>
        <v>0.51807535262505422</v>
      </c>
      <c r="X68" s="2">
        <f t="shared" si="5"/>
        <v>0.76288403563810914</v>
      </c>
      <c r="Y68" s="2">
        <f t="shared" si="5"/>
        <v>0.42093702625642448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947.91714464439008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1728.7172247485607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1165.7902990780819</v>
      </c>
      <c r="N74" s="2">
        <f>N8/'Output-Calculation-sheet'!N7*'Output-Calculation-sheet'!N61</f>
        <v>52.354478332478905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10.344946399820056</v>
      </c>
      <c r="Y74" s="2">
        <f>Y8/'Output-Calculation-sheet'!Y7*'Output-Calculation-sheet'!Y61</f>
        <v>0</v>
      </c>
      <c r="AA74" s="2">
        <f t="shared" si="6"/>
        <v>3.9051240932033311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171.62054784999134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3090.093712474305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2094.6991490439132</v>
      </c>
      <c r="N75" s="2">
        <f>N9/'Output-Calculation-sheet'!N8*'Output-Calculation-sheet'!N62</f>
        <v>807.28192914361091</v>
      </c>
      <c r="O75" s="2">
        <f>O9/'Output-Calculation-sheet'!O8*'Output-Calculation-sheet'!O62</f>
        <v>59.951206204117753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270.80946726327613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73.928303663408713</v>
      </c>
      <c r="Y75" s="2">
        <f>Y9/'Output-Calculation-sheet'!Y8*'Output-Calculation-sheet'!Y62</f>
        <v>0</v>
      </c>
      <c r="AA75" s="2">
        <f t="shared" si="6"/>
        <v>6.6322825503714089</v>
      </c>
    </row>
    <row r="76" spans="1:27" x14ac:dyDescent="0.25">
      <c r="A76" s="2">
        <v>2033</v>
      </c>
      <c r="B76" s="2">
        <f>B10/'Output-Calculation-sheet'!B9*'Output-Calculation-sheet'!B63</f>
        <v>6924.0333686950653</v>
      </c>
      <c r="C76" s="2">
        <f>C10/'Output-Calculation-sheet'!C9*'Output-Calculation-sheet'!C63</f>
        <v>1427.1882525746687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4540.2438261848729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3084.5771837607008</v>
      </c>
      <c r="N76" s="2">
        <f>N10/'Output-Calculation-sheet'!N9*'Output-Calculation-sheet'!N63</f>
        <v>1764.1521051619391</v>
      </c>
      <c r="O76" s="2">
        <f>O10/'Output-Calculation-sheet'!O9*'Output-Calculation-sheet'!O63</f>
        <v>292.74005043717295</v>
      </c>
      <c r="P76" s="2">
        <f>P10/'Output-Calculation-sheet'!P9*'Output-Calculation-sheet'!P63</f>
        <v>609.19691039875033</v>
      </c>
      <c r="Q76" s="2">
        <f>Q10/'Output-Calculation-sheet'!Q9*'Output-Calculation-sheet'!Q63</f>
        <v>275.32694480114702</v>
      </c>
      <c r="R76" s="2">
        <f>R10/'Output-Calculation-sheet'!R9*'Output-Calculation-sheet'!R63</f>
        <v>463.58899303214014</v>
      </c>
      <c r="S76" s="2">
        <f>S10/'Output-Calculation-sheet'!S9*'Output-Calculation-sheet'!S63</f>
        <v>786.5662007002453</v>
      </c>
      <c r="T76" s="2">
        <f>T10/'Output-Calculation-sheet'!T9*'Output-Calculation-sheet'!T63</f>
        <v>30.466322360892306</v>
      </c>
      <c r="U76" s="2">
        <f>U10/'Output-Calculation-sheet'!U9*'Output-Calculation-sheet'!U63</f>
        <v>164.69984264946751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177.1043362250318</v>
      </c>
      <c r="Y76" s="2">
        <f>Y10/'Output-Calculation-sheet'!Y9*'Output-Calculation-sheet'!Y63</f>
        <v>7.8121133026701495</v>
      </c>
      <c r="AA76" s="2">
        <f t="shared" si="6"/>
        <v>20.675586115968507</v>
      </c>
    </row>
    <row r="77" spans="1:27" x14ac:dyDescent="0.25">
      <c r="A77" s="2">
        <v>2034</v>
      </c>
      <c r="B77" s="2">
        <f>B11/'Output-Calculation-sheet'!B10*'Output-Calculation-sheet'!B64</f>
        <v>16685.572786432596</v>
      </c>
      <c r="C77" s="2">
        <f>C11/'Output-Calculation-sheet'!C10*'Output-Calculation-sheet'!C64</f>
        <v>2505.8781702304809</v>
      </c>
      <c r="D77" s="2">
        <f>D11/'Output-Calculation-sheet'!D10*'Output-Calculation-sheet'!D64</f>
        <v>2143.8620612080922</v>
      </c>
      <c r="E77" s="2">
        <f>E11/'Output-Calculation-sheet'!E10*'Output-Calculation-sheet'!E64</f>
        <v>2643.64771177475</v>
      </c>
      <c r="F77" s="2">
        <f>F11/'Output-Calculation-sheet'!F10*'Output-Calculation-sheet'!F64</f>
        <v>170.23005618456145</v>
      </c>
      <c r="G77" s="2">
        <f>G11/'Output-Calculation-sheet'!G10*'Output-Calculation-sheet'!G64</f>
        <v>1068.1068947929102</v>
      </c>
      <c r="H77" s="2">
        <f>H11/'Output-Calculation-sheet'!H10*'Output-Calculation-sheet'!H64</f>
        <v>5692.0310314142871</v>
      </c>
      <c r="I77" s="2">
        <f>I11/'Output-Calculation-sheet'!I10*'Output-Calculation-sheet'!I64</f>
        <v>664.16642693881818</v>
      </c>
      <c r="J77" s="2">
        <f>J11/'Output-Calculation-sheet'!J10*'Output-Calculation-sheet'!J64</f>
        <v>466.0477281072728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425.31956290906498</v>
      </c>
      <c r="M77" s="2">
        <f>M11/'Output-Calculation-sheet'!M10*'Output-Calculation-sheet'!M64</f>
        <v>4034.594383662693</v>
      </c>
      <c r="N77" s="2">
        <f>N11/'Output-Calculation-sheet'!N10*'Output-Calculation-sheet'!N64</f>
        <v>2830.8545734962718</v>
      </c>
      <c r="O77" s="2">
        <f>O11/'Output-Calculation-sheet'!O10*'Output-Calculation-sheet'!O64</f>
        <v>135.2168186599645</v>
      </c>
      <c r="P77" s="2">
        <f>P11/'Output-Calculation-sheet'!P10*'Output-Calculation-sheet'!P64</f>
        <v>1243.3679282735231</v>
      </c>
      <c r="Q77" s="2">
        <f>Q11/'Output-Calculation-sheet'!Q10*'Output-Calculation-sheet'!Q64</f>
        <v>886.63318894995643</v>
      </c>
      <c r="R77" s="2">
        <f>R11/'Output-Calculation-sheet'!R10*'Output-Calculation-sheet'!R64</f>
        <v>1072.2312918578898</v>
      </c>
      <c r="S77" s="2">
        <f>S11/'Output-Calculation-sheet'!S10*'Output-Calculation-sheet'!S64</f>
        <v>1327.990139145593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315.39253926756072</v>
      </c>
      <c r="V77" s="2">
        <f>V11/'Output-Calculation-sheet'!V10*'Output-Calculation-sheet'!V64</f>
        <v>153.0466497331827</v>
      </c>
      <c r="W77" s="2">
        <f>W11/'Output-Calculation-sheet'!W10*'Output-Calculation-sheet'!W64</f>
        <v>33.59133753389581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98.061550395009007</v>
      </c>
      <c r="AA77" s="2">
        <f t="shared" si="6"/>
        <v>46.071161392184663</v>
      </c>
    </row>
    <row r="78" spans="1:27" x14ac:dyDescent="0.25">
      <c r="A78" s="2">
        <v>2035</v>
      </c>
      <c r="B78" s="2">
        <f>B12/'Output-Calculation-sheet'!B11*'Output-Calculation-sheet'!B65</f>
        <v>17940.724715798242</v>
      </c>
      <c r="C78" s="2">
        <f>C12/'Output-Calculation-sheet'!C11*'Output-Calculation-sheet'!C65</f>
        <v>5895.7679306846121</v>
      </c>
      <c r="D78" s="2">
        <f>D12/'Output-Calculation-sheet'!D11*'Output-Calculation-sheet'!D65</f>
        <v>2409.165969588943</v>
      </c>
      <c r="E78" s="2">
        <f>E12/'Output-Calculation-sheet'!E11*'Output-Calculation-sheet'!E65</f>
        <v>4192.487058024858</v>
      </c>
      <c r="F78" s="2">
        <f>F12/'Output-Calculation-sheet'!F11*'Output-Calculation-sheet'!F65</f>
        <v>541.35846348638051</v>
      </c>
      <c r="G78" s="2">
        <f>G12/'Output-Calculation-sheet'!G11*'Output-Calculation-sheet'!G65</f>
        <v>1055.4807213720555</v>
      </c>
      <c r="H78" s="2">
        <f>H12/'Output-Calculation-sheet'!H11*'Output-Calculation-sheet'!H65</f>
        <v>5710.8467545208587</v>
      </c>
      <c r="I78" s="2">
        <f>I12/'Output-Calculation-sheet'!I11*'Output-Calculation-sheet'!I65</f>
        <v>701.74628032146097</v>
      </c>
      <c r="J78" s="2">
        <f>J12/'Output-Calculation-sheet'!J11*'Output-Calculation-sheet'!J65</f>
        <v>1022.1760447253263</v>
      </c>
      <c r="K78" s="2">
        <f>K12/'Output-Calculation-sheet'!K11*'Output-Calculation-sheet'!K65</f>
        <v>1256.8866434397653</v>
      </c>
      <c r="L78" s="2">
        <f>L12/'Output-Calculation-sheet'!L11*'Output-Calculation-sheet'!L65</f>
        <v>1073.6623806093589</v>
      </c>
      <c r="M78" s="2">
        <f>M12/'Output-Calculation-sheet'!M11*'Output-Calculation-sheet'!M65</f>
        <v>4170.2312247940345</v>
      </c>
      <c r="N78" s="2">
        <f>N12/'Output-Calculation-sheet'!N11*'Output-Calculation-sheet'!N65</f>
        <v>3004.2514657089196</v>
      </c>
      <c r="O78" s="2">
        <f>O12/'Output-Calculation-sheet'!O11*'Output-Calculation-sheet'!O65</f>
        <v>14.078585522511736</v>
      </c>
      <c r="P78" s="2">
        <f>P12/'Output-Calculation-sheet'!P11*'Output-Calculation-sheet'!P65</f>
        <v>1450.6674276767374</v>
      </c>
      <c r="Q78" s="2">
        <f>Q12/'Output-Calculation-sheet'!Q11*'Output-Calculation-sheet'!Q65</f>
        <v>976.27515657384788</v>
      </c>
      <c r="R78" s="2">
        <f>R12/'Output-Calculation-sheet'!R11*'Output-Calculation-sheet'!R65</f>
        <v>1351.298974261138</v>
      </c>
      <c r="S78" s="2">
        <f>S12/'Output-Calculation-sheet'!S11*'Output-Calculation-sheet'!S65</f>
        <v>1420.0726159398102</v>
      </c>
      <c r="T78" s="2">
        <f>T12/'Output-Calculation-sheet'!T11*'Output-Calculation-sheet'!T65</f>
        <v>466.18012498964811</v>
      </c>
      <c r="U78" s="2">
        <f>U12/'Output-Calculation-sheet'!U11*'Output-Calculation-sheet'!U65</f>
        <v>318.95123049846916</v>
      </c>
      <c r="V78" s="2">
        <f>V12/'Output-Calculation-sheet'!V11*'Output-Calculation-sheet'!V65</f>
        <v>262.93002079684527</v>
      </c>
      <c r="W78" s="2">
        <f>W12/'Output-Calculation-sheet'!W11*'Output-Calculation-sheet'!W65</f>
        <v>124.33022360871985</v>
      </c>
      <c r="X78" s="2">
        <f>X12/'Output-Calculation-sheet'!X11*'Output-Calculation-sheet'!X65</f>
        <v>34.274497797089587</v>
      </c>
      <c r="Y78" s="2">
        <f>Y12/'Output-Calculation-sheet'!Y11*'Output-Calculation-sheet'!Y65</f>
        <v>116.35088844592413</v>
      </c>
      <c r="AA78" s="2">
        <f t="shared" si="6"/>
        <v>55.510195399185548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27.922256774588185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2.1056066907293784</v>
      </c>
      <c r="H88" s="2">
        <f>H11/'Output-Calculation-sheet'!H10*'Output-Calculation-sheet'!H73</f>
        <v>14.278409996373442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6.0431523882710003</v>
      </c>
      <c r="R88" s="2">
        <f>R11/'Output-Calculation-sheet'!R10*'Output-Calculation-sheet'!R73</f>
        <v>0</v>
      </c>
      <c r="S88" s="2">
        <f>S11/'Output-Calculation-sheet'!S10*'Output-Calculation-sheet'!S73</f>
        <v>3.1630485992344628</v>
      </c>
      <c r="T88" s="2">
        <f>T11/'Output-Calculation-sheet'!T10*'Output-Calculation-sheet'!T73</f>
        <v>0</v>
      </c>
      <c r="U88" s="2">
        <f>U11/'Output-Calculation-sheet'!U10*'Output-Calculation-sheet'!U73</f>
        <v>1.9281289692492272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5.54406034184457E-2</v>
      </c>
    </row>
    <row r="89" spans="1:27" x14ac:dyDescent="0.25">
      <c r="A89" s="2">
        <v>2035</v>
      </c>
      <c r="B89" s="2">
        <f>B12/'Output-Calculation-sheet'!B11*'Output-Calculation-sheet'!B74</f>
        <v>391.35938138730234</v>
      </c>
      <c r="C89" s="2">
        <f>C12/'Output-Calculation-sheet'!C11*'Output-Calculation-sheet'!C74</f>
        <v>212.28368065943795</v>
      </c>
      <c r="D89" s="2">
        <f>D12/'Output-Calculation-sheet'!D11*'Output-Calculation-sheet'!D74</f>
        <v>35.258753265572906</v>
      </c>
      <c r="E89" s="2">
        <f>E12/'Output-Calculation-sheet'!E11*'Output-Calculation-sheet'!E74</f>
        <v>116.75557081118033</v>
      </c>
      <c r="F89" s="2">
        <f>F12/'Output-Calculation-sheet'!F11*'Output-Calculation-sheet'!F74</f>
        <v>35.246986358902312</v>
      </c>
      <c r="G89" s="2">
        <f>G12/'Output-Calculation-sheet'!G11*'Output-Calculation-sheet'!G74</f>
        <v>25.296223784526138</v>
      </c>
      <c r="H89" s="2">
        <f>H12/'Output-Calculation-sheet'!H11*'Output-Calculation-sheet'!H74</f>
        <v>87.810704303276196</v>
      </c>
      <c r="I89" s="2">
        <f>I12/'Output-Calculation-sheet'!I11*'Output-Calculation-sheet'!I74</f>
        <v>22.752390118308547</v>
      </c>
      <c r="J89" s="2">
        <f>J12/'Output-Calculation-sheet'!J11*'Output-Calculation-sheet'!J74</f>
        <v>11.25866470185273</v>
      </c>
      <c r="K89" s="2">
        <f>K12/'Output-Calculation-sheet'!K11*'Output-Calculation-sheet'!K74</f>
        <v>16.771483372980679</v>
      </c>
      <c r="L89" s="2">
        <f>L12/'Output-Calculation-sheet'!L11*'Output-Calculation-sheet'!L74</f>
        <v>8.8906076657385267</v>
      </c>
      <c r="M89" s="2">
        <f>M12/'Output-Calculation-sheet'!M11*'Output-Calculation-sheet'!M74</f>
        <v>46.370610196858834</v>
      </c>
      <c r="N89" s="2">
        <f>N12/'Output-Calculation-sheet'!N11*'Output-Calculation-sheet'!N74</f>
        <v>23.477921952626833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31.896288181568149</v>
      </c>
      <c r="Q89" s="2">
        <f>Q12/'Output-Calculation-sheet'!Q11*'Output-Calculation-sheet'!Q74</f>
        <v>26.620329022165361</v>
      </c>
      <c r="R89" s="2">
        <f>R12/'Output-Calculation-sheet'!R11*'Output-Calculation-sheet'!R74</f>
        <v>14.399494629475008</v>
      </c>
      <c r="S89" s="2">
        <f>S12/'Output-Calculation-sheet'!S11*'Output-Calculation-sheet'!S74</f>
        <v>20.583367022714175</v>
      </c>
      <c r="T89" s="2">
        <f>T12/'Output-Calculation-sheet'!T11*'Output-Calculation-sheet'!T74</f>
        <v>2.6636352857567607</v>
      </c>
      <c r="U89" s="2">
        <f>U12/'Output-Calculation-sheet'!U11*'Output-Calculation-sheet'!U74</f>
        <v>7.7213505108846334</v>
      </c>
      <c r="V89" s="2">
        <f>V12/'Output-Calculation-sheet'!V11*'Output-Calculation-sheet'!V74</f>
        <v>0.59538357729840219</v>
      </c>
      <c r="W89" s="2">
        <f>W12/'Output-Calculation-sheet'!W11*'Output-Calculation-sheet'!W74</f>
        <v>3.6089302119426883</v>
      </c>
      <c r="X89" s="2">
        <f>X12/'Output-Calculation-sheet'!X11*'Output-Calculation-sheet'!X74</f>
        <v>0.46245021651608431</v>
      </c>
      <c r="Y89" s="2">
        <f>Y12/'Output-Calculation-sheet'!Y11*'Output-Calculation-sheet'!Y74</f>
        <v>4.9090063526375971</v>
      </c>
      <c r="AA89" s="2">
        <f t="shared" si="7"/>
        <v>1.1482819892689911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9945239186.7096424</v>
      </c>
      <c r="C96" s="2">
        <f>C8/'Output-Calculation-sheet'!C7*'Output-Calculation-sheet'!C79</f>
        <v>2401612585.3966684</v>
      </c>
      <c r="D96" s="2">
        <f>D8/'Output-Calculation-sheet'!D7*'Output-Calculation-sheet'!D79</f>
        <v>1949742477.2471285</v>
      </c>
      <c r="E96" s="2">
        <f>E8/'Output-Calculation-sheet'!E7*'Output-Calculation-sheet'!E79</f>
        <v>7304986101.510253</v>
      </c>
      <c r="F96" s="2">
        <f>F8/'Output-Calculation-sheet'!F7*'Output-Calculation-sheet'!F79</f>
        <v>2130975468.7508562</v>
      </c>
      <c r="G96" s="2">
        <f>G8/'Output-Calculation-sheet'!G7*'Output-Calculation-sheet'!G79</f>
        <v>1367782521.421859</v>
      </c>
      <c r="H96" s="2">
        <f>H8/'Output-Calculation-sheet'!H7*'Output-Calculation-sheet'!H79</f>
        <v>1685062724.4314919</v>
      </c>
      <c r="I96" s="2">
        <f>I8/'Output-Calculation-sheet'!I7*'Output-Calculation-sheet'!I79</f>
        <v>983566369.96854424</v>
      </c>
      <c r="J96" s="2">
        <f>J8/'Output-Calculation-sheet'!J7*'Output-Calculation-sheet'!J79</f>
        <v>745348397.59033859</v>
      </c>
      <c r="K96" s="2">
        <f>K8/'Output-Calculation-sheet'!K7*'Output-Calculation-sheet'!K79</f>
        <v>934764704.7266537</v>
      </c>
      <c r="L96" s="2">
        <f>L8/'Output-Calculation-sheet'!L7*'Output-Calculation-sheet'!L79</f>
        <v>848606920.56807721</v>
      </c>
      <c r="M96" s="2">
        <f>M8/'Output-Calculation-sheet'!M7*'Output-Calculation-sheet'!M79</f>
        <v>1300185484.8128574</v>
      </c>
      <c r="N96" s="2">
        <f>N8/'Output-Calculation-sheet'!N7*'Output-Calculation-sheet'!N79</f>
        <v>845207282.27636468</v>
      </c>
      <c r="O96" s="2">
        <f>O8/'Output-Calculation-sheet'!O7*'Output-Calculation-sheet'!O79</f>
        <v>317139543.32478911</v>
      </c>
      <c r="P96" s="2">
        <f>P8/'Output-Calculation-sheet'!P7*'Output-Calculation-sheet'!P79</f>
        <v>1609712951.1771176</v>
      </c>
      <c r="Q96" s="2">
        <f>Q8/'Output-Calculation-sheet'!Q7*'Output-Calculation-sheet'!Q79</f>
        <v>683431520.03778696</v>
      </c>
      <c r="R96" s="2">
        <f>R8/'Output-Calculation-sheet'!R7*'Output-Calculation-sheet'!R79</f>
        <v>907106854.2328856</v>
      </c>
      <c r="S96" s="2">
        <f>S8/'Output-Calculation-sheet'!S7*'Output-Calculation-sheet'!S79</f>
        <v>511571475.91973662</v>
      </c>
      <c r="T96" s="2">
        <f>T8/'Output-Calculation-sheet'!T7*'Output-Calculation-sheet'!T79</f>
        <v>308620347.65174681</v>
      </c>
      <c r="U96" s="2">
        <f>U8/'Output-Calculation-sheet'!U7*'Output-Calculation-sheet'!U79</f>
        <v>242922926.06954122</v>
      </c>
      <c r="V96" s="2">
        <f>V8/'Output-Calculation-sheet'!V7*'Output-Calculation-sheet'!V79</f>
        <v>111493165.00379492</v>
      </c>
      <c r="W96" s="2">
        <f>W8/'Output-Calculation-sheet'!W7*'Output-Calculation-sheet'!W79</f>
        <v>343277377.45047492</v>
      </c>
      <c r="X96" s="2">
        <f>X8/'Output-Calculation-sheet'!X7*'Output-Calculation-sheet'!X79</f>
        <v>154824857.39022875</v>
      </c>
      <c r="Y96" s="2">
        <f>Y8/'Output-Calculation-sheet'!Y7*'Output-Calculation-sheet'!Y79</f>
        <v>213067487.68396136</v>
      </c>
      <c r="AA96" s="2">
        <f t="shared" si="8"/>
        <v>37.846248731352809</v>
      </c>
    </row>
    <row r="97" spans="1:27" x14ac:dyDescent="0.25">
      <c r="A97" s="2">
        <v>2032</v>
      </c>
      <c r="B97" s="2">
        <f>B9/'Output-Calculation-sheet'!B8*'Output-Calculation-sheet'!B80</f>
        <v>12803397103.200724</v>
      </c>
      <c r="C97" s="2">
        <f>C9/'Output-Calculation-sheet'!C8*'Output-Calculation-sheet'!C80</f>
        <v>3023935912.5528312</v>
      </c>
      <c r="D97" s="2">
        <f>D9/'Output-Calculation-sheet'!D8*'Output-Calculation-sheet'!D80</f>
        <v>2309948554.4752846</v>
      </c>
      <c r="E97" s="2">
        <f>E9/'Output-Calculation-sheet'!E8*'Output-Calculation-sheet'!E80</f>
        <v>9724555490.5151367</v>
      </c>
      <c r="F97" s="2">
        <f>F9/'Output-Calculation-sheet'!F8*'Output-Calculation-sheet'!F80</f>
        <v>2666806900.5479279</v>
      </c>
      <c r="G97" s="2">
        <f>G9/'Output-Calculation-sheet'!G8*'Output-Calculation-sheet'!G80</f>
        <v>1634077145.6691017</v>
      </c>
      <c r="H97" s="2">
        <f>H9/'Output-Calculation-sheet'!H8*'Output-Calculation-sheet'!H80</f>
        <v>2139593349.3312123</v>
      </c>
      <c r="I97" s="2">
        <f>I9/'Output-Calculation-sheet'!I8*'Output-Calculation-sheet'!I80</f>
        <v>1232401160.1462872</v>
      </c>
      <c r="J97" s="2">
        <f>J9/'Output-Calculation-sheet'!J8*'Output-Calculation-sheet'!J80</f>
        <v>920943456.68068385</v>
      </c>
      <c r="K97" s="2">
        <f>K9/'Output-Calculation-sheet'!K8*'Output-Calculation-sheet'!K80</f>
        <v>1135836032.1024642</v>
      </c>
      <c r="L97" s="2">
        <f>L9/'Output-Calculation-sheet'!L8*'Output-Calculation-sheet'!L80</f>
        <v>1095592689.7572505</v>
      </c>
      <c r="M97" s="2">
        <f>M9/'Output-Calculation-sheet'!M8*'Output-Calculation-sheet'!M80</f>
        <v>1687994222.4390583</v>
      </c>
      <c r="N97" s="2">
        <f>N9/'Output-Calculation-sheet'!N8*'Output-Calculation-sheet'!N80</f>
        <v>1060575183.2266874</v>
      </c>
      <c r="O97" s="2">
        <f>O9/'Output-Calculation-sheet'!O8*'Output-Calculation-sheet'!O80</f>
        <v>394234319.47103912</v>
      </c>
      <c r="P97" s="2">
        <f>P9/'Output-Calculation-sheet'!P8*'Output-Calculation-sheet'!P80</f>
        <v>1988322078.226126</v>
      </c>
      <c r="Q97" s="2">
        <f>Q9/'Output-Calculation-sheet'!Q8*'Output-Calculation-sheet'!Q80</f>
        <v>860018266.56467867</v>
      </c>
      <c r="R97" s="2">
        <f>R9/'Output-Calculation-sheet'!R8*'Output-Calculation-sheet'!R80</f>
        <v>1152430922.9971309</v>
      </c>
      <c r="S97" s="2">
        <f>S9/'Output-Calculation-sheet'!S8*'Output-Calculation-sheet'!S80</f>
        <v>641398600.44684374</v>
      </c>
      <c r="T97" s="2">
        <f>T9/'Output-Calculation-sheet'!T8*'Output-Calculation-sheet'!T80</f>
        <v>373995165.67640603</v>
      </c>
      <c r="U97" s="2">
        <f>U9/'Output-Calculation-sheet'!U8*'Output-Calculation-sheet'!U80</f>
        <v>297596564.27013367</v>
      </c>
      <c r="V97" s="2">
        <f>V9/'Output-Calculation-sheet'!V8*'Output-Calculation-sheet'!V80</f>
        <v>137268781.73771882</v>
      </c>
      <c r="W97" s="2">
        <f>W9/'Output-Calculation-sheet'!W8*'Output-Calculation-sheet'!W80</f>
        <v>424776876.35708052</v>
      </c>
      <c r="X97" s="2">
        <f>X9/'Output-Calculation-sheet'!X8*'Output-Calculation-sheet'!X80</f>
        <v>205732317.07570955</v>
      </c>
      <c r="Y97" s="2">
        <f>Y9/'Output-Calculation-sheet'!Y8*'Output-Calculation-sheet'!Y80</f>
        <v>270066154.36955744</v>
      </c>
      <c r="AA97" s="2">
        <f t="shared" si="8"/>
        <v>48.181497247837072</v>
      </c>
    </row>
    <row r="98" spans="1:27" x14ac:dyDescent="0.25">
      <c r="A98" s="2">
        <v>2033</v>
      </c>
      <c r="B98" s="2">
        <f>B10/'Output-Calculation-sheet'!B9*'Output-Calculation-sheet'!B81</f>
        <v>14993991315.010004</v>
      </c>
      <c r="C98" s="2">
        <f>C10/'Output-Calculation-sheet'!C9*'Output-Calculation-sheet'!C81</f>
        <v>3472025532.1068397</v>
      </c>
      <c r="D98" s="2">
        <f>D10/'Output-Calculation-sheet'!D9*'Output-Calculation-sheet'!D81</f>
        <v>2497752729.0680609</v>
      </c>
      <c r="E98" s="2">
        <f>E10/'Output-Calculation-sheet'!E9*'Output-Calculation-sheet'!E81</f>
        <v>11790357160.899019</v>
      </c>
      <c r="F98" s="2">
        <f>F10/'Output-Calculation-sheet'!F9*'Output-Calculation-sheet'!F81</f>
        <v>3037793279.593524</v>
      </c>
      <c r="G98" s="2">
        <f>G10/'Output-Calculation-sheet'!G9*'Output-Calculation-sheet'!G81</f>
        <v>1774744541.4333086</v>
      </c>
      <c r="H98" s="2">
        <f>H10/'Output-Calculation-sheet'!H9*'Output-Calculation-sheet'!H81</f>
        <v>2470719359.2592664</v>
      </c>
      <c r="I98" s="2">
        <f>I10/'Output-Calculation-sheet'!I9*'Output-Calculation-sheet'!I81</f>
        <v>1408040798.4080796</v>
      </c>
      <c r="J98" s="2">
        <f>J10/'Output-Calculation-sheet'!J9*'Output-Calculation-sheet'!J81</f>
        <v>1038699669.9440888</v>
      </c>
      <c r="K98" s="2">
        <f>K10/'Output-Calculation-sheet'!K9*'Output-Calculation-sheet'!K81</f>
        <v>1257814499.049957</v>
      </c>
      <c r="L98" s="2">
        <f>L10/'Output-Calculation-sheet'!L9*'Output-Calculation-sheet'!L81</f>
        <v>1289136836.0731914</v>
      </c>
      <c r="M98" s="2">
        <f>M10/'Output-Calculation-sheet'!M9*'Output-Calculation-sheet'!M81</f>
        <v>1997705674.4818664</v>
      </c>
      <c r="N98" s="2">
        <f>N10/'Output-Calculation-sheet'!N9*'Output-Calculation-sheet'!N81</f>
        <v>1214034296.350071</v>
      </c>
      <c r="O98" s="2">
        <f>O10/'Output-Calculation-sheet'!O9*'Output-Calculation-sheet'!O81</f>
        <v>447771689.48673254</v>
      </c>
      <c r="P98" s="2">
        <f>P10/'Output-Calculation-sheet'!P9*'Output-Calculation-sheet'!P81</f>
        <v>2221414621.9805388</v>
      </c>
      <c r="Q98" s="2">
        <f>Q10/'Output-Calculation-sheet'!Q9*'Output-Calculation-sheet'!Q81</f>
        <v>987046452.42813396</v>
      </c>
      <c r="R98" s="2">
        <f>R10/'Output-Calculation-sheet'!R9*'Output-Calculation-sheet'!R81</f>
        <v>1332293090.8080857</v>
      </c>
      <c r="S98" s="2">
        <f>S10/'Output-Calculation-sheet'!S9*'Output-Calculation-sheet'!S81</f>
        <v>731693712.30237877</v>
      </c>
      <c r="T98" s="2">
        <f>T10/'Output-Calculation-sheet'!T9*'Output-Calculation-sheet'!T81</f>
        <v>412245844.01932818</v>
      </c>
      <c r="U98" s="2">
        <f>U10/'Output-Calculation-sheet'!U9*'Output-Calculation-sheet'!U81</f>
        <v>331252156.02503312</v>
      </c>
      <c r="V98" s="2">
        <f>V10/'Output-Calculation-sheet'!V9*'Output-Calculation-sheet'!V81</f>
        <v>153848758.55237669</v>
      </c>
      <c r="W98" s="2">
        <f>W10/'Output-Calculation-sheet'!W9*'Output-Calculation-sheet'!W81</f>
        <v>475777940.46289128</v>
      </c>
      <c r="X98" s="2">
        <f>X10/'Output-Calculation-sheet'!X9*'Output-Calculation-sheet'!X81</f>
        <v>249419028.31485206</v>
      </c>
      <c r="Y98" s="2">
        <f>Y10/'Output-Calculation-sheet'!Y9*'Output-Calculation-sheet'!Y81</f>
        <v>310521272.46621758</v>
      </c>
      <c r="AA98" s="2">
        <f t="shared" si="8"/>
        <v>55.896100258523823</v>
      </c>
    </row>
    <row r="99" spans="1:27" x14ac:dyDescent="0.25">
      <c r="A99" s="2">
        <v>2034</v>
      </c>
      <c r="B99" s="2">
        <f>B11/'Output-Calculation-sheet'!B10*'Output-Calculation-sheet'!B82</f>
        <v>16367203214.688744</v>
      </c>
      <c r="C99" s="2">
        <f>C11/'Output-Calculation-sheet'!C10*'Output-Calculation-sheet'!C82</f>
        <v>3725719676.0037684</v>
      </c>
      <c r="D99" s="2">
        <f>D11/'Output-Calculation-sheet'!D10*'Output-Calculation-sheet'!D82</f>
        <v>2527252616.2428594</v>
      </c>
      <c r="E99" s="2">
        <f>E11/'Output-Calculation-sheet'!E10*'Output-Calculation-sheet'!E82</f>
        <v>13338419842.871918</v>
      </c>
      <c r="F99" s="2">
        <f>F11/'Output-Calculation-sheet'!F10*'Output-Calculation-sheet'!F82</f>
        <v>3228647051.7951083</v>
      </c>
      <c r="G99" s="2">
        <f>G11/'Output-Calculation-sheet'!G10*'Output-Calculation-sheet'!G82</f>
        <v>1796940120.7972939</v>
      </c>
      <c r="H99" s="2">
        <f>H11/'Output-Calculation-sheet'!H10*'Output-Calculation-sheet'!H82</f>
        <v>2659007100.4389277</v>
      </c>
      <c r="I99" s="2">
        <f>I11/'Output-Calculation-sheet'!I10*'Output-Calculation-sheet'!I82</f>
        <v>1503548522.8681374</v>
      </c>
      <c r="J99" s="2">
        <f>J11/'Output-Calculation-sheet'!J10*'Output-Calculation-sheet'!J82</f>
        <v>1096076399.4552822</v>
      </c>
      <c r="K99" s="2">
        <f>K11/'Output-Calculation-sheet'!K10*'Output-Calculation-sheet'!K82</f>
        <v>1301433023.6722455</v>
      </c>
      <c r="L99" s="2">
        <f>L11/'Output-Calculation-sheet'!L10*'Output-Calculation-sheet'!L82</f>
        <v>1416726315.0857267</v>
      </c>
      <c r="M99" s="2">
        <f>M11/'Output-Calculation-sheet'!M10*'Output-Calculation-sheet'!M82</f>
        <v>2208467280.7169733</v>
      </c>
      <c r="N99" s="2">
        <f>N11/'Output-Calculation-sheet'!N10*'Output-Calculation-sheet'!N82</f>
        <v>1299396551.2366269</v>
      </c>
      <c r="O99" s="2">
        <f>O11/'Output-Calculation-sheet'!O10*'Output-Calculation-sheet'!O82</f>
        <v>476225836.8504225</v>
      </c>
      <c r="P99" s="2">
        <f>P11/'Output-Calculation-sheet'!P10*'Output-Calculation-sheet'!P82</f>
        <v>2301910825.3500786</v>
      </c>
      <c r="Q99" s="2">
        <f>Q11/'Output-Calculation-sheet'!Q10*'Output-Calculation-sheet'!Q82</f>
        <v>1058851791.7522377</v>
      </c>
      <c r="R99" s="2">
        <f>R11/'Output-Calculation-sheet'!R10*'Output-Calculation-sheet'!R82</f>
        <v>1436307452.7178829</v>
      </c>
      <c r="S99" s="2">
        <f>S11/'Output-Calculation-sheet'!S10*'Output-Calculation-sheet'!S82</f>
        <v>778356198.74512827</v>
      </c>
      <c r="T99" s="2">
        <f>T11/'Output-Calculation-sheet'!T10*'Output-Calculation-sheet'!T82</f>
        <v>423845750.29038918</v>
      </c>
      <c r="U99" s="2">
        <f>U11/'Output-Calculation-sheet'!U10*'Output-Calculation-sheet'!U82</f>
        <v>343499685.06647384</v>
      </c>
      <c r="V99" s="2">
        <f>V11/'Output-Calculation-sheet'!V10*'Output-Calculation-sheet'!V82</f>
        <v>160902370.4234896</v>
      </c>
      <c r="W99" s="2">
        <f>W11/'Output-Calculation-sheet'!W10*'Output-Calculation-sheet'!W82</f>
        <v>494613706.65888655</v>
      </c>
      <c r="X99" s="2">
        <f>X11/'Output-Calculation-sheet'!X10*'Output-Calculation-sheet'!X82</f>
        <v>282690933.33591682</v>
      </c>
      <c r="Y99" s="2">
        <f>Y11/'Output-Calculation-sheet'!Y10*'Output-Calculation-sheet'!Y82</f>
        <v>331985772.77934289</v>
      </c>
      <c r="AA99" s="2">
        <f t="shared" si="8"/>
        <v>60.558028039843855</v>
      </c>
    </row>
    <row r="100" spans="1:27" x14ac:dyDescent="0.25">
      <c r="A100" s="2">
        <v>2035</v>
      </c>
      <c r="B100" s="2">
        <f>B12/'Output-Calculation-sheet'!B11*'Output-Calculation-sheet'!B83</f>
        <v>16903119178.774393</v>
      </c>
      <c r="C100" s="2">
        <f>C12/'Output-Calculation-sheet'!C11*'Output-Calculation-sheet'!C83</f>
        <v>3793115985.1884341</v>
      </c>
      <c r="D100" s="2">
        <f>D12/'Output-Calculation-sheet'!D11*'Output-Calculation-sheet'!D83</f>
        <v>2429795278.4787416</v>
      </c>
      <c r="E100" s="2">
        <f>E12/'Output-Calculation-sheet'!E11*'Output-Calculation-sheet'!E83</f>
        <v>14288593458.100573</v>
      </c>
      <c r="F100" s="2">
        <f>F12/'Output-Calculation-sheet'!F11*'Output-Calculation-sheet'!F83</f>
        <v>3250826614.6326966</v>
      </c>
      <c r="G100" s="2">
        <f>G12/'Output-Calculation-sheet'!G11*'Output-Calculation-sheet'!G83</f>
        <v>1722834946.3603158</v>
      </c>
      <c r="H100" s="2">
        <f>H12/'Output-Calculation-sheet'!H11*'Output-Calculation-sheet'!H83</f>
        <v>2707273445.3896866</v>
      </c>
      <c r="I100" s="2">
        <f>I12/'Output-Calculation-sheet'!I11*'Output-Calculation-sheet'!I83</f>
        <v>1523513693.7560112</v>
      </c>
      <c r="J100" s="2">
        <f>J12/'Output-Calculation-sheet'!J11*'Output-Calculation-sheet'!J83</f>
        <v>1098633261.4267848</v>
      </c>
      <c r="K100" s="2">
        <f>K12/'Output-Calculation-sheet'!K11*'Output-Calculation-sheet'!K83</f>
        <v>1277607811.147083</v>
      </c>
      <c r="L100" s="2">
        <f>L12/'Output-Calculation-sheet'!L11*'Output-Calculation-sheet'!L83</f>
        <v>1476083289.7482812</v>
      </c>
      <c r="M100" s="2">
        <f>M12/'Output-Calculation-sheet'!M11*'Output-Calculation-sheet'!M83</f>
        <v>2314840533.4072766</v>
      </c>
      <c r="N100" s="2">
        <f>N12/'Output-Calculation-sheet'!N11*'Output-Calculation-sheet'!N83</f>
        <v>1320207054.6045308</v>
      </c>
      <c r="O100" s="2">
        <f>O12/'Output-Calculation-sheet'!O11*'Output-Calculation-sheet'!O83</f>
        <v>481438007.00624186</v>
      </c>
      <c r="P100" s="2">
        <f>P12/'Output-Calculation-sheet'!P11*'Output-Calculation-sheet'!P83</f>
        <v>2247617877.3691812</v>
      </c>
      <c r="Q100" s="2">
        <f>Q12/'Output-Calculation-sheet'!Q11*'Output-Calculation-sheet'!Q83</f>
        <v>1077732611.5685489</v>
      </c>
      <c r="R100" s="2">
        <f>R12/'Output-Calculation-sheet'!R11*'Output-Calculation-sheet'!R83</f>
        <v>1465796555.8074086</v>
      </c>
      <c r="S100" s="2">
        <f>S12/'Output-Calculation-sheet'!S11*'Output-Calculation-sheet'!S83</f>
        <v>783832270.42051756</v>
      </c>
      <c r="T100" s="2">
        <f>T12/'Output-Calculation-sheet'!T11*'Output-Calculation-sheet'!T83</f>
        <v>412845223.39059049</v>
      </c>
      <c r="U100" s="2">
        <f>U12/'Output-Calculation-sheet'!U11*'Output-Calculation-sheet'!U83</f>
        <v>337029730.33738661</v>
      </c>
      <c r="V100" s="2">
        <f>V12/'Output-Calculation-sheet'!V11*'Output-Calculation-sheet'!V83</f>
        <v>159437917.01063344</v>
      </c>
      <c r="W100" s="2">
        <f>W12/'Output-Calculation-sheet'!W11*'Output-Calculation-sheet'!W83</f>
        <v>484802288.87183845</v>
      </c>
      <c r="X100" s="2">
        <f>X12/'Output-Calculation-sheet'!X11*'Output-Calculation-sheet'!X83</f>
        <v>304024329.64214849</v>
      </c>
      <c r="Y100" s="2">
        <f>Y12/'Output-Calculation-sheet'!Y11*'Output-Calculation-sheet'!Y83</f>
        <v>335127301.89302218</v>
      </c>
      <c r="AA100" s="2">
        <f t="shared" si="8"/>
        <v>62.196128664332328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1647.2493824784028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400.01849140031135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38.276873346923153</v>
      </c>
      <c r="Y107" s="2">
        <f>Y8/'Output-Calculation-sheet'!Y7*'Output-Calculation-sheet'!Y88</f>
        <v>0</v>
      </c>
      <c r="AA107" s="2">
        <f t="shared" si="9"/>
        <v>2.0855447472256374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3237.6702002430902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628.98937485925694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53.738021660324172</v>
      </c>
      <c r="Y108" s="2">
        <f>Y9/'Output-Calculation-sheet'!Y8*'Output-Calculation-sheet'!Y89</f>
        <v>0</v>
      </c>
      <c r="AA108" s="2">
        <f t="shared" si="9"/>
        <v>3.9203975967626712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865.17510844266258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5.3760823600968104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1189.4662024753397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6.896768643698203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4597.2684592809528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166.17377780144631</v>
      </c>
      <c r="Y111" s="2">
        <f>Y12/'Output-Calculation-sheet'!Y11*'Output-Calculation-sheet'!Y92</f>
        <v>0</v>
      </c>
      <c r="AA111" s="2">
        <f t="shared" si="9"/>
        <v>6.2519781468682885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13633700183.635136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8484613344.8501921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5853664530.9769077</v>
      </c>
      <c r="N118" s="2">
        <f>N8/'Output-Calculation-sheet'!N7*'Output-Calculation-sheet'!N97</f>
        <v>1963280690.0250247</v>
      </c>
      <c r="O118" s="2">
        <f>O8/'Output-Calculation-sheet'!O7*'Output-Calculation-sheet'!O97</f>
        <v>1882331169.1695795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587608000.49423277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318734382.69777381</v>
      </c>
      <c r="Y118" s="2">
        <f>Y8/'Output-Calculation-sheet'!Y7*'Output-Calculation-sheet'!Y97</f>
        <v>0</v>
      </c>
      <c r="AA118" s="2">
        <f t="shared" si="10"/>
        <v>34375.147813660558</v>
      </c>
    </row>
    <row r="119" spans="1:27" x14ac:dyDescent="0.25">
      <c r="A119" s="2">
        <v>2032</v>
      </c>
      <c r="B119" s="2">
        <f>B9/'Output-Calculation-sheet'!B8*'Output-Calculation-sheet'!B98</f>
        <v>7616282980.9542999</v>
      </c>
      <c r="C119" s="2">
        <f>C9/'Output-Calculation-sheet'!C8*'Output-Calculation-sheet'!C98</f>
        <v>11237376611.353186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11911859623.26198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8218142240.1079397</v>
      </c>
      <c r="N119" s="2">
        <f>N9/'Output-Calculation-sheet'!N8*'Output-Calculation-sheet'!N98</f>
        <v>3867314130.7462263</v>
      </c>
      <c r="O119" s="2">
        <f>O9/'Output-Calculation-sheet'!O8*'Output-Calculation-sheet'!O98</f>
        <v>2167179973.6871486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1158599636.8962517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451982404.58691835</v>
      </c>
      <c r="Y119" s="2">
        <f>Y9/'Output-Calculation-sheet'!Y8*'Output-Calculation-sheet'!Y98</f>
        <v>0</v>
      </c>
      <c r="AA119" s="2">
        <f t="shared" si="10"/>
        <v>46628.737601593959</v>
      </c>
    </row>
    <row r="120" spans="1:27" x14ac:dyDescent="0.25">
      <c r="A120" s="2">
        <v>2033</v>
      </c>
      <c r="B120" s="2">
        <f>B10/'Output-Calculation-sheet'!B9*'Output-Calculation-sheet'!B99</f>
        <v>20602365596.254128</v>
      </c>
      <c r="C120" s="2">
        <f>C10/'Output-Calculation-sheet'!C9*'Output-Calculation-sheet'!C99</f>
        <v>11944840660.412666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6185552825.2184734</v>
      </c>
      <c r="O120" s="2">
        <f>O10/'Output-Calculation-sheet'!O9*'Output-Calculation-sheet'!O99</f>
        <v>2292722776.5155654</v>
      </c>
      <c r="P120" s="2">
        <f>P10/'Output-Calculation-sheet'!P9*'Output-Calculation-sheet'!P99</f>
        <v>0</v>
      </c>
      <c r="Q120" s="2">
        <f>Q10/'Output-Calculation-sheet'!Q9*'Output-Calculation-sheet'!Q99</f>
        <v>199299714.89720836</v>
      </c>
      <c r="R120" s="2">
        <f>R10/'Output-Calculation-sheet'!R9*'Output-Calculation-sheet'!R99</f>
        <v>0</v>
      </c>
      <c r="S120" s="2">
        <f>S10/'Output-Calculation-sheet'!S9*'Output-Calculation-sheet'!S99</f>
        <v>2495093338.6699014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678541571.68505323</v>
      </c>
      <c r="Y120" s="2">
        <f>Y10/'Output-Calculation-sheet'!Y9*'Output-Calculation-sheet'!Y99</f>
        <v>0</v>
      </c>
      <c r="AA120" s="2">
        <f t="shared" si="10"/>
        <v>70242.094957903246</v>
      </c>
    </row>
    <row r="121" spans="1:27" x14ac:dyDescent="0.25">
      <c r="A121" s="2">
        <v>2034</v>
      </c>
      <c r="B121" s="2">
        <f>B11/'Output-Calculation-sheet'!B10*'Output-Calculation-sheet'!B100</f>
        <v>47337662955.716782</v>
      </c>
      <c r="C121" s="2">
        <f>C11/'Output-Calculation-sheet'!C10*'Output-Calculation-sheet'!C100</f>
        <v>12202529974.30205</v>
      </c>
      <c r="D121" s="2">
        <f>D11/'Output-Calculation-sheet'!D10*'Output-Calculation-sheet'!D100</f>
        <v>0</v>
      </c>
      <c r="E121" s="2">
        <f>E11/'Output-Calculation-sheet'!E10*'Output-Calculation-sheet'!E100</f>
        <v>1003076388.9554373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17982423327.854092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840948646.93338966</v>
      </c>
      <c r="M121" s="2">
        <f>M11/'Output-Calculation-sheet'!M10*'Output-Calculation-sheet'!M100</f>
        <v>12692570490.792679</v>
      </c>
      <c r="N121" s="2">
        <f>N11/'Output-Calculation-sheet'!N10*'Output-Calculation-sheet'!N100</f>
        <v>8766992150.4622307</v>
      </c>
      <c r="O121" s="2">
        <f>O11/'Output-Calculation-sheet'!O10*'Output-Calculation-sheet'!O100</f>
        <v>1303089832.7366879</v>
      </c>
      <c r="P121" s="2">
        <f>P11/'Output-Calculation-sheet'!P10*'Output-Calculation-sheet'!P100</f>
        <v>0</v>
      </c>
      <c r="Q121" s="2">
        <f>Q11/'Output-Calculation-sheet'!Q10*'Output-Calculation-sheet'!Q100</f>
        <v>1472069619.7160978</v>
      </c>
      <c r="R121" s="2">
        <f>R11/'Output-Calculation-sheet'!R10*'Output-Calculation-sheet'!R100</f>
        <v>0</v>
      </c>
      <c r="S121" s="2">
        <f>S11/'Output-Calculation-sheet'!S10*'Output-Calculation-sheet'!S100</f>
        <v>4052958088.9103823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54880147.466080874</v>
      </c>
      <c r="AA121" s="2">
        <f t="shared" si="10"/>
        <v>108317.2639213334</v>
      </c>
    </row>
    <row r="122" spans="1:27" x14ac:dyDescent="0.25">
      <c r="A122" s="2">
        <v>2035</v>
      </c>
      <c r="B122" s="2">
        <f>B12/'Output-Calculation-sheet'!B11*'Output-Calculation-sheet'!B101</f>
        <v>51136777889.281166</v>
      </c>
      <c r="C122" s="2">
        <f>C12/'Output-Calculation-sheet'!C11*'Output-Calculation-sheet'!C101</f>
        <v>21265239087.728333</v>
      </c>
      <c r="D122" s="2">
        <f>D12/'Output-Calculation-sheet'!D11*'Output-Calculation-sheet'!D101</f>
        <v>0</v>
      </c>
      <c r="E122" s="2">
        <f>E12/'Output-Calculation-sheet'!E11*'Output-Calculation-sheet'!E101</f>
        <v>4165496439.2092957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18436815117.782562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2110425775.8700142</v>
      </c>
      <c r="M122" s="2">
        <f>M12/'Output-Calculation-sheet'!M11*'Output-Calculation-sheet'!M101</f>
        <v>13190467147.48797</v>
      </c>
      <c r="N122" s="2">
        <f>N12/'Output-Calculation-sheet'!N11*'Output-Calculation-sheet'!N101</f>
        <v>9367229586.9844494</v>
      </c>
      <c r="O122" s="2">
        <f>O12/'Output-Calculation-sheet'!O11*'Output-Calculation-sheet'!O101</f>
        <v>60391332.40101774</v>
      </c>
      <c r="P122" s="2">
        <f>P12/'Output-Calculation-sheet'!P11*'Output-Calculation-sheet'!P101</f>
        <v>400294461.53894579</v>
      </c>
      <c r="Q122" s="2">
        <f>Q12/'Output-Calculation-sheet'!Q11*'Output-Calculation-sheet'!Q101</f>
        <v>1803072325.6284151</v>
      </c>
      <c r="R122" s="2">
        <f>R12/'Output-Calculation-sheet'!R11*'Output-Calculation-sheet'!R101</f>
        <v>0</v>
      </c>
      <c r="S122" s="2">
        <f>S12/'Output-Calculation-sheet'!S11*'Output-Calculation-sheet'!S101</f>
        <v>4445748401.4825525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161396821.21490732</v>
      </c>
      <c r="Y122" s="2">
        <f>Y12/'Output-Calculation-sheet'!Y11*'Output-Calculation-sheet'!Y101</f>
        <v>95199437.898537695</v>
      </c>
      <c r="AA122" s="2">
        <f t="shared" si="10"/>
        <v>126638.55382450817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3783056977.7848001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2703300184.0136838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178150.91700257239</v>
      </c>
    </row>
    <row r="130" spans="1:27" x14ac:dyDescent="0.25">
      <c r="A130" s="2">
        <v>2032</v>
      </c>
      <c r="B130" s="2">
        <f>B9/'Output-Calculation-sheet'!B8*'Output-Calculation-sheet'!B107</f>
        <v>73416677365.082947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4199470188.642241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3461356083.1830363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243367.57327047994</v>
      </c>
    </row>
    <row r="131" spans="1:27" x14ac:dyDescent="0.25">
      <c r="A131" s="2">
        <v>2033</v>
      </c>
      <c r="B131" s="2">
        <f>B10/'Output-Calculation-sheet'!B9*'Output-Calculation-sheet'!B108</f>
        <v>83421478674.328369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4169977769.7159276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9076785873.6440449</v>
      </c>
      <c r="R131" s="2">
        <f>R10/'Output-Calculation-sheet'!R9*'Output-Calculation-sheet'!R108</f>
        <v>8923703067.4531536</v>
      </c>
      <c r="S131" s="2">
        <f>S10/'Output-Calculation-sheet'!S9*'Output-Calculation-sheet'!S108</f>
        <v>3435607792.8769202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299175.39660417516</v>
      </c>
    </row>
    <row r="132" spans="1:27" x14ac:dyDescent="0.25">
      <c r="A132" s="2">
        <v>2034</v>
      </c>
      <c r="B132" s="2">
        <f>B11/'Output-Calculation-sheet'!B10*'Output-Calculation-sheet'!B109</f>
        <v>76772133312.70311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40698137206.706024</v>
      </c>
      <c r="F132" s="2">
        <f>F11/'Output-Calculation-sheet'!F10*'Output-Calculation-sheet'!F109</f>
        <v>26845888935.477928</v>
      </c>
      <c r="G132" s="2">
        <f>G11/'Output-Calculation-sheet'!G10*'Output-Calculation-sheet'!G109</f>
        <v>18809873069.037788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16726454311.26395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12448592566.904696</v>
      </c>
      <c r="M132" s="2">
        <f>M11/'Output-Calculation-sheet'!M10*'Output-Calculation-sheet'!M109</f>
        <v>6.8626389489352033E-9</v>
      </c>
      <c r="N132" s="2">
        <f>N11/'Output-Calculation-sheet'!N10*'Output-Calculation-sheet'!N109</f>
        <v>3690706961.6523213</v>
      </c>
      <c r="O132" s="2">
        <f>O11/'Output-Calculation-sheet'!O10*'Output-Calculation-sheet'!O109</f>
        <v>0</v>
      </c>
      <c r="P132" s="2">
        <f>P11/'Output-Calculation-sheet'!P10*'Output-Calculation-sheet'!P109</f>
        <v>11341195510.971586</v>
      </c>
      <c r="Q132" s="2">
        <f>Q11/'Output-Calculation-sheet'!Q10*'Output-Calculation-sheet'!Q109</f>
        <v>9332597355.1690006</v>
      </c>
      <c r="R132" s="2">
        <f>R11/'Output-Calculation-sheet'!R10*'Output-Calculation-sheet'!R109</f>
        <v>10734512115.843908</v>
      </c>
      <c r="S132" s="2">
        <f>S11/'Output-Calculation-sheet'!S10*'Output-Calculation-sheet'!S109</f>
        <v>2950657002.6552167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3325431307.6129451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1282095210.0904224</v>
      </c>
      <c r="AA132" s="2">
        <f t="shared" si="11"/>
        <v>330155.86934042687</v>
      </c>
    </row>
    <row r="133" spans="1:27" x14ac:dyDescent="0.25">
      <c r="A133" s="2">
        <v>2035</v>
      </c>
      <c r="B133" s="2">
        <f>B12/'Output-Calculation-sheet'!B11*'Output-Calculation-sheet'!B110</f>
        <v>75861829298.394409</v>
      </c>
      <c r="C133" s="2">
        <f>C12/'Output-Calculation-sheet'!C11*'Output-Calculation-sheet'!C110</f>
        <v>0</v>
      </c>
      <c r="D133" s="2">
        <f>D12/'Output-Calculation-sheet'!D11*'Output-Calculation-sheet'!D110</f>
        <v>53232913493.625633</v>
      </c>
      <c r="E133" s="2">
        <f>E12/'Output-Calculation-sheet'!E11*'Output-Calculation-sheet'!E110</f>
        <v>41298192059.253815</v>
      </c>
      <c r="F133" s="2">
        <f>F12/'Output-Calculation-sheet'!F11*'Output-Calculation-sheet'!F110</f>
        <v>28179369332.423161</v>
      </c>
      <c r="G133" s="2">
        <f>G12/'Output-Calculation-sheet'!G11*'Output-Calculation-sheet'!G110</f>
        <v>19081557142.113491</v>
      </c>
      <c r="H133" s="2">
        <f>H12/'Output-Calculation-sheet'!H11*'Output-Calculation-sheet'!H110</f>
        <v>0</v>
      </c>
      <c r="I133" s="2">
        <f>I12/'Output-Calculation-sheet'!I11*'Output-Calculation-sheet'!I110</f>
        <v>17502649616.913292</v>
      </c>
      <c r="J133" s="2">
        <f>J12/'Output-Calculation-sheet'!J11*'Output-Calculation-sheet'!J110</f>
        <v>17522190129.65799</v>
      </c>
      <c r="K133" s="2">
        <f>K12/'Output-Calculation-sheet'!K11*'Output-Calculation-sheet'!K110</f>
        <v>17193325313.272346</v>
      </c>
      <c r="L133" s="2">
        <f>L12/'Output-Calculation-sheet'!L11*'Output-Calculation-sheet'!L110</f>
        <v>12358919658.683895</v>
      </c>
      <c r="M133" s="2">
        <f>M12/'Output-Calculation-sheet'!M11*'Output-Calculation-sheet'!M110</f>
        <v>0</v>
      </c>
      <c r="N133" s="2">
        <f>N12/'Output-Calculation-sheet'!N11*'Output-Calculation-sheet'!N110</f>
        <v>3591591733.9266229</v>
      </c>
      <c r="O133" s="2">
        <f>O12/'Output-Calculation-sheet'!O11*'Output-Calculation-sheet'!O110</f>
        <v>0</v>
      </c>
      <c r="P133" s="2">
        <f>P12/'Output-Calculation-sheet'!P11*'Output-Calculation-sheet'!P110</f>
        <v>11574986913.580318</v>
      </c>
      <c r="Q133" s="2">
        <f>Q12/'Output-Calculation-sheet'!Q11*'Output-Calculation-sheet'!Q110</f>
        <v>9246065499.5977173</v>
      </c>
      <c r="R133" s="2">
        <f>R12/'Output-Calculation-sheet'!R11*'Output-Calculation-sheet'!R110</f>
        <v>11444762729.948511</v>
      </c>
      <c r="S133" s="2">
        <f>S12/'Output-Calculation-sheet'!S11*'Output-Calculation-sheet'!S110</f>
        <v>2758483889.8888521</v>
      </c>
      <c r="T133" s="2">
        <f>T12/'Output-Calculation-sheet'!T11*'Output-Calculation-sheet'!T110</f>
        <v>4277396503.9364228</v>
      </c>
      <c r="U133" s="2">
        <f>U12/'Output-Calculation-sheet'!U11*'Output-Calculation-sheet'!U110</f>
        <v>3379547095.21838</v>
      </c>
      <c r="V133" s="2">
        <f>V12/'Output-Calculation-sheet'!V11*'Output-Calculation-sheet'!V110</f>
        <v>2943048896.3138142</v>
      </c>
      <c r="W133" s="2">
        <f>W12/'Output-Calculation-sheet'!W11*'Output-Calculation-sheet'!W110</f>
        <v>2478394929.2844157</v>
      </c>
      <c r="X133" s="2">
        <f>X12/'Output-Calculation-sheet'!X11*'Output-Calculation-sheet'!X110</f>
        <v>1156711.7680028284</v>
      </c>
      <c r="Y133" s="2">
        <f>Y12/'Output-Calculation-sheet'!Y11*'Output-Calculation-sheet'!Y110</f>
        <v>1305404754.3866088</v>
      </c>
      <c r="AA133" s="2">
        <f t="shared" si="11"/>
        <v>335231.78570218768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13565440950.295618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3402627940.4677114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315339795.69949067</v>
      </c>
      <c r="Y140" s="2">
        <f>Y8/'Output-Calculation-sheet'!Y7*'Output-Calculation-sheet'!Y115</f>
        <v>0</v>
      </c>
      <c r="AA140" s="2">
        <f t="shared" si="12"/>
        <v>17283.408686462819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26949345589.24641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5252475549.5146379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438158612.56817329</v>
      </c>
      <c r="Y141" s="2">
        <f>Y9/'Output-Calculation-sheet'!Y8*'Output-Calculation-sheet'!Y116</f>
        <v>0</v>
      </c>
      <c r="AA141" s="2">
        <f t="shared" si="12"/>
        <v>32639.979751329221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37078181919.081978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7232435688.5976925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464163673.06691974</v>
      </c>
      <c r="Y142" s="2">
        <f>Y10/'Output-Calculation-sheet'!Y9*'Output-Calculation-sheet'!Y117</f>
        <v>0</v>
      </c>
      <c r="AA142" s="2">
        <f t="shared" si="12"/>
        <v>44774.781280746589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46770168230.296982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10155623817.701902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57692.416611973589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37786760511.980782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13027460078.337389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1400403152.7593474</v>
      </c>
      <c r="Y144" s="2">
        <f>Y12/'Output-Calculation-sheet'!Y11*'Output-Calculation-sheet'!Y119</f>
        <v>0</v>
      </c>
      <c r="AA144" s="2">
        <f t="shared" si="12"/>
        <v>52214.623743077515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19096087252.654408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2753303942.4378796</v>
      </c>
      <c r="H154" s="2">
        <f>H11/'Output-Calculation-sheet'!H10*'Output-Calculation-sheet'!H127</f>
        <v>3134055920.3368416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1995538357.2624307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1170600003.8962853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620063910.21450818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73646.914095511514</v>
      </c>
    </row>
    <row r="155" spans="1:27" x14ac:dyDescent="0.25">
      <c r="A155" s="2">
        <v>2035</v>
      </c>
      <c r="B155" s="2">
        <f>B12/'Output-Calculation-sheet'!B11*'Output-Calculation-sheet'!B128</f>
        <v>18946434463.239025</v>
      </c>
      <c r="C155" s="2">
        <f>C12/'Output-Calculation-sheet'!C11*'Output-Calculation-sheet'!C128</f>
        <v>9050854036.0805702</v>
      </c>
      <c r="D155" s="2">
        <f>D12/'Output-Calculation-sheet'!D11*'Output-Calculation-sheet'!D128</f>
        <v>7271606609.1020603</v>
      </c>
      <c r="E155" s="2">
        <f>E12/'Output-Calculation-sheet'!E11*'Output-Calculation-sheet'!E128</f>
        <v>3575736029.7050295</v>
      </c>
      <c r="F155" s="2">
        <f>F12/'Output-Calculation-sheet'!F11*'Output-Calculation-sheet'!F128</f>
        <v>2919855356.6483998</v>
      </c>
      <c r="G155" s="2">
        <f>G12/'Output-Calculation-sheet'!G11*'Output-Calculation-sheet'!G128</f>
        <v>2775682963.2419968</v>
      </c>
      <c r="H155" s="2">
        <f>H12/'Output-Calculation-sheet'!H11*'Output-Calculation-sheet'!H128</f>
        <v>3108866512.0284095</v>
      </c>
      <c r="I155" s="2">
        <f>I12/'Output-Calculation-sheet'!I11*'Output-Calculation-sheet'!I128</f>
        <v>2389084387.8528314</v>
      </c>
      <c r="J155" s="2">
        <f>J12/'Output-Calculation-sheet'!J11*'Output-Calculation-sheet'!J128</f>
        <v>1739219946.3454516</v>
      </c>
      <c r="K155" s="2">
        <f>K12/'Output-Calculation-sheet'!K11*'Output-Calculation-sheet'!K128</f>
        <v>1922256112.8015702</v>
      </c>
      <c r="L155" s="2">
        <f>L12/'Output-Calculation-sheet'!L11*'Output-Calculation-sheet'!L128</f>
        <v>836865194.38265717</v>
      </c>
      <c r="M155" s="2">
        <f>M12/'Output-Calculation-sheet'!M11*'Output-Calculation-sheet'!M128</f>
        <v>1660291267.0784948</v>
      </c>
      <c r="N155" s="2">
        <f>N12/'Output-Calculation-sheet'!N11*'Output-Calculation-sheet'!N128</f>
        <v>1463101283.4064965</v>
      </c>
      <c r="O155" s="2">
        <f>O12/'Output-Calculation-sheet'!O11*'Output-Calculation-sheet'!O128</f>
        <v>23978290.128833912</v>
      </c>
      <c r="P155" s="2">
        <f>P12/'Output-Calculation-sheet'!P11*'Output-Calculation-sheet'!P128</f>
        <v>1274737453.7091203</v>
      </c>
      <c r="Q155" s="2">
        <f>Q12/'Output-Calculation-sheet'!Q11*'Output-Calculation-sheet'!Q128</f>
        <v>1919290632.0644114</v>
      </c>
      <c r="R155" s="2">
        <f>R12/'Output-Calculation-sheet'!R11*'Output-Calculation-sheet'!R128</f>
        <v>982630993.18267238</v>
      </c>
      <c r="S155" s="2">
        <f>S12/'Output-Calculation-sheet'!S11*'Output-Calculation-sheet'!S128</f>
        <v>1088438156.4776142</v>
      </c>
      <c r="T155" s="2">
        <f>T12/'Output-Calculation-sheet'!T11*'Output-Calculation-sheet'!T128</f>
        <v>267700407.12559742</v>
      </c>
      <c r="U155" s="2">
        <f>U12/'Output-Calculation-sheet'!U11*'Output-Calculation-sheet'!U128</f>
        <v>620410899.61710584</v>
      </c>
      <c r="V155" s="2">
        <f>V12/'Output-Calculation-sheet'!V11*'Output-Calculation-sheet'!V128</f>
        <v>92565922.067420155</v>
      </c>
      <c r="W155" s="2">
        <f>W12/'Output-Calculation-sheet'!W11*'Output-Calculation-sheet'!W128</f>
        <v>186622240.86617544</v>
      </c>
      <c r="X155" s="2">
        <f>X12/'Output-Calculation-sheet'!X11*'Output-Calculation-sheet'!X128</f>
        <v>13196146.414347092</v>
      </c>
      <c r="Y155" s="2">
        <f>Y12/'Output-Calculation-sheet'!Y11*'Output-Calculation-sheet'!Y128</f>
        <v>177270467.22001061</v>
      </c>
      <c r="AA155" s="2">
        <f t="shared" si="13"/>
        <v>64306.695770786297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9175.6208481278645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5781.9701539479911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4013.4912785110178</v>
      </c>
      <c r="N19" s="2">
        <f>N8/'Output-Calculation-sheet'!N7*'Output-Calculation-sheet'!N25</f>
        <v>1371.1160809517257</v>
      </c>
      <c r="O19" s="2">
        <f>O8/'Output-Calculation-sheet'!O7*'Output-Calculation-sheet'!O25</f>
        <v>1184.295738664194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211.88652081945548</v>
      </c>
      <c r="Y19" s="2">
        <f>Y8/'Output-Calculation-sheet'!Y7*'Output-Calculation-sheet'!Y25</f>
        <v>0</v>
      </c>
      <c r="AA19" s="2">
        <f t="shared" si="0"/>
        <v>23.515414162865646</v>
      </c>
    </row>
    <row r="20" spans="1:27" x14ac:dyDescent="0.25">
      <c r="A20" s="2">
        <v>2032</v>
      </c>
      <c r="B20" s="2">
        <f>B9/'Output-Calculation-sheet'!B8*'Output-Calculation-sheet'!B26</f>
        <v>7509.5202203049093</v>
      </c>
      <c r="C20" s="2">
        <f>C9/'Output-Calculation-sheet'!C8*'Output-Calculation-sheet'!C26</f>
        <v>7248.477403282367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8167.2846199614733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5677.1468650082734</v>
      </c>
      <c r="N20" s="2">
        <f>N9/'Output-Calculation-sheet'!N8*'Output-Calculation-sheet'!N26</f>
        <v>2556.2189524121482</v>
      </c>
      <c r="O20" s="2">
        <f>O9/'Output-Calculation-sheet'!O8*'Output-Calculation-sheet'!O26</f>
        <v>1394.5307143189616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929.24255682698129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303.33432328933287</v>
      </c>
      <c r="Y20" s="2">
        <f>Y9/'Output-Calculation-sheet'!Y8*'Output-Calculation-sheet'!Y26</f>
        <v>0</v>
      </c>
      <c r="AA20" s="2">
        <f t="shared" si="0"/>
        <v>33.785755655404444</v>
      </c>
    </row>
    <row r="21" spans="1:27" x14ac:dyDescent="0.25">
      <c r="A21" s="2">
        <v>2033</v>
      </c>
      <c r="B21" s="2">
        <f>B10/'Output-Calculation-sheet'!B9*'Output-Calculation-sheet'!B27</f>
        <v>18265.462118152238</v>
      </c>
      <c r="C21" s="2">
        <f>C10/'Output-Calculation-sheet'!C9*'Output-Calculation-sheet'!C27</f>
        <v>7589.6133387684949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10611.688438215973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7373.6151547359377</v>
      </c>
      <c r="N21" s="2">
        <f>N10/'Output-Calculation-sheet'!N9*'Output-Calculation-sheet'!N27</f>
        <v>4027.1464257245648</v>
      </c>
      <c r="O21" s="2">
        <f>O10/'Output-Calculation-sheet'!O9*'Output-Calculation-sheet'!O27</f>
        <v>1459.5691694231261</v>
      </c>
      <c r="P21" s="2">
        <f>P10/'Output-Calculation-sheet'!P9*'Output-Calculation-sheet'!P27</f>
        <v>0</v>
      </c>
      <c r="Q21" s="2">
        <f>Q10/'Output-Calculation-sheet'!Q9*'Output-Calculation-sheet'!Q27</f>
        <v>269.90653361733411</v>
      </c>
      <c r="R21" s="2">
        <f>R10/'Output-Calculation-sheet'!R9*'Output-Calculation-sheet'!R27</f>
        <v>0</v>
      </c>
      <c r="S21" s="2">
        <f>S10/'Output-Calculation-sheet'!S9*'Output-Calculation-sheet'!S27</f>
        <v>1753.0866290441857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467.25105183041393</v>
      </c>
      <c r="Y21" s="2">
        <f>Y10/'Output-Calculation-sheet'!Y9*'Output-Calculation-sheet'!Y27</f>
        <v>0</v>
      </c>
      <c r="AA21" s="2">
        <f t="shared" si="0"/>
        <v>51.817338859512283</v>
      </c>
    </row>
    <row r="22" spans="1:27" x14ac:dyDescent="0.25">
      <c r="A22" s="2">
        <v>2034</v>
      </c>
      <c r="B22" s="2">
        <f>B11/'Output-Calculation-sheet'!B10*'Output-Calculation-sheet'!B28</f>
        <v>35676.183081137249</v>
      </c>
      <c r="C22" s="2">
        <f>C11/'Output-Calculation-sheet'!C10*'Output-Calculation-sheet'!C28</f>
        <v>7766.5030415505735</v>
      </c>
      <c r="D22" s="2">
        <f>D11/'Output-Calculation-sheet'!D10*'Output-Calculation-sheet'!D28</f>
        <v>0</v>
      </c>
      <c r="E22" s="2">
        <f>E11/'Output-Calculation-sheet'!E10*'Output-Calculation-sheet'!E28</f>
        <v>1833.0349082803114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13625.60593089111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1111.6676586925289</v>
      </c>
      <c r="M22" s="2">
        <f>M11/'Output-Calculation-sheet'!M10*'Output-Calculation-sheet'!M28</f>
        <v>10109.438920042345</v>
      </c>
      <c r="N22" s="2">
        <f>N11/'Output-Calculation-sheet'!N10*'Output-Calculation-sheet'!N28</f>
        <v>5821.3183901700704</v>
      </c>
      <c r="O22" s="2">
        <f>O11/'Output-Calculation-sheet'!O10*'Output-Calculation-sheet'!O28</f>
        <v>826.08028138448913</v>
      </c>
      <c r="P22" s="2">
        <f>P11/'Output-Calculation-sheet'!P10*'Output-Calculation-sheet'!P28</f>
        <v>0</v>
      </c>
      <c r="Q22" s="2">
        <f>Q11/'Output-Calculation-sheet'!Q10*'Output-Calculation-sheet'!Q28</f>
        <v>1680.1213169603595</v>
      </c>
      <c r="R22" s="2">
        <f>R11/'Output-Calculation-sheet'!R10*'Output-Calculation-sheet'!R28</f>
        <v>0</v>
      </c>
      <c r="S22" s="2">
        <f>S11/'Output-Calculation-sheet'!S10*'Output-Calculation-sheet'!S28</f>
        <v>2776.8474423110451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101.19007415720161</v>
      </c>
      <c r="AA22" s="2">
        <f t="shared" si="0"/>
        <v>81.741949378390089</v>
      </c>
    </row>
    <row r="23" spans="1:27" x14ac:dyDescent="0.25">
      <c r="A23" s="2">
        <v>2035</v>
      </c>
      <c r="B23" s="2">
        <f>B12/'Output-Calculation-sheet'!B11*'Output-Calculation-sheet'!B29</f>
        <v>38254.551943076673</v>
      </c>
      <c r="C23" s="2">
        <f>C12/'Output-Calculation-sheet'!C11*'Output-Calculation-sheet'!C29</f>
        <v>14385.428155254034</v>
      </c>
      <c r="D23" s="2">
        <f>D12/'Output-Calculation-sheet'!D11*'Output-Calculation-sheet'!D29</f>
        <v>0</v>
      </c>
      <c r="E23" s="2">
        <f>E12/'Output-Calculation-sheet'!E11*'Output-Calculation-sheet'!E29</f>
        <v>6491.1235755416428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13960.182631307687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2333.2473323759027</v>
      </c>
      <c r="M23" s="2">
        <f>M12/'Output-Calculation-sheet'!M11*'Output-Calculation-sheet'!M29</f>
        <v>10727.985463811594</v>
      </c>
      <c r="N23" s="2">
        <f>N12/'Output-Calculation-sheet'!N11*'Output-Calculation-sheet'!N29</f>
        <v>6382.556728307708</v>
      </c>
      <c r="O23" s="2">
        <f>O12/'Output-Calculation-sheet'!O11*'Output-Calculation-sheet'!O29</f>
        <v>39.090388357118215</v>
      </c>
      <c r="P23" s="2">
        <f>P12/'Output-Calculation-sheet'!P11*'Output-Calculation-sheet'!P29</f>
        <v>723.49982339017731</v>
      </c>
      <c r="Q23" s="2">
        <f>Q12/'Output-Calculation-sheet'!Q11*'Output-Calculation-sheet'!Q29</f>
        <v>1972.2640181073107</v>
      </c>
      <c r="R23" s="2">
        <f>R12/'Output-Calculation-sheet'!R11*'Output-Calculation-sheet'!R29</f>
        <v>0</v>
      </c>
      <c r="S23" s="2">
        <f>S12/'Output-Calculation-sheet'!S11*'Output-Calculation-sheet'!S29</f>
        <v>3049.2421092742452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104.4693779054942</v>
      </c>
      <c r="Y23" s="2">
        <f>Y12/'Output-Calculation-sheet'!Y11*'Output-Calculation-sheet'!Y29</f>
        <v>153.24936405893368</v>
      </c>
      <c r="AA23" s="2">
        <f t="shared" si="0"/>
        <v>98.576890910768512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1868.7800227539224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48.030433837896261</v>
      </c>
    </row>
    <row r="31" spans="1:27" x14ac:dyDescent="0.25">
      <c r="A31" s="2">
        <v>2032</v>
      </c>
      <c r="B31" s="2">
        <f>B9/'Output-Calculation-sheet'!B8*'Output-Calculation-sheet'!B17</f>
        <v>31797.475193337905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2178.0015639822122</v>
      </c>
      <c r="O31" s="2">
        <f>O9/'Output-Calculation-sheet'!O8*'Output-Calculation-sheet'!O17</f>
        <v>0</v>
      </c>
      <c r="P31" s="2">
        <f>P9/'Output-Calculation-sheet'!P8*'Output-Calculation-sheet'!P17</f>
        <v>2696.2168964808793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1619.8790066983661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69.245326619785473</v>
      </c>
    </row>
    <row r="32" spans="1:27" x14ac:dyDescent="0.25">
      <c r="A32" s="2">
        <v>2033</v>
      </c>
      <c r="B32" s="2">
        <f>B10/'Output-Calculation-sheet'!B9*'Output-Calculation-sheet'!B18</f>
        <v>37298.094064550009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3549.7067356892417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2274.3007872469548</v>
      </c>
      <c r="O32" s="2">
        <f>O10/'Output-Calculation-sheet'!O9*'Output-Calculation-sheet'!O18</f>
        <v>0</v>
      </c>
      <c r="P32" s="2">
        <f>P10/'Output-Calculation-sheet'!P9*'Output-Calculation-sheet'!P18</f>
        <v>3653.3572282205382</v>
      </c>
      <c r="Q32" s="2">
        <f>Q10/'Output-Calculation-sheet'!Q9*'Output-Calculation-sheet'!Q18</f>
        <v>3982.820207172048</v>
      </c>
      <c r="R32" s="2">
        <f>R10/'Output-Calculation-sheet'!R9*'Output-Calculation-sheet'!R18</f>
        <v>2623.3929376916358</v>
      </c>
      <c r="S32" s="2">
        <f>S10/'Output-Calculation-sheet'!S9*'Output-Calculation-sheet'!S18</f>
        <v>1718.0435168235724</v>
      </c>
      <c r="T32" s="2">
        <f>T10/'Output-Calculation-sheet'!T9*'Output-Calculation-sheet'!T18</f>
        <v>765.95783876967425</v>
      </c>
      <c r="U32" s="2">
        <f>U10/'Output-Calculation-sheet'!U9*'Output-Calculation-sheet'!U18</f>
        <v>846.74878955579425</v>
      </c>
      <c r="V32" s="2">
        <f>V10/'Output-Calculation-sheet'!V9*'Output-Calculation-sheet'!V18</f>
        <v>625.02146118405471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361.89169341358269</v>
      </c>
      <c r="AA32" s="2">
        <f t="shared" si="1"/>
        <v>89.544835411306124</v>
      </c>
    </row>
    <row r="33" spans="1:27" x14ac:dyDescent="0.25">
      <c r="A33" s="2">
        <v>2034</v>
      </c>
      <c r="B33" s="2">
        <f>B11/'Output-Calculation-sheet'!B10*'Output-Calculation-sheet'!B19</f>
        <v>36350.602902651546</v>
      </c>
      <c r="C33" s="2">
        <f>C11/'Output-Calculation-sheet'!C10*'Output-Calculation-sheet'!C19</f>
        <v>0</v>
      </c>
      <c r="D33" s="2">
        <f>D11/'Output-Calculation-sheet'!D10*'Output-Calculation-sheet'!D19</f>
        <v>11000.307530521382</v>
      </c>
      <c r="E33" s="2">
        <f>E11/'Output-Calculation-sheet'!E10*'Output-Calculation-sheet'!E19</f>
        <v>13638.630520325041</v>
      </c>
      <c r="F33" s="2">
        <f>F11/'Output-Calculation-sheet'!F10*'Output-Calculation-sheet'!F19</f>
        <v>6244.6001683336854</v>
      </c>
      <c r="G33" s="2">
        <f>G11/'Output-Calculation-sheet'!G10*'Output-Calculation-sheet'!G19</f>
        <v>3720.1878544530523</v>
      </c>
      <c r="H33" s="2">
        <f>H11/'Output-Calculation-sheet'!H10*'Output-Calculation-sheet'!H19</f>
        <v>0</v>
      </c>
      <c r="I33" s="2">
        <f>I11/'Output-Calculation-sheet'!I10*'Output-Calculation-sheet'!I19</f>
        <v>4086.4171049660658</v>
      </c>
      <c r="J33" s="2">
        <f>J11/'Output-Calculation-sheet'!J10*'Output-Calculation-sheet'!J19</f>
        <v>3455.1834738715684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3898.2095025171884</v>
      </c>
      <c r="M33" s="2">
        <f>M11/'Output-Calculation-sheet'!M10*'Output-Calculation-sheet'!M19</f>
        <v>0</v>
      </c>
      <c r="N33" s="2">
        <f>N11/'Output-Calculation-sheet'!N10*'Output-Calculation-sheet'!N19</f>
        <v>2201.5202993891035</v>
      </c>
      <c r="O33" s="2">
        <f>O11/'Output-Calculation-sheet'!O10*'Output-Calculation-sheet'!O19</f>
        <v>0</v>
      </c>
      <c r="P33" s="2">
        <f>P11/'Output-Calculation-sheet'!P10*'Output-Calculation-sheet'!P19</f>
        <v>4850.8243572555639</v>
      </c>
      <c r="Q33" s="2">
        <f>Q11/'Output-Calculation-sheet'!Q10*'Output-Calculation-sheet'!Q19</f>
        <v>3949.4628190730095</v>
      </c>
      <c r="R33" s="2">
        <f>R11/'Output-Calculation-sheet'!R10*'Output-Calculation-sheet'!R19</f>
        <v>3462.3699078062405</v>
      </c>
      <c r="S33" s="2">
        <f>S11/'Output-Calculation-sheet'!S10*'Output-Calculation-sheet'!S19</f>
        <v>1606.9151859036142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1086.7921642069077</v>
      </c>
      <c r="V33" s="2">
        <f>V11/'Output-Calculation-sheet'!V10*'Output-Calculation-sheet'!V19</f>
        <v>796.76039525995895</v>
      </c>
      <c r="W33" s="2">
        <f>W11/'Output-Calculation-sheet'!W10*'Output-Calculation-sheet'!W19</f>
        <v>496.05408676952891</v>
      </c>
      <c r="X33" s="2">
        <f>X11/'Output-Calculation-sheet'!X10*'Output-Calculation-sheet'!X19</f>
        <v>0</v>
      </c>
      <c r="Y33" s="2">
        <f>Y11/'Output-Calculation-sheet'!Y10*'Output-Calculation-sheet'!Y19</f>
        <v>447.15781369373849</v>
      </c>
      <c r="AA33" s="2">
        <f t="shared" si="1"/>
        <v>107.10091097499277</v>
      </c>
    </row>
    <row r="34" spans="1:27" x14ac:dyDescent="0.25">
      <c r="A34" s="2">
        <v>2035</v>
      </c>
      <c r="B34" s="2">
        <f>B12/'Output-Calculation-sheet'!B11*'Output-Calculation-sheet'!B20</f>
        <v>35389.068808565215</v>
      </c>
      <c r="C34" s="2">
        <f>C12/'Output-Calculation-sheet'!C11*'Output-Calculation-sheet'!C20</f>
        <v>0</v>
      </c>
      <c r="D34" s="2">
        <f>D12/'Output-Calculation-sheet'!D11*'Output-Calculation-sheet'!D20</f>
        <v>11286.06826956137</v>
      </c>
      <c r="E34" s="2">
        <f>E12/'Output-Calculation-sheet'!E11*'Output-Calculation-sheet'!E20</f>
        <v>12507.5370959636</v>
      </c>
      <c r="F34" s="2">
        <f>F12/'Output-Calculation-sheet'!F11*'Output-Calculation-sheet'!F20</f>
        <v>7025.2967684773184</v>
      </c>
      <c r="G34" s="2">
        <f>G12/'Output-Calculation-sheet'!G11*'Output-Calculation-sheet'!G20</f>
        <v>3786.0343402125191</v>
      </c>
      <c r="H34" s="2">
        <f>H12/'Output-Calculation-sheet'!H11*'Output-Calculation-sheet'!H20</f>
        <v>0</v>
      </c>
      <c r="I34" s="2">
        <f>I12/'Output-Calculation-sheet'!I11*'Output-Calculation-sheet'!I20</f>
        <v>4202.950594211411</v>
      </c>
      <c r="J34" s="2">
        <f>J12/'Output-Calculation-sheet'!J11*'Output-Calculation-sheet'!J20</f>
        <v>3887.8520543837722</v>
      </c>
      <c r="K34" s="2">
        <f>K12/'Output-Calculation-sheet'!K11*'Output-Calculation-sheet'!K20</f>
        <v>5175.3698826919399</v>
      </c>
      <c r="L34" s="2">
        <f>L12/'Output-Calculation-sheet'!L11*'Output-Calculation-sheet'!L20</f>
        <v>4140.6530298793587</v>
      </c>
      <c r="M34" s="2">
        <f>M12/'Output-Calculation-sheet'!M11*'Output-Calculation-sheet'!M20</f>
        <v>0</v>
      </c>
      <c r="N34" s="2">
        <f>N12/'Output-Calculation-sheet'!N11*'Output-Calculation-sheet'!N20</f>
        <v>2213.3990418558847</v>
      </c>
      <c r="O34" s="2">
        <f>O12/'Output-Calculation-sheet'!O11*'Output-Calculation-sheet'!O20</f>
        <v>0</v>
      </c>
      <c r="P34" s="2">
        <f>P12/'Output-Calculation-sheet'!P11*'Output-Calculation-sheet'!P20</f>
        <v>4748.4205255742199</v>
      </c>
      <c r="Q34" s="2">
        <f>Q12/'Output-Calculation-sheet'!Q11*'Output-Calculation-sheet'!Q20</f>
        <v>3884.8596202890853</v>
      </c>
      <c r="R34" s="2">
        <f>R12/'Output-Calculation-sheet'!R11*'Output-Calculation-sheet'!R20</f>
        <v>3973.0997382894716</v>
      </c>
      <c r="S34" s="2">
        <f>S12/'Output-Calculation-sheet'!S11*'Output-Calculation-sheet'!S20</f>
        <v>1532.7221238269378</v>
      </c>
      <c r="T34" s="2">
        <f>T12/'Output-Calculation-sheet'!T11*'Output-Calculation-sheet'!T20</f>
        <v>1205.4378579669687</v>
      </c>
      <c r="U34" s="2">
        <f>U12/'Output-Calculation-sheet'!U11*'Output-Calculation-sheet'!U20</f>
        <v>1109.4700727368213</v>
      </c>
      <c r="V34" s="2">
        <f>V12/'Output-Calculation-sheet'!V11*'Output-Calculation-sheet'!V20</f>
        <v>1091.8379022400029</v>
      </c>
      <c r="W34" s="2">
        <f>W12/'Output-Calculation-sheet'!W11*'Output-Calculation-sheet'!W20</f>
        <v>592.11387384284967</v>
      </c>
      <c r="X34" s="2">
        <f>X12/'Output-Calculation-sheet'!X11*'Output-Calculation-sheet'!X20</f>
        <v>1.3136234513398075</v>
      </c>
      <c r="Y34" s="2">
        <f>Y12/'Output-Calculation-sheet'!Y11*'Output-Calculation-sheet'!Y20</f>
        <v>428.77535112955451</v>
      </c>
      <c r="AA34" s="2">
        <f t="shared" si="1"/>
        <v>108.18228057514963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0.16429579377004508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2.4778965784437623E-2</v>
      </c>
      <c r="H44" s="2">
        <f>H11/'Output-Calculation-sheet'!H10*'Output-Calculation-sheet'!H37*0.0114</f>
        <v>2.400422740147248E-2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1.4223270368431327E-2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9.3057589244972452E-3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4.538078451912563E-3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0.24114609470079632</v>
      </c>
    </row>
    <row r="45" spans="1:27" x14ac:dyDescent="0.25">
      <c r="A45" s="2">
        <v>2035</v>
      </c>
      <c r="B45" s="2">
        <f>B12/'Output-Calculation-sheet'!B11*'Output-Calculation-sheet'!B38*0.0114</f>
        <v>0.67178406287581038</v>
      </c>
      <c r="C45" s="2">
        <f>C12/'Output-Calculation-sheet'!C11*'Output-Calculation-sheet'!C38*0.0114</f>
        <v>0.39855533119214293</v>
      </c>
      <c r="D45" s="2">
        <f>D12/'Output-Calculation-sheet'!D11*'Output-Calculation-sheet'!D38*0.0114</f>
        <v>7.0610240242199598E-2</v>
      </c>
      <c r="E45" s="2">
        <f>E12/'Output-Calculation-sheet'!E11*'Output-Calculation-sheet'!E38*0.0114</f>
        <v>0.22446549056334839</v>
      </c>
      <c r="F45" s="2">
        <f>F12/'Output-Calculation-sheet'!F11*'Output-Calculation-sheet'!F38*0.0114</f>
        <v>7.0586675480829267E-2</v>
      </c>
      <c r="G45" s="2">
        <f>G12/'Output-Calculation-sheet'!G11*'Output-Calculation-sheet'!G38*0.0114</f>
        <v>5.065897892623094E-2</v>
      </c>
      <c r="H45" s="2">
        <f>H12/'Output-Calculation-sheet'!H11*'Output-Calculation-sheet'!H38*0.0114</f>
        <v>0.14722523054235478</v>
      </c>
      <c r="I45" s="2">
        <f>I12/'Output-Calculation-sheet'!I11*'Output-Calculation-sheet'!I38*0.0114</f>
        <v>4.5564621081105323E-2</v>
      </c>
      <c r="J45" s="2">
        <f>J12/'Output-Calculation-sheet'!J11*'Output-Calculation-sheet'!J38*0.0114</f>
        <v>2.2546940710476544E-2</v>
      </c>
      <c r="K45" s="2">
        <f>K12/'Output-Calculation-sheet'!K11*'Output-Calculation-sheet'!K38*0.0114</f>
        <v>4.47827696861317E-2</v>
      </c>
      <c r="L45" s="2">
        <f>L12/'Output-Calculation-sheet'!L11*'Output-Calculation-sheet'!L38*0.0114</f>
        <v>1.7804598433997926E-2</v>
      </c>
      <c r="M45" s="2">
        <f>M12/'Output-Calculation-sheet'!M11*'Output-Calculation-sheet'!M38*0.0114</f>
        <v>8.4421072085294382E-2</v>
      </c>
      <c r="N45" s="2">
        <f>N12/'Output-Calculation-sheet'!N11*'Output-Calculation-sheet'!N38*0.0114</f>
        <v>4.9783333726701753E-2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6.1321407827334549E-2</v>
      </c>
      <c r="Q45" s="2">
        <f>Q12/'Output-Calculation-sheet'!Q11*'Output-Calculation-sheet'!Q38*0.0114</f>
        <v>4.3617822478429207E-2</v>
      </c>
      <c r="R45" s="2">
        <f>R12/'Output-Calculation-sheet'!R11*'Output-Calculation-sheet'!R38*0.0114</f>
        <v>2.883686123259107E-2</v>
      </c>
      <c r="S45" s="2">
        <f>S12/'Output-Calculation-sheet'!S11*'Output-Calculation-sheet'!S38*0.0114</f>
        <v>3.8050033996557348E-2</v>
      </c>
      <c r="T45" s="2">
        <f>T12/'Output-Calculation-sheet'!T11*'Output-Calculation-sheet'!T38*0.0114</f>
        <v>5.3342761733021467E-3</v>
      </c>
      <c r="U45" s="2">
        <f>U12/'Output-Calculation-sheet'!U11*'Output-Calculation-sheet'!U38*0.0114</f>
        <v>1.3916707984968002E-2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6.1948733458744671E-3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8.9372034873774382E-3</v>
      </c>
      <c r="AA45" s="2">
        <f t="shared" si="2"/>
        <v>2.1259134104461914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3544.8931933237241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8165.2254650073228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5584.3908854384126</v>
      </c>
      <c r="N52" s="2">
        <f>N8/'Output-Calculation-sheet'!N7*'Output-Calculation-sheet'!N43</f>
        <v>176.40174807963018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37.759081835336325</v>
      </c>
      <c r="Y52" s="2">
        <f>Y8/'Output-Calculation-sheet'!Y7*'Output-Calculation-sheet'!Y43</f>
        <v>0</v>
      </c>
      <c r="AA52" s="2">
        <f t="shared" si="3"/>
        <v>17.508670373684424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629.96527772877903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16336.135539871982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11183.113569395338</v>
      </c>
      <c r="N53" s="2">
        <f>N9/'Output-Calculation-sheet'!N8*'Output-Calculation-sheet'!N44</f>
        <v>3968.4792961897542</v>
      </c>
      <c r="O53" s="2">
        <f>O9/'Output-Calculation-sheet'!O8*'Output-Calculation-sheet'!O44</f>
        <v>220.0571992557619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1236.829178813221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341.46891273547232</v>
      </c>
      <c r="Y53" s="2">
        <f>Y9/'Output-Calculation-sheet'!Y8*'Output-Calculation-sheet'!Y44</f>
        <v>0</v>
      </c>
      <c r="AA53" s="2">
        <f t="shared" si="3"/>
        <v>34.091960269873134</v>
      </c>
    </row>
    <row r="54" spans="1:27" x14ac:dyDescent="0.25">
      <c r="A54" s="2">
        <v>2033</v>
      </c>
      <c r="B54" s="2">
        <f>B10/'Output-Calculation-sheet'!B9*'Output-Calculation-sheet'!B45</f>
        <v>35079.281298727365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17523.800361614354</v>
      </c>
      <c r="N54" s="2">
        <f>N10/'Output-Calculation-sheet'!N9*'Output-Calculation-sheet'!N45</f>
        <v>9807.5155973421297</v>
      </c>
      <c r="O54" s="2">
        <f>O10/'Output-Calculation-sheet'!O9*'Output-Calculation-sheet'!O45</f>
        <v>1306.0055325139583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1019.8385469518902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107.1193451416257</v>
      </c>
    </row>
    <row r="55" spans="1:27" x14ac:dyDescent="0.25">
      <c r="A55" s="2">
        <v>2034</v>
      </c>
      <c r="B55" s="2">
        <f>B11/'Output-Calculation-sheet'!B10*'Output-Calculation-sheet'!B46</f>
        <v>101575.15390274365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360.40564267658226</v>
      </c>
      <c r="G55" s="2">
        <f>G11/'Output-Calculation-sheet'!G10*'Output-Calculation-sheet'!G46</f>
        <v>4062.446232553852</v>
      </c>
      <c r="H55" s="2">
        <f>H11/'Output-Calculation-sheet'!H10*'Output-Calculation-sheet'!H46</f>
        <v>31430.798458050849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22131.65879201423</v>
      </c>
      <c r="N55" s="2">
        <f>N11/'Output-Calculation-sheet'!N10*'Output-Calculation-sheet'!N46</f>
        <v>16763.506327257543</v>
      </c>
      <c r="O55" s="2">
        <f>O11/'Output-Calculation-sheet'!O10*'Output-Calculation-sheet'!O46</f>
        <v>643.17117089727174</v>
      </c>
      <c r="P55" s="2">
        <f>P11/'Output-Calculation-sheet'!P10*'Output-Calculation-sheet'!P46</f>
        <v>6204.0860148566298</v>
      </c>
      <c r="Q55" s="2">
        <f>Q11/'Output-Calculation-sheet'!Q10*'Output-Calculation-sheet'!Q46</f>
        <v>4840.9025464485567</v>
      </c>
      <c r="R55" s="2">
        <f>R11/'Output-Calculation-sheet'!R10*'Output-Calculation-sheet'!R46</f>
        <v>5028.3277724540658</v>
      </c>
      <c r="S55" s="2">
        <f>S11/'Output-Calculation-sheet'!S10*'Output-Calculation-sheet'!S46</f>
        <v>7854.3870501326737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1485.2255003584012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250.98138480315615</v>
      </c>
    </row>
    <row r="56" spans="1:27" x14ac:dyDescent="0.25">
      <c r="A56" s="2">
        <v>2035</v>
      </c>
      <c r="B56" s="2">
        <f>B12/'Output-Calculation-sheet'!B11*'Output-Calculation-sheet'!B47</f>
        <v>109105.98179075113</v>
      </c>
      <c r="C56" s="2">
        <f>C12/'Output-Calculation-sheet'!C11*'Output-Calculation-sheet'!C47</f>
        <v>34003.062729603356</v>
      </c>
      <c r="D56" s="2">
        <f>D12/'Output-Calculation-sheet'!D11*'Output-Calculation-sheet'!D47</f>
        <v>11186.148585737936</v>
      </c>
      <c r="E56" s="2">
        <f>E12/'Output-Calculation-sheet'!E11*'Output-Calculation-sheet'!E47</f>
        <v>28294.465784169439</v>
      </c>
      <c r="F56" s="2">
        <f>F12/'Output-Calculation-sheet'!F11*'Output-Calculation-sheet'!F47</f>
        <v>1625.3510801506739</v>
      </c>
      <c r="G56" s="2">
        <f>G12/'Output-Calculation-sheet'!G11*'Output-Calculation-sheet'!G47</f>
        <v>4139.3718306828177</v>
      </c>
      <c r="H56" s="2">
        <f>H12/'Output-Calculation-sheet'!H11*'Output-Calculation-sheet'!H47</f>
        <v>32271.167858501827</v>
      </c>
      <c r="I56" s="2">
        <f>I12/'Output-Calculation-sheet'!I11*'Output-Calculation-sheet'!I47</f>
        <v>2637.9517468008344</v>
      </c>
      <c r="J56" s="2">
        <f>J12/'Output-Calculation-sheet'!J11*'Output-Calculation-sheet'!J47</f>
        <v>4351.1639967586316</v>
      </c>
      <c r="K56" s="2">
        <f>K12/'Output-Calculation-sheet'!K11*'Output-Calculation-sheet'!K47</f>
        <v>5949.4302359338999</v>
      </c>
      <c r="L56" s="2">
        <f>L12/'Output-Calculation-sheet'!L11*'Output-Calculation-sheet'!L47</f>
        <v>6370.6102642348715</v>
      </c>
      <c r="M56" s="2">
        <f>M12/'Output-Calculation-sheet'!M11*'Output-Calculation-sheet'!M47</f>
        <v>22746.295176946507</v>
      </c>
      <c r="N56" s="2">
        <f>N12/'Output-Calculation-sheet'!N11*'Output-Calculation-sheet'!N47</f>
        <v>18408.188254616089</v>
      </c>
      <c r="O56" s="2">
        <f>O12/'Output-Calculation-sheet'!O11*'Output-Calculation-sheet'!O47</f>
        <v>82.861788573659908</v>
      </c>
      <c r="P56" s="2">
        <f>P12/'Output-Calculation-sheet'!P11*'Output-Calculation-sheet'!P47</f>
        <v>7891.096954622788</v>
      </c>
      <c r="Q56" s="2">
        <f>Q12/'Output-Calculation-sheet'!Q11*'Output-Calculation-sheet'!Q47</f>
        <v>5550.43167912643</v>
      </c>
      <c r="R56" s="2">
        <f>R12/'Output-Calculation-sheet'!R11*'Output-Calculation-sheet'!R47</f>
        <v>6485.7642281020617</v>
      </c>
      <c r="S56" s="2">
        <f>S12/'Output-Calculation-sheet'!S11*'Output-Calculation-sheet'!S47</f>
        <v>8559.5887880852024</v>
      </c>
      <c r="T56" s="2">
        <f>T12/'Output-Calculation-sheet'!T11*'Output-Calculation-sheet'!T47</f>
        <v>2191.264501717013</v>
      </c>
      <c r="U56" s="2">
        <f>U12/'Output-Calculation-sheet'!U11*'Output-Calculation-sheet'!U47</f>
        <v>1529.6171144881496</v>
      </c>
      <c r="V56" s="2">
        <f>V12/'Output-Calculation-sheet'!V11*'Output-Calculation-sheet'!V47</f>
        <v>1511.4390486962004</v>
      </c>
      <c r="W56" s="2">
        <f>W12/'Output-Calculation-sheet'!W11*'Output-Calculation-sheet'!W47</f>
        <v>534.98708850994853</v>
      </c>
      <c r="X56" s="2">
        <f>X12/'Output-Calculation-sheet'!X11*'Output-Calculation-sheet'!X47</f>
        <v>179.53666218064157</v>
      </c>
      <c r="Y56" s="2">
        <f>Y12/'Output-Calculation-sheet'!Y11*'Output-Calculation-sheet'!Y47</f>
        <v>712.46759029198381</v>
      </c>
      <c r="AA56" s="2">
        <f t="shared" si="3"/>
        <v>316.31824477928211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8.7361559426137045</v>
      </c>
      <c r="C63" s="2">
        <f>C8*'Output-Calculation-sheet'!C52/10^9</f>
        <v>5.2841979503022332</v>
      </c>
      <c r="D63" s="2">
        <f>D8*'Output-Calculation-sheet'!D52/10^9</f>
        <v>2.9958150904551855</v>
      </c>
      <c r="E63" s="2">
        <f>E8*'Output-Calculation-sheet'!E52/10^9</f>
        <v>2.978643792175109</v>
      </c>
      <c r="F63" s="2">
        <f>F8*'Output-Calculation-sheet'!F52/10^9</f>
        <v>1.261455399742939</v>
      </c>
      <c r="G63" s="2">
        <f>G8*'Output-Calculation-sheet'!G52/10^9</f>
        <v>0.90692944472655956</v>
      </c>
      <c r="H63" s="2">
        <f>H8*'Output-Calculation-sheet'!H52/10^9</f>
        <v>1.5841304818077937</v>
      </c>
      <c r="I63" s="2">
        <f>I8*'Output-Calculation-sheet'!I52/10^9</f>
        <v>0.84365493857720386</v>
      </c>
      <c r="J63" s="2">
        <f>J8*'Output-Calculation-sheet'!J52/10^9</f>
        <v>1.1609263800435787</v>
      </c>
      <c r="K63" s="2">
        <f>K8*'Output-Calculation-sheet'!K52/10^9</f>
        <v>1.0199770800449435</v>
      </c>
      <c r="L63" s="2">
        <f>L8*'Output-Calculation-sheet'!L52/10^9</f>
        <v>1.3719182480405965</v>
      </c>
      <c r="M63" s="2">
        <f>M8*'Output-Calculation-sheet'!M52/10^9</f>
        <v>1.2858550862536819</v>
      </c>
      <c r="N63" s="2">
        <f>N8*'Output-Calculation-sheet'!N52/10^9</f>
        <v>1.0732171640904311</v>
      </c>
      <c r="O63" s="2">
        <f>O8*'Output-Calculation-sheet'!O52/10^9</f>
        <v>1.0785365563317699</v>
      </c>
      <c r="P63" s="2">
        <f>P8*'Output-Calculation-sheet'!P52/10^9</f>
        <v>0.70477664843476728</v>
      </c>
      <c r="Q63" s="2">
        <f>Q8*'Output-Calculation-sheet'!Q52/10^9</f>
        <v>0.79760063411694659</v>
      </c>
      <c r="R63" s="2">
        <f>R8*'Output-Calculation-sheet'!R52/10^9</f>
        <v>0.71608704550571911</v>
      </c>
      <c r="S63" s="2">
        <f>S8*'Output-Calculation-sheet'!S52/10^9</f>
        <v>0.53064587294367305</v>
      </c>
      <c r="T63" s="2">
        <f>T8*'Output-Calculation-sheet'!T52/10^9</f>
        <v>0.27224606542728774</v>
      </c>
      <c r="U63" s="2">
        <f>U8*'Output-Calculation-sheet'!U52/10^9</f>
        <v>0.18697568043839319</v>
      </c>
      <c r="V63" s="2">
        <f>V8*'Output-Calculation-sheet'!V52/10^9</f>
        <v>0.33183764696041784</v>
      </c>
      <c r="W63" s="2">
        <f>W8*'Output-Calculation-sheet'!W52/10^9</f>
        <v>0.12010968144870078</v>
      </c>
      <c r="X63" s="2">
        <f>X8*'Output-Calculation-sheet'!X52/10^9</f>
        <v>0.13672812188258901</v>
      </c>
      <c r="Y63" s="2">
        <f>Y8*'Output-Calculation-sheet'!Y52/10^9</f>
        <v>7.8368225987179102E-2</v>
      </c>
      <c r="AA63" s="2">
        <f t="shared" si="4"/>
        <v>35.4567891783514</v>
      </c>
    </row>
    <row r="64" spans="1:27" x14ac:dyDescent="0.25">
      <c r="A64" s="2">
        <v>2032</v>
      </c>
      <c r="B64" s="2">
        <f>B9*'Output-Calculation-sheet'!B53/10^9</f>
        <v>9.4153816726098842</v>
      </c>
      <c r="C64" s="2">
        <f>C9*'Output-Calculation-sheet'!C53/10^9</f>
        <v>6.0070106112492674</v>
      </c>
      <c r="D64" s="2">
        <f>D9*'Output-Calculation-sheet'!D53/10^9</f>
        <v>2.7864040614318748</v>
      </c>
      <c r="E64" s="2">
        <f>E9*'Output-Calculation-sheet'!E53/10^9</f>
        <v>2.8534003548346965</v>
      </c>
      <c r="F64" s="2">
        <f>F9*'Output-Calculation-sheet'!F53/10^9</f>
        <v>1.2035463773799935</v>
      </c>
      <c r="G64" s="2">
        <f>G9*'Output-Calculation-sheet'!G53/10^9</f>
        <v>0.85664749361030479</v>
      </c>
      <c r="H64" s="2">
        <f>H9*'Output-Calculation-sheet'!H53/10^9</f>
        <v>1.7601617347661924</v>
      </c>
      <c r="I64" s="2">
        <f>I9*'Output-Calculation-sheet'!I53/10^9</f>
        <v>0.80082539918209528</v>
      </c>
      <c r="J64" s="2">
        <f>J9*'Output-Calculation-sheet'!J53/10^9</f>
        <v>1.0601301127823324</v>
      </c>
      <c r="K64" s="2">
        <f>K9*'Output-Calculation-sheet'!K53/10^9</f>
        <v>0.98365651023798684</v>
      </c>
      <c r="L64" s="2">
        <f>L9*'Output-Calculation-sheet'!L53/10^9</f>
        <v>1.2654711603419546</v>
      </c>
      <c r="M64" s="2">
        <f>M9*'Output-Calculation-sheet'!M53/10^9</f>
        <v>1.3794485768898359</v>
      </c>
      <c r="N64" s="2">
        <f>N9*'Output-Calculation-sheet'!N53/10^9</f>
        <v>1.1613408911636891</v>
      </c>
      <c r="O64" s="2">
        <f>O9*'Output-Calculation-sheet'!O53/10^9</f>
        <v>1.213701548295987</v>
      </c>
      <c r="P64" s="2">
        <f>P9*'Output-Calculation-sheet'!P53/10^9</f>
        <v>0.74997118775565541</v>
      </c>
      <c r="Q64" s="2">
        <f>Q9*'Output-Calculation-sheet'!Q53/10^9</f>
        <v>0.82883110452861275</v>
      </c>
      <c r="R64" s="2">
        <f>R9*'Output-Calculation-sheet'!R53/10^9</f>
        <v>0.71050398653432134</v>
      </c>
      <c r="S64" s="2">
        <f>S9*'Output-Calculation-sheet'!S53/10^9</f>
        <v>0.58703507774814789</v>
      </c>
      <c r="T64" s="2">
        <f>T9*'Output-Calculation-sheet'!T53/10^9</f>
        <v>0.2554066745680873</v>
      </c>
      <c r="U64" s="2">
        <f>U9*'Output-Calculation-sheet'!U53/10^9</f>
        <v>0.19223927882989594</v>
      </c>
      <c r="V64" s="2">
        <f>V9*'Output-Calculation-sheet'!V53/10^9</f>
        <v>0.30315045158307108</v>
      </c>
      <c r="W64" s="2">
        <f>W9*'Output-Calculation-sheet'!W53/10^9</f>
        <v>0.11264504896378308</v>
      </c>
      <c r="X64" s="2">
        <f>X9*'Output-Calculation-sheet'!X53/10^9</f>
        <v>0.15123503470933247</v>
      </c>
      <c r="Y64" s="2">
        <f>Y9*'Output-Calculation-sheet'!Y53/10^9</f>
        <v>7.8922838514062871E-2</v>
      </c>
      <c r="AA64" s="2">
        <f t="shared" si="4"/>
        <v>36.717067188511052</v>
      </c>
    </row>
    <row r="65" spans="1:27" x14ac:dyDescent="0.25">
      <c r="A65" s="2">
        <v>2033</v>
      </c>
      <c r="B65" s="2">
        <f>B10*'Output-Calculation-sheet'!B54/10^9</f>
        <v>10.112186310117398</v>
      </c>
      <c r="C65" s="2">
        <f>C10*'Output-Calculation-sheet'!C54/10^9</f>
        <v>6.5646625659240092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1.8529295412204101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0.93101999585870399</v>
      </c>
      <c r="L65" s="2">
        <f>L10*'Output-Calculation-sheet'!L54/10^9</f>
        <v>1.0996620298559128</v>
      </c>
      <c r="M65" s="2">
        <f>M10*'Output-Calculation-sheet'!M54/10^9</f>
        <v>1.3990591251339917</v>
      </c>
      <c r="N65" s="2">
        <f>N10*'Output-Calculation-sheet'!N54/10^9</f>
        <v>1.2081001211427327</v>
      </c>
      <c r="O65" s="2">
        <f>O10*'Output-Calculation-sheet'!O54/10^9</f>
        <v>1.3122372500478603</v>
      </c>
      <c r="P65" s="2">
        <f>P10*'Output-Calculation-sheet'!P54/10^9</f>
        <v>0.7877027055306578</v>
      </c>
      <c r="Q65" s="2">
        <f>Q10*'Output-Calculation-sheet'!Q54/10^9</f>
        <v>0.8596215645389983</v>
      </c>
      <c r="R65" s="2">
        <f>R10*'Output-Calculation-sheet'!R54/10^9</f>
        <v>0.69348240726452515</v>
      </c>
      <c r="S65" s="2">
        <f>S10*'Output-Calculation-sheet'!S54/10^9</f>
        <v>0.62991336163475509</v>
      </c>
      <c r="T65" s="2">
        <f>T10*'Output-Calculation-sheet'!T54/10^9</f>
        <v>0.23186155620458046</v>
      </c>
      <c r="U65" s="2">
        <f>U10*'Output-Calculation-sheet'!U54/10^9</f>
        <v>0.20020699678656695</v>
      </c>
      <c r="V65" s="2">
        <f>V10*'Output-Calculation-sheet'!V54/10^9</f>
        <v>0.25659957416904056</v>
      </c>
      <c r="W65" s="2">
        <f>W10*'Output-Calculation-sheet'!W54/10^9</f>
        <v>9.7693359124701951E-2</v>
      </c>
      <c r="X65" s="2">
        <f>X10*'Output-Calculation-sheet'!X54/10^9</f>
        <v>0.15974273659782709</v>
      </c>
      <c r="Y65" s="2">
        <f>Y10*'Output-Calculation-sheet'!Y54/10^9</f>
        <v>8.0414126394013227E-2</v>
      </c>
      <c r="AA65" s="2">
        <f t="shared" si="4"/>
        <v>37.000355338649136</v>
      </c>
    </row>
    <row r="66" spans="1:27" x14ac:dyDescent="0.25">
      <c r="A66" s="2">
        <v>2034</v>
      </c>
      <c r="B66" s="2">
        <f>B11*'Output-Calculation-sheet'!B55/10^9</f>
        <v>10.846620789437969</v>
      </c>
      <c r="C66" s="2">
        <f>C11*'Output-Calculation-sheet'!C55/10^9</f>
        <v>6.9684391879496381</v>
      </c>
      <c r="D66" s="2">
        <f>D11*'Output-Calculation-sheet'!D55/10^9</f>
        <v>2.2694387572500263</v>
      </c>
      <c r="E66" s="2">
        <f>E11*'Output-Calculation-sheet'!E55/10^9</f>
        <v>2.748124855867379</v>
      </c>
      <c r="F66" s="2">
        <f>F11*'Output-Calculation-sheet'!F55/10^9</f>
        <v>1.0561489954730157</v>
      </c>
      <c r="G66" s="2">
        <f>G11*'Output-Calculation-sheet'!G55/10^9</f>
        <v>0.75496118765835074</v>
      </c>
      <c r="H66" s="2">
        <f>H11*'Output-Calculation-sheet'!H55/10^9</f>
        <v>1.928815493178976</v>
      </c>
      <c r="I66" s="2">
        <f>I11*'Output-Calculation-sheet'!I55/10^9</f>
        <v>0.73822993316284002</v>
      </c>
      <c r="J66" s="2">
        <f>J11*'Output-Calculation-sheet'!J55/10^9</f>
        <v>0.75912646757025426</v>
      </c>
      <c r="K66" s="2">
        <f>K11*'Output-Calculation-sheet'!K55/10^9</f>
        <v>0.90797614264746085</v>
      </c>
      <c r="L66" s="2">
        <f>L11*'Output-Calculation-sheet'!L55/10^9</f>
        <v>0.96160942874256383</v>
      </c>
      <c r="M66" s="2">
        <f>M11*'Output-Calculation-sheet'!M55/10^9</f>
        <v>1.3982223376019296</v>
      </c>
      <c r="N66" s="2">
        <f>N11*'Output-Calculation-sheet'!N55/10^9</f>
        <v>1.2216677595442171</v>
      </c>
      <c r="O66" s="2">
        <f>O11*'Output-Calculation-sheet'!O55/10^9</f>
        <v>1.3749132931457289</v>
      </c>
      <c r="P66" s="2">
        <f>P11*'Output-Calculation-sheet'!P55/10^9</f>
        <v>0.83985046942522668</v>
      </c>
      <c r="Q66" s="2">
        <f>Q11*'Output-Calculation-sheet'!Q55/10^9</f>
        <v>0.91380276906573077</v>
      </c>
      <c r="R66" s="2">
        <f>R11*'Output-Calculation-sheet'!R55/10^9</f>
        <v>0.68022379664636701</v>
      </c>
      <c r="S66" s="2">
        <f>S11*'Output-Calculation-sheet'!S55/10^9</f>
        <v>0.66875158229343823</v>
      </c>
      <c r="T66" s="2">
        <f>T11*'Output-Calculation-sheet'!T55/10^9</f>
        <v>0.21319726867197325</v>
      </c>
      <c r="U66" s="2">
        <f>U11*'Output-Calculation-sheet'!U55/10^9</f>
        <v>0.21652837640530262</v>
      </c>
      <c r="V66" s="2">
        <f>V11*'Output-Calculation-sheet'!V55/10^9</f>
        <v>0.20224768646395608</v>
      </c>
      <c r="W66" s="2">
        <f>W11*'Output-Calculation-sheet'!W55/10^9</f>
        <v>9.1577342351438579E-2</v>
      </c>
      <c r="X66" s="2">
        <f>X11*'Output-Calculation-sheet'!X55/10^9</f>
        <v>0.16341830416182768</v>
      </c>
      <c r="Y66" s="2">
        <f>Y11*'Output-Calculation-sheet'!Y55/10^9</f>
        <v>8.9862085489926496E-2</v>
      </c>
      <c r="AA66" s="2">
        <f t="shared" si="4"/>
        <v>38.013754310205535</v>
      </c>
    </row>
    <row r="67" spans="1:27" x14ac:dyDescent="0.25">
      <c r="A67" s="2">
        <v>2035</v>
      </c>
      <c r="B67" s="2">
        <f>B12*'Output-Calculation-sheet'!B56/10^9</f>
        <v>11.5152834643321</v>
      </c>
      <c r="C67" s="2">
        <f>C12*'Output-Calculation-sheet'!C56/10^9</f>
        <v>7.2321894497962953</v>
      </c>
      <c r="D67" s="2">
        <f>D12*'Output-Calculation-sheet'!D56/10^9</f>
        <v>2.3959195508001789</v>
      </c>
      <c r="E67" s="2">
        <f>E12*'Output-Calculation-sheet'!E56/10^9</f>
        <v>3.2528836481155792</v>
      </c>
      <c r="F67" s="2">
        <f>F12*'Output-Calculation-sheet'!F56/10^9</f>
        <v>1.1881280356109334</v>
      </c>
      <c r="G67" s="2">
        <f>G12*'Output-Calculation-sheet'!G56/10^9</f>
        <v>0.83229531087313602</v>
      </c>
      <c r="H67" s="2">
        <f>H12*'Output-Calculation-sheet'!H56/10^9</f>
        <v>2.0104982334631489</v>
      </c>
      <c r="I67" s="2">
        <f>I12*'Output-Calculation-sheet'!I56/10^9</f>
        <v>0.80850369704191138</v>
      </c>
      <c r="J67" s="2">
        <f>J12*'Output-Calculation-sheet'!J56/10^9</f>
        <v>0.80040584558522465</v>
      </c>
      <c r="K67" s="2">
        <f>K12*'Output-Calculation-sheet'!K56/10^9</f>
        <v>0.96449770156984982</v>
      </c>
      <c r="L67" s="2">
        <f>L12*'Output-Calculation-sheet'!L56/10^9</f>
        <v>0.96891061061163553</v>
      </c>
      <c r="M67" s="2">
        <f>M12*'Output-Calculation-sheet'!M56/10^9</f>
        <v>1.4707061981177907</v>
      </c>
      <c r="N67" s="2">
        <f>N12*'Output-Calculation-sheet'!N56/10^9</f>
        <v>1.26321103980342</v>
      </c>
      <c r="O67" s="2">
        <f>O12*'Output-Calculation-sheet'!O56/10^9</f>
        <v>1.4170344210950776</v>
      </c>
      <c r="P67" s="2">
        <f>P12*'Output-Calculation-sheet'!P56/10^9</f>
        <v>0.93418369673789203</v>
      </c>
      <c r="Q67" s="2">
        <f>Q12*'Output-Calculation-sheet'!Q56/10^9</f>
        <v>0.96154689281219596</v>
      </c>
      <c r="R67" s="2">
        <f>R12*'Output-Calculation-sheet'!R56/10^9</f>
        <v>0.73163322737614356</v>
      </c>
      <c r="S67" s="2">
        <f>S12*'Output-Calculation-sheet'!S56/10^9</f>
        <v>0.69716469812624204</v>
      </c>
      <c r="T67" s="2">
        <f>T12*'Output-Calculation-sheet'!T56/10^9</f>
        <v>0.22171472859836749</v>
      </c>
      <c r="U67" s="2">
        <f>U12*'Output-Calculation-sheet'!U56/10^9</f>
        <v>0.23184381219596467</v>
      </c>
      <c r="V67" s="2">
        <f>V12*'Output-Calculation-sheet'!V56/10^9</f>
        <v>0.17784507880751022</v>
      </c>
      <c r="W67" s="2">
        <f>W12*'Output-Calculation-sheet'!W56/10^9</f>
        <v>0.10737724590084244</v>
      </c>
      <c r="X67" s="2">
        <f>X12*'Output-Calculation-sheet'!X56/10^9</f>
        <v>0.16998406806993024</v>
      </c>
      <c r="Y67" s="2">
        <f>Y12*'Output-Calculation-sheet'!Y56/10^9</f>
        <v>0.10376327908980569</v>
      </c>
      <c r="AA67" s="2">
        <f t="shared" si="4"/>
        <v>40.45752393453116</v>
      </c>
    </row>
    <row r="68" spans="1:27" x14ac:dyDescent="0.25">
      <c r="B68" s="2">
        <f>SUM(B60:B67)</f>
        <v>50.625628179111054</v>
      </c>
      <c r="C68" s="2">
        <f t="shared" ref="C68:Y68" si="5">SUM(C60:C67)</f>
        <v>32.056499765221446</v>
      </c>
      <c r="D68" s="2">
        <f t="shared" si="5"/>
        <v>12.836473425225996</v>
      </c>
      <c r="E68" s="2">
        <f t="shared" si="5"/>
        <v>14.522908791214208</v>
      </c>
      <c r="F68" s="2">
        <f t="shared" si="5"/>
        <v>5.8013132358652415</v>
      </c>
      <c r="G68" s="2">
        <f t="shared" si="5"/>
        <v>4.1006144776760935</v>
      </c>
      <c r="H68" s="2">
        <f t="shared" si="5"/>
        <v>9.1365354844365214</v>
      </c>
      <c r="I68" s="2">
        <f t="shared" si="5"/>
        <v>3.9212962618456411</v>
      </c>
      <c r="J68" s="2">
        <f t="shared" si="5"/>
        <v>4.6531989492259767</v>
      </c>
      <c r="K68" s="2">
        <f t="shared" si="5"/>
        <v>4.8071274303589453</v>
      </c>
      <c r="L68" s="2">
        <f t="shared" si="5"/>
        <v>5.6675714775926629</v>
      </c>
      <c r="M68" s="2">
        <f t="shared" si="5"/>
        <v>6.9332913239972296</v>
      </c>
      <c r="N68" s="2">
        <f t="shared" si="5"/>
        <v>5.9275369757444905</v>
      </c>
      <c r="O68" s="2">
        <f t="shared" si="5"/>
        <v>6.3964230689164232</v>
      </c>
      <c r="P68" s="2">
        <f t="shared" si="5"/>
        <v>4.0164847078841994</v>
      </c>
      <c r="Q68" s="2">
        <f t="shared" si="5"/>
        <v>4.3614029650624841</v>
      </c>
      <c r="R68" s="2">
        <f t="shared" si="5"/>
        <v>3.5319304633270763</v>
      </c>
      <c r="S68" s="2">
        <f t="shared" si="5"/>
        <v>3.1135105927462563</v>
      </c>
      <c r="T68" s="2">
        <f t="shared" si="5"/>
        <v>1.1944262934702961</v>
      </c>
      <c r="U68" s="2">
        <f t="shared" si="5"/>
        <v>1.0277941446561234</v>
      </c>
      <c r="V68" s="2">
        <f t="shared" si="5"/>
        <v>1.2716804379839957</v>
      </c>
      <c r="W68" s="2">
        <f t="shared" si="5"/>
        <v>0.52940267778946681</v>
      </c>
      <c r="X68" s="2">
        <f t="shared" si="5"/>
        <v>0.78110826542150658</v>
      </c>
      <c r="Y68" s="2">
        <f t="shared" si="5"/>
        <v>0.43133055547498739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950.52476487851266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1733.4727437723479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1168.9972654145333</v>
      </c>
      <c r="N74" s="2">
        <f>N8/'Output-Calculation-sheet'!N7*'Output-Calculation-sheet'!N61</f>
        <v>52.498499988609943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10.373404257878107</v>
      </c>
      <c r="Y74" s="2">
        <f>Y8/'Output-Calculation-sheet'!Y7*'Output-Calculation-sheet'!Y61</f>
        <v>0</v>
      </c>
      <c r="AA74" s="2">
        <f t="shared" si="6"/>
        <v>3.9158666783118825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173.06478798066294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3116.0978093205185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2112.3266919613106</v>
      </c>
      <c r="N75" s="2">
        <f>N9/'Output-Calculation-sheet'!N8*'Output-Calculation-sheet'!N62</f>
        <v>814.07545692009978</v>
      </c>
      <c r="O75" s="2">
        <f>O9/'Output-Calculation-sheet'!O8*'Output-Calculation-sheet'!O62</f>
        <v>60.455714195537503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273.08841290986197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74.550433264326301</v>
      </c>
      <c r="Y75" s="2">
        <f>Y9/'Output-Calculation-sheet'!Y8*'Output-Calculation-sheet'!Y62</f>
        <v>0</v>
      </c>
      <c r="AA75" s="2">
        <f t="shared" si="6"/>
        <v>6.6880952647415546</v>
      </c>
    </row>
    <row r="76" spans="1:27" x14ac:dyDescent="0.25">
      <c r="A76" s="2">
        <v>2033</v>
      </c>
      <c r="B76" s="2">
        <f>B10/'Output-Calculation-sheet'!B9*'Output-Calculation-sheet'!B63</f>
        <v>7045.9616130988579</v>
      </c>
      <c r="C76" s="2">
        <f>C10/'Output-Calculation-sheet'!C9*'Output-Calculation-sheet'!C63</f>
        <v>1452.3202166776871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4620.1949080780869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3138.8948134885341</v>
      </c>
      <c r="N76" s="2">
        <f>N10/'Output-Calculation-sheet'!N9*'Output-Calculation-sheet'!N63</f>
        <v>1795.2178088623514</v>
      </c>
      <c r="O76" s="2">
        <f>O10/'Output-Calculation-sheet'!O9*'Output-Calculation-sheet'!O63</f>
        <v>297.8950343195238</v>
      </c>
      <c r="P76" s="2">
        <f>P10/'Output-Calculation-sheet'!P9*'Output-Calculation-sheet'!P63</f>
        <v>619.92451753550415</v>
      </c>
      <c r="Q76" s="2">
        <f>Q10/'Output-Calculation-sheet'!Q9*'Output-Calculation-sheet'!Q63</f>
        <v>280.17529391056075</v>
      </c>
      <c r="R76" s="2">
        <f>R10/'Output-Calculation-sheet'!R9*'Output-Calculation-sheet'!R63</f>
        <v>471.75252850857066</v>
      </c>
      <c r="S76" s="2">
        <f>S10/'Output-Calculation-sheet'!S9*'Output-Calculation-sheet'!S63</f>
        <v>800.41717900320191</v>
      </c>
      <c r="T76" s="2">
        <f>T10/'Output-Calculation-sheet'!T9*'Output-Calculation-sheet'!T63</f>
        <v>31.002816771173247</v>
      </c>
      <c r="U76" s="2">
        <f>U10/'Output-Calculation-sheet'!U9*'Output-Calculation-sheet'!U63</f>
        <v>167.60011213092656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180.22304170236939</v>
      </c>
      <c r="Y76" s="2">
        <f>Y10/'Output-Calculation-sheet'!Y9*'Output-Calculation-sheet'!Y63</f>
        <v>7.9496801238216195</v>
      </c>
      <c r="AA76" s="2">
        <f t="shared" si="6"/>
        <v>21.039671293335957</v>
      </c>
    </row>
    <row r="77" spans="1:27" x14ac:dyDescent="0.25">
      <c r="A77" s="2">
        <v>2034</v>
      </c>
      <c r="B77" s="2">
        <f>B11/'Output-Calculation-sheet'!B10*'Output-Calculation-sheet'!B64</f>
        <v>17224.324249587764</v>
      </c>
      <c r="C77" s="2">
        <f>C11/'Output-Calculation-sheet'!C10*'Output-Calculation-sheet'!C64</f>
        <v>2586.789119346834</v>
      </c>
      <c r="D77" s="2">
        <f>D11/'Output-Calculation-sheet'!D10*'Output-Calculation-sheet'!D64</f>
        <v>2213.0840673724756</v>
      </c>
      <c r="E77" s="2">
        <f>E11/'Output-Calculation-sheet'!E10*'Output-Calculation-sheet'!E64</f>
        <v>2729.0070273352894</v>
      </c>
      <c r="F77" s="2">
        <f>F11/'Output-Calculation-sheet'!F10*'Output-Calculation-sheet'!F64</f>
        <v>175.72652268387105</v>
      </c>
      <c r="G77" s="2">
        <f>G11/'Output-Calculation-sheet'!G10*'Output-Calculation-sheet'!G64</f>
        <v>1102.5944224157984</v>
      </c>
      <c r="H77" s="2">
        <f>H11/'Output-Calculation-sheet'!H10*'Output-Calculation-sheet'!H64</f>
        <v>5875.8179523519111</v>
      </c>
      <c r="I77" s="2">
        <f>I11/'Output-Calculation-sheet'!I10*'Output-Calculation-sheet'!I64</f>
        <v>685.6113385922423</v>
      </c>
      <c r="J77" s="2">
        <f>J11/'Output-Calculation-sheet'!J10*'Output-Calculation-sheet'!J64</f>
        <v>481.09569191598877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439.05247695155401</v>
      </c>
      <c r="M77" s="2">
        <f>M11/'Output-Calculation-sheet'!M10*'Output-Calculation-sheet'!M64</f>
        <v>4164.865226339627</v>
      </c>
      <c r="N77" s="2">
        <f>N11/'Output-Calculation-sheet'!N10*'Output-Calculation-sheet'!N64</f>
        <v>2922.2585104765303</v>
      </c>
      <c r="O77" s="2">
        <f>O11/'Output-Calculation-sheet'!O10*'Output-Calculation-sheet'!O64</f>
        <v>139.58276161131928</v>
      </c>
      <c r="P77" s="2">
        <f>P11/'Output-Calculation-sheet'!P10*'Output-Calculation-sheet'!P64</f>
        <v>1283.5143649090246</v>
      </c>
      <c r="Q77" s="2">
        <f>Q11/'Output-Calculation-sheet'!Q10*'Output-Calculation-sheet'!Q64</f>
        <v>915.26120993207849</v>
      </c>
      <c r="R77" s="2">
        <f>R11/'Output-Calculation-sheet'!R10*'Output-Calculation-sheet'!R64</f>
        <v>1106.8519899138118</v>
      </c>
      <c r="S77" s="2">
        <f>S11/'Output-Calculation-sheet'!S10*'Output-Calculation-sheet'!S64</f>
        <v>1370.868896721244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325.57607891426591</v>
      </c>
      <c r="V77" s="2">
        <f>V11/'Output-Calculation-sheet'!V10*'Output-Calculation-sheet'!V64</f>
        <v>157.98829048655222</v>
      </c>
      <c r="W77" s="2">
        <f>W11/'Output-Calculation-sheet'!W10*'Output-Calculation-sheet'!W64</f>
        <v>34.675950119712503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101.2278069227761</v>
      </c>
      <c r="AA77" s="2">
        <f t="shared" si="6"/>
        <v>47.558728281676167</v>
      </c>
    </row>
    <row r="78" spans="1:27" x14ac:dyDescent="0.25">
      <c r="A78" s="2">
        <v>2035</v>
      </c>
      <c r="B78" s="2">
        <f>B12/'Output-Calculation-sheet'!B11*'Output-Calculation-sheet'!B65</f>
        <v>18909.807979342255</v>
      </c>
      <c r="C78" s="2">
        <f>C12/'Output-Calculation-sheet'!C11*'Output-Calculation-sheet'!C65</f>
        <v>6214.2327707551367</v>
      </c>
      <c r="D78" s="2">
        <f>D12/'Output-Calculation-sheet'!D11*'Output-Calculation-sheet'!D65</f>
        <v>2539.2990861275721</v>
      </c>
      <c r="E78" s="2">
        <f>E12/'Output-Calculation-sheet'!E11*'Output-Calculation-sheet'!E65</f>
        <v>4418.9477559574825</v>
      </c>
      <c r="F78" s="2">
        <f>F12/'Output-Calculation-sheet'!F11*'Output-Calculation-sheet'!F65</f>
        <v>570.60039405792452</v>
      </c>
      <c r="G78" s="2">
        <f>G12/'Output-Calculation-sheet'!G11*'Output-Calculation-sheet'!G65</f>
        <v>1112.4933960704375</v>
      </c>
      <c r="H78" s="2">
        <f>H12/'Output-Calculation-sheet'!H11*'Output-Calculation-sheet'!H65</f>
        <v>6019.3229224650349</v>
      </c>
      <c r="I78" s="2">
        <f>I12/'Output-Calculation-sheet'!I11*'Output-Calculation-sheet'!I65</f>
        <v>739.65169307855854</v>
      </c>
      <c r="J78" s="2">
        <f>J12/'Output-Calculation-sheet'!J11*'Output-Calculation-sheet'!J65</f>
        <v>1077.3897394355879</v>
      </c>
      <c r="K78" s="2">
        <f>K12/'Output-Calculation-sheet'!K11*'Output-Calculation-sheet'!K65</f>
        <v>1324.7784276137302</v>
      </c>
      <c r="L78" s="2">
        <f>L12/'Output-Calculation-sheet'!L11*'Output-Calculation-sheet'!L65</f>
        <v>1131.6571528511477</v>
      </c>
      <c r="M78" s="2">
        <f>M12/'Output-Calculation-sheet'!M11*'Output-Calculation-sheet'!M65</f>
        <v>4395.489755264538</v>
      </c>
      <c r="N78" s="2">
        <f>N12/'Output-Calculation-sheet'!N11*'Output-Calculation-sheet'!N65</f>
        <v>3166.5286234612149</v>
      </c>
      <c r="O78" s="2">
        <f>O12/'Output-Calculation-sheet'!O11*'Output-Calculation-sheet'!O65</f>
        <v>14.839052104568209</v>
      </c>
      <c r="P78" s="2">
        <f>P12/'Output-Calculation-sheet'!P11*'Output-Calculation-sheet'!P65</f>
        <v>1529.0264431234234</v>
      </c>
      <c r="Q78" s="2">
        <f>Q12/'Output-Calculation-sheet'!Q11*'Output-Calculation-sheet'!Q65</f>
        <v>1029.0094763873847</v>
      </c>
      <c r="R78" s="2">
        <f>R12/'Output-Calculation-sheet'!R11*'Output-Calculation-sheet'!R65</f>
        <v>1424.2905195161368</v>
      </c>
      <c r="S78" s="2">
        <f>S12/'Output-Calculation-sheet'!S11*'Output-Calculation-sheet'!S65</f>
        <v>1496.779027019883</v>
      </c>
      <c r="T78" s="2">
        <f>T12/'Output-Calculation-sheet'!T11*'Output-Calculation-sheet'!T65</f>
        <v>491.36123467617631</v>
      </c>
      <c r="U78" s="2">
        <f>U12/'Output-Calculation-sheet'!U11*'Output-Calculation-sheet'!U65</f>
        <v>336.17964820506592</v>
      </c>
      <c r="V78" s="2">
        <f>V12/'Output-Calculation-sheet'!V11*'Output-Calculation-sheet'!V65</f>
        <v>277.13240596655521</v>
      </c>
      <c r="W78" s="2">
        <f>W12/'Output-Calculation-sheet'!W11*'Output-Calculation-sheet'!W65</f>
        <v>131.0460247126629</v>
      </c>
      <c r="X78" s="2">
        <f>X12/'Output-Calculation-sheet'!X11*'Output-Calculation-sheet'!X65</f>
        <v>36.125863486474884</v>
      </c>
      <c r="Y78" s="2">
        <f>Y12/'Output-Calculation-sheet'!Y11*'Output-Calculation-sheet'!Y65</f>
        <v>122.63567908161863</v>
      </c>
      <c r="AA78" s="2">
        <f t="shared" si="6"/>
        <v>58.508625070760559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28.823823468428959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2.1735934898629492</v>
      </c>
      <c r="H88" s="2">
        <f>H11/'Output-Calculation-sheet'!H10*'Output-Calculation-sheet'!H73</f>
        <v>14.739437878097137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6.2382764773821613</v>
      </c>
      <c r="R88" s="2">
        <f>R11/'Output-Calculation-sheet'!R10*'Output-Calculation-sheet'!R73</f>
        <v>0</v>
      </c>
      <c r="S88" s="2">
        <f>S11/'Output-Calculation-sheet'!S10*'Output-Calculation-sheet'!S73</f>
        <v>3.265178569999033</v>
      </c>
      <c r="T88" s="2">
        <f>T11/'Output-Calculation-sheet'!T10*'Output-Calculation-sheet'!T73</f>
        <v>0</v>
      </c>
      <c r="U88" s="2">
        <f>U11/'Output-Calculation-sheet'!U10*'Output-Calculation-sheet'!U73</f>
        <v>1.9903852859265627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5.7230695169696796E-2</v>
      </c>
    </row>
    <row r="89" spans="1:27" x14ac:dyDescent="0.25">
      <c r="A89" s="2">
        <v>2035</v>
      </c>
      <c r="B89" s="2">
        <f>B12/'Output-Calculation-sheet'!B11*'Output-Calculation-sheet'!B74</f>
        <v>412.4989859763748</v>
      </c>
      <c r="C89" s="2">
        <f>C12/'Output-Calculation-sheet'!C11*'Output-Calculation-sheet'!C74</f>
        <v>223.75036137102762</v>
      </c>
      <c r="D89" s="2">
        <f>D12/'Output-Calculation-sheet'!D11*'Output-Calculation-sheet'!D74</f>
        <v>37.163284337999784</v>
      </c>
      <c r="E89" s="2">
        <f>E12/'Output-Calculation-sheet'!E11*'Output-Calculation-sheet'!E74</f>
        <v>123.06222070359011</v>
      </c>
      <c r="F89" s="2">
        <f>F12/'Output-Calculation-sheet'!F11*'Output-Calculation-sheet'!F74</f>
        <v>37.150881832015401</v>
      </c>
      <c r="G89" s="2">
        <f>G12/'Output-Calculation-sheet'!G11*'Output-Calculation-sheet'!G74</f>
        <v>26.662620487489967</v>
      </c>
      <c r="H89" s="2">
        <f>H12/'Output-Calculation-sheet'!H11*'Output-Calculation-sheet'!H74</f>
        <v>92.553873001772729</v>
      </c>
      <c r="I89" s="2">
        <f>I12/'Output-Calculation-sheet'!I11*'Output-Calculation-sheet'!I74</f>
        <v>23.981379516371224</v>
      </c>
      <c r="J89" s="2">
        <f>J12/'Output-Calculation-sheet'!J11*'Output-Calculation-sheet'!J74</f>
        <v>11.866810900250812</v>
      </c>
      <c r="K89" s="2">
        <f>K12/'Output-Calculation-sheet'!K11*'Output-Calculation-sheet'!K74</f>
        <v>17.677409086630934</v>
      </c>
      <c r="L89" s="2">
        <f>L12/'Output-Calculation-sheet'!L11*'Output-Calculation-sheet'!L74</f>
        <v>9.3708412810515398</v>
      </c>
      <c r="M89" s="2">
        <f>M12/'Output-Calculation-sheet'!M11*'Output-Calculation-sheet'!M74</f>
        <v>48.875357523065162</v>
      </c>
      <c r="N89" s="2">
        <f>N12/'Output-Calculation-sheet'!N11*'Output-Calculation-sheet'!N74</f>
        <v>24.746101560056424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33.619192887793062</v>
      </c>
      <c r="Q89" s="2">
        <f>Q12/'Output-Calculation-sheet'!Q11*'Output-Calculation-sheet'!Q74</f>
        <v>28.05824837793692</v>
      </c>
      <c r="R89" s="2">
        <f>R12/'Output-Calculation-sheet'!R11*'Output-Calculation-sheet'!R74</f>
        <v>15.177295385574247</v>
      </c>
      <c r="S89" s="2">
        <f>S12/'Output-Calculation-sheet'!S11*'Output-Calculation-sheet'!S74</f>
        <v>21.695194822598488</v>
      </c>
      <c r="T89" s="2">
        <f>T12/'Output-Calculation-sheet'!T11*'Output-Calculation-sheet'!T74</f>
        <v>2.8075137754221822</v>
      </c>
      <c r="U89" s="2">
        <f>U12/'Output-Calculation-sheet'!U11*'Output-Calculation-sheet'!U74</f>
        <v>8.1384257222035092</v>
      </c>
      <c r="V89" s="2">
        <f>V12/'Output-Calculation-sheet'!V11*'Output-Calculation-sheet'!V74</f>
        <v>0.62754371961644195</v>
      </c>
      <c r="W89" s="2">
        <f>W12/'Output-Calculation-sheet'!W11*'Output-Calculation-sheet'!W74</f>
        <v>3.803869598343971</v>
      </c>
      <c r="X89" s="2">
        <f>X12/'Output-Calculation-sheet'!X11*'Output-Calculation-sheet'!X74</f>
        <v>0.48742985207414002</v>
      </c>
      <c r="Y89" s="2">
        <f>Y12/'Output-Calculation-sheet'!Y11*'Output-Calculation-sheet'!Y74</f>
        <v>5.1741704400606219</v>
      </c>
      <c r="AA89" s="2">
        <f t="shared" si="7"/>
        <v>1.2103074021359375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9972597492.3199692</v>
      </c>
      <c r="C96" s="2">
        <f>C8/'Output-Calculation-sheet'!C7*'Output-Calculation-sheet'!C79</f>
        <v>2408219168.6909847</v>
      </c>
      <c r="D96" s="2">
        <f>D8/'Output-Calculation-sheet'!D7*'Output-Calculation-sheet'!D79</f>
        <v>1955106013.4630542</v>
      </c>
      <c r="E96" s="2">
        <f>E8/'Output-Calculation-sheet'!E7*'Output-Calculation-sheet'!E79</f>
        <v>7325081348.9439592</v>
      </c>
      <c r="F96" s="2">
        <f>F8/'Output-Calculation-sheet'!F7*'Output-Calculation-sheet'!F79</f>
        <v>2136837557.8396845</v>
      </c>
      <c r="G96" s="2">
        <f>G8/'Output-Calculation-sheet'!G7*'Output-Calculation-sheet'!G79</f>
        <v>1371545147.0889752</v>
      </c>
      <c r="H96" s="2">
        <f>H8/'Output-Calculation-sheet'!H7*'Output-Calculation-sheet'!H79</f>
        <v>1689698154.5224221</v>
      </c>
      <c r="I96" s="2">
        <f>I8/'Output-Calculation-sheet'!I7*'Output-Calculation-sheet'!I79</f>
        <v>986272057.46710157</v>
      </c>
      <c r="J96" s="2">
        <f>J8/'Output-Calculation-sheet'!J7*'Output-Calculation-sheet'!J79</f>
        <v>747398772.53503513</v>
      </c>
      <c r="K96" s="2">
        <f>K8/'Output-Calculation-sheet'!K7*'Output-Calculation-sheet'!K79</f>
        <v>937336143.98372424</v>
      </c>
      <c r="L96" s="2">
        <f>L8/'Output-Calculation-sheet'!L7*'Output-Calculation-sheet'!L79</f>
        <v>850941348.83471632</v>
      </c>
      <c r="M96" s="2">
        <f>M8/'Output-Calculation-sheet'!M7*'Output-Calculation-sheet'!M79</f>
        <v>1303762158.1513085</v>
      </c>
      <c r="N96" s="2">
        <f>N8/'Output-Calculation-sheet'!N7*'Output-Calculation-sheet'!N79</f>
        <v>847532358.49609923</v>
      </c>
      <c r="O96" s="2">
        <f>O8/'Output-Calculation-sheet'!O7*'Output-Calculation-sheet'!O79</f>
        <v>318011960.80862349</v>
      </c>
      <c r="P96" s="2">
        <f>P8/'Output-Calculation-sheet'!P7*'Output-Calculation-sheet'!P79</f>
        <v>1614141101.9773574</v>
      </c>
      <c r="Q96" s="2">
        <f>Q8/'Output-Calculation-sheet'!Q7*'Output-Calculation-sheet'!Q79</f>
        <v>685311568.17317128</v>
      </c>
      <c r="R96" s="2">
        <f>R8/'Output-Calculation-sheet'!R7*'Output-Calculation-sheet'!R79</f>
        <v>909602209.65606022</v>
      </c>
      <c r="S96" s="2">
        <f>S8/'Output-Calculation-sheet'!S7*'Output-Calculation-sheet'!S79</f>
        <v>512978755.17335588</v>
      </c>
      <c r="T96" s="2">
        <f>T8/'Output-Calculation-sheet'!T7*'Output-Calculation-sheet'!T79</f>
        <v>309469329.72549176</v>
      </c>
      <c r="U96" s="2">
        <f>U8/'Output-Calculation-sheet'!U7*'Output-Calculation-sheet'!U79</f>
        <v>243591181.45549983</v>
      </c>
      <c r="V96" s="2">
        <f>V8/'Output-Calculation-sheet'!V7*'Output-Calculation-sheet'!V79</f>
        <v>111799870.95871182</v>
      </c>
      <c r="W96" s="2">
        <f>W8/'Output-Calculation-sheet'!W7*'Output-Calculation-sheet'!W79</f>
        <v>344221697.36325806</v>
      </c>
      <c r="X96" s="2">
        <f>X8/'Output-Calculation-sheet'!X7*'Output-Calculation-sheet'!X79</f>
        <v>155250764.26738238</v>
      </c>
      <c r="Y96" s="2">
        <f>Y8/'Output-Calculation-sheet'!Y7*'Output-Calculation-sheet'!Y79</f>
        <v>213653613.90317515</v>
      </c>
      <c r="AA96" s="2">
        <f t="shared" si="8"/>
        <v>37.950359775799122</v>
      </c>
    </row>
    <row r="97" spans="1:27" x14ac:dyDescent="0.25">
      <c r="A97" s="2">
        <v>2032</v>
      </c>
      <c r="B97" s="2">
        <f>B9/'Output-Calculation-sheet'!B8*'Output-Calculation-sheet'!B80</f>
        <v>12911141660.230862</v>
      </c>
      <c r="C97" s="2">
        <f>C9/'Output-Calculation-sheet'!C8*'Output-Calculation-sheet'!C80</f>
        <v>3049383270.9967928</v>
      </c>
      <c r="D97" s="2">
        <f>D9/'Output-Calculation-sheet'!D8*'Output-Calculation-sheet'!D80</f>
        <v>2329387487.8894582</v>
      </c>
      <c r="E97" s="2">
        <f>E9/'Output-Calculation-sheet'!E8*'Output-Calculation-sheet'!E80</f>
        <v>9806390640.6081238</v>
      </c>
      <c r="F97" s="2">
        <f>F9/'Output-Calculation-sheet'!F8*'Output-Calculation-sheet'!F80</f>
        <v>2689248907.6081185</v>
      </c>
      <c r="G97" s="2">
        <f>G9/'Output-Calculation-sheet'!G8*'Output-Calculation-sheet'!G80</f>
        <v>1647828411.5865805</v>
      </c>
      <c r="H97" s="2">
        <f>H9/'Output-Calculation-sheet'!H8*'Output-Calculation-sheet'!H80</f>
        <v>2157598690.8659754</v>
      </c>
      <c r="I97" s="2">
        <f>I9/'Output-Calculation-sheet'!I8*'Output-Calculation-sheet'!I80</f>
        <v>1242772198.08357</v>
      </c>
      <c r="J97" s="2">
        <f>J9/'Output-Calculation-sheet'!J8*'Output-Calculation-sheet'!J80</f>
        <v>928693481.45848775</v>
      </c>
      <c r="K97" s="2">
        <f>K9/'Output-Calculation-sheet'!K8*'Output-Calculation-sheet'!K80</f>
        <v>1145394444.5418594</v>
      </c>
      <c r="L97" s="2">
        <f>L9/'Output-Calculation-sheet'!L8*'Output-Calculation-sheet'!L80</f>
        <v>1104812441.9911203</v>
      </c>
      <c r="M97" s="2">
        <f>M9/'Output-Calculation-sheet'!M8*'Output-Calculation-sheet'!M80</f>
        <v>1702199217.2775507</v>
      </c>
      <c r="N97" s="2">
        <f>N9/'Output-Calculation-sheet'!N8*'Output-Calculation-sheet'!N80</f>
        <v>1069500252.2839729</v>
      </c>
      <c r="O97" s="2">
        <f>O9/'Output-Calculation-sheet'!O8*'Output-Calculation-sheet'!O80</f>
        <v>397551923.52370632</v>
      </c>
      <c r="P97" s="2">
        <f>P9/'Output-Calculation-sheet'!P8*'Output-Calculation-sheet'!P80</f>
        <v>2005054425.1044528</v>
      </c>
      <c r="Q97" s="2">
        <f>Q9/'Output-Calculation-sheet'!Q8*'Output-Calculation-sheet'!Q80</f>
        <v>867255586.97440624</v>
      </c>
      <c r="R97" s="2">
        <f>R9/'Output-Calculation-sheet'!R8*'Output-Calculation-sheet'!R80</f>
        <v>1162128986.5895755</v>
      </c>
      <c r="S97" s="2">
        <f>S9/'Output-Calculation-sheet'!S8*'Output-Calculation-sheet'!S80</f>
        <v>646796168.57097995</v>
      </c>
      <c r="T97" s="2">
        <f>T9/'Output-Calculation-sheet'!T8*'Output-Calculation-sheet'!T80</f>
        <v>377142450.97361392</v>
      </c>
      <c r="U97" s="2">
        <f>U9/'Output-Calculation-sheet'!U8*'Output-Calculation-sheet'!U80</f>
        <v>300100931.64486432</v>
      </c>
      <c r="V97" s="2">
        <f>V9/'Output-Calculation-sheet'!V8*'Output-Calculation-sheet'!V80</f>
        <v>138423941.10387641</v>
      </c>
      <c r="W97" s="2">
        <f>W9/'Output-Calculation-sheet'!W8*'Output-Calculation-sheet'!W80</f>
        <v>428351505.49736542</v>
      </c>
      <c r="X97" s="2">
        <f>X9/'Output-Calculation-sheet'!X8*'Output-Calculation-sheet'!X80</f>
        <v>207463618.32267043</v>
      </c>
      <c r="Y97" s="2">
        <f>Y9/'Output-Calculation-sheet'!Y8*'Output-Calculation-sheet'!Y80</f>
        <v>272338844.80763704</v>
      </c>
      <c r="AA97" s="2">
        <f t="shared" si="8"/>
        <v>48.586959488535626</v>
      </c>
    </row>
    <row r="98" spans="1:27" x14ac:dyDescent="0.25">
      <c r="A98" s="2">
        <v>2033</v>
      </c>
      <c r="B98" s="2">
        <f>B10/'Output-Calculation-sheet'!B9*'Output-Calculation-sheet'!B81</f>
        <v>15258026876.408436</v>
      </c>
      <c r="C98" s="2">
        <f>C10/'Output-Calculation-sheet'!C9*'Output-Calculation-sheet'!C81</f>
        <v>3533165904.3599439</v>
      </c>
      <c r="D98" s="2">
        <f>D10/'Output-Calculation-sheet'!D9*'Output-Calculation-sheet'!D81</f>
        <v>2541736717.7338238</v>
      </c>
      <c r="E98" s="2">
        <f>E10/'Output-Calculation-sheet'!E9*'Output-Calculation-sheet'!E81</f>
        <v>11997978567.812172</v>
      </c>
      <c r="F98" s="2">
        <f>F10/'Output-Calculation-sheet'!F9*'Output-Calculation-sheet'!F81</f>
        <v>3091287071.6825538</v>
      </c>
      <c r="G98" s="2">
        <f>G10/'Output-Calculation-sheet'!G9*'Output-Calculation-sheet'!G81</f>
        <v>1805996771.8429027</v>
      </c>
      <c r="H98" s="2">
        <f>H10/'Output-Calculation-sheet'!H9*'Output-Calculation-sheet'!H81</f>
        <v>2514227305.8343019</v>
      </c>
      <c r="I98" s="2">
        <f>I10/'Output-Calculation-sheet'!I9*'Output-Calculation-sheet'!I81</f>
        <v>1432835586.858264</v>
      </c>
      <c r="J98" s="2">
        <f>J10/'Output-Calculation-sheet'!J9*'Output-Calculation-sheet'!J81</f>
        <v>1056990573.5945072</v>
      </c>
      <c r="K98" s="2">
        <f>K10/'Output-Calculation-sheet'!K9*'Output-Calculation-sheet'!K81</f>
        <v>1279963888.7897849</v>
      </c>
      <c r="L98" s="2">
        <f>L10/'Output-Calculation-sheet'!L9*'Output-Calculation-sheet'!L81</f>
        <v>1311837794.1490602</v>
      </c>
      <c r="M98" s="2">
        <f>M10/'Output-Calculation-sheet'!M9*'Output-Calculation-sheet'!M81</f>
        <v>2032884122.1806211</v>
      </c>
      <c r="N98" s="2">
        <f>N10/'Output-Calculation-sheet'!N9*'Output-Calculation-sheet'!N81</f>
        <v>1235412741.9059818</v>
      </c>
      <c r="O98" s="2">
        <f>O10/'Output-Calculation-sheet'!O9*'Output-Calculation-sheet'!O81</f>
        <v>455656691.34701782</v>
      </c>
      <c r="P98" s="2">
        <f>P10/'Output-Calculation-sheet'!P9*'Output-Calculation-sheet'!P81</f>
        <v>2260532455.5507212</v>
      </c>
      <c r="Q98" s="2">
        <f>Q10/'Output-Calculation-sheet'!Q9*'Output-Calculation-sheet'!Q81</f>
        <v>1004427772.6328683</v>
      </c>
      <c r="R98" s="2">
        <f>R10/'Output-Calculation-sheet'!R9*'Output-Calculation-sheet'!R81</f>
        <v>1355754005.7031488</v>
      </c>
      <c r="S98" s="2">
        <f>S10/'Output-Calculation-sheet'!S9*'Output-Calculation-sheet'!S81</f>
        <v>744578417.65138507</v>
      </c>
      <c r="T98" s="2">
        <f>T10/'Output-Calculation-sheet'!T9*'Output-Calculation-sheet'!T81</f>
        <v>419505256.17804068</v>
      </c>
      <c r="U98" s="2">
        <f>U10/'Output-Calculation-sheet'!U9*'Output-Calculation-sheet'!U81</f>
        <v>337085315.93175888</v>
      </c>
      <c r="V98" s="2">
        <f>V10/'Output-Calculation-sheet'!V9*'Output-Calculation-sheet'!V81</f>
        <v>156557946.68523654</v>
      </c>
      <c r="W98" s="2">
        <f>W10/'Output-Calculation-sheet'!W9*'Output-Calculation-sheet'!W81</f>
        <v>484156116.29158825</v>
      </c>
      <c r="X98" s="2">
        <f>X10/'Output-Calculation-sheet'!X9*'Output-Calculation-sheet'!X81</f>
        <v>253811153.91910249</v>
      </c>
      <c r="Y98" s="2">
        <f>Y10/'Output-Calculation-sheet'!Y9*'Output-Calculation-sheet'!Y81</f>
        <v>315989373.43941855</v>
      </c>
      <c r="AA98" s="2">
        <f t="shared" si="8"/>
        <v>56.880398428482636</v>
      </c>
    </row>
    <row r="99" spans="1:27" x14ac:dyDescent="0.25">
      <c r="A99" s="2">
        <v>2034</v>
      </c>
      <c r="B99" s="2">
        <f>B11/'Output-Calculation-sheet'!B10*'Output-Calculation-sheet'!B82</f>
        <v>16895675014.400738</v>
      </c>
      <c r="C99" s="2">
        <f>C11/'Output-Calculation-sheet'!C10*'Output-Calculation-sheet'!C82</f>
        <v>3846017429.7845163</v>
      </c>
      <c r="D99" s="2">
        <f>D11/'Output-Calculation-sheet'!D10*'Output-Calculation-sheet'!D82</f>
        <v>2608853713.3218083</v>
      </c>
      <c r="E99" s="2">
        <f>E11/'Output-Calculation-sheet'!E10*'Output-Calculation-sheet'!E82</f>
        <v>13769096889.354153</v>
      </c>
      <c r="F99" s="2">
        <f>F11/'Output-Calculation-sheet'!F10*'Output-Calculation-sheet'!F82</f>
        <v>3332895095.6249619</v>
      </c>
      <c r="G99" s="2">
        <f>G11/'Output-Calculation-sheet'!G10*'Output-Calculation-sheet'!G82</f>
        <v>1854960551.4815168</v>
      </c>
      <c r="H99" s="2">
        <f>H11/'Output-Calculation-sheet'!H10*'Output-Calculation-sheet'!H82</f>
        <v>2744862347.0185523</v>
      </c>
      <c r="I99" s="2">
        <f>I11/'Output-Calculation-sheet'!I10*'Output-Calculation-sheet'!I82</f>
        <v>1552095790.4380379</v>
      </c>
      <c r="J99" s="2">
        <f>J11/'Output-Calculation-sheet'!J10*'Output-Calculation-sheet'!J82</f>
        <v>1131467019.3335843</v>
      </c>
      <c r="K99" s="2">
        <f>K11/'Output-Calculation-sheet'!K10*'Output-Calculation-sheet'!K82</f>
        <v>1343454292.8654728</v>
      </c>
      <c r="L99" s="2">
        <f>L11/'Output-Calculation-sheet'!L10*'Output-Calculation-sheet'!L82</f>
        <v>1462470227.201437</v>
      </c>
      <c r="M99" s="2">
        <f>M11/'Output-Calculation-sheet'!M10*'Output-Calculation-sheet'!M82</f>
        <v>2279775289.9801641</v>
      </c>
      <c r="N99" s="2">
        <f>N11/'Output-Calculation-sheet'!N10*'Output-Calculation-sheet'!N82</f>
        <v>1341352065.8694081</v>
      </c>
      <c r="O99" s="2">
        <f>O11/'Output-Calculation-sheet'!O10*'Output-Calculation-sheet'!O82</f>
        <v>491602436.12450182</v>
      </c>
      <c r="P99" s="2">
        <f>P11/'Output-Calculation-sheet'!P10*'Output-Calculation-sheet'!P82</f>
        <v>2376235982.8429313</v>
      </c>
      <c r="Q99" s="2">
        <f>Q11/'Output-Calculation-sheet'!Q10*'Output-Calculation-sheet'!Q82</f>
        <v>1093040486.3432221</v>
      </c>
      <c r="R99" s="2">
        <f>R11/'Output-Calculation-sheet'!R10*'Output-Calculation-sheet'!R82</f>
        <v>1482683609.6288178</v>
      </c>
      <c r="S99" s="2">
        <f>S11/'Output-Calculation-sheet'!S10*'Output-Calculation-sheet'!S82</f>
        <v>803488122.3714366</v>
      </c>
      <c r="T99" s="2">
        <f>T11/'Output-Calculation-sheet'!T10*'Output-Calculation-sheet'!T82</f>
        <v>437531077.19188589</v>
      </c>
      <c r="U99" s="2">
        <f>U11/'Output-Calculation-sheet'!U10*'Output-Calculation-sheet'!U82</f>
        <v>354590761.18903756</v>
      </c>
      <c r="V99" s="2">
        <f>V11/'Output-Calculation-sheet'!V10*'Output-Calculation-sheet'!V82</f>
        <v>166097660.30657205</v>
      </c>
      <c r="W99" s="2">
        <f>W11/'Output-Calculation-sheet'!W10*'Output-Calculation-sheet'!W82</f>
        <v>510584021.94681901</v>
      </c>
      <c r="X99" s="2">
        <f>X11/'Output-Calculation-sheet'!X10*'Output-Calculation-sheet'!X82</f>
        <v>291818588.46078396</v>
      </c>
      <c r="Y99" s="2">
        <f>Y11/'Output-Calculation-sheet'!Y10*'Output-Calculation-sheet'!Y82</f>
        <v>342705082.3961516</v>
      </c>
      <c r="AA99" s="2">
        <f t="shared" si="8"/>
        <v>62.513353555476513</v>
      </c>
    </row>
    <row r="100" spans="1:27" x14ac:dyDescent="0.25">
      <c r="A100" s="2">
        <v>2035</v>
      </c>
      <c r="B100" s="2">
        <f>B12/'Output-Calculation-sheet'!B11*'Output-Calculation-sheet'!B83</f>
        <v>17816155310.665752</v>
      </c>
      <c r="C100" s="2">
        <f>C12/'Output-Calculation-sheet'!C11*'Output-Calculation-sheet'!C83</f>
        <v>3998004320.3118482</v>
      </c>
      <c r="D100" s="2">
        <f>D12/'Output-Calculation-sheet'!D11*'Output-Calculation-sheet'!D83</f>
        <v>2561042704.4056635</v>
      </c>
      <c r="E100" s="2">
        <f>E12/'Output-Calculation-sheet'!E11*'Output-Calculation-sheet'!E83</f>
        <v>15060403794.593639</v>
      </c>
      <c r="F100" s="2">
        <f>F12/'Output-Calculation-sheet'!F11*'Output-Calculation-sheet'!F83</f>
        <v>3426422735.4599614</v>
      </c>
      <c r="G100" s="2">
        <f>G12/'Output-Calculation-sheet'!G11*'Output-Calculation-sheet'!G83</f>
        <v>1815895318.1576908</v>
      </c>
      <c r="H100" s="2">
        <f>H12/'Output-Calculation-sheet'!H11*'Output-Calculation-sheet'!H83</f>
        <v>2853509086.776794</v>
      </c>
      <c r="I100" s="2">
        <f>I12/'Output-Calculation-sheet'!I11*'Output-Calculation-sheet'!I83</f>
        <v>1605807561.243927</v>
      </c>
      <c r="J100" s="2">
        <f>J12/'Output-Calculation-sheet'!J11*'Output-Calculation-sheet'!J83</f>
        <v>1157976856.698828</v>
      </c>
      <c r="K100" s="2">
        <f>K12/'Output-Calculation-sheet'!K11*'Output-Calculation-sheet'!K83</f>
        <v>1346618866.5402629</v>
      </c>
      <c r="L100" s="2">
        <f>L12/'Output-Calculation-sheet'!L11*'Output-Calculation-sheet'!L83</f>
        <v>1555815164.2601521</v>
      </c>
      <c r="M100" s="2">
        <f>M12/'Output-Calculation-sheet'!M11*'Output-Calculation-sheet'!M83</f>
        <v>2439878582.5515742</v>
      </c>
      <c r="N100" s="2">
        <f>N12/'Output-Calculation-sheet'!N11*'Output-Calculation-sheet'!N83</f>
        <v>1391519143.7925103</v>
      </c>
      <c r="O100" s="2">
        <f>O12/'Output-Calculation-sheet'!O11*'Output-Calculation-sheet'!O83</f>
        <v>507443283.96213299</v>
      </c>
      <c r="P100" s="2">
        <f>P12/'Output-Calculation-sheet'!P11*'Output-Calculation-sheet'!P83</f>
        <v>2369024838.4760966</v>
      </c>
      <c r="Q100" s="2">
        <f>Q12/'Output-Calculation-sheet'!Q11*'Output-Calculation-sheet'!Q83</f>
        <v>1135947240.7427526</v>
      </c>
      <c r="R100" s="2">
        <f>R12/'Output-Calculation-sheet'!R11*'Output-Calculation-sheet'!R83</f>
        <v>1544972783.7745304</v>
      </c>
      <c r="S100" s="2">
        <f>S12/'Output-Calculation-sheet'!S11*'Output-Calculation-sheet'!S83</f>
        <v>826171626.6462636</v>
      </c>
      <c r="T100" s="2">
        <f>T12/'Output-Calculation-sheet'!T11*'Output-Calculation-sheet'!T83</f>
        <v>435145403.72107661</v>
      </c>
      <c r="U100" s="2">
        <f>U12/'Output-Calculation-sheet'!U11*'Output-Calculation-sheet'!U83</f>
        <v>355234673.34613293</v>
      </c>
      <c r="V100" s="2">
        <f>V12/'Output-Calculation-sheet'!V11*'Output-Calculation-sheet'!V83</f>
        <v>168050089.5620169</v>
      </c>
      <c r="W100" s="2">
        <f>W12/'Output-Calculation-sheet'!W11*'Output-Calculation-sheet'!W83</f>
        <v>510989290.32891035</v>
      </c>
      <c r="X100" s="2">
        <f>X12/'Output-Calculation-sheet'!X11*'Output-Calculation-sheet'!X83</f>
        <v>320446458.30381584</v>
      </c>
      <c r="Y100" s="2">
        <f>Y12/'Output-Calculation-sheet'!Y11*'Output-Calculation-sheet'!Y83</f>
        <v>353229483.63684034</v>
      </c>
      <c r="AA100" s="2">
        <f t="shared" si="8"/>
        <v>65.555704617959179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1651.7807920479684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401.11890014182637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38.382168994335274</v>
      </c>
      <c r="Y107" s="2">
        <f>Y8/'Output-Calculation-sheet'!Y7*'Output-Calculation-sheet'!Y88</f>
        <v>0</v>
      </c>
      <c r="AA107" s="2">
        <f t="shared" si="9"/>
        <v>2.0912818611841297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3264.9161989981912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634.28251550190191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54.19024377706382</v>
      </c>
      <c r="Y108" s="2">
        <f>Y9/'Output-Calculation-sheet'!Y8*'Output-Calculation-sheet'!Y89</f>
        <v>0</v>
      </c>
      <c r="AA108" s="2">
        <f t="shared" si="9"/>
        <v>3.9533889582771566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880.4103443892734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5.4707520777357281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1227.872235349337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7.1194546878270764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4845.5937634413167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175.14979351197431</v>
      </c>
      <c r="Y111" s="2">
        <f>Y12/'Output-Calculation-sheet'!Y11*'Output-Calculation-sheet'!Y92</f>
        <v>0</v>
      </c>
      <c r="AA111" s="2">
        <f t="shared" si="9"/>
        <v>6.5896839799463596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13671205056.994238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8507953622.5967646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5869767345.6173868</v>
      </c>
      <c r="N118" s="2">
        <f>N8/'Output-Calculation-sheet'!N7*'Output-Calculation-sheet'!N97</f>
        <v>1968681468.4385128</v>
      </c>
      <c r="O118" s="2">
        <f>O8/'Output-Calculation-sheet'!O7*'Output-Calculation-sheet'!O97</f>
        <v>1887509263.9764705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589224448.21909773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319611187.41676122</v>
      </c>
      <c r="Y118" s="2">
        <f>Y8/'Output-Calculation-sheet'!Y7*'Output-Calculation-sheet'!Y97</f>
        <v>0</v>
      </c>
      <c r="AA118" s="2">
        <f t="shared" si="10"/>
        <v>34469.710225044604</v>
      </c>
    </row>
    <row r="119" spans="1:27" x14ac:dyDescent="0.25">
      <c r="A119" s="2">
        <v>2032</v>
      </c>
      <c r="B119" s="2">
        <f>B9/'Output-Calculation-sheet'!B8*'Output-Calculation-sheet'!B98</f>
        <v>7680376364.0919638</v>
      </c>
      <c r="C119" s="2">
        <f>C9/'Output-Calculation-sheet'!C8*'Output-Calculation-sheet'!C98</f>
        <v>11331942620.31251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12012101615.927561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8287300455.551383</v>
      </c>
      <c r="N119" s="2">
        <f>N9/'Output-Calculation-sheet'!N8*'Output-Calculation-sheet'!N98</f>
        <v>3899858778.4326959</v>
      </c>
      <c r="O119" s="2">
        <f>O9/'Output-Calculation-sheet'!O8*'Output-Calculation-sheet'!O98</f>
        <v>2185417465.2206368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1168349612.1291106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455785976.68384725</v>
      </c>
      <c r="Y119" s="2">
        <f>Y9/'Output-Calculation-sheet'!Y8*'Output-Calculation-sheet'!Y98</f>
        <v>0</v>
      </c>
      <c r="AA119" s="2">
        <f t="shared" si="10"/>
        <v>47021.132888349704</v>
      </c>
    </row>
    <row r="120" spans="1:27" x14ac:dyDescent="0.25">
      <c r="A120" s="2">
        <v>2033</v>
      </c>
      <c r="B120" s="2">
        <f>B10/'Output-Calculation-sheet'!B9*'Output-Calculation-sheet'!B99</f>
        <v>20965161402.391293</v>
      </c>
      <c r="C120" s="2">
        <f>C10/'Output-Calculation-sheet'!C9*'Output-Calculation-sheet'!C99</f>
        <v>12155182432.881859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6294476852.0805712</v>
      </c>
      <c r="O120" s="2">
        <f>O10/'Output-Calculation-sheet'!O9*'Output-Calculation-sheet'!O99</f>
        <v>2333096305.6653562</v>
      </c>
      <c r="P120" s="2">
        <f>P10/'Output-Calculation-sheet'!P9*'Output-Calculation-sheet'!P99</f>
        <v>0</v>
      </c>
      <c r="Q120" s="2">
        <f>Q10/'Output-Calculation-sheet'!Q9*'Output-Calculation-sheet'!Q99</f>
        <v>202809268.22453046</v>
      </c>
      <c r="R120" s="2">
        <f>R10/'Output-Calculation-sheet'!R9*'Output-Calculation-sheet'!R99</f>
        <v>0</v>
      </c>
      <c r="S120" s="2">
        <f>S10/'Output-Calculation-sheet'!S9*'Output-Calculation-sheet'!S99</f>
        <v>2539030497.0006323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690490298.41485262</v>
      </c>
      <c r="Y120" s="2">
        <f>Y10/'Output-Calculation-sheet'!Y9*'Output-Calculation-sheet'!Y99</f>
        <v>0</v>
      </c>
      <c r="AA120" s="2">
        <f t="shared" si="10"/>
        <v>71479.017841635068</v>
      </c>
    </row>
    <row r="121" spans="1:27" x14ac:dyDescent="0.25">
      <c r="A121" s="2">
        <v>2034</v>
      </c>
      <c r="B121" s="2">
        <f>B11/'Output-Calculation-sheet'!B10*'Output-Calculation-sheet'!B100</f>
        <v>48866123231.319412</v>
      </c>
      <c r="C121" s="2">
        <f>C11/'Output-Calculation-sheet'!C10*'Output-Calculation-sheet'!C100</f>
        <v>12596530885.268412</v>
      </c>
      <c r="D121" s="2">
        <f>D11/'Output-Calculation-sheet'!D10*'Output-Calculation-sheet'!D100</f>
        <v>0</v>
      </c>
      <c r="E121" s="2">
        <f>E11/'Output-Calculation-sheet'!E10*'Output-Calculation-sheet'!E100</f>
        <v>1035464181.6385605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18563048098.903881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868101584.37058175</v>
      </c>
      <c r="M121" s="2">
        <f>M11/'Output-Calculation-sheet'!M10*'Output-Calculation-sheet'!M100</f>
        <v>13102394055.77541</v>
      </c>
      <c r="N121" s="2">
        <f>N11/'Output-Calculation-sheet'!N10*'Output-Calculation-sheet'!N100</f>
        <v>9050064833.0117893</v>
      </c>
      <c r="O121" s="2">
        <f>O11/'Output-Calculation-sheet'!O10*'Output-Calculation-sheet'!O100</f>
        <v>1345164597.7444768</v>
      </c>
      <c r="P121" s="2">
        <f>P11/'Output-Calculation-sheet'!P10*'Output-Calculation-sheet'!P100</f>
        <v>0</v>
      </c>
      <c r="Q121" s="2">
        <f>Q11/'Output-Calculation-sheet'!Q10*'Output-Calculation-sheet'!Q100</f>
        <v>1519600481.9549527</v>
      </c>
      <c r="R121" s="2">
        <f>R11/'Output-Calculation-sheet'!R10*'Output-Calculation-sheet'!R100</f>
        <v>0</v>
      </c>
      <c r="S121" s="2">
        <f>S11/'Output-Calculation-sheet'!S10*'Output-Calculation-sheet'!S100</f>
        <v>4183821867.364696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56652142.957273342</v>
      </c>
      <c r="AA121" s="2">
        <f t="shared" si="10"/>
        <v>111814.66165346479</v>
      </c>
    </row>
    <row r="122" spans="1:27" x14ac:dyDescent="0.25">
      <c r="A122" s="2">
        <v>2035</v>
      </c>
      <c r="B122" s="2">
        <f>B12/'Output-Calculation-sheet'!B11*'Output-Calculation-sheet'!B101</f>
        <v>53898973753.110023</v>
      </c>
      <c r="C122" s="2">
        <f>C12/'Output-Calculation-sheet'!C11*'Output-Calculation-sheet'!C101</f>
        <v>22413898777.993393</v>
      </c>
      <c r="D122" s="2">
        <f>D12/'Output-Calculation-sheet'!D11*'Output-Calculation-sheet'!D101</f>
        <v>0</v>
      </c>
      <c r="E122" s="2">
        <f>E12/'Output-Calculation-sheet'!E11*'Output-Calculation-sheet'!E101</f>
        <v>4390499216.2729921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19432695119.662598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2224422190.772171</v>
      </c>
      <c r="M122" s="2">
        <f>M12/'Output-Calculation-sheet'!M11*'Output-Calculation-sheet'!M101</f>
        <v>13902961272.081589</v>
      </c>
      <c r="N122" s="2">
        <f>N12/'Output-Calculation-sheet'!N11*'Output-Calculation-sheet'!N101</f>
        <v>9873208334.3495083</v>
      </c>
      <c r="O122" s="2">
        <f>O12/'Output-Calculation-sheet'!O11*'Output-Calculation-sheet'!O101</f>
        <v>63653420.773702845</v>
      </c>
      <c r="P122" s="2">
        <f>P12/'Output-Calculation-sheet'!P11*'Output-Calculation-sheet'!P101</f>
        <v>421916701.96188486</v>
      </c>
      <c r="Q122" s="2">
        <f>Q12/'Output-Calculation-sheet'!Q11*'Output-Calculation-sheet'!Q101</f>
        <v>1900466786.6329489</v>
      </c>
      <c r="R122" s="2">
        <f>R12/'Output-Calculation-sheet'!R11*'Output-Calculation-sheet'!R101</f>
        <v>0</v>
      </c>
      <c r="S122" s="2">
        <f>S12/'Output-Calculation-sheet'!S11*'Output-Calculation-sheet'!S101</f>
        <v>4685889222.8848505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170114805.61666581</v>
      </c>
      <c r="Y122" s="2">
        <f>Y12/'Output-Calculation-sheet'!Y11*'Output-Calculation-sheet'!Y101</f>
        <v>100341715.22722508</v>
      </c>
      <c r="AA122" s="2">
        <f t="shared" si="10"/>
        <v>133479.04131733955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3793463769.1144471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2710736678.1192789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178640.99141311334</v>
      </c>
    </row>
    <row r="130" spans="1:27" x14ac:dyDescent="0.25">
      <c r="A130" s="2">
        <v>2032</v>
      </c>
      <c r="B130" s="2">
        <f>B9/'Output-Calculation-sheet'!B8*'Output-Calculation-sheet'!B107</f>
        <v>74034501472.04187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4234810032.5594001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3490484468.0093489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245415.58686922808</v>
      </c>
    </row>
    <row r="131" spans="1:27" x14ac:dyDescent="0.25">
      <c r="A131" s="2">
        <v>2033</v>
      </c>
      <c r="B131" s="2">
        <f>B10/'Output-Calculation-sheet'!B9*'Output-Calculation-sheet'!B108</f>
        <v>84890482923.544785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4243408679.3592939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9236622851.2366505</v>
      </c>
      <c r="R131" s="2">
        <f>R10/'Output-Calculation-sheet'!R9*'Output-Calculation-sheet'!R108</f>
        <v>9080844344.8933525</v>
      </c>
      <c r="S131" s="2">
        <f>S10/'Output-Calculation-sheet'!S9*'Output-Calculation-sheet'!S108</f>
        <v>3496106869.692378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304443.70323043724</v>
      </c>
    </row>
    <row r="132" spans="1:27" x14ac:dyDescent="0.25">
      <c r="A132" s="2">
        <v>2034</v>
      </c>
      <c r="B132" s="2">
        <f>B11/'Output-Calculation-sheet'!B10*'Output-Calculation-sheet'!B109</f>
        <v>79250987331.15155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42012217415.305824</v>
      </c>
      <c r="F132" s="2">
        <f>F11/'Output-Calculation-sheet'!F10*'Output-Calculation-sheet'!F109</f>
        <v>27712701368.518898</v>
      </c>
      <c r="G132" s="2">
        <f>G11/'Output-Calculation-sheet'!G10*'Output-Calculation-sheet'!G109</f>
        <v>19417214918.635372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17266525775.931847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12850538460.251297</v>
      </c>
      <c r="M132" s="2">
        <f>M11/'Output-Calculation-sheet'!M10*'Output-Calculation-sheet'!M109</f>
        <v>7.0842229977519629E-9</v>
      </c>
      <c r="N132" s="2">
        <f>N11/'Output-Calculation-sheet'!N10*'Output-Calculation-sheet'!N109</f>
        <v>3809874208.7775702</v>
      </c>
      <c r="O132" s="2">
        <f>O11/'Output-Calculation-sheet'!O10*'Output-Calculation-sheet'!O109</f>
        <v>0</v>
      </c>
      <c r="P132" s="2">
        <f>P11/'Output-Calculation-sheet'!P10*'Output-Calculation-sheet'!P109</f>
        <v>11707385257.866756</v>
      </c>
      <c r="Q132" s="2">
        <f>Q11/'Output-Calculation-sheet'!Q10*'Output-Calculation-sheet'!Q109</f>
        <v>9633932559.2096825</v>
      </c>
      <c r="R132" s="2">
        <f>R11/'Output-Calculation-sheet'!R10*'Output-Calculation-sheet'!R109</f>
        <v>11081112989.706039</v>
      </c>
      <c r="S132" s="2">
        <f>S11/'Output-Calculation-sheet'!S10*'Output-Calculation-sheet'!S109</f>
        <v>3045929175.6753802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3432804366.0946555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1323492091.0474904</v>
      </c>
      <c r="AA132" s="2">
        <f t="shared" si="11"/>
        <v>340816.09419174585</v>
      </c>
    </row>
    <row r="133" spans="1:27" x14ac:dyDescent="0.25">
      <c r="A133" s="2">
        <v>2035</v>
      </c>
      <c r="B133" s="2">
        <f>B12/'Output-Calculation-sheet'!B11*'Output-Calculation-sheet'!B110</f>
        <v>79959569511.205872</v>
      </c>
      <c r="C133" s="2">
        <f>C12/'Output-Calculation-sheet'!C11*'Output-Calculation-sheet'!C110</f>
        <v>0</v>
      </c>
      <c r="D133" s="2">
        <f>D12/'Output-Calculation-sheet'!D11*'Output-Calculation-sheet'!D110</f>
        <v>56108333876.779526</v>
      </c>
      <c r="E133" s="2">
        <f>E12/'Output-Calculation-sheet'!E11*'Output-Calculation-sheet'!E110</f>
        <v>43528948473.681549</v>
      </c>
      <c r="F133" s="2">
        <f>F12/'Output-Calculation-sheet'!F11*'Output-Calculation-sheet'!F110</f>
        <v>29701501555.611988</v>
      </c>
      <c r="G133" s="2">
        <f>G12/'Output-Calculation-sheet'!G11*'Output-Calculation-sheet'!G110</f>
        <v>20112263424.145546</v>
      </c>
      <c r="H133" s="2">
        <f>H12/'Output-Calculation-sheet'!H11*'Output-Calculation-sheet'!H110</f>
        <v>0</v>
      </c>
      <c r="I133" s="2">
        <f>I12/'Output-Calculation-sheet'!I11*'Output-Calculation-sheet'!I110</f>
        <v>18448069887.282291</v>
      </c>
      <c r="J133" s="2">
        <f>J12/'Output-Calculation-sheet'!J11*'Output-Calculation-sheet'!J110</f>
        <v>18468665897.18008</v>
      </c>
      <c r="K133" s="2">
        <f>K12/'Output-Calculation-sheet'!K11*'Output-Calculation-sheet'!K110</f>
        <v>18122037172.447571</v>
      </c>
      <c r="L133" s="2">
        <f>L12/'Output-Calculation-sheet'!L11*'Output-Calculation-sheet'!L110</f>
        <v>13026497049.588795</v>
      </c>
      <c r="M133" s="2">
        <f>M12/'Output-Calculation-sheet'!M11*'Output-Calculation-sheet'!M110</f>
        <v>0</v>
      </c>
      <c r="N133" s="2">
        <f>N12/'Output-Calculation-sheet'!N11*'Output-Calculation-sheet'!N110</f>
        <v>3785594567.9239821</v>
      </c>
      <c r="O133" s="2">
        <f>O12/'Output-Calculation-sheet'!O11*'Output-Calculation-sheet'!O110</f>
        <v>0</v>
      </c>
      <c r="P133" s="2">
        <f>P12/'Output-Calculation-sheet'!P11*'Output-Calculation-sheet'!P110</f>
        <v>12200219521.035362</v>
      </c>
      <c r="Q133" s="2">
        <f>Q12/'Output-Calculation-sheet'!Q11*'Output-Calculation-sheet'!Q110</f>
        <v>9745499467.3572083</v>
      </c>
      <c r="R133" s="2">
        <f>R12/'Output-Calculation-sheet'!R11*'Output-Calculation-sheet'!R110</f>
        <v>12062961169.115183</v>
      </c>
      <c r="S133" s="2">
        <f>S12/'Output-Calculation-sheet'!S11*'Output-Calculation-sheet'!S110</f>
        <v>2907485706.3033867</v>
      </c>
      <c r="T133" s="2">
        <f>T12/'Output-Calculation-sheet'!T11*'Output-Calculation-sheet'!T110</f>
        <v>4508443656.6668987</v>
      </c>
      <c r="U133" s="2">
        <f>U12/'Output-Calculation-sheet'!U11*'Output-Calculation-sheet'!U110</f>
        <v>3562096160.555243</v>
      </c>
      <c r="V133" s="2">
        <f>V12/'Output-Calculation-sheet'!V11*'Output-Calculation-sheet'!V110</f>
        <v>3102020146.0481091</v>
      </c>
      <c r="W133" s="2">
        <f>W12/'Output-Calculation-sheet'!W11*'Output-Calculation-sheet'!W110</f>
        <v>2612267506.0319395</v>
      </c>
      <c r="X133" s="2">
        <f>X12/'Output-Calculation-sheet'!X11*'Output-Calculation-sheet'!X110</f>
        <v>1219192.5224245745</v>
      </c>
      <c r="Y133" s="2">
        <f>Y12/'Output-Calculation-sheet'!Y11*'Output-Calculation-sheet'!Y110</f>
        <v>1375917284.9374442</v>
      </c>
      <c r="AA133" s="2">
        <f t="shared" si="11"/>
        <v>353339.61122642027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13602758049.692587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3411988211.5809455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316207262.26714993</v>
      </c>
      <c r="Y140" s="2">
        <f>Y8/'Output-Calculation-sheet'!Y7*'Output-Calculation-sheet'!Y115</f>
        <v>0</v>
      </c>
      <c r="AA140" s="2">
        <f t="shared" si="12"/>
        <v>17330.953523540684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27176132689.526196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5296676760.0865278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441845853.16842747</v>
      </c>
      <c r="Y141" s="2">
        <f>Y9/'Output-Calculation-sheet'!Y8*'Output-Calculation-sheet'!Y116</f>
        <v>0</v>
      </c>
      <c r="AA141" s="2">
        <f t="shared" si="12"/>
        <v>32914.655302781153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37731107372.549301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7359794720.4390221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472337328.3281641</v>
      </c>
      <c r="Y142" s="2">
        <f>Y10/'Output-Calculation-sheet'!Y9*'Output-Calculation-sheet'!Y117</f>
        <v>0</v>
      </c>
      <c r="AA142" s="2">
        <f t="shared" si="12"/>
        <v>45563.239421316488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48280304974.69297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10483533279.430971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59555.21594529532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39827844011.994629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13731149239.639078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1476047101.3205953</v>
      </c>
      <c r="Y144" s="2">
        <f>Y12/'Output-Calculation-sheet'!Y11*'Output-Calculation-sheet'!Y119</f>
        <v>0</v>
      </c>
      <c r="AA144" s="2">
        <f t="shared" si="12"/>
        <v>55035.040352954296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19712670517.705502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2842203888.9057317</v>
      </c>
      <c r="H154" s="2">
        <f>H11/'Output-Calculation-sheet'!H10*'Output-Calculation-sheet'!H127</f>
        <v>3235249762.1247916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2059971219.3234549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1208396876.2566621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640084819.48466587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76024.859595715301</v>
      </c>
    </row>
    <row r="155" spans="1:27" x14ac:dyDescent="0.25">
      <c r="A155" s="2">
        <v>2035</v>
      </c>
      <c r="B155" s="2">
        <f>B12/'Output-Calculation-sheet'!B11*'Output-Calculation-sheet'!B128</f>
        <v>19969841980.661686</v>
      </c>
      <c r="C155" s="2">
        <f>C12/'Output-Calculation-sheet'!C11*'Output-Calculation-sheet'!C128</f>
        <v>9539743493.2284126</v>
      </c>
      <c r="D155" s="2">
        <f>D12/'Output-Calculation-sheet'!D11*'Output-Calculation-sheet'!D128</f>
        <v>7664388527.0895548</v>
      </c>
      <c r="E155" s="2">
        <f>E12/'Output-Calculation-sheet'!E11*'Output-Calculation-sheet'!E128</f>
        <v>3768882404.5661898</v>
      </c>
      <c r="F155" s="2">
        <f>F12/'Output-Calculation-sheet'!F11*'Output-Calculation-sheet'!F128</f>
        <v>3077573787.9225631</v>
      </c>
      <c r="G155" s="2">
        <f>G12/'Output-Calculation-sheet'!G11*'Output-Calculation-sheet'!G128</f>
        <v>2925613802.0008926</v>
      </c>
      <c r="H155" s="2">
        <f>H12/'Output-Calculation-sheet'!H11*'Output-Calculation-sheet'!H128</f>
        <v>3276794539.0799713</v>
      </c>
      <c r="I155" s="2">
        <f>I12/'Output-Calculation-sheet'!I11*'Output-Calculation-sheet'!I128</f>
        <v>2518132780.943872</v>
      </c>
      <c r="J155" s="2">
        <f>J12/'Output-Calculation-sheet'!J11*'Output-Calculation-sheet'!J128</f>
        <v>1833165367.63276</v>
      </c>
      <c r="K155" s="2">
        <f>K12/'Output-Calculation-sheet'!K11*'Output-Calculation-sheet'!K128</f>
        <v>2026088385.8379438</v>
      </c>
      <c r="L155" s="2">
        <f>L12/'Output-Calculation-sheet'!L11*'Output-Calculation-sheet'!L128</f>
        <v>882069168.38960445</v>
      </c>
      <c r="M155" s="2">
        <f>M12/'Output-Calculation-sheet'!M11*'Output-Calculation-sheet'!M128</f>
        <v>1749973289.6847076</v>
      </c>
      <c r="N155" s="2">
        <f>N12/'Output-Calculation-sheet'!N11*'Output-Calculation-sheet'!N128</f>
        <v>1542131923.9786949</v>
      </c>
      <c r="O155" s="2">
        <f>O12/'Output-Calculation-sheet'!O11*'Output-Calculation-sheet'!O128</f>
        <v>25273497.542155046</v>
      </c>
      <c r="P155" s="2">
        <f>P12/'Output-Calculation-sheet'!P11*'Output-Calculation-sheet'!P128</f>
        <v>1343593464.3425376</v>
      </c>
      <c r="Q155" s="2">
        <f>Q12/'Output-Calculation-sheet'!Q11*'Output-Calculation-sheet'!Q128</f>
        <v>2022962722.1763899</v>
      </c>
      <c r="R155" s="2">
        <f>R12/'Output-Calculation-sheet'!R11*'Output-Calculation-sheet'!R128</f>
        <v>1035708628.8310487</v>
      </c>
      <c r="S155" s="2">
        <f>S12/'Output-Calculation-sheet'!S11*'Output-Calculation-sheet'!S128</f>
        <v>1147231054.6215968</v>
      </c>
      <c r="T155" s="2">
        <f>T12/'Output-Calculation-sheet'!T11*'Output-Calculation-sheet'!T128</f>
        <v>282160468.70610261</v>
      </c>
      <c r="U155" s="2">
        <f>U12/'Output-Calculation-sheet'!U11*'Output-Calculation-sheet'!U128</f>
        <v>653922913.70033813</v>
      </c>
      <c r="V155" s="2">
        <f>V12/'Output-Calculation-sheet'!V11*'Output-Calculation-sheet'!V128</f>
        <v>97565947.833997175</v>
      </c>
      <c r="W155" s="2">
        <f>W12/'Output-Calculation-sheet'!W11*'Output-Calculation-sheet'!W128</f>
        <v>196702797.42637041</v>
      </c>
      <c r="X155" s="2">
        <f>X12/'Output-Calculation-sheet'!X11*'Output-Calculation-sheet'!X128</f>
        <v>13908947.309294166</v>
      </c>
      <c r="Y155" s="2">
        <f>Y12/'Output-Calculation-sheet'!Y11*'Output-Calculation-sheet'!Y128</f>
        <v>186845879.89842185</v>
      </c>
      <c r="AA155" s="2">
        <f t="shared" si="13"/>
        <v>67780.275773405097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8877.6994002549982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5594.2364901084093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3883.1780111572243</v>
      </c>
      <c r="N19" s="2">
        <f>N8/'Output-Calculation-sheet'!N7*'Output-Calculation-sheet'!N25</f>
        <v>1326.5975797189451</v>
      </c>
      <c r="O19" s="2">
        <f>O8/'Output-Calculation-sheet'!O7*'Output-Calculation-sheet'!O25</f>
        <v>1145.843070772572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205.00681860506458</v>
      </c>
      <c r="Y19" s="2">
        <f>Y8/'Output-Calculation-sheet'!Y7*'Output-Calculation-sheet'!Y25</f>
        <v>0</v>
      </c>
      <c r="AA19" s="2">
        <f t="shared" si="0"/>
        <v>22.751896756175896</v>
      </c>
    </row>
    <row r="20" spans="1:27" x14ac:dyDescent="0.25">
      <c r="A20" s="2">
        <v>2032</v>
      </c>
      <c r="B20" s="2">
        <f>B9/'Output-Calculation-sheet'!B8*'Output-Calculation-sheet'!B26</f>
        <v>6641.6768878536195</v>
      </c>
      <c r="C20" s="2">
        <f>C9/'Output-Calculation-sheet'!C8*'Output-Calculation-sheet'!C26</f>
        <v>6410.8016796251468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7223.4262516864155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5021.0631326784151</v>
      </c>
      <c r="N20" s="2">
        <f>N9/'Output-Calculation-sheet'!N8*'Output-Calculation-sheet'!N26</f>
        <v>2260.8075933564519</v>
      </c>
      <c r="O20" s="2">
        <f>O9/'Output-Calculation-sheet'!O8*'Output-Calculation-sheet'!O26</f>
        <v>1233.3707271538819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821.85394430393762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268.27926487714808</v>
      </c>
      <c r="Y20" s="2">
        <f>Y9/'Output-Calculation-sheet'!Y8*'Output-Calculation-sheet'!Y26</f>
        <v>0</v>
      </c>
      <c r="AA20" s="2">
        <f t="shared" si="0"/>
        <v>29.88127948153501</v>
      </c>
    </row>
    <row r="21" spans="1:27" x14ac:dyDescent="0.25">
      <c r="A21" s="2">
        <v>2033</v>
      </c>
      <c r="B21" s="2">
        <f>B10/'Output-Calculation-sheet'!B9*'Output-Calculation-sheet'!B27</f>
        <v>13919.752901061025</v>
      </c>
      <c r="C21" s="2">
        <f>C10/'Output-Calculation-sheet'!C9*'Output-Calculation-sheet'!C27</f>
        <v>5783.8964931121882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8086.9610616758582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5619.2884843269549</v>
      </c>
      <c r="N21" s="2">
        <f>N10/'Output-Calculation-sheet'!N9*'Output-Calculation-sheet'!N27</f>
        <v>3069.009849291886</v>
      </c>
      <c r="O21" s="2">
        <f>O10/'Output-Calculation-sheet'!O9*'Output-Calculation-sheet'!O27</f>
        <v>1112.3092341685619</v>
      </c>
      <c r="P21" s="2">
        <f>P10/'Output-Calculation-sheet'!P9*'Output-Calculation-sheet'!P27</f>
        <v>0</v>
      </c>
      <c r="Q21" s="2">
        <f>Q10/'Output-Calculation-sheet'!Q9*'Output-Calculation-sheet'!Q27</f>
        <v>205.69051196364038</v>
      </c>
      <c r="R21" s="2">
        <f>R10/'Output-Calculation-sheet'!R9*'Output-Calculation-sheet'!R27</f>
        <v>0</v>
      </c>
      <c r="S21" s="2">
        <f>S10/'Output-Calculation-sheet'!S9*'Output-Calculation-sheet'!S27</f>
        <v>1335.9931729401926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356.08292536855765</v>
      </c>
      <c r="Y21" s="2">
        <f>Y10/'Output-Calculation-sheet'!Y9*'Output-Calculation-sheet'!Y27</f>
        <v>0</v>
      </c>
      <c r="AA21" s="2">
        <f t="shared" si="0"/>
        <v>39.488984633908871</v>
      </c>
    </row>
    <row r="22" spans="1:27" x14ac:dyDescent="0.25">
      <c r="A22" s="2">
        <v>2034</v>
      </c>
      <c r="B22" s="2">
        <f>B11/'Output-Calculation-sheet'!B10*'Output-Calculation-sheet'!B28</f>
        <v>21893.970875102914</v>
      </c>
      <c r="C22" s="2">
        <f>C11/'Output-Calculation-sheet'!C10*'Output-Calculation-sheet'!C28</f>
        <v>4766.1934856201015</v>
      </c>
      <c r="D22" s="2">
        <f>D11/'Output-Calculation-sheet'!D10*'Output-Calculation-sheet'!D28</f>
        <v>0</v>
      </c>
      <c r="E22" s="2">
        <f>E11/'Output-Calculation-sheet'!E10*'Output-Calculation-sheet'!E28</f>
        <v>1124.9076955251678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8361.8423733307645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682.21477860608138</v>
      </c>
      <c r="M22" s="2">
        <f>M11/'Output-Calculation-sheet'!M10*'Output-Calculation-sheet'!M28</f>
        <v>6204.0202219968942</v>
      </c>
      <c r="N22" s="2">
        <f>N11/'Output-Calculation-sheet'!N10*'Output-Calculation-sheet'!N28</f>
        <v>3572.461072957969</v>
      </c>
      <c r="O22" s="2">
        <f>O11/'Output-Calculation-sheet'!O10*'Output-Calculation-sheet'!O28</f>
        <v>506.95382911327658</v>
      </c>
      <c r="P22" s="2">
        <f>P11/'Output-Calculation-sheet'!P10*'Output-Calculation-sheet'!P28</f>
        <v>0</v>
      </c>
      <c r="Q22" s="2">
        <f>Q11/'Output-Calculation-sheet'!Q10*'Output-Calculation-sheet'!Q28</f>
        <v>1031.0667791033518</v>
      </c>
      <c r="R22" s="2">
        <f>R11/'Output-Calculation-sheet'!R10*'Output-Calculation-sheet'!R28</f>
        <v>0</v>
      </c>
      <c r="S22" s="2">
        <f>S11/'Output-Calculation-sheet'!S10*'Output-Calculation-sheet'!S28</f>
        <v>1704.1121492255797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62.098922729730944</v>
      </c>
      <c r="AA22" s="2">
        <f t="shared" si="0"/>
        <v>50.163882579435402</v>
      </c>
    </row>
    <row r="23" spans="1:27" x14ac:dyDescent="0.25">
      <c r="A23" s="2">
        <v>2035</v>
      </c>
      <c r="B23" s="2">
        <f>B12/'Output-Calculation-sheet'!B11*'Output-Calculation-sheet'!B29</f>
        <v>17366.853287635171</v>
      </c>
      <c r="C23" s="2">
        <f>C12/'Output-Calculation-sheet'!C11*'Output-Calculation-sheet'!C29</f>
        <v>6530.7161517370041</v>
      </c>
      <c r="D23" s="2">
        <f>D12/'Output-Calculation-sheet'!D11*'Output-Calculation-sheet'!D29</f>
        <v>0</v>
      </c>
      <c r="E23" s="2">
        <f>E12/'Output-Calculation-sheet'!E11*'Output-Calculation-sheet'!E29</f>
        <v>2946.8490697809239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6337.6626129950273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1059.2507831599889</v>
      </c>
      <c r="M23" s="2">
        <f>M12/'Output-Calculation-sheet'!M11*'Output-Calculation-sheet'!M29</f>
        <v>4870.3053665125299</v>
      </c>
      <c r="N23" s="2">
        <f>N12/'Output-Calculation-sheet'!N11*'Output-Calculation-sheet'!N29</f>
        <v>2897.5617454745652</v>
      </c>
      <c r="O23" s="2">
        <f>O12/'Output-Calculation-sheet'!O11*'Output-Calculation-sheet'!O29</f>
        <v>17.746307434601061</v>
      </c>
      <c r="P23" s="2">
        <f>P12/'Output-Calculation-sheet'!P11*'Output-Calculation-sheet'!P29</f>
        <v>328.45542943867019</v>
      </c>
      <c r="Q23" s="2">
        <f>Q12/'Output-Calculation-sheet'!Q11*'Output-Calculation-sheet'!Q29</f>
        <v>895.3710893783043</v>
      </c>
      <c r="R23" s="2">
        <f>R12/'Output-Calculation-sheet'!R11*'Output-Calculation-sheet'!R29</f>
        <v>0</v>
      </c>
      <c r="S23" s="2">
        <f>S12/'Output-Calculation-sheet'!S11*'Output-Calculation-sheet'!S29</f>
        <v>1384.2990614304915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47.427149632674933</v>
      </c>
      <c r="Y23" s="2">
        <f>Y12/'Output-Calculation-sheet'!Y11*'Output-Calculation-sheet'!Y29</f>
        <v>69.572353794528311</v>
      </c>
      <c r="AA23" s="2">
        <f t="shared" si="0"/>
        <v>44.752070408404485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1808.102967833074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46.470943027651252</v>
      </c>
    </row>
    <row r="31" spans="1:27" x14ac:dyDescent="0.25">
      <c r="A31" s="2">
        <v>2032</v>
      </c>
      <c r="B31" s="2">
        <f>B9/'Output-Calculation-sheet'!B8*'Output-Calculation-sheet'!B17</f>
        <v>28122.776141232131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1926.2991808846011</v>
      </c>
      <c r="O31" s="2">
        <f>O9/'Output-Calculation-sheet'!O8*'Output-Calculation-sheet'!O17</f>
        <v>0</v>
      </c>
      <c r="P31" s="2">
        <f>P9/'Output-Calculation-sheet'!P8*'Output-Calculation-sheet'!P17</f>
        <v>2384.6265700940307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1432.6764752317265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61.242938551383318</v>
      </c>
    </row>
    <row r="32" spans="1:27" x14ac:dyDescent="0.25">
      <c r="A32" s="2">
        <v>2033</v>
      </c>
      <c r="B32" s="2">
        <f>B10/'Output-Calculation-sheet'!B9*'Output-Calculation-sheet'!B18</f>
        <v>28424.150985104567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2705.1623612041785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1733.200330568407</v>
      </c>
      <c r="O32" s="2">
        <f>O10/'Output-Calculation-sheet'!O9*'Output-Calculation-sheet'!O18</f>
        <v>0</v>
      </c>
      <c r="P32" s="2">
        <f>P10/'Output-Calculation-sheet'!P9*'Output-Calculation-sheet'!P18</f>
        <v>2784.1523826323846</v>
      </c>
      <c r="Q32" s="2">
        <f>Q10/'Output-Calculation-sheet'!Q9*'Output-Calculation-sheet'!Q18</f>
        <v>3035.2297015300474</v>
      </c>
      <c r="R32" s="2">
        <f>R10/'Output-Calculation-sheet'!R9*'Output-Calculation-sheet'!R18</f>
        <v>1999.2366587191643</v>
      </c>
      <c r="S32" s="2">
        <f>S10/'Output-Calculation-sheet'!S9*'Output-Calculation-sheet'!S18</f>
        <v>1309.2874996952587</v>
      </c>
      <c r="T32" s="2">
        <f>T10/'Output-Calculation-sheet'!T9*'Output-Calculation-sheet'!T18</f>
        <v>583.72154941039014</v>
      </c>
      <c r="U32" s="2">
        <f>U10/'Output-Calculation-sheet'!U9*'Output-Calculation-sheet'!U18</f>
        <v>645.29075933839692</v>
      </c>
      <c r="V32" s="2">
        <f>V10/'Output-Calculation-sheet'!V9*'Output-Calculation-sheet'!V18</f>
        <v>476.31668124596388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275.7906105346982</v>
      </c>
      <c r="AA32" s="2">
        <f t="shared" si="1"/>
        <v>68.240374890534255</v>
      </c>
    </row>
    <row r="33" spans="1:27" x14ac:dyDescent="0.25">
      <c r="A33" s="2">
        <v>2034</v>
      </c>
      <c r="B33" s="2">
        <f>B11/'Output-Calculation-sheet'!B10*'Output-Calculation-sheet'!B19</f>
        <v>22307.852816908318</v>
      </c>
      <c r="C33" s="2">
        <f>C11/'Output-Calculation-sheet'!C10*'Output-Calculation-sheet'!C19</f>
        <v>0</v>
      </c>
      <c r="D33" s="2">
        <f>D11/'Output-Calculation-sheet'!D10*'Output-Calculation-sheet'!D19</f>
        <v>6750.7337358000013</v>
      </c>
      <c r="E33" s="2">
        <f>E11/'Output-Calculation-sheet'!E10*'Output-Calculation-sheet'!E19</f>
        <v>8369.835380348306</v>
      </c>
      <c r="F33" s="2">
        <f>F11/'Output-Calculation-sheet'!F10*'Output-Calculation-sheet'!F19</f>
        <v>3832.2231361248596</v>
      </c>
      <c r="G33" s="2">
        <f>G11/'Output-Calculation-sheet'!G10*'Output-Calculation-sheet'!G19</f>
        <v>2283.0268683751342</v>
      </c>
      <c r="H33" s="2">
        <f>H11/'Output-Calculation-sheet'!H10*'Output-Calculation-sheet'!H19</f>
        <v>0</v>
      </c>
      <c r="I33" s="2">
        <f>I11/'Output-Calculation-sheet'!I10*'Output-Calculation-sheet'!I19</f>
        <v>2507.7765991999577</v>
      </c>
      <c r="J33" s="2">
        <f>J11/'Output-Calculation-sheet'!J10*'Output-Calculation-sheet'!J19</f>
        <v>2120.3974139564712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2392.2762454452604</v>
      </c>
      <c r="M33" s="2">
        <f>M11/'Output-Calculation-sheet'!M10*'Output-Calculation-sheet'!M19</f>
        <v>0</v>
      </c>
      <c r="N33" s="2">
        <f>N11/'Output-Calculation-sheet'!N10*'Output-Calculation-sheet'!N19</f>
        <v>1351.0419880443221</v>
      </c>
      <c r="O33" s="2">
        <f>O11/'Output-Calculation-sheet'!O10*'Output-Calculation-sheet'!O19</f>
        <v>0</v>
      </c>
      <c r="P33" s="2">
        <f>P11/'Output-Calculation-sheet'!P10*'Output-Calculation-sheet'!P19</f>
        <v>2976.8825593381753</v>
      </c>
      <c r="Q33" s="2">
        <f>Q11/'Output-Calculation-sheet'!Q10*'Output-Calculation-sheet'!Q19</f>
        <v>2423.7296836500582</v>
      </c>
      <c r="R33" s="2">
        <f>R11/'Output-Calculation-sheet'!R10*'Output-Calculation-sheet'!R19</f>
        <v>2124.8076272044445</v>
      </c>
      <c r="S33" s="2">
        <f>S11/'Output-Calculation-sheet'!S10*'Output-Calculation-sheet'!S19</f>
        <v>986.1412079571835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666.94903813902101</v>
      </c>
      <c r="V33" s="2">
        <f>V11/'Output-Calculation-sheet'!V10*'Output-Calculation-sheet'!V19</f>
        <v>488.96062811944057</v>
      </c>
      <c r="W33" s="2">
        <f>W11/'Output-Calculation-sheet'!W10*'Output-Calculation-sheet'!W19</f>
        <v>304.42140358759582</v>
      </c>
      <c r="X33" s="2">
        <f>X11/'Output-Calculation-sheet'!X10*'Output-Calculation-sheet'!X19</f>
        <v>0</v>
      </c>
      <c r="Y33" s="2">
        <f>Y11/'Output-Calculation-sheet'!Y10*'Output-Calculation-sheet'!Y19</f>
        <v>274.41444975546216</v>
      </c>
      <c r="AA33" s="2">
        <f t="shared" si="1"/>
        <v>65.726320000394367</v>
      </c>
    </row>
    <row r="34" spans="1:27" x14ac:dyDescent="0.25">
      <c r="A34" s="2">
        <v>2035</v>
      </c>
      <c r="B34" s="2">
        <f>B12/'Output-Calculation-sheet'!B11*'Output-Calculation-sheet'!B20</f>
        <v>16065.97737437644</v>
      </c>
      <c r="C34" s="2">
        <f>C12/'Output-Calculation-sheet'!C11*'Output-Calculation-sheet'!C20</f>
        <v>0</v>
      </c>
      <c r="D34" s="2">
        <f>D12/'Output-Calculation-sheet'!D11*'Output-Calculation-sheet'!D20</f>
        <v>5123.6645543088016</v>
      </c>
      <c r="E34" s="2">
        <f>E12/'Output-Calculation-sheet'!E11*'Output-Calculation-sheet'!E20</f>
        <v>5678.1886259830117</v>
      </c>
      <c r="F34" s="2">
        <f>F12/'Output-Calculation-sheet'!F11*'Output-Calculation-sheet'!F20</f>
        <v>3189.3537391783252</v>
      </c>
      <c r="G34" s="2">
        <f>G12/'Output-Calculation-sheet'!G11*'Output-Calculation-sheet'!G20</f>
        <v>1718.7889960457157</v>
      </c>
      <c r="H34" s="2">
        <f>H12/'Output-Calculation-sheet'!H11*'Output-Calculation-sheet'!H20</f>
        <v>0</v>
      </c>
      <c r="I34" s="2">
        <f>I12/'Output-Calculation-sheet'!I11*'Output-Calculation-sheet'!I20</f>
        <v>1908.0612015391482</v>
      </c>
      <c r="J34" s="2">
        <f>J12/'Output-Calculation-sheet'!J11*'Output-Calculation-sheet'!J20</f>
        <v>1765.012339785977</v>
      </c>
      <c r="K34" s="2">
        <f>K12/'Output-Calculation-sheet'!K11*'Output-Calculation-sheet'!K20</f>
        <v>2349.5214267755414</v>
      </c>
      <c r="L34" s="2">
        <f>L12/'Output-Calculation-sheet'!L11*'Output-Calculation-sheet'!L20</f>
        <v>1879.7792689330192</v>
      </c>
      <c r="M34" s="2">
        <f>M12/'Output-Calculation-sheet'!M11*'Output-Calculation-sheet'!M20</f>
        <v>0</v>
      </c>
      <c r="N34" s="2">
        <f>N12/'Output-Calculation-sheet'!N11*'Output-Calculation-sheet'!N20</f>
        <v>1004.8418939555831</v>
      </c>
      <c r="O34" s="2">
        <f>O12/'Output-Calculation-sheet'!O11*'Output-Calculation-sheet'!O20</f>
        <v>0</v>
      </c>
      <c r="P34" s="2">
        <f>P12/'Output-Calculation-sheet'!P11*'Output-Calculation-sheet'!P20</f>
        <v>2155.6943795434395</v>
      </c>
      <c r="Q34" s="2">
        <f>Q12/'Output-Calculation-sheet'!Q11*'Output-Calculation-sheet'!Q20</f>
        <v>1763.6538305039267</v>
      </c>
      <c r="R34" s="2">
        <f>R12/'Output-Calculation-sheet'!R11*'Output-Calculation-sheet'!R20</f>
        <v>1803.7131987505254</v>
      </c>
      <c r="S34" s="2">
        <f>S12/'Output-Calculation-sheet'!S11*'Output-Calculation-sheet'!S20</f>
        <v>695.82726507485484</v>
      </c>
      <c r="T34" s="2">
        <f>T12/'Output-Calculation-sheet'!T11*'Output-Calculation-sheet'!T20</f>
        <v>547.24631091810011</v>
      </c>
      <c r="U34" s="2">
        <f>U12/'Output-Calculation-sheet'!U11*'Output-Calculation-sheet'!U20</f>
        <v>503.67872583930301</v>
      </c>
      <c r="V34" s="2">
        <f>V12/'Output-Calculation-sheet'!V11*'Output-Calculation-sheet'!V20</f>
        <v>495.67404920326595</v>
      </c>
      <c r="W34" s="2">
        <f>W12/'Output-Calculation-sheet'!W11*'Output-Calculation-sheet'!W20</f>
        <v>268.80865816710042</v>
      </c>
      <c r="X34" s="2">
        <f>X12/'Output-Calculation-sheet'!X11*'Output-Calculation-sheet'!X20</f>
        <v>0.59636055308038161</v>
      </c>
      <c r="Y34" s="2">
        <f>Y12/'Output-Calculation-sheet'!Y11*'Output-Calculation-sheet'!Y20</f>
        <v>194.65601446598288</v>
      </c>
      <c r="AA34" s="2">
        <f t="shared" si="1"/>
        <v>49.112738213901146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0.10082601368881128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1.5206502163245298E-2</v>
      </c>
      <c r="H44" s="2">
        <f>H11/'Output-Calculation-sheet'!H10*'Output-Calculation-sheet'!H37*0.0114</f>
        <v>1.473105613377834E-2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8.728620617484039E-3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5.7108131326804798E-3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2.784954803857302E-3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0.14798796053985672</v>
      </c>
    </row>
    <row r="45" spans="1:27" x14ac:dyDescent="0.25">
      <c r="A45" s="2">
        <v>2035</v>
      </c>
      <c r="B45" s="2">
        <f>B12/'Output-Calculation-sheet'!B11*'Output-Calculation-sheet'!B38*0.0114</f>
        <v>0.30497743845741576</v>
      </c>
      <c r="C45" s="2">
        <f>C12/'Output-Calculation-sheet'!C11*'Output-Calculation-sheet'!C38*0.0114</f>
        <v>0.18093668889700523</v>
      </c>
      <c r="D45" s="2">
        <f>D12/'Output-Calculation-sheet'!D11*'Output-Calculation-sheet'!D38*0.0114</f>
        <v>3.2055732471149366E-2</v>
      </c>
      <c r="E45" s="2">
        <f>E12/'Output-Calculation-sheet'!E11*'Output-Calculation-sheet'!E38*0.0114</f>
        <v>0.1019031473313658</v>
      </c>
      <c r="F45" s="2">
        <f>F12/'Output-Calculation-sheet'!F11*'Output-Calculation-sheet'!F38*0.0114</f>
        <v>3.2045034508875872E-2</v>
      </c>
      <c r="G45" s="2">
        <f>G12/'Output-Calculation-sheet'!G11*'Output-Calculation-sheet'!G38*0.0114</f>
        <v>2.2998231844994301E-2</v>
      </c>
      <c r="H45" s="2">
        <f>H12/'Output-Calculation-sheet'!H11*'Output-Calculation-sheet'!H38*0.0114</f>
        <v>6.6837509504018053E-2</v>
      </c>
      <c r="I45" s="2">
        <f>I12/'Output-Calculation-sheet'!I11*'Output-Calculation-sheet'!I38*0.0114</f>
        <v>2.0685488372723111E-2</v>
      </c>
      <c r="J45" s="2">
        <f>J12/'Output-Calculation-sheet'!J11*'Output-Calculation-sheet'!J38*0.0114</f>
        <v>1.0235890672213747E-2</v>
      </c>
      <c r="K45" s="2">
        <f>K12/'Output-Calculation-sheet'!K11*'Output-Calculation-sheet'!K38*0.0114</f>
        <v>2.0330542417809183E-2</v>
      </c>
      <c r="L45" s="2">
        <f>L12/'Output-Calculation-sheet'!L11*'Output-Calculation-sheet'!L38*0.0114</f>
        <v>8.0829557044246551E-3</v>
      </c>
      <c r="M45" s="2">
        <f>M12/'Output-Calculation-sheet'!M11*'Output-Calculation-sheet'!M38*0.0114</f>
        <v>3.83255926110911E-2</v>
      </c>
      <c r="N45" s="2">
        <f>N12/'Output-Calculation-sheet'!N11*'Output-Calculation-sheet'!N38*0.0114</f>
        <v>2.2600705251691777E-2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2.7838775754405323E-2</v>
      </c>
      <c r="Q45" s="2">
        <f>Q12/'Output-Calculation-sheet'!Q11*'Output-Calculation-sheet'!Q38*0.0114</f>
        <v>1.9801678107122331E-2</v>
      </c>
      <c r="R45" s="2">
        <f>R12/'Output-Calculation-sheet'!R11*'Output-Calculation-sheet'!R38*0.0114</f>
        <v>1.3091397307371666E-2</v>
      </c>
      <c r="S45" s="2">
        <f>S12/'Output-Calculation-sheet'!S11*'Output-Calculation-sheet'!S38*0.0114</f>
        <v>1.7274005953357808E-2</v>
      </c>
      <c r="T45" s="2">
        <f>T12/'Output-Calculation-sheet'!T11*'Output-Calculation-sheet'!T38*0.0114</f>
        <v>2.4216619197452733E-3</v>
      </c>
      <c r="U45" s="2">
        <f>U12/'Output-Calculation-sheet'!U11*'Output-Calculation-sheet'!U38*0.0114</f>
        <v>6.3179259341852303E-3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2.8123569893949395E-3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4.0573237401389959E-3</v>
      </c>
      <c r="AA45" s="2">
        <f t="shared" si="2"/>
        <v>0.96512504855299985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3429.7947460153705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7900.1103482204599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5403.0723844219601</v>
      </c>
      <c r="N52" s="2">
        <f>N8/'Output-Calculation-sheet'!N7*'Output-Calculation-sheet'!N43</f>
        <v>170.67419404649783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36.533089554603769</v>
      </c>
      <c r="Y52" s="2">
        <f>Y8/'Output-Calculation-sheet'!Y7*'Output-Calculation-sheet'!Y43</f>
        <v>0</v>
      </c>
      <c r="AA52" s="2">
        <f t="shared" si="3"/>
        <v>16.940184762258891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557.16286826532223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14448.237792694355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9890.7286682929298</v>
      </c>
      <c r="N53" s="2">
        <f>N9/'Output-Calculation-sheet'!N8*'Output-Calculation-sheet'!N44</f>
        <v>3509.8590120526901</v>
      </c>
      <c r="O53" s="2">
        <f>O9/'Output-Calculation-sheet'!O8*'Output-Calculation-sheet'!O44</f>
        <v>194.62612409657365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1093.8940877920961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302.00680191305298</v>
      </c>
      <c r="Y53" s="2">
        <f>Y9/'Output-Calculation-sheet'!Y8*'Output-Calculation-sheet'!Y44</f>
        <v>0</v>
      </c>
      <c r="AA53" s="2">
        <f t="shared" si="3"/>
        <v>30.152097330240164</v>
      </c>
    </row>
    <row r="54" spans="1:27" x14ac:dyDescent="0.25">
      <c r="A54" s="2">
        <v>2033</v>
      </c>
      <c r="B54" s="2">
        <f>B10/'Output-Calculation-sheet'!B9*'Output-Calculation-sheet'!B45</f>
        <v>26733.236994854236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13354.546922674392</v>
      </c>
      <c r="N54" s="2">
        <f>N10/'Output-Calculation-sheet'!N9*'Output-Calculation-sheet'!N45</f>
        <v>7474.116603523129</v>
      </c>
      <c r="O54" s="2">
        <f>O10/'Output-Calculation-sheet'!O9*'Output-Calculation-sheet'!O45</f>
        <v>995.28137763053564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777.19909196491312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81.633566435369303</v>
      </c>
    </row>
    <row r="55" spans="1:27" x14ac:dyDescent="0.25">
      <c r="A55" s="2">
        <v>2034</v>
      </c>
      <c r="B55" s="2">
        <f>B11/'Output-Calculation-sheet'!B10*'Output-Calculation-sheet'!B46</f>
        <v>62335.240743749288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221.17586475095268</v>
      </c>
      <c r="G55" s="2">
        <f>G11/'Output-Calculation-sheet'!G10*'Output-Calculation-sheet'!G46</f>
        <v>2493.0660125531103</v>
      </c>
      <c r="H55" s="2">
        <f>H11/'Output-Calculation-sheet'!H10*'Output-Calculation-sheet'!H46</f>
        <v>19288.63814990432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13581.887162874962</v>
      </c>
      <c r="N55" s="2">
        <f>N11/'Output-Calculation-sheet'!N10*'Output-Calculation-sheet'!N46</f>
        <v>10287.527633179772</v>
      </c>
      <c r="O55" s="2">
        <f>O11/'Output-Calculation-sheet'!O10*'Output-Calculation-sheet'!O46</f>
        <v>394.70508521904992</v>
      </c>
      <c r="P55" s="2">
        <f>P11/'Output-Calculation-sheet'!P10*'Output-Calculation-sheet'!P46</f>
        <v>3807.3601709853792</v>
      </c>
      <c r="Q55" s="2">
        <f>Q11/'Output-Calculation-sheet'!Q10*'Output-Calculation-sheet'!Q46</f>
        <v>2970.7936838454448</v>
      </c>
      <c r="R55" s="2">
        <f>R11/'Output-Calculation-sheet'!R10*'Output-Calculation-sheet'!R46</f>
        <v>3085.8139042006251</v>
      </c>
      <c r="S55" s="2">
        <f>S11/'Output-Calculation-sheet'!S10*'Output-Calculation-sheet'!S46</f>
        <v>4820.1266633904888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911.46196256066605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154.02373949523226</v>
      </c>
    </row>
    <row r="56" spans="1:27" x14ac:dyDescent="0.25">
      <c r="A56" s="2">
        <v>2035</v>
      </c>
      <c r="B56" s="2">
        <f>B12/'Output-Calculation-sheet'!B11*'Output-Calculation-sheet'!B47</f>
        <v>49532.081342447826</v>
      </c>
      <c r="C56" s="2">
        <f>C12/'Output-Calculation-sheet'!C11*'Output-Calculation-sheet'!C47</f>
        <v>15436.756458002392</v>
      </c>
      <c r="D56" s="2">
        <f>D12/'Output-Calculation-sheet'!D11*'Output-Calculation-sheet'!D47</f>
        <v>5078.3028809557682</v>
      </c>
      <c r="E56" s="2">
        <f>E12/'Output-Calculation-sheet'!E11*'Output-Calculation-sheet'!E47</f>
        <v>12845.159887295846</v>
      </c>
      <c r="F56" s="2">
        <f>F12/'Output-Calculation-sheet'!F11*'Output-Calculation-sheet'!F47</f>
        <v>737.87908408595763</v>
      </c>
      <c r="G56" s="2">
        <f>G12/'Output-Calculation-sheet'!G11*'Output-Calculation-sheet'!G47</f>
        <v>1879.1976283870342</v>
      </c>
      <c r="H56" s="2">
        <f>H12/'Output-Calculation-sheet'!H11*'Output-Calculation-sheet'!H47</f>
        <v>14650.508479440681</v>
      </c>
      <c r="I56" s="2">
        <f>I12/'Output-Calculation-sheet'!I11*'Output-Calculation-sheet'!I47</f>
        <v>1197.5809057892327</v>
      </c>
      <c r="J56" s="2">
        <f>J12/'Output-Calculation-sheet'!J11*'Output-Calculation-sheet'!J47</f>
        <v>1975.3473227079162</v>
      </c>
      <c r="K56" s="2">
        <f>K12/'Output-Calculation-sheet'!K11*'Output-Calculation-sheet'!K47</f>
        <v>2700.930394015088</v>
      </c>
      <c r="L56" s="2">
        <f>L12/'Output-Calculation-sheet'!L11*'Output-Calculation-sheet'!L47</f>
        <v>2892.1382735393131</v>
      </c>
      <c r="M56" s="2">
        <f>M12/'Output-Calculation-sheet'!M11*'Output-Calculation-sheet'!M47</f>
        <v>10326.393882826966</v>
      </c>
      <c r="N56" s="2">
        <f>N12/'Output-Calculation-sheet'!N11*'Output-Calculation-sheet'!N47</f>
        <v>8356.9742284471995</v>
      </c>
      <c r="O56" s="2">
        <f>O12/'Output-Calculation-sheet'!O11*'Output-Calculation-sheet'!O47</f>
        <v>37.61770697121537</v>
      </c>
      <c r="P56" s="2">
        <f>P12/'Output-Calculation-sheet'!P11*'Output-Calculation-sheet'!P47</f>
        <v>3582.4108799747901</v>
      </c>
      <c r="Q56" s="2">
        <f>Q12/'Output-Calculation-sheet'!Q11*'Output-Calculation-sheet'!Q47</f>
        <v>2519.7924889531105</v>
      </c>
      <c r="R56" s="2">
        <f>R12/'Output-Calculation-sheet'!R11*'Output-Calculation-sheet'!R47</f>
        <v>2944.4160259737678</v>
      </c>
      <c r="S56" s="2">
        <f>S12/'Output-Calculation-sheet'!S11*'Output-Calculation-sheet'!S47</f>
        <v>3885.893707665447</v>
      </c>
      <c r="T56" s="2">
        <f>T12/'Output-Calculation-sheet'!T11*'Output-Calculation-sheet'!T47</f>
        <v>994.79322545325567</v>
      </c>
      <c r="U56" s="2">
        <f>U12/'Output-Calculation-sheet'!U11*'Output-Calculation-sheet'!U47</f>
        <v>694.41764873106081</v>
      </c>
      <c r="V56" s="2">
        <f>V12/'Output-Calculation-sheet'!V11*'Output-Calculation-sheet'!V47</f>
        <v>686.16514580980015</v>
      </c>
      <c r="W56" s="2">
        <f>W12/'Output-Calculation-sheet'!W11*'Output-Calculation-sheet'!W47</f>
        <v>242.87416281222085</v>
      </c>
      <c r="X56" s="2">
        <f>X12/'Output-Calculation-sheet'!X11*'Output-Calculation-sheet'!X47</f>
        <v>81.506296988722525</v>
      </c>
      <c r="Y56" s="2">
        <f>Y12/'Output-Calculation-sheet'!Y11*'Output-Calculation-sheet'!Y47</f>
        <v>323.44700131915079</v>
      </c>
      <c r="AA56" s="2">
        <f t="shared" si="3"/>
        <v>143.60258505859375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8.4525033952443724</v>
      </c>
      <c r="C63" s="2">
        <f>C8*'Output-Calculation-sheet'!C52/10^9</f>
        <v>5.1126263552834512</v>
      </c>
      <c r="D63" s="2">
        <f>D8*'Output-Calculation-sheet'!D52/10^9</f>
        <v>2.8985445532261007</v>
      </c>
      <c r="E63" s="2">
        <f>E8*'Output-Calculation-sheet'!E52/10^9</f>
        <v>2.8819307864885899</v>
      </c>
      <c r="F63" s="2">
        <f>F8*'Output-Calculation-sheet'!F52/10^9</f>
        <v>1.2204974498299215</v>
      </c>
      <c r="G63" s="2">
        <f>G8*'Output-Calculation-sheet'!G52/10^9</f>
        <v>0.87748252906127255</v>
      </c>
      <c r="H63" s="2">
        <f>H8*'Output-Calculation-sheet'!H52/10^9</f>
        <v>1.5326956574431827</v>
      </c>
      <c r="I63" s="2">
        <f>I8*'Output-Calculation-sheet'!I52/10^9</f>
        <v>0.81626247053976342</v>
      </c>
      <c r="J63" s="2">
        <f>J8*'Output-Calculation-sheet'!J52/10^9</f>
        <v>1.1232324873096657</v>
      </c>
      <c r="K63" s="2">
        <f>K8*'Output-Calculation-sheet'!K52/10^9</f>
        <v>0.98685964270596183</v>
      </c>
      <c r="L63" s="2">
        <f>L8*'Output-Calculation-sheet'!L52/10^9</f>
        <v>1.3273737014006977</v>
      </c>
      <c r="M63" s="2">
        <f>M8*'Output-Calculation-sheet'!M52/10^9</f>
        <v>1.2441049076671782</v>
      </c>
      <c r="N63" s="2">
        <f>N8*'Output-Calculation-sheet'!N52/10^9</f>
        <v>1.038371084822338</v>
      </c>
      <c r="O63" s="2">
        <f>O8*'Output-Calculation-sheet'!O52/10^9</f>
        <v>1.0435177627520702</v>
      </c>
      <c r="P63" s="2">
        <f>P8*'Output-Calculation-sheet'!P52/10^9</f>
        <v>0.6818933925762265</v>
      </c>
      <c r="Q63" s="2">
        <f>Q8*'Output-Calculation-sheet'!Q52/10^9</f>
        <v>0.77170349432951535</v>
      </c>
      <c r="R63" s="2">
        <f>R8*'Output-Calculation-sheet'!R52/10^9</f>
        <v>0.69283655456552362</v>
      </c>
      <c r="S63" s="2">
        <f>S8*'Output-Calculation-sheet'!S52/10^9</f>
        <v>0.51341643535118631</v>
      </c>
      <c r="T63" s="2">
        <f>T8*'Output-Calculation-sheet'!T52/10^9</f>
        <v>0.263406560904132</v>
      </c>
      <c r="U63" s="2">
        <f>U8*'Output-Calculation-sheet'!U52/10^9</f>
        <v>0.18090480345304066</v>
      </c>
      <c r="V63" s="2">
        <f>V8*'Output-Calculation-sheet'!V52/10^9</f>
        <v>0.32106327497213499</v>
      </c>
      <c r="W63" s="2">
        <f>W8*'Output-Calculation-sheet'!W52/10^9</f>
        <v>0.11620986357337451</v>
      </c>
      <c r="X63" s="2">
        <f>X8*'Output-Calculation-sheet'!X52/10^9</f>
        <v>0.13228872309852638</v>
      </c>
      <c r="Y63" s="2">
        <f>Y8*'Output-Calculation-sheet'!Y52/10^9</f>
        <v>7.5823703306940826E-2</v>
      </c>
      <c r="AA63" s="2">
        <f t="shared" si="4"/>
        <v>34.305549589905162</v>
      </c>
    </row>
    <row r="64" spans="1:27" x14ac:dyDescent="0.25">
      <c r="A64" s="2">
        <v>2032</v>
      </c>
      <c r="B64" s="2">
        <f>B9*'Output-Calculation-sheet'!B53/10^9</f>
        <v>8.3272860330289582</v>
      </c>
      <c r="C64" s="2">
        <f>C9*'Output-Calculation-sheet'!C53/10^9</f>
        <v>5.3128059278606976</v>
      </c>
      <c r="D64" s="2">
        <f>D9*'Output-Calculation-sheet'!D53/10^9</f>
        <v>2.4643911877345106</v>
      </c>
      <c r="E64" s="2">
        <f>E9*'Output-Calculation-sheet'!E53/10^9</f>
        <v>2.5236450042782406</v>
      </c>
      <c r="F64" s="2">
        <f>F9*'Output-Calculation-sheet'!F53/10^9</f>
        <v>1.0644576382511011</v>
      </c>
      <c r="G64" s="2">
        <f>G9*'Output-Calculation-sheet'!G53/10^9</f>
        <v>0.75764838397602408</v>
      </c>
      <c r="H64" s="2">
        <f>H9*'Output-Calculation-sheet'!H53/10^9</f>
        <v>1.5567473246921073</v>
      </c>
      <c r="I64" s="2">
        <f>I9*'Output-Calculation-sheet'!I53/10^9</f>
        <v>0.70827741172763092</v>
      </c>
      <c r="J64" s="2">
        <f>J9*'Output-Calculation-sheet'!J53/10^9</f>
        <v>0.93761538175846049</v>
      </c>
      <c r="K64" s="2">
        <f>K9*'Output-Calculation-sheet'!K53/10^9</f>
        <v>0.86997950840714533</v>
      </c>
      <c r="L64" s="2">
        <f>L9*'Output-Calculation-sheet'!L53/10^9</f>
        <v>1.1192260372590352</v>
      </c>
      <c r="M64" s="2">
        <f>M9*'Output-Calculation-sheet'!M53/10^9</f>
        <v>1.2200315682404259</v>
      </c>
      <c r="N64" s="2">
        <f>N9*'Output-Calculation-sheet'!N53/10^9</f>
        <v>1.0271296606813074</v>
      </c>
      <c r="O64" s="2">
        <f>O9*'Output-Calculation-sheet'!O53/10^9</f>
        <v>1.0734392192291489</v>
      </c>
      <c r="P64" s="2">
        <f>P9*'Output-Calculation-sheet'!P53/10^9</f>
        <v>0.66330020535860768</v>
      </c>
      <c r="Q64" s="2">
        <f>Q9*'Output-Calculation-sheet'!Q53/10^9</f>
        <v>0.73304661674622418</v>
      </c>
      <c r="R64" s="2">
        <f>R9*'Output-Calculation-sheet'!R53/10^9</f>
        <v>0.62839406082606664</v>
      </c>
      <c r="S64" s="2">
        <f>S9*'Output-Calculation-sheet'!S53/10^9</f>
        <v>0.51919392902053041</v>
      </c>
      <c r="T64" s="2">
        <f>T9*'Output-Calculation-sheet'!T53/10^9</f>
        <v>0.22589041080090999</v>
      </c>
      <c r="U64" s="2">
        <f>U9*'Output-Calculation-sheet'!U53/10^9</f>
        <v>0.17002300249353688</v>
      </c>
      <c r="V64" s="2">
        <f>V9*'Output-Calculation-sheet'!V53/10^9</f>
        <v>0.26811664244242744</v>
      </c>
      <c r="W64" s="2">
        <f>W9*'Output-Calculation-sheet'!W53/10^9</f>
        <v>9.9627139455724115E-2</v>
      </c>
      <c r="X64" s="2">
        <f>X9*'Output-Calculation-sheet'!X53/10^9</f>
        <v>0.13375744457638991</v>
      </c>
      <c r="Y64" s="2">
        <f>Y9*'Output-Calculation-sheet'!Y53/10^9</f>
        <v>6.9802061530552947E-2</v>
      </c>
      <c r="AA64" s="2">
        <f t="shared" si="4"/>
        <v>32.47383180037577</v>
      </c>
    </row>
    <row r="65" spans="1:27" x14ac:dyDescent="0.25">
      <c r="A65" s="2">
        <v>2033</v>
      </c>
      <c r="B65" s="2">
        <f>B10*'Output-Calculation-sheet'!B54/10^9</f>
        <v>7.7063002192777628</v>
      </c>
      <c r="C65" s="2">
        <f>C10*'Output-Calculation-sheet'!C54/10^9</f>
        <v>5.0028014733717248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1.4120815115447884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0.70951220420647254</v>
      </c>
      <c r="L65" s="2">
        <f>L10*'Output-Calculation-sheet'!L54/10^9</f>
        <v>0.83803101346455167</v>
      </c>
      <c r="M65" s="2">
        <f>M10*'Output-Calculation-sheet'!M54/10^9</f>
        <v>1.0661957080454014</v>
      </c>
      <c r="N65" s="2">
        <f>N10*'Output-Calculation-sheet'!N54/10^9</f>
        <v>0.92066957065031052</v>
      </c>
      <c r="O65" s="2">
        <f>O10*'Output-Calculation-sheet'!O54/10^9</f>
        <v>1.0000304481801892</v>
      </c>
      <c r="P65" s="2">
        <f>P10*'Output-Calculation-sheet'!P54/10^9</f>
        <v>0.60029288881704979</v>
      </c>
      <c r="Q65" s="2">
        <f>Q10*'Output-Calculation-sheet'!Q54/10^9</f>
        <v>0.65510085041400601</v>
      </c>
      <c r="R65" s="2">
        <f>R10*'Output-Calculation-sheet'!R54/10^9</f>
        <v>0.52848943475467236</v>
      </c>
      <c r="S65" s="2">
        <f>S10*'Output-Calculation-sheet'!S54/10^9</f>
        <v>0.48004470329379745</v>
      </c>
      <c r="T65" s="2">
        <f>T10*'Output-Calculation-sheet'!T54/10^9</f>
        <v>0.17669717572684815</v>
      </c>
      <c r="U65" s="2">
        <f>U10*'Output-Calculation-sheet'!U54/10^9</f>
        <v>0.15257385256970718</v>
      </c>
      <c r="V65" s="2">
        <f>V10*'Output-Calculation-sheet'!V54/10^9</f>
        <v>0.1955495373643388</v>
      </c>
      <c r="W65" s="2">
        <f>W10*'Output-Calculation-sheet'!W54/10^9</f>
        <v>7.4450206093555599E-2</v>
      </c>
      <c r="X65" s="2">
        <f>X10*'Output-Calculation-sheet'!X54/10^9</f>
        <v>0.12173682805272333</v>
      </c>
      <c r="Y65" s="2">
        <f>Y10*'Output-Calculation-sheet'!Y54/10^9</f>
        <v>6.1282039398660913E-2</v>
      </c>
      <c r="AA65" s="2">
        <f t="shared" si="4"/>
        <v>28.197250101523956</v>
      </c>
    </row>
    <row r="66" spans="1:27" x14ac:dyDescent="0.25">
      <c r="A66" s="2">
        <v>2034</v>
      </c>
      <c r="B66" s="2">
        <f>B11*'Output-Calculation-sheet'!B55/10^9</f>
        <v>6.6564183482621218</v>
      </c>
      <c r="C66" s="2">
        <f>C11*'Output-Calculation-sheet'!C55/10^9</f>
        <v>4.2764329434826918</v>
      </c>
      <c r="D66" s="2">
        <f>D11*'Output-Calculation-sheet'!D55/10^9</f>
        <v>1.3927225886541772</v>
      </c>
      <c r="E66" s="2">
        <f>E11*'Output-Calculation-sheet'!E55/10^9</f>
        <v>1.686485502629864</v>
      </c>
      <c r="F66" s="2">
        <f>F11*'Output-Calculation-sheet'!F55/10^9</f>
        <v>0.64814375725303353</v>
      </c>
      <c r="G66" s="2">
        <f>G11*'Output-Calculation-sheet'!G55/10^9</f>
        <v>0.46330904337029027</v>
      </c>
      <c r="H66" s="2">
        <f>H11*'Output-Calculation-sheet'!H55/10^9</f>
        <v>1.1836868909173013</v>
      </c>
      <c r="I66" s="2">
        <f>I11*'Output-Calculation-sheet'!I55/10^9</f>
        <v>0.45304130823182148</v>
      </c>
      <c r="J66" s="2">
        <f>J11*'Output-Calculation-sheet'!J55/10^9</f>
        <v>0.46586521696292121</v>
      </c>
      <c r="K66" s="2">
        <f>K11*'Output-Calculation-sheet'!K55/10^9</f>
        <v>0.5572121652476425</v>
      </c>
      <c r="L66" s="2">
        <f>L11*'Output-Calculation-sheet'!L55/10^9</f>
        <v>0.59012615722463457</v>
      </c>
      <c r="M66" s="2">
        <f>M11*'Output-Calculation-sheet'!M55/10^9</f>
        <v>0.85806934746224317</v>
      </c>
      <c r="N66" s="2">
        <f>N11*'Output-Calculation-sheet'!N55/10^9</f>
        <v>0.74972029058386325</v>
      </c>
      <c r="O66" s="2">
        <f>O11*'Output-Calculation-sheet'!O55/10^9</f>
        <v>0.84376491530676534</v>
      </c>
      <c r="P66" s="2">
        <f>P11*'Output-Calculation-sheet'!P55/10^9</f>
        <v>0.51540439949024064</v>
      </c>
      <c r="Q66" s="2">
        <f>Q11*'Output-Calculation-sheet'!Q55/10^9</f>
        <v>0.56078788378265476</v>
      </c>
      <c r="R66" s="2">
        <f>R11*'Output-Calculation-sheet'!R55/10^9</f>
        <v>0.41744375956523289</v>
      </c>
      <c r="S66" s="2">
        <f>S11*'Output-Calculation-sheet'!S55/10^9</f>
        <v>0.41040342326174645</v>
      </c>
      <c r="T66" s="2">
        <f>T11*'Output-Calculation-sheet'!T55/10^9</f>
        <v>0.13083615980835134</v>
      </c>
      <c r="U66" s="2">
        <f>U11*'Output-Calculation-sheet'!U55/10^9</f>
        <v>0.13288041368857945</v>
      </c>
      <c r="V66" s="2">
        <f>V11*'Output-Calculation-sheet'!V55/10^9</f>
        <v>0.12411655548824616</v>
      </c>
      <c r="W66" s="2">
        <f>W11*'Output-Calculation-sheet'!W55/10^9</f>
        <v>5.619972466510316E-2</v>
      </c>
      <c r="X66" s="2">
        <f>X11*'Output-Calculation-sheet'!X55/10^9</f>
        <v>0.10028751068018436</v>
      </c>
      <c r="Y66" s="2">
        <f>Y11*'Output-Calculation-sheet'!Y55/10^9</f>
        <v>5.5147095697372542E-2</v>
      </c>
      <c r="AA66" s="2">
        <f t="shared" si="4"/>
        <v>23.328505401717084</v>
      </c>
    </row>
    <row r="67" spans="1:27" x14ac:dyDescent="0.25">
      <c r="A67" s="2">
        <v>2035</v>
      </c>
      <c r="B67" s="2">
        <f>B12*'Output-Calculation-sheet'!B56/10^9</f>
        <v>5.2277239787873162</v>
      </c>
      <c r="C67" s="2">
        <f>C12*'Output-Calculation-sheet'!C56/10^9</f>
        <v>3.283279158775414</v>
      </c>
      <c r="D67" s="2">
        <f>D12*'Output-Calculation-sheet'!D56/10^9</f>
        <v>1.0877028017381858</v>
      </c>
      <c r="E67" s="2">
        <f>E12*'Output-Calculation-sheet'!E56/10^9</f>
        <v>1.476748522963546</v>
      </c>
      <c r="F67" s="2">
        <f>F12*'Output-Calculation-sheet'!F56/10^9</f>
        <v>0.53938797432747376</v>
      </c>
      <c r="G67" s="2">
        <f>G12*'Output-Calculation-sheet'!G56/10^9</f>
        <v>0.3778465521548583</v>
      </c>
      <c r="H67" s="2">
        <f>H12*'Output-Calculation-sheet'!H56/10^9</f>
        <v>0.91272871023452951</v>
      </c>
      <c r="I67" s="2">
        <f>I12*'Output-Calculation-sheet'!I56/10^9</f>
        <v>0.36704560309400469</v>
      </c>
      <c r="J67" s="2">
        <f>J12*'Output-Calculation-sheet'!J56/10^9</f>
        <v>0.36336932952523809</v>
      </c>
      <c r="K67" s="2">
        <f>K12*'Output-Calculation-sheet'!K56/10^9</f>
        <v>0.43786397248488457</v>
      </c>
      <c r="L67" s="2">
        <f>L12*'Output-Calculation-sheet'!L56/10^9</f>
        <v>0.43986735090673651</v>
      </c>
      <c r="M67" s="2">
        <f>M12*'Output-Calculation-sheet'!M56/10^9</f>
        <v>0.66767319115208956</v>
      </c>
      <c r="N67" s="2">
        <f>N12*'Output-Calculation-sheet'!N56/10^9</f>
        <v>0.57347425823287979</v>
      </c>
      <c r="O67" s="2">
        <f>O12*'Output-Calculation-sheet'!O56/10^9</f>
        <v>0.64330720514793716</v>
      </c>
      <c r="P67" s="2">
        <f>P12*'Output-Calculation-sheet'!P56/10^9</f>
        <v>0.42410197952622558</v>
      </c>
      <c r="Q67" s="2">
        <f>Q12*'Output-Calculation-sheet'!Q56/10^9</f>
        <v>0.43652436032970099</v>
      </c>
      <c r="R67" s="2">
        <f>R12*'Output-Calculation-sheet'!R56/10^9</f>
        <v>0.33214784319281715</v>
      </c>
      <c r="S67" s="2">
        <f>S12*'Output-Calculation-sheet'!S56/10^9</f>
        <v>0.31649977361368986</v>
      </c>
      <c r="T67" s="2">
        <f>T12*'Output-Calculation-sheet'!T56/10^9</f>
        <v>0.10065435268998257</v>
      </c>
      <c r="U67" s="2">
        <f>U12*'Output-Calculation-sheet'!U56/10^9</f>
        <v>0.10525276777636022</v>
      </c>
      <c r="V67" s="2">
        <f>V12*'Output-Calculation-sheet'!V56/10^9</f>
        <v>8.073834967859092E-2</v>
      </c>
      <c r="W67" s="2">
        <f>W12*'Output-Calculation-sheet'!W56/10^9</f>
        <v>4.8747267482445275E-2</v>
      </c>
      <c r="X67" s="2">
        <f>X12*'Output-Calculation-sheet'!X56/10^9</f>
        <v>7.7169597380165864E-2</v>
      </c>
      <c r="Y67" s="2">
        <f>Y12*'Output-Calculation-sheet'!Y56/10^9</f>
        <v>4.7106593936273561E-2</v>
      </c>
      <c r="AA67" s="2">
        <f t="shared" si="4"/>
        <v>18.366961495131342</v>
      </c>
    </row>
    <row r="68" spans="1:27" x14ac:dyDescent="0.25">
      <c r="B68" s="2">
        <f>SUM(B60:B67)</f>
        <v>36.370231974600536</v>
      </c>
      <c r="C68" s="2">
        <f t="shared" ref="C68:Y68" si="5">SUM(C60:C67)</f>
        <v>22.98794585877398</v>
      </c>
      <c r="D68" s="2">
        <f t="shared" si="5"/>
        <v>9.6638922149938349</v>
      </c>
      <c r="E68" s="2">
        <f t="shared" si="5"/>
        <v>10.618696787140696</v>
      </c>
      <c r="F68" s="2">
        <f t="shared" si="5"/>
        <v>4.3047049860636468</v>
      </c>
      <c r="G68" s="2">
        <f t="shared" si="5"/>
        <v>3.0476800353417133</v>
      </c>
      <c r="H68" s="2">
        <f t="shared" si="5"/>
        <v>6.5979400948319089</v>
      </c>
      <c r="I68" s="2">
        <f t="shared" si="5"/>
        <v>2.9010082890371272</v>
      </c>
      <c r="J68" s="2">
        <f t="shared" si="5"/>
        <v>3.5550816088070762</v>
      </c>
      <c r="K68" s="2">
        <f t="shared" si="5"/>
        <v>3.5614274930521073</v>
      </c>
      <c r="L68" s="2">
        <f t="shared" si="5"/>
        <v>4.3146242602556555</v>
      </c>
      <c r="M68" s="2">
        <f t="shared" si="5"/>
        <v>5.0560747225673381</v>
      </c>
      <c r="N68" s="2">
        <f t="shared" si="5"/>
        <v>4.309364864970699</v>
      </c>
      <c r="O68" s="2">
        <f t="shared" si="5"/>
        <v>4.6040595506161104</v>
      </c>
      <c r="P68" s="2">
        <f t="shared" si="5"/>
        <v>2.8849928657683503</v>
      </c>
      <c r="Q68" s="2">
        <f t="shared" si="5"/>
        <v>3.1571632056021017</v>
      </c>
      <c r="R68" s="2">
        <f t="shared" si="5"/>
        <v>2.599311652904313</v>
      </c>
      <c r="S68" s="2">
        <f t="shared" si="5"/>
        <v>2.2395582645409506</v>
      </c>
      <c r="T68" s="2">
        <f t="shared" si="5"/>
        <v>0.89748465993022397</v>
      </c>
      <c r="U68" s="2">
        <f t="shared" si="5"/>
        <v>0.74163483998122448</v>
      </c>
      <c r="V68" s="2">
        <f t="shared" si="5"/>
        <v>0.98958435994573835</v>
      </c>
      <c r="W68" s="2">
        <f t="shared" si="5"/>
        <v>0.3952342012702027</v>
      </c>
      <c r="X68" s="2">
        <f t="shared" si="5"/>
        <v>0.56524010378798983</v>
      </c>
      <c r="Y68" s="2">
        <f t="shared" si="5"/>
        <v>0.30916149386980085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919.66236124623947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1677.1889545638846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1131.04132067399</v>
      </c>
      <c r="N74" s="2">
        <f>N8/'Output-Calculation-sheet'!N7*'Output-Calculation-sheet'!N61</f>
        <v>50.793936407939377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10.036592213545633</v>
      </c>
      <c r="Y74" s="2">
        <f>Y8/'Output-Calculation-sheet'!Y7*'Output-Calculation-sheet'!Y61</f>
        <v>0</v>
      </c>
      <c r="AA74" s="2">
        <f t="shared" si="6"/>
        <v>3.788723165105599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153.06442605008195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2755.9836305514409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1868.2140746704174</v>
      </c>
      <c r="N75" s="2">
        <f>N9/'Output-Calculation-sheet'!N8*'Output-Calculation-sheet'!N62</f>
        <v>719.99621661256651</v>
      </c>
      <c r="O75" s="2">
        <f>O9/'Output-Calculation-sheet'!O8*'Output-Calculation-sheet'!O62</f>
        <v>53.469104274531418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241.52874579921055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65.934956570507183</v>
      </c>
      <c r="Y75" s="2">
        <f>Y9/'Output-Calculation-sheet'!Y8*'Output-Calculation-sheet'!Y62</f>
        <v>0</v>
      </c>
      <c r="AA75" s="2">
        <f t="shared" si="6"/>
        <v>5.9151805229167644</v>
      </c>
    </row>
    <row r="76" spans="1:27" x14ac:dyDescent="0.25">
      <c r="A76" s="2">
        <v>2033</v>
      </c>
      <c r="B76" s="2">
        <f>B10/'Output-Calculation-sheet'!B9*'Output-Calculation-sheet'!B63</f>
        <v>5369.5901023619535</v>
      </c>
      <c r="C76" s="2">
        <f>C10/'Output-Calculation-sheet'!C9*'Output-Calculation-sheet'!C63</f>
        <v>1106.784948478155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3520.9605461486813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2392.0905971911125</v>
      </c>
      <c r="N76" s="2">
        <f>N10/'Output-Calculation-sheet'!N9*'Output-Calculation-sheet'!N63</f>
        <v>1368.1005244380897</v>
      </c>
      <c r="O76" s="2">
        <f>O10/'Output-Calculation-sheet'!O9*'Output-Calculation-sheet'!O63</f>
        <v>227.02000318184912</v>
      </c>
      <c r="P76" s="2">
        <f>P10/'Output-Calculation-sheet'!P9*'Output-Calculation-sheet'!P63</f>
        <v>472.43239977093089</v>
      </c>
      <c r="Q76" s="2">
        <f>Q10/'Output-Calculation-sheet'!Q9*'Output-Calculation-sheet'!Q63</f>
        <v>213.516134165659</v>
      </c>
      <c r="R76" s="2">
        <f>R10/'Output-Calculation-sheet'!R9*'Output-Calculation-sheet'!R63</f>
        <v>359.51341306410626</v>
      </c>
      <c r="S76" s="2">
        <f>S10/'Output-Calculation-sheet'!S9*'Output-Calculation-sheet'!S63</f>
        <v>609.98234139482065</v>
      </c>
      <c r="T76" s="2">
        <f>T10/'Output-Calculation-sheet'!T9*'Output-Calculation-sheet'!T63</f>
        <v>23.626642780788224</v>
      </c>
      <c r="U76" s="2">
        <f>U10/'Output-Calculation-sheet'!U9*'Output-Calculation-sheet'!U63</f>
        <v>127.72478089859705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137.34446965245345</v>
      </c>
      <c r="Y76" s="2">
        <f>Y10/'Output-Calculation-sheet'!Y9*'Output-Calculation-sheet'!Y63</f>
        <v>6.0582963765313975</v>
      </c>
      <c r="AA76" s="2">
        <f t="shared" si="6"/>
        <v>16.033923676736979</v>
      </c>
    </row>
    <row r="77" spans="1:27" x14ac:dyDescent="0.25">
      <c r="A77" s="2">
        <v>2034</v>
      </c>
      <c r="B77" s="2">
        <f>B11/'Output-Calculation-sheet'!B10*'Output-Calculation-sheet'!B64</f>
        <v>10570.325099132839</v>
      </c>
      <c r="C77" s="2">
        <f>C11/'Output-Calculation-sheet'!C10*'Output-Calculation-sheet'!C64</f>
        <v>1587.4760343675014</v>
      </c>
      <c r="D77" s="2">
        <f>D11/'Output-Calculation-sheet'!D10*'Output-Calculation-sheet'!D64</f>
        <v>1358.13850952081</v>
      </c>
      <c r="E77" s="2">
        <f>E11/'Output-Calculation-sheet'!E10*'Output-Calculation-sheet'!E64</f>
        <v>1674.7531606322671</v>
      </c>
      <c r="F77" s="2">
        <f>F11/'Output-Calculation-sheet'!F10*'Output-Calculation-sheet'!F64</f>
        <v>107.84089096285527</v>
      </c>
      <c r="G77" s="2">
        <f>G11/'Output-Calculation-sheet'!G10*'Output-Calculation-sheet'!G64</f>
        <v>676.64666134606273</v>
      </c>
      <c r="H77" s="2">
        <f>H11/'Output-Calculation-sheet'!H10*'Output-Calculation-sheet'!H64</f>
        <v>3605.9066863634557</v>
      </c>
      <c r="I77" s="2">
        <f>I11/'Output-Calculation-sheet'!I10*'Output-Calculation-sheet'!I64</f>
        <v>420.75001814629047</v>
      </c>
      <c r="J77" s="2">
        <f>J11/'Output-Calculation-sheet'!J10*'Output-Calculation-sheet'!J64</f>
        <v>295.24164743159457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269.44031880197139</v>
      </c>
      <c r="M77" s="2">
        <f>M11/'Output-Calculation-sheet'!M10*'Output-Calculation-sheet'!M64</f>
        <v>2555.9191059432687</v>
      </c>
      <c r="N77" s="2">
        <f>N11/'Output-Calculation-sheet'!N10*'Output-Calculation-sheet'!N64</f>
        <v>1793.3488728989701</v>
      </c>
      <c r="O77" s="2">
        <f>O11/'Output-Calculation-sheet'!O10*'Output-Calculation-sheet'!O64</f>
        <v>85.659974062652452</v>
      </c>
      <c r="P77" s="2">
        <f>P11/'Output-Calculation-sheet'!P10*'Output-Calculation-sheet'!P64</f>
        <v>787.67468086999816</v>
      </c>
      <c r="Q77" s="2">
        <f>Q11/'Output-Calculation-sheet'!Q10*'Output-Calculation-sheet'!Q64</f>
        <v>561.68290839272186</v>
      </c>
      <c r="R77" s="2">
        <f>R11/'Output-Calculation-sheet'!R10*'Output-Calculation-sheet'!R64</f>
        <v>679.2594705299457</v>
      </c>
      <c r="S77" s="2">
        <f>S11/'Output-Calculation-sheet'!S10*'Output-Calculation-sheet'!S64</f>
        <v>841.28292620710033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199.80145222284025</v>
      </c>
      <c r="V77" s="2">
        <f>V11/'Output-Calculation-sheet'!V10*'Output-Calculation-sheet'!V64</f>
        <v>96.955187797225832</v>
      </c>
      <c r="W77" s="2">
        <f>W11/'Output-Calculation-sheet'!W10*'Output-Calculation-sheet'!W64</f>
        <v>21.280142000081536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62.122078796304706</v>
      </c>
      <c r="AA77" s="2">
        <f t="shared" si="6"/>
        <v>29.186121438155798</v>
      </c>
    </row>
    <row r="78" spans="1:27" x14ac:dyDescent="0.25">
      <c r="A78" s="2">
        <v>2035</v>
      </c>
      <c r="B78" s="2">
        <f>B12/'Output-Calculation-sheet'!B11*'Output-Calculation-sheet'!B65</f>
        <v>8584.7002302695782</v>
      </c>
      <c r="C78" s="2">
        <f>C12/'Output-Calculation-sheet'!C11*'Output-Calculation-sheet'!C65</f>
        <v>2821.1458073148533</v>
      </c>
      <c r="D78" s="2">
        <f>D12/'Output-Calculation-sheet'!D11*'Output-Calculation-sheet'!D65</f>
        <v>1152.7944373214591</v>
      </c>
      <c r="E78" s="2">
        <f>E12/'Output-Calculation-sheet'!E11*'Output-Calculation-sheet'!E65</f>
        <v>2006.1198854879619</v>
      </c>
      <c r="F78" s="2">
        <f>F12/'Output-Calculation-sheet'!F11*'Output-Calculation-sheet'!F65</f>
        <v>259.04193948517081</v>
      </c>
      <c r="G78" s="2">
        <f>G12/'Output-Calculation-sheet'!G11*'Output-Calculation-sheet'!G65</f>
        <v>505.05125825986647</v>
      </c>
      <c r="H78" s="2">
        <f>H12/'Output-Calculation-sheet'!H11*'Output-Calculation-sheet'!H65</f>
        <v>2732.6603704809231</v>
      </c>
      <c r="I78" s="2">
        <f>I12/'Output-Calculation-sheet'!I11*'Output-Calculation-sheet'!I65</f>
        <v>335.78807710937144</v>
      </c>
      <c r="J78" s="2">
        <f>J12/'Output-Calculation-sheet'!J11*'Output-Calculation-sheet'!J65</f>
        <v>489.11485269056038</v>
      </c>
      <c r="K78" s="2">
        <f>K12/'Output-Calculation-sheet'!K11*'Output-Calculation-sheet'!K65</f>
        <v>601.4247043130124</v>
      </c>
      <c r="L78" s="2">
        <f>L12/'Output-Calculation-sheet'!L11*'Output-Calculation-sheet'!L65</f>
        <v>513.75124651082672</v>
      </c>
      <c r="M78" s="2">
        <f>M12/'Output-Calculation-sheet'!M11*'Output-Calculation-sheet'!M65</f>
        <v>1995.4703905713352</v>
      </c>
      <c r="N78" s="2">
        <f>N12/'Output-Calculation-sheet'!N11*'Output-Calculation-sheet'!N65</f>
        <v>1437.5449519465842</v>
      </c>
      <c r="O78" s="2">
        <f>O12/'Output-Calculation-sheet'!O11*'Output-Calculation-sheet'!O65</f>
        <v>6.7366529664517492</v>
      </c>
      <c r="P78" s="2">
        <f>P12/'Output-Calculation-sheet'!P11*'Output-Calculation-sheet'!P65</f>
        <v>694.14949494513564</v>
      </c>
      <c r="Q78" s="2">
        <f>Q12/'Output-Calculation-sheet'!Q11*'Output-Calculation-sheet'!Q65</f>
        <v>467.15111536524563</v>
      </c>
      <c r="R78" s="2">
        <f>R12/'Output-Calculation-sheet'!R11*'Output-Calculation-sheet'!R65</f>
        <v>646.60133853385946</v>
      </c>
      <c r="S78" s="2">
        <f>S12/'Output-Calculation-sheet'!S11*'Output-Calculation-sheet'!S65</f>
        <v>679.50976931957223</v>
      </c>
      <c r="T78" s="2">
        <f>T12/'Output-Calculation-sheet'!T11*'Output-Calculation-sheet'!T65</f>
        <v>223.06883861952556</v>
      </c>
      <c r="U78" s="2">
        <f>U12/'Output-Calculation-sheet'!U11*'Output-Calculation-sheet'!U65</f>
        <v>152.61929187809545</v>
      </c>
      <c r="V78" s="2">
        <f>V12/'Output-Calculation-sheet'!V11*'Output-Calculation-sheet'!V65</f>
        <v>125.81294489691594</v>
      </c>
      <c r="W78" s="2">
        <f>W12/'Output-Calculation-sheet'!W11*'Output-Calculation-sheet'!W65</f>
        <v>59.492451734871629</v>
      </c>
      <c r="X78" s="2">
        <f>X12/'Output-Calculation-sheet'!X11*'Output-Calculation-sheet'!X65</f>
        <v>16.40046841987105</v>
      </c>
      <c r="Y78" s="2">
        <f>Y12/'Output-Calculation-sheet'!Y11*'Output-Calculation-sheet'!Y65</f>
        <v>55.674311637714304</v>
      </c>
      <c r="AA78" s="2">
        <f t="shared" si="6"/>
        <v>26.561824830078759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17.6887743313704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1.3339036985302892</v>
      </c>
      <c r="H88" s="2">
        <f>H11/'Output-Calculation-sheet'!H10*'Output-Calculation-sheet'!H73</f>
        <v>9.0453853453024884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3.8283423760894908</v>
      </c>
      <c r="R88" s="2">
        <f>R11/'Output-Calculation-sheet'!R10*'Output-Calculation-sheet'!R73</f>
        <v>0</v>
      </c>
      <c r="S88" s="2">
        <f>S11/'Output-Calculation-sheet'!S10*'Output-Calculation-sheet'!S73</f>
        <v>2.0037940816422735</v>
      </c>
      <c r="T88" s="2">
        <f>T11/'Output-Calculation-sheet'!T10*'Output-Calculation-sheet'!T73</f>
        <v>0</v>
      </c>
      <c r="U88" s="2">
        <f>U11/'Output-Calculation-sheet'!U10*'Output-Calculation-sheet'!U73</f>
        <v>1.2214714052005711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3.5121671238135518E-2</v>
      </c>
    </row>
    <row r="89" spans="1:27" x14ac:dyDescent="0.25">
      <c r="A89" s="2">
        <v>2035</v>
      </c>
      <c r="B89" s="2">
        <f>B12/'Output-Calculation-sheet'!B11*'Output-Calculation-sheet'!B74</f>
        <v>187.26684817560616</v>
      </c>
      <c r="C89" s="2">
        <f>C12/'Output-Calculation-sheet'!C11*'Output-Calculation-sheet'!C74</f>
        <v>101.57849201235381</v>
      </c>
      <c r="D89" s="2">
        <f>D12/'Output-Calculation-sheet'!D11*'Output-Calculation-sheet'!D74</f>
        <v>16.871438142710193</v>
      </c>
      <c r="E89" s="2">
        <f>E12/'Output-Calculation-sheet'!E11*'Output-Calculation-sheet'!E74</f>
        <v>55.867953580792651</v>
      </c>
      <c r="F89" s="2">
        <f>F12/'Output-Calculation-sheet'!F11*'Output-Calculation-sheet'!F74</f>
        <v>16.865807636250459</v>
      </c>
      <c r="G89" s="2">
        <f>G12/'Output-Calculation-sheet'!G11*'Output-Calculation-sheet'!G74</f>
        <v>12.104332549997</v>
      </c>
      <c r="H89" s="2">
        <f>H12/'Output-Calculation-sheet'!H11*'Output-Calculation-sheet'!H74</f>
        <v>42.017732582935324</v>
      </c>
      <c r="I89" s="2">
        <f>I12/'Output-Calculation-sheet'!I11*'Output-Calculation-sheet'!I74</f>
        <v>10.887099143538478</v>
      </c>
      <c r="J89" s="2">
        <f>J12/'Output-Calculation-sheet'!J11*'Output-Calculation-sheet'!J74</f>
        <v>5.3873108801124987</v>
      </c>
      <c r="K89" s="2">
        <f>K12/'Output-Calculation-sheet'!K11*'Output-Calculation-sheet'!K74</f>
        <v>8.0252141122930976</v>
      </c>
      <c r="L89" s="2">
        <f>L12/'Output-Calculation-sheet'!L11*'Output-Calculation-sheet'!L74</f>
        <v>4.2541872128550811</v>
      </c>
      <c r="M89" s="2">
        <f>M12/'Output-Calculation-sheet'!M11*'Output-Calculation-sheet'!M74</f>
        <v>22.188500985368531</v>
      </c>
      <c r="N89" s="2">
        <f>N12/'Output-Calculation-sheet'!N11*'Output-Calculation-sheet'!N74</f>
        <v>11.234268692361411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15.262486707459058</v>
      </c>
      <c r="Q89" s="2">
        <f>Q12/'Output-Calculation-sheet'!Q11*'Output-Calculation-sheet'!Q74</f>
        <v>12.737921589376937</v>
      </c>
      <c r="R89" s="2">
        <f>R12/'Output-Calculation-sheet'!R11*'Output-Calculation-sheet'!R74</f>
        <v>6.8902091091429813</v>
      </c>
      <c r="S89" s="2">
        <f>S12/'Output-Calculation-sheet'!S11*'Output-Calculation-sheet'!S74</f>
        <v>9.8492139207741882</v>
      </c>
      <c r="T89" s="2">
        <f>T12/'Output-Calculation-sheet'!T11*'Output-Calculation-sheet'!T74</f>
        <v>1.2745589051290911</v>
      </c>
      <c r="U89" s="2">
        <f>U12/'Output-Calculation-sheet'!U11*'Output-Calculation-sheet'!U74</f>
        <v>3.6946935287632927</v>
      </c>
      <c r="V89" s="2">
        <f>V12/'Output-Calculation-sheet'!V11*'Output-Calculation-sheet'!V74</f>
        <v>0.28489314752327183</v>
      </c>
      <c r="W89" s="2">
        <f>W12/'Output-Calculation-sheet'!W11*'Output-Calculation-sheet'!W74</f>
        <v>1.726885870681103</v>
      </c>
      <c r="X89" s="2">
        <f>X12/'Output-Calculation-sheet'!X11*'Output-Calculation-sheet'!X74</f>
        <v>0.22128406422277608</v>
      </c>
      <c r="Y89" s="2">
        <f>Y12/'Output-Calculation-sheet'!Y11*'Output-Calculation-sheet'!Y74</f>
        <v>2.3489769021857341</v>
      </c>
      <c r="AA89" s="2">
        <f t="shared" si="7"/>
        <v>0.5494569931732729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9648799164.8671227</v>
      </c>
      <c r="C96" s="2">
        <f>C8/'Output-Calculation-sheet'!C7*'Output-Calculation-sheet'!C79</f>
        <v>2330027169.1078725</v>
      </c>
      <c r="D96" s="2">
        <f>D8/'Output-Calculation-sheet'!D7*'Output-Calculation-sheet'!D79</f>
        <v>1891626056.7476783</v>
      </c>
      <c r="E96" s="2">
        <f>E8/'Output-Calculation-sheet'!E7*'Output-Calculation-sheet'!E79</f>
        <v>7087244707.9814911</v>
      </c>
      <c r="F96" s="2">
        <f>F8/'Output-Calculation-sheet'!F7*'Output-Calculation-sheet'!F79</f>
        <v>2067456994.9723108</v>
      </c>
      <c r="G96" s="2">
        <f>G8/'Output-Calculation-sheet'!G7*'Output-Calculation-sheet'!G79</f>
        <v>1327012714.5912745</v>
      </c>
      <c r="H96" s="2">
        <f>H8/'Output-Calculation-sheet'!H7*'Output-Calculation-sheet'!H79</f>
        <v>1634835673.9344037</v>
      </c>
      <c r="I96" s="2">
        <f>I8/'Output-Calculation-sheet'!I7*'Output-Calculation-sheet'!I79</f>
        <v>954248981.9476831</v>
      </c>
      <c r="J96" s="2">
        <f>J8/'Output-Calculation-sheet'!J7*'Output-Calculation-sheet'!J79</f>
        <v>723131627.22274029</v>
      </c>
      <c r="K96" s="2">
        <f>K8/'Output-Calculation-sheet'!K7*'Output-Calculation-sheet'!K79</f>
        <v>906901959.11696625</v>
      </c>
      <c r="L96" s="2">
        <f>L8/'Output-Calculation-sheet'!L7*'Output-Calculation-sheet'!L79</f>
        <v>823312299.7604562</v>
      </c>
      <c r="M96" s="2">
        <f>M8/'Output-Calculation-sheet'!M7*'Output-Calculation-sheet'!M79</f>
        <v>1261430558.3318214</v>
      </c>
      <c r="N96" s="2">
        <f>N8/'Output-Calculation-sheet'!N7*'Output-Calculation-sheet'!N79</f>
        <v>820013995.26580286</v>
      </c>
      <c r="O96" s="2">
        <f>O8/'Output-Calculation-sheet'!O7*'Output-Calculation-sheet'!O79</f>
        <v>307686492.33372182</v>
      </c>
      <c r="P96" s="2">
        <f>P8/'Output-Calculation-sheet'!P7*'Output-Calculation-sheet'!P79</f>
        <v>1561731868.6260998</v>
      </c>
      <c r="Q96" s="2">
        <f>Q8/'Output-Calculation-sheet'!Q7*'Output-Calculation-sheet'!Q79</f>
        <v>663060320.2180171</v>
      </c>
      <c r="R96" s="2">
        <f>R8/'Output-Calculation-sheet'!R7*'Output-Calculation-sheet'!R79</f>
        <v>880068512.50635934</v>
      </c>
      <c r="S96" s="2">
        <f>S8/'Output-Calculation-sheet'!S7*'Output-Calculation-sheet'!S79</f>
        <v>496322947.78998429</v>
      </c>
      <c r="T96" s="2">
        <f>T8/'Output-Calculation-sheet'!T7*'Output-Calculation-sheet'!T79</f>
        <v>299421230.27695417</v>
      </c>
      <c r="U96" s="2">
        <f>U8/'Output-Calculation-sheet'!U7*'Output-Calculation-sheet'!U79</f>
        <v>235682066.7841922</v>
      </c>
      <c r="V96" s="2">
        <f>V8/'Output-Calculation-sheet'!V7*'Output-Calculation-sheet'!V79</f>
        <v>108169862.70321432</v>
      </c>
      <c r="W96" s="2">
        <f>W8/'Output-Calculation-sheet'!W7*'Output-Calculation-sheet'!W79</f>
        <v>333045230.05220509</v>
      </c>
      <c r="X96" s="2">
        <f>X8/'Output-Calculation-sheet'!X7*'Output-Calculation-sheet'!X79</f>
        <v>150209957.41197002</v>
      </c>
      <c r="Y96" s="2">
        <f>Y8/'Output-Calculation-sheet'!Y7*'Output-Calculation-sheet'!Y79</f>
        <v>206716536.28730005</v>
      </c>
      <c r="AA96" s="2">
        <f t="shared" si="8"/>
        <v>36.718156928837644</v>
      </c>
    </row>
    <row r="97" spans="1:27" x14ac:dyDescent="0.25">
      <c r="A97" s="2">
        <v>2032</v>
      </c>
      <c r="B97" s="2">
        <f>B9/'Output-Calculation-sheet'!B8*'Output-Calculation-sheet'!B80</f>
        <v>11419055897.698555</v>
      </c>
      <c r="C97" s="2">
        <f>C9/'Output-Calculation-sheet'!C8*'Output-Calculation-sheet'!C80</f>
        <v>2696979007.8499231</v>
      </c>
      <c r="D97" s="2">
        <f>D9/'Output-Calculation-sheet'!D8*'Output-Calculation-sheet'!D80</f>
        <v>2060190077.0356598</v>
      </c>
      <c r="E97" s="2">
        <f>E9/'Output-Calculation-sheet'!E8*'Output-Calculation-sheet'!E80</f>
        <v>8673107756.5893421</v>
      </c>
      <c r="F97" s="2">
        <f>F9/'Output-Calculation-sheet'!F8*'Output-Calculation-sheet'!F80</f>
        <v>2378463842.0776792</v>
      </c>
      <c r="G97" s="2">
        <f>G9/'Output-Calculation-sheet'!G8*'Output-Calculation-sheet'!G80</f>
        <v>1457395886.1966758</v>
      </c>
      <c r="H97" s="2">
        <f>H9/'Output-Calculation-sheet'!H8*'Output-Calculation-sheet'!H80</f>
        <v>1908254181.0914688</v>
      </c>
      <c r="I97" s="2">
        <f>I9/'Output-Calculation-sheet'!I8*'Output-Calculation-sheet'!I80</f>
        <v>1099150297.5863276</v>
      </c>
      <c r="J97" s="2">
        <f>J9/'Output-Calculation-sheet'!J8*'Output-Calculation-sheet'!J80</f>
        <v>821368323.24192178</v>
      </c>
      <c r="K97" s="2">
        <f>K9/'Output-Calculation-sheet'!K8*'Output-Calculation-sheet'!K80</f>
        <v>1013026077.1147799</v>
      </c>
      <c r="L97" s="2">
        <f>L9/'Output-Calculation-sheet'!L8*'Output-Calculation-sheet'!L80</f>
        <v>977133964.10398138</v>
      </c>
      <c r="M97" s="2">
        <f>M9/'Output-Calculation-sheet'!M8*'Output-Calculation-sheet'!M80</f>
        <v>1505483288.9784522</v>
      </c>
      <c r="N97" s="2">
        <f>N9/'Output-Calculation-sheet'!N8*'Output-Calculation-sheet'!N80</f>
        <v>945902654.06591618</v>
      </c>
      <c r="O97" s="2">
        <f>O9/'Output-Calculation-sheet'!O8*'Output-Calculation-sheet'!O80</f>
        <v>351608537.52677435</v>
      </c>
      <c r="P97" s="2">
        <f>P9/'Output-Calculation-sheet'!P8*'Output-Calculation-sheet'!P80</f>
        <v>1773338807.73067</v>
      </c>
      <c r="Q97" s="2">
        <f>Q9/'Output-Calculation-sheet'!Q8*'Output-Calculation-sheet'!Q80</f>
        <v>767030545.08001077</v>
      </c>
      <c r="R97" s="2">
        <f>R9/'Output-Calculation-sheet'!R8*'Output-Calculation-sheet'!R80</f>
        <v>1027826679.2686439</v>
      </c>
      <c r="S97" s="2">
        <f>S9/'Output-Calculation-sheet'!S8*'Output-Calculation-sheet'!S80</f>
        <v>572048684.59302557</v>
      </c>
      <c r="T97" s="2">
        <f>T9/'Output-Calculation-sheet'!T8*'Output-Calculation-sheet'!T80</f>
        <v>333557700.96830672</v>
      </c>
      <c r="U97" s="2">
        <f>U9/'Output-Calculation-sheet'!U8*'Output-Calculation-sheet'!U80</f>
        <v>265419542.56141621</v>
      </c>
      <c r="V97" s="2">
        <f>V9/'Output-Calculation-sheet'!V8*'Output-Calculation-sheet'!V80</f>
        <v>122426874.60503268</v>
      </c>
      <c r="W97" s="2">
        <f>W9/'Output-Calculation-sheet'!W8*'Output-Calculation-sheet'!W80</f>
        <v>378848742.7261551</v>
      </c>
      <c r="X97" s="2">
        <f>X9/'Output-Calculation-sheet'!X8*'Output-Calculation-sheet'!X80</f>
        <v>183487929.78257906</v>
      </c>
      <c r="Y97" s="2">
        <f>Y9/'Output-Calculation-sheet'!Y8*'Output-Calculation-sheet'!Y80</f>
        <v>240865802.09650126</v>
      </c>
      <c r="AA97" s="2">
        <f t="shared" si="8"/>
        <v>42.971971100569803</v>
      </c>
    </row>
    <row r="98" spans="1:27" x14ac:dyDescent="0.25">
      <c r="A98" s="2">
        <v>2033</v>
      </c>
      <c r="B98" s="2">
        <f>B10/'Output-Calculation-sheet'!B9*'Output-Calculation-sheet'!B81</f>
        <v>11627845082.894564</v>
      </c>
      <c r="C98" s="2">
        <f>C10/'Output-Calculation-sheet'!C9*'Output-Calculation-sheet'!C81</f>
        <v>2692556915.8345194</v>
      </c>
      <c r="D98" s="2">
        <f>D10/'Output-Calculation-sheet'!D9*'Output-Calculation-sheet'!D81</f>
        <v>1937008044.0093381</v>
      </c>
      <c r="E98" s="2">
        <f>E10/'Output-Calculation-sheet'!E9*'Output-Calculation-sheet'!E81</f>
        <v>9143425766.9395561</v>
      </c>
      <c r="F98" s="2">
        <f>F10/'Output-Calculation-sheet'!F9*'Output-Calculation-sheet'!F81</f>
        <v>2355809664.4761295</v>
      </c>
      <c r="G98" s="2">
        <f>G10/'Output-Calculation-sheet'!G9*'Output-Calculation-sheet'!G81</f>
        <v>1376314962.1702642</v>
      </c>
      <c r="H98" s="2">
        <f>H10/'Output-Calculation-sheet'!H9*'Output-Calculation-sheet'!H81</f>
        <v>1916043657.0358329</v>
      </c>
      <c r="I98" s="2">
        <f>I10/'Output-Calculation-sheet'!I9*'Output-Calculation-sheet'!I81</f>
        <v>1091936091.619205</v>
      </c>
      <c r="J98" s="2">
        <f>J10/'Output-Calculation-sheet'!J9*'Output-Calculation-sheet'!J81</f>
        <v>805511927.81289983</v>
      </c>
      <c r="K98" s="2">
        <f>K10/'Output-Calculation-sheet'!K9*'Output-Calculation-sheet'!K81</f>
        <v>975435548.19391203</v>
      </c>
      <c r="L98" s="2">
        <f>L10/'Output-Calculation-sheet'!L9*'Output-Calculation-sheet'!L81</f>
        <v>999726030.62041426</v>
      </c>
      <c r="M98" s="2">
        <f>M10/'Output-Calculation-sheet'!M9*'Output-Calculation-sheet'!M81</f>
        <v>1549221392.494787</v>
      </c>
      <c r="N98" s="2">
        <f>N10/'Output-Calculation-sheet'!N9*'Output-Calculation-sheet'!N81</f>
        <v>941483986.9320091</v>
      </c>
      <c r="O98" s="2">
        <f>O10/'Output-Calculation-sheet'!O9*'Output-Calculation-sheet'!O81</f>
        <v>347247089.08197886</v>
      </c>
      <c r="P98" s="2">
        <f>P10/'Output-Calculation-sheet'!P9*'Output-Calculation-sheet'!P81</f>
        <v>1722707753.1656735</v>
      </c>
      <c r="Q98" s="2">
        <f>Q10/'Output-Calculation-sheet'!Q9*'Output-Calculation-sheet'!Q81</f>
        <v>765454841.03125525</v>
      </c>
      <c r="R98" s="2">
        <f>R10/'Output-Calculation-sheet'!R9*'Output-Calculation-sheet'!R81</f>
        <v>1033193720.0349689</v>
      </c>
      <c r="S98" s="2">
        <f>S10/'Output-Calculation-sheet'!S9*'Output-Calculation-sheet'!S81</f>
        <v>567428709.00978708</v>
      </c>
      <c r="T98" s="2">
        <f>T10/'Output-Calculation-sheet'!T9*'Output-Calculation-sheet'!T81</f>
        <v>319696784.50628525</v>
      </c>
      <c r="U98" s="2">
        <f>U10/'Output-Calculation-sheet'!U9*'Output-Calculation-sheet'!U81</f>
        <v>256886153.44054806</v>
      </c>
      <c r="V98" s="2">
        <f>V10/'Output-Calculation-sheet'!V9*'Output-Calculation-sheet'!V81</f>
        <v>119309761.69446269</v>
      </c>
      <c r="W98" s="2">
        <f>W10/'Output-Calculation-sheet'!W9*'Output-Calculation-sheet'!W81</f>
        <v>368965945.71339744</v>
      </c>
      <c r="X98" s="2">
        <f>X10/'Output-Calculation-sheet'!X9*'Output-Calculation-sheet'!X81</f>
        <v>193424536.6053994</v>
      </c>
      <c r="Y98" s="2">
        <f>Y10/'Output-Calculation-sheet'!Y9*'Output-Calculation-sheet'!Y81</f>
        <v>240809346.57911423</v>
      </c>
      <c r="AA98" s="2">
        <f t="shared" si="8"/>
        <v>43.347443711896311</v>
      </c>
    </row>
    <row r="99" spans="1:27" x14ac:dyDescent="0.25">
      <c r="A99" s="2">
        <v>2034</v>
      </c>
      <c r="B99" s="2">
        <f>B11/'Output-Calculation-sheet'!B10*'Output-Calculation-sheet'!B82</f>
        <v>10368637694.206553</v>
      </c>
      <c r="C99" s="2">
        <f>C11/'Output-Calculation-sheet'!C10*'Output-Calculation-sheet'!C82</f>
        <v>2360246705.8019195</v>
      </c>
      <c r="D99" s="2">
        <f>D11/'Output-Calculation-sheet'!D10*'Output-Calculation-sheet'!D82</f>
        <v>1601016764.7971103</v>
      </c>
      <c r="E99" s="2">
        <f>E11/'Output-Calculation-sheet'!E10*'Output-Calculation-sheet'!E82</f>
        <v>8449900752.7343454</v>
      </c>
      <c r="F99" s="2">
        <f>F11/'Output-Calculation-sheet'!F10*'Output-Calculation-sheet'!F82</f>
        <v>2045350759.2847617</v>
      </c>
      <c r="G99" s="2">
        <f>G11/'Output-Calculation-sheet'!G10*'Output-Calculation-sheet'!G82</f>
        <v>1138363153.8227482</v>
      </c>
      <c r="H99" s="2">
        <f>H11/'Output-Calculation-sheet'!H10*'Output-Calculation-sheet'!H82</f>
        <v>1684483346.9184883</v>
      </c>
      <c r="I99" s="2">
        <f>I11/'Output-Calculation-sheet'!I10*'Output-Calculation-sheet'!I82</f>
        <v>952499317.37195849</v>
      </c>
      <c r="J99" s="2">
        <f>J11/'Output-Calculation-sheet'!J10*'Output-Calculation-sheet'!J82</f>
        <v>694365367.25607967</v>
      </c>
      <c r="K99" s="2">
        <f>K11/'Output-Calculation-sheet'!K10*'Output-Calculation-sheet'!K82</f>
        <v>824458970.09594083</v>
      </c>
      <c r="L99" s="2">
        <f>L11/'Output-Calculation-sheet'!L10*'Output-Calculation-sheet'!L82</f>
        <v>897497372.04882407</v>
      </c>
      <c r="M99" s="2">
        <f>M11/'Output-Calculation-sheet'!M10*'Output-Calculation-sheet'!M82</f>
        <v>1399065973.14765</v>
      </c>
      <c r="N99" s="2">
        <f>N11/'Output-Calculation-sheet'!N10*'Output-Calculation-sheet'!N82</f>
        <v>823168863.00909185</v>
      </c>
      <c r="O99" s="2">
        <f>O11/'Output-Calculation-sheet'!O10*'Output-Calculation-sheet'!O82</f>
        <v>301689488.31104571</v>
      </c>
      <c r="P99" s="2">
        <f>P11/'Output-Calculation-sheet'!P10*'Output-Calculation-sheet'!P82</f>
        <v>1458262541.2145491</v>
      </c>
      <c r="Q99" s="2">
        <f>Q11/'Output-Calculation-sheet'!Q10*'Output-Calculation-sheet'!Q82</f>
        <v>670783545.39445281</v>
      </c>
      <c r="R99" s="2">
        <f>R11/'Output-Calculation-sheet'!R10*'Output-Calculation-sheet'!R82</f>
        <v>909902040.03547251</v>
      </c>
      <c r="S99" s="2">
        <f>S11/'Output-Calculation-sheet'!S10*'Output-Calculation-sheet'!S82</f>
        <v>493089339.45325512</v>
      </c>
      <c r="T99" s="2">
        <f>T11/'Output-Calculation-sheet'!T10*'Output-Calculation-sheet'!T82</f>
        <v>268506657.20617205</v>
      </c>
      <c r="U99" s="2">
        <f>U11/'Output-Calculation-sheet'!U10*'Output-Calculation-sheet'!U82</f>
        <v>217607353.91443917</v>
      </c>
      <c r="V99" s="2">
        <f>V11/'Output-Calculation-sheet'!V10*'Output-Calculation-sheet'!V82</f>
        <v>101931793.7937576</v>
      </c>
      <c r="W99" s="2">
        <f>W11/'Output-Calculation-sheet'!W10*'Output-Calculation-sheet'!W82</f>
        <v>313338220.07733172</v>
      </c>
      <c r="X99" s="2">
        <f>X11/'Output-Calculation-sheet'!X10*'Output-Calculation-sheet'!X82</f>
        <v>179084955.97871515</v>
      </c>
      <c r="Y99" s="2">
        <f>Y11/'Output-Calculation-sheet'!Y10*'Output-Calculation-sheet'!Y82</f>
        <v>210313280.30991563</v>
      </c>
      <c r="AA99" s="2">
        <f t="shared" si="8"/>
        <v>38.36356425618456</v>
      </c>
    </row>
    <row r="100" spans="1:27" x14ac:dyDescent="0.25">
      <c r="A100" s="2">
        <v>2035</v>
      </c>
      <c r="B100" s="2">
        <f>B12/'Output-Calculation-sheet'!B11*'Output-Calculation-sheet'!B83</f>
        <v>8088202310.9422817</v>
      </c>
      <c r="C100" s="2">
        <f>C12/'Output-Calculation-sheet'!C11*'Output-Calculation-sheet'!C83</f>
        <v>1815019414.6177521</v>
      </c>
      <c r="D100" s="2">
        <f>D12/'Output-Calculation-sheet'!D11*'Output-Calculation-sheet'!D83</f>
        <v>1162665634.5881233</v>
      </c>
      <c r="E100" s="2">
        <f>E12/'Output-Calculation-sheet'!E11*'Output-Calculation-sheet'!E83</f>
        <v>6837142506.3988371</v>
      </c>
      <c r="F100" s="2">
        <f>F12/'Output-Calculation-sheet'!F11*'Output-Calculation-sheet'!F83</f>
        <v>1555532032.8074102</v>
      </c>
      <c r="G100" s="2">
        <f>G12/'Output-Calculation-sheet'!G11*'Output-Calculation-sheet'!G83</f>
        <v>824382615.25255358</v>
      </c>
      <c r="H100" s="2">
        <f>H12/'Output-Calculation-sheet'!H11*'Output-Calculation-sheet'!H83</f>
        <v>1295439918.8553338</v>
      </c>
      <c r="I100" s="2">
        <f>I12/'Output-Calculation-sheet'!I11*'Output-Calculation-sheet'!I83</f>
        <v>729006690.91082263</v>
      </c>
      <c r="J100" s="2">
        <f>J12/'Output-Calculation-sheet'!J11*'Output-Calculation-sheet'!J83</f>
        <v>525699901.30037504</v>
      </c>
      <c r="K100" s="2">
        <f>K12/'Output-Calculation-sheet'!K11*'Output-Calculation-sheet'!K83</f>
        <v>611339856.34875059</v>
      </c>
      <c r="L100" s="2">
        <f>L12/'Output-Calculation-sheet'!L11*'Output-Calculation-sheet'!L83</f>
        <v>706311074.83861399</v>
      </c>
      <c r="M100" s="2">
        <f>M12/'Output-Calculation-sheet'!M11*'Output-Calculation-sheet'!M83</f>
        <v>1107659382.4930453</v>
      </c>
      <c r="N100" s="2">
        <f>N12/'Output-Calculation-sheet'!N11*'Output-Calculation-sheet'!N83</f>
        <v>631723745.01052976</v>
      </c>
      <c r="O100" s="2">
        <f>O12/'Output-Calculation-sheet'!O11*'Output-Calculation-sheet'!O83</f>
        <v>230369789.12939748</v>
      </c>
      <c r="P100" s="2">
        <f>P12/'Output-Calculation-sheet'!P11*'Output-Calculation-sheet'!P83</f>
        <v>1075493103.8219612</v>
      </c>
      <c r="Q100" s="2">
        <f>Q12/'Output-Calculation-sheet'!Q11*'Output-Calculation-sheet'!Q83</f>
        <v>515698866.42062008</v>
      </c>
      <c r="R100" s="2">
        <f>R12/'Output-Calculation-sheet'!R11*'Output-Calculation-sheet'!R83</f>
        <v>701388836.26520979</v>
      </c>
      <c r="S100" s="2">
        <f>S12/'Output-Calculation-sheet'!S11*'Output-Calculation-sheet'!S83</f>
        <v>375066513.69809777</v>
      </c>
      <c r="T100" s="2">
        <f>T12/'Output-Calculation-sheet'!T11*'Output-Calculation-sheet'!T83</f>
        <v>197547899.56650898</v>
      </c>
      <c r="U100" s="2">
        <f>U12/'Output-Calculation-sheet'!U11*'Output-Calculation-sheet'!U83</f>
        <v>161269917.99206832</v>
      </c>
      <c r="V100" s="2">
        <f>V12/'Output-Calculation-sheet'!V11*'Output-Calculation-sheet'!V83</f>
        <v>76291607.198543847</v>
      </c>
      <c r="W100" s="2">
        <f>W12/'Output-Calculation-sheet'!W11*'Output-Calculation-sheet'!W83</f>
        <v>231979609.90106606</v>
      </c>
      <c r="X100" s="2">
        <f>X12/'Output-Calculation-sheet'!X11*'Output-Calculation-sheet'!X83</f>
        <v>145476717.02404693</v>
      </c>
      <c r="Y100" s="2">
        <f>Y12/'Output-Calculation-sheet'!Y11*'Output-Calculation-sheet'!Y83</f>
        <v>160359599.25282446</v>
      </c>
      <c r="AA100" s="2">
        <f t="shared" si="8"/>
        <v>29.761067544634777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1598.1494429239547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388.09504862514046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37.135945817881058</v>
      </c>
      <c r="Y107" s="2">
        <f>Y8/'Output-Calculation-sheet'!Y7*'Output-Calculation-sheet'!Y88</f>
        <v>0</v>
      </c>
      <c r="AA107" s="2">
        <f t="shared" si="9"/>
        <v>2.0233804373669759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2887.603711490468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560.98118121953587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47.927707640777164</v>
      </c>
      <c r="Y108" s="2">
        <f>Y9/'Output-Calculation-sheet'!Y8*'Output-Calculation-sheet'!Y89</f>
        <v>0</v>
      </c>
      <c r="AA108" s="2">
        <f t="shared" si="9"/>
        <v>3.4965126003507807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670.94357460891172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4.1691535977821266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753.52788996364075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4.3691090279305786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2199.8092176425371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79.514740410717536</v>
      </c>
      <c r="Y111" s="2">
        <f>Y12/'Output-Calculation-sheet'!Y11*'Output-Calculation-sheet'!Y92</f>
        <v>0</v>
      </c>
      <c r="AA111" s="2">
        <f t="shared" si="9"/>
        <v>2.9915936556229883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13227317360.220278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8231710531.9511433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5679183011.8455734</v>
      </c>
      <c r="N118" s="2">
        <f>N8/'Output-Calculation-sheet'!N7*'Output-Calculation-sheet'!N97</f>
        <v>1904760732.9171286</v>
      </c>
      <c r="O118" s="2">
        <f>O8/'Output-Calculation-sheet'!O7*'Output-Calculation-sheet'!O97</f>
        <v>1826224092.9668102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570093034.26454866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309233793.96430665</v>
      </c>
      <c r="Y118" s="2">
        <f>Y8/'Output-Calculation-sheet'!Y7*'Output-Calculation-sheet'!Y97</f>
        <v>0</v>
      </c>
      <c r="AA118" s="2">
        <f t="shared" si="10"/>
        <v>33350.519911061798</v>
      </c>
    </row>
    <row r="119" spans="1:27" x14ac:dyDescent="0.25">
      <c r="A119" s="2">
        <v>2032</v>
      </c>
      <c r="B119" s="2">
        <f>B9/'Output-Calculation-sheet'!B8*'Output-Calculation-sheet'!B98</f>
        <v>6792787913.3316488</v>
      </c>
      <c r="C119" s="2">
        <f>C9/'Output-Calculation-sheet'!C8*'Output-Calculation-sheet'!C98</f>
        <v>10022358178.397324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10623914089.922491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7329572367.2876034</v>
      </c>
      <c r="N119" s="2">
        <f>N9/'Output-Calculation-sheet'!N8*'Output-Calculation-sheet'!N98</f>
        <v>3449168675.8595347</v>
      </c>
      <c r="O119" s="2">
        <f>O9/'Output-Calculation-sheet'!O8*'Output-Calculation-sheet'!O98</f>
        <v>1932858057.93838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1033328413.5555043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403112728.68854254</v>
      </c>
      <c r="Y119" s="2">
        <f>Y9/'Output-Calculation-sheet'!Y8*'Output-Calculation-sheet'!Y98</f>
        <v>0</v>
      </c>
      <c r="AA119" s="2">
        <f t="shared" si="10"/>
        <v>41587.100424981036</v>
      </c>
    </row>
    <row r="120" spans="1:27" x14ac:dyDescent="0.25">
      <c r="A120" s="2">
        <v>2033</v>
      </c>
      <c r="B120" s="2">
        <f>B10/'Output-Calculation-sheet'!B9*'Output-Calculation-sheet'!B99</f>
        <v>15977141140.170113</v>
      </c>
      <c r="C120" s="2">
        <f>C10/'Output-Calculation-sheet'!C9*'Output-Calculation-sheet'!C99</f>
        <v>9263227770.4534512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4796898203.5957127</v>
      </c>
      <c r="O120" s="2">
        <f>O10/'Output-Calculation-sheet'!O9*'Output-Calculation-sheet'!O99</f>
        <v>1778007249.9214404</v>
      </c>
      <c r="P120" s="2">
        <f>P10/'Output-Calculation-sheet'!P9*'Output-Calculation-sheet'!P99</f>
        <v>0</v>
      </c>
      <c r="Q120" s="2">
        <f>Q10/'Output-Calculation-sheet'!Q9*'Output-Calculation-sheet'!Q99</f>
        <v>154556992.94489336</v>
      </c>
      <c r="R120" s="2">
        <f>R10/'Output-Calculation-sheet'!R9*'Output-Calculation-sheet'!R99</f>
        <v>0</v>
      </c>
      <c r="S120" s="2">
        <f>S10/'Output-Calculation-sheet'!S9*'Output-Calculation-sheet'!S99</f>
        <v>1934945685.9010086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526209206.88137221</v>
      </c>
      <c r="Y120" s="2">
        <f>Y10/'Output-Calculation-sheet'!Y9*'Output-Calculation-sheet'!Y99</f>
        <v>0</v>
      </c>
      <c r="AA120" s="2">
        <f t="shared" si="10"/>
        <v>54472.767211144899</v>
      </c>
    </row>
    <row r="121" spans="1:27" x14ac:dyDescent="0.25">
      <c r="A121" s="2">
        <v>2034</v>
      </c>
      <c r="B121" s="2">
        <f>B11/'Output-Calculation-sheet'!B10*'Output-Calculation-sheet'!B100</f>
        <v>29988451297.396832</v>
      </c>
      <c r="C121" s="2">
        <f>C11/'Output-Calculation-sheet'!C10*'Output-Calculation-sheet'!C100</f>
        <v>7730313517.625598</v>
      </c>
      <c r="D121" s="2">
        <f>D11/'Output-Calculation-sheet'!D10*'Output-Calculation-sheet'!D100</f>
        <v>0</v>
      </c>
      <c r="E121" s="2">
        <f>E11/'Output-Calculation-sheet'!E10*'Output-Calculation-sheet'!E100</f>
        <v>635449778.45438993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11391881062.67507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532741710.67053378</v>
      </c>
      <c r="M121" s="2">
        <f>M11/'Output-Calculation-sheet'!M10*'Output-Calculation-sheet'!M100</f>
        <v>8040754617.6916876</v>
      </c>
      <c r="N121" s="2">
        <f>N11/'Output-Calculation-sheet'!N10*'Output-Calculation-sheet'!N100</f>
        <v>5553897271.4969339</v>
      </c>
      <c r="O121" s="2">
        <f>O11/'Output-Calculation-sheet'!O10*'Output-Calculation-sheet'!O100</f>
        <v>825508560.10178018</v>
      </c>
      <c r="P121" s="2">
        <f>P11/'Output-Calculation-sheet'!P10*'Output-Calculation-sheet'!P100</f>
        <v>0</v>
      </c>
      <c r="Q121" s="2">
        <f>Q11/'Output-Calculation-sheet'!Q10*'Output-Calculation-sheet'!Q100</f>
        <v>932557404.41876733</v>
      </c>
      <c r="R121" s="2">
        <f>R11/'Output-Calculation-sheet'!R10*'Output-Calculation-sheet'!R100</f>
        <v>0</v>
      </c>
      <c r="S121" s="2">
        <f>S11/'Output-Calculation-sheet'!S10*'Output-Calculation-sheet'!S100</f>
        <v>2567552529.4389596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34766621.897242799</v>
      </c>
      <c r="AA121" s="2">
        <f t="shared" si="10"/>
        <v>68619.082374448</v>
      </c>
    </row>
    <row r="122" spans="1:27" x14ac:dyDescent="0.25">
      <c r="A122" s="2">
        <v>2035</v>
      </c>
      <c r="B122" s="2">
        <f>B12/'Output-Calculation-sheet'!B11*'Output-Calculation-sheet'!B101</f>
        <v>24469129083.44149</v>
      </c>
      <c r="C122" s="2">
        <f>C12/'Output-Calculation-sheet'!C11*'Output-Calculation-sheet'!C101</f>
        <v>10175492115.566776</v>
      </c>
      <c r="D122" s="2">
        <f>D12/'Output-Calculation-sheet'!D11*'Output-Calculation-sheet'!D101</f>
        <v>0</v>
      </c>
      <c r="E122" s="2">
        <f>E12/'Output-Calculation-sheet'!E11*'Output-Calculation-sheet'!E101</f>
        <v>1993204778.9227829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8822081242.2193966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1009846198.0259007</v>
      </c>
      <c r="M122" s="2">
        <f>M12/'Output-Calculation-sheet'!M11*'Output-Calculation-sheet'!M101</f>
        <v>6311685182.85606</v>
      </c>
      <c r="N122" s="2">
        <f>N12/'Output-Calculation-sheet'!N11*'Output-Calculation-sheet'!N101</f>
        <v>4482252487.9143648</v>
      </c>
      <c r="O122" s="2">
        <f>O12/'Output-Calculation-sheet'!O11*'Output-Calculation-sheet'!O101</f>
        <v>28897466.149334226</v>
      </c>
      <c r="P122" s="2">
        <f>P12/'Output-Calculation-sheet'!P11*'Output-Calculation-sheet'!P101</f>
        <v>191542315.63025945</v>
      </c>
      <c r="Q122" s="2">
        <f>Q12/'Output-Calculation-sheet'!Q11*'Output-Calculation-sheet'!Q101</f>
        <v>862776485.02039635</v>
      </c>
      <c r="R122" s="2">
        <f>R12/'Output-Calculation-sheet'!R11*'Output-Calculation-sheet'!R101</f>
        <v>0</v>
      </c>
      <c r="S122" s="2">
        <f>S12/'Output-Calculation-sheet'!S11*'Output-Calculation-sheet'!S101</f>
        <v>2127306334.0813751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77228949.788651004</v>
      </c>
      <c r="Y122" s="2">
        <f>Y12/'Output-Calculation-sheet'!Y11*'Output-Calculation-sheet'!Y101</f>
        <v>45553267.741154805</v>
      </c>
      <c r="AA122" s="2">
        <f t="shared" si="10"/>
        <v>60596.995907357945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3670294532.1490355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2622722296.388134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172840.73182391105</v>
      </c>
    </row>
    <row r="130" spans="1:27" x14ac:dyDescent="0.25">
      <c r="A130" s="2">
        <v>2032</v>
      </c>
      <c r="B130" s="2">
        <f>B9/'Output-Calculation-sheet'!B8*'Output-Calculation-sheet'!B107</f>
        <v>65478648822.47567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3745411037.265759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3087104014.43575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217053.95064003201</v>
      </c>
    </row>
    <row r="131" spans="1:27" x14ac:dyDescent="0.25">
      <c r="A131" s="2">
        <v>2033</v>
      </c>
      <c r="B131" s="2">
        <f>B10/'Output-Calculation-sheet'!B9*'Output-Calculation-sheet'!B108</f>
        <v>64693383518.238731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3233819100.3773193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7039050361.7060661</v>
      </c>
      <c r="R131" s="2">
        <f>R10/'Output-Calculation-sheet'!R9*'Output-Calculation-sheet'!R108</f>
        <v>6920334596.3140612</v>
      </c>
      <c r="S131" s="2">
        <f>S10/'Output-Calculation-sheet'!S9*'Output-Calculation-sheet'!S108</f>
        <v>2664314947.3593979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232010.61620226564</v>
      </c>
    </row>
    <row r="132" spans="1:27" x14ac:dyDescent="0.25">
      <c r="A132" s="2">
        <v>2034</v>
      </c>
      <c r="B132" s="2">
        <f>B11/'Output-Calculation-sheet'!B10*'Output-Calculation-sheet'!B109</f>
        <v>48635214269.005592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25782305870.482048</v>
      </c>
      <c r="F132" s="2">
        <f>F11/'Output-Calculation-sheet'!F10*'Output-Calculation-sheet'!F109</f>
        <v>17006894354.502127</v>
      </c>
      <c r="G132" s="2">
        <f>G11/'Output-Calculation-sheet'!G10*'Output-Calculation-sheet'!G109</f>
        <v>11916071204.629133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10596223581.225525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7886194387.3947401</v>
      </c>
      <c r="M132" s="2">
        <f>M11/'Output-Calculation-sheet'!M10*'Output-Calculation-sheet'!M109</f>
        <v>4.3474878361503115E-9</v>
      </c>
      <c r="N132" s="2">
        <f>N11/'Output-Calculation-sheet'!N10*'Output-Calculation-sheet'!N109</f>
        <v>2338066120.3323698</v>
      </c>
      <c r="O132" s="2">
        <f>O11/'Output-Calculation-sheet'!O10*'Output-Calculation-sheet'!O109</f>
        <v>0</v>
      </c>
      <c r="P132" s="2">
        <f>P11/'Output-Calculation-sheet'!P10*'Output-Calculation-sheet'!P109</f>
        <v>7184657374.2600422</v>
      </c>
      <c r="Q132" s="2">
        <f>Q11/'Output-Calculation-sheet'!Q10*'Output-Calculation-sheet'!Q109</f>
        <v>5912208668.2967787</v>
      </c>
      <c r="R132" s="2">
        <f>R11/'Output-Calculation-sheet'!R10*'Output-Calculation-sheet'!R109</f>
        <v>6800322907.5428028</v>
      </c>
      <c r="S132" s="2">
        <f>S11/'Output-Calculation-sheet'!S10*'Output-Calculation-sheet'!S109</f>
        <v>1869243817.5966785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2106663670.8381505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812208448.11011457</v>
      </c>
      <c r="AA132" s="2">
        <f t="shared" si="11"/>
        <v>209154.03486494711</v>
      </c>
    </row>
    <row r="133" spans="1:27" x14ac:dyDescent="0.25">
      <c r="A133" s="2">
        <v>2035</v>
      </c>
      <c r="B133" s="2">
        <f>B12/'Output-Calculation-sheet'!B11*'Output-Calculation-sheet'!B110</f>
        <v>36300153631.648964</v>
      </c>
      <c r="C133" s="2">
        <f>C12/'Output-Calculation-sheet'!C11*'Output-Calculation-sheet'!C110</f>
        <v>0</v>
      </c>
      <c r="D133" s="2">
        <f>D12/'Output-Calculation-sheet'!D11*'Output-Calculation-sheet'!D110</f>
        <v>25472137383.85014</v>
      </c>
      <c r="E133" s="2">
        <f>E12/'Output-Calculation-sheet'!E11*'Output-Calculation-sheet'!E110</f>
        <v>19761330966.111931</v>
      </c>
      <c r="F133" s="2">
        <f>F12/'Output-Calculation-sheet'!F11*'Output-Calculation-sheet'!F110</f>
        <v>13483927891.936396</v>
      </c>
      <c r="G133" s="2">
        <f>G12/'Output-Calculation-sheet'!G11*'Output-Calculation-sheet'!G110</f>
        <v>9130592581.2214546</v>
      </c>
      <c r="H133" s="2">
        <f>H12/'Output-Calculation-sheet'!H11*'Output-Calculation-sheet'!H110</f>
        <v>0</v>
      </c>
      <c r="I133" s="2">
        <f>I12/'Output-Calculation-sheet'!I11*'Output-Calculation-sheet'!I110</f>
        <v>8375079746.0445814</v>
      </c>
      <c r="J133" s="2">
        <f>J12/'Output-Calculation-sheet'!J11*'Output-Calculation-sheet'!J110</f>
        <v>8384429950.5048981</v>
      </c>
      <c r="K133" s="2">
        <f>K12/'Output-Calculation-sheet'!K11*'Output-Calculation-sheet'!K110</f>
        <v>8227066972.7168646</v>
      </c>
      <c r="L133" s="2">
        <f>L12/'Output-Calculation-sheet'!L11*'Output-Calculation-sheet'!L110</f>
        <v>5913786768.3995733</v>
      </c>
      <c r="M133" s="2">
        <f>M12/'Output-Calculation-sheet'!M11*'Output-Calculation-sheet'!M110</f>
        <v>0</v>
      </c>
      <c r="N133" s="2">
        <f>N12/'Output-Calculation-sheet'!N11*'Output-Calculation-sheet'!N110</f>
        <v>1718589347.6267154</v>
      </c>
      <c r="O133" s="2">
        <f>O12/'Output-Calculation-sheet'!O11*'Output-Calculation-sheet'!O110</f>
        <v>0</v>
      </c>
      <c r="P133" s="2">
        <f>P12/'Output-Calculation-sheet'!P11*'Output-Calculation-sheet'!P110</f>
        <v>5538672177.2102671</v>
      </c>
      <c r="Q133" s="2">
        <f>Q12/'Output-Calculation-sheet'!Q11*'Output-Calculation-sheet'!Q110</f>
        <v>4424275043.5598812</v>
      </c>
      <c r="R133" s="2">
        <f>R12/'Output-Calculation-sheet'!R11*'Output-Calculation-sheet'!R110</f>
        <v>5476359444.7582617</v>
      </c>
      <c r="S133" s="2">
        <f>S12/'Output-Calculation-sheet'!S11*'Output-Calculation-sheet'!S110</f>
        <v>1319944297.672153</v>
      </c>
      <c r="T133" s="2">
        <f>T12/'Output-Calculation-sheet'!T11*'Output-Calculation-sheet'!T110</f>
        <v>2046749355.6691301</v>
      </c>
      <c r="U133" s="2">
        <f>U12/'Output-Calculation-sheet'!U11*'Output-Calculation-sheet'!U110</f>
        <v>1617125238.0334654</v>
      </c>
      <c r="V133" s="2">
        <f>V12/'Output-Calculation-sheet'!V11*'Output-Calculation-sheet'!V110</f>
        <v>1408259306.0263503</v>
      </c>
      <c r="W133" s="2">
        <f>W12/'Output-Calculation-sheet'!W11*'Output-Calculation-sheet'!W110</f>
        <v>1185920739.3886054</v>
      </c>
      <c r="X133" s="2">
        <f>X12/'Output-Calculation-sheet'!X11*'Output-Calculation-sheet'!X110</f>
        <v>553490.67211232719</v>
      </c>
      <c r="Y133" s="2">
        <f>Y12/'Output-Calculation-sheet'!Y11*'Output-Calculation-sheet'!Y110</f>
        <v>624640792.00264943</v>
      </c>
      <c r="AA133" s="2">
        <f t="shared" si="11"/>
        <v>160409.59512505439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13161092745.479895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3301205030.2633839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305940390.19802284</v>
      </c>
      <c r="Y140" s="2">
        <f>Y8/'Output-Calculation-sheet'!Y7*'Output-Calculation-sheet'!Y115</f>
        <v>0</v>
      </c>
      <c r="AA140" s="2">
        <f t="shared" si="12"/>
        <v>16768.2381659413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24035502547.450455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4684562340.5844841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390783605.99494535</v>
      </c>
      <c r="Y141" s="2">
        <f>Y9/'Output-Calculation-sheet'!Y8*'Output-Calculation-sheet'!Y116</f>
        <v>0</v>
      </c>
      <c r="AA141" s="2">
        <f t="shared" si="12"/>
        <v>29110.848494029884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28754141992.790665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5608756200.5471096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359959077.6157431</v>
      </c>
      <c r="Y142" s="2">
        <f>Y10/'Output-Calculation-sheet'!Y9*'Output-Calculation-sheet'!Y117</f>
        <v>0</v>
      </c>
      <c r="AA142" s="2">
        <f t="shared" si="12"/>
        <v>34722.857270953522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29628942887.556198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6433596659.3183327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36548.196885337769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18081098551.313992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6233685723.7349749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670097861.61966133</v>
      </c>
      <c r="Y144" s="2">
        <f>Y12/'Output-Calculation-sheet'!Y11*'Output-Calculation-sheet'!Y119</f>
        <v>0</v>
      </c>
      <c r="AA144" s="2">
        <f t="shared" si="12"/>
        <v>24984.882136668624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12097388142.772879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1744220479.6203973</v>
      </c>
      <c r="H154" s="2">
        <f>H11/'Output-Calculation-sheet'!H10*'Output-Calculation-sheet'!H127</f>
        <v>1985427193.9504216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1264175312.0519159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741576136.49866247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392811034.84420329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46655.38513430344</v>
      </c>
    </row>
    <row r="155" spans="1:27" x14ac:dyDescent="0.25">
      <c r="A155" s="2">
        <v>2035</v>
      </c>
      <c r="B155" s="2">
        <f>B12/'Output-Calculation-sheet'!B11*'Output-Calculation-sheet'!B128</f>
        <v>9065935901.4705639</v>
      </c>
      <c r="C155" s="2">
        <f>C12/'Output-Calculation-sheet'!C11*'Output-Calculation-sheet'!C128</f>
        <v>4330865667.8320875</v>
      </c>
      <c r="D155" s="2">
        <f>D12/'Output-Calculation-sheet'!D11*'Output-Calculation-sheet'!D128</f>
        <v>3479489481.0809083</v>
      </c>
      <c r="E155" s="2">
        <f>E12/'Output-Calculation-sheet'!E11*'Output-Calculation-sheet'!E128</f>
        <v>1711002337.0773399</v>
      </c>
      <c r="F155" s="2">
        <f>F12/'Output-Calculation-sheet'!F11*'Output-Calculation-sheet'!F128</f>
        <v>1397161115.2642395</v>
      </c>
      <c r="G155" s="2">
        <f>G12/'Output-Calculation-sheet'!G11*'Output-Calculation-sheet'!G128</f>
        <v>1328174115.1022792</v>
      </c>
      <c r="H155" s="2">
        <f>H12/'Output-Calculation-sheet'!H11*'Output-Calculation-sheet'!H128</f>
        <v>1487603621.6188157</v>
      </c>
      <c r="I155" s="2">
        <f>I12/'Output-Calculation-sheet'!I11*'Output-Calculation-sheet'!I128</f>
        <v>1143185329.4350667</v>
      </c>
      <c r="J155" s="2">
        <f>J12/'Output-Calculation-sheet'!J11*'Output-Calculation-sheet'!J128</f>
        <v>832222895.69682658</v>
      </c>
      <c r="K155" s="2">
        <f>K12/'Output-Calculation-sheet'!K11*'Output-Calculation-sheet'!K128</f>
        <v>919806348.71864569</v>
      </c>
      <c r="L155" s="2">
        <f>L12/'Output-Calculation-sheet'!L11*'Output-Calculation-sheet'!L128</f>
        <v>400442955.38379771</v>
      </c>
      <c r="M155" s="2">
        <f>M12/'Output-Calculation-sheet'!M11*'Output-Calculation-sheet'!M128</f>
        <v>794455243.50821376</v>
      </c>
      <c r="N155" s="2">
        <f>N12/'Output-Calculation-sheet'!N11*'Output-Calculation-sheet'!N128</f>
        <v>700099138.88858294</v>
      </c>
      <c r="O155" s="2">
        <f>O12/'Output-Calculation-sheet'!O11*'Output-Calculation-sheet'!O128</f>
        <v>11473696.634406691</v>
      </c>
      <c r="P155" s="2">
        <f>P12/'Output-Calculation-sheet'!P11*'Output-Calculation-sheet'!P128</f>
        <v>609966380.16264415</v>
      </c>
      <c r="Q155" s="2">
        <f>Q12/'Output-Calculation-sheet'!Q11*'Output-Calculation-sheet'!Q128</f>
        <v>918387355.69743669</v>
      </c>
      <c r="R155" s="2">
        <f>R12/'Output-Calculation-sheet'!R11*'Output-Calculation-sheet'!R128</f>
        <v>470192405.66224724</v>
      </c>
      <c r="S155" s="2">
        <f>S12/'Output-Calculation-sheet'!S11*'Output-Calculation-sheet'!S128</f>
        <v>520821507.5235787</v>
      </c>
      <c r="T155" s="2">
        <f>T12/'Output-Calculation-sheet'!T11*'Output-Calculation-sheet'!T128</f>
        <v>128095591.62739341</v>
      </c>
      <c r="U155" s="2">
        <f>U12/'Output-Calculation-sheet'!U11*'Output-Calculation-sheet'!U128</f>
        <v>296868809.77080703</v>
      </c>
      <c r="V155" s="2">
        <f>V12/'Output-Calculation-sheet'!V11*'Output-Calculation-sheet'!V128</f>
        <v>44293121.101598762</v>
      </c>
      <c r="W155" s="2">
        <f>W12/'Output-Calculation-sheet'!W11*'Output-Calculation-sheet'!W128</f>
        <v>89299402.310460031</v>
      </c>
      <c r="X155" s="2">
        <f>X12/'Output-Calculation-sheet'!X11*'Output-Calculation-sheet'!X128</f>
        <v>6314402.7321348982</v>
      </c>
      <c r="Y155" s="2">
        <f>Y12/'Output-Calculation-sheet'!Y11*'Output-Calculation-sheet'!Y128</f>
        <v>84824545.54489328</v>
      </c>
      <c r="AA155" s="2">
        <f t="shared" si="13"/>
        <v>30770.981369844973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8978.6493361387056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5657.8495715536465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3927.3343351751428</v>
      </c>
      <c r="N19" s="2">
        <f>N8/'Output-Calculation-sheet'!N7*'Output-Calculation-sheet'!N25</f>
        <v>1341.6825622778567</v>
      </c>
      <c r="O19" s="2">
        <f>O8/'Output-Calculation-sheet'!O7*'Output-Calculation-sheet'!O25</f>
        <v>1158.8726609075975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207.33798845671666</v>
      </c>
      <c r="Y19" s="2">
        <f>Y8/'Output-Calculation-sheet'!Y7*'Output-Calculation-sheet'!Y25</f>
        <v>0</v>
      </c>
      <c r="AA19" s="2">
        <f t="shared" si="0"/>
        <v>23.010612715707342</v>
      </c>
    </row>
    <row r="20" spans="1:27" x14ac:dyDescent="0.25">
      <c r="A20" s="2">
        <v>2032</v>
      </c>
      <c r="B20" s="2">
        <f>B9/'Output-Calculation-sheet'!B8*'Output-Calculation-sheet'!B26</f>
        <v>6958.3822490667899</v>
      </c>
      <c r="C20" s="2">
        <f>C9/'Output-Calculation-sheet'!C8*'Output-Calculation-sheet'!C26</f>
        <v>6716.4978608598558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7567.8720684380278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5260.4902592851349</v>
      </c>
      <c r="N20" s="2">
        <f>N9/'Output-Calculation-sheet'!N8*'Output-Calculation-sheet'!N26</f>
        <v>2368.6131818512617</v>
      </c>
      <c r="O20" s="2">
        <f>O9/'Output-Calculation-sheet'!O8*'Output-Calculation-sheet'!O26</f>
        <v>1292.1834529532027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861.04367826574207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281.07204039507587</v>
      </c>
      <c r="Y20" s="2">
        <f>Y9/'Output-Calculation-sheet'!Y8*'Output-Calculation-sheet'!Y26</f>
        <v>0</v>
      </c>
      <c r="AA20" s="2">
        <f t="shared" si="0"/>
        <v>31.306154791115091</v>
      </c>
    </row>
    <row r="21" spans="1:27" x14ac:dyDescent="0.25">
      <c r="A21" s="2">
        <v>2033</v>
      </c>
      <c r="B21" s="2">
        <f>B10/'Output-Calculation-sheet'!B9*'Output-Calculation-sheet'!B27</f>
        <v>15547.139767662318</v>
      </c>
      <c r="C21" s="2">
        <f>C10/'Output-Calculation-sheet'!C9*'Output-Calculation-sheet'!C27</f>
        <v>6460.1036971893936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9032.4242689634066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6276.2510284207174</v>
      </c>
      <c r="N21" s="2">
        <f>N10/'Output-Calculation-sheet'!N9*'Output-Calculation-sheet'!N27</f>
        <v>3427.8140865299574</v>
      </c>
      <c r="O21" s="2">
        <f>O10/'Output-Calculation-sheet'!O9*'Output-Calculation-sheet'!O27</f>
        <v>1242.3515885229472</v>
      </c>
      <c r="P21" s="2">
        <f>P10/'Output-Calculation-sheet'!P9*'Output-Calculation-sheet'!P27</f>
        <v>0</v>
      </c>
      <c r="Q21" s="2">
        <f>Q10/'Output-Calculation-sheet'!Q9*'Output-Calculation-sheet'!Q27</f>
        <v>229.7382116701925</v>
      </c>
      <c r="R21" s="2">
        <f>R10/'Output-Calculation-sheet'!R9*'Output-Calculation-sheet'!R27</f>
        <v>0</v>
      </c>
      <c r="S21" s="2">
        <f>S10/'Output-Calculation-sheet'!S9*'Output-Calculation-sheet'!S27</f>
        <v>1492.1868754409127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397.71331064081261</v>
      </c>
      <c r="Y21" s="2">
        <f>Y10/'Output-Calculation-sheet'!Y9*'Output-Calculation-sheet'!Y27</f>
        <v>0</v>
      </c>
      <c r="AA21" s="2">
        <f t="shared" si="0"/>
        <v>44.105722835040666</v>
      </c>
    </row>
    <row r="22" spans="1:27" x14ac:dyDescent="0.25">
      <c r="A22" s="2">
        <v>2034</v>
      </c>
      <c r="B22" s="2">
        <f>B11/'Output-Calculation-sheet'!B10*'Output-Calculation-sheet'!B28</f>
        <v>26973.247056139411</v>
      </c>
      <c r="C22" s="2">
        <f>C11/'Output-Calculation-sheet'!C10*'Output-Calculation-sheet'!C28</f>
        <v>5871.9231489974727</v>
      </c>
      <c r="D22" s="2">
        <f>D11/'Output-Calculation-sheet'!D10*'Output-Calculation-sheet'!D28</f>
        <v>0</v>
      </c>
      <c r="E22" s="2">
        <f>E11/'Output-Calculation-sheet'!E10*'Output-Calculation-sheet'!E28</f>
        <v>1385.8798552279604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10301.742039715104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840.48471031889892</v>
      </c>
      <c r="M22" s="2">
        <f>M11/'Output-Calculation-sheet'!M10*'Output-Calculation-sheet'!M28</f>
        <v>7643.3174751092511</v>
      </c>
      <c r="N22" s="2">
        <f>N11/'Output-Calculation-sheet'!N10*'Output-Calculation-sheet'!N28</f>
        <v>4401.2516353949522</v>
      </c>
      <c r="O22" s="2">
        <f>O11/'Output-Calculation-sheet'!O10*'Output-Calculation-sheet'!O28</f>
        <v>624.56422166333095</v>
      </c>
      <c r="P22" s="2">
        <f>P11/'Output-Calculation-sheet'!P10*'Output-Calculation-sheet'!P28</f>
        <v>0</v>
      </c>
      <c r="Q22" s="2">
        <f>Q11/'Output-Calculation-sheet'!Q10*'Output-Calculation-sheet'!Q28</f>
        <v>1270.2683822311376</v>
      </c>
      <c r="R22" s="2">
        <f>R11/'Output-Calculation-sheet'!R10*'Output-Calculation-sheet'!R28</f>
        <v>0</v>
      </c>
      <c r="S22" s="2">
        <f>S11/'Output-Calculation-sheet'!S10*'Output-Calculation-sheet'!S28</f>
        <v>2099.4564336751087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76.505518083698007</v>
      </c>
      <c r="AA22" s="2">
        <f t="shared" si="0"/>
        <v>61.801616793459779</v>
      </c>
    </row>
    <row r="23" spans="1:27" x14ac:dyDescent="0.25">
      <c r="A23" s="2">
        <v>2035</v>
      </c>
      <c r="B23" s="2">
        <f>B12/'Output-Calculation-sheet'!B11*'Output-Calculation-sheet'!B29</f>
        <v>24742.58070781457</v>
      </c>
      <c r="C23" s="2">
        <f>C12/'Output-Calculation-sheet'!C11*'Output-Calculation-sheet'!C29</f>
        <v>9304.3206381680757</v>
      </c>
      <c r="D23" s="2">
        <f>D12/'Output-Calculation-sheet'!D11*'Output-Calculation-sheet'!D29</f>
        <v>0</v>
      </c>
      <c r="E23" s="2">
        <f>E12/'Output-Calculation-sheet'!E11*'Output-Calculation-sheet'!E29</f>
        <v>4198.3800827473478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9029.2769855189526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1509.1161051502504</v>
      </c>
      <c r="M23" s="2">
        <f>M12/'Output-Calculation-sheet'!M11*'Output-Calculation-sheet'!M29</f>
        <v>6938.7310186143468</v>
      </c>
      <c r="N23" s="2">
        <f>N12/'Output-Calculation-sheet'!N11*'Output-Calculation-sheet'!N29</f>
        <v>4128.1603613433235</v>
      </c>
      <c r="O23" s="2">
        <f>O12/'Output-Calculation-sheet'!O11*'Output-Calculation-sheet'!O29</f>
        <v>25.283189573492209</v>
      </c>
      <c r="P23" s="2">
        <f>P12/'Output-Calculation-sheet'!P11*'Output-Calculation-sheet'!P29</f>
        <v>467.95091990512316</v>
      </c>
      <c r="Q23" s="2">
        <f>Q12/'Output-Calculation-sheet'!Q11*'Output-Calculation-sheet'!Q29</f>
        <v>1275.6364711251158</v>
      </c>
      <c r="R23" s="2">
        <f>R12/'Output-Calculation-sheet'!R11*'Output-Calculation-sheet'!R29</f>
        <v>0</v>
      </c>
      <c r="S23" s="2">
        <f>S12/'Output-Calculation-sheet'!S11*'Output-Calculation-sheet'!S29</f>
        <v>1972.2128519149737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67.56952788698591</v>
      </c>
      <c r="Y23" s="2">
        <f>Y12/'Output-Calculation-sheet'!Y11*'Output-Calculation-sheet'!Y29</f>
        <v>99.119831916778253</v>
      </c>
      <c r="AA23" s="2">
        <f t="shared" si="0"/>
        <v>63.758338691679334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1828.6632358084287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46.999372579902385</v>
      </c>
    </row>
    <row r="31" spans="1:27" x14ac:dyDescent="0.25">
      <c r="A31" s="2">
        <v>2032</v>
      </c>
      <c r="B31" s="2">
        <f>B9/'Output-Calculation-sheet'!B8*'Output-Calculation-sheet'!B17</f>
        <v>29463.798013647305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2018.1538868854902</v>
      </c>
      <c r="O31" s="2">
        <f>O9/'Output-Calculation-sheet'!O8*'Output-Calculation-sheet'!O17</f>
        <v>0</v>
      </c>
      <c r="P31" s="2">
        <f>P9/'Output-Calculation-sheet'!P8*'Output-Calculation-sheet'!P17</f>
        <v>2498.336410544312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1500.9930055675634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64.163280402270956</v>
      </c>
    </row>
    <row r="32" spans="1:27" x14ac:dyDescent="0.25">
      <c r="A32" s="2">
        <v>2033</v>
      </c>
      <c r="B32" s="2">
        <f>B10/'Output-Calculation-sheet'!B9*'Output-Calculation-sheet'!B18</f>
        <v>31747.276785988965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3021.4284422142987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1935.8323366969819</v>
      </c>
      <c r="O32" s="2">
        <f>O10/'Output-Calculation-sheet'!O9*'Output-Calculation-sheet'!O18</f>
        <v>0</v>
      </c>
      <c r="P32" s="2">
        <f>P10/'Output-Calculation-sheet'!P9*'Output-Calculation-sheet'!P18</f>
        <v>3109.6533490875631</v>
      </c>
      <c r="Q32" s="2">
        <f>Q10/'Output-Calculation-sheet'!Q9*'Output-Calculation-sheet'!Q18</f>
        <v>3390.0846323967899</v>
      </c>
      <c r="R32" s="2">
        <f>R10/'Output-Calculation-sheet'!R9*'Output-Calculation-sheet'!R18</f>
        <v>2232.9715177179482</v>
      </c>
      <c r="S32" s="2">
        <f>S10/'Output-Calculation-sheet'!S9*'Output-Calculation-sheet'!S18</f>
        <v>1462.3589871529778</v>
      </c>
      <c r="T32" s="2">
        <f>T10/'Output-Calculation-sheet'!T9*'Output-Calculation-sheet'!T18</f>
        <v>651.96563319654808</v>
      </c>
      <c r="U32" s="2">
        <f>U10/'Output-Calculation-sheet'!U9*'Output-Calculation-sheet'!U18</f>
        <v>720.73302576012588</v>
      </c>
      <c r="V32" s="2">
        <f>V10/'Output-Calculation-sheet'!V9*'Output-Calculation-sheet'!V18</f>
        <v>532.00384156500297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308.0338565683191</v>
      </c>
      <c r="AA32" s="2">
        <f t="shared" si="1"/>
        <v>76.218497107081589</v>
      </c>
    </row>
    <row r="33" spans="1:27" x14ac:dyDescent="0.25">
      <c r="A33" s="2">
        <v>2034</v>
      </c>
      <c r="B33" s="2">
        <f>B11/'Output-Calculation-sheet'!B10*'Output-Calculation-sheet'!B19</f>
        <v>27483.147244281474</v>
      </c>
      <c r="C33" s="2">
        <f>C11/'Output-Calculation-sheet'!C10*'Output-Calculation-sheet'!C19</f>
        <v>0</v>
      </c>
      <c r="D33" s="2">
        <f>D11/'Output-Calculation-sheet'!D10*'Output-Calculation-sheet'!D19</f>
        <v>8316.8654011965482</v>
      </c>
      <c r="E33" s="2">
        <f>E11/'Output-Calculation-sheet'!E10*'Output-Calculation-sheet'!E19</f>
        <v>10311.589378703338</v>
      </c>
      <c r="F33" s="2">
        <f>F11/'Output-Calculation-sheet'!F10*'Output-Calculation-sheet'!F19</f>
        <v>4721.2770134126404</v>
      </c>
      <c r="G33" s="2">
        <f>G11/'Output-Calculation-sheet'!G10*'Output-Calculation-sheet'!G19</f>
        <v>2812.6760608106133</v>
      </c>
      <c r="H33" s="2">
        <f>H11/'Output-Calculation-sheet'!H10*'Output-Calculation-sheet'!H19</f>
        <v>0</v>
      </c>
      <c r="I33" s="2">
        <f>I11/'Output-Calculation-sheet'!I10*'Output-Calculation-sheet'!I19</f>
        <v>3089.5664453791132</v>
      </c>
      <c r="J33" s="2">
        <f>J11/'Output-Calculation-sheet'!J10*'Output-Calculation-sheet'!J19</f>
        <v>2612.3175019331961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2947.2706693104747</v>
      </c>
      <c r="M33" s="2">
        <f>M11/'Output-Calculation-sheet'!M10*'Output-Calculation-sheet'!M19</f>
        <v>0</v>
      </c>
      <c r="N33" s="2">
        <f>N11/'Output-Calculation-sheet'!N10*'Output-Calculation-sheet'!N19</f>
        <v>1664.4760118950301</v>
      </c>
      <c r="O33" s="2">
        <f>O11/'Output-Calculation-sheet'!O10*'Output-Calculation-sheet'!O19</f>
        <v>0</v>
      </c>
      <c r="P33" s="2">
        <f>P11/'Output-Calculation-sheet'!P10*'Output-Calculation-sheet'!P19</f>
        <v>3667.5023086584665</v>
      </c>
      <c r="Q33" s="2">
        <f>Q11/'Output-Calculation-sheet'!Q10*'Output-Calculation-sheet'!Q19</f>
        <v>2986.0211255115378</v>
      </c>
      <c r="R33" s="2">
        <f>R11/'Output-Calculation-sheet'!R10*'Output-Calculation-sheet'!R19</f>
        <v>2617.7508594628316</v>
      </c>
      <c r="S33" s="2">
        <f>S11/'Output-Calculation-sheet'!S10*'Output-Calculation-sheet'!S19</f>
        <v>1214.9203352013606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821.6774052639181</v>
      </c>
      <c r="V33" s="2">
        <f>V11/'Output-Calculation-sheet'!V10*'Output-Calculation-sheet'!V19</f>
        <v>602.39670081906877</v>
      </c>
      <c r="W33" s="2">
        <f>W11/'Output-Calculation-sheet'!W10*'Output-Calculation-sheet'!W19</f>
        <v>375.04543031444717</v>
      </c>
      <c r="X33" s="2">
        <f>X11/'Output-Calculation-sheet'!X10*'Output-Calculation-sheet'!X19</f>
        <v>0</v>
      </c>
      <c r="Y33" s="2">
        <f>Y11/'Output-Calculation-sheet'!Y10*'Output-Calculation-sheet'!Y19</f>
        <v>338.077034597948</v>
      </c>
      <c r="AA33" s="2">
        <f t="shared" si="1"/>
        <v>80.974450800861447</v>
      </c>
    </row>
    <row r="34" spans="1:27" x14ac:dyDescent="0.25">
      <c r="A34" s="2">
        <v>2035</v>
      </c>
      <c r="B34" s="2">
        <f>B12/'Output-Calculation-sheet'!B11*'Output-Calculation-sheet'!B20</f>
        <v>22889.22093436772</v>
      </c>
      <c r="C34" s="2">
        <f>C12/'Output-Calculation-sheet'!C11*'Output-Calculation-sheet'!C20</f>
        <v>0</v>
      </c>
      <c r="D34" s="2">
        <f>D12/'Output-Calculation-sheet'!D11*'Output-Calculation-sheet'!D20</f>
        <v>7299.6922156884766</v>
      </c>
      <c r="E34" s="2">
        <f>E12/'Output-Calculation-sheet'!E11*'Output-Calculation-sheet'!E20</f>
        <v>8089.7234533908022</v>
      </c>
      <c r="F34" s="2">
        <f>F12/'Output-Calculation-sheet'!F11*'Output-Calculation-sheet'!F20</f>
        <v>4543.876831940197</v>
      </c>
      <c r="G34" s="2">
        <f>G12/'Output-Calculation-sheet'!G11*'Output-Calculation-sheet'!G20</f>
        <v>2448.7611399725015</v>
      </c>
      <c r="H34" s="2">
        <f>H12/'Output-Calculation-sheet'!H11*'Output-Calculation-sheet'!H20</f>
        <v>0</v>
      </c>
      <c r="I34" s="2">
        <f>I12/'Output-Calculation-sheet'!I11*'Output-Calculation-sheet'!I20</f>
        <v>2718.4175217363513</v>
      </c>
      <c r="J34" s="2">
        <f>J12/'Output-Calculation-sheet'!J11*'Output-Calculation-sheet'!J20</f>
        <v>2514.6156038835179</v>
      </c>
      <c r="K34" s="2">
        <f>K12/'Output-Calculation-sheet'!K11*'Output-Calculation-sheet'!K20</f>
        <v>3347.3665357743921</v>
      </c>
      <c r="L34" s="2">
        <f>L12/'Output-Calculation-sheet'!L11*'Output-Calculation-sheet'!L20</f>
        <v>2678.1242119184849</v>
      </c>
      <c r="M34" s="2">
        <f>M12/'Output-Calculation-sheet'!M11*'Output-Calculation-sheet'!M20</f>
        <v>0</v>
      </c>
      <c r="N34" s="2">
        <f>N12/'Output-Calculation-sheet'!N11*'Output-Calculation-sheet'!N20</f>
        <v>1431.5996829138155</v>
      </c>
      <c r="O34" s="2">
        <f>O12/'Output-Calculation-sheet'!O11*'Output-Calculation-sheet'!O20</f>
        <v>0</v>
      </c>
      <c r="P34" s="2">
        <f>P12/'Output-Calculation-sheet'!P11*'Output-Calculation-sheet'!P20</f>
        <v>3071.2208644735274</v>
      </c>
      <c r="Q34" s="2">
        <f>Q12/'Output-Calculation-sheet'!Q11*'Output-Calculation-sheet'!Q20</f>
        <v>2512.6801337671563</v>
      </c>
      <c r="R34" s="2">
        <f>R12/'Output-Calculation-sheet'!R11*'Output-Calculation-sheet'!R20</f>
        <v>2569.7527729798812</v>
      </c>
      <c r="S34" s="2">
        <f>S12/'Output-Calculation-sheet'!S11*'Output-Calculation-sheet'!S20</f>
        <v>991.34609935757931</v>
      </c>
      <c r="T34" s="2">
        <f>T12/'Output-Calculation-sheet'!T11*'Output-Calculation-sheet'!T20</f>
        <v>779.6626015482766</v>
      </c>
      <c r="U34" s="2">
        <f>U12/'Output-Calculation-sheet'!U11*'Output-Calculation-sheet'!U20</f>
        <v>717.5918007991155</v>
      </c>
      <c r="V34" s="2">
        <f>V12/'Output-Calculation-sheet'!V11*'Output-Calculation-sheet'!V20</f>
        <v>706.18752655168373</v>
      </c>
      <c r="W34" s="2">
        <f>W12/'Output-Calculation-sheet'!W11*'Output-Calculation-sheet'!W20</f>
        <v>382.97207959914107</v>
      </c>
      <c r="X34" s="2">
        <f>X12/'Output-Calculation-sheet'!X11*'Output-Calculation-sheet'!X20</f>
        <v>0.84963573257418357</v>
      </c>
      <c r="Y34" s="2">
        <f>Y12/'Output-Calculation-sheet'!Y11*'Output-Calculation-sheet'!Y20</f>
        <v>277.32670210412834</v>
      </c>
      <c r="AA34" s="2">
        <f t="shared" si="1"/>
        <v>69.970988348499333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0.12421707292972806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1.8734323803059581E-2</v>
      </c>
      <c r="H44" s="2">
        <f>H11/'Output-Calculation-sheet'!H10*'Output-Calculation-sheet'!H37*0.0114</f>
        <v>1.8148577010582746E-2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1.0753610741413868E-2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7.0356891583519994E-3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3.4310484102291548E-3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0.18232032205336543</v>
      </c>
    </row>
    <row r="45" spans="1:27" x14ac:dyDescent="0.25">
      <c r="A45" s="2">
        <v>2035</v>
      </c>
      <c r="B45" s="2">
        <f>B12/'Output-Calculation-sheet'!B11*'Output-Calculation-sheet'!B38*0.0114</f>
        <v>0.43450179258828076</v>
      </c>
      <c r="C45" s="2">
        <f>C12/'Output-Calculation-sheet'!C11*'Output-Calculation-sheet'!C38*0.0114</f>
        <v>0.25778075935185701</v>
      </c>
      <c r="D45" s="2">
        <f>D12/'Output-Calculation-sheet'!D11*'Output-Calculation-sheet'!D38*0.0114</f>
        <v>4.5669847880860794E-2</v>
      </c>
      <c r="E45" s="2">
        <f>E12/'Output-Calculation-sheet'!E11*'Output-Calculation-sheet'!E38*0.0114</f>
        <v>0.1451815596911723</v>
      </c>
      <c r="F45" s="2">
        <f>F12/'Output-Calculation-sheet'!F11*'Output-Calculation-sheet'!F38*0.0114</f>
        <v>4.5654606478715158E-2</v>
      </c>
      <c r="G45" s="2">
        <f>G12/'Output-Calculation-sheet'!G11*'Output-Calculation-sheet'!G38*0.0114</f>
        <v>3.2765613789513828E-2</v>
      </c>
      <c r="H45" s="2">
        <f>H12/'Output-Calculation-sheet'!H11*'Output-Calculation-sheet'!H38*0.0114</f>
        <v>9.5223495346155304E-2</v>
      </c>
      <c r="I45" s="2">
        <f>I12/'Output-Calculation-sheet'!I11*'Output-Calculation-sheet'!I38*0.0114</f>
        <v>2.9470644858102232E-2</v>
      </c>
      <c r="J45" s="2">
        <f>J12/'Output-Calculation-sheet'!J11*'Output-Calculation-sheet'!J38*0.0114</f>
        <v>1.4583088074679158E-2</v>
      </c>
      <c r="K45" s="2">
        <f>K12/'Output-Calculation-sheet'!K11*'Output-Calculation-sheet'!K38*0.0114</f>
        <v>2.8964952848679722E-2</v>
      </c>
      <c r="L45" s="2">
        <f>L12/'Output-Calculation-sheet'!L11*'Output-Calculation-sheet'!L38*0.0114</f>
        <v>1.1515798548077103E-2</v>
      </c>
      <c r="M45" s="2">
        <f>M12/'Output-Calculation-sheet'!M11*'Output-Calculation-sheet'!M38*0.0114</f>
        <v>5.4602526586085359E-2</v>
      </c>
      <c r="N45" s="2">
        <f>N12/'Output-Calculation-sheet'!N11*'Output-Calculation-sheet'!N38*0.0114</f>
        <v>3.2199257083702706E-2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3.9661943617646515E-2</v>
      </c>
      <c r="Q45" s="2">
        <f>Q12/'Output-Calculation-sheet'!Q11*'Output-Calculation-sheet'!Q38*0.0114</f>
        <v>2.8211479109141159E-2</v>
      </c>
      <c r="R45" s="2">
        <f>R12/'Output-Calculation-sheet'!R11*'Output-Calculation-sheet'!R38*0.0114</f>
        <v>1.8651332460229295E-2</v>
      </c>
      <c r="S45" s="2">
        <f>S12/'Output-Calculation-sheet'!S11*'Output-Calculation-sheet'!S38*0.0114</f>
        <v>2.4610300977928289E-2</v>
      </c>
      <c r="T45" s="2">
        <f>T12/'Output-Calculation-sheet'!T11*'Output-Calculation-sheet'!T38*0.0114</f>
        <v>3.4501451992456833E-3</v>
      </c>
      <c r="U45" s="2">
        <f>U12/'Output-Calculation-sheet'!U11*'Output-Calculation-sheet'!U38*0.0114</f>
        <v>9.0011581110016389E-3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4.0067690235417435E-3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5.7804749332221132E-3</v>
      </c>
      <c r="AA45" s="2">
        <f t="shared" si="2"/>
        <v>1.3750150364866551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3468.7955663962207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7989.9439410434125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5464.5117040239229</v>
      </c>
      <c r="N52" s="2">
        <f>N8/'Output-Calculation-sheet'!N7*'Output-Calculation-sheet'!N43</f>
        <v>172.6149613747431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36.94851396603012</v>
      </c>
      <c r="Y52" s="2">
        <f>Y8/'Output-Calculation-sheet'!Y7*'Output-Calculation-sheet'!Y43</f>
        <v>0</v>
      </c>
      <c r="AA52" s="2">
        <f t="shared" si="3"/>
        <v>17.132814686804334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583.73092787256405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15137.195483092903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10362.363595502628</v>
      </c>
      <c r="N53" s="2">
        <f>N9/'Output-Calculation-sheet'!N8*'Output-Calculation-sheet'!N44</f>
        <v>3677.2250530373612</v>
      </c>
      <c r="O53" s="2">
        <f>O9/'Output-Calculation-sheet'!O8*'Output-Calculation-sheet'!O44</f>
        <v>203.90678287813097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1146.0559330689609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316.4078597940271</v>
      </c>
      <c r="Y53" s="2">
        <f>Y9/'Output-Calculation-sheet'!Y8*'Output-Calculation-sheet'!Y44</f>
        <v>0</v>
      </c>
      <c r="AA53" s="2">
        <f t="shared" si="3"/>
        <v>31.589886466560888</v>
      </c>
    </row>
    <row r="54" spans="1:27" x14ac:dyDescent="0.25">
      <c r="A54" s="2">
        <v>2033</v>
      </c>
      <c r="B54" s="2">
        <f>B10/'Output-Calculation-sheet'!B9*'Output-Calculation-sheet'!B45</f>
        <v>29858.674572402713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14915.854398880701</v>
      </c>
      <c r="N54" s="2">
        <f>N10/'Output-Calculation-sheet'!N9*'Output-Calculation-sheet'!N45</f>
        <v>8347.9309080208095</v>
      </c>
      <c r="O54" s="2">
        <f>O10/'Output-Calculation-sheet'!O9*'Output-Calculation-sheet'!O45</f>
        <v>1111.6417652064756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868.06303215035553</v>
      </c>
      <c r="R54" s="2">
        <f>R10/'Output-Calculation-sheet'!R9*'Output-Calculation-sheet'!R45</f>
        <v>1482.068315422576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91.177514150175199</v>
      </c>
    </row>
    <row r="55" spans="1:27" x14ac:dyDescent="0.25">
      <c r="A55" s="2">
        <v>2034</v>
      </c>
      <c r="B55" s="2">
        <f>B11/'Output-Calculation-sheet'!B10*'Output-Calculation-sheet'!B46</f>
        <v>76796.660527080996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272.48740198000655</v>
      </c>
      <c r="G55" s="2">
        <f>G11/'Output-Calculation-sheet'!G10*'Output-Calculation-sheet'!G46</f>
        <v>3071.4430866595053</v>
      </c>
      <c r="H55" s="2">
        <f>H11/'Output-Calculation-sheet'!H10*'Output-Calculation-sheet'!H46</f>
        <v>23763.492020786722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16732.807402673257</v>
      </c>
      <c r="N55" s="2">
        <f>N11/'Output-Calculation-sheet'!N10*'Output-Calculation-sheet'!N46</f>
        <v>12674.175280015974</v>
      </c>
      <c r="O55" s="2">
        <f>O11/'Output-Calculation-sheet'!O10*'Output-Calculation-sheet'!O46</f>
        <v>486.27441036905776</v>
      </c>
      <c r="P55" s="2">
        <f>P11/'Output-Calculation-sheet'!P10*'Output-Calculation-sheet'!P46</f>
        <v>4690.6459823821733</v>
      </c>
      <c r="Q55" s="2">
        <f>Q11/'Output-Calculation-sheet'!Q10*'Output-Calculation-sheet'!Q46</f>
        <v>3660.0008488320886</v>
      </c>
      <c r="R55" s="2">
        <f>R11/'Output-Calculation-sheet'!R10*'Output-Calculation-sheet'!R46</f>
        <v>3801.7051032951254</v>
      </c>
      <c r="S55" s="2">
        <f>S11/'Output-Calculation-sheet'!S10*'Output-Calculation-sheet'!S46</f>
        <v>5938.3685159353454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1122.9159314530682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189.75636724901909</v>
      </c>
    </row>
    <row r="56" spans="1:27" x14ac:dyDescent="0.25">
      <c r="A56" s="2">
        <v>2035</v>
      </c>
      <c r="B56" s="2">
        <f>B12/'Output-Calculation-sheet'!B11*'Output-Calculation-sheet'!B47</f>
        <v>70568.427103263311</v>
      </c>
      <c r="C56" s="2">
        <f>C12/'Output-Calculation-sheet'!C11*'Output-Calculation-sheet'!C47</f>
        <v>21992.768995229482</v>
      </c>
      <c r="D56" s="2">
        <f>D12/'Output-Calculation-sheet'!D11*'Output-Calculation-sheet'!D47</f>
        <v>7235.0653748100513</v>
      </c>
      <c r="E56" s="2">
        <f>E12/'Output-Calculation-sheet'!E11*'Output-Calculation-sheet'!E47</f>
        <v>18300.517655808297</v>
      </c>
      <c r="F56" s="2">
        <f>F12/'Output-Calculation-sheet'!F11*'Output-Calculation-sheet'!F47</f>
        <v>1051.2573860230464</v>
      </c>
      <c r="G56" s="2">
        <f>G12/'Output-Calculation-sheet'!G11*'Output-Calculation-sheet'!G47</f>
        <v>2677.2955478010645</v>
      </c>
      <c r="H56" s="2">
        <f>H12/'Output-Calculation-sheet'!H11*'Output-Calculation-sheet'!H47</f>
        <v>20872.600376095124</v>
      </c>
      <c r="I56" s="2">
        <f>I12/'Output-Calculation-sheet'!I11*'Output-Calculation-sheet'!I47</f>
        <v>1706.1952286269714</v>
      </c>
      <c r="J56" s="2">
        <f>J12/'Output-Calculation-sheet'!J11*'Output-Calculation-sheet'!J47</f>
        <v>2814.2801547626441</v>
      </c>
      <c r="K56" s="2">
        <f>K12/'Output-Calculation-sheet'!K11*'Output-Calculation-sheet'!K47</f>
        <v>3848.0193938004772</v>
      </c>
      <c r="L56" s="2">
        <f>L12/'Output-Calculation-sheet'!L11*'Output-Calculation-sheet'!L47</f>
        <v>4120.4335331233779</v>
      </c>
      <c r="M56" s="2">
        <f>M12/'Output-Calculation-sheet'!M11*'Output-Calculation-sheet'!M47</f>
        <v>14712.028128229806</v>
      </c>
      <c r="N56" s="2">
        <f>N12/'Output-Calculation-sheet'!N11*'Output-Calculation-sheet'!N47</f>
        <v>11906.193131008902</v>
      </c>
      <c r="O56" s="2">
        <f>O12/'Output-Calculation-sheet'!O11*'Output-Calculation-sheet'!O47</f>
        <v>53.594000902909428</v>
      </c>
      <c r="P56" s="2">
        <f>P12/'Output-Calculation-sheet'!P11*'Output-Calculation-sheet'!P47</f>
        <v>5103.8659023760911</v>
      </c>
      <c r="Q56" s="2">
        <f>Q12/'Output-Calculation-sheet'!Q11*'Output-Calculation-sheet'!Q47</f>
        <v>3589.9519614907113</v>
      </c>
      <c r="R56" s="2">
        <f>R12/'Output-Calculation-sheet'!R11*'Output-Calculation-sheet'!R47</f>
        <v>4194.9137217568341</v>
      </c>
      <c r="S56" s="2">
        <f>S12/'Output-Calculation-sheet'!S11*'Output-Calculation-sheet'!S47</f>
        <v>5536.2383208681658</v>
      </c>
      <c r="T56" s="2">
        <f>T12/'Output-Calculation-sheet'!T11*'Output-Calculation-sheet'!T47</f>
        <v>1417.2833305322397</v>
      </c>
      <c r="U56" s="2">
        <f>U12/'Output-Calculation-sheet'!U11*'Output-Calculation-sheet'!U47</f>
        <v>989.33781693728542</v>
      </c>
      <c r="V56" s="2">
        <f>V12/'Output-Calculation-sheet'!V11*'Output-Calculation-sheet'!V47</f>
        <v>977.5804642269851</v>
      </c>
      <c r="W56" s="2">
        <f>W12/'Output-Calculation-sheet'!W11*'Output-Calculation-sheet'!W47</f>
        <v>346.02316698919708</v>
      </c>
      <c r="X56" s="2">
        <f>X12/'Output-Calculation-sheet'!X11*'Output-Calculation-sheet'!X47</f>
        <v>116.12213784718278</v>
      </c>
      <c r="Y56" s="2">
        <f>Y12/'Output-Calculation-sheet'!Y11*'Output-Calculation-sheet'!Y47</f>
        <v>460.81540520282954</v>
      </c>
      <c r="AA56" s="2">
        <f t="shared" si="3"/>
        <v>204.59080823771296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8.5486183499568771</v>
      </c>
      <c r="C63" s="2">
        <f>C8*'Output-Calculation-sheet'!C52/10^9</f>
        <v>5.1707629602183287</v>
      </c>
      <c r="D63" s="2">
        <f>D8*'Output-Calculation-sheet'!D52/10^9</f>
        <v>2.9315044309615237</v>
      </c>
      <c r="E63" s="2">
        <f>E8*'Output-Calculation-sheet'!E52/10^9</f>
        <v>2.9147017460582441</v>
      </c>
      <c r="F63" s="2">
        <f>F8*'Output-Calculation-sheet'!F52/10^9</f>
        <v>1.2343759484985088</v>
      </c>
      <c r="G63" s="2">
        <f>G8*'Output-Calculation-sheet'!G52/10^9</f>
        <v>0.88746054262695651</v>
      </c>
      <c r="H63" s="2">
        <f>H8*'Output-Calculation-sheet'!H52/10^9</f>
        <v>1.5501242187598321</v>
      </c>
      <c r="I63" s="2">
        <f>I8*'Output-Calculation-sheet'!I52/10^9</f>
        <v>0.82554433967614116</v>
      </c>
      <c r="J63" s="2">
        <f>J8*'Output-Calculation-sheet'!J52/10^9</f>
        <v>1.1360049683843403</v>
      </c>
      <c r="K63" s="2">
        <f>K8*'Output-Calculation-sheet'!K52/10^9</f>
        <v>0.99808140334076356</v>
      </c>
      <c r="L63" s="2">
        <f>L8*'Output-Calculation-sheet'!L52/10^9</f>
        <v>1.3424675093805298</v>
      </c>
      <c r="M63" s="2">
        <f>M8*'Output-Calculation-sheet'!M52/10^9</f>
        <v>1.2582518510360872</v>
      </c>
      <c r="N63" s="2">
        <f>N8*'Output-Calculation-sheet'!N52/10^9</f>
        <v>1.0501785914420485</v>
      </c>
      <c r="O63" s="2">
        <f>O8*'Output-Calculation-sheet'!O52/10^9</f>
        <v>1.0553837931833672</v>
      </c>
      <c r="P63" s="2">
        <f>P8*'Output-Calculation-sheet'!P52/10^9</f>
        <v>0.68964732646794125</v>
      </c>
      <c r="Q63" s="2">
        <f>Q8*'Output-Calculation-sheet'!Q52/10^9</f>
        <v>0.78047867523635706</v>
      </c>
      <c r="R63" s="2">
        <f>R8*'Output-Calculation-sheet'!R52/10^9</f>
        <v>0.70071492514419731</v>
      </c>
      <c r="S63" s="2">
        <f>S8*'Output-Calculation-sheet'!S52/10^9</f>
        <v>0.51925458709451455</v>
      </c>
      <c r="T63" s="2">
        <f>T8*'Output-Calculation-sheet'!T52/10^9</f>
        <v>0.26640180485594411</v>
      </c>
      <c r="U63" s="2">
        <f>U8*'Output-Calculation-sheet'!U52/10^9</f>
        <v>0.18296190490312067</v>
      </c>
      <c r="V63" s="2">
        <f>V8*'Output-Calculation-sheet'!V52/10^9</f>
        <v>0.32471414391483877</v>
      </c>
      <c r="W63" s="2">
        <f>W8*'Output-Calculation-sheet'!W52/10^9</f>
        <v>0.11753130708569365</v>
      </c>
      <c r="X63" s="2">
        <f>X8*'Output-Calculation-sheet'!X52/10^9</f>
        <v>0.13379300224933319</v>
      </c>
      <c r="Y63" s="2">
        <f>Y8*'Output-Calculation-sheet'!Y52/10^9</f>
        <v>7.6685908439396766E-2</v>
      </c>
      <c r="AA63" s="2">
        <f t="shared" si="4"/>
        <v>34.695644238914895</v>
      </c>
    </row>
    <row r="64" spans="1:27" x14ac:dyDescent="0.25">
      <c r="A64" s="2">
        <v>2032</v>
      </c>
      <c r="B64" s="2">
        <f>B9*'Output-Calculation-sheet'!B53/10^9</f>
        <v>8.7243689046511772</v>
      </c>
      <c r="C64" s="2">
        <f>C9*'Output-Calculation-sheet'!C53/10^9</f>
        <v>5.5661446778254469</v>
      </c>
      <c r="D64" s="2">
        <f>D9*'Output-Calculation-sheet'!D53/10^9</f>
        <v>2.5819045679336248</v>
      </c>
      <c r="E64" s="2">
        <f>E9*'Output-Calculation-sheet'!E53/10^9</f>
        <v>2.643983875944135</v>
      </c>
      <c r="F64" s="2">
        <f>F9*'Output-Calculation-sheet'!F53/10^9</f>
        <v>1.1152158197330941</v>
      </c>
      <c r="G64" s="2">
        <f>G9*'Output-Calculation-sheet'!G53/10^9</f>
        <v>0.79377650480625106</v>
      </c>
      <c r="H64" s="2">
        <f>H9*'Output-Calculation-sheet'!H53/10^9</f>
        <v>1.630980117420388</v>
      </c>
      <c r="I64" s="2">
        <f>I9*'Output-Calculation-sheet'!I53/10^9</f>
        <v>0.74205130005552589</v>
      </c>
      <c r="J64" s="2">
        <f>J9*'Output-Calculation-sheet'!J53/10^9</f>
        <v>0.98232514755599587</v>
      </c>
      <c r="K64" s="2">
        <f>K9*'Output-Calculation-sheet'!K53/10^9</f>
        <v>0.91146408814664304</v>
      </c>
      <c r="L64" s="2">
        <f>L9*'Output-Calculation-sheet'!L53/10^9</f>
        <v>1.1725958250994462</v>
      </c>
      <c r="M64" s="2">
        <f>M9*'Output-Calculation-sheet'!M53/10^9</f>
        <v>1.2782082222745434</v>
      </c>
      <c r="N64" s="2">
        <f>N9*'Output-Calculation-sheet'!N53/10^9</f>
        <v>1.0761078744203323</v>
      </c>
      <c r="O64" s="2">
        <f>O9*'Output-Calculation-sheet'!O53/10^9</f>
        <v>1.1246256833415604</v>
      </c>
      <c r="P64" s="2">
        <f>P9*'Output-Calculation-sheet'!P53/10^9</f>
        <v>0.69492937592471082</v>
      </c>
      <c r="Q64" s="2">
        <f>Q9*'Output-Calculation-sheet'!Q53/10^9</f>
        <v>0.76800161342293438</v>
      </c>
      <c r="R64" s="2">
        <f>R9*'Output-Calculation-sheet'!R53/10^9</f>
        <v>0.65835874766322577</v>
      </c>
      <c r="S64" s="2">
        <f>S9*'Output-Calculation-sheet'!S53/10^9</f>
        <v>0.54395145691696378</v>
      </c>
      <c r="T64" s="2">
        <f>T9*'Output-Calculation-sheet'!T53/10^9</f>
        <v>0.23666189296652518</v>
      </c>
      <c r="U64" s="2">
        <f>U9*'Output-Calculation-sheet'!U53/10^9</f>
        <v>0.17813047253890144</v>
      </c>
      <c r="V64" s="2">
        <f>V9*'Output-Calculation-sheet'!V53/10^9</f>
        <v>0.28090166338304012</v>
      </c>
      <c r="W64" s="2">
        <f>W9*'Output-Calculation-sheet'!W53/10^9</f>
        <v>0.10437781458201091</v>
      </c>
      <c r="X64" s="2">
        <f>X9*'Output-Calculation-sheet'!X53/10^9</f>
        <v>0.14013560787984539</v>
      </c>
      <c r="Y64" s="2">
        <f>Y9*'Output-Calculation-sheet'!Y53/10^9</f>
        <v>7.3130541293078999E-2</v>
      </c>
      <c r="AA64" s="2">
        <f t="shared" si="4"/>
        <v>34.022331795779408</v>
      </c>
    </row>
    <row r="65" spans="1:27" x14ac:dyDescent="0.25">
      <c r="A65" s="2">
        <v>2033</v>
      </c>
      <c r="B65" s="2">
        <f>B10*'Output-Calculation-sheet'!B54/10^9</f>
        <v>8.6072595865940702</v>
      </c>
      <c r="C65" s="2">
        <f>C10*'Output-Calculation-sheet'!C54/10^9</f>
        <v>5.587689256355155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1.577170857799155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0.79246273149140267</v>
      </c>
      <c r="L65" s="2">
        <f>L10*'Output-Calculation-sheet'!L54/10^9</f>
        <v>0.93600693838293347</v>
      </c>
      <c r="M65" s="2">
        <f>M10*'Output-Calculation-sheet'!M54/10^9</f>
        <v>1.1908468354635826</v>
      </c>
      <c r="N65" s="2">
        <f>N10*'Output-Calculation-sheet'!N54/10^9</f>
        <v>1.0283069388137613</v>
      </c>
      <c r="O65" s="2">
        <f>O10*'Output-Calculation-sheet'!O54/10^9</f>
        <v>1.1169460593363179</v>
      </c>
      <c r="P65" s="2">
        <f>P10*'Output-Calculation-sheet'!P54/10^9</f>
        <v>0.67047436188763498</v>
      </c>
      <c r="Q65" s="2">
        <f>Q10*'Output-Calculation-sheet'!Q54/10^9</f>
        <v>0.73169003470777516</v>
      </c>
      <c r="R65" s="2">
        <f>R10*'Output-Calculation-sheet'!R54/10^9</f>
        <v>0.59027621871344049</v>
      </c>
      <c r="S65" s="2">
        <f>S10*'Output-Calculation-sheet'!S54/10^9</f>
        <v>0.53616771431810173</v>
      </c>
      <c r="T65" s="2">
        <f>T10*'Output-Calculation-sheet'!T54/10^9</f>
        <v>0.19735520501711623</v>
      </c>
      <c r="U65" s="2">
        <f>U10*'Output-Calculation-sheet'!U54/10^9</f>
        <v>0.17041157466316309</v>
      </c>
      <c r="V65" s="2">
        <f>V10*'Output-Calculation-sheet'!V54/10^9</f>
        <v>0.2184116349273226</v>
      </c>
      <c r="W65" s="2">
        <f>W10*'Output-Calculation-sheet'!W54/10^9</f>
        <v>8.3154332414876769E-2</v>
      </c>
      <c r="X65" s="2">
        <f>X10*'Output-Calculation-sheet'!X54/10^9</f>
        <v>0.13596933035092151</v>
      </c>
      <c r="Y65" s="2">
        <f>Y10*'Output-Calculation-sheet'!Y54/10^9</f>
        <v>6.8446648338545316E-2</v>
      </c>
      <c r="AA65" s="2">
        <f t="shared" si="4"/>
        <v>31.493848454645175</v>
      </c>
    </row>
    <row r="66" spans="1:27" x14ac:dyDescent="0.25">
      <c r="A66" s="2">
        <v>2034</v>
      </c>
      <c r="B66" s="2">
        <f>B11*'Output-Calculation-sheet'!B55/10^9</f>
        <v>8.2006693824949952</v>
      </c>
      <c r="C66" s="2">
        <f>C11*'Output-Calculation-sheet'!C55/10^9</f>
        <v>5.268540958677506</v>
      </c>
      <c r="D66" s="2">
        <f>D11*'Output-Calculation-sheet'!D55/10^9</f>
        <v>1.7158262737598784</v>
      </c>
      <c r="E66" s="2">
        <f>E11*'Output-Calculation-sheet'!E55/10^9</f>
        <v>2.0777405057555116</v>
      </c>
      <c r="F66" s="2">
        <f>F11*'Output-Calculation-sheet'!F55/10^9</f>
        <v>0.79850940663126024</v>
      </c>
      <c r="G66" s="2">
        <f>G11*'Output-Calculation-sheet'!G55/10^9</f>
        <v>0.57079409493421573</v>
      </c>
      <c r="H66" s="2">
        <f>H11*'Output-Calculation-sheet'!H55/10^9</f>
        <v>1.4582954881945698</v>
      </c>
      <c r="I66" s="2">
        <f>I11*'Output-Calculation-sheet'!I55/10^9</f>
        <v>0.55814430389462566</v>
      </c>
      <c r="J66" s="2">
        <f>J11*'Output-Calculation-sheet'!J55/10^9</f>
        <v>0.57394328619905022</v>
      </c>
      <c r="K66" s="2">
        <f>K11*'Output-Calculation-sheet'!K55/10^9</f>
        <v>0.68648220469693078</v>
      </c>
      <c r="L66" s="2">
        <f>L11*'Output-Calculation-sheet'!L55/10^9</f>
        <v>0.72703205480241195</v>
      </c>
      <c r="M66" s="2">
        <f>M11*'Output-Calculation-sheet'!M55/10^9</f>
        <v>1.0571365346392707</v>
      </c>
      <c r="N66" s="2">
        <f>N11*'Output-Calculation-sheet'!N55/10^9</f>
        <v>0.92365111547286238</v>
      </c>
      <c r="O66" s="2">
        <f>O11*'Output-Calculation-sheet'!O55/10^9</f>
        <v>1.0395135559330071</v>
      </c>
      <c r="P66" s="2">
        <f>P11*'Output-Calculation-sheet'!P55/10^9</f>
        <v>0.63497527609669313</v>
      </c>
      <c r="Q66" s="2">
        <f>Q11*'Output-Calculation-sheet'!Q55/10^9</f>
        <v>0.69088746950696944</v>
      </c>
      <c r="R66" s="2">
        <f>R11*'Output-Calculation-sheet'!R55/10^9</f>
        <v>0.51428832727648166</v>
      </c>
      <c r="S66" s="2">
        <f>S11*'Output-Calculation-sheet'!S55/10^9</f>
        <v>0.50561467316615327</v>
      </c>
      <c r="T66" s="2">
        <f>T11*'Output-Calculation-sheet'!T55/10^9</f>
        <v>0.16118940152607694</v>
      </c>
      <c r="U66" s="2">
        <f>U11*'Output-Calculation-sheet'!U55/10^9</f>
        <v>0.16370791062940127</v>
      </c>
      <c r="V66" s="2">
        <f>V11*'Output-Calculation-sheet'!V55/10^9</f>
        <v>0.15291088738720005</v>
      </c>
      <c r="W66" s="2">
        <f>W11*'Output-Calculation-sheet'!W55/10^9</f>
        <v>6.9237739765272865E-2</v>
      </c>
      <c r="X66" s="2">
        <f>X11*'Output-Calculation-sheet'!X55/10^9</f>
        <v>0.12355364029911807</v>
      </c>
      <c r="Y66" s="2">
        <f>Y11*'Output-Calculation-sheet'!Y55/10^9</f>
        <v>6.7940906889819727E-2</v>
      </c>
      <c r="AA66" s="2">
        <f t="shared" si="4"/>
        <v>28.740585398629278</v>
      </c>
    </row>
    <row r="67" spans="1:27" x14ac:dyDescent="0.25">
      <c r="A67" s="2">
        <v>2035</v>
      </c>
      <c r="B67" s="2">
        <f>B12*'Output-Calculation-sheet'!B56/10^9</f>
        <v>7.4479458265139629</v>
      </c>
      <c r="C67" s="2">
        <f>C12*'Output-Calculation-sheet'!C56/10^9</f>
        <v>4.6776925115228032</v>
      </c>
      <c r="D67" s="2">
        <f>D12*'Output-Calculation-sheet'!D56/10^9</f>
        <v>1.5496517366956899</v>
      </c>
      <c r="E67" s="2">
        <f>E12*'Output-Calculation-sheet'!E56/10^9</f>
        <v>2.1039257319336131</v>
      </c>
      <c r="F67" s="2">
        <f>F12*'Output-Calculation-sheet'!F56/10^9</f>
        <v>0.76846681817275986</v>
      </c>
      <c r="G67" s="2">
        <f>G12*'Output-Calculation-sheet'!G56/10^9</f>
        <v>0.53831852305202954</v>
      </c>
      <c r="H67" s="2">
        <f>H12*'Output-Calculation-sheet'!H56/10^9</f>
        <v>1.3003658983747013</v>
      </c>
      <c r="I67" s="2">
        <f>I12*'Output-Calculation-sheet'!I56/10^9</f>
        <v>0.5229303954832063</v>
      </c>
      <c r="J67" s="2">
        <f>J12*'Output-Calculation-sheet'!J56/10^9</f>
        <v>0.51769280327391576</v>
      </c>
      <c r="K67" s="2">
        <f>K12*'Output-Calculation-sheet'!K56/10^9</f>
        <v>0.6238254276015015</v>
      </c>
      <c r="L67" s="2">
        <f>L12*'Output-Calculation-sheet'!L56/10^9</f>
        <v>0.62667964370328999</v>
      </c>
      <c r="M67" s="2">
        <f>M12*'Output-Calculation-sheet'!M56/10^9</f>
        <v>0.95123494998869718</v>
      </c>
      <c r="N67" s="2">
        <f>N12*'Output-Calculation-sheet'!N56/10^9</f>
        <v>0.81702959558503052</v>
      </c>
      <c r="O67" s="2">
        <f>O12*'Output-Calculation-sheet'!O56/10^9</f>
        <v>0.91652069489318955</v>
      </c>
      <c r="P67" s="2">
        <f>P12*'Output-Calculation-sheet'!P56/10^9</f>
        <v>0.60421869655815075</v>
      </c>
      <c r="Q67" s="2">
        <f>Q12*'Output-Calculation-sheet'!Q56/10^9</f>
        <v>0.6219168802488042</v>
      </c>
      <c r="R67" s="2">
        <f>R12*'Output-Calculation-sheet'!R56/10^9</f>
        <v>0.47321150705960041</v>
      </c>
      <c r="S67" s="2">
        <f>S12*'Output-Calculation-sheet'!S56/10^9</f>
        <v>0.45091767995859572</v>
      </c>
      <c r="T67" s="2">
        <f>T12*'Output-Calculation-sheet'!T56/10^9</f>
        <v>0.14340240018022565</v>
      </c>
      <c r="U67" s="2">
        <f>U12*'Output-Calculation-sheet'!U56/10^9</f>
        <v>0.14995376872801766</v>
      </c>
      <c r="V67" s="2">
        <f>V12*'Output-Calculation-sheet'!V56/10^9</f>
        <v>0.11502804221652477</v>
      </c>
      <c r="W67" s="2">
        <f>W12*'Output-Calculation-sheet'!W56/10^9</f>
        <v>6.9450301674890538E-2</v>
      </c>
      <c r="X67" s="2">
        <f>X12*'Output-Calculation-sheet'!X56/10^9</f>
        <v>0.10994363571480988</v>
      </c>
      <c r="Y67" s="2">
        <f>Y12*'Output-Calculation-sheet'!Y56/10^9</f>
        <v>6.7112831728033048E-2</v>
      </c>
      <c r="AA67" s="2">
        <f t="shared" si="4"/>
        <v>26.167436300862047</v>
      </c>
    </row>
    <row r="68" spans="1:27" x14ac:dyDescent="0.25">
      <c r="B68" s="2">
        <f>SUM(B60:B67)</f>
        <v>41.528862050211082</v>
      </c>
      <c r="C68" s="2">
        <f t="shared" ref="C68:Y68" si="5">SUM(C60:C67)</f>
        <v>26.270830364599238</v>
      </c>
      <c r="D68" s="2">
        <f t="shared" si="5"/>
        <v>10.81226011661189</v>
      </c>
      <c r="E68" s="2">
        <f t="shared" si="5"/>
        <v>12.029895321357722</v>
      </c>
      <c r="F68" s="2">
        <f t="shared" si="5"/>
        <v>4.8460824924815959</v>
      </c>
      <c r="G68" s="2">
        <f t="shared" si="5"/>
        <v>3.4285459815694073</v>
      </c>
      <c r="H68" s="2">
        <f t="shared" si="5"/>
        <v>7.5169365805486459</v>
      </c>
      <c r="I68" s="2">
        <f t="shared" si="5"/>
        <v>3.2700995365450392</v>
      </c>
      <c r="J68" s="2">
        <f t="shared" si="5"/>
        <v>3.9527118185243402</v>
      </c>
      <c r="K68" s="2">
        <f t="shared" si="5"/>
        <v>4.012315855277242</v>
      </c>
      <c r="L68" s="2">
        <f t="shared" si="5"/>
        <v>4.8047819713686115</v>
      </c>
      <c r="M68" s="2">
        <f t="shared" si="5"/>
        <v>5.7356783934021802</v>
      </c>
      <c r="N68" s="2">
        <f t="shared" si="5"/>
        <v>4.8952741157340354</v>
      </c>
      <c r="O68" s="2">
        <f t="shared" si="5"/>
        <v>5.2529897866874427</v>
      </c>
      <c r="P68" s="2">
        <f t="shared" si="5"/>
        <v>3.294245036935131</v>
      </c>
      <c r="Q68" s="2">
        <f t="shared" si="5"/>
        <v>3.59297467312284</v>
      </c>
      <c r="R68" s="2">
        <f t="shared" si="5"/>
        <v>2.9368497258569457</v>
      </c>
      <c r="S68" s="2">
        <f t="shared" si="5"/>
        <v>2.5559061114543287</v>
      </c>
      <c r="T68" s="2">
        <f t="shared" si="5"/>
        <v>1.0050107045458883</v>
      </c>
      <c r="U68" s="2">
        <f t="shared" si="5"/>
        <v>0.84516563146260415</v>
      </c>
      <c r="V68" s="2">
        <f t="shared" si="5"/>
        <v>1.0919663718289263</v>
      </c>
      <c r="W68" s="2">
        <f t="shared" si="5"/>
        <v>0.44375149552274468</v>
      </c>
      <c r="X68" s="2">
        <f t="shared" si="5"/>
        <v>0.64339521649402809</v>
      </c>
      <c r="Y68" s="2">
        <f t="shared" si="5"/>
        <v>0.35331683668887387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930.12000936167351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1696.2605754641399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1143.9025974142885</v>
      </c>
      <c r="N74" s="2">
        <f>N8/'Output-Calculation-sheet'!N7*'Output-Calculation-sheet'!N61</f>
        <v>51.371523504830186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10.150720130561979</v>
      </c>
      <c r="Y74" s="2">
        <f>Y8/'Output-Calculation-sheet'!Y7*'Output-Calculation-sheet'!Y61</f>
        <v>0</v>
      </c>
      <c r="AA74" s="2">
        <f t="shared" si="6"/>
        <v>3.8318054258754946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160.3632340408368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2887.4014646239821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1957.2990186284837</v>
      </c>
      <c r="N75" s="2">
        <f>N9/'Output-Calculation-sheet'!N8*'Output-Calculation-sheet'!N62</f>
        <v>754.32891085600636</v>
      </c>
      <c r="O75" s="2">
        <f>O9/'Output-Calculation-sheet'!O8*'Output-Calculation-sheet'!O62</f>
        <v>56.018754350701073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253.04593490270273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69.079035180447747</v>
      </c>
      <c r="Y75" s="2">
        <f>Y9/'Output-Calculation-sheet'!Y8*'Output-Calculation-sheet'!Y62</f>
        <v>0</v>
      </c>
      <c r="AA75" s="2">
        <f t="shared" si="6"/>
        <v>6.197243233250882</v>
      </c>
    </row>
    <row r="76" spans="1:27" x14ac:dyDescent="0.25">
      <c r="A76" s="2">
        <v>2033</v>
      </c>
      <c r="B76" s="2">
        <f>B10/'Output-Calculation-sheet'!B9*'Output-Calculation-sheet'!B63</f>
        <v>5997.3598963896948</v>
      </c>
      <c r="C76" s="2">
        <f>C10/'Output-Calculation-sheet'!C9*'Output-Calculation-sheet'!C63</f>
        <v>1236.1814472599722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3932.6032664865475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2671.7548160360125</v>
      </c>
      <c r="N76" s="2">
        <f>N10/'Output-Calculation-sheet'!N9*'Output-Calculation-sheet'!N63</f>
        <v>1528.0479632673507</v>
      </c>
      <c r="O76" s="2">
        <f>O10/'Output-Calculation-sheet'!O9*'Output-Calculation-sheet'!O63</f>
        <v>253.56137746197473</v>
      </c>
      <c r="P76" s="2">
        <f>P10/'Output-Calculation-sheet'!P9*'Output-Calculation-sheet'!P63</f>
        <v>527.6654407745209</v>
      </c>
      <c r="Q76" s="2">
        <f>Q10/'Output-Calculation-sheet'!Q9*'Output-Calculation-sheet'!Q63</f>
        <v>238.47874341730642</v>
      </c>
      <c r="R76" s="2">
        <f>R10/'Output-Calculation-sheet'!R9*'Output-Calculation-sheet'!R63</f>
        <v>401.54486369013961</v>
      </c>
      <c r="S76" s="2">
        <f>S10/'Output-Calculation-sheet'!S9*'Output-Calculation-sheet'!S63</f>
        <v>681.29662824318643</v>
      </c>
      <c r="T76" s="2">
        <f>T10/'Output-Calculation-sheet'!T9*'Output-Calculation-sheet'!T63</f>
        <v>26.388882055912433</v>
      </c>
      <c r="U76" s="2">
        <f>U10/'Output-Calculation-sheet'!U9*'Output-Calculation-sheet'!U63</f>
        <v>142.65734704767431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153.40169334754401</v>
      </c>
      <c r="Y76" s="2">
        <f>Y10/'Output-Calculation-sheet'!Y9*'Output-Calculation-sheet'!Y63</f>
        <v>6.7665842338822184</v>
      </c>
      <c r="AA76" s="2">
        <f t="shared" si="6"/>
        <v>17.90848258572597</v>
      </c>
    </row>
    <row r="77" spans="1:27" x14ac:dyDescent="0.25">
      <c r="A77" s="2">
        <v>2034</v>
      </c>
      <c r="B77" s="2">
        <f>B11/'Output-Calculation-sheet'!B10*'Output-Calculation-sheet'!B64</f>
        <v>13022.580142684195</v>
      </c>
      <c r="C77" s="2">
        <f>C11/'Output-Calculation-sheet'!C10*'Output-Calculation-sheet'!C64</f>
        <v>1955.7614064147604</v>
      </c>
      <c r="D77" s="2">
        <f>D11/'Output-Calculation-sheet'!D10*'Output-Calculation-sheet'!D64</f>
        <v>1673.2188858175571</v>
      </c>
      <c r="E77" s="2">
        <f>E11/'Output-Calculation-sheet'!E10*'Output-Calculation-sheet'!E64</f>
        <v>2063.2863274315532</v>
      </c>
      <c r="F77" s="2">
        <f>F11/'Output-Calculation-sheet'!F10*'Output-Calculation-sheet'!F64</f>
        <v>132.85936166120956</v>
      </c>
      <c r="G77" s="2">
        <f>G11/'Output-Calculation-sheet'!G10*'Output-Calculation-sheet'!G64</f>
        <v>833.62482166056384</v>
      </c>
      <c r="H77" s="2">
        <f>H11/'Output-Calculation-sheet'!H10*'Output-Calculation-sheet'!H64</f>
        <v>4442.45644006363</v>
      </c>
      <c r="I77" s="2">
        <f>I11/'Output-Calculation-sheet'!I10*'Output-Calculation-sheet'!I64</f>
        <v>518.36161896244801</v>
      </c>
      <c r="J77" s="2">
        <f>J11/'Output-Calculation-sheet'!J10*'Output-Calculation-sheet'!J64</f>
        <v>363.73602316654097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331.94893367630715</v>
      </c>
      <c r="M77" s="2">
        <f>M11/'Output-Calculation-sheet'!M10*'Output-Calculation-sheet'!M64</f>
        <v>3148.8777386889024</v>
      </c>
      <c r="N77" s="2">
        <f>N11/'Output-Calculation-sheet'!N10*'Output-Calculation-sheet'!N64</f>
        <v>2209.3955675057819</v>
      </c>
      <c r="O77" s="2">
        <f>O11/'Output-Calculation-sheet'!O10*'Output-Calculation-sheet'!O64</f>
        <v>105.53259874123029</v>
      </c>
      <c r="P77" s="2">
        <f>P11/'Output-Calculation-sheet'!P10*'Output-Calculation-sheet'!P64</f>
        <v>970.41070750361769</v>
      </c>
      <c r="Q77" s="2">
        <f>Q11/'Output-Calculation-sheet'!Q10*'Output-Calculation-sheet'!Q64</f>
        <v>691.99013471404328</v>
      </c>
      <c r="R77" s="2">
        <f>R11/'Output-Calculation-sheet'!R10*'Output-Calculation-sheet'!R64</f>
        <v>836.8437876503092</v>
      </c>
      <c r="S77" s="2">
        <f>S11/'Output-Calculation-sheet'!S10*'Output-Calculation-sheet'!S64</f>
        <v>1036.4557595397528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246.15424783955606</v>
      </c>
      <c r="V77" s="2">
        <f>V11/'Output-Calculation-sheet'!V10*'Output-Calculation-sheet'!V64</f>
        <v>119.4482375420933</v>
      </c>
      <c r="W77" s="2">
        <f>W11/'Output-Calculation-sheet'!W10*'Output-Calculation-sheet'!W64</f>
        <v>26.217013388405256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76.534046225445593</v>
      </c>
      <c r="AA77" s="2">
        <f t="shared" si="6"/>
        <v>35.957134895848931</v>
      </c>
    </row>
    <row r="78" spans="1:27" x14ac:dyDescent="0.25">
      <c r="A78" s="2">
        <v>2035</v>
      </c>
      <c r="B78" s="2">
        <f>B12/'Output-Calculation-sheet'!B11*'Output-Calculation-sheet'!B65</f>
        <v>12230.634691378953</v>
      </c>
      <c r="C78" s="2">
        <f>C12/'Output-Calculation-sheet'!C11*'Output-Calculation-sheet'!C65</f>
        <v>4019.2904649973802</v>
      </c>
      <c r="D78" s="2">
        <f>D12/'Output-Calculation-sheet'!D11*'Output-Calculation-sheet'!D65</f>
        <v>1642.3878829709313</v>
      </c>
      <c r="E78" s="2">
        <f>E12/'Output-Calculation-sheet'!E11*'Output-Calculation-sheet'!E65</f>
        <v>2858.121868950077</v>
      </c>
      <c r="F78" s="2">
        <f>F12/'Output-Calculation-sheet'!F11*'Output-Calculation-sheet'!F65</f>
        <v>369.05742152978218</v>
      </c>
      <c r="G78" s="2">
        <f>G12/'Output-Calculation-sheet'!G11*'Output-Calculation-sheet'!G65</f>
        <v>719.5472497009647</v>
      </c>
      <c r="H78" s="2">
        <f>H12/'Output-Calculation-sheet'!H11*'Output-Calculation-sheet'!H65</f>
        <v>3893.2251366348423</v>
      </c>
      <c r="I78" s="2">
        <f>I12/'Output-Calculation-sheet'!I11*'Output-Calculation-sheet'!I65</f>
        <v>478.3977535248593</v>
      </c>
      <c r="J78" s="2">
        <f>J12/'Output-Calculation-sheet'!J11*'Output-Calculation-sheet'!J65</f>
        <v>696.84262990252614</v>
      </c>
      <c r="K78" s="2">
        <f>K12/'Output-Calculation-sheet'!K11*'Output-Calculation-sheet'!K65</f>
        <v>856.85063607539257</v>
      </c>
      <c r="L78" s="2">
        <f>L12/'Output-Calculation-sheet'!L11*'Output-Calculation-sheet'!L65</f>
        <v>731.94213540024589</v>
      </c>
      <c r="M78" s="2">
        <f>M12/'Output-Calculation-sheet'!M11*'Output-Calculation-sheet'!M65</f>
        <v>2842.9495183170638</v>
      </c>
      <c r="N78" s="2">
        <f>N12/'Output-Calculation-sheet'!N11*'Output-Calculation-sheet'!N65</f>
        <v>2048.0723482574613</v>
      </c>
      <c r="O78" s="2">
        <f>O12/'Output-Calculation-sheet'!O11*'Output-Calculation-sheet'!O65</f>
        <v>9.5977191125144685</v>
      </c>
      <c r="P78" s="2">
        <f>P12/'Output-Calculation-sheet'!P11*'Output-Calculation-sheet'!P65</f>
        <v>988.95577785510568</v>
      </c>
      <c r="Q78" s="2">
        <f>Q12/'Output-Calculation-sheet'!Q11*'Output-Calculation-sheet'!Q65</f>
        <v>665.55086193418856</v>
      </c>
      <c r="R78" s="2">
        <f>R12/'Output-Calculation-sheet'!R11*'Output-Calculation-sheet'!R65</f>
        <v>921.21385143764633</v>
      </c>
      <c r="S78" s="2">
        <f>S12/'Output-Calculation-sheet'!S11*'Output-Calculation-sheet'!S65</f>
        <v>968.09853982634547</v>
      </c>
      <c r="T78" s="2">
        <f>T12/'Output-Calculation-sheet'!T11*'Output-Calculation-sheet'!T65</f>
        <v>317.80649329672741</v>
      </c>
      <c r="U78" s="2">
        <f>U12/'Output-Calculation-sheet'!U11*'Output-Calculation-sheet'!U65</f>
        <v>217.43692333439907</v>
      </c>
      <c r="V78" s="2">
        <f>V12/'Output-Calculation-sheet'!V11*'Output-Calculation-sheet'!V65</f>
        <v>179.24588246600288</v>
      </c>
      <c r="W78" s="2">
        <f>W12/'Output-Calculation-sheet'!W11*'Output-Calculation-sheet'!W65</f>
        <v>84.758981041421862</v>
      </c>
      <c r="X78" s="2">
        <f>X12/'Output-Calculation-sheet'!X11*'Output-Calculation-sheet'!X65</f>
        <v>23.365770805096702</v>
      </c>
      <c r="Y78" s="2">
        <f>Y12/'Output-Calculation-sheet'!Y11*'Output-Calculation-sheet'!Y65</f>
        <v>79.319271386310106</v>
      </c>
      <c r="AA78" s="2">
        <f t="shared" si="6"/>
        <v>37.842669810136229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21.792468935040009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1.6433617371104896</v>
      </c>
      <c r="H88" s="2">
        <f>H11/'Output-Calculation-sheet'!H10*'Output-Calculation-sheet'!H73</f>
        <v>11.143863076673615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4.7164959392166086</v>
      </c>
      <c r="R88" s="2">
        <f>R11/'Output-Calculation-sheet'!R10*'Output-Calculation-sheet'!R73</f>
        <v>0</v>
      </c>
      <c r="S88" s="2">
        <f>S11/'Output-Calculation-sheet'!S10*'Output-Calculation-sheet'!S73</f>
        <v>2.4686628625796487</v>
      </c>
      <c r="T88" s="2">
        <f>T11/'Output-Calculation-sheet'!T10*'Output-Calculation-sheet'!T73</f>
        <v>0</v>
      </c>
      <c r="U88" s="2">
        <f>U11/'Output-Calculation-sheet'!U10*'Output-Calculation-sheet'!U73</f>
        <v>1.5048457939601556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4.3269698344580526E-2</v>
      </c>
    </row>
    <row r="89" spans="1:27" x14ac:dyDescent="0.25">
      <c r="A89" s="2">
        <v>2035</v>
      </c>
      <c r="B89" s="2">
        <f>B12/'Output-Calculation-sheet'!B11*'Output-Calculation-sheet'!B74</f>
        <v>266.79934632613731</v>
      </c>
      <c r="C89" s="2">
        <f>C12/'Output-Calculation-sheet'!C11*'Output-Calculation-sheet'!C74</f>
        <v>144.71902279402497</v>
      </c>
      <c r="D89" s="2">
        <f>D12/'Output-Calculation-sheet'!D11*'Output-Calculation-sheet'!D74</f>
        <v>24.036762042558308</v>
      </c>
      <c r="E89" s="2">
        <f>E12/'Output-Calculation-sheet'!E11*'Output-Calculation-sheet'!E74</f>
        <v>79.595153339458491</v>
      </c>
      <c r="F89" s="2">
        <f>F12/'Output-Calculation-sheet'!F11*'Output-Calculation-sheet'!F74</f>
        <v>24.028740251955348</v>
      </c>
      <c r="G89" s="2">
        <f>G12/'Output-Calculation-sheet'!G11*'Output-Calculation-sheet'!G74</f>
        <v>17.245059889217806</v>
      </c>
      <c r="H89" s="2">
        <f>H12/'Output-Calculation-sheet'!H11*'Output-Calculation-sheet'!H74</f>
        <v>59.862723682524532</v>
      </c>
      <c r="I89" s="2">
        <f>I12/'Output-Calculation-sheet'!I11*'Output-Calculation-sheet'!I74</f>
        <v>15.510865714790649</v>
      </c>
      <c r="J89" s="2">
        <f>J12/'Output-Calculation-sheet'!J11*'Output-Calculation-sheet'!J74</f>
        <v>7.6753095129890294</v>
      </c>
      <c r="K89" s="2">
        <f>K12/'Output-Calculation-sheet'!K11*'Output-Calculation-sheet'!K74</f>
        <v>11.43353401921568</v>
      </c>
      <c r="L89" s="2">
        <f>L12/'Output-Calculation-sheet'!L11*'Output-Calculation-sheet'!L74</f>
        <v>6.0609466042511073</v>
      </c>
      <c r="M89" s="2">
        <f>M12/'Output-Calculation-sheet'!M11*'Output-Calculation-sheet'!M74</f>
        <v>31.611989076154678</v>
      </c>
      <c r="N89" s="2">
        <f>N12/'Output-Calculation-sheet'!N11*'Output-Calculation-sheet'!N74</f>
        <v>16.005478667337602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21.744486632481642</v>
      </c>
      <c r="Q89" s="2">
        <f>Q12/'Output-Calculation-sheet'!Q11*'Output-Calculation-sheet'!Q74</f>
        <v>18.14773509944753</v>
      </c>
      <c r="R89" s="2">
        <f>R12/'Output-Calculation-sheet'!R11*'Output-Calculation-sheet'!R74</f>
        <v>9.8164907685417333</v>
      </c>
      <c r="S89" s="2">
        <f>S12/'Output-Calculation-sheet'!S11*'Output-Calculation-sheet'!S74</f>
        <v>14.032189154081918</v>
      </c>
      <c r="T89" s="2">
        <f>T12/'Output-Calculation-sheet'!T11*'Output-Calculation-sheet'!T74</f>
        <v>1.8158658943398331</v>
      </c>
      <c r="U89" s="2">
        <f>U12/'Output-Calculation-sheet'!U11*'Output-Calculation-sheet'!U74</f>
        <v>5.263835152632538</v>
      </c>
      <c r="V89" s="2">
        <f>V12/'Output-Calculation-sheet'!V11*'Output-Calculation-sheet'!V74</f>
        <v>0.40588767458043806</v>
      </c>
      <c r="W89" s="2">
        <f>W12/'Output-Calculation-sheet'!W11*'Output-Calculation-sheet'!W74</f>
        <v>2.4602967688414212</v>
      </c>
      <c r="X89" s="2">
        <f>X12/'Output-Calculation-sheet'!X11*'Output-Calculation-sheet'!X74</f>
        <v>0.31526372266203473</v>
      </c>
      <c r="Y89" s="2">
        <f>Y12/'Output-Calculation-sheet'!Y11*'Output-Calculation-sheet'!Y74</f>
        <v>3.3465907508128026</v>
      </c>
      <c r="AA89" s="2">
        <f t="shared" si="7"/>
        <v>0.78281216371777362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9758517416.5371571</v>
      </c>
      <c r="C96" s="2">
        <f>C8/'Output-Calculation-sheet'!C7*'Output-Calculation-sheet'!C79</f>
        <v>2356522332.1815376</v>
      </c>
      <c r="D96" s="2">
        <f>D8/'Output-Calculation-sheet'!D7*'Output-Calculation-sheet'!D79</f>
        <v>1913136080.9707491</v>
      </c>
      <c r="E96" s="2">
        <f>E8/'Output-Calculation-sheet'!E7*'Output-Calculation-sheet'!E79</f>
        <v>7167835057.6437378</v>
      </c>
      <c r="F96" s="2">
        <f>F8/'Output-Calculation-sheet'!F7*'Output-Calculation-sheet'!F79</f>
        <v>2090966424.8003569</v>
      </c>
      <c r="G96" s="2">
        <f>G8/'Output-Calculation-sheet'!G7*'Output-Calculation-sheet'!G79</f>
        <v>1342102417.7243865</v>
      </c>
      <c r="H96" s="2">
        <f>H8/'Output-Calculation-sheet'!H7*'Output-Calculation-sheet'!H79</f>
        <v>1653425687.9710736</v>
      </c>
      <c r="I96" s="2">
        <f>I8/'Output-Calculation-sheet'!I7*'Output-Calculation-sheet'!I79</f>
        <v>965099920.82289934</v>
      </c>
      <c r="J96" s="2">
        <f>J8/'Output-Calculation-sheet'!J7*'Output-Calculation-sheet'!J79</f>
        <v>731354488.58719695</v>
      </c>
      <c r="K96" s="2">
        <f>K8/'Output-Calculation-sheet'!K7*'Output-Calculation-sheet'!K79</f>
        <v>917214506.37701857</v>
      </c>
      <c r="L96" s="2">
        <f>L8/'Output-Calculation-sheet'!L7*'Output-Calculation-sheet'!L79</f>
        <v>832674333.7881794</v>
      </c>
      <c r="M96" s="2">
        <f>M8/'Output-Calculation-sheet'!M7*'Output-Calculation-sheet'!M79</f>
        <v>1275774514.8282182</v>
      </c>
      <c r="N96" s="2">
        <f>N8/'Output-Calculation-sheet'!N7*'Output-Calculation-sheet'!N79</f>
        <v>829338523.67272854</v>
      </c>
      <c r="O96" s="2">
        <f>O8/'Output-Calculation-sheet'!O7*'Output-Calculation-sheet'!O79</f>
        <v>311185251.44607478</v>
      </c>
      <c r="P96" s="2">
        <f>P8/'Output-Calculation-sheet'!P7*'Output-Calculation-sheet'!P79</f>
        <v>1579490605.985558</v>
      </c>
      <c r="Q96" s="2">
        <f>Q8/'Output-Calculation-sheet'!Q7*'Output-Calculation-sheet'!Q79</f>
        <v>670600099.81577158</v>
      </c>
      <c r="R96" s="2">
        <f>R8/'Output-Calculation-sheet'!R7*'Output-Calculation-sheet'!R79</f>
        <v>890075931.76052272</v>
      </c>
      <c r="S96" s="2">
        <f>S8/'Output-Calculation-sheet'!S7*'Output-Calculation-sheet'!S79</f>
        <v>501966726.3747347</v>
      </c>
      <c r="T96" s="2">
        <f>T8/'Output-Calculation-sheet'!T7*'Output-Calculation-sheet'!T79</f>
        <v>302826003.58993781</v>
      </c>
      <c r="U96" s="2">
        <f>U8/'Output-Calculation-sheet'!U7*'Output-Calculation-sheet'!U79</f>
        <v>238362050.46668997</v>
      </c>
      <c r="V96" s="2">
        <f>V8/'Output-Calculation-sheet'!V7*'Output-Calculation-sheet'!V79</f>
        <v>109399881.90212135</v>
      </c>
      <c r="W96" s="2">
        <f>W8/'Output-Calculation-sheet'!W7*'Output-Calculation-sheet'!W79</f>
        <v>336832347.98719388</v>
      </c>
      <c r="X96" s="2">
        <f>X8/'Output-Calculation-sheet'!X7*'Output-Calculation-sheet'!X79</f>
        <v>151918022.18034878</v>
      </c>
      <c r="Y96" s="2">
        <f>Y8/'Output-Calculation-sheet'!Y7*'Output-Calculation-sheet'!Y79</f>
        <v>209067147.64993593</v>
      </c>
      <c r="AA96" s="2">
        <f t="shared" si="8"/>
        <v>37.135685775064125</v>
      </c>
    </row>
    <row r="97" spans="1:27" x14ac:dyDescent="0.25">
      <c r="A97" s="2">
        <v>2032</v>
      </c>
      <c r="B97" s="2">
        <f>B9/'Output-Calculation-sheet'!B8*'Output-Calculation-sheet'!B80</f>
        <v>11963568418.235027</v>
      </c>
      <c r="C97" s="2">
        <f>C9/'Output-Calculation-sheet'!C8*'Output-Calculation-sheet'!C80</f>
        <v>2825583233.1514463</v>
      </c>
      <c r="D97" s="2">
        <f>D9/'Output-Calculation-sheet'!D8*'Output-Calculation-sheet'!D80</f>
        <v>2158429309.9180393</v>
      </c>
      <c r="E97" s="2">
        <f>E9/'Output-Calculation-sheet'!E8*'Output-Calculation-sheet'!E80</f>
        <v>9086680980.8325768</v>
      </c>
      <c r="F97" s="2">
        <f>F9/'Output-Calculation-sheet'!F8*'Output-Calculation-sheet'!F80</f>
        <v>2491879815.6272612</v>
      </c>
      <c r="G97" s="2">
        <f>G9/'Output-Calculation-sheet'!G8*'Output-Calculation-sheet'!G80</f>
        <v>1526891150.47438</v>
      </c>
      <c r="H97" s="2">
        <f>H9/'Output-Calculation-sheet'!H8*'Output-Calculation-sheet'!H80</f>
        <v>1999248419.4312422</v>
      </c>
      <c r="I97" s="2">
        <f>I9/'Output-Calculation-sheet'!I8*'Output-Calculation-sheet'!I80</f>
        <v>1151562782.8520989</v>
      </c>
      <c r="J97" s="2">
        <f>J9/'Output-Calculation-sheet'!J8*'Output-Calculation-sheet'!J80</f>
        <v>860534900.58282208</v>
      </c>
      <c r="K97" s="2">
        <f>K9/'Output-Calculation-sheet'!K8*'Output-Calculation-sheet'!K80</f>
        <v>1061331767.8444415</v>
      </c>
      <c r="L97" s="2">
        <f>L9/'Output-Calculation-sheet'!L8*'Output-Calculation-sheet'!L80</f>
        <v>1023728155.6433438</v>
      </c>
      <c r="M97" s="2">
        <f>M9/'Output-Calculation-sheet'!M8*'Output-Calculation-sheet'!M80</f>
        <v>1577271579.3284814</v>
      </c>
      <c r="N97" s="2">
        <f>N9/'Output-Calculation-sheet'!N8*'Output-Calculation-sheet'!N80</f>
        <v>991007594.69865084</v>
      </c>
      <c r="O97" s="2">
        <f>O9/'Output-Calculation-sheet'!O8*'Output-Calculation-sheet'!O80</f>
        <v>368374831.75688088</v>
      </c>
      <c r="P97" s="2">
        <f>P9/'Output-Calculation-sheet'!P8*'Output-Calculation-sheet'!P80</f>
        <v>1857899667.4561386</v>
      </c>
      <c r="Q97" s="2">
        <f>Q9/'Output-Calculation-sheet'!Q8*'Output-Calculation-sheet'!Q80</f>
        <v>803606050.02295101</v>
      </c>
      <c r="R97" s="2">
        <f>R9/'Output-Calculation-sheet'!R8*'Output-Calculation-sheet'!R80</f>
        <v>1076838130.0240431</v>
      </c>
      <c r="S97" s="2">
        <f>S9/'Output-Calculation-sheet'!S8*'Output-Calculation-sheet'!S80</f>
        <v>599326567.62537861</v>
      </c>
      <c r="T97" s="2">
        <f>T9/'Output-Calculation-sheet'!T8*'Output-Calculation-sheet'!T80</f>
        <v>349463249.21378028</v>
      </c>
      <c r="U97" s="2">
        <f>U9/'Output-Calculation-sheet'!U8*'Output-Calculation-sheet'!U80</f>
        <v>278075953.51294518</v>
      </c>
      <c r="V97" s="2">
        <f>V9/'Output-Calculation-sheet'!V8*'Output-Calculation-sheet'!V80</f>
        <v>128264744.79936501</v>
      </c>
      <c r="W97" s="2">
        <f>W9/'Output-Calculation-sheet'!W8*'Output-Calculation-sheet'!W80</f>
        <v>396913973.83212316</v>
      </c>
      <c r="X97" s="2">
        <f>X9/'Output-Calculation-sheet'!X8*'Output-Calculation-sheet'!X80</f>
        <v>192237468.80130547</v>
      </c>
      <c r="Y97" s="2">
        <f>Y9/'Output-Calculation-sheet'!Y8*'Output-Calculation-sheet'!Y80</f>
        <v>252351379.02909496</v>
      </c>
      <c r="AA97" s="2">
        <f t="shared" si="8"/>
        <v>45.021070124693836</v>
      </c>
    </row>
    <row r="98" spans="1:27" x14ac:dyDescent="0.25">
      <c r="A98" s="2">
        <v>2033</v>
      </c>
      <c r="B98" s="2">
        <f>B10/'Output-Calculation-sheet'!B9*'Output-Calculation-sheet'!B81</f>
        <v>12987280304.861374</v>
      </c>
      <c r="C98" s="2">
        <f>C10/'Output-Calculation-sheet'!C9*'Output-Calculation-sheet'!C81</f>
        <v>3007349268.3677011</v>
      </c>
      <c r="D98" s="2">
        <f>D10/'Output-Calculation-sheet'!D9*'Output-Calculation-sheet'!D81</f>
        <v>2163467628.0068083</v>
      </c>
      <c r="E98" s="2">
        <f>E10/'Output-Calculation-sheet'!E9*'Output-Calculation-sheet'!E81</f>
        <v>10212402430.147928</v>
      </c>
      <c r="F98" s="2">
        <f>F10/'Output-Calculation-sheet'!F9*'Output-Calculation-sheet'!F81</f>
        <v>2631232205.0507269</v>
      </c>
      <c r="G98" s="2">
        <f>G10/'Output-Calculation-sheet'!G9*'Output-Calculation-sheet'!G81</f>
        <v>1537222767.7658663</v>
      </c>
      <c r="H98" s="2">
        <f>H10/'Output-Calculation-sheet'!H9*'Output-Calculation-sheet'!H81</f>
        <v>2140052251.5459511</v>
      </c>
      <c r="I98" s="2">
        <f>I10/'Output-Calculation-sheet'!I9*'Output-Calculation-sheet'!I81</f>
        <v>1219596580.084743</v>
      </c>
      <c r="J98" s="2">
        <f>J10/'Output-Calculation-sheet'!J9*'Output-Calculation-sheet'!J81</f>
        <v>899685979.71819448</v>
      </c>
      <c r="K98" s="2">
        <f>K10/'Output-Calculation-sheet'!K9*'Output-Calculation-sheet'!K81</f>
        <v>1089475719.1387429</v>
      </c>
      <c r="L98" s="2">
        <f>L10/'Output-Calculation-sheet'!L9*'Output-Calculation-sheet'!L81</f>
        <v>1116606051.6951485</v>
      </c>
      <c r="M98" s="2">
        <f>M10/'Output-Calculation-sheet'!M9*'Output-Calculation-sheet'!M81</f>
        <v>1730344043.5593481</v>
      </c>
      <c r="N98" s="2">
        <f>N10/'Output-Calculation-sheet'!N9*'Output-Calculation-sheet'!N81</f>
        <v>1051554811.2015827</v>
      </c>
      <c r="O98" s="2">
        <f>O10/'Output-Calculation-sheet'!O9*'Output-Calculation-sheet'!O81</f>
        <v>387844458.60816252</v>
      </c>
      <c r="P98" s="2">
        <f>P10/'Output-Calculation-sheet'!P9*'Output-Calculation-sheet'!P81</f>
        <v>1924113050.5456536</v>
      </c>
      <c r="Q98" s="2">
        <f>Q10/'Output-Calculation-sheet'!Q9*'Output-Calculation-sheet'!Q81</f>
        <v>854945736.74792349</v>
      </c>
      <c r="R98" s="2">
        <f>R10/'Output-Calculation-sheet'!R9*'Output-Calculation-sheet'!R81</f>
        <v>1153986517.3346734</v>
      </c>
      <c r="S98" s="2">
        <f>S10/'Output-Calculation-sheet'!S9*'Output-Calculation-sheet'!S81</f>
        <v>633767963.40162814</v>
      </c>
      <c r="T98" s="2">
        <f>T10/'Output-Calculation-sheet'!T9*'Output-Calculation-sheet'!T81</f>
        <v>357073191.40791452</v>
      </c>
      <c r="U98" s="2">
        <f>U10/'Output-Calculation-sheet'!U9*'Output-Calculation-sheet'!U81</f>
        <v>286919240.61474681</v>
      </c>
      <c r="V98" s="2">
        <f>V10/'Output-Calculation-sheet'!V9*'Output-Calculation-sheet'!V81</f>
        <v>133258510.68584013</v>
      </c>
      <c r="W98" s="2">
        <f>W10/'Output-Calculation-sheet'!W9*'Output-Calculation-sheet'!W81</f>
        <v>412102511.32235593</v>
      </c>
      <c r="X98" s="2">
        <f>X10/'Output-Calculation-sheet'!X9*'Output-Calculation-sheet'!X81</f>
        <v>216038195.97043556</v>
      </c>
      <c r="Y98" s="2">
        <f>Y10/'Output-Calculation-sheet'!Y9*'Output-Calculation-sheet'!Y81</f>
        <v>268962861.28323066</v>
      </c>
      <c r="AA98" s="2">
        <f t="shared" si="8"/>
        <v>48.415282279066673</v>
      </c>
    </row>
    <row r="99" spans="1:27" x14ac:dyDescent="0.25">
      <c r="A99" s="2">
        <v>2034</v>
      </c>
      <c r="B99" s="2">
        <f>B11/'Output-Calculation-sheet'!B10*'Output-Calculation-sheet'!B82</f>
        <v>12774102411.886869</v>
      </c>
      <c r="C99" s="2">
        <f>C11/'Output-Calculation-sheet'!C10*'Output-Calculation-sheet'!C82</f>
        <v>2907810459.4279141</v>
      </c>
      <c r="D99" s="2">
        <f>D11/'Output-Calculation-sheet'!D10*'Output-Calculation-sheet'!D82</f>
        <v>1972443508.9571433</v>
      </c>
      <c r="E99" s="2">
        <f>E11/'Output-Calculation-sheet'!E10*'Output-Calculation-sheet'!E82</f>
        <v>10410229460.136274</v>
      </c>
      <c r="F99" s="2">
        <f>F11/'Output-Calculation-sheet'!F10*'Output-Calculation-sheet'!F82</f>
        <v>2519860452.0565705</v>
      </c>
      <c r="G99" s="2">
        <f>G11/'Output-Calculation-sheet'!G10*'Output-Calculation-sheet'!G82</f>
        <v>1402456902.9907727</v>
      </c>
      <c r="H99" s="2">
        <f>H11/'Output-Calculation-sheet'!H10*'Output-Calculation-sheet'!H82</f>
        <v>2075273861.3557415</v>
      </c>
      <c r="I99" s="2">
        <f>I11/'Output-Calculation-sheet'!I10*'Output-Calculation-sheet'!I82</f>
        <v>1173473718.1684136</v>
      </c>
      <c r="J99" s="2">
        <f>J11/'Output-Calculation-sheet'!J10*'Output-Calculation-sheet'!J82</f>
        <v>855454166.1295222</v>
      </c>
      <c r="K99" s="2">
        <f>K11/'Output-Calculation-sheet'!K10*'Output-Calculation-sheet'!K82</f>
        <v>1015728741.7120277</v>
      </c>
      <c r="L99" s="2">
        <f>L11/'Output-Calculation-sheet'!L10*'Output-Calculation-sheet'!L82</f>
        <v>1105711635.7105324</v>
      </c>
      <c r="M99" s="2">
        <f>M11/'Output-Calculation-sheet'!M10*'Output-Calculation-sheet'!M82</f>
        <v>1723641287.2213748</v>
      </c>
      <c r="N99" s="2">
        <f>N11/'Output-Calculation-sheet'!N10*'Output-Calculation-sheet'!N82</f>
        <v>1014139337.150335</v>
      </c>
      <c r="O99" s="2">
        <f>O11/'Output-Calculation-sheet'!O10*'Output-Calculation-sheet'!O82</f>
        <v>371679726.29888988</v>
      </c>
      <c r="P99" s="2">
        <f>P11/'Output-Calculation-sheet'!P10*'Output-Calculation-sheet'!P82</f>
        <v>1796571120.9391935</v>
      </c>
      <c r="Q99" s="2">
        <f>Q11/'Output-Calculation-sheet'!Q10*'Output-Calculation-sheet'!Q82</f>
        <v>826401496.29926968</v>
      </c>
      <c r="R99" s="2">
        <f>R11/'Output-Calculation-sheet'!R10*'Output-Calculation-sheet'!R82</f>
        <v>1120994115.8125658</v>
      </c>
      <c r="S99" s="2">
        <f>S11/'Output-Calculation-sheet'!S10*'Output-Calculation-sheet'!S82</f>
        <v>607483249.59844542</v>
      </c>
      <c r="T99" s="2">
        <f>T11/'Output-Calculation-sheet'!T10*'Output-Calculation-sheet'!T82</f>
        <v>330798667.92351198</v>
      </c>
      <c r="U99" s="2">
        <f>U11/'Output-Calculation-sheet'!U10*'Output-Calculation-sheet'!U82</f>
        <v>268091017.01334673</v>
      </c>
      <c r="V99" s="2">
        <f>V11/'Output-Calculation-sheet'!V10*'Output-Calculation-sheet'!V82</f>
        <v>125579387.70262283</v>
      </c>
      <c r="W99" s="2">
        <f>W11/'Output-Calculation-sheet'!W10*'Output-Calculation-sheet'!W82</f>
        <v>386030897.2954694</v>
      </c>
      <c r="X99" s="2">
        <f>X11/'Output-Calculation-sheet'!X10*'Output-Calculation-sheet'!X82</f>
        <v>220631642.80285126</v>
      </c>
      <c r="Y99" s="2">
        <f>Y11/'Output-Calculation-sheet'!Y10*'Output-Calculation-sheet'!Y82</f>
        <v>259104759.99753004</v>
      </c>
      <c r="AA99" s="2">
        <f t="shared" si="8"/>
        <v>47.263692024587186</v>
      </c>
    </row>
    <row r="100" spans="1:27" x14ac:dyDescent="0.25">
      <c r="A100" s="2">
        <v>2035</v>
      </c>
      <c r="B100" s="2">
        <f>B12/'Output-Calculation-sheet'!B11*'Output-Calculation-sheet'!B83</f>
        <v>11523273395.883698</v>
      </c>
      <c r="C100" s="2">
        <f>C12/'Output-Calculation-sheet'!C11*'Output-Calculation-sheet'!C83</f>
        <v>2585860754.890111</v>
      </c>
      <c r="D100" s="2">
        <f>D12/'Output-Calculation-sheet'!D11*'Output-Calculation-sheet'!D83</f>
        <v>1656451391.8293314</v>
      </c>
      <c r="E100" s="2">
        <f>E12/'Output-Calculation-sheet'!E11*'Output-Calculation-sheet'!E83</f>
        <v>9740886703.7442665</v>
      </c>
      <c r="F100" s="2">
        <f>F12/'Output-Calculation-sheet'!F11*'Output-Calculation-sheet'!F83</f>
        <v>2216168711.0428205</v>
      </c>
      <c r="G100" s="2">
        <f>G12/'Output-Calculation-sheet'!G11*'Output-Calculation-sheet'!G83</f>
        <v>1174499090.5478559</v>
      </c>
      <c r="H100" s="2">
        <f>H12/'Output-Calculation-sheet'!H11*'Output-Calculation-sheet'!H83</f>
        <v>1845615104.4486315</v>
      </c>
      <c r="I100" s="2">
        <f>I12/'Output-Calculation-sheet'!I11*'Output-Calculation-sheet'!I83</f>
        <v>1038616874.7818108</v>
      </c>
      <c r="J100" s="2">
        <f>J12/'Output-Calculation-sheet'!J11*'Output-Calculation-sheet'!J83</f>
        <v>748965400.96158421</v>
      </c>
      <c r="K100" s="2">
        <f>K12/'Output-Calculation-sheet'!K11*'Output-Calculation-sheet'!K83</f>
        <v>870976767.35613358</v>
      </c>
      <c r="L100" s="2">
        <f>L12/'Output-Calculation-sheet'!L11*'Output-Calculation-sheet'!L83</f>
        <v>1006282398.1164263</v>
      </c>
      <c r="M100" s="2">
        <f>M12/'Output-Calculation-sheet'!M11*'Output-Calculation-sheet'!M83</f>
        <v>1578083905.8285224</v>
      </c>
      <c r="N100" s="2">
        <f>N12/'Output-Calculation-sheet'!N11*'Output-Calculation-sheet'!N83</f>
        <v>900017722.67486525</v>
      </c>
      <c r="O100" s="2">
        <f>O12/'Output-Calculation-sheet'!O11*'Output-Calculation-sheet'!O83</f>
        <v>328208167.92611349</v>
      </c>
      <c r="P100" s="2">
        <f>P12/'Output-Calculation-sheet'!P11*'Output-Calculation-sheet'!P83</f>
        <v>1532256562.6185696</v>
      </c>
      <c r="Q100" s="2">
        <f>Q12/'Output-Calculation-sheet'!Q11*'Output-Calculation-sheet'!Q83</f>
        <v>734716912.27018797</v>
      </c>
      <c r="R100" s="2">
        <f>R12/'Output-Calculation-sheet'!R11*'Output-Calculation-sheet'!R83</f>
        <v>999269677.78370583</v>
      </c>
      <c r="S100" s="2">
        <f>S12/'Output-Calculation-sheet'!S11*'Output-Calculation-sheet'!S83</f>
        <v>534357798.28813696</v>
      </c>
      <c r="T100" s="2">
        <f>T12/'Output-Calculation-sheet'!T11*'Output-Calculation-sheet'!T83</f>
        <v>281446774.94129789</v>
      </c>
      <c r="U100" s="2">
        <f>U12/'Output-Calculation-sheet'!U11*'Output-Calculation-sheet'!U83</f>
        <v>229761482.72654256</v>
      </c>
      <c r="V100" s="2">
        <f>V12/'Output-Calculation-sheet'!V11*'Output-Calculation-sheet'!V83</f>
        <v>108692761.84781416</v>
      </c>
      <c r="W100" s="2">
        <f>W12/'Output-Calculation-sheet'!W11*'Output-Calculation-sheet'!W83</f>
        <v>330501681.88102698</v>
      </c>
      <c r="X100" s="2">
        <f>X12/'Output-Calculation-sheet'!X11*'Output-Calculation-sheet'!X83</f>
        <v>207260886.72828996</v>
      </c>
      <c r="Y100" s="2">
        <f>Y12/'Output-Calculation-sheet'!Y11*'Output-Calculation-sheet'!Y83</f>
        <v>228464550.31728372</v>
      </c>
      <c r="AA100" s="2">
        <f t="shared" si="8"/>
        <v>42.400635479435032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1616.3222911498274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392.50814806781449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37.558225417614771</v>
      </c>
      <c r="Y107" s="2">
        <f>Y8/'Output-Calculation-sheet'!Y7*'Output-Calculation-sheet'!Y88</f>
        <v>0</v>
      </c>
      <c r="AA107" s="2">
        <f t="shared" si="9"/>
        <v>2.0463886646352565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3025.2977896472307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587.73131535461278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50.21311872246514</v>
      </c>
      <c r="Y108" s="2">
        <f>Y9/'Output-Calculation-sheet'!Y8*'Output-Calculation-sheet'!Y89</f>
        <v>0</v>
      </c>
      <c r="AA108" s="2">
        <f t="shared" si="9"/>
        <v>3.6632422237243087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749.38496428802296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4.6565778974876899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928.34205615911026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5.3827173653361617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3134.0713373831031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113.28476434322447</v>
      </c>
      <c r="Y111" s="2">
        <f>Y12/'Output-Calculation-sheet'!Y11*'Output-Calculation-sheet'!Y92</f>
        <v>0</v>
      </c>
      <c r="AA111" s="2">
        <f t="shared" si="9"/>
        <v>4.2621277581666615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13377727593.685644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8325314810.8243217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5743762035.652257</v>
      </c>
      <c r="N118" s="2">
        <f>N8/'Output-Calculation-sheet'!N7*'Output-Calculation-sheet'!N97</f>
        <v>1926420113.9338212</v>
      </c>
      <c r="O118" s="2">
        <f>O8/'Output-Calculation-sheet'!O7*'Output-Calculation-sheet'!O97</f>
        <v>1846990419.554641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576575665.93093526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312750147.72515553</v>
      </c>
      <c r="Y118" s="2">
        <f>Y8/'Output-Calculation-sheet'!Y7*'Output-Calculation-sheet'!Y97</f>
        <v>0</v>
      </c>
      <c r="AA118" s="2">
        <f t="shared" si="10"/>
        <v>33729.754743749792</v>
      </c>
    </row>
    <row r="119" spans="1:27" x14ac:dyDescent="0.25">
      <c r="A119" s="2">
        <v>2032</v>
      </c>
      <c r="B119" s="2">
        <f>B9/'Output-Calculation-sheet'!B8*'Output-Calculation-sheet'!B98</f>
        <v>7116698935.511982</v>
      </c>
      <c r="C119" s="2">
        <f>C9/'Output-Calculation-sheet'!C8*'Output-Calculation-sheet'!C98</f>
        <v>10500269799.316732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11130510632.65704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7679079713.5972605</v>
      </c>
      <c r="N119" s="2">
        <f>N9/'Output-Calculation-sheet'!N8*'Output-Calculation-sheet'!N98</f>
        <v>3613640725.5870652</v>
      </c>
      <c r="O119" s="2">
        <f>O9/'Output-Calculation-sheet'!O8*'Output-Calculation-sheet'!O98</f>
        <v>2025025521.0278091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1082602212.024296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422334977.00092465</v>
      </c>
      <c r="Y119" s="2">
        <f>Y9/'Output-Calculation-sheet'!Y8*'Output-Calculation-sheet'!Y98</f>
        <v>0</v>
      </c>
      <c r="AA119" s="2">
        <f t="shared" si="10"/>
        <v>43570.16251672311</v>
      </c>
    </row>
    <row r="120" spans="1:27" x14ac:dyDescent="0.25">
      <c r="A120" s="2">
        <v>2033</v>
      </c>
      <c r="B120" s="2">
        <f>B10/'Output-Calculation-sheet'!B9*'Output-Calculation-sheet'!B99</f>
        <v>17845061486.32555</v>
      </c>
      <c r="C120" s="2">
        <f>C10/'Output-Calculation-sheet'!C9*'Output-Calculation-sheet'!C99</f>
        <v>10346210731.654095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5357713412.9202948</v>
      </c>
      <c r="O120" s="2">
        <f>O10/'Output-Calculation-sheet'!O9*'Output-Calculation-sheet'!O99</f>
        <v>1985877724.9083548</v>
      </c>
      <c r="P120" s="2">
        <f>P10/'Output-Calculation-sheet'!P9*'Output-Calculation-sheet'!P99</f>
        <v>0</v>
      </c>
      <c r="Q120" s="2">
        <f>Q10/'Output-Calculation-sheet'!Q9*'Output-Calculation-sheet'!Q99</f>
        <v>172626568.0478203</v>
      </c>
      <c r="R120" s="2">
        <f>R10/'Output-Calculation-sheet'!R9*'Output-Calculation-sheet'!R99</f>
        <v>0</v>
      </c>
      <c r="S120" s="2">
        <f>S10/'Output-Calculation-sheet'!S9*'Output-Calculation-sheet'!S99</f>
        <v>2161164155.381319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587729404.72182047</v>
      </c>
      <c r="Y120" s="2">
        <f>Y10/'Output-Calculation-sheet'!Y9*'Output-Calculation-sheet'!Y99</f>
        <v>0</v>
      </c>
      <c r="AA120" s="2">
        <f t="shared" si="10"/>
        <v>60841.290171066808</v>
      </c>
    </row>
    <row r="121" spans="1:27" x14ac:dyDescent="0.25">
      <c r="A121" s="2">
        <v>2034</v>
      </c>
      <c r="B121" s="2">
        <f>B11/'Output-Calculation-sheet'!B10*'Output-Calculation-sheet'!B100</f>
        <v>36945600699.39286</v>
      </c>
      <c r="C121" s="2">
        <f>C11/'Output-Calculation-sheet'!C10*'Output-Calculation-sheet'!C100</f>
        <v>9523702096.8837509</v>
      </c>
      <c r="D121" s="2">
        <f>D11/'Output-Calculation-sheet'!D10*'Output-Calculation-sheet'!D100</f>
        <v>0</v>
      </c>
      <c r="E121" s="2">
        <f>E11/'Output-Calculation-sheet'!E10*'Output-Calculation-sheet'!E100</f>
        <v>782870497.26144063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14034732396.904505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656334744.43722177</v>
      </c>
      <c r="M121" s="2">
        <f>M11/'Output-Calculation-sheet'!M10*'Output-Calculation-sheet'!M100</f>
        <v>9906163758.874197</v>
      </c>
      <c r="N121" s="2">
        <f>N11/'Output-Calculation-sheet'!N10*'Output-Calculation-sheet'!N100</f>
        <v>6842369713.7032557</v>
      </c>
      <c r="O121" s="2">
        <f>O11/'Output-Calculation-sheet'!O10*'Output-Calculation-sheet'!O100</f>
        <v>1017021830.6037897</v>
      </c>
      <c r="P121" s="2">
        <f>P11/'Output-Calculation-sheet'!P10*'Output-Calculation-sheet'!P100</f>
        <v>0</v>
      </c>
      <c r="Q121" s="2">
        <f>Q11/'Output-Calculation-sheet'!Q10*'Output-Calculation-sheet'!Q100</f>
        <v>1148905395.3215914</v>
      </c>
      <c r="R121" s="2">
        <f>R11/'Output-Calculation-sheet'!R10*'Output-Calculation-sheet'!R100</f>
        <v>0</v>
      </c>
      <c r="S121" s="2">
        <f>S11/'Output-Calculation-sheet'!S10*'Output-Calculation-sheet'!S100</f>
        <v>3163210049.9835515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42832279.584701329</v>
      </c>
      <c r="AA121" s="2">
        <f t="shared" si="10"/>
        <v>84538.317521757795</v>
      </c>
    </row>
    <row r="122" spans="1:27" x14ac:dyDescent="0.25">
      <c r="A122" s="2">
        <v>2035</v>
      </c>
      <c r="B122" s="2">
        <f>B12/'Output-Calculation-sheet'!B11*'Output-Calculation-sheet'!B101</f>
        <v>34861203188.03157</v>
      </c>
      <c r="C122" s="2">
        <f>C12/'Output-Calculation-sheet'!C11*'Output-Calculation-sheet'!C101</f>
        <v>14497038164.674034</v>
      </c>
      <c r="D122" s="2">
        <f>D12/'Output-Calculation-sheet'!D11*'Output-Calculation-sheet'!D101</f>
        <v>0</v>
      </c>
      <c r="E122" s="2">
        <f>E12/'Output-Calculation-sheet'!E11*'Output-Calculation-sheet'!E101</f>
        <v>2839721698.1622877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12568831758.481075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1438729322.0773151</v>
      </c>
      <c r="M122" s="2">
        <f>M12/'Output-Calculation-sheet'!M11*'Output-Calculation-sheet'!M101</f>
        <v>8992266903.660738</v>
      </c>
      <c r="N122" s="2">
        <f>N12/'Output-Calculation-sheet'!N11*'Output-Calculation-sheet'!N101</f>
        <v>6385871527.6868277</v>
      </c>
      <c r="O122" s="2">
        <f>O12/'Output-Calculation-sheet'!O11*'Output-Calculation-sheet'!O101</f>
        <v>41170261.336882755</v>
      </c>
      <c r="P122" s="2">
        <f>P12/'Output-Calculation-sheet'!P11*'Output-Calculation-sheet'!P101</f>
        <v>272890610.92130214</v>
      </c>
      <c r="Q122" s="2">
        <f>Q12/'Output-Calculation-sheet'!Q11*'Output-Calculation-sheet'!Q101</f>
        <v>1229198891.6967795</v>
      </c>
      <c r="R122" s="2">
        <f>R12/'Output-Calculation-sheet'!R11*'Output-Calculation-sheet'!R101</f>
        <v>0</v>
      </c>
      <c r="S122" s="2">
        <f>S12/'Output-Calculation-sheet'!S11*'Output-Calculation-sheet'!S101</f>
        <v>3030776375.5181026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110028195.1760332</v>
      </c>
      <c r="Y122" s="2">
        <f>Y12/'Output-Calculation-sheet'!Y11*'Output-Calculation-sheet'!Y101</f>
        <v>64899805.677098885</v>
      </c>
      <c r="AA122" s="2">
        <f t="shared" si="10"/>
        <v>86332.626703100032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3712030119.3760734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2652545749.0332575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174806.13524759701</v>
      </c>
    </row>
    <row r="130" spans="1:27" x14ac:dyDescent="0.25">
      <c r="A130" s="2">
        <v>2032</v>
      </c>
      <c r="B130" s="2">
        <f>B9/'Output-Calculation-sheet'!B8*'Output-Calculation-sheet'!B107</f>
        <v>68600968603.643791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3924009270.1334815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3234311174.3899693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227404.07019581975</v>
      </c>
    </row>
    <row r="131" spans="1:27" x14ac:dyDescent="0.25">
      <c r="A131" s="2">
        <v>2033</v>
      </c>
      <c r="B131" s="2">
        <f>B10/'Output-Calculation-sheet'!B9*'Output-Calculation-sheet'!B108</f>
        <v>72256819697.163803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3611891525.2489791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7862000179.3793612</v>
      </c>
      <c r="R131" s="2">
        <f>R10/'Output-Calculation-sheet'!R9*'Output-Calculation-sheet'!R108</f>
        <v>7729405110.3222227</v>
      </c>
      <c r="S131" s="2">
        <f>S10/'Output-Calculation-sheet'!S9*'Output-Calculation-sheet'!S108</f>
        <v>2975805473.4226661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259135.45328833634</v>
      </c>
    </row>
    <row r="132" spans="1:27" x14ac:dyDescent="0.25">
      <c r="A132" s="2">
        <v>2034</v>
      </c>
      <c r="B132" s="2">
        <f>B11/'Output-Calculation-sheet'!B10*'Output-Calculation-sheet'!B109</f>
        <v>59918306167.016769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31763653559.633091</v>
      </c>
      <c r="F132" s="2">
        <f>F11/'Output-Calculation-sheet'!F10*'Output-Calculation-sheet'!F109</f>
        <v>20952396698.549652</v>
      </c>
      <c r="G132" s="2">
        <f>G11/'Output-Calculation-sheet'!G10*'Output-Calculation-sheet'!G109</f>
        <v>14680531657.531013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13054486924.685966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9715746438.0219879</v>
      </c>
      <c r="M132" s="2">
        <f>M11/'Output-Calculation-sheet'!M10*'Output-Calculation-sheet'!M109</f>
        <v>5.3560801805667001E-9</v>
      </c>
      <c r="N132" s="2">
        <f>N11/'Output-Calculation-sheet'!N10*'Output-Calculation-sheet'!N109</f>
        <v>2880484104.8286052</v>
      </c>
      <c r="O132" s="2">
        <f>O11/'Output-Calculation-sheet'!O10*'Output-Calculation-sheet'!O109</f>
        <v>0</v>
      </c>
      <c r="P132" s="2">
        <f>P11/'Output-Calculation-sheet'!P10*'Output-Calculation-sheet'!P109</f>
        <v>8851456845.1356354</v>
      </c>
      <c r="Q132" s="2">
        <f>Q11/'Output-Calculation-sheet'!Q10*'Output-Calculation-sheet'!Q109</f>
        <v>7283807307.8266287</v>
      </c>
      <c r="R132" s="2">
        <f>R11/'Output-Calculation-sheet'!R10*'Output-Calculation-sheet'!R109</f>
        <v>8377958977.5221214</v>
      </c>
      <c r="S132" s="2">
        <f>S11/'Output-Calculation-sheet'!S10*'Output-Calculation-sheet'!S109</f>
        <v>2302897705.848866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2595397608.8608403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1000636168.6025</v>
      </c>
      <c r="AA132" s="2">
        <f t="shared" si="11"/>
        <v>257676.57623113081</v>
      </c>
    </row>
    <row r="133" spans="1:27" x14ac:dyDescent="0.25">
      <c r="A133" s="2">
        <v>2035</v>
      </c>
      <c r="B133" s="2">
        <f>B12/'Output-Calculation-sheet'!B11*'Output-Calculation-sheet'!B110</f>
        <v>51716880776.358772</v>
      </c>
      <c r="C133" s="2">
        <f>C12/'Output-Calculation-sheet'!C11*'Output-Calculation-sheet'!C110</f>
        <v>0</v>
      </c>
      <c r="D133" s="2">
        <f>D12/'Output-Calculation-sheet'!D11*'Output-Calculation-sheet'!D110</f>
        <v>36290190547.597626</v>
      </c>
      <c r="E133" s="2">
        <f>E12/'Output-Calculation-sheet'!E11*'Output-Calculation-sheet'!E110</f>
        <v>28153996479.660427</v>
      </c>
      <c r="F133" s="2">
        <f>F12/'Output-Calculation-sheet'!F11*'Output-Calculation-sheet'!F110</f>
        <v>19210571345.249039</v>
      </c>
      <c r="G133" s="2">
        <f>G12/'Output-Calculation-sheet'!G11*'Output-Calculation-sheet'!G110</f>
        <v>13008368304.227629</v>
      </c>
      <c r="H133" s="2">
        <f>H12/'Output-Calculation-sheet'!H11*'Output-Calculation-sheet'!H110</f>
        <v>0</v>
      </c>
      <c r="I133" s="2">
        <f>I12/'Output-Calculation-sheet'!I11*'Output-Calculation-sheet'!I110</f>
        <v>11931988087.814857</v>
      </c>
      <c r="J133" s="2">
        <f>J12/'Output-Calculation-sheet'!J11*'Output-Calculation-sheet'!J110</f>
        <v>11945309337.477209</v>
      </c>
      <c r="K133" s="2">
        <f>K12/'Output-Calculation-sheet'!K11*'Output-Calculation-sheet'!K110</f>
        <v>11721114078.044998</v>
      </c>
      <c r="L133" s="2">
        <f>L12/'Output-Calculation-sheet'!L11*'Output-Calculation-sheet'!L110</f>
        <v>8425380463.7199717</v>
      </c>
      <c r="M133" s="2">
        <f>M12/'Output-Calculation-sheet'!M11*'Output-Calculation-sheet'!M110</f>
        <v>0</v>
      </c>
      <c r="N133" s="2">
        <f>N12/'Output-Calculation-sheet'!N11*'Output-Calculation-sheet'!N110</f>
        <v>2448476700.5845203</v>
      </c>
      <c r="O133" s="2">
        <f>O12/'Output-Calculation-sheet'!O11*'Output-Calculation-sheet'!O110</f>
        <v>0</v>
      </c>
      <c r="P133" s="2">
        <f>P12/'Output-Calculation-sheet'!P11*'Output-Calculation-sheet'!P110</f>
        <v>7890954169.3613758</v>
      </c>
      <c r="Q133" s="2">
        <f>Q12/'Output-Calculation-sheet'!Q11*'Output-Calculation-sheet'!Q110</f>
        <v>6303270979.82621</v>
      </c>
      <c r="R133" s="2">
        <f>R12/'Output-Calculation-sheet'!R11*'Output-Calculation-sheet'!R110</f>
        <v>7802177130.350173</v>
      </c>
      <c r="S133" s="2">
        <f>S12/'Output-Calculation-sheet'!S11*'Output-Calculation-sheet'!S110</f>
        <v>1880526527.9822025</v>
      </c>
      <c r="T133" s="2">
        <f>T12/'Output-Calculation-sheet'!T11*'Output-Calculation-sheet'!T110</f>
        <v>2916006733.2040424</v>
      </c>
      <c r="U133" s="2">
        <f>U12/'Output-Calculation-sheet'!U11*'Output-Calculation-sheet'!U110</f>
        <v>2303920638.5865216</v>
      </c>
      <c r="V133" s="2">
        <f>V12/'Output-Calculation-sheet'!V11*'Output-Calculation-sheet'!V110</f>
        <v>2006349046.6460075</v>
      </c>
      <c r="W133" s="2">
        <f>W12/'Output-Calculation-sheet'!W11*'Output-Calculation-sheet'!W110</f>
        <v>1689582972.8857734</v>
      </c>
      <c r="X133" s="2">
        <f>X12/'Output-Calculation-sheet'!X11*'Output-Calculation-sheet'!X110</f>
        <v>788558.95186908625</v>
      </c>
      <c r="Y133" s="2">
        <f>Y12/'Output-Calculation-sheet'!Y11*'Output-Calculation-sheet'!Y110</f>
        <v>889926629.39823163</v>
      </c>
      <c r="AA133" s="2">
        <f t="shared" si="11"/>
        <v>228535.77950792742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13310749926.796211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3338743633.5792937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309419294.06514853</v>
      </c>
      <c r="Y140" s="2">
        <f>Y8/'Output-Calculation-sheet'!Y7*'Output-Calculation-sheet'!Y115</f>
        <v>0</v>
      </c>
      <c r="AA140" s="2">
        <f t="shared" si="12"/>
        <v>16958.912854440656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25181624625.468372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4907943578.9753036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409417945.66286176</v>
      </c>
      <c r="Y141" s="2">
        <f>Y9/'Output-Calculation-sheet'!Y8*'Output-Calculation-sheet'!Y116</f>
        <v>0</v>
      </c>
      <c r="AA141" s="2">
        <f t="shared" si="12"/>
        <v>30498.986150106535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32115847719.326183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6264487393.7382746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402042631.79874331</v>
      </c>
      <c r="Y142" s="2">
        <f>Y10/'Output-Calculation-sheet'!Y9*'Output-Calculation-sheet'!Y117</f>
        <v>0</v>
      </c>
      <c r="AA142" s="2">
        <f t="shared" si="12"/>
        <v>38782.377744863203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36502688392.040779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7926154334.5106335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45027.169793382978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25760166956.114937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8881140962.7372074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954689381.4703325</v>
      </c>
      <c r="Y144" s="2">
        <f>Y12/'Output-Calculation-sheet'!Y11*'Output-Calculation-sheet'!Y119</f>
        <v>0</v>
      </c>
      <c r="AA144" s="2">
        <f t="shared" si="12"/>
        <v>35595.997300322473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14903913089.611732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2148869667.6160989</v>
      </c>
      <c r="H154" s="2">
        <f>H11/'Output-Calculation-sheet'!H10*'Output-Calculation-sheet'!H127</f>
        <v>2446034961.8579912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1557456763.2692246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913617564.16065192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483940951.12637609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57479.167982175597</v>
      </c>
    </row>
    <row r="155" spans="1:27" x14ac:dyDescent="0.25">
      <c r="A155" s="2">
        <v>2035</v>
      </c>
      <c r="B155" s="2">
        <f>B12/'Output-Calculation-sheet'!B11*'Output-Calculation-sheet'!B128</f>
        <v>12916251840.148626</v>
      </c>
      <c r="C155" s="2">
        <f>C12/'Output-Calculation-sheet'!C11*'Output-Calculation-sheet'!C128</f>
        <v>6170190508.681963</v>
      </c>
      <c r="D155" s="2">
        <f>D12/'Output-Calculation-sheet'!D11*'Output-Calculation-sheet'!D128</f>
        <v>4957233638.228034</v>
      </c>
      <c r="E155" s="2">
        <f>E12/'Output-Calculation-sheet'!E11*'Output-Calculation-sheet'!E128</f>
        <v>2437667475.8078814</v>
      </c>
      <c r="F155" s="2">
        <f>F12/'Output-Calculation-sheet'!F11*'Output-Calculation-sheet'!F128</f>
        <v>1990537438.4004452</v>
      </c>
      <c r="G155" s="2">
        <f>G12/'Output-Calculation-sheet'!G11*'Output-Calculation-sheet'!G128</f>
        <v>1892251560.6408503</v>
      </c>
      <c r="H155" s="2">
        <f>H12/'Output-Calculation-sheet'!H11*'Output-Calculation-sheet'!H128</f>
        <v>2119391006.5070164</v>
      </c>
      <c r="I155" s="2">
        <f>I12/'Output-Calculation-sheet'!I11*'Output-Calculation-sheet'!I128</f>
        <v>1628697773.2273057</v>
      </c>
      <c r="J155" s="2">
        <f>J12/'Output-Calculation-sheet'!J11*'Output-Calculation-sheet'!J128</f>
        <v>1185669149.3058488</v>
      </c>
      <c r="K155" s="2">
        <f>K12/'Output-Calculation-sheet'!K11*'Output-Calculation-sheet'!K128</f>
        <v>1310449420.0417299</v>
      </c>
      <c r="L155" s="2">
        <f>L12/'Output-Calculation-sheet'!L11*'Output-Calculation-sheet'!L128</f>
        <v>570511651.03776634</v>
      </c>
      <c r="M155" s="2">
        <f>M12/'Output-Calculation-sheet'!M11*'Output-Calculation-sheet'!M128</f>
        <v>1131861521.2373409</v>
      </c>
      <c r="N155" s="2">
        <f>N12/'Output-Calculation-sheet'!N11*'Output-Calculation-sheet'!N128</f>
        <v>997432244.08738017</v>
      </c>
      <c r="O155" s="2">
        <f>O12/'Output-Calculation-sheet'!O11*'Output-Calculation-sheet'!O128</f>
        <v>16346591.998673169</v>
      </c>
      <c r="P155" s="2">
        <f>P12/'Output-Calculation-sheet'!P11*'Output-Calculation-sheet'!P128</f>
        <v>869019973.8701663</v>
      </c>
      <c r="Q155" s="2">
        <f>Q12/'Output-Calculation-sheet'!Q11*'Output-Calculation-sheet'!Q128</f>
        <v>1308427778.6557176</v>
      </c>
      <c r="R155" s="2">
        <f>R12/'Output-Calculation-sheet'!R11*'Output-Calculation-sheet'!R128</f>
        <v>669883792.56837726</v>
      </c>
      <c r="S155" s="2">
        <f>S12/'Output-Calculation-sheet'!S11*'Output-Calculation-sheet'!S128</f>
        <v>742015146.3732748</v>
      </c>
      <c r="T155" s="2">
        <f>T12/'Output-Calculation-sheet'!T11*'Output-Calculation-sheet'!T128</f>
        <v>182497972.52635247</v>
      </c>
      <c r="U155" s="2">
        <f>U12/'Output-Calculation-sheet'!U11*'Output-Calculation-sheet'!U128</f>
        <v>422949417.70578206</v>
      </c>
      <c r="V155" s="2">
        <f>V12/'Output-Calculation-sheet'!V11*'Output-Calculation-sheet'!V128</f>
        <v>63104472.9581258</v>
      </c>
      <c r="W155" s="2">
        <f>W12/'Output-Calculation-sheet'!W11*'Output-Calculation-sheet'!W128</f>
        <v>127224986.14065425</v>
      </c>
      <c r="X155" s="2">
        <f>X12/'Output-Calculation-sheet'!X11*'Output-Calculation-sheet'!X128</f>
        <v>8996138.6000035051</v>
      </c>
      <c r="Y155" s="2">
        <f>Y12/'Output-Calculation-sheet'!Y11*'Output-Calculation-sheet'!Y128</f>
        <v>120849651.30916952</v>
      </c>
      <c r="AA155" s="2">
        <f t="shared" si="13"/>
        <v>43839.461150058472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9042.9379775644011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5698.3607273777325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3955.4547104543822</v>
      </c>
      <c r="N19" s="2">
        <f>N8/'Output-Calculation-sheet'!N7*'Output-Calculation-sheet'!N25</f>
        <v>1351.28923538917</v>
      </c>
      <c r="O19" s="2">
        <f>O8/'Output-Calculation-sheet'!O7*'Output-Calculation-sheet'!O25</f>
        <v>1167.1703843363609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208.82256337381119</v>
      </c>
      <c r="Y19" s="2">
        <f>Y8/'Output-Calculation-sheet'!Y7*'Output-Calculation-sheet'!Y25</f>
        <v>0</v>
      </c>
      <c r="AA19" s="2">
        <f t="shared" si="0"/>
        <v>23.175372578185929</v>
      </c>
    </row>
    <row r="20" spans="1:27" x14ac:dyDescent="0.25">
      <c r="A20" s="2">
        <v>2032</v>
      </c>
      <c r="B20" s="2">
        <f>B9/'Output-Calculation-sheet'!B8*'Output-Calculation-sheet'!B26</f>
        <v>7138.0354393921571</v>
      </c>
      <c r="C20" s="2">
        <f>C9/'Output-Calculation-sheet'!C8*'Output-Calculation-sheet'!C26</f>
        <v>6889.9060217407568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7763.2612138462846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5396.3068649168308</v>
      </c>
      <c r="N20" s="2">
        <f>N9/'Output-Calculation-sheet'!N8*'Output-Calculation-sheet'!N26</f>
        <v>2429.7666079688579</v>
      </c>
      <c r="O20" s="2">
        <f>O9/'Output-Calculation-sheet'!O8*'Output-Calculation-sheet'!O26</f>
        <v>1325.5453568411112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883.27431151827363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288.32882609048778</v>
      </c>
      <c r="Y20" s="2">
        <f>Y9/'Output-Calculation-sheet'!Y8*'Output-Calculation-sheet'!Y26</f>
        <v>0</v>
      </c>
      <c r="AA20" s="2">
        <f t="shared" si="0"/>
        <v>32.114424642314759</v>
      </c>
    </row>
    <row r="21" spans="1:27" x14ac:dyDescent="0.25">
      <c r="A21" s="2">
        <v>2033</v>
      </c>
      <c r="B21" s="2">
        <f>B10/'Output-Calculation-sheet'!B9*'Output-Calculation-sheet'!B27</f>
        <v>16427.885847676258</v>
      </c>
      <c r="C21" s="2">
        <f>C10/'Output-Calculation-sheet'!C9*'Output-Calculation-sheet'!C27</f>
        <v>6826.0688260047627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9544.111459456095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6631.8008963110588</v>
      </c>
      <c r="N21" s="2">
        <f>N10/'Output-Calculation-sheet'!N9*'Output-Calculation-sheet'!N27</f>
        <v>3621.9998895036556</v>
      </c>
      <c r="O21" s="2">
        <f>O10/'Output-Calculation-sheet'!O9*'Output-Calculation-sheet'!O27</f>
        <v>1312.7308549309444</v>
      </c>
      <c r="P21" s="2">
        <f>P10/'Output-Calculation-sheet'!P9*'Output-Calculation-sheet'!P27</f>
        <v>0</v>
      </c>
      <c r="Q21" s="2">
        <f>Q10/'Output-Calculation-sheet'!Q9*'Output-Calculation-sheet'!Q27</f>
        <v>242.75289040735808</v>
      </c>
      <c r="R21" s="2">
        <f>R10/'Output-Calculation-sheet'!R9*'Output-Calculation-sheet'!R27</f>
        <v>0</v>
      </c>
      <c r="S21" s="2">
        <f>S10/'Output-Calculation-sheet'!S9*'Output-Calculation-sheet'!S27</f>
        <v>1576.7193206901934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420.24378534876143</v>
      </c>
      <c r="Y21" s="2">
        <f>Y10/'Output-Calculation-sheet'!Y9*'Output-Calculation-sheet'!Y27</f>
        <v>0</v>
      </c>
      <c r="AA21" s="2">
        <f t="shared" si="0"/>
        <v>46.604313770329085</v>
      </c>
    </row>
    <row r="22" spans="1:27" x14ac:dyDescent="0.25">
      <c r="A22" s="2">
        <v>2034</v>
      </c>
      <c r="B22" s="2">
        <f>B11/'Output-Calculation-sheet'!B10*'Output-Calculation-sheet'!B28</f>
        <v>29748.459454003514</v>
      </c>
      <c r="C22" s="2">
        <f>C11/'Output-Calculation-sheet'!C10*'Output-Calculation-sheet'!C28</f>
        <v>6476.0711734635861</v>
      </c>
      <c r="D22" s="2">
        <f>D11/'Output-Calculation-sheet'!D10*'Output-Calculation-sheet'!D28</f>
        <v>0</v>
      </c>
      <c r="E22" s="2">
        <f>E11/'Output-Calculation-sheet'!E10*'Output-Calculation-sheet'!E28</f>
        <v>1528.4696942700982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11361.663456247265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926.96015702494617</v>
      </c>
      <c r="M22" s="2">
        <f>M11/'Output-Calculation-sheet'!M10*'Output-Calculation-sheet'!M28</f>
        <v>8429.719993633862</v>
      </c>
      <c r="N22" s="2">
        <f>N11/'Output-Calculation-sheet'!N10*'Output-Calculation-sheet'!N28</f>
        <v>4854.0858113933373</v>
      </c>
      <c r="O22" s="2">
        <f>O11/'Output-Calculation-sheet'!O10*'Output-Calculation-sheet'!O28</f>
        <v>688.82412954964934</v>
      </c>
      <c r="P22" s="2">
        <f>P11/'Output-Calculation-sheet'!P10*'Output-Calculation-sheet'!P28</f>
        <v>0</v>
      </c>
      <c r="Q22" s="2">
        <f>Q11/'Output-Calculation-sheet'!Q10*'Output-Calculation-sheet'!Q28</f>
        <v>1400.9632353812049</v>
      </c>
      <c r="R22" s="2">
        <f>R11/'Output-Calculation-sheet'!R10*'Output-Calculation-sheet'!R28</f>
        <v>0</v>
      </c>
      <c r="S22" s="2">
        <f>S11/'Output-Calculation-sheet'!S10*'Output-Calculation-sheet'!S28</f>
        <v>2315.4644475187574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84.376986500125454</v>
      </c>
      <c r="AA22" s="2">
        <f t="shared" si="0"/>
        <v>68.160236235022978</v>
      </c>
    </row>
    <row r="23" spans="1:27" x14ac:dyDescent="0.25">
      <c r="A23" s="2">
        <v>2035</v>
      </c>
      <c r="B23" s="2">
        <f>B12/'Output-Calculation-sheet'!B11*'Output-Calculation-sheet'!B29</f>
        <v>28948.759909699551</v>
      </c>
      <c r="C23" s="2">
        <f>C12/'Output-Calculation-sheet'!C11*'Output-Calculation-sheet'!C29</f>
        <v>10886.032765051079</v>
      </c>
      <c r="D23" s="2">
        <f>D12/'Output-Calculation-sheet'!D11*'Output-Calculation-sheet'!D29</f>
        <v>0</v>
      </c>
      <c r="E23" s="2">
        <f>E12/'Output-Calculation-sheet'!E11*'Output-Calculation-sheet'!E29</f>
        <v>4912.0945975830082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10564.232353070955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1765.662212836902</v>
      </c>
      <c r="M23" s="2">
        <f>M12/'Output-Calculation-sheet'!M11*'Output-Calculation-sheet'!M29</f>
        <v>8118.2986006148813</v>
      </c>
      <c r="N23" s="2">
        <f>N12/'Output-Calculation-sheet'!N11*'Output-Calculation-sheet'!N29</f>
        <v>4829.9376924543094</v>
      </c>
      <c r="O23" s="2">
        <f>O12/'Output-Calculation-sheet'!O11*'Output-Calculation-sheet'!O29</f>
        <v>29.581270982104147</v>
      </c>
      <c r="P23" s="2">
        <f>P12/'Output-Calculation-sheet'!P11*'Output-Calculation-sheet'!P29</f>
        <v>547.50145062992431</v>
      </c>
      <c r="Q23" s="2">
        <f>Q12/'Output-Calculation-sheet'!Q11*'Output-Calculation-sheet'!Q29</f>
        <v>1492.4916026643168</v>
      </c>
      <c r="R23" s="2">
        <f>R12/'Output-Calculation-sheet'!R11*'Output-Calculation-sheet'!R29</f>
        <v>0</v>
      </c>
      <c r="S23" s="2">
        <f>S12/'Output-Calculation-sheet'!S11*'Output-Calculation-sheet'!S29</f>
        <v>2307.4842925693042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79.056185088821948</v>
      </c>
      <c r="Y23" s="2">
        <f>Y12/'Output-Calculation-sheet'!Y11*'Output-Calculation-sheet'!Y29</f>
        <v>115.96996490921148</v>
      </c>
      <c r="AA23" s="2">
        <f t="shared" si="0"/>
        <v>74.597102898154361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1841.7567725592251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47.335896003181702</v>
      </c>
    </row>
    <row r="31" spans="1:27" x14ac:dyDescent="0.25">
      <c r="A31" s="2">
        <v>2032</v>
      </c>
      <c r="B31" s="2">
        <f>B9/'Output-Calculation-sheet'!B8*'Output-Calculation-sheet'!B17</f>
        <v>30224.501453439487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2070.2590704423642</v>
      </c>
      <c r="O31" s="2">
        <f>O9/'Output-Calculation-sheet'!O8*'Output-Calculation-sheet'!O17</f>
        <v>0</v>
      </c>
      <c r="P31" s="2">
        <f>P9/'Output-Calculation-sheet'!P8*'Output-Calculation-sheet'!P17</f>
        <v>2562.8390622519714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1539.74600482144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65.819863443186094</v>
      </c>
    </row>
    <row r="32" spans="1:27" x14ac:dyDescent="0.25">
      <c r="A32" s="2">
        <v>2033</v>
      </c>
      <c r="B32" s="2">
        <f>B10/'Output-Calculation-sheet'!B9*'Output-Calculation-sheet'!B18</f>
        <v>33545.761265979047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3192.5924824358904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2045.4973147951657</v>
      </c>
      <c r="O32" s="2">
        <f>O10/'Output-Calculation-sheet'!O9*'Output-Calculation-sheet'!O18</f>
        <v>0</v>
      </c>
      <c r="P32" s="2">
        <f>P10/'Output-Calculation-sheet'!P9*'Output-Calculation-sheet'!P18</f>
        <v>3285.8153337574226</v>
      </c>
      <c r="Q32" s="2">
        <f>Q10/'Output-Calculation-sheet'!Q9*'Output-Calculation-sheet'!Q18</f>
        <v>3582.1330603082306</v>
      </c>
      <c r="R32" s="2">
        <f>R10/'Output-Calculation-sheet'!R9*'Output-Calculation-sheet'!R18</f>
        <v>2359.4694421209642</v>
      </c>
      <c r="S32" s="2">
        <f>S10/'Output-Calculation-sheet'!S9*'Output-Calculation-sheet'!S18</f>
        <v>1545.20168135626</v>
      </c>
      <c r="T32" s="2">
        <f>T10/'Output-Calculation-sheet'!T9*'Output-Calculation-sheet'!T18</f>
        <v>688.89951198858307</v>
      </c>
      <c r="U32" s="2">
        <f>U10/'Output-Calculation-sheet'!U9*'Output-Calculation-sheet'!U18</f>
        <v>761.56258004863571</v>
      </c>
      <c r="V32" s="2">
        <f>V10/'Output-Calculation-sheet'!V9*'Output-Calculation-sheet'!V18</f>
        <v>562.1418801375595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325.48398667189093</v>
      </c>
      <c r="AA32" s="2">
        <f t="shared" si="1"/>
        <v>80.536277969336595</v>
      </c>
    </row>
    <row r="33" spans="1:27" x14ac:dyDescent="0.25">
      <c r="A33" s="2">
        <v>2034</v>
      </c>
      <c r="B33" s="2">
        <f>B11/'Output-Calculation-sheet'!B10*'Output-Calculation-sheet'!B19</f>
        <v>30310.822043904624</v>
      </c>
      <c r="C33" s="2">
        <f>C11/'Output-Calculation-sheet'!C10*'Output-Calculation-sheet'!C19</f>
        <v>0</v>
      </c>
      <c r="D33" s="2">
        <f>D11/'Output-Calculation-sheet'!D10*'Output-Calculation-sheet'!D19</f>
        <v>9172.5676429299638</v>
      </c>
      <c r="E33" s="2">
        <f>E11/'Output-Calculation-sheet'!E10*'Output-Calculation-sheet'!E19</f>
        <v>11372.523964216942</v>
      </c>
      <c r="F33" s="2">
        <f>F11/'Output-Calculation-sheet'!F10*'Output-Calculation-sheet'!F19</f>
        <v>5207.0378294576367</v>
      </c>
      <c r="G33" s="2">
        <f>G11/'Output-Calculation-sheet'!G10*'Output-Calculation-sheet'!G19</f>
        <v>3102.0655235953882</v>
      </c>
      <c r="H33" s="2">
        <f>H11/'Output-Calculation-sheet'!H10*'Output-Calculation-sheet'!H19</f>
        <v>0</v>
      </c>
      <c r="I33" s="2">
        <f>I11/'Output-Calculation-sheet'!I10*'Output-Calculation-sheet'!I19</f>
        <v>3407.4444926678057</v>
      </c>
      <c r="J33" s="2">
        <f>J11/'Output-Calculation-sheet'!J10*'Output-Calculation-sheet'!J19</f>
        <v>2881.0925553568172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3250.5082470595717</v>
      </c>
      <c r="M33" s="2">
        <f>M11/'Output-Calculation-sheet'!M10*'Output-Calculation-sheet'!M19</f>
        <v>0</v>
      </c>
      <c r="N33" s="2">
        <f>N11/'Output-Calculation-sheet'!N10*'Output-Calculation-sheet'!N19</f>
        <v>1835.7299382222684</v>
      </c>
      <c r="O33" s="2">
        <f>O11/'Output-Calculation-sheet'!O10*'Output-Calculation-sheet'!O19</f>
        <v>0</v>
      </c>
      <c r="P33" s="2">
        <f>P11/'Output-Calculation-sheet'!P10*'Output-Calculation-sheet'!P19</f>
        <v>4044.8427843898667</v>
      </c>
      <c r="Q33" s="2">
        <f>Q11/'Output-Calculation-sheet'!Q10*'Output-Calculation-sheet'!Q19</f>
        <v>3293.2456443303631</v>
      </c>
      <c r="R33" s="2">
        <f>R11/'Output-Calculation-sheet'!R10*'Output-Calculation-sheet'!R19</f>
        <v>2887.0849379510605</v>
      </c>
      <c r="S33" s="2">
        <f>S11/'Output-Calculation-sheet'!S10*'Output-Calculation-sheet'!S19</f>
        <v>1339.9205611530447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906.21781366885295</v>
      </c>
      <c r="V33" s="2">
        <f>V11/'Output-Calculation-sheet'!V10*'Output-Calculation-sheet'!V19</f>
        <v>664.37584589811854</v>
      </c>
      <c r="W33" s="2">
        <f>W11/'Output-Calculation-sheet'!W10*'Output-Calculation-sheet'!W19</f>
        <v>413.63295097166178</v>
      </c>
      <c r="X33" s="2">
        <f>X11/'Output-Calculation-sheet'!X10*'Output-Calculation-sheet'!X19</f>
        <v>0</v>
      </c>
      <c r="Y33" s="2">
        <f>Y11/'Output-Calculation-sheet'!Y10*'Output-Calculation-sheet'!Y19</f>
        <v>372.86096609483496</v>
      </c>
      <c r="AA33" s="2">
        <f t="shared" si="1"/>
        <v>89.30571693671358</v>
      </c>
    </row>
    <row r="34" spans="1:27" x14ac:dyDescent="0.25">
      <c r="A34" s="2">
        <v>2035</v>
      </c>
      <c r="B34" s="2">
        <f>B12/'Output-Calculation-sheet'!B11*'Output-Calculation-sheet'!B20</f>
        <v>26780.333433036078</v>
      </c>
      <c r="C34" s="2">
        <f>C12/'Output-Calculation-sheet'!C11*'Output-Calculation-sheet'!C20</f>
        <v>0</v>
      </c>
      <c r="D34" s="2">
        <f>D12/'Output-Calculation-sheet'!D11*'Output-Calculation-sheet'!D20</f>
        <v>8540.6223328970336</v>
      </c>
      <c r="E34" s="2">
        <f>E12/'Output-Calculation-sheet'!E11*'Output-Calculation-sheet'!E20</f>
        <v>9464.9569805833271</v>
      </c>
      <c r="F34" s="2">
        <f>F12/'Output-Calculation-sheet'!F11*'Output-Calculation-sheet'!F20</f>
        <v>5316.3249630438977</v>
      </c>
      <c r="G34" s="2">
        <f>G12/'Output-Calculation-sheet'!G11*'Output-Calculation-sheet'!G20</f>
        <v>2865.0446432565159</v>
      </c>
      <c r="H34" s="2">
        <f>H12/'Output-Calculation-sheet'!H11*'Output-Calculation-sheet'!H20</f>
        <v>0</v>
      </c>
      <c r="I34" s="2">
        <f>I12/'Output-Calculation-sheet'!I11*'Output-Calculation-sheet'!I20</f>
        <v>3180.5419612599885</v>
      </c>
      <c r="J34" s="2">
        <f>J12/'Output-Calculation-sheet'!J11*'Output-Calculation-sheet'!J20</f>
        <v>2942.0942076190499</v>
      </c>
      <c r="K34" s="2">
        <f>K12/'Output-Calculation-sheet'!K11*'Output-Calculation-sheet'!K20</f>
        <v>3916.4107947434331</v>
      </c>
      <c r="L34" s="2">
        <f>L12/'Output-Calculation-sheet'!L11*'Output-Calculation-sheet'!L20</f>
        <v>3133.3988856989113</v>
      </c>
      <c r="M34" s="2">
        <f>M12/'Output-Calculation-sheet'!M11*'Output-Calculation-sheet'!M20</f>
        <v>0</v>
      </c>
      <c r="N34" s="2">
        <f>N12/'Output-Calculation-sheet'!N11*'Output-Calculation-sheet'!N20</f>
        <v>1674.9681852865451</v>
      </c>
      <c r="O34" s="2">
        <f>O12/'Output-Calculation-sheet'!O11*'Output-Calculation-sheet'!O20</f>
        <v>0</v>
      </c>
      <c r="P34" s="2">
        <f>P12/'Output-Calculation-sheet'!P11*'Output-Calculation-sheet'!P20</f>
        <v>3593.3210235916818</v>
      </c>
      <c r="Q34" s="2">
        <f>Q12/'Output-Calculation-sheet'!Q11*'Output-Calculation-sheet'!Q20</f>
        <v>2939.8297122386944</v>
      </c>
      <c r="R34" s="2">
        <f>R12/'Output-Calculation-sheet'!R11*'Output-Calculation-sheet'!R20</f>
        <v>3006.6045628289671</v>
      </c>
      <c r="S34" s="2">
        <f>S12/'Output-Calculation-sheet'!S11*'Output-Calculation-sheet'!S20</f>
        <v>1159.8725515586907</v>
      </c>
      <c r="T34" s="2">
        <f>T12/'Output-Calculation-sheet'!T11*'Output-Calculation-sheet'!T20</f>
        <v>912.20336832787723</v>
      </c>
      <c r="U34" s="2">
        <f>U12/'Output-Calculation-sheet'!U11*'Output-Calculation-sheet'!U20</f>
        <v>839.58068076308541</v>
      </c>
      <c r="V34" s="2">
        <f>V12/'Output-Calculation-sheet'!V11*'Output-Calculation-sheet'!V20</f>
        <v>826.23770732664843</v>
      </c>
      <c r="W34" s="2">
        <f>W12/'Output-Calculation-sheet'!W11*'Output-Calculation-sheet'!W20</f>
        <v>448.0764118890944</v>
      </c>
      <c r="X34" s="2">
        <f>X12/'Output-Calculation-sheet'!X11*'Output-Calculation-sheet'!X20</f>
        <v>0.99407176330735358</v>
      </c>
      <c r="Y34" s="2">
        <f>Y12/'Output-Calculation-sheet'!Y11*'Output-Calculation-sheet'!Y20</f>
        <v>324.47157435059216</v>
      </c>
      <c r="AA34" s="2">
        <f t="shared" si="1"/>
        <v>81.865888052063426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0.13699746826379694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2.0661853239009258E-2</v>
      </c>
      <c r="H44" s="2">
        <f>H11/'Output-Calculation-sheet'!H10*'Output-Calculation-sheet'!H37*0.0114</f>
        <v>2.0015840370404929E-2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1.1860023839891147E-2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7.7595742634392001E-3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3.7840607140842294E-3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0.20107882069062574</v>
      </c>
    </row>
    <row r="45" spans="1:27" x14ac:dyDescent="0.25">
      <c r="A45" s="2">
        <v>2035</v>
      </c>
      <c r="B45" s="2">
        <f>B12/'Output-Calculation-sheet'!B11*'Output-Calculation-sheet'!B38*0.0114</f>
        <v>0.50836605213131836</v>
      </c>
      <c r="C45" s="2">
        <f>C12/'Output-Calculation-sheet'!C11*'Output-Calculation-sheet'!C38*0.0114</f>
        <v>0.30160286834833072</v>
      </c>
      <c r="D45" s="2">
        <f>D12/'Output-Calculation-sheet'!D11*'Output-Calculation-sheet'!D38*0.0114</f>
        <v>5.3433612161482368E-2</v>
      </c>
      <c r="E45" s="2">
        <f>E12/'Output-Calculation-sheet'!E11*'Output-Calculation-sheet'!E38*0.0114</f>
        <v>0.16986207560345806</v>
      </c>
      <c r="F45" s="2">
        <f>F12/'Output-Calculation-sheet'!F11*'Output-Calculation-sheet'!F38*0.0114</f>
        <v>5.3415779757635277E-2</v>
      </c>
      <c r="G45" s="2">
        <f>G12/'Output-Calculation-sheet'!G11*'Output-Calculation-sheet'!G38*0.0114</f>
        <v>3.8335689315827919E-2</v>
      </c>
      <c r="H45" s="2">
        <f>H12/'Output-Calculation-sheet'!H11*'Output-Calculation-sheet'!H38*0.0114</f>
        <v>0.11141126049424636</v>
      </c>
      <c r="I45" s="2">
        <f>I12/'Output-Calculation-sheet'!I11*'Output-Calculation-sheet'!I38*0.0114</f>
        <v>3.4480583592146161E-2</v>
      </c>
      <c r="J45" s="2">
        <f>J12/'Output-Calculation-sheet'!J11*'Output-Calculation-sheet'!J38*0.0114</f>
        <v>1.7062177967658642E-2</v>
      </c>
      <c r="K45" s="2">
        <f>K12/'Output-Calculation-sheet'!K11*'Output-Calculation-sheet'!K38*0.0114</f>
        <v>3.3888925157567334E-2</v>
      </c>
      <c r="L45" s="2">
        <f>L12/'Output-Calculation-sheet'!L11*'Output-Calculation-sheet'!L38*0.0114</f>
        <v>1.3473456599919732E-2</v>
      </c>
      <c r="M45" s="2">
        <f>M12/'Output-Calculation-sheet'!M11*'Output-Calculation-sheet'!M38*0.0114</f>
        <v>6.3884824758976722E-2</v>
      </c>
      <c r="N45" s="2">
        <f>N12/'Output-Calculation-sheet'!N11*'Output-Calculation-sheet'!N38*0.0114</f>
        <v>3.7673053332403741E-2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4.6404378625575594E-2</v>
      </c>
      <c r="Q45" s="2">
        <f>Q12/'Output-Calculation-sheet'!Q11*'Output-Calculation-sheet'!Q38*0.0114</f>
        <v>3.3007362694793346E-2</v>
      </c>
      <c r="R45" s="2">
        <f>R12/'Output-Calculation-sheet'!R11*'Output-Calculation-sheet'!R38*0.0114</f>
        <v>2.1822014112563213E-2</v>
      </c>
      <c r="S45" s="2">
        <f>S12/'Output-Calculation-sheet'!S11*'Output-Calculation-sheet'!S38*0.0114</f>
        <v>2.8793992943932381E-2</v>
      </c>
      <c r="T45" s="2">
        <f>T12/'Output-Calculation-sheet'!T11*'Output-Calculation-sheet'!T38*0.0114</f>
        <v>4.0366615837700804E-3</v>
      </c>
      <c r="U45" s="2">
        <f>U12/'Output-Calculation-sheet'!U11*'Output-Calculation-sheet'!U38*0.0114</f>
        <v>1.0531333337525838E-2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4.6879101192341373E-3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6.7631417668987332E-3</v>
      </c>
      <c r="AA45" s="2">
        <f t="shared" si="2"/>
        <v>1.6087642850815136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3493.6327268641667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8047.1532853230337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5503.6385281546454</v>
      </c>
      <c r="N52" s="2">
        <f>N8/'Output-Calculation-sheet'!N7*'Output-Calculation-sheet'!N43</f>
        <v>173.85091356989852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37.213071548874311</v>
      </c>
      <c r="Y52" s="2">
        <f>Y8/'Output-Calculation-sheet'!Y7*'Output-Calculation-sheet'!Y43</f>
        <v>0</v>
      </c>
      <c r="AA52" s="2">
        <f t="shared" si="3"/>
        <v>17.255488525460621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598.80183368518408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15528.011245115911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10629.901596809348</v>
      </c>
      <c r="N53" s="2">
        <f>N9/'Output-Calculation-sheet'!N8*'Output-Calculation-sheet'!N44</f>
        <v>3772.1645359051108</v>
      </c>
      <c r="O53" s="2">
        <f>O9/'Output-Calculation-sheet'!O8*'Output-Calculation-sheet'!O44</f>
        <v>209.17129735316593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1175.6450814223397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324.57695419289286</v>
      </c>
      <c r="Y53" s="2">
        <f>Y9/'Output-Calculation-sheet'!Y8*'Output-Calculation-sheet'!Y44</f>
        <v>0</v>
      </c>
      <c r="AA53" s="2">
        <f t="shared" si="3"/>
        <v>32.40548177055485</v>
      </c>
    </row>
    <row r="54" spans="1:27" x14ac:dyDescent="0.25">
      <c r="A54" s="2">
        <v>2033</v>
      </c>
      <c r="B54" s="2">
        <f>B10/'Output-Calculation-sheet'!B9*'Output-Calculation-sheet'!B45</f>
        <v>31550.169662628545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15760.838137896008</v>
      </c>
      <c r="N54" s="2">
        <f>N10/'Output-Calculation-sheet'!N9*'Output-Calculation-sheet'!N45</f>
        <v>8820.8415226638554</v>
      </c>
      <c r="O54" s="2">
        <f>O10/'Output-Calculation-sheet'!O9*'Output-Calculation-sheet'!O45</f>
        <v>1174.6163149768347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917.23883710205962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96.342723916939718</v>
      </c>
    </row>
    <row r="55" spans="1:27" x14ac:dyDescent="0.25">
      <c r="A55" s="2">
        <v>2034</v>
      </c>
      <c r="B55" s="2">
        <f>B11/'Output-Calculation-sheet'!B10*'Output-Calculation-sheet'!B46</f>
        <v>84698.083888003574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300.52297421433167</v>
      </c>
      <c r="G55" s="2">
        <f>G11/'Output-Calculation-sheet'!G10*'Output-Calculation-sheet'!G46</f>
        <v>3387.4564652375702</v>
      </c>
      <c r="H55" s="2">
        <f>H11/'Output-Calculation-sheet'!H10*'Output-Calculation-sheet'!H46</f>
        <v>26208.46045693284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18454.405638818931</v>
      </c>
      <c r="N55" s="2">
        <f>N11/'Output-Calculation-sheet'!N10*'Output-Calculation-sheet'!N46</f>
        <v>13978.190636290898</v>
      </c>
      <c r="O55" s="2">
        <f>O11/'Output-Calculation-sheet'!O10*'Output-Calculation-sheet'!O46</f>
        <v>536.30601277908738</v>
      </c>
      <c r="P55" s="2">
        <f>P11/'Output-Calculation-sheet'!P10*'Output-Calculation-sheet'!P46</f>
        <v>5173.2552454495781</v>
      </c>
      <c r="Q55" s="2">
        <f>Q11/'Output-Calculation-sheet'!Q10*'Output-Calculation-sheet'!Q46</f>
        <v>4036.5695174366356</v>
      </c>
      <c r="R55" s="2">
        <f>R11/'Output-Calculation-sheet'!R10*'Output-Calculation-sheet'!R46</f>
        <v>4192.8533812065316</v>
      </c>
      <c r="S55" s="2">
        <f>S11/'Output-Calculation-sheet'!S10*'Output-Calculation-sheet'!S46</f>
        <v>6549.3529441063138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1238.4500459866892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209.27994265939117</v>
      </c>
    </row>
    <row r="56" spans="1:27" x14ac:dyDescent="0.25">
      <c r="A56" s="2">
        <v>2035</v>
      </c>
      <c r="B56" s="2">
        <f>B12/'Output-Calculation-sheet'!B11*'Output-Calculation-sheet'!B47</f>
        <v>82564.889957994368</v>
      </c>
      <c r="C56" s="2">
        <f>C12/'Output-Calculation-sheet'!C11*'Output-Calculation-sheet'!C47</f>
        <v>25731.486820665476</v>
      </c>
      <c r="D56" s="2">
        <f>D12/'Output-Calculation-sheet'!D11*'Output-Calculation-sheet'!D47</f>
        <v>8465.0090845295745</v>
      </c>
      <c r="E56" s="2">
        <f>E12/'Output-Calculation-sheet'!E11*'Output-Calculation-sheet'!E47</f>
        <v>21411.561635278002</v>
      </c>
      <c r="F56" s="2">
        <f>F12/'Output-Calculation-sheet'!F11*'Output-Calculation-sheet'!F47</f>
        <v>1229.9686128402859</v>
      </c>
      <c r="G56" s="2">
        <f>G12/'Output-Calculation-sheet'!G11*'Output-Calculation-sheet'!G47</f>
        <v>3132.4293506748863</v>
      </c>
      <c r="H56" s="2">
        <f>H12/'Output-Calculation-sheet'!H11*'Output-Calculation-sheet'!H47</f>
        <v>24420.892230851397</v>
      </c>
      <c r="I56" s="2">
        <f>I12/'Output-Calculation-sheet'!I11*'Output-Calculation-sheet'!I47</f>
        <v>1996.2443132295145</v>
      </c>
      <c r="J56" s="2">
        <f>J12/'Output-Calculation-sheet'!J11*'Output-Calculation-sheet'!J47</f>
        <v>3292.7010113025453</v>
      </c>
      <c r="K56" s="2">
        <f>K12/'Output-Calculation-sheet'!K11*'Output-Calculation-sheet'!K47</f>
        <v>4502.1734343101516</v>
      </c>
      <c r="L56" s="2">
        <f>L12/'Output-Calculation-sheet'!L11*'Output-Calculation-sheet'!L47</f>
        <v>4820.8973220239104</v>
      </c>
      <c r="M56" s="2">
        <f>M12/'Output-Calculation-sheet'!M11*'Output-Calculation-sheet'!M47</f>
        <v>17213.037520146743</v>
      </c>
      <c r="N56" s="2">
        <f>N12/'Output-Calculation-sheet'!N11*'Output-Calculation-sheet'!N47</f>
        <v>13930.21732285315</v>
      </c>
      <c r="O56" s="2">
        <f>O12/'Output-Calculation-sheet'!O11*'Output-Calculation-sheet'!O47</f>
        <v>62.704852135676163</v>
      </c>
      <c r="P56" s="2">
        <f>P12/'Output-Calculation-sheet'!P11*'Output-Calculation-sheet'!P47</f>
        <v>5971.5108283964382</v>
      </c>
      <c r="Q56" s="2">
        <f>Q12/'Output-Calculation-sheet'!Q11*'Output-Calculation-sheet'!Q47</f>
        <v>4200.2351592906616</v>
      </c>
      <c r="R56" s="2">
        <f>R12/'Output-Calculation-sheet'!R11*'Output-Calculation-sheet'!R47</f>
        <v>4908.0389635624633</v>
      </c>
      <c r="S56" s="2">
        <f>S12/'Output-Calculation-sheet'!S11*'Output-Calculation-sheet'!S47</f>
        <v>6477.3855179574193</v>
      </c>
      <c r="T56" s="2">
        <f>T12/'Output-Calculation-sheet'!T11*'Output-Calculation-sheet'!T47</f>
        <v>1658.2180874381829</v>
      </c>
      <c r="U56" s="2">
        <f>U12/'Output-Calculation-sheet'!U11*'Output-Calculation-sheet'!U47</f>
        <v>1157.5228659578838</v>
      </c>
      <c r="V56" s="2">
        <f>V12/'Output-Calculation-sheet'!V11*'Output-Calculation-sheet'!V47</f>
        <v>1143.7667915692232</v>
      </c>
      <c r="W56" s="2">
        <f>W12/'Output-Calculation-sheet'!W11*'Output-Calculation-sheet'!W47</f>
        <v>404.8462730163165</v>
      </c>
      <c r="X56" s="2">
        <f>X12/'Output-Calculation-sheet'!X11*'Output-Calculation-sheet'!X47</f>
        <v>135.86262194862405</v>
      </c>
      <c r="Y56" s="2">
        <f>Y12/'Output-Calculation-sheet'!Y11*'Output-Calculation-sheet'!Y47</f>
        <v>539.1529155927692</v>
      </c>
      <c r="AA56" s="2">
        <f t="shared" si="3"/>
        <v>239.37075349356567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8.6098278970959417</v>
      </c>
      <c r="C63" s="2">
        <f>C8*'Output-Calculation-sheet'!C52/10^9</f>
        <v>5.2077864938704073</v>
      </c>
      <c r="D63" s="2">
        <f>D8*'Output-Calculation-sheet'!D52/10^9</f>
        <v>2.9524944964094941</v>
      </c>
      <c r="E63" s="2">
        <f>E8*'Output-Calculation-sheet'!E52/10^9</f>
        <v>2.9355715014524097</v>
      </c>
      <c r="F63" s="2">
        <f>F8*'Output-Calculation-sheet'!F52/10^9</f>
        <v>1.2432142881826436</v>
      </c>
      <c r="G63" s="2">
        <f>G8*'Output-Calculation-sheet'!G52/10^9</f>
        <v>0.89381490957775844</v>
      </c>
      <c r="H63" s="2">
        <f>H8*'Output-Calculation-sheet'!H52/10^9</f>
        <v>1.5612233692371795</v>
      </c>
      <c r="I63" s="2">
        <f>I8*'Output-Calculation-sheet'!I52/10^9</f>
        <v>0.83145537618592391</v>
      </c>
      <c r="J63" s="2">
        <f>J8*'Output-Calculation-sheet'!J52/10^9</f>
        <v>1.1441389552832741</v>
      </c>
      <c r="K63" s="2">
        <f>K8*'Output-Calculation-sheet'!K52/10^9</f>
        <v>1.0052278342849781</v>
      </c>
      <c r="L63" s="2">
        <f>L8*'Output-Calculation-sheet'!L52/10^9</f>
        <v>1.3520798028452983</v>
      </c>
      <c r="M63" s="2">
        <f>M8*'Output-Calculation-sheet'!M52/10^9</f>
        <v>1.267261146203557</v>
      </c>
      <c r="N63" s="2">
        <f>N8*'Output-Calculation-sheet'!N52/10^9</f>
        <v>1.0576980470272463</v>
      </c>
      <c r="O63" s="2">
        <f>O8*'Output-Calculation-sheet'!O52/10^9</f>
        <v>1.0629405188896899</v>
      </c>
      <c r="P63" s="2">
        <f>P8*'Output-Calculation-sheet'!P52/10^9</f>
        <v>0.69458531747545671</v>
      </c>
      <c r="Q63" s="2">
        <f>Q8*'Output-Calculation-sheet'!Q52/10^9</f>
        <v>0.78606703399881772</v>
      </c>
      <c r="R63" s="2">
        <f>R8*'Output-Calculation-sheet'!R52/10^9</f>
        <v>0.70573216202223332</v>
      </c>
      <c r="S63" s="2">
        <f>S8*'Output-Calculation-sheet'!S52/10^9</f>
        <v>0.52297253739066962</v>
      </c>
      <c r="T63" s="2">
        <f>T8*'Output-Calculation-sheet'!T52/10^9</f>
        <v>0.26830928664595105</v>
      </c>
      <c r="U63" s="2">
        <f>U8*'Output-Calculation-sheet'!U52/10^9</f>
        <v>0.18427194295656552</v>
      </c>
      <c r="V63" s="2">
        <f>V8*'Output-Calculation-sheet'!V52/10^9</f>
        <v>0.32703915187343791</v>
      </c>
      <c r="W63" s="2">
        <f>W8*'Output-Calculation-sheet'!W52/10^9</f>
        <v>0.11837285103898219</v>
      </c>
      <c r="X63" s="2">
        <f>X8*'Output-Calculation-sheet'!X52/10^9</f>
        <v>0.13475098267877872</v>
      </c>
      <c r="Y63" s="2">
        <f>Y8*'Output-Calculation-sheet'!Y52/10^9</f>
        <v>7.7234992459219332E-2</v>
      </c>
      <c r="AA63" s="2">
        <f t="shared" si="4"/>
        <v>34.944070895085915</v>
      </c>
    </row>
    <row r="64" spans="1:27" x14ac:dyDescent="0.25">
      <c r="A64" s="2">
        <v>2032</v>
      </c>
      <c r="B64" s="2">
        <f>B9*'Output-Calculation-sheet'!B53/10^9</f>
        <v>8.9496167641671178</v>
      </c>
      <c r="C64" s="2">
        <f>C9*'Output-Calculation-sheet'!C53/10^9</f>
        <v>5.7098527429174473</v>
      </c>
      <c r="D64" s="2">
        <f>D9*'Output-Calculation-sheet'!D53/10^9</f>
        <v>2.6485648024740778</v>
      </c>
      <c r="E64" s="2">
        <f>E9*'Output-Calculation-sheet'!E53/10^9</f>
        <v>2.7122468890239211</v>
      </c>
      <c r="F64" s="2">
        <f>F9*'Output-Calculation-sheet'!F53/10^9</f>
        <v>1.144008730605911</v>
      </c>
      <c r="G64" s="2">
        <f>G9*'Output-Calculation-sheet'!G53/10^9</f>
        <v>0.81427041795867805</v>
      </c>
      <c r="H64" s="2">
        <f>H9*'Output-Calculation-sheet'!H53/10^9</f>
        <v>1.67308915526336</v>
      </c>
      <c r="I64" s="2">
        <f>I9*'Output-Calculation-sheet'!I53/10^9</f>
        <v>0.76120975940258773</v>
      </c>
      <c r="J64" s="2">
        <f>J9*'Output-Calculation-sheet'!J53/10^9</f>
        <v>1.0076870550193204</v>
      </c>
      <c r="K64" s="2">
        <f>K9*'Output-Calculation-sheet'!K53/10^9</f>
        <v>0.93499648769605093</v>
      </c>
      <c r="L64" s="2">
        <f>L9*'Output-Calculation-sheet'!L53/10^9</f>
        <v>1.202870186783094</v>
      </c>
      <c r="M64" s="2">
        <f>M9*'Output-Calculation-sheet'!M53/10^9</f>
        <v>1.3112093102878581</v>
      </c>
      <c r="N64" s="2">
        <f>N9*'Output-Calculation-sheet'!N53/10^9</f>
        <v>1.103891086933527</v>
      </c>
      <c r="O64" s="2">
        <f>O9*'Output-Calculation-sheet'!O53/10^9</f>
        <v>1.153661540341405</v>
      </c>
      <c r="P64" s="2">
        <f>P9*'Output-Calculation-sheet'!P53/10^9</f>
        <v>0.71287123007513997</v>
      </c>
      <c r="Q64" s="2">
        <f>Q9*'Output-Calculation-sheet'!Q53/10^9</f>
        <v>0.78783006421621526</v>
      </c>
      <c r="R64" s="2">
        <f>R9*'Output-Calculation-sheet'!R53/10^9</f>
        <v>0.67535641251731948</v>
      </c>
      <c r="S64" s="2">
        <f>S9*'Output-Calculation-sheet'!S53/10^9</f>
        <v>0.55799532675903396</v>
      </c>
      <c r="T64" s="2">
        <f>T9*'Output-Calculation-sheet'!T53/10^9</f>
        <v>0.24277208676991666</v>
      </c>
      <c r="U64" s="2">
        <f>U9*'Output-Calculation-sheet'!U53/10^9</f>
        <v>0.1827294880198447</v>
      </c>
      <c r="V64" s="2">
        <f>V9*'Output-Calculation-sheet'!V53/10^9</f>
        <v>0.2881540502436834</v>
      </c>
      <c r="W64" s="2">
        <f>W9*'Output-Calculation-sheet'!W53/10^9</f>
        <v>0.10707266616067532</v>
      </c>
      <c r="X64" s="2">
        <f>X9*'Output-Calculation-sheet'!X53/10^9</f>
        <v>0.14375366278580795</v>
      </c>
      <c r="Y64" s="2">
        <f>Y9*'Output-Calculation-sheet'!Y53/10^9</f>
        <v>7.5018643237361335E-2</v>
      </c>
      <c r="AA64" s="2">
        <f t="shared" si="4"/>
        <v>34.900728559659349</v>
      </c>
    </row>
    <row r="65" spans="1:27" x14ac:dyDescent="0.25">
      <c r="A65" s="2">
        <v>2033</v>
      </c>
      <c r="B65" s="2">
        <f>B10*'Output-Calculation-sheet'!B54/10^9</f>
        <v>9.0948611810894793</v>
      </c>
      <c r="C65" s="2">
        <f>C10*'Output-Calculation-sheet'!C54/10^9</f>
        <v>5.9042320727455406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1.666517648995314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0.83735577643397963</v>
      </c>
      <c r="L65" s="2">
        <f>L10*'Output-Calculation-sheet'!L54/10^9</f>
        <v>0.98903176829803596</v>
      </c>
      <c r="M65" s="2">
        <f>M10*'Output-Calculation-sheet'!M54/10^9</f>
        <v>1.2583083555827435</v>
      </c>
      <c r="N65" s="2">
        <f>N10*'Output-Calculation-sheet'!N54/10^9</f>
        <v>1.0865605673876255</v>
      </c>
      <c r="O65" s="2">
        <f>O10*'Output-Calculation-sheet'!O54/10^9</f>
        <v>1.1802210975779914</v>
      </c>
      <c r="P65" s="2">
        <f>P10*'Output-Calculation-sheet'!P54/10^9</f>
        <v>0.70845676088880993</v>
      </c>
      <c r="Q65" s="2">
        <f>Q10*'Output-Calculation-sheet'!Q54/10^9</f>
        <v>0.77314030398460665</v>
      </c>
      <c r="R65" s="2">
        <f>R10*'Output-Calculation-sheet'!R54/10^9</f>
        <v>0.62371538974595808</v>
      </c>
      <c r="S65" s="2">
        <f>S10*'Output-Calculation-sheet'!S54/10^9</f>
        <v>0.56654163644607569</v>
      </c>
      <c r="T65" s="2">
        <f>T10*'Output-Calculation-sheet'!T54/10^9</f>
        <v>0.208535385152289</v>
      </c>
      <c r="U65" s="2">
        <f>U10*'Output-Calculation-sheet'!U54/10^9</f>
        <v>0.18006539707786642</v>
      </c>
      <c r="V65" s="2">
        <f>V10*'Output-Calculation-sheet'!V54/10^9</f>
        <v>0.2307846626460153</v>
      </c>
      <c r="W65" s="2">
        <f>W10*'Output-Calculation-sheet'!W54/10^9</f>
        <v>8.7865028620420116E-2</v>
      </c>
      <c r="X65" s="2">
        <f>X10*'Output-Calculation-sheet'!X54/10^9</f>
        <v>0.14367199826915691</v>
      </c>
      <c r="Y65" s="2">
        <f>Y10*'Output-Calculation-sheet'!Y54/10^9</f>
        <v>7.2324153662042562E-2</v>
      </c>
      <c r="AA65" s="2">
        <f t="shared" si="4"/>
        <v>33.277976209685789</v>
      </c>
    </row>
    <row r="66" spans="1:27" x14ac:dyDescent="0.25">
      <c r="A66" s="2">
        <v>2034</v>
      </c>
      <c r="B66" s="2">
        <f>B11*'Output-Calculation-sheet'!B55/10^9</f>
        <v>9.0444164958372362</v>
      </c>
      <c r="C66" s="2">
        <f>C11*'Output-Calculation-sheet'!C55/10^9</f>
        <v>5.810608443424349</v>
      </c>
      <c r="D66" s="2">
        <f>D11*'Output-Calculation-sheet'!D55/10^9</f>
        <v>1.8923635048024998</v>
      </c>
      <c r="E66" s="2">
        <f>E11*'Output-Calculation-sheet'!E55/10^9</f>
        <v>2.2915142200998027</v>
      </c>
      <c r="F66" s="2">
        <f>F11*'Output-Calculation-sheet'!F55/10^9</f>
        <v>0.88066611547991891</v>
      </c>
      <c r="G66" s="2">
        <f>G11*'Output-Calculation-sheet'!G55/10^9</f>
        <v>0.62952172403990425</v>
      </c>
      <c r="H66" s="2">
        <f>H11*'Output-Calculation-sheet'!H55/10^9</f>
        <v>1.6083359972279718</v>
      </c>
      <c r="I66" s="2">
        <f>I11*'Output-Calculation-sheet'!I55/10^9</f>
        <v>0.61557042647978311</v>
      </c>
      <c r="J66" s="2">
        <f>J11*'Output-Calculation-sheet'!J55/10^9</f>
        <v>0.63299492800603574</v>
      </c>
      <c r="K66" s="2">
        <f>K11*'Output-Calculation-sheet'!K55/10^9</f>
        <v>0.75711270466687708</v>
      </c>
      <c r="L66" s="2">
        <f>L11*'Output-Calculation-sheet'!L55/10^9</f>
        <v>0.80183463114529341</v>
      </c>
      <c r="M66" s="2">
        <f>M11*'Output-Calculation-sheet'!M55/10^9</f>
        <v>1.1659027655294536</v>
      </c>
      <c r="N66" s="2">
        <f>N11*'Output-Calculation-sheet'!N55/10^9</f>
        <v>1.0186833532166628</v>
      </c>
      <c r="O66" s="2">
        <f>O11*'Output-Calculation-sheet'!O55/10^9</f>
        <v>1.1464666010064759</v>
      </c>
      <c r="P66" s="2">
        <f>P11*'Output-Calculation-sheet'!P55/10^9</f>
        <v>0.70030635228833893</v>
      </c>
      <c r="Q66" s="2">
        <f>Q11*'Output-Calculation-sheet'!Q55/10^9</f>
        <v>0.7619712165587833</v>
      </c>
      <c r="R66" s="2">
        <f>R11*'Output-Calculation-sheet'!R55/10^9</f>
        <v>0.56720221409789129</v>
      </c>
      <c r="S66" s="2">
        <f>S11*'Output-Calculation-sheet'!S55/10^9</f>
        <v>0.55763614861522548</v>
      </c>
      <c r="T66" s="2">
        <f>T11*'Output-Calculation-sheet'!T55/10^9</f>
        <v>0.17777379066500509</v>
      </c>
      <c r="U66" s="2">
        <f>U11*'Output-Calculation-sheet'!U55/10^9</f>
        <v>0.18055142310165048</v>
      </c>
      <c r="V66" s="2">
        <f>V11*'Output-Calculation-sheet'!V55/10^9</f>
        <v>0.16864352015336795</v>
      </c>
      <c r="W66" s="2">
        <f>W11*'Output-Calculation-sheet'!W55/10^9</f>
        <v>7.6361443982149446E-2</v>
      </c>
      <c r="X66" s="2">
        <f>X11*'Output-Calculation-sheet'!X55/10^9</f>
        <v>0.1362657766483571</v>
      </c>
      <c r="Y66" s="2">
        <f>Y11*'Output-Calculation-sheet'!Y55/10^9</f>
        <v>7.4931183096845488E-2</v>
      </c>
      <c r="AA66" s="2">
        <f t="shared" si="4"/>
        <v>31.69763498016988</v>
      </c>
    </row>
    <row r="67" spans="1:27" x14ac:dyDescent="0.25">
      <c r="A67" s="2">
        <v>2035</v>
      </c>
      <c r="B67" s="2">
        <f>B12*'Output-Calculation-sheet'!B56/10^9</f>
        <v>8.7140787009378009</v>
      </c>
      <c r="C67" s="2">
        <f>C12*'Output-Calculation-sheet'!C56/10^9</f>
        <v>5.4728889862610357</v>
      </c>
      <c r="D67" s="2">
        <f>D12*'Output-Calculation-sheet'!D56/10^9</f>
        <v>1.8130888042363325</v>
      </c>
      <c r="E67" s="2">
        <f>E12*'Output-Calculation-sheet'!E56/10^9</f>
        <v>2.4615880453548975</v>
      </c>
      <c r="F67" s="2">
        <f>F12*'Output-Calculation-sheet'!F56/10^9</f>
        <v>0.89910432871005452</v>
      </c>
      <c r="G67" s="2">
        <f>G12*'Output-Calculation-sheet'!G56/10^9</f>
        <v>0.6298313770420646</v>
      </c>
      <c r="H67" s="2">
        <f>H12*'Output-Calculation-sheet'!H56/10^9</f>
        <v>1.5214249730595288</v>
      </c>
      <c r="I67" s="2">
        <f>I12*'Output-Calculation-sheet'!I56/10^9</f>
        <v>0.61182730480278513</v>
      </c>
      <c r="J67" s="2">
        <f>J12*'Output-Calculation-sheet'!J56/10^9</f>
        <v>0.60569933451697811</v>
      </c>
      <c r="K67" s="2">
        <f>K12*'Output-Calculation-sheet'!K56/10^9</f>
        <v>0.72987424967751546</v>
      </c>
      <c r="L67" s="2">
        <f>L12*'Output-Calculation-sheet'!L56/10^9</f>
        <v>0.733213675650772</v>
      </c>
      <c r="M67" s="2">
        <f>M12*'Output-Calculation-sheet'!M56/10^9</f>
        <v>1.1129426032847372</v>
      </c>
      <c r="N67" s="2">
        <f>N12*'Output-Calculation-sheet'!N56/10^9</f>
        <v>0.95592266146432547</v>
      </c>
      <c r="O67" s="2">
        <f>O12*'Output-Calculation-sheet'!O56/10^9</f>
        <v>1.072327008328366</v>
      </c>
      <c r="P67" s="2">
        <f>P12*'Output-Calculation-sheet'!P56/10^9</f>
        <v>0.7069344215209179</v>
      </c>
      <c r="Q67" s="2">
        <f>Q12*'Output-Calculation-sheet'!Q56/10^9</f>
        <v>0.72764125386588319</v>
      </c>
      <c r="R67" s="2">
        <f>R12*'Output-Calculation-sheet'!R56/10^9</f>
        <v>0.55365632494628514</v>
      </c>
      <c r="S67" s="2">
        <f>S12*'Output-Calculation-sheet'!S56/10^9</f>
        <v>0.52757260086605984</v>
      </c>
      <c r="T67" s="2">
        <f>T12*'Output-Calculation-sheet'!T56/10^9</f>
        <v>0.16778046325543058</v>
      </c>
      <c r="U67" s="2">
        <f>U12*'Output-Calculation-sheet'!U56/10^9</f>
        <v>0.17544554869698634</v>
      </c>
      <c r="V67" s="2">
        <f>V12*'Output-Calculation-sheet'!V56/10^9</f>
        <v>0.13458253269260856</v>
      </c>
      <c r="W67" s="2">
        <f>W12*'Output-Calculation-sheet'!W56/10^9</f>
        <v>8.1256685896456418E-2</v>
      </c>
      <c r="X67" s="2">
        <f>X12*'Output-Calculation-sheet'!X56/10^9</f>
        <v>0.128633789316176</v>
      </c>
      <c r="Y67" s="2">
        <f>Y12*'Output-Calculation-sheet'!Y56/10^9</f>
        <v>7.8521851681432775E-2</v>
      </c>
      <c r="AA67" s="2">
        <f t="shared" si="4"/>
        <v>30.615837526065423</v>
      </c>
    </row>
    <row r="68" spans="1:27" x14ac:dyDescent="0.25">
      <c r="B68" s="2">
        <f>SUM(B60:B67)</f>
        <v>44.412801039127572</v>
      </c>
      <c r="C68" s="2">
        <f t="shared" ref="C68:Y68" si="5">SUM(C60:C67)</f>
        <v>28.105368739218783</v>
      </c>
      <c r="D68" s="2">
        <f t="shared" si="5"/>
        <v>11.455075381774936</v>
      </c>
      <c r="E68" s="2">
        <f t="shared" si="5"/>
        <v>12.820166844852483</v>
      </c>
      <c r="F68" s="2">
        <f t="shared" si="5"/>
        <v>5.1491649954181815</v>
      </c>
      <c r="G68" s="2">
        <f t="shared" si="5"/>
        <v>3.6417885912075318</v>
      </c>
      <c r="H68" s="2">
        <f t="shared" si="5"/>
        <v>8.0305911437833544</v>
      </c>
      <c r="I68" s="2">
        <f t="shared" si="5"/>
        <v>3.4766960528104076</v>
      </c>
      <c r="J68" s="2">
        <f t="shared" si="5"/>
        <v>4.1753424541653414</v>
      </c>
      <c r="K68" s="2">
        <f t="shared" si="5"/>
        <v>4.2645670527594017</v>
      </c>
      <c r="L68" s="2">
        <f t="shared" si="5"/>
        <v>5.0790300647224935</v>
      </c>
      <c r="M68" s="2">
        <f t="shared" si="5"/>
        <v>6.1156241808883491</v>
      </c>
      <c r="N68" s="2">
        <f t="shared" si="5"/>
        <v>5.2227557160293872</v>
      </c>
      <c r="O68" s="2">
        <f t="shared" si="5"/>
        <v>5.615616766143928</v>
      </c>
      <c r="P68" s="2">
        <f t="shared" si="5"/>
        <v>3.5231540822486629</v>
      </c>
      <c r="Q68" s="2">
        <f t="shared" si="5"/>
        <v>3.8366498726243061</v>
      </c>
      <c r="R68" s="2">
        <f t="shared" si="5"/>
        <v>3.1256625033296874</v>
      </c>
      <c r="S68" s="2">
        <f t="shared" si="5"/>
        <v>2.7327182500770646</v>
      </c>
      <c r="T68" s="2">
        <f t="shared" si="5"/>
        <v>1.0651710124885923</v>
      </c>
      <c r="U68" s="2">
        <f t="shared" si="5"/>
        <v>0.90306379985291352</v>
      </c>
      <c r="V68" s="2">
        <f t="shared" si="5"/>
        <v>1.1492039176091131</v>
      </c>
      <c r="W68" s="2">
        <f t="shared" si="5"/>
        <v>0.47092867569868346</v>
      </c>
      <c r="X68" s="2">
        <f t="shared" si="5"/>
        <v>0.68707620969827654</v>
      </c>
      <c r="Y68" s="2">
        <f t="shared" si="5"/>
        <v>0.37803082413690148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936.77982527897871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1708.4060868676911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1152.093132667191</v>
      </c>
      <c r="N74" s="2">
        <f>N8/'Output-Calculation-sheet'!N7*'Output-Calculation-sheet'!N61</f>
        <v>51.739352265087142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10.223400996275233</v>
      </c>
      <c r="Y74" s="2">
        <f>Y8/'Output-Calculation-sheet'!Y7*'Output-Calculation-sheet'!Y61</f>
        <v>0</v>
      </c>
      <c r="AA74" s="2">
        <f t="shared" si="6"/>
        <v>3.8592417980752232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164.50353067518648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2961.9490916876448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2007.8330365267498</v>
      </c>
      <c r="N75" s="2">
        <f>N9/'Output-Calculation-sheet'!N8*'Output-Calculation-sheet'!N62</f>
        <v>773.80435651841105</v>
      </c>
      <c r="O75" s="2">
        <f>O9/'Output-Calculation-sheet'!O8*'Output-Calculation-sheet'!O62</f>
        <v>57.465060054660675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259.57913585041331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70.862534363239845</v>
      </c>
      <c r="Y75" s="2">
        <f>Y9/'Output-Calculation-sheet'!Y8*'Output-Calculation-sheet'!Y62</f>
        <v>0</v>
      </c>
      <c r="AA75" s="2">
        <f t="shared" si="6"/>
        <v>6.3572451529823173</v>
      </c>
    </row>
    <row r="76" spans="1:27" x14ac:dyDescent="0.25">
      <c r="A76" s="2">
        <v>2033</v>
      </c>
      <c r="B76" s="2">
        <f>B10/'Output-Calculation-sheet'!B9*'Output-Calculation-sheet'!B63</f>
        <v>6337.1105706690096</v>
      </c>
      <c r="C76" s="2">
        <f>C10/'Output-Calculation-sheet'!C9*'Output-Calculation-sheet'!C63</f>
        <v>1306.2111749224696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4155.3853963810952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2823.1098315660429</v>
      </c>
      <c r="N76" s="2">
        <f>N10/'Output-Calculation-sheet'!N9*'Output-Calculation-sheet'!N63</f>
        <v>1614.6119405540464</v>
      </c>
      <c r="O76" s="2">
        <f>O10/'Output-Calculation-sheet'!O9*'Output-Calculation-sheet'!O63</f>
        <v>267.9256394792929</v>
      </c>
      <c r="P76" s="2">
        <f>P10/'Output-Calculation-sheet'!P9*'Output-Calculation-sheet'!P63</f>
        <v>557.55770877146995</v>
      </c>
      <c r="Q76" s="2">
        <f>Q10/'Output-Calculation-sheet'!Q9*'Output-Calculation-sheet'!Q63</f>
        <v>251.9885736221085</v>
      </c>
      <c r="R76" s="2">
        <f>R10/'Output-Calculation-sheet'!R9*'Output-Calculation-sheet'!R63</f>
        <v>424.29239602920211</v>
      </c>
      <c r="S76" s="2">
        <f>S10/'Output-Calculation-sheet'!S9*'Output-Calculation-sheet'!S63</f>
        <v>719.89210905953496</v>
      </c>
      <c r="T76" s="2">
        <f>T10/'Output-Calculation-sheet'!T9*'Output-Calculation-sheet'!T63</f>
        <v>27.8838132634544</v>
      </c>
      <c r="U76" s="2">
        <f>U10/'Output-Calculation-sheet'!U9*'Output-Calculation-sheet'!U63</f>
        <v>150.73889137512458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162.0919053159455</v>
      </c>
      <c r="Y76" s="2">
        <f>Y10/'Output-Calculation-sheet'!Y9*'Output-Calculation-sheet'!Y63</f>
        <v>7.1499114971690512</v>
      </c>
      <c r="AA76" s="2">
        <f t="shared" si="6"/>
        <v>18.922998829362189</v>
      </c>
    </row>
    <row r="77" spans="1:27" x14ac:dyDescent="0.25">
      <c r="A77" s="2">
        <v>2034</v>
      </c>
      <c r="B77" s="2">
        <f>B11/'Output-Calculation-sheet'!B10*'Output-Calculation-sheet'!B64</f>
        <v>14362.442035801367</v>
      </c>
      <c r="C77" s="2">
        <f>C11/'Output-Calculation-sheet'!C10*'Output-Calculation-sheet'!C64</f>
        <v>2156.9849851351796</v>
      </c>
      <c r="D77" s="2">
        <f>D11/'Output-Calculation-sheet'!D10*'Output-Calculation-sheet'!D64</f>
        <v>1845.3723453768259</v>
      </c>
      <c r="E77" s="2">
        <f>E11/'Output-Calculation-sheet'!E10*'Output-Calculation-sheet'!E64</f>
        <v>2275.5728861952753</v>
      </c>
      <c r="F77" s="2">
        <f>F11/'Output-Calculation-sheet'!F10*'Output-Calculation-sheet'!F64</f>
        <v>146.52894125936092</v>
      </c>
      <c r="G77" s="2">
        <f>G11/'Output-Calculation-sheet'!G10*'Output-Calculation-sheet'!G64</f>
        <v>919.39447095138132</v>
      </c>
      <c r="H77" s="2">
        <f>H11/'Output-Calculation-sheet'!H10*'Output-Calculation-sheet'!H64</f>
        <v>4899.5300791318514</v>
      </c>
      <c r="I77" s="2">
        <f>I11/'Output-Calculation-sheet'!I10*'Output-Calculation-sheet'!I64</f>
        <v>571.69459695087539</v>
      </c>
      <c r="J77" s="2">
        <f>J11/'Output-Calculation-sheet'!J10*'Output-Calculation-sheet'!J64</f>
        <v>401.15994617219968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366.10235963495813</v>
      </c>
      <c r="M77" s="2">
        <f>M11/'Output-Calculation-sheet'!M10*'Output-Calculation-sheet'!M64</f>
        <v>3472.8581820363293</v>
      </c>
      <c r="N77" s="2">
        <f>N11/'Output-Calculation-sheet'!N10*'Output-Calculation-sheet'!N64</f>
        <v>2436.7149539321354</v>
      </c>
      <c r="O77" s="2">
        <f>O11/'Output-Calculation-sheet'!O10*'Output-Calculation-sheet'!O64</f>
        <v>116.39059354607969</v>
      </c>
      <c r="P77" s="2">
        <f>P11/'Output-Calculation-sheet'!P10*'Output-Calculation-sheet'!P64</f>
        <v>1070.2539270047398</v>
      </c>
      <c r="Q77" s="2">
        <f>Q11/'Output-Calculation-sheet'!Q10*'Output-Calculation-sheet'!Q64</f>
        <v>763.18733233215323</v>
      </c>
      <c r="R77" s="2">
        <f>R11/'Output-Calculation-sheet'!R10*'Output-Calculation-sheet'!R64</f>
        <v>922.9446285957481</v>
      </c>
      <c r="S77" s="2">
        <f>S11/'Output-Calculation-sheet'!S10*'Output-Calculation-sheet'!S64</f>
        <v>1143.094195310046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271.48046529381548</v>
      </c>
      <c r="V77" s="2">
        <f>V11/'Output-Calculation-sheet'!V10*'Output-Calculation-sheet'!V64</f>
        <v>131.73797889358485</v>
      </c>
      <c r="W77" s="2">
        <f>W11/'Output-Calculation-sheet'!W10*'Output-Calculation-sheet'!W64</f>
        <v>28.914418726332901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84.408449833639224</v>
      </c>
      <c r="AA77" s="2">
        <f t="shared" si="6"/>
        <v>39.656677866961829</v>
      </c>
    </row>
    <row r="78" spans="1:27" x14ac:dyDescent="0.25">
      <c r="A78" s="2">
        <v>2035</v>
      </c>
      <c r="B78" s="2">
        <f>B12/'Output-Calculation-sheet'!B11*'Output-Calculation-sheet'!B65</f>
        <v>14309.813168039764</v>
      </c>
      <c r="C78" s="2">
        <f>C12/'Output-Calculation-sheet'!C11*'Output-Calculation-sheet'!C65</f>
        <v>4702.5601756168198</v>
      </c>
      <c r="D78" s="2">
        <f>D12/'Output-Calculation-sheet'!D11*'Output-Calculation-sheet'!D65</f>
        <v>1921.5898723009443</v>
      </c>
      <c r="E78" s="2">
        <f>E12/'Output-Calculation-sheet'!E11*'Output-Calculation-sheet'!E65</f>
        <v>3343.9957114403051</v>
      </c>
      <c r="F78" s="2">
        <f>F12/'Output-Calculation-sheet'!F11*'Output-Calculation-sheet'!F65</f>
        <v>431.79629541974742</v>
      </c>
      <c r="G78" s="2">
        <f>G12/'Output-Calculation-sheet'!G11*'Output-Calculation-sheet'!G65</f>
        <v>841.86855127440379</v>
      </c>
      <c r="H78" s="2">
        <f>H12/'Output-Calculation-sheet'!H11*'Output-Calculation-sheet'!H65</f>
        <v>4555.0640446836433</v>
      </c>
      <c r="I78" s="2">
        <f>I12/'Output-Calculation-sheet'!I11*'Output-Calculation-sheet'!I65</f>
        <v>559.72422083508741</v>
      </c>
      <c r="J78" s="2">
        <f>J12/'Output-Calculation-sheet'!J11*'Output-Calculation-sheet'!J65</f>
        <v>815.30420072634536</v>
      </c>
      <c r="K78" s="2">
        <f>K12/'Output-Calculation-sheet'!K11*'Output-Calculation-sheet'!K65</f>
        <v>1002.5131830482694</v>
      </c>
      <c r="L78" s="2">
        <f>L12/'Output-Calculation-sheet'!L11*'Output-Calculation-sheet'!L65</f>
        <v>856.37053772658226</v>
      </c>
      <c r="M78" s="2">
        <f>M12/'Output-Calculation-sheet'!M11*'Output-Calculation-sheet'!M65</f>
        <v>3326.244097696871</v>
      </c>
      <c r="N78" s="2">
        <f>N12/'Output-Calculation-sheet'!N11*'Output-Calculation-sheet'!N65</f>
        <v>2396.2397208094881</v>
      </c>
      <c r="O78" s="2">
        <f>O12/'Output-Calculation-sheet'!O11*'Output-Calculation-sheet'!O65</f>
        <v>11.229308274264366</v>
      </c>
      <c r="P78" s="2">
        <f>P12/'Output-Calculation-sheet'!P11*'Output-Calculation-sheet'!P65</f>
        <v>1157.075881150731</v>
      </c>
      <c r="Q78" s="2">
        <f>Q12/'Output-Calculation-sheet'!Q11*'Output-Calculation-sheet'!Q65</f>
        <v>778.69290747594789</v>
      </c>
      <c r="R78" s="2">
        <f>R12/'Output-Calculation-sheet'!R11*'Output-Calculation-sheet'!R65</f>
        <v>1077.8179901959611</v>
      </c>
      <c r="S78" s="2">
        <f>S12/'Output-Calculation-sheet'!S11*'Output-Calculation-sheet'!S65</f>
        <v>1132.6729628293074</v>
      </c>
      <c r="T78" s="2">
        <f>T12/'Output-Calculation-sheet'!T11*'Output-Calculation-sheet'!T65</f>
        <v>371.83283267152433</v>
      </c>
      <c r="U78" s="2">
        <f>U12/'Output-Calculation-sheet'!U11*'Output-Calculation-sheet'!U65</f>
        <v>254.40067725527254</v>
      </c>
      <c r="V78" s="2">
        <f>V12/'Output-Calculation-sheet'!V11*'Output-Calculation-sheet'!V65</f>
        <v>209.71725130805345</v>
      </c>
      <c r="W78" s="2">
        <f>W12/'Output-Calculation-sheet'!W11*'Output-Calculation-sheet'!W65</f>
        <v>99.167803930167409</v>
      </c>
      <c r="X78" s="2">
        <f>X12/'Output-Calculation-sheet'!X11*'Output-Calculation-sheet'!X65</f>
        <v>27.337895635445083</v>
      </c>
      <c r="Y78" s="2">
        <f>Y12/'Output-Calculation-sheet'!Y11*'Output-Calculation-sheet'!Y65</f>
        <v>92.803356718944627</v>
      </c>
      <c r="AA78" s="2">
        <f t="shared" si="6"/>
        <v>44.275832647063893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24.034643555052092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1.8124432665797594</v>
      </c>
      <c r="H88" s="2">
        <f>H11/'Output-Calculation-sheet'!H10*'Output-Calculation-sheet'!H73</f>
        <v>12.290428297617062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5.2017648420575204</v>
      </c>
      <c r="R88" s="2">
        <f>R11/'Output-Calculation-sheet'!R10*'Output-Calculation-sheet'!R73</f>
        <v>0</v>
      </c>
      <c r="S88" s="2">
        <f>S11/'Output-Calculation-sheet'!S10*'Output-Calculation-sheet'!S73</f>
        <v>2.7226576362944561</v>
      </c>
      <c r="T88" s="2">
        <f>T11/'Output-Calculation-sheet'!T10*'Output-Calculation-sheet'!T73</f>
        <v>0</v>
      </c>
      <c r="U88" s="2">
        <f>U11/'Output-Calculation-sheet'!U10*'Output-Calculation-sheet'!U73</f>
        <v>1.6596757517913285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4.772161334939222E-2</v>
      </c>
    </row>
    <row r="89" spans="1:27" x14ac:dyDescent="0.25">
      <c r="A89" s="2">
        <v>2035</v>
      </c>
      <c r="B89" s="2">
        <f>B12/'Output-Calculation-sheet'!B11*'Output-Calculation-sheet'!B74</f>
        <v>312.1545934139674</v>
      </c>
      <c r="C89" s="2">
        <f>C12/'Output-Calculation-sheet'!C11*'Output-Calculation-sheet'!C74</f>
        <v>169.32090854643127</v>
      </c>
      <c r="D89" s="2">
        <f>D12/'Output-Calculation-sheet'!D11*'Output-Calculation-sheet'!D74</f>
        <v>28.122953769201246</v>
      </c>
      <c r="E89" s="2">
        <f>E12/'Output-Calculation-sheet'!E11*'Output-Calculation-sheet'!E74</f>
        <v>93.126137940492342</v>
      </c>
      <c r="F89" s="2">
        <f>F12/'Output-Calculation-sheet'!F11*'Output-Calculation-sheet'!F74</f>
        <v>28.11356829349225</v>
      </c>
      <c r="G89" s="2">
        <f>G12/'Output-Calculation-sheet'!G11*'Output-Calculation-sheet'!G74</f>
        <v>20.176678587277852</v>
      </c>
      <c r="H89" s="2">
        <f>H12/'Output-Calculation-sheet'!H11*'Output-Calculation-sheet'!H74</f>
        <v>70.039242708371248</v>
      </c>
      <c r="I89" s="2">
        <f>I12/'Output-Calculation-sheet'!I11*'Output-Calculation-sheet'!I74</f>
        <v>18.147675574813768</v>
      </c>
      <c r="J89" s="2">
        <f>J12/'Output-Calculation-sheet'!J11*'Output-Calculation-sheet'!J74</f>
        <v>8.9800936671887595</v>
      </c>
      <c r="K89" s="2">
        <f>K12/'Output-Calculation-sheet'!K11*'Output-Calculation-sheet'!K74</f>
        <v>13.377207299039737</v>
      </c>
      <c r="L89" s="2">
        <f>L12/'Output-Calculation-sheet'!L11*'Output-Calculation-sheet'!L74</f>
        <v>7.0912929473261741</v>
      </c>
      <c r="M89" s="2">
        <f>M12/'Output-Calculation-sheet'!M11*'Output-Calculation-sheet'!M74</f>
        <v>36.985951176249678</v>
      </c>
      <c r="N89" s="2">
        <f>N12/'Output-Calculation-sheet'!N11*'Output-Calculation-sheet'!N74</f>
        <v>18.726371539498938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25.440997053495391</v>
      </c>
      <c r="Q89" s="2">
        <f>Q12/'Output-Calculation-sheet'!Q11*'Output-Calculation-sheet'!Q74</f>
        <v>21.232806411855368</v>
      </c>
      <c r="R89" s="2">
        <f>R12/'Output-Calculation-sheet'!R11*'Output-Calculation-sheet'!R74</f>
        <v>11.485270585559586</v>
      </c>
      <c r="S89" s="2">
        <f>S12/'Output-Calculation-sheet'!S11*'Output-Calculation-sheet'!S74</f>
        <v>16.417627555750919</v>
      </c>
      <c r="T89" s="2">
        <f>T12/'Output-Calculation-sheet'!T11*'Output-Calculation-sheet'!T74</f>
        <v>2.124558728300042</v>
      </c>
      <c r="U89" s="2">
        <f>U12/'Output-Calculation-sheet'!U11*'Output-Calculation-sheet'!U74</f>
        <v>6.1586744663893791</v>
      </c>
      <c r="V89" s="2">
        <f>V12/'Output-Calculation-sheet'!V11*'Output-Calculation-sheet'!V74</f>
        <v>0.47488760289359483</v>
      </c>
      <c r="W89" s="2">
        <f>W12/'Output-Calculation-sheet'!W11*'Output-Calculation-sheet'!W74</f>
        <v>2.8785413012841197</v>
      </c>
      <c r="X89" s="2">
        <f>X12/'Output-Calculation-sheet'!X11*'Output-Calculation-sheet'!X74</f>
        <v>0.3688577971455857</v>
      </c>
      <c r="Y89" s="2">
        <f>Y12/'Output-Calculation-sheet'!Y11*'Output-Calculation-sheet'!Y74</f>
        <v>3.9155031282045294</v>
      </c>
      <c r="AA89" s="2">
        <f t="shared" si="7"/>
        <v>0.91588834848989564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9828390044.7634411</v>
      </c>
      <c r="C96" s="2">
        <f>C8/'Output-Calculation-sheet'!C7*'Output-Calculation-sheet'!C79</f>
        <v>2373395428.9640899</v>
      </c>
      <c r="D96" s="2">
        <f>D8/'Output-Calculation-sheet'!D7*'Output-Calculation-sheet'!D79</f>
        <v>1926834457.5197752</v>
      </c>
      <c r="E96" s="2">
        <f>E8/'Output-Calculation-sheet'!E7*'Output-Calculation-sheet'!E79</f>
        <v>7219157963.8591166</v>
      </c>
      <c r="F96" s="2">
        <f>F8/'Output-Calculation-sheet'!F7*'Output-Calculation-sheet'!F79</f>
        <v>2105938096.5612867</v>
      </c>
      <c r="G96" s="2">
        <f>G8/'Output-Calculation-sheet'!G7*'Output-Calculation-sheet'!G79</f>
        <v>1351712097.0714085</v>
      </c>
      <c r="H96" s="2">
        <f>H8/'Output-Calculation-sheet'!H7*'Output-Calculation-sheet'!H79</f>
        <v>1665264494.3659475</v>
      </c>
      <c r="I96" s="2">
        <f>I8/'Output-Calculation-sheet'!I7*'Output-Calculation-sheet'!I79</f>
        <v>972010198.79756343</v>
      </c>
      <c r="J96" s="2">
        <f>J8/'Output-Calculation-sheet'!J7*'Output-Calculation-sheet'!J79</f>
        <v>736591109.89978266</v>
      </c>
      <c r="K96" s="2">
        <f>K8/'Output-Calculation-sheet'!K7*'Output-Calculation-sheet'!K79</f>
        <v>923781916.71941626</v>
      </c>
      <c r="L96" s="2">
        <f>L8/'Output-Calculation-sheet'!L7*'Output-Calculation-sheet'!L79</f>
        <v>838636422.25663388</v>
      </c>
      <c r="M96" s="2">
        <f>M8/'Output-Calculation-sheet'!M7*'Output-Calculation-sheet'!M79</f>
        <v>1284909275.2195966</v>
      </c>
      <c r="N96" s="2">
        <f>N8/'Output-Calculation-sheet'!N7*'Output-Calculation-sheet'!N79</f>
        <v>835276727.17894137</v>
      </c>
      <c r="O96" s="2">
        <f>O8/'Output-Calculation-sheet'!O7*'Output-Calculation-sheet'!O79</f>
        <v>313413390.25606924</v>
      </c>
      <c r="P96" s="2">
        <f>P8/'Output-Calculation-sheet'!P7*'Output-Calculation-sheet'!P79</f>
        <v>1590800024.7413113</v>
      </c>
      <c r="Q96" s="2">
        <f>Q8/'Output-Calculation-sheet'!Q7*'Output-Calculation-sheet'!Q79</f>
        <v>675401709.47253466</v>
      </c>
      <c r="R96" s="2">
        <f>R8/'Output-Calculation-sheet'!R7*'Output-Calculation-sheet'!R79</f>
        <v>896449025.33800316</v>
      </c>
      <c r="S96" s="2">
        <f>S8/'Output-Calculation-sheet'!S7*'Output-Calculation-sheet'!S79</f>
        <v>505560892.67652452</v>
      </c>
      <c r="T96" s="2">
        <f>T8/'Output-Calculation-sheet'!T7*'Output-Calculation-sheet'!T79</f>
        <v>304994288.77742267</v>
      </c>
      <c r="U96" s="2">
        <f>U8/'Output-Calculation-sheet'!U7*'Output-Calculation-sheet'!U79</f>
        <v>240068762.89283055</v>
      </c>
      <c r="V96" s="2">
        <f>V8/'Output-Calculation-sheet'!V7*'Output-Calculation-sheet'!V79</f>
        <v>110183203.48160554</v>
      </c>
      <c r="W96" s="2">
        <f>W8/'Output-Calculation-sheet'!W7*'Output-Calculation-sheet'!W79</f>
        <v>339244124.32789201</v>
      </c>
      <c r="X96" s="2">
        <f>X8/'Output-Calculation-sheet'!X7*'Output-Calculation-sheet'!X79</f>
        <v>153005780.80510575</v>
      </c>
      <c r="Y96" s="2">
        <f>Y8/'Output-Calculation-sheet'!Y7*'Output-Calculation-sheet'!Y79</f>
        <v>210564103.63807791</v>
      </c>
      <c r="AA96" s="2">
        <f t="shared" si="8"/>
        <v>37.401583539584365</v>
      </c>
    </row>
    <row r="97" spans="1:27" x14ac:dyDescent="0.25">
      <c r="A97" s="2">
        <v>2032</v>
      </c>
      <c r="B97" s="2">
        <f>B9/'Output-Calculation-sheet'!B8*'Output-Calculation-sheet'!B80</f>
        <v>12272446711.648697</v>
      </c>
      <c r="C97" s="2">
        <f>C9/'Output-Calculation-sheet'!C8*'Output-Calculation-sheet'!C80</f>
        <v>2898534822.212769</v>
      </c>
      <c r="D97" s="2">
        <f>D9/'Output-Calculation-sheet'!D8*'Output-Calculation-sheet'!D80</f>
        <v>2214156158.1621933</v>
      </c>
      <c r="E97" s="2">
        <f>E9/'Output-Calculation-sheet'!E8*'Output-Calculation-sheet'!E80</f>
        <v>9321283100.8719501</v>
      </c>
      <c r="F97" s="2">
        <f>F9/'Output-Calculation-sheet'!F8*'Output-Calculation-sheet'!F80</f>
        <v>2556215769.4108963</v>
      </c>
      <c r="G97" s="2">
        <f>G9/'Output-Calculation-sheet'!G8*'Output-Calculation-sheet'!G80</f>
        <v>1566312794.2765849</v>
      </c>
      <c r="H97" s="2">
        <f>H9/'Output-Calculation-sheet'!H8*'Output-Calculation-sheet'!H80</f>
        <v>2050865497.0719459</v>
      </c>
      <c r="I97" s="2">
        <f>I9/'Output-Calculation-sheet'!I8*'Output-Calculation-sheet'!I80</f>
        <v>1181294108.3806849</v>
      </c>
      <c r="J97" s="2">
        <f>J9/'Output-Calculation-sheet'!J8*'Output-Calculation-sheet'!J80</f>
        <v>882752398.09048784</v>
      </c>
      <c r="K97" s="2">
        <f>K9/'Output-Calculation-sheet'!K8*'Output-Calculation-sheet'!K80</f>
        <v>1088733487.2760649</v>
      </c>
      <c r="L97" s="2">
        <f>L9/'Output-Calculation-sheet'!L8*'Output-Calculation-sheet'!L80</f>
        <v>1050159015.9502633</v>
      </c>
      <c r="M97" s="2">
        <f>M9/'Output-Calculation-sheet'!M8*'Output-Calculation-sheet'!M80</f>
        <v>1617993957.1877742</v>
      </c>
      <c r="N97" s="2">
        <f>N9/'Output-Calculation-sheet'!N8*'Output-Calculation-sheet'!N80</f>
        <v>1016593667.6753343</v>
      </c>
      <c r="O97" s="2">
        <f>O9/'Output-Calculation-sheet'!O8*'Output-Calculation-sheet'!O80</f>
        <v>377885621.96527594</v>
      </c>
      <c r="P97" s="2">
        <f>P9/'Output-Calculation-sheet'!P8*'Output-Calculation-sheet'!P80</f>
        <v>1905867368.9441819</v>
      </c>
      <c r="Q97" s="2">
        <f>Q9/'Output-Calculation-sheet'!Q8*'Output-Calculation-sheet'!Q80</f>
        <v>824353744.74333668</v>
      </c>
      <c r="R97" s="2">
        <f>R9/'Output-Calculation-sheet'!R8*'Output-Calculation-sheet'!R80</f>
        <v>1104640196.4524529</v>
      </c>
      <c r="S97" s="2">
        <f>S9/'Output-Calculation-sheet'!S8*'Output-Calculation-sheet'!S80</f>
        <v>614800125.42469203</v>
      </c>
      <c r="T97" s="2">
        <f>T9/'Output-Calculation-sheet'!T8*'Output-Calculation-sheet'!T80</f>
        <v>358485775.62516636</v>
      </c>
      <c r="U97" s="2">
        <f>U9/'Output-Calculation-sheet'!U8*'Output-Calculation-sheet'!U80</f>
        <v>285255385.51498407</v>
      </c>
      <c r="V97" s="2">
        <f>V9/'Output-Calculation-sheet'!V8*'Output-Calculation-sheet'!V80</f>
        <v>131576314.900672</v>
      </c>
      <c r="W97" s="2">
        <f>W9/'Output-Calculation-sheet'!W8*'Output-Calculation-sheet'!W80</f>
        <v>407161594.49039096</v>
      </c>
      <c r="X97" s="2">
        <f>X9/'Output-Calculation-sheet'!X8*'Output-Calculation-sheet'!X80</f>
        <v>197200702.1124475</v>
      </c>
      <c r="Y97" s="2">
        <f>Y9/'Output-Calculation-sheet'!Y8*'Output-Calculation-sheet'!Y80</f>
        <v>258866647.76582807</v>
      </c>
      <c r="AA97" s="2">
        <f t="shared" si="8"/>
        <v>46.183434966155083</v>
      </c>
    </row>
    <row r="98" spans="1:27" x14ac:dyDescent="0.25">
      <c r="A98" s="2">
        <v>2033</v>
      </c>
      <c r="B98" s="2">
        <f>B10/'Output-Calculation-sheet'!B9*'Output-Calculation-sheet'!B81</f>
        <v>13723010245.51198</v>
      </c>
      <c r="C98" s="2">
        <f>C10/'Output-Calculation-sheet'!C9*'Output-Calculation-sheet'!C81</f>
        <v>3177715722.8365088</v>
      </c>
      <c r="D98" s="2">
        <f>D10/'Output-Calculation-sheet'!D9*'Output-Calculation-sheet'!D81</f>
        <v>2286028154.3209395</v>
      </c>
      <c r="E98" s="2">
        <f>E10/'Output-Calculation-sheet'!E9*'Output-Calculation-sheet'!E81</f>
        <v>10790935429.933912</v>
      </c>
      <c r="F98" s="2">
        <f>F10/'Output-Calculation-sheet'!F9*'Output-Calculation-sheet'!F81</f>
        <v>2780291613.0728445</v>
      </c>
      <c r="G98" s="2">
        <f>G10/'Output-Calculation-sheet'!G9*'Output-Calculation-sheet'!G81</f>
        <v>1624306498.088665</v>
      </c>
      <c r="H98" s="2">
        <f>H10/'Output-Calculation-sheet'!H9*'Output-Calculation-sheet'!H81</f>
        <v>2261286295.8615828</v>
      </c>
      <c r="I98" s="2">
        <f>I10/'Output-Calculation-sheet'!I9*'Output-Calculation-sheet'!I81</f>
        <v>1288686774.368727</v>
      </c>
      <c r="J98" s="2">
        <f>J10/'Output-Calculation-sheet'!J9*'Output-Calculation-sheet'!J81</f>
        <v>950653225.89478481</v>
      </c>
      <c r="K98" s="2">
        <f>K10/'Output-Calculation-sheet'!K9*'Output-Calculation-sheet'!K81</f>
        <v>1151194561.5265665</v>
      </c>
      <c r="L98" s="2">
        <f>L10/'Output-Calculation-sheet'!L9*'Output-Calculation-sheet'!L81</f>
        <v>1179861828.490562</v>
      </c>
      <c r="M98" s="2">
        <f>M10/'Output-Calculation-sheet'!M9*'Output-Calculation-sheet'!M81</f>
        <v>1828368101.7600877</v>
      </c>
      <c r="N98" s="2">
        <f>N10/'Output-Calculation-sheet'!N9*'Output-Calculation-sheet'!N81</f>
        <v>1111125432.6616127</v>
      </c>
      <c r="O98" s="2">
        <f>O10/'Output-Calculation-sheet'!O9*'Output-Calculation-sheet'!O81</f>
        <v>409815862.45987105</v>
      </c>
      <c r="P98" s="2">
        <f>P10/'Output-Calculation-sheet'!P9*'Output-Calculation-sheet'!P81</f>
        <v>2033114130.6219125</v>
      </c>
      <c r="Q98" s="2">
        <f>Q10/'Output-Calculation-sheet'!Q9*'Output-Calculation-sheet'!Q81</f>
        <v>903378446.39858019</v>
      </c>
      <c r="R98" s="2">
        <f>R10/'Output-Calculation-sheet'!R9*'Output-Calculation-sheet'!R81</f>
        <v>1219359898.9804394</v>
      </c>
      <c r="S98" s="2">
        <f>S10/'Output-Calculation-sheet'!S9*'Output-Calculation-sheet'!S81</f>
        <v>669670943.48323905</v>
      </c>
      <c r="T98" s="2">
        <f>T10/'Output-Calculation-sheet'!T9*'Output-Calculation-sheet'!T81</f>
        <v>377301401.76109618</v>
      </c>
      <c r="U98" s="2">
        <f>U10/'Output-Calculation-sheet'!U9*'Output-Calculation-sheet'!U81</f>
        <v>303173226.89315099</v>
      </c>
      <c r="V98" s="2">
        <f>V10/'Output-Calculation-sheet'!V9*'Output-Calculation-sheet'!V81</f>
        <v>140807610.56330889</v>
      </c>
      <c r="W98" s="2">
        <f>W10/'Output-Calculation-sheet'!W9*'Output-Calculation-sheet'!W81</f>
        <v>435448134.81549567</v>
      </c>
      <c r="X98" s="2">
        <f>X10/'Output-Calculation-sheet'!X9*'Output-Calculation-sheet'!X81</f>
        <v>228276768.27876532</v>
      </c>
      <c r="Y98" s="2">
        <f>Y10/'Output-Calculation-sheet'!Y9*'Output-Calculation-sheet'!Y81</f>
        <v>284199617.96546358</v>
      </c>
      <c r="AA98" s="2">
        <f t="shared" si="8"/>
        <v>51.158009926550079</v>
      </c>
    </row>
    <row r="99" spans="1:27" x14ac:dyDescent="0.25">
      <c r="A99" s="2">
        <v>2034</v>
      </c>
      <c r="B99" s="2">
        <f>B11/'Output-Calculation-sheet'!B10*'Output-Calculation-sheet'!B82</f>
        <v>14088399029.986662</v>
      </c>
      <c r="C99" s="2">
        <f>C11/'Output-Calculation-sheet'!C10*'Output-Calculation-sheet'!C82</f>
        <v>3206988071.2611361</v>
      </c>
      <c r="D99" s="2">
        <f>D11/'Output-Calculation-sheet'!D10*'Output-Calculation-sheet'!D82</f>
        <v>2175383469.0128064</v>
      </c>
      <c r="E99" s="2">
        <f>E11/'Output-Calculation-sheet'!E10*'Output-Calculation-sheet'!E82</f>
        <v>11481312885.956322</v>
      </c>
      <c r="F99" s="2">
        <f>F11/'Output-Calculation-sheet'!F10*'Output-Calculation-sheet'!F82</f>
        <v>2779122822.3926296</v>
      </c>
      <c r="G99" s="2">
        <f>G11/'Output-Calculation-sheet'!G10*'Output-Calculation-sheet'!G82</f>
        <v>1546752314.5350127</v>
      </c>
      <c r="H99" s="2">
        <f>H11/'Output-Calculation-sheet'!H10*'Output-Calculation-sheet'!H82</f>
        <v>2288793788.6010928</v>
      </c>
      <c r="I99" s="2">
        <f>I11/'Output-Calculation-sheet'!I10*'Output-Calculation-sheet'!I82</f>
        <v>1294209601.5587461</v>
      </c>
      <c r="J99" s="2">
        <f>J11/'Output-Calculation-sheet'!J10*'Output-Calculation-sheet'!J82</f>
        <v>943469784.07518554</v>
      </c>
      <c r="K99" s="2">
        <f>K11/'Output-Calculation-sheet'!K10*'Output-Calculation-sheet'!K82</f>
        <v>1120234624.5595481</v>
      </c>
      <c r="L99" s="2">
        <f>L11/'Output-Calculation-sheet'!L10*'Output-Calculation-sheet'!L82</f>
        <v>1219475641.7087655</v>
      </c>
      <c r="M99" s="2">
        <f>M11/'Output-Calculation-sheet'!M10*'Output-Calculation-sheet'!M82</f>
        <v>1900982586.1688602</v>
      </c>
      <c r="N99" s="2">
        <f>N11/'Output-Calculation-sheet'!N10*'Output-Calculation-sheet'!N82</f>
        <v>1118481689.9921556</v>
      </c>
      <c r="O99" s="2">
        <f>O11/'Output-Calculation-sheet'!O10*'Output-Calculation-sheet'!O82</f>
        <v>409920957.7795707</v>
      </c>
      <c r="P99" s="2">
        <f>P11/'Output-Calculation-sheet'!P10*'Output-Calculation-sheet'!P82</f>
        <v>1981415994.7542737</v>
      </c>
      <c r="Q99" s="2">
        <f>Q11/'Output-Calculation-sheet'!Q10*'Output-Calculation-sheet'!Q82</f>
        <v>911427955.0481863</v>
      </c>
      <c r="R99" s="2">
        <f>R11/'Output-Calculation-sheet'!R10*'Output-Calculation-sheet'!R82</f>
        <v>1236330499.3655291</v>
      </c>
      <c r="S99" s="2">
        <f>S11/'Output-Calculation-sheet'!S10*'Output-Calculation-sheet'!S82</f>
        <v>669985737.42542171</v>
      </c>
      <c r="T99" s="2">
        <f>T11/'Output-Calculation-sheet'!T10*'Output-Calculation-sheet'!T82</f>
        <v>364833745.81041056</v>
      </c>
      <c r="U99" s="2">
        <f>U11/'Output-Calculation-sheet'!U10*'Output-Calculation-sheet'!U82</f>
        <v>295674255.79149342</v>
      </c>
      <c r="V99" s="2">
        <f>V11/'Output-Calculation-sheet'!V10*'Output-Calculation-sheet'!V82</f>
        <v>138499948.32119241</v>
      </c>
      <c r="W99" s="2">
        <f>W11/'Output-Calculation-sheet'!W10*'Output-Calculation-sheet'!W82</f>
        <v>425748686.18099952</v>
      </c>
      <c r="X99" s="2">
        <f>X11/'Output-Calculation-sheet'!X10*'Output-Calculation-sheet'!X82</f>
        <v>243331900.9213202</v>
      </c>
      <c r="Y99" s="2">
        <f>Y11/'Output-Calculation-sheet'!Y10*'Output-Calculation-sheet'!Y82</f>
        <v>285763424.44360691</v>
      </c>
      <c r="AA99" s="2">
        <f t="shared" si="8"/>
        <v>52.126539415650925</v>
      </c>
    </row>
    <row r="100" spans="1:27" x14ac:dyDescent="0.25">
      <c r="A100" s="2">
        <v>2035</v>
      </c>
      <c r="B100" s="2">
        <f>B12/'Output-Calculation-sheet'!B11*'Output-Calculation-sheet'!B83</f>
        <v>13482202153.872648</v>
      </c>
      <c r="C100" s="2">
        <f>C12/'Output-Calculation-sheet'!C11*'Output-Calculation-sheet'!C83</f>
        <v>3025450862.9160767</v>
      </c>
      <c r="D100" s="2">
        <f>D12/'Output-Calculation-sheet'!D11*'Output-Calculation-sheet'!D83</f>
        <v>1938044143.8354077</v>
      </c>
      <c r="E100" s="2">
        <f>E12/'Output-Calculation-sheet'!E11*'Output-Calculation-sheet'!E83</f>
        <v>11396814011.612629</v>
      </c>
      <c r="F100" s="2">
        <f>F12/'Output-Calculation-sheet'!F11*'Output-Calculation-sheet'!F83</f>
        <v>2592912060.9114323</v>
      </c>
      <c r="G100" s="2">
        <f>G12/'Output-Calculation-sheet'!G11*'Output-Calculation-sheet'!G83</f>
        <v>1374161110.6755686</v>
      </c>
      <c r="H100" s="2">
        <f>H12/'Output-Calculation-sheet'!H11*'Output-Calculation-sheet'!H83</f>
        <v>2159365232.565413</v>
      </c>
      <c r="I100" s="2">
        <f>I12/'Output-Calculation-sheet'!I11*'Output-Calculation-sheet'!I83</f>
        <v>1215179245.0948749</v>
      </c>
      <c r="J100" s="2">
        <f>J12/'Output-Calculation-sheet'!J11*'Output-Calculation-sheet'!J83</f>
        <v>876287717.48376858</v>
      </c>
      <c r="K100" s="2">
        <f>K12/'Output-Calculation-sheet'!K11*'Output-Calculation-sheet'!K83</f>
        <v>1019040722.6662331</v>
      </c>
      <c r="L100" s="2">
        <f>L12/'Output-Calculation-sheet'!L11*'Output-Calculation-sheet'!L83</f>
        <v>1177347985.1771753</v>
      </c>
      <c r="M100" s="2">
        <f>M12/'Output-Calculation-sheet'!M11*'Output-Calculation-sheet'!M83</f>
        <v>1846354373.7279739</v>
      </c>
      <c r="N100" s="2">
        <f>N12/'Output-Calculation-sheet'!N11*'Output-Calculation-sheet'!N83</f>
        <v>1053018570.5309367</v>
      </c>
      <c r="O100" s="2">
        <f>O12/'Output-Calculation-sheet'!O11*'Output-Calculation-sheet'!O83</f>
        <v>384002766.96660817</v>
      </c>
      <c r="P100" s="2">
        <f>P12/'Output-Calculation-sheet'!P11*'Output-Calculation-sheet'!P83</f>
        <v>1792736492.4103098</v>
      </c>
      <c r="Q100" s="2">
        <f>Q12/'Output-Calculation-sheet'!Q11*'Output-Calculation-sheet'!Q83</f>
        <v>859617019.98967028</v>
      </c>
      <c r="R100" s="2">
        <f>R12/'Output-Calculation-sheet'!R11*'Output-Calculation-sheet'!R83</f>
        <v>1169143119.2570381</v>
      </c>
      <c r="S100" s="2">
        <f>S12/'Output-Calculation-sheet'!S11*'Output-Calculation-sheet'!S83</f>
        <v>625197338.59586012</v>
      </c>
      <c r="T100" s="2">
        <f>T12/'Output-Calculation-sheet'!T11*'Output-Calculation-sheet'!T83</f>
        <v>329292049.65921772</v>
      </c>
      <c r="U100" s="2">
        <f>U12/'Output-Calculation-sheet'!U11*'Output-Calculation-sheet'!U83</f>
        <v>268820382.09727031</v>
      </c>
      <c r="V100" s="2">
        <f>V12/'Output-Calculation-sheet'!V11*'Output-Calculation-sheet'!V83</f>
        <v>127170269.90077648</v>
      </c>
      <c r="W100" s="2">
        <f>W12/'Output-Calculation-sheet'!W11*'Output-Calculation-sheet'!W83</f>
        <v>386686172.77679384</v>
      </c>
      <c r="X100" s="2">
        <f>X12/'Output-Calculation-sheet'!X11*'Output-Calculation-sheet'!X83</f>
        <v>242494738.90464905</v>
      </c>
      <c r="Y100" s="2">
        <f>Y12/'Output-Calculation-sheet'!Y11*'Output-Calculation-sheet'!Y83</f>
        <v>267302974.29821709</v>
      </c>
      <c r="AA100" s="2">
        <f t="shared" si="8"/>
        <v>49.608641515926543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1627.8954309745286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395.31857251397594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37.827148637139565</v>
      </c>
      <c r="Y107" s="2">
        <f>Y8/'Output-Calculation-sheet'!Y7*'Output-Calculation-sheet'!Y88</f>
        <v>0</v>
      </c>
      <c r="AA107" s="2">
        <f t="shared" si="9"/>
        <v>2.061041152125644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3103.405657272252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602.90550413559595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51.509533126242268</v>
      </c>
      <c r="Y108" s="2">
        <f>Y9/'Output-Calculation-sheet'!Y8*'Output-Calculation-sheet'!Y89</f>
        <v>0</v>
      </c>
      <c r="AA108" s="2">
        <f t="shared" si="9"/>
        <v>3.7578206945340904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791.83765202232132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4.9203732187352909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1023.8569334873487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5.9365321854573176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3666.8559257086522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132.5429017743138</v>
      </c>
      <c r="Y111" s="2">
        <f>Y12/'Output-Calculation-sheet'!Y11*'Output-Calculation-sheet'!Y92</f>
        <v>0</v>
      </c>
      <c r="AA111" s="2">
        <f t="shared" si="9"/>
        <v>4.986679224478145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13473514376.3256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8384925467.0145426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5784888339.1886187</v>
      </c>
      <c r="N118" s="2">
        <f>N8/'Output-Calculation-sheet'!N7*'Output-Calculation-sheet'!N97</f>
        <v>1940213606.3961523</v>
      </c>
      <c r="O118" s="2">
        <f>O8/'Output-Calculation-sheet'!O7*'Output-Calculation-sheet'!O97</f>
        <v>1860215182.0277133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580704044.80554199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314989491.45606714</v>
      </c>
      <c r="Y118" s="2">
        <f>Y8/'Output-Calculation-sheet'!Y7*'Output-Calculation-sheet'!Y97</f>
        <v>0</v>
      </c>
      <c r="AA118" s="2">
        <f t="shared" si="10"/>
        <v>33971.265468460879</v>
      </c>
    </row>
    <row r="119" spans="1:27" x14ac:dyDescent="0.25">
      <c r="A119" s="2">
        <v>2032</v>
      </c>
      <c r="B119" s="2">
        <f>B9/'Output-Calculation-sheet'!B8*'Output-Calculation-sheet'!B98</f>
        <v>7300439584.2125254</v>
      </c>
      <c r="C119" s="2">
        <f>C9/'Output-Calculation-sheet'!C8*'Output-Calculation-sheet'!C98</f>
        <v>10771368296.237816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11417880839.342001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7877340044.7964516</v>
      </c>
      <c r="N119" s="2">
        <f>N9/'Output-Calculation-sheet'!N8*'Output-Calculation-sheet'!N98</f>
        <v>3706938572.9607792</v>
      </c>
      <c r="O119" s="2">
        <f>O9/'Output-Calculation-sheet'!O8*'Output-Calculation-sheet'!O98</f>
        <v>2077308118.0914769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1110553096.9113038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433238923.24710602</v>
      </c>
      <c r="Y119" s="2">
        <f>Y9/'Output-Calculation-sheet'!Y8*'Output-Calculation-sheet'!Y98</f>
        <v>0</v>
      </c>
      <c r="AA119" s="2">
        <f t="shared" si="10"/>
        <v>44695.067475799457</v>
      </c>
    </row>
    <row r="120" spans="1:27" x14ac:dyDescent="0.25">
      <c r="A120" s="2">
        <v>2033</v>
      </c>
      <c r="B120" s="2">
        <f>B10/'Output-Calculation-sheet'!B9*'Output-Calculation-sheet'!B99</f>
        <v>18855984922.183498</v>
      </c>
      <c r="C120" s="2">
        <f>C10/'Output-Calculation-sheet'!C9*'Output-Calculation-sheet'!C99</f>
        <v>10932323976.989164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5661228088.7246904</v>
      </c>
      <c r="O120" s="2">
        <f>O10/'Output-Calculation-sheet'!O9*'Output-Calculation-sheet'!O99</f>
        <v>2098377776.2192731</v>
      </c>
      <c r="P120" s="2">
        <f>P10/'Output-Calculation-sheet'!P9*'Output-Calculation-sheet'!P99</f>
        <v>0</v>
      </c>
      <c r="Q120" s="2">
        <f>Q10/'Output-Calculation-sheet'!Q9*'Output-Calculation-sheet'!Q99</f>
        <v>182405869.92498091</v>
      </c>
      <c r="R120" s="2">
        <f>R10/'Output-Calculation-sheet'!R9*'Output-Calculation-sheet'!R99</f>
        <v>0</v>
      </c>
      <c r="S120" s="2">
        <f>S10/'Output-Calculation-sheet'!S9*'Output-Calculation-sheet'!S99</f>
        <v>2283594189.8805156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621024298.64143062</v>
      </c>
      <c r="Y120" s="2">
        <f>Y10/'Output-Calculation-sheet'!Y9*'Output-Calculation-sheet'!Y99</f>
        <v>0</v>
      </c>
      <c r="AA120" s="2">
        <f t="shared" si="10"/>
        <v>64287.951654911871</v>
      </c>
    </row>
    <row r="121" spans="1:27" x14ac:dyDescent="0.25">
      <c r="A121" s="2">
        <v>2034</v>
      </c>
      <c r="B121" s="2">
        <f>B11/'Output-Calculation-sheet'!B10*'Output-Calculation-sheet'!B100</f>
        <v>40746844535.334908</v>
      </c>
      <c r="C121" s="2">
        <f>C11/'Output-Calculation-sheet'!C10*'Output-Calculation-sheet'!C100</f>
        <v>10503572858.376677</v>
      </c>
      <c r="D121" s="2">
        <f>D11/'Output-Calculation-sheet'!D10*'Output-Calculation-sheet'!D100</f>
        <v>0</v>
      </c>
      <c r="E121" s="2">
        <f>E11/'Output-Calculation-sheet'!E10*'Output-Calculation-sheet'!E100</f>
        <v>863418156.40681851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15478732196.688681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723863444.86102045</v>
      </c>
      <c r="M121" s="2">
        <f>M11/'Output-Calculation-sheet'!M10*'Output-Calculation-sheet'!M100</f>
        <v>10925385079.232153</v>
      </c>
      <c r="N121" s="2">
        <f>N11/'Output-Calculation-sheet'!N10*'Output-Calculation-sheet'!N100</f>
        <v>7546364646.9316244</v>
      </c>
      <c r="O121" s="2">
        <f>O11/'Output-Calculation-sheet'!O10*'Output-Calculation-sheet'!O100</f>
        <v>1121660756.2517002</v>
      </c>
      <c r="P121" s="2">
        <f>P11/'Output-Calculation-sheet'!P10*'Output-Calculation-sheet'!P100</f>
        <v>0</v>
      </c>
      <c r="Q121" s="2">
        <f>Q11/'Output-Calculation-sheet'!Q10*'Output-Calculation-sheet'!Q100</f>
        <v>1267113503.1713176</v>
      </c>
      <c r="R121" s="2">
        <f>R11/'Output-Calculation-sheet'!R10*'Output-Calculation-sheet'!R100</f>
        <v>0</v>
      </c>
      <c r="S121" s="2">
        <f>S11/'Output-Calculation-sheet'!S10*'Output-Calculation-sheet'!S100</f>
        <v>3488665110.3065381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47239189.62726476</v>
      </c>
      <c r="AA121" s="2">
        <f t="shared" si="10"/>
        <v>93236.261317425277</v>
      </c>
    </row>
    <row r="122" spans="1:27" x14ac:dyDescent="0.25">
      <c r="A122" s="2">
        <v>2035</v>
      </c>
      <c r="B122" s="2">
        <f>B12/'Output-Calculation-sheet'!B11*'Output-Calculation-sheet'!B101</f>
        <v>40787523871.139343</v>
      </c>
      <c r="C122" s="2">
        <f>C12/'Output-Calculation-sheet'!C11*'Output-Calculation-sheet'!C101</f>
        <v>16961499779.946285</v>
      </c>
      <c r="D122" s="2">
        <f>D12/'Output-Calculation-sheet'!D11*'Output-Calculation-sheet'!D101</f>
        <v>0</v>
      </c>
      <c r="E122" s="2">
        <f>E12/'Output-Calculation-sheet'!E11*'Output-Calculation-sheet'!E101</f>
        <v>3322467555.8803253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14705502923.013943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1683309845.9574451</v>
      </c>
      <c r="M122" s="2">
        <f>M12/'Output-Calculation-sheet'!M11*'Output-Calculation-sheet'!M101</f>
        <v>10520930646.324844</v>
      </c>
      <c r="N122" s="2">
        <f>N12/'Output-Calculation-sheet'!N11*'Output-Calculation-sheet'!N101</f>
        <v>7471454326.1368885</v>
      </c>
      <c r="O122" s="2">
        <f>O12/'Output-Calculation-sheet'!O11*'Output-Calculation-sheet'!O101</f>
        <v>48169106.728813633</v>
      </c>
      <c r="P122" s="2">
        <f>P12/'Output-Calculation-sheet'!P11*'Output-Calculation-sheet'!P101</f>
        <v>319281358.33773249</v>
      </c>
      <c r="Q122" s="2">
        <f>Q12/'Output-Calculation-sheet'!Q11*'Output-Calculation-sheet'!Q101</f>
        <v>1438159746.4390714</v>
      </c>
      <c r="R122" s="2">
        <f>R12/'Output-Calculation-sheet'!R11*'Output-Calculation-sheet'!R101</f>
        <v>0</v>
      </c>
      <c r="S122" s="2">
        <f>S12/'Output-Calculation-sheet'!S11*'Output-Calculation-sheet'!S101</f>
        <v>3546001068.8033237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128732723.68239895</v>
      </c>
      <c r="Y122" s="2">
        <f>Y12/'Output-Calculation-sheet'!Y11*'Output-Calculation-sheet'!Y101</f>
        <v>75932616.525288776</v>
      </c>
      <c r="AA122" s="2">
        <f t="shared" si="10"/>
        <v>101008.96556891572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3738608880.2087789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2671538423.3365617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176057.77661671839</v>
      </c>
    </row>
    <row r="130" spans="1:27" x14ac:dyDescent="0.25">
      <c r="A130" s="2">
        <v>2032</v>
      </c>
      <c r="B130" s="2">
        <f>B9/'Output-Calculation-sheet'!B8*'Output-Calculation-sheet'!B107</f>
        <v>70372124948.311096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4025320287.4091339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3317815399.9679866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233275.24329918466</v>
      </c>
    </row>
    <row r="131" spans="1:27" x14ac:dyDescent="0.25">
      <c r="A131" s="2">
        <v>2033</v>
      </c>
      <c r="B131" s="2">
        <f>B10/'Output-Calculation-sheet'!B9*'Output-Calculation-sheet'!B108</f>
        <v>76350171378.154068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3816505322.3742447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8307382799.111124</v>
      </c>
      <c r="R131" s="2">
        <f>R10/'Output-Calculation-sheet'!R9*'Output-Calculation-sheet'!R108</f>
        <v>8167276214.1709042</v>
      </c>
      <c r="S131" s="2">
        <f>S10/'Output-Calculation-sheet'!S9*'Output-Calculation-sheet'!S108</f>
        <v>3144384970.6657867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273815.48692069971</v>
      </c>
    </row>
    <row r="132" spans="1:27" x14ac:dyDescent="0.25">
      <c r="A132" s="2">
        <v>2034</v>
      </c>
      <c r="B132" s="2">
        <f>B11/'Output-Calculation-sheet'!B10*'Output-Calculation-sheet'!B109</f>
        <v>66083156316.041504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35031739340.209877</v>
      </c>
      <c r="F132" s="2">
        <f>F11/'Output-Calculation-sheet'!F10*'Output-Calculation-sheet'!F109</f>
        <v>23108138310.294052</v>
      </c>
      <c r="G132" s="2">
        <f>G11/'Output-Calculation-sheet'!G10*'Output-Calculation-sheet'!G109</f>
        <v>16190976187.194838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14397631629.72426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10715376179.0459</v>
      </c>
      <c r="M132" s="2">
        <f>M11/'Output-Calculation-sheet'!M10*'Output-Calculation-sheet'!M109</f>
        <v>5.9071543649289284E-9</v>
      </c>
      <c r="N132" s="2">
        <f>N11/'Output-Calculation-sheet'!N10*'Output-Calculation-sheet'!N109</f>
        <v>3176850173.8796554</v>
      </c>
      <c r="O132" s="2">
        <f>O11/'Output-Calculation-sheet'!O10*'Output-Calculation-sheet'!O109</f>
        <v>0</v>
      </c>
      <c r="P132" s="2">
        <f>P11/'Output-Calculation-sheet'!P10*'Output-Calculation-sheet'!P109</f>
        <v>9762161912.4437389</v>
      </c>
      <c r="Q132" s="2">
        <f>Q11/'Output-Calculation-sheet'!Q10*'Output-Calculation-sheet'!Q109</f>
        <v>8033220691.4753218</v>
      </c>
      <c r="R132" s="2">
        <f>R11/'Output-Calculation-sheet'!R10*'Output-Calculation-sheet'!R109</f>
        <v>9239946990.1193695</v>
      </c>
      <c r="S132" s="2">
        <f>S11/'Output-Calculation-sheet'!S10*'Output-Calculation-sheet'!S109</f>
        <v>2539837301.9969649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2862431815.2545424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1103589212.9681702</v>
      </c>
      <c r="AA132" s="2">
        <f t="shared" si="11"/>
        <v>284188.2982906758</v>
      </c>
    </row>
    <row r="133" spans="1:27" x14ac:dyDescent="0.25">
      <c r="A133" s="2">
        <v>2035</v>
      </c>
      <c r="B133" s="2">
        <f>B12/'Output-Calculation-sheet'!B11*'Output-Calculation-sheet'!B110</f>
        <v>60508626103.036919</v>
      </c>
      <c r="C133" s="2">
        <f>C12/'Output-Calculation-sheet'!C11*'Output-Calculation-sheet'!C110</f>
        <v>0</v>
      </c>
      <c r="D133" s="2">
        <f>D12/'Output-Calculation-sheet'!D11*'Output-Calculation-sheet'!D110</f>
        <v>42459435644.392967</v>
      </c>
      <c r="E133" s="2">
        <f>E12/'Output-Calculation-sheet'!E11*'Output-Calculation-sheet'!E110</f>
        <v>32940108156.575733</v>
      </c>
      <c r="F133" s="2">
        <f>F12/'Output-Calculation-sheet'!F11*'Output-Calculation-sheet'!F110</f>
        <v>22476322262.783421</v>
      </c>
      <c r="G133" s="2">
        <f>G12/'Output-Calculation-sheet'!G11*'Output-Calculation-sheet'!G110</f>
        <v>15219759624.229307</v>
      </c>
      <c r="H133" s="2">
        <f>H12/'Output-Calculation-sheet'!H11*'Output-Calculation-sheet'!H110</f>
        <v>0</v>
      </c>
      <c r="I133" s="2">
        <f>I12/'Output-Calculation-sheet'!I11*'Output-Calculation-sheet'!I110</f>
        <v>13960397360.266178</v>
      </c>
      <c r="J133" s="2">
        <f>J12/'Output-Calculation-sheet'!J11*'Output-Calculation-sheet'!J110</f>
        <v>13975983190.326771</v>
      </c>
      <c r="K133" s="2">
        <f>K12/'Output-Calculation-sheet'!K11*'Output-Calculation-sheet'!K110</f>
        <v>13713675276.094284</v>
      </c>
      <c r="L133" s="2">
        <f>L12/'Output-Calculation-sheet'!L11*'Output-Calculation-sheet'!L110</f>
        <v>9857674875.2432728</v>
      </c>
      <c r="M133" s="2">
        <f>M12/'Output-Calculation-sheet'!M11*'Output-Calculation-sheet'!M110</f>
        <v>0</v>
      </c>
      <c r="N133" s="2">
        <f>N12/'Output-Calculation-sheet'!N11*'Output-Calculation-sheet'!N110</f>
        <v>2864711849.8567982</v>
      </c>
      <c r="O133" s="2">
        <f>O12/'Output-Calculation-sheet'!O11*'Output-Calculation-sheet'!O110</f>
        <v>0</v>
      </c>
      <c r="P133" s="2">
        <f>P12/'Output-Calculation-sheet'!P11*'Output-Calculation-sheet'!P110</f>
        <v>9232397396.4097424</v>
      </c>
      <c r="Q133" s="2">
        <f>Q12/'Output-Calculation-sheet'!Q11*'Output-Calculation-sheet'!Q110</f>
        <v>7374811883.8361368</v>
      </c>
      <c r="R133" s="2">
        <f>R12/'Output-Calculation-sheet'!R11*'Output-Calculation-sheet'!R110</f>
        <v>9128528474.3203983</v>
      </c>
      <c r="S133" s="2">
        <f>S12/'Output-Calculation-sheet'!S11*'Output-Calculation-sheet'!S110</f>
        <v>2200211514.1200275</v>
      </c>
      <c r="T133" s="2">
        <f>T12/'Output-Calculation-sheet'!T11*'Output-Calculation-sheet'!T110</f>
        <v>3411720863.3750157</v>
      </c>
      <c r="U133" s="2">
        <f>U12/'Output-Calculation-sheet'!U11*'Output-Calculation-sheet'!U110</f>
        <v>2695581605.0497141</v>
      </c>
      <c r="V133" s="2">
        <f>V12/'Output-Calculation-sheet'!V11*'Output-Calculation-sheet'!V110</f>
        <v>2347423558.2897692</v>
      </c>
      <c r="W133" s="2">
        <f>W12/'Output-Calculation-sheet'!W11*'Output-Calculation-sheet'!W110</f>
        <v>1976808013.9732056</v>
      </c>
      <c r="X133" s="2">
        <f>X12/'Output-Calculation-sheet'!X11*'Output-Calculation-sheet'!X110</f>
        <v>922612.07680299447</v>
      </c>
      <c r="Y133" s="2">
        <f>Y12/'Output-Calculation-sheet'!Y11*'Output-Calculation-sheet'!Y110</f>
        <v>1041212015.6714679</v>
      </c>
      <c r="AA133" s="2">
        <f t="shared" si="11"/>
        <v>267386.31227992795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13406057138.0609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3362649600.3049984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311634788.32287407</v>
      </c>
      <c r="Y140" s="2">
        <f>Y8/'Output-Calculation-sheet'!Y7*'Output-Calculation-sheet'!Y115</f>
        <v>0</v>
      </c>
      <c r="AA140" s="2">
        <f t="shared" si="12"/>
        <v>17080.341526688771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25831769880.44455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5034658049.4282703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419988396.88011926</v>
      </c>
      <c r="Y141" s="2">
        <f>Y9/'Output-Calculation-sheet'!Y8*'Output-Calculation-sheet'!Y116</f>
        <v>0</v>
      </c>
      <c r="AA141" s="2">
        <f t="shared" si="12"/>
        <v>31286.416326752937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33935211757.202465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6619370851.2606564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424818362.72075796</v>
      </c>
      <c r="Y142" s="2">
        <f>Y10/'Output-Calculation-sheet'!Y9*'Output-Calculation-sheet'!Y117</f>
        <v>0</v>
      </c>
      <c r="AA142" s="2">
        <f t="shared" si="12"/>
        <v>40979.400971183873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40258362047.871704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8741657256.0067539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49659.906800953831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30139333372.400448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10390913562.758507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1116984279.8085921</v>
      </c>
      <c r="Y144" s="2">
        <f>Y12/'Output-Calculation-sheet'!Y11*'Output-Calculation-sheet'!Y119</f>
        <v>0</v>
      </c>
      <c r="AA144" s="2">
        <f t="shared" si="12"/>
        <v>41647.231214967542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16437340796.587236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2369961690.0392928</v>
      </c>
      <c r="H154" s="2">
        <f>H11/'Output-Calculation-sheet'!H10*'Output-Calculation-sheet'!H127</f>
        <v>2697701605.3892255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1717699736.9670556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1007617473.9856701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533732469.5373705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63393.061080438667</v>
      </c>
    </row>
    <row r="155" spans="1:27" x14ac:dyDescent="0.25">
      <c r="A155" s="2">
        <v>2035</v>
      </c>
      <c r="B155" s="2">
        <f>B12/'Output-Calculation-sheet'!B11*'Output-Calculation-sheet'!B128</f>
        <v>15111983582.843643</v>
      </c>
      <c r="C155" s="2">
        <f>C12/'Output-Calculation-sheet'!C11*'Output-Calculation-sheet'!C128</f>
        <v>7219108052.7233305</v>
      </c>
      <c r="D155" s="2">
        <f>D12/'Output-Calculation-sheet'!D11*'Output-Calculation-sheet'!D128</f>
        <v>5799951432.0681038</v>
      </c>
      <c r="E155" s="2">
        <f>E12/'Output-Calculation-sheet'!E11*'Output-Calculation-sheet'!E128</f>
        <v>2852065082.8697929</v>
      </c>
      <c r="F155" s="2">
        <f>F12/'Output-Calculation-sheet'!F11*'Output-Calculation-sheet'!F128</f>
        <v>2328924014.6773896</v>
      </c>
      <c r="G155" s="2">
        <f>G12/'Output-Calculation-sheet'!G11*'Output-Calculation-sheet'!G128</f>
        <v>2213929774.1260014</v>
      </c>
      <c r="H155" s="2">
        <f>H12/'Output-Calculation-sheet'!H11*'Output-Calculation-sheet'!H128</f>
        <v>2479682379.4039583</v>
      </c>
      <c r="I155" s="2">
        <f>I12/'Output-Calculation-sheet'!I11*'Output-Calculation-sheet'!I128</f>
        <v>1905572476.8325534</v>
      </c>
      <c r="J155" s="2">
        <f>J12/'Output-Calculation-sheet'!J11*'Output-Calculation-sheet'!J128</f>
        <v>1387230052.5527687</v>
      </c>
      <c r="K155" s="2">
        <f>K12/'Output-Calculation-sheet'!K11*'Output-Calculation-sheet'!K128</f>
        <v>1533222669.1539733</v>
      </c>
      <c r="L155" s="2">
        <f>L12/'Output-Calculation-sheet'!L11*'Output-Calculation-sheet'!L128</f>
        <v>667497259.34459174</v>
      </c>
      <c r="M155" s="2">
        <f>M12/'Output-Calculation-sheet'!M11*'Output-Calculation-sheet'!M128</f>
        <v>1324275257.1472242</v>
      </c>
      <c r="N155" s="2">
        <f>N12/'Output-Calculation-sheet'!N11*'Output-Calculation-sheet'!N128</f>
        <v>1166993326.252296</v>
      </c>
      <c r="O155" s="2">
        <f>O12/'Output-Calculation-sheet'!O11*'Output-Calculation-sheet'!O128</f>
        <v>19125473.316611148</v>
      </c>
      <c r="P155" s="2">
        <f>P12/'Output-Calculation-sheet'!P11*'Output-Calculation-sheet'!P128</f>
        <v>1016751278.9947311</v>
      </c>
      <c r="Q155" s="2">
        <f>Q12/'Output-Calculation-sheet'!Q11*'Output-Calculation-sheet'!Q128</f>
        <v>1530857353.5954111</v>
      </c>
      <c r="R155" s="2">
        <f>R12/'Output-Calculation-sheet'!R11*'Output-Calculation-sheet'!R128</f>
        <v>783762425.89505494</v>
      </c>
      <c r="S155" s="2">
        <f>S12/'Output-Calculation-sheet'!S11*'Output-Calculation-sheet'!S128</f>
        <v>868155936.33433068</v>
      </c>
      <c r="T155" s="2">
        <f>T12/'Output-Calculation-sheet'!T11*'Output-Calculation-sheet'!T128</f>
        <v>213522188.85573801</v>
      </c>
      <c r="U155" s="2">
        <f>U12/'Output-Calculation-sheet'!U11*'Output-Calculation-sheet'!U128</f>
        <v>494849801.30810994</v>
      </c>
      <c r="V155" s="2">
        <f>V12/'Output-Calculation-sheet'!V11*'Output-Calculation-sheet'!V128</f>
        <v>73832081.56277515</v>
      </c>
      <c r="W155" s="2">
        <f>W12/'Output-Calculation-sheet'!W11*'Output-Calculation-sheet'!W128</f>
        <v>148852927.74400982</v>
      </c>
      <c r="X155" s="2">
        <f>X12/'Output-Calculation-sheet'!X11*'Output-Calculation-sheet'!X128</f>
        <v>10525460.521732489</v>
      </c>
      <c r="Y155" s="2">
        <f>Y12/'Output-Calculation-sheet'!Y11*'Output-Calculation-sheet'!Y128</f>
        <v>141393801.32708329</v>
      </c>
      <c r="AA155" s="2">
        <f t="shared" si="13"/>
        <v>51292.064089451225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1673.8340000000001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2491.4850000000001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1727.153</v>
      </c>
      <c r="O17" s="7">
        <v>0</v>
      </c>
      <c r="P17" s="7">
        <v>2314.3980000000001</v>
      </c>
      <c r="Q17" s="7">
        <v>2600.6390000000001</v>
      </c>
      <c r="R17" s="7">
        <v>1715.731</v>
      </c>
      <c r="S17" s="7">
        <v>2240.902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2707.038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1932.364</v>
      </c>
      <c r="L18" s="7">
        <v>2097.828</v>
      </c>
      <c r="M18" s="7">
        <v>0</v>
      </c>
      <c r="N18" s="7">
        <v>1670.5619999999999</v>
      </c>
      <c r="O18" s="7">
        <v>0</v>
      </c>
      <c r="P18" s="7">
        <v>2904.808</v>
      </c>
      <c r="Q18" s="7">
        <v>3339.069</v>
      </c>
      <c r="R18" s="7">
        <v>2217.8020000000001</v>
      </c>
      <c r="S18" s="7">
        <v>2201.489</v>
      </c>
      <c r="T18" s="7">
        <v>1750.277</v>
      </c>
      <c r="U18" s="7">
        <v>2224.9319999999998</v>
      </c>
      <c r="V18" s="7">
        <v>2129.8719999999998</v>
      </c>
      <c r="W18" s="7">
        <v>1226.963</v>
      </c>
      <c r="X18" s="7">
        <v>0</v>
      </c>
      <c r="Y18" s="7">
        <v>2467.8820000000001</v>
      </c>
    </row>
    <row r="19" spans="1:25" ht="28.5" customHeight="1" x14ac:dyDescent="0.25">
      <c r="A19" s="4"/>
      <c r="B19" s="7">
        <v>2522.261</v>
      </c>
      <c r="C19" s="7">
        <v>0</v>
      </c>
      <c r="D19" s="7">
        <v>1815.454</v>
      </c>
      <c r="E19" s="7">
        <v>2832.2350000000001</v>
      </c>
      <c r="F19" s="7">
        <v>2061.864</v>
      </c>
      <c r="G19" s="7">
        <v>1711.538</v>
      </c>
      <c r="H19" s="7">
        <v>0</v>
      </c>
      <c r="I19" s="7">
        <v>2090.2249999999999</v>
      </c>
      <c r="J19" s="7">
        <v>1785.7950000000001</v>
      </c>
      <c r="K19" s="7">
        <v>2494.4749999999999</v>
      </c>
      <c r="L19" s="7">
        <v>2551.415</v>
      </c>
      <c r="M19" s="7">
        <v>0</v>
      </c>
      <c r="N19" s="7">
        <v>1545.9949999999999</v>
      </c>
      <c r="O19" s="7">
        <v>0</v>
      </c>
      <c r="P19" s="7">
        <v>3687.326</v>
      </c>
      <c r="Q19" s="7">
        <v>3165.5079999999998</v>
      </c>
      <c r="R19" s="7">
        <v>2798.36</v>
      </c>
      <c r="S19" s="7">
        <v>1968.548</v>
      </c>
      <c r="T19" s="7">
        <v>2219.261</v>
      </c>
      <c r="U19" s="7">
        <v>2730.105</v>
      </c>
      <c r="V19" s="7">
        <v>2595.7150000000001</v>
      </c>
      <c r="W19" s="7">
        <v>1866.271</v>
      </c>
      <c r="X19" s="7">
        <v>0</v>
      </c>
      <c r="Y19" s="7">
        <v>2915.26</v>
      </c>
    </row>
    <row r="20" spans="1:25" ht="28.5" customHeight="1" x14ac:dyDescent="0.25">
      <c r="A20" s="4"/>
      <c r="B20" s="7">
        <v>2402.1729999999998</v>
      </c>
      <c r="C20" s="7">
        <v>0</v>
      </c>
      <c r="D20" s="7">
        <v>1822.1320000000001</v>
      </c>
      <c r="E20" s="7">
        <v>2540.8969999999999</v>
      </c>
      <c r="F20" s="7">
        <v>2269.221</v>
      </c>
      <c r="G20" s="7">
        <v>1703.9739999999999</v>
      </c>
      <c r="H20" s="7">
        <v>0</v>
      </c>
      <c r="I20" s="7">
        <v>2103.107</v>
      </c>
      <c r="J20" s="7">
        <v>1965.7439999999999</v>
      </c>
      <c r="K20" s="7">
        <v>2634.9070000000002</v>
      </c>
      <c r="L20" s="7">
        <v>2651.194</v>
      </c>
      <c r="M20" s="7">
        <v>0</v>
      </c>
      <c r="N20" s="7">
        <v>1520.5540000000001</v>
      </c>
      <c r="O20" s="7">
        <v>0</v>
      </c>
      <c r="P20" s="7">
        <v>3531.0340000000001</v>
      </c>
      <c r="Q20" s="7">
        <v>3046.0529999999999</v>
      </c>
      <c r="R20" s="7">
        <v>3141.35</v>
      </c>
      <c r="S20" s="7">
        <v>1836.848</v>
      </c>
      <c r="T20" s="7">
        <v>2576.1680000000001</v>
      </c>
      <c r="U20" s="7">
        <v>2726.498</v>
      </c>
      <c r="V20" s="7">
        <v>3479.7190000000001</v>
      </c>
      <c r="W20" s="7">
        <v>2179.2530000000002</v>
      </c>
      <c r="X20" s="7">
        <v>8.0850000000000009</v>
      </c>
      <c r="Y20" s="7">
        <v>2734.6579999999999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1710.9359999999999</v>
      </c>
      <c r="D25" s="7">
        <v>0</v>
      </c>
      <c r="E25" s="7">
        <v>0</v>
      </c>
      <c r="F25" s="7">
        <v>0</v>
      </c>
      <c r="G25" s="7">
        <v>0</v>
      </c>
      <c r="H25" s="7">
        <v>3502.3679999999999</v>
      </c>
      <c r="I25" s="7">
        <v>0</v>
      </c>
      <c r="J25" s="7">
        <v>0</v>
      </c>
      <c r="K25" s="7">
        <v>0</v>
      </c>
      <c r="L25" s="7">
        <v>0</v>
      </c>
      <c r="M25" s="7">
        <v>3533.12</v>
      </c>
      <c r="N25" s="7">
        <v>1228.085</v>
      </c>
      <c r="O25" s="7">
        <v>1136.7049999999999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1700.296</v>
      </c>
      <c r="Y25" s="7">
        <v>0</v>
      </c>
    </row>
    <row r="26" spans="1:25" x14ac:dyDescent="0.25">
      <c r="B26" s="7">
        <v>588.40700000000004</v>
      </c>
      <c r="C26" s="7">
        <v>1196.6400000000001</v>
      </c>
      <c r="D26" s="7">
        <v>0</v>
      </c>
      <c r="E26" s="7">
        <v>0</v>
      </c>
      <c r="F26" s="7">
        <v>0</v>
      </c>
      <c r="G26" s="7">
        <v>0</v>
      </c>
      <c r="H26" s="7">
        <v>4380.08</v>
      </c>
      <c r="I26" s="7">
        <v>0</v>
      </c>
      <c r="J26" s="7">
        <v>0</v>
      </c>
      <c r="K26" s="7">
        <v>0</v>
      </c>
      <c r="L26" s="7">
        <v>0</v>
      </c>
      <c r="M26" s="7">
        <v>4424.7079999999996</v>
      </c>
      <c r="N26" s="7">
        <v>2027.079</v>
      </c>
      <c r="O26" s="7">
        <v>1185.0429999999999</v>
      </c>
      <c r="P26" s="7">
        <v>0</v>
      </c>
      <c r="Q26" s="7">
        <v>0</v>
      </c>
      <c r="R26" s="7">
        <v>0</v>
      </c>
      <c r="S26" s="7">
        <v>1285.492</v>
      </c>
      <c r="T26" s="7">
        <v>0</v>
      </c>
      <c r="U26" s="7">
        <v>0</v>
      </c>
      <c r="V26" s="7">
        <v>0</v>
      </c>
      <c r="W26" s="7">
        <v>0</v>
      </c>
      <c r="X26" s="7">
        <v>2155.069</v>
      </c>
      <c r="Y26" s="7">
        <v>0</v>
      </c>
    </row>
    <row r="27" spans="1:25" x14ac:dyDescent="0.25">
      <c r="B27" s="7">
        <v>1325.6790000000001</v>
      </c>
      <c r="C27" s="7">
        <v>1160.5889999999999</v>
      </c>
      <c r="D27" s="7">
        <v>0</v>
      </c>
      <c r="E27" s="7">
        <v>0</v>
      </c>
      <c r="F27" s="7">
        <v>0</v>
      </c>
      <c r="G27" s="7">
        <v>0</v>
      </c>
      <c r="H27" s="7">
        <v>5271.46</v>
      </c>
      <c r="I27" s="7">
        <v>0</v>
      </c>
      <c r="J27" s="7">
        <v>0</v>
      </c>
      <c r="K27" s="7">
        <v>0</v>
      </c>
      <c r="L27" s="7">
        <v>0</v>
      </c>
      <c r="M27" s="7">
        <v>5323.2520000000004</v>
      </c>
      <c r="N27" s="7">
        <v>2958.0949999999998</v>
      </c>
      <c r="O27" s="7">
        <v>1148.875</v>
      </c>
      <c r="P27" s="7">
        <v>0</v>
      </c>
      <c r="Q27" s="7">
        <v>226.28100000000001</v>
      </c>
      <c r="R27" s="7">
        <v>0</v>
      </c>
      <c r="S27" s="7">
        <v>2246.393</v>
      </c>
      <c r="T27" s="7">
        <v>0</v>
      </c>
      <c r="U27" s="7">
        <v>0</v>
      </c>
      <c r="V27" s="7">
        <v>0</v>
      </c>
      <c r="W27" s="7">
        <v>0</v>
      </c>
      <c r="X27" s="7">
        <v>3074.9070000000002</v>
      </c>
      <c r="Y27" s="7">
        <v>0</v>
      </c>
    </row>
    <row r="28" spans="1:25" x14ac:dyDescent="0.25">
      <c r="B28" s="7">
        <v>2475.4650000000001</v>
      </c>
      <c r="C28" s="7">
        <v>1135.4159999999999</v>
      </c>
      <c r="D28" s="7">
        <v>0</v>
      </c>
      <c r="E28" s="7">
        <v>380.65300000000002</v>
      </c>
      <c r="F28" s="7">
        <v>0</v>
      </c>
      <c r="G28" s="7">
        <v>0</v>
      </c>
      <c r="H28" s="7">
        <v>6471.0230000000001</v>
      </c>
      <c r="I28" s="7">
        <v>0</v>
      </c>
      <c r="J28" s="7">
        <v>0</v>
      </c>
      <c r="K28" s="7">
        <v>0</v>
      </c>
      <c r="L28" s="7">
        <v>727.59699999999998</v>
      </c>
      <c r="M28" s="7">
        <v>6977.4110000000001</v>
      </c>
      <c r="N28" s="7">
        <v>4087.9609999999998</v>
      </c>
      <c r="O28" s="7">
        <v>621.64300000000003</v>
      </c>
      <c r="P28" s="7">
        <v>0</v>
      </c>
      <c r="Q28" s="7">
        <v>1346.623</v>
      </c>
      <c r="R28" s="7">
        <v>0</v>
      </c>
      <c r="S28" s="7">
        <v>3401.7710000000002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659.71199999999999</v>
      </c>
    </row>
    <row r="29" spans="1:25" x14ac:dyDescent="0.25">
      <c r="B29" s="7">
        <v>2596.6790000000001</v>
      </c>
      <c r="C29" s="7">
        <v>2057.3539999999998</v>
      </c>
      <c r="D29" s="7">
        <v>0</v>
      </c>
      <c r="E29" s="7">
        <v>1318.6669999999999</v>
      </c>
      <c r="F29" s="7">
        <v>0</v>
      </c>
      <c r="G29" s="7">
        <v>0</v>
      </c>
      <c r="H29" s="7">
        <v>6485.8209999999999</v>
      </c>
      <c r="I29" s="7">
        <v>0</v>
      </c>
      <c r="J29" s="7">
        <v>0</v>
      </c>
      <c r="K29" s="7">
        <v>0</v>
      </c>
      <c r="L29" s="7">
        <v>1493.941</v>
      </c>
      <c r="M29" s="7">
        <v>7243.3950000000004</v>
      </c>
      <c r="N29" s="7">
        <v>4384.6689999999999</v>
      </c>
      <c r="O29" s="7">
        <v>28.777000000000001</v>
      </c>
      <c r="P29" s="7">
        <v>538.01099999999997</v>
      </c>
      <c r="Q29" s="7">
        <v>1546.4190000000001</v>
      </c>
      <c r="R29" s="7">
        <v>0</v>
      </c>
      <c r="S29" s="7">
        <v>3654.279</v>
      </c>
      <c r="T29" s="7">
        <v>0</v>
      </c>
      <c r="U29" s="7">
        <v>0</v>
      </c>
      <c r="V29" s="7">
        <v>0</v>
      </c>
      <c r="W29" s="7">
        <v>0</v>
      </c>
      <c r="X29" s="7">
        <v>642.98099999999999</v>
      </c>
      <c r="Y29" s="7">
        <v>977.399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1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1</v>
      </c>
      <c r="R37" s="7">
        <v>0</v>
      </c>
      <c r="S37" s="7">
        <v>1</v>
      </c>
      <c r="T37" s="7">
        <v>0</v>
      </c>
      <c r="U37" s="7">
        <v>1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4</v>
      </c>
      <c r="C38" s="7">
        <v>5</v>
      </c>
      <c r="D38" s="7">
        <v>1</v>
      </c>
      <c r="E38" s="7">
        <v>4</v>
      </c>
      <c r="F38" s="7">
        <v>2</v>
      </c>
      <c r="G38" s="7">
        <v>2</v>
      </c>
      <c r="H38" s="7">
        <v>6</v>
      </c>
      <c r="I38" s="7">
        <v>2</v>
      </c>
      <c r="J38" s="7">
        <v>1</v>
      </c>
      <c r="K38" s="7">
        <v>2</v>
      </c>
      <c r="L38" s="7">
        <v>1</v>
      </c>
      <c r="M38" s="7">
        <v>5</v>
      </c>
      <c r="N38" s="7">
        <v>3</v>
      </c>
      <c r="O38" s="7">
        <v>1</v>
      </c>
      <c r="P38" s="7">
        <v>4</v>
      </c>
      <c r="Q38" s="7">
        <v>3</v>
      </c>
      <c r="R38" s="7">
        <v>2</v>
      </c>
      <c r="S38" s="7">
        <v>4</v>
      </c>
      <c r="T38" s="7">
        <v>1</v>
      </c>
      <c r="U38" s="7">
        <v>3</v>
      </c>
      <c r="V38" s="7">
        <v>1</v>
      </c>
      <c r="W38" s="7">
        <v>2</v>
      </c>
      <c r="X38" s="7">
        <v>1</v>
      </c>
      <c r="Y38" s="7">
        <v>5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661</v>
      </c>
      <c r="D43" s="7">
        <v>0</v>
      </c>
      <c r="E43" s="7">
        <v>0</v>
      </c>
      <c r="F43" s="7">
        <v>0</v>
      </c>
      <c r="G43" s="7">
        <v>0</v>
      </c>
      <c r="H43" s="7">
        <v>4946</v>
      </c>
      <c r="I43" s="7">
        <v>0</v>
      </c>
      <c r="J43" s="7">
        <v>0</v>
      </c>
      <c r="K43" s="7">
        <v>0</v>
      </c>
      <c r="L43" s="7">
        <v>0</v>
      </c>
      <c r="M43" s="7">
        <v>4916</v>
      </c>
      <c r="N43" s="7">
        <v>158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303</v>
      </c>
      <c r="Y43" s="7">
        <v>0</v>
      </c>
    </row>
    <row r="44" spans="1:25" x14ac:dyDescent="0.25">
      <c r="B44" s="7">
        <v>0</v>
      </c>
      <c r="C44" s="7">
        <v>104</v>
      </c>
      <c r="D44" s="7">
        <v>0</v>
      </c>
      <c r="E44" s="7">
        <v>0</v>
      </c>
      <c r="F44" s="7">
        <v>0</v>
      </c>
      <c r="G44" s="7">
        <v>0</v>
      </c>
      <c r="H44" s="7">
        <v>8761</v>
      </c>
      <c r="I44" s="7">
        <v>0</v>
      </c>
      <c r="J44" s="7">
        <v>0</v>
      </c>
      <c r="K44" s="7">
        <v>0</v>
      </c>
      <c r="L44" s="7">
        <v>0</v>
      </c>
      <c r="M44" s="7">
        <v>8716</v>
      </c>
      <c r="N44" s="7">
        <v>3147</v>
      </c>
      <c r="O44" s="7">
        <v>187</v>
      </c>
      <c r="P44" s="7">
        <v>151</v>
      </c>
      <c r="Q44" s="7">
        <v>0</v>
      </c>
      <c r="R44" s="7">
        <v>0</v>
      </c>
      <c r="S44" s="7">
        <v>1711</v>
      </c>
      <c r="T44" s="7">
        <v>0</v>
      </c>
      <c r="U44" s="7">
        <v>0</v>
      </c>
      <c r="V44" s="7">
        <v>0</v>
      </c>
      <c r="W44" s="7">
        <v>0</v>
      </c>
      <c r="X44" s="7">
        <v>2426</v>
      </c>
      <c r="Y44" s="7">
        <v>0</v>
      </c>
    </row>
    <row r="45" spans="1:25" x14ac:dyDescent="0.25">
      <c r="B45" s="7">
        <v>2546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12651</v>
      </c>
      <c r="N45" s="7">
        <v>7204</v>
      </c>
      <c r="O45" s="7">
        <v>1028</v>
      </c>
      <c r="P45" s="7">
        <v>2110</v>
      </c>
      <c r="Q45" s="7">
        <v>855</v>
      </c>
      <c r="R45" s="7">
        <v>1472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7048</v>
      </c>
      <c r="C46" s="7">
        <v>1948</v>
      </c>
      <c r="D46" s="7">
        <v>1585</v>
      </c>
      <c r="E46" s="7">
        <v>2475</v>
      </c>
      <c r="F46" s="7">
        <v>119</v>
      </c>
      <c r="G46" s="7">
        <v>1869</v>
      </c>
      <c r="H46" s="7">
        <v>14927</v>
      </c>
      <c r="I46" s="7">
        <v>1181</v>
      </c>
      <c r="J46" s="7">
        <v>865</v>
      </c>
      <c r="K46" s="7">
        <v>2362</v>
      </c>
      <c r="L46" s="7">
        <v>1099</v>
      </c>
      <c r="M46" s="7">
        <v>15275</v>
      </c>
      <c r="N46" s="7">
        <v>11772</v>
      </c>
      <c r="O46" s="7">
        <v>484</v>
      </c>
      <c r="P46" s="7">
        <v>4716</v>
      </c>
      <c r="Q46" s="7">
        <v>3880</v>
      </c>
      <c r="R46" s="7">
        <v>4064</v>
      </c>
      <c r="S46" s="7">
        <v>9622</v>
      </c>
      <c r="T46" s="7">
        <v>2487</v>
      </c>
      <c r="U46" s="7">
        <v>3731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7406</v>
      </c>
      <c r="C47" s="7">
        <v>4863</v>
      </c>
      <c r="D47" s="7">
        <v>1806</v>
      </c>
      <c r="E47" s="7">
        <v>5748</v>
      </c>
      <c r="F47" s="7">
        <v>525</v>
      </c>
      <c r="G47" s="7">
        <v>1863</v>
      </c>
      <c r="H47" s="7">
        <v>14993</v>
      </c>
      <c r="I47" s="7">
        <v>1320</v>
      </c>
      <c r="J47" s="7">
        <v>2200</v>
      </c>
      <c r="K47" s="7">
        <v>3029</v>
      </c>
      <c r="L47" s="7">
        <v>4079</v>
      </c>
      <c r="M47" s="7">
        <v>15358</v>
      </c>
      <c r="N47" s="7">
        <v>12646</v>
      </c>
      <c r="O47" s="7">
        <v>61</v>
      </c>
      <c r="P47" s="7">
        <v>5868</v>
      </c>
      <c r="Q47" s="7">
        <v>4352</v>
      </c>
      <c r="R47" s="7">
        <v>5128</v>
      </c>
      <c r="S47" s="7">
        <v>10258</v>
      </c>
      <c r="T47" s="7">
        <v>4683</v>
      </c>
      <c r="U47" s="7">
        <v>3759</v>
      </c>
      <c r="V47" s="7">
        <v>4817</v>
      </c>
      <c r="W47" s="7">
        <v>1969</v>
      </c>
      <c r="X47" s="7">
        <v>1105</v>
      </c>
      <c r="Y47" s="7">
        <v>4544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7.5471167492566896E-2</v>
      </c>
      <c r="C52" s="7">
        <v>9.6869734646128289E-2</v>
      </c>
      <c r="D52" s="7">
        <v>6.161899092835544E-2</v>
      </c>
      <c r="E52" s="7">
        <v>7.7219460035298046E-2</v>
      </c>
      <c r="F52" s="7">
        <v>5.0801012839134116E-2</v>
      </c>
      <c r="G52" s="7">
        <v>5.1981506751503419E-2</v>
      </c>
      <c r="H52" s="7">
        <v>9.3079947368835736E-2</v>
      </c>
      <c r="I52" s="7">
        <v>5.3074304690743049E-2</v>
      </c>
      <c r="J52" s="7">
        <v>7.5034952894424578E-2</v>
      </c>
      <c r="K52" s="7">
        <v>6.6562992597561266E-2</v>
      </c>
      <c r="L52" s="7">
        <v>0.11160430897333407</v>
      </c>
      <c r="M52" s="7">
        <v>0.10951232161941284</v>
      </c>
      <c r="N52" s="7">
        <v>9.3125698367982873E-2</v>
      </c>
      <c r="O52" s="7">
        <v>0.10175813998051834</v>
      </c>
      <c r="P52" s="7">
        <v>6.7177993915147449E-2</v>
      </c>
      <c r="Q52" s="7">
        <v>7.7274686701357884E-2</v>
      </c>
      <c r="R52" s="7">
        <v>7.2114358262249559E-2</v>
      </c>
      <c r="S52" s="7">
        <v>8.0402010050251257E-2</v>
      </c>
      <c r="T52" s="7">
        <v>7.4585120231278501E-2</v>
      </c>
      <c r="U52" s="7">
        <v>5.8813169813727993E-2</v>
      </c>
      <c r="V52" s="7">
        <v>0.1355542424581184</v>
      </c>
      <c r="W52" s="7">
        <v>5.6670721091260493E-2</v>
      </c>
      <c r="X52" s="7">
        <v>0.10751952114492211</v>
      </c>
      <c r="Y52" s="7">
        <v>6.3370093044563452E-2</v>
      </c>
    </row>
    <row r="53" spans="1:25" x14ac:dyDescent="0.25">
      <c r="B53" s="7">
        <v>7.2014017839444999E-2</v>
      </c>
      <c r="C53" s="7">
        <v>9.7495787716902635E-2</v>
      </c>
      <c r="D53" s="7">
        <v>5.0741358921244158E-2</v>
      </c>
      <c r="E53" s="7">
        <v>6.5492161289809683E-2</v>
      </c>
      <c r="F53" s="7">
        <v>4.2912293101975189E-2</v>
      </c>
      <c r="G53" s="7">
        <v>4.3470629770083938E-2</v>
      </c>
      <c r="H53" s="7">
        <v>9.1566407450303727E-2</v>
      </c>
      <c r="I53" s="7">
        <v>4.4604196527174039E-2</v>
      </c>
      <c r="J53" s="7">
        <v>6.0664765985235208E-2</v>
      </c>
      <c r="K53" s="7">
        <v>5.683348904806395E-2</v>
      </c>
      <c r="L53" s="7">
        <v>9.1143017706049503E-2</v>
      </c>
      <c r="M53" s="7">
        <v>0.10401474193751178</v>
      </c>
      <c r="N53" s="7">
        <v>8.9219559024881573E-2</v>
      </c>
      <c r="O53" s="7">
        <v>0.10138287849512161</v>
      </c>
      <c r="P53" s="7">
        <v>6.3290499804358413E-2</v>
      </c>
      <c r="Q53" s="7">
        <v>7.1094536133263539E-2</v>
      </c>
      <c r="R53" s="7">
        <v>6.3349160880777619E-2</v>
      </c>
      <c r="S53" s="7">
        <v>7.8748916998787041E-2</v>
      </c>
      <c r="T53" s="7">
        <v>6.1949990815943524E-2</v>
      </c>
      <c r="U53" s="7">
        <v>5.3536504848175556E-2</v>
      </c>
      <c r="V53" s="7">
        <v>0.10963875624830317</v>
      </c>
      <c r="W53" s="7">
        <v>4.7055593269069503E-2</v>
      </c>
      <c r="X53" s="7">
        <v>0.10529319525920737</v>
      </c>
      <c r="Y53" s="7">
        <v>5.650221158554887E-2</v>
      </c>
    </row>
    <row r="54" spans="1:25" x14ac:dyDescent="0.25">
      <c r="B54" s="7">
        <v>7.1641760158572848E-2</v>
      </c>
      <c r="C54" s="7">
        <v>9.8691996262846471E-2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8.9286248926497586E-2</v>
      </c>
      <c r="I54" s="7">
        <v>3.7666196730812909E-2</v>
      </c>
      <c r="J54" s="7">
        <v>4.6252976451194167E-2</v>
      </c>
      <c r="K54" s="7">
        <v>4.9826677526770953E-2</v>
      </c>
      <c r="L54" s="7">
        <v>7.3362218123966094E-2</v>
      </c>
      <c r="M54" s="7">
        <v>9.7716414157289239E-2</v>
      </c>
      <c r="N54" s="7">
        <v>8.5969688862309379E-2</v>
      </c>
      <c r="O54" s="7">
        <v>0.1015329830892803</v>
      </c>
      <c r="P54" s="7">
        <v>6.1574140175199035E-2</v>
      </c>
      <c r="Q54" s="7">
        <v>6.8299819872525175E-2</v>
      </c>
      <c r="R54" s="7">
        <v>5.727325530648681E-2</v>
      </c>
      <c r="S54" s="7">
        <v>7.8271459176761551E-2</v>
      </c>
      <c r="T54" s="7">
        <v>5.2093054457461846E-2</v>
      </c>
      <c r="U54" s="7">
        <v>5.1645110359785661E-2</v>
      </c>
      <c r="V54" s="7">
        <v>8.5961480109235516E-2</v>
      </c>
      <c r="W54" s="7">
        <v>3.7801258655251455E-2</v>
      </c>
      <c r="X54" s="7">
        <v>0.10301751928235416</v>
      </c>
      <c r="Y54" s="7">
        <v>5.3325774449868094E-2</v>
      </c>
    </row>
    <row r="55" spans="1:25" x14ac:dyDescent="0.25">
      <c r="B55" s="7">
        <v>7.3465990089197228E-2</v>
      </c>
      <c r="C55" s="7">
        <v>0.10015571473061352</v>
      </c>
      <c r="D55" s="7">
        <v>3.6597315809106565E-2</v>
      </c>
      <c r="E55" s="7">
        <v>5.5856772613804395E-2</v>
      </c>
      <c r="F55" s="7">
        <v>3.3347006143832479E-2</v>
      </c>
      <c r="G55" s="7">
        <v>3.3925884201005979E-2</v>
      </c>
      <c r="H55" s="7">
        <v>8.8856060068861736E-2</v>
      </c>
      <c r="I55" s="7">
        <v>3.6411812620910582E-2</v>
      </c>
      <c r="J55" s="7">
        <v>3.8468411789534043E-2</v>
      </c>
      <c r="K55" s="7">
        <v>4.6456667385350037E-2</v>
      </c>
      <c r="L55" s="7">
        <v>6.1331365115045791E-2</v>
      </c>
      <c r="M55" s="7">
        <v>9.3363770667001952E-2</v>
      </c>
      <c r="N55" s="7">
        <v>8.3112478557152078E-2</v>
      </c>
      <c r="O55" s="7">
        <v>0.101704645258132</v>
      </c>
      <c r="P55" s="7">
        <v>6.2763720863378294E-2</v>
      </c>
      <c r="Q55" s="7">
        <v>6.9412137820611508E-2</v>
      </c>
      <c r="R55" s="7">
        <v>5.3707994445546518E-2</v>
      </c>
      <c r="S55" s="7">
        <v>7.9443455522124728E-2</v>
      </c>
      <c r="T55" s="7">
        <v>4.5793454562878845E-2</v>
      </c>
      <c r="U55" s="7">
        <v>5.3399288721612655E-2</v>
      </c>
      <c r="V55" s="7">
        <v>6.4774222655189478E-2</v>
      </c>
      <c r="W55" s="7">
        <v>3.3876610256123568E-2</v>
      </c>
      <c r="X55" s="7">
        <v>0.10075378284367961</v>
      </c>
      <c r="Y55" s="7">
        <v>5.6970759679636038E-2</v>
      </c>
    </row>
    <row r="56" spans="1:25" x14ac:dyDescent="0.25">
      <c r="B56" s="7">
        <v>7.6299774033696727E-2</v>
      </c>
      <c r="C56" s="7">
        <v>0.10168730885018645</v>
      </c>
      <c r="D56" s="7">
        <v>3.7797209457368031E-2</v>
      </c>
      <c r="E56" s="7">
        <v>6.467920118296154E-2</v>
      </c>
      <c r="F56" s="7">
        <v>3.6698781330827129E-2</v>
      </c>
      <c r="G56" s="7">
        <v>3.6588174158640498E-2</v>
      </c>
      <c r="H56" s="7">
        <v>9.0605967491589251E-2</v>
      </c>
      <c r="I56" s="7">
        <v>3.901120797011208E-2</v>
      </c>
      <c r="J56" s="7">
        <v>3.9678670691014502E-2</v>
      </c>
      <c r="K56" s="7">
        <v>4.8276030312467556E-2</v>
      </c>
      <c r="L56" s="7">
        <v>6.0453906491162807E-2</v>
      </c>
      <c r="M56" s="7">
        <v>9.6069340541899792E-2</v>
      </c>
      <c r="N56" s="7">
        <v>8.4070914842385228E-2</v>
      </c>
      <c r="O56" s="7">
        <v>0.10254219695638983</v>
      </c>
      <c r="P56" s="7">
        <v>6.8296073593177298E-2</v>
      </c>
      <c r="Q56" s="7">
        <v>7.1451303999753676E-2</v>
      </c>
      <c r="R56" s="7">
        <v>5.6511557230708193E-2</v>
      </c>
      <c r="S56" s="7">
        <v>8.1018730013704882E-2</v>
      </c>
      <c r="T56" s="7">
        <v>4.6587891420494021E-2</v>
      </c>
      <c r="U56" s="7">
        <v>5.5933616675172236E-2</v>
      </c>
      <c r="V56" s="7">
        <v>5.5720786687321333E-2</v>
      </c>
      <c r="W56" s="7">
        <v>3.8858041896608179E-2</v>
      </c>
      <c r="X56" s="7">
        <v>0.10252401837096942</v>
      </c>
      <c r="Y56" s="7">
        <v>6.4354059049334153E-2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177.24</v>
      </c>
      <c r="D61" s="7">
        <v>0</v>
      </c>
      <c r="E61" s="7">
        <v>0</v>
      </c>
      <c r="F61" s="7">
        <v>0</v>
      </c>
      <c r="G61" s="7">
        <v>0</v>
      </c>
      <c r="H61" s="7">
        <v>1050.0329999999999</v>
      </c>
      <c r="I61" s="7">
        <v>0</v>
      </c>
      <c r="J61" s="7">
        <v>0</v>
      </c>
      <c r="K61" s="7">
        <v>0</v>
      </c>
      <c r="L61" s="7">
        <v>0</v>
      </c>
      <c r="M61" s="7">
        <v>1029.0809999999999</v>
      </c>
      <c r="N61" s="7">
        <v>47.021999999999998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83.242000000000004</v>
      </c>
      <c r="Y61" s="7">
        <v>0</v>
      </c>
    </row>
    <row r="62" spans="1:25" x14ac:dyDescent="0.25">
      <c r="B62" s="7">
        <v>0</v>
      </c>
      <c r="C62" s="7">
        <v>28.571000000000002</v>
      </c>
      <c r="D62" s="7">
        <v>0</v>
      </c>
      <c r="E62" s="7">
        <v>0</v>
      </c>
      <c r="F62" s="7">
        <v>0</v>
      </c>
      <c r="G62" s="7">
        <v>0</v>
      </c>
      <c r="H62" s="7">
        <v>1671.15</v>
      </c>
      <c r="I62" s="7">
        <v>0</v>
      </c>
      <c r="J62" s="7">
        <v>0</v>
      </c>
      <c r="K62" s="7">
        <v>0</v>
      </c>
      <c r="L62" s="7">
        <v>0</v>
      </c>
      <c r="M62" s="7">
        <v>1646.325</v>
      </c>
      <c r="N62" s="7">
        <v>645.56100000000004</v>
      </c>
      <c r="O62" s="7">
        <v>51.374000000000002</v>
      </c>
      <c r="P62" s="7">
        <v>55.311</v>
      </c>
      <c r="Q62" s="7">
        <v>0</v>
      </c>
      <c r="R62" s="7">
        <v>0</v>
      </c>
      <c r="S62" s="7">
        <v>377.78399999999999</v>
      </c>
      <c r="T62" s="7">
        <v>0</v>
      </c>
      <c r="U62" s="7">
        <v>0</v>
      </c>
      <c r="V62" s="7">
        <v>0</v>
      </c>
      <c r="W62" s="7">
        <v>0</v>
      </c>
      <c r="X62" s="7">
        <v>529.65099999999995</v>
      </c>
      <c r="Y62" s="7">
        <v>0</v>
      </c>
    </row>
    <row r="63" spans="1:25" x14ac:dyDescent="0.25">
      <c r="B63" s="7">
        <v>511.38499999999999</v>
      </c>
      <c r="C63" s="7">
        <v>222.08600000000001</v>
      </c>
      <c r="D63" s="7">
        <v>0</v>
      </c>
      <c r="E63" s="7">
        <v>0</v>
      </c>
      <c r="F63" s="7">
        <v>0</v>
      </c>
      <c r="G63" s="7">
        <v>0</v>
      </c>
      <c r="H63" s="7">
        <v>2295.127</v>
      </c>
      <c r="I63" s="7">
        <v>0</v>
      </c>
      <c r="J63" s="7">
        <v>0</v>
      </c>
      <c r="K63" s="7">
        <v>63.735999999999997</v>
      </c>
      <c r="L63" s="7">
        <v>0</v>
      </c>
      <c r="M63" s="7">
        <v>2266.0700000000002</v>
      </c>
      <c r="N63" s="7">
        <v>1318.6569999999999</v>
      </c>
      <c r="O63" s="7">
        <v>234.483</v>
      </c>
      <c r="P63" s="7">
        <v>492.90600000000001</v>
      </c>
      <c r="Q63" s="7">
        <v>234.89</v>
      </c>
      <c r="R63" s="7">
        <v>398.81700000000001</v>
      </c>
      <c r="S63" s="7">
        <v>1025.6489999999999</v>
      </c>
      <c r="T63" s="7">
        <v>70.843999999999994</v>
      </c>
      <c r="U63" s="7">
        <v>440.38900000000001</v>
      </c>
      <c r="V63" s="7">
        <v>44.505000000000003</v>
      </c>
      <c r="W63" s="7">
        <v>0</v>
      </c>
      <c r="X63" s="7">
        <v>1186.02</v>
      </c>
      <c r="Y63" s="7">
        <v>54.212000000000003</v>
      </c>
    </row>
    <row r="64" spans="1:25" x14ac:dyDescent="0.25">
      <c r="B64" s="7">
        <v>1195.145</v>
      </c>
      <c r="C64" s="7">
        <v>378.173</v>
      </c>
      <c r="D64" s="7">
        <v>365.24</v>
      </c>
      <c r="E64" s="7">
        <v>566.71299999999997</v>
      </c>
      <c r="F64" s="7">
        <v>58.021999999999998</v>
      </c>
      <c r="G64" s="7">
        <v>507.26799999999997</v>
      </c>
      <c r="H64" s="7">
        <v>2790.5219999999999</v>
      </c>
      <c r="I64" s="7">
        <v>350.69400000000002</v>
      </c>
      <c r="J64" s="7">
        <v>248.65199999999999</v>
      </c>
      <c r="K64" s="7">
        <v>544.37800000000004</v>
      </c>
      <c r="L64" s="7">
        <v>287.36399999999998</v>
      </c>
      <c r="M64" s="7">
        <v>2874.5390000000002</v>
      </c>
      <c r="N64" s="7">
        <v>2052.1260000000002</v>
      </c>
      <c r="O64" s="7">
        <v>105.039</v>
      </c>
      <c r="P64" s="7">
        <v>975.65599999999995</v>
      </c>
      <c r="Q64" s="7">
        <v>733.58500000000004</v>
      </c>
      <c r="R64" s="7">
        <v>894.58100000000002</v>
      </c>
      <c r="S64" s="7">
        <v>1679.38</v>
      </c>
      <c r="T64" s="7">
        <v>666.21100000000001</v>
      </c>
      <c r="U64" s="7">
        <v>817.87199999999996</v>
      </c>
      <c r="V64" s="7">
        <v>514.70000000000005</v>
      </c>
      <c r="W64" s="7">
        <v>130.459</v>
      </c>
      <c r="X64" s="7">
        <v>1082.088</v>
      </c>
      <c r="Y64" s="7">
        <v>659.95799999999997</v>
      </c>
    </row>
    <row r="65" spans="1:25" x14ac:dyDescent="0.25">
      <c r="B65" s="7">
        <v>1283.578</v>
      </c>
      <c r="C65" s="7">
        <v>888.73800000000006</v>
      </c>
      <c r="D65" s="7">
        <v>409.96899999999999</v>
      </c>
      <c r="E65" s="7">
        <v>897.70600000000002</v>
      </c>
      <c r="F65" s="7">
        <v>184.30799999999999</v>
      </c>
      <c r="G65" s="7">
        <v>500.69799999999998</v>
      </c>
      <c r="H65" s="7">
        <v>2796.5430000000001</v>
      </c>
      <c r="I65" s="7">
        <v>370.113</v>
      </c>
      <c r="J65" s="7">
        <v>544.74099999999999</v>
      </c>
      <c r="K65" s="7">
        <v>674.47699999999998</v>
      </c>
      <c r="L65" s="7">
        <v>724.58199999999999</v>
      </c>
      <c r="M65" s="7">
        <v>2967.777</v>
      </c>
      <c r="N65" s="7">
        <v>2175.3319999999999</v>
      </c>
      <c r="O65" s="7">
        <v>10.923999999999999</v>
      </c>
      <c r="P65" s="7">
        <v>1137.019</v>
      </c>
      <c r="Q65" s="7">
        <v>806.82899999999995</v>
      </c>
      <c r="R65" s="7">
        <v>1126.1220000000001</v>
      </c>
      <c r="S65" s="7">
        <v>1793.7729999999999</v>
      </c>
      <c r="T65" s="7">
        <v>1050.0989999999999</v>
      </c>
      <c r="U65" s="7">
        <v>826.154</v>
      </c>
      <c r="V65" s="7">
        <v>883.22900000000004</v>
      </c>
      <c r="W65" s="7">
        <v>482.31</v>
      </c>
      <c r="X65" s="7">
        <v>222.345</v>
      </c>
      <c r="Y65" s="7">
        <v>782.15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2</v>
      </c>
      <c r="C73" s="7">
        <v>0</v>
      </c>
      <c r="D73" s="7">
        <v>0</v>
      </c>
      <c r="E73" s="7">
        <v>0</v>
      </c>
      <c r="F73" s="7">
        <v>0</v>
      </c>
      <c r="G73" s="7">
        <v>1</v>
      </c>
      <c r="H73" s="7">
        <v>7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5</v>
      </c>
      <c r="R73" s="7">
        <v>0</v>
      </c>
      <c r="S73" s="7">
        <v>4</v>
      </c>
      <c r="T73" s="7">
        <v>0</v>
      </c>
      <c r="U73" s="7">
        <v>5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28</v>
      </c>
      <c r="C74" s="7">
        <v>32</v>
      </c>
      <c r="D74" s="7">
        <v>6</v>
      </c>
      <c r="E74" s="7">
        <v>25</v>
      </c>
      <c r="F74" s="7">
        <v>12</v>
      </c>
      <c r="G74" s="7">
        <v>12</v>
      </c>
      <c r="H74" s="7">
        <v>43</v>
      </c>
      <c r="I74" s="7">
        <v>12</v>
      </c>
      <c r="J74" s="7">
        <v>6</v>
      </c>
      <c r="K74" s="7">
        <v>9</v>
      </c>
      <c r="L74" s="7">
        <v>6</v>
      </c>
      <c r="M74" s="7">
        <v>33</v>
      </c>
      <c r="N74" s="7">
        <v>17</v>
      </c>
      <c r="O74" s="7">
        <v>1</v>
      </c>
      <c r="P74" s="7">
        <v>25</v>
      </c>
      <c r="Q74" s="7">
        <v>22</v>
      </c>
      <c r="R74" s="7">
        <v>12</v>
      </c>
      <c r="S74" s="7">
        <v>26</v>
      </c>
      <c r="T74" s="7">
        <v>6</v>
      </c>
      <c r="U74" s="7">
        <v>20</v>
      </c>
      <c r="V74" s="7">
        <v>2</v>
      </c>
      <c r="W74" s="7">
        <v>14</v>
      </c>
      <c r="X74" s="7">
        <v>3</v>
      </c>
      <c r="Y74" s="7">
        <v>33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882582900</v>
      </c>
      <c r="C79" s="7">
        <v>449049600</v>
      </c>
      <c r="D79" s="7">
        <v>411547100</v>
      </c>
      <c r="E79" s="7">
        <v>1940170000</v>
      </c>
      <c r="F79" s="7">
        <v>899903000</v>
      </c>
      <c r="G79" s="7">
        <v>804823400</v>
      </c>
      <c r="H79" s="7">
        <v>1023517000</v>
      </c>
      <c r="I79" s="7">
        <v>643451600</v>
      </c>
      <c r="J79" s="7">
        <v>492699000</v>
      </c>
      <c r="K79" s="7">
        <v>622201900</v>
      </c>
      <c r="L79" s="7">
        <v>710369600</v>
      </c>
      <c r="M79" s="7">
        <v>1147716000</v>
      </c>
      <c r="N79" s="7">
        <v>759120100</v>
      </c>
      <c r="O79" s="7">
        <v>305232700</v>
      </c>
      <c r="P79" s="7">
        <v>1564971000</v>
      </c>
      <c r="Q79" s="7">
        <v>700587300</v>
      </c>
      <c r="R79" s="7">
        <v>937670900</v>
      </c>
      <c r="S79" s="7">
        <v>801532700</v>
      </c>
      <c r="T79" s="7">
        <v>862301300</v>
      </c>
      <c r="U79" s="7">
        <v>780482600</v>
      </c>
      <c r="V79" s="7">
        <v>464557400</v>
      </c>
      <c r="W79" s="7">
        <v>1651782000</v>
      </c>
      <c r="X79" s="7">
        <v>1245819000</v>
      </c>
      <c r="Y79" s="7">
        <v>1776624000</v>
      </c>
    </row>
    <row r="80" spans="1:25" x14ac:dyDescent="0.25">
      <c r="B80" s="7">
        <v>1011650000</v>
      </c>
      <c r="C80" s="7">
        <v>503418000</v>
      </c>
      <c r="D80" s="7">
        <v>434119600</v>
      </c>
      <c r="E80" s="7">
        <v>2299614000</v>
      </c>
      <c r="F80" s="7">
        <v>1002706000</v>
      </c>
      <c r="G80" s="7">
        <v>856092900</v>
      </c>
      <c r="H80" s="7">
        <v>1157111000</v>
      </c>
      <c r="I80" s="7">
        <v>717842400</v>
      </c>
      <c r="J80" s="7">
        <v>542026000</v>
      </c>
      <c r="K80" s="7">
        <v>673146300</v>
      </c>
      <c r="L80" s="7">
        <v>816566800</v>
      </c>
      <c r="M80" s="7">
        <v>1326676000</v>
      </c>
      <c r="N80" s="7">
        <v>848112600</v>
      </c>
      <c r="O80" s="7">
        <v>337831300</v>
      </c>
      <c r="P80" s="7">
        <v>1721113000</v>
      </c>
      <c r="Q80" s="7">
        <v>784945900</v>
      </c>
      <c r="R80" s="7">
        <v>1060649000</v>
      </c>
      <c r="S80" s="7">
        <v>894762400</v>
      </c>
      <c r="T80" s="7">
        <v>930390500</v>
      </c>
      <c r="U80" s="7">
        <v>851309400</v>
      </c>
      <c r="V80" s="7">
        <v>509246100</v>
      </c>
      <c r="W80" s="7">
        <v>1819840000</v>
      </c>
      <c r="X80" s="7">
        <v>1473946000</v>
      </c>
      <c r="Y80" s="7">
        <v>2004995000</v>
      </c>
    </row>
    <row r="81" spans="1:25" x14ac:dyDescent="0.25">
      <c r="B81" s="7">
        <v>1107404000</v>
      </c>
      <c r="C81" s="7">
        <v>540284900</v>
      </c>
      <c r="D81" s="7">
        <v>438773400</v>
      </c>
      <c r="E81" s="7">
        <v>2606129000</v>
      </c>
      <c r="F81" s="7">
        <v>1067638000</v>
      </c>
      <c r="G81" s="7">
        <v>869096400</v>
      </c>
      <c r="H81" s="7">
        <v>1248967000</v>
      </c>
      <c r="I81" s="7">
        <v>766612700</v>
      </c>
      <c r="J81" s="7">
        <v>571427200</v>
      </c>
      <c r="K81" s="7">
        <v>696777600</v>
      </c>
      <c r="L81" s="7">
        <v>898101400</v>
      </c>
      <c r="M81" s="7">
        <v>1467605000</v>
      </c>
      <c r="N81" s="7">
        <v>907458500</v>
      </c>
      <c r="O81" s="7">
        <v>358662400</v>
      </c>
      <c r="P81" s="7">
        <v>1797364000</v>
      </c>
      <c r="Q81" s="7">
        <v>842080100</v>
      </c>
      <c r="R81" s="7">
        <v>1146147000</v>
      </c>
      <c r="S81" s="7">
        <v>954097600</v>
      </c>
      <c r="T81" s="7">
        <v>958604200</v>
      </c>
      <c r="U81" s="7">
        <v>885731300</v>
      </c>
      <c r="V81" s="7">
        <v>533499100</v>
      </c>
      <c r="W81" s="7">
        <v>1905287000</v>
      </c>
      <c r="X81" s="7">
        <v>1670292000</v>
      </c>
      <c r="Y81" s="7">
        <v>2154856000</v>
      </c>
    </row>
    <row r="82" spans="1:25" x14ac:dyDescent="0.25">
      <c r="B82" s="7">
        <v>1172341000</v>
      </c>
      <c r="C82" s="7">
        <v>562264600</v>
      </c>
      <c r="D82" s="7">
        <v>430556500</v>
      </c>
      <c r="E82" s="7">
        <v>2859328000</v>
      </c>
      <c r="F82" s="7">
        <v>1100467000</v>
      </c>
      <c r="G82" s="7">
        <v>853407300</v>
      </c>
      <c r="H82" s="7">
        <v>1303580000</v>
      </c>
      <c r="I82" s="7">
        <v>793905600</v>
      </c>
      <c r="J82" s="7">
        <v>584793300</v>
      </c>
      <c r="K82" s="7">
        <v>699181700</v>
      </c>
      <c r="L82" s="7">
        <v>957200600</v>
      </c>
      <c r="M82" s="7">
        <v>1573473000</v>
      </c>
      <c r="N82" s="7">
        <v>941950700</v>
      </c>
      <c r="O82" s="7">
        <v>369941300</v>
      </c>
      <c r="P82" s="7">
        <v>1806282000</v>
      </c>
      <c r="Q82" s="7">
        <v>876075700</v>
      </c>
      <c r="R82" s="7">
        <v>1198336000</v>
      </c>
      <c r="S82" s="7">
        <v>984311400</v>
      </c>
      <c r="T82" s="7">
        <v>955831900</v>
      </c>
      <c r="U82" s="7">
        <v>890759100</v>
      </c>
      <c r="V82" s="7">
        <v>541119000</v>
      </c>
      <c r="W82" s="7">
        <v>1920936000</v>
      </c>
      <c r="X82" s="7">
        <v>1835969000</v>
      </c>
      <c r="Y82" s="7">
        <v>2234277000</v>
      </c>
    </row>
    <row r="83" spans="1:25" x14ac:dyDescent="0.25">
      <c r="B83" s="7">
        <v>1209342000</v>
      </c>
      <c r="C83" s="7">
        <v>571780700</v>
      </c>
      <c r="D83" s="7">
        <v>413479500</v>
      </c>
      <c r="E83" s="7">
        <v>3059510000</v>
      </c>
      <c r="F83" s="7">
        <v>1106759000</v>
      </c>
      <c r="G83" s="7">
        <v>817276900</v>
      </c>
      <c r="H83" s="7">
        <v>1325724000</v>
      </c>
      <c r="I83" s="7">
        <v>803527200</v>
      </c>
      <c r="J83" s="7">
        <v>585486800</v>
      </c>
      <c r="K83" s="7">
        <v>685596500</v>
      </c>
      <c r="L83" s="7">
        <v>996163600</v>
      </c>
      <c r="M83" s="7">
        <v>1647374000</v>
      </c>
      <c r="N83" s="7">
        <v>955941500</v>
      </c>
      <c r="O83" s="7">
        <v>373562300</v>
      </c>
      <c r="P83" s="7">
        <v>1761661000</v>
      </c>
      <c r="Q83" s="7">
        <v>890677100</v>
      </c>
      <c r="R83" s="7">
        <v>1221540000</v>
      </c>
      <c r="S83" s="7">
        <v>990102300</v>
      </c>
      <c r="T83" s="7">
        <v>929958900</v>
      </c>
      <c r="U83" s="7">
        <v>872981300</v>
      </c>
      <c r="V83" s="7">
        <v>535580500</v>
      </c>
      <c r="W83" s="7">
        <v>1880677000</v>
      </c>
      <c r="X83" s="7">
        <v>1972262000</v>
      </c>
      <c r="Y83" s="7">
        <v>2252839000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308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385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308</v>
      </c>
      <c r="Y88" s="7">
        <v>0</v>
      </c>
    </row>
    <row r="89" spans="1:25" x14ac:dyDescent="0.25">
      <c r="B89" s="7">
        <v>0</v>
      </c>
      <c r="C89" s="7">
        <v>539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539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385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693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924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693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1155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1078</v>
      </c>
      <c r="Y92" s="7">
        <v>0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2549207000</v>
      </c>
      <c r="D97" s="7">
        <v>0</v>
      </c>
      <c r="E97" s="7">
        <v>0</v>
      </c>
      <c r="F97" s="7">
        <v>0</v>
      </c>
      <c r="G97" s="7">
        <v>0</v>
      </c>
      <c r="H97" s="7">
        <v>5153604000</v>
      </c>
      <c r="I97" s="7">
        <v>0</v>
      </c>
      <c r="J97" s="7">
        <v>0</v>
      </c>
      <c r="K97" s="7">
        <v>0</v>
      </c>
      <c r="L97" s="7">
        <v>0</v>
      </c>
      <c r="M97" s="7">
        <v>5167220000</v>
      </c>
      <c r="N97" s="7">
        <v>1763314000</v>
      </c>
      <c r="O97" s="7">
        <v>1811660000</v>
      </c>
      <c r="P97" s="7">
        <v>0</v>
      </c>
      <c r="Q97" s="7">
        <v>0</v>
      </c>
      <c r="R97" s="7">
        <v>0</v>
      </c>
      <c r="S97" s="7">
        <v>920667100</v>
      </c>
      <c r="T97" s="7">
        <v>0</v>
      </c>
      <c r="U97" s="7">
        <v>0</v>
      </c>
      <c r="V97" s="7">
        <v>0</v>
      </c>
      <c r="W97" s="7">
        <v>0</v>
      </c>
      <c r="X97" s="7">
        <v>2564739000</v>
      </c>
      <c r="Y97" s="7">
        <v>0</v>
      </c>
    </row>
    <row r="98" spans="1:25" x14ac:dyDescent="0.25">
      <c r="B98" s="7">
        <v>601794400</v>
      </c>
      <c r="C98" s="7">
        <v>1870773000</v>
      </c>
      <c r="D98" s="7">
        <v>0</v>
      </c>
      <c r="E98" s="7">
        <v>0</v>
      </c>
      <c r="F98" s="7">
        <v>0</v>
      </c>
      <c r="G98" s="7">
        <v>0</v>
      </c>
      <c r="H98" s="7">
        <v>6442039000</v>
      </c>
      <c r="I98" s="7">
        <v>0</v>
      </c>
      <c r="J98" s="7">
        <v>0</v>
      </c>
      <c r="K98" s="7">
        <v>0</v>
      </c>
      <c r="L98" s="7">
        <v>0</v>
      </c>
      <c r="M98" s="7">
        <v>6459034000</v>
      </c>
      <c r="N98" s="7">
        <v>3092584000</v>
      </c>
      <c r="O98" s="7">
        <v>1857122000</v>
      </c>
      <c r="P98" s="7">
        <v>0</v>
      </c>
      <c r="Q98" s="7">
        <v>0</v>
      </c>
      <c r="R98" s="7">
        <v>0</v>
      </c>
      <c r="S98" s="7">
        <v>1616267000</v>
      </c>
      <c r="T98" s="7">
        <v>0</v>
      </c>
      <c r="U98" s="7">
        <v>0</v>
      </c>
      <c r="V98" s="7">
        <v>0</v>
      </c>
      <c r="W98" s="7">
        <v>0</v>
      </c>
      <c r="X98" s="7">
        <v>3238177000</v>
      </c>
      <c r="Y98" s="7">
        <v>0</v>
      </c>
    </row>
    <row r="99" spans="1:25" x14ac:dyDescent="0.25">
      <c r="B99" s="7">
        <v>1521619000</v>
      </c>
      <c r="C99" s="7">
        <v>1858747000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4623537000</v>
      </c>
      <c r="O99" s="7">
        <v>1836457000</v>
      </c>
      <c r="P99" s="7">
        <v>0</v>
      </c>
      <c r="Q99" s="7">
        <v>170028800</v>
      </c>
      <c r="R99" s="7">
        <v>0</v>
      </c>
      <c r="S99" s="7">
        <v>3253496000</v>
      </c>
      <c r="T99" s="7">
        <v>0</v>
      </c>
      <c r="U99" s="7">
        <v>0</v>
      </c>
      <c r="V99" s="7">
        <v>0</v>
      </c>
      <c r="W99" s="7">
        <v>0</v>
      </c>
      <c r="X99" s="7">
        <v>4544010000</v>
      </c>
      <c r="Y99" s="7">
        <v>0</v>
      </c>
    </row>
    <row r="100" spans="1:25" x14ac:dyDescent="0.25">
      <c r="B100" s="7">
        <v>3390676000</v>
      </c>
      <c r="C100" s="7">
        <v>1841537000</v>
      </c>
      <c r="D100" s="7">
        <v>0</v>
      </c>
      <c r="E100" s="7">
        <v>215027300</v>
      </c>
      <c r="F100" s="7">
        <v>0</v>
      </c>
      <c r="G100" s="7">
        <v>0</v>
      </c>
      <c r="H100" s="7">
        <v>8815895000</v>
      </c>
      <c r="I100" s="7">
        <v>0</v>
      </c>
      <c r="J100" s="7">
        <v>0</v>
      </c>
      <c r="K100" s="7">
        <v>0</v>
      </c>
      <c r="L100" s="7">
        <v>568180700</v>
      </c>
      <c r="M100" s="7">
        <v>9043112000</v>
      </c>
      <c r="N100" s="7">
        <v>6355315000</v>
      </c>
      <c r="O100" s="7">
        <v>1012265000</v>
      </c>
      <c r="P100" s="7">
        <v>0</v>
      </c>
      <c r="Q100" s="7">
        <v>1217965000</v>
      </c>
      <c r="R100" s="7">
        <v>0</v>
      </c>
      <c r="S100" s="7">
        <v>5125382000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369345500</v>
      </c>
    </row>
    <row r="101" spans="1:25" x14ac:dyDescent="0.25">
      <c r="B101" s="7">
        <v>3658606000</v>
      </c>
      <c r="C101" s="7">
        <v>3205558000</v>
      </c>
      <c r="D101" s="7">
        <v>0</v>
      </c>
      <c r="E101" s="7">
        <v>891926700</v>
      </c>
      <c r="F101" s="7">
        <v>0</v>
      </c>
      <c r="G101" s="7">
        <v>0</v>
      </c>
      <c r="H101" s="7">
        <v>9028319000</v>
      </c>
      <c r="I101" s="7">
        <v>0</v>
      </c>
      <c r="J101" s="7">
        <v>0</v>
      </c>
      <c r="K101" s="7">
        <v>0</v>
      </c>
      <c r="L101" s="7">
        <v>1424262000</v>
      </c>
      <c r="M101" s="7">
        <v>9387097000</v>
      </c>
      <c r="N101" s="7">
        <v>6782666000</v>
      </c>
      <c r="O101" s="7">
        <v>46859460</v>
      </c>
      <c r="P101" s="7">
        <v>313746900</v>
      </c>
      <c r="Q101" s="7">
        <v>1490124000</v>
      </c>
      <c r="R101" s="7">
        <v>0</v>
      </c>
      <c r="S101" s="7">
        <v>5615673000</v>
      </c>
      <c r="T101" s="7">
        <v>0</v>
      </c>
      <c r="U101" s="7">
        <v>0</v>
      </c>
      <c r="V101" s="7">
        <v>0</v>
      </c>
      <c r="W101" s="7">
        <v>0</v>
      </c>
      <c r="X101" s="7">
        <v>1047011000</v>
      </c>
      <c r="Y101" s="7">
        <v>639962800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3397740000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4235544000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5800959000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3358200000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4828653000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6161220000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3116948000</v>
      </c>
      <c r="O108" s="7">
        <v>0</v>
      </c>
      <c r="P108" s="7">
        <v>7628285000</v>
      </c>
      <c r="Q108" s="7">
        <v>7743689000</v>
      </c>
      <c r="R108" s="7">
        <v>7676896000</v>
      </c>
      <c r="S108" s="7">
        <v>4479887000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5498992000</v>
      </c>
      <c r="C109" s="7">
        <v>0</v>
      </c>
      <c r="D109" s="7">
        <v>8954817000</v>
      </c>
      <c r="E109" s="7">
        <v>8724371000</v>
      </c>
      <c r="F109" s="7">
        <v>9150277000</v>
      </c>
      <c r="G109" s="7">
        <v>8933232000</v>
      </c>
      <c r="H109" s="7">
        <v>0</v>
      </c>
      <c r="I109" s="7">
        <v>9073855000</v>
      </c>
      <c r="J109" s="7">
        <v>8924121000</v>
      </c>
      <c r="K109" s="7">
        <v>8900207000</v>
      </c>
      <c r="L109" s="7">
        <v>8410799000</v>
      </c>
      <c r="M109" s="7">
        <v>4.8894440000000001E-9</v>
      </c>
      <c r="N109" s="7">
        <v>2675445000</v>
      </c>
      <c r="O109" s="7">
        <v>0</v>
      </c>
      <c r="P109" s="7">
        <v>8899301000</v>
      </c>
      <c r="Q109" s="7">
        <v>7721630000</v>
      </c>
      <c r="R109" s="7">
        <v>8955988000</v>
      </c>
      <c r="S109" s="7">
        <v>3731409000</v>
      </c>
      <c r="T109" s="7">
        <v>8898734000</v>
      </c>
      <c r="U109" s="7">
        <v>8623467000</v>
      </c>
      <c r="V109" s="7">
        <v>8900544000</v>
      </c>
      <c r="W109" s="7">
        <v>8899306000</v>
      </c>
      <c r="X109" s="7">
        <v>0</v>
      </c>
      <c r="Y109" s="7">
        <v>8628550000</v>
      </c>
    </row>
    <row r="110" spans="1:25" x14ac:dyDescent="0.25">
      <c r="B110" s="7">
        <v>5427572000</v>
      </c>
      <c r="C110" s="7">
        <v>0</v>
      </c>
      <c r="D110" s="7">
        <v>9058672000</v>
      </c>
      <c r="E110" s="7">
        <v>8842874000</v>
      </c>
      <c r="F110" s="7">
        <v>9593797000</v>
      </c>
      <c r="G110" s="7">
        <v>9051892000</v>
      </c>
      <c r="H110" s="7">
        <v>0</v>
      </c>
      <c r="I110" s="7">
        <v>9231197000</v>
      </c>
      <c r="J110" s="7">
        <v>9337976000</v>
      </c>
      <c r="K110" s="7">
        <v>9226371000</v>
      </c>
      <c r="L110" s="7">
        <v>8340658000</v>
      </c>
      <c r="M110" s="7">
        <v>0</v>
      </c>
      <c r="N110" s="7">
        <v>2600616000</v>
      </c>
      <c r="O110" s="7">
        <v>0</v>
      </c>
      <c r="P110" s="7">
        <v>9072362000</v>
      </c>
      <c r="Q110" s="7">
        <v>7641282000</v>
      </c>
      <c r="R110" s="7">
        <v>9537637000</v>
      </c>
      <c r="S110" s="7">
        <v>3484395000</v>
      </c>
      <c r="T110" s="7">
        <v>9635095000</v>
      </c>
      <c r="U110" s="7">
        <v>8753772000</v>
      </c>
      <c r="V110" s="7">
        <v>9886228000</v>
      </c>
      <c r="W110" s="7">
        <v>9614353000</v>
      </c>
      <c r="X110" s="7">
        <v>7503802.9610000001</v>
      </c>
      <c r="Y110" s="7">
        <v>8775372000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2536444000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3274878000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2537424000</v>
      </c>
      <c r="Y115" s="7">
        <v>0</v>
      </c>
    </row>
    <row r="116" spans="1:25" x14ac:dyDescent="0.25">
      <c r="B116" s="7">
        <v>0</v>
      </c>
      <c r="C116" s="7">
        <v>4486466000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4501005000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3139138000</v>
      </c>
      <c r="Y116" s="7">
        <v>0</v>
      </c>
    </row>
    <row r="117" spans="1:25" x14ac:dyDescent="0.25">
      <c r="B117" s="7">
        <v>0</v>
      </c>
      <c r="C117" s="7">
        <v>5769768000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5793137000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3108379000</v>
      </c>
      <c r="Y117" s="7">
        <v>0</v>
      </c>
    </row>
    <row r="118" spans="1:25" x14ac:dyDescent="0.25">
      <c r="B118" s="7">
        <v>0</v>
      </c>
      <c r="C118" s="7">
        <v>7058290000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7889082000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5696040000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10108400000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9084674000</v>
      </c>
      <c r="Y119" s="7">
        <v>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1367804000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1307606000</v>
      </c>
      <c r="H127" s="7">
        <v>1536473000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1651074000</v>
      </c>
      <c r="R127" s="7">
        <v>1279543000</v>
      </c>
      <c r="S127" s="7">
        <v>1480344000</v>
      </c>
      <c r="T127" s="7">
        <v>1271334000</v>
      </c>
      <c r="U127" s="7">
        <v>1607942000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1355532000</v>
      </c>
      <c r="C128" s="7">
        <v>1364341000</v>
      </c>
      <c r="D128" s="7">
        <v>1237413000</v>
      </c>
      <c r="E128" s="7">
        <v>765645700</v>
      </c>
      <c r="F128" s="7">
        <v>994078300</v>
      </c>
      <c r="G128" s="7">
        <v>1316726000</v>
      </c>
      <c r="H128" s="7">
        <v>1522380000</v>
      </c>
      <c r="I128" s="7">
        <v>1260044000</v>
      </c>
      <c r="J128" s="7">
        <v>926870100</v>
      </c>
      <c r="K128" s="7">
        <v>1031531000</v>
      </c>
      <c r="L128" s="7">
        <v>564774800</v>
      </c>
      <c r="M128" s="7">
        <v>1181559000</v>
      </c>
      <c r="N128" s="7">
        <v>1059409000</v>
      </c>
      <c r="O128" s="7">
        <v>18605480</v>
      </c>
      <c r="P128" s="7">
        <v>999126800</v>
      </c>
      <c r="Q128" s="7">
        <v>1586171000</v>
      </c>
      <c r="R128" s="7">
        <v>818887900</v>
      </c>
      <c r="S128" s="7">
        <v>1374867000</v>
      </c>
      <c r="T128" s="7">
        <v>603011400</v>
      </c>
      <c r="U128" s="7">
        <v>1607001000</v>
      </c>
      <c r="V128" s="7">
        <v>310945500</v>
      </c>
      <c r="W128" s="7">
        <v>723957300</v>
      </c>
      <c r="X128" s="7">
        <v>85605840</v>
      </c>
      <c r="Y128" s="7">
        <v>1191672000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O90" s="1"/>
      <c r="X90" s="1"/>
    </row>
    <row r="91" spans="2:59" x14ac:dyDescent="0.25">
      <c r="C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2026-02-15T00:12:09Z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